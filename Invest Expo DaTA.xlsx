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st Expo 2019" sheetId="1" r:id="rId3"/>
    <sheet state="visible" name="Invest Expo 2021" sheetId="2" r:id="rId4"/>
    <sheet state="visible" name="Invest Expo 2022" sheetId="3" r:id="rId5"/>
    <sheet state="visible" name="Invest Expo 2023" sheetId="4" r:id="rId6"/>
    <sheet state="visible" name="Invest Expo 2025" sheetId="5" r:id="rId7"/>
    <sheet state="visible" name="Ninawa 2023" sheetId="6" r:id="rId8"/>
    <sheet state="visible" name="Luxury Event Baghdad2025" sheetId="7" r:id="rId9"/>
    <sheet state="visible" name="Noor " sheetId="8" r:id="rId10"/>
    <sheet state="visible" name="my data - Maria " sheetId="9" r:id="rId11"/>
    <sheet state="visible" name="INVEST2025-Business Cards-Dahat" sheetId="10" r:id="rId12"/>
    <sheet state="visible" name="Bussines card - Mr Dilon" sheetId="11" r:id="rId13"/>
    <sheet state="visible" name="IPS International Properrty Sho" sheetId="12" r:id="rId14"/>
    <sheet state="visible" name="Insurance Companies- Maria " sheetId="13" r:id="rId15"/>
    <sheet state="visible" name="AqarFair-Dahat" sheetId="14" r:id="rId16"/>
    <sheet state="visible" name="Qatar-Dahat" sheetId="15" r:id="rId17"/>
    <sheet state="visible" name="Business Cards" sheetId="16" r:id="rId18"/>
    <sheet state="visible" name="Int.data Dahat&amp;Hilda" sheetId="17" r:id="rId19"/>
    <sheet state="visible" name="Cyprus &amp; Jordan int. data-Dahat" sheetId="18" r:id="rId20"/>
    <sheet state="visible" name="Int.Event organizers-Dahat" sheetId="19" r:id="rId21"/>
    <sheet state="visible" name="Cityscape2025-Dahat" sheetId="20" r:id="rId22"/>
    <sheet state="visible" name="Jordanian Co-Dahat" sheetId="21" r:id="rId23"/>
    <sheet state="visible" name="IPS-2025-Dahat" sheetId="22" r:id="rId24"/>
    <sheet state="visible" name="Real Estate Future Forum" sheetId="23" r:id="rId25"/>
    <sheet state="visible" name="CITY SCAPE 2024- Maria " sheetId="24" r:id="rId26"/>
    <sheet state="visible" name="ECO Build IQ" sheetId="25" r:id="rId27"/>
    <sheet state="visible" name="Solar System Companies" sheetId="26" r:id="rId28"/>
    <sheet state="visible" name="Construction" sheetId="27" r:id="rId29"/>
    <sheet state="visible" name="Projects" sheetId="28" r:id="rId30"/>
    <sheet state="visible" name="IRIES" sheetId="29" r:id="rId31"/>
    <sheet state="visible" name="Engineering Co." sheetId="30" r:id="rId32"/>
    <sheet state="visible" name="Real Estate Co." sheetId="31" r:id="rId33"/>
  </sheets>
  <definedNames>
    <definedName hidden="1" localSheetId="8" name="_xlnm._FilterDatabase">'my data - Maria '!$B$2:$G$674</definedName>
    <definedName hidden="1" localSheetId="23" name="_xlnm._FilterDatabase">'CITY SCAPE 2024- Maria '!$B$2:$F$189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2">
      <text>
        <t xml:space="preserve">Specializes in ventilation, air conditioning, and renewable energy solutions.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3">
      <text>
        <t xml:space="preserve">Internationals
	-Anonymous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8">
      <text>
        <t xml:space="preserve">Specializes in ventilation, air conditioning, and renewable energy solutions.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Majid Al Futtaim Group is a diversified conglomerate operating across various sectors, including retail, real estate, and leisure. Established in 1992, the group has a significant presence in the Middle East, Africa, and Asia. Their portfolio includes shopping malls, hotels, mixed-use communities, and retail brands such as Carrefour.</t>
      </text>
    </comment>
    <comment authorId="0" ref="C15">
      <text>
        <t xml:space="preserve">Services Offered
Better Homes LLC provides a comprehensive range of real estate services, including:​
Best Things
+1
Dubai Local
+1
Property Sales &amp; Rentals: Assisting clients in buying, selling, and renting residential and commercial properties.
Property Management: Offering property management services to ensure optimal performance and maintenance of properties.
Real Estate Consultancy: Providing expert advice on market trends, investment opportunities, and property valuations.
Market Analysis: Conducting in-depth market research to inform clients' real estate decisions.
Property Valuation: Offering accurate property valuations for various purposes.
Corporate Housing Solutions: Providing tailored housing solutions for corporate clients.
Investment Property Services: Assisting clients in identifying and acquiring investment properties.</t>
      </text>
    </comment>
    <comment authorId="0" ref="I15">
      <text>
        <t xml:space="preserve"> Branch Locations
In addition to the head office, Better Homes LLC operates several branches across Dubai, including:​
Dubai Marina Branch: Office 1901, Marina Plaza, Sheikh Zayed Road
Jumeirah Park Branch: Hadaeq Mohammad Bin Rashid, Jumeirah Park (Al Thanyah 5)
Bay Square Branch: Office 605, Bay Square 13, Business Bay</t>
      </text>
    </comment>
    <comment authorId="0" ref="C16">
      <text>
        <t xml:space="preserve">Company Overview
Name: AMRA Real Estate Brokerage LLC
Founded: 2022
Headquarters: Office 408, Sobha Sapphire Tower, Al Khaleej Al Tejari 2 Street, Business Bay, Dubai, UAE
Alternate Office: Office 3309, Concord Tower, Al Safouh Second, Jumeirah, Dubai
Company Size: 11–50 employees
Specialties: Real estate brokerage, property rentals, investment advisory​
</t>
      </text>
    </comment>
    <comment authorId="0" ref="C17">
      <text>
        <t xml:space="preserve">​Al Ruwad Real Estate is a reputable real estate consultancy based in Dubai, UAE, established in 2013. The firm specializes in providing tailored solutions for residential, commercial, and investment properties, catering to homebuyers, investors, and businesses alike.​
</t>
      </text>
    </comment>
    <comment authorId="0" ref="I17">
      <text>
        <t xml:space="preserve">Office 106, 1st Floor
Oud Metha Offices Building
Sheikh Rashid Road, Dubai Healthcare City
Umm Hurair 2, Dubai, UAE
P.O. Box: 334264​</t>
      </text>
    </comment>
    <comment authorId="0" ref="C18">
      <text>
        <t xml:space="preserve">Transguard Group is one of the UAE’s leading business support and outsourcing providers, offering a wide range of services including security, cash management, manpower solutions, facilities management, and integrated workforce services. Established in 2001, the company has grown to employ over 61,000 professionals across the UAE. Core Services
Security Services: Guarding, event security, executive protection, and CCTV monitoring.
Cash Services: ATM replenishment, cash-in-transit, and cash processing.
Manpower Solutions: White- and blue-collar staffing across various industries.
Facilities Management: Cleaning, maintenance, and technical support.
Aviation &amp; Hospitality Support: Staffing and operational services for airports and hotels.
Specialized Divisions: Including Transguard Delivery and Kitchen Maintenance Solutions.</t>
      </text>
    </comment>
    <comment authorId="0" ref="I18">
      <text>
        <t xml:space="preserve">Address: 1st Floor, Emirates Transguard Building, Al Quds Street, Dubai Airport Free Zone, Dubai, UAE (near Dubai International Airport Terminal 2)Additional UAE Locations
Transguard Group maintains offices and operational branches in:​
Abu Dhabi
Al Ain
Ras Al Khaimah
Dubai Investment Park
Dubai Airport Free Zone</t>
      </text>
    </comment>
    <comment authorId="0" ref="C20">
      <text>
        <t xml:space="preserve">OBERMEYER Middle East GmbH is a subsidiary of the OBERMEYER Corporate Group, headquartered in Munich, Germany. Established in the Middle East in 2006, the company offers comprehensive services in architecture, engineering, planning, and project management across various sectors, including buildings, transport, energy, and environment. With a team of approximately 230 professionals in the region, they are committed to delivering innovative and sustainable solutions.​
ecea.ae
+3
Clodura
+3
Apollo
+3
In recognition of their excellence, OBERMEYER Middle East was awarded the "Best Engineering Consultancy Company" for 2024 by the Society of Engineers (SOE) at the Excellence &amp; Creative Engineering Awards 2025. </t>
      </text>
    </comment>
    <comment authorId="0" ref="I20">
      <text>
        <t xml:space="preserve">Address: Al Bustan Offices Building, 311 Rabdan Street, 2nd Floor, Office 203, Al Sa'adah, Abu Dhabi, UAE</t>
      </text>
    </comment>
    <comment authorId="0" ref="C24">
      <text>
        <t xml:space="preserve">Amirah Developments is a Dubai-based real estate developer established in 2021 by entrepreneur Muhammad Yousuf Jafrani, who brings over 15 years of experience in the UAE property market. The company focuses on creating luxury residential projects that blend modern design with sustainability and smart living features.​</t>
      </text>
    </comment>
    <comment authorId="0" ref="C25">
      <text>
        <t xml:space="preserve">Connect AI Solutions is a UK-based technology company specializing in artificial intelligence solutions aimed at enhancing business operations, marketing, and customer engagement. Established in 2024, the company focuses on integrating AI with human expertise to deliver customized, scalable, and efficient solutions.</t>
      </text>
    </comment>
    <comment authorId="0" ref="I26">
      <text>
        <t xml:space="preserve">Relata.io is a proptech platform designed to accelerate property sales and leasing processes by integrating digital tools with traditional real estate workflows.​
Key Features:
Virtual Sales Gallery (VSG): Offers immersive, 3D visualizations of properties, enabling clients to explore listings remotely.
Lead Management: Simplifies tracking and nurturing of potential clients throughout the sales funnel.
Booking Engine: Facilitates seamless interactions with business processes like inventory management, cost sheets, and eKYC.
Realtors App: Streamlines digital onboarding and engagement with realtor and broker networks.
Analytics Suite: Provides insights into leads and business workflows to enhance decision-making.​
</t>
      </text>
    </comment>
    <comment authorId="0" ref="C27">
      <text>
        <t xml:space="preserve">Centralized Lead Management: Capture, track, and convert leads from various sources, including websites, social media, and property portals. ​
leadrat.com
Automated Follow-Ups: Set up automated reminders and follow-up sequences to ensure timely communication with prospects.​
ppc.leadrat.com
+2
crm.leadrat.com
+2
leadrat.com
+2
Performance Analytics: Generate detailed reports to monitor key performance metrics like leads generated, conversion rates, and site visits. ​
leadrat.com
Mobile App Support: Access and manage your CRM on-the-go with dedicated apps for Android and iOS devices. ​
TechJockey
Third-Party Integrations: Seamlessly integrate with various platforms to import lead data and enhance workflow efficiency. ​</t>
      </text>
    </comment>
    <comment authorId="0" ref="C30">
      <text>
        <t xml:space="preserve">ThinkProp Real Estate Training Institute, a government-recognized educational institution based in Abu Dhabi, UAE, specializing in real estate training and certification</t>
      </text>
    </comment>
    <comment authorId="0" ref="C31">
      <text>
        <t xml:space="preserve">Swift Brokers Private Limited is a financial services firm specializing in investment solutions, including project funding, private equity, real estate investments, and financial advisory. They employ a data-driven approach to assist clients in making informed and profitable investment decisions .​</t>
      </text>
    </comment>
    <comment authorId="0" ref="C32">
      <text>
        <t xml:space="preserve">GRPFZC refers to GRP Real Estate Consultancy, a Dubai-based firm specializing in RERA project registration, developer services, and regulatory compliance for real estate developers in the UAE.​
grpfzc.com
</t>
      </text>
    </comment>
    <comment authorId="0" ref="C34">
      <text>
        <t xml:space="preserve">IEREI is officially recognized and authorized by the Real Estate Regulatory Agency (RERA) and Dubai Land Department (DLD) to educate the real estate industry. The institute is also licensed and approved by KHDA (Knowledge &amp; Human Development Authority - Dubai) and internationally accredited by IAO, AHQSE, and FIABCI Emirates. ​
LinkedIn
+1
LinkedIn
+1
KHDA
+3
LinkedIn
+3
LinkedIn
+3
The institute offers a wide range of courses, including:​
Real Estate Brokerage Training Certificate​
KHDA
+1
IEREI
+1
Property Management Training​
Real Estate Valuation​
IEREI
+2
KHDA
+2
IEREI
+2
Sales &amp; Marketing​
IEREI
Legal &amp; Regulatory Compliance​
Community Association Management​
KHDA
+1
IEREI
+1
Trust Account Systems​
IEREI
+2
KHDA
+2
IEREI
+2
Sustainable Real Estate Development​
Fazaa
+2
KHDA
+2
LinkedIn
+2
Courses are available in both classroom and online formats, with options in Arabic and English.</t>
      </text>
    </comment>
    <comment authorId="0" ref="D35">
      <text>
        <t xml:space="preserve">Branch Offices
Deyaar operates several branches across the UAE:​
Sales Center at Business Bay: +971 4 372 5800​
DEYAAR
+1
DEYAAR
+1
Sharjah Branch: +971 6 573 0500​
DEYAAR
Abu Dhabi Branch: +971 2 635 3000​
Al Ain Branch: +971 3 751 0443​
DEYAAR
Ajman Branch: +971 6 573 0500​
Fujairah Branch: +971 9 224 1235​
DEYAAR
Ras Al Khaimah Branch: +971 6 573 0500​
Midtown Clients Center (Dubai Production City): +971 4 372 5850​
DEYAAR</t>
      </text>
    </comment>
    <comment authorId="0" ref="E35">
      <text>
        <t xml:space="preserve">Investor Relations
Contact Person: Ms. Batool Chreidi​
DEYAAR
Phone: +971 4 384 0909​
DEYAAR
+1
DEYAAR
+1
Email: ir@deyaar.ae​
DEYAAR
🌐 Social Media
LinkedIn: Deyaar Development PJSC​
Instagram: @deyaarofficial​
</t>
      </text>
    </comment>
    <comment authorId="0" ref="C37">
      <text>
        <t xml:space="preserve">ME DO RE Properties DMCC is a Dubai-based real estate developer renowned for its luxury residential projects, notably ME DO RE 1 and ME DO RE 2, situated in the Jumeirah Lake Towers (JLT) area.​</t>
      </text>
    </comment>
    <comment authorId="0" ref="C38">
      <text>
        <t xml:space="preserve">is a leading real estate brokerage firm based in Dubai, UAE, renowned for its expertise in off-plan investments, luxury properties, and comprehensive real estate services.</t>
      </text>
    </comment>
    <comment authorId="0" ref="E38">
      <text>
        <t xml:space="preserve">Head Office
📍 202, Bay Square – Building 6, Business Bay, Dubai, UAE
📞 +971 4 458 9090​
Instagram
+4
LinkedIn
+4
Top Real Estate Agency in Dubai
+4
Top Real Estate Agency in Dubai
+1
Atninfo
+1
Branch Office – Jumeirah Lakes Towers (JLT)
📍 4008, X2 Tower, Cluster X, JLT, Dubai, UAE
📞 +971 4 457 9900​
Atninfo
+3
Top Real Estate Agency in Dubai
+3
LinkedIn
+3
Branch Office – Town Square
📍 Retail -11, Hayat Boulevard-2A, Town Square, Dubai, UAE
📞 +971 4 553 8939</t>
      </text>
    </comment>
    <comment authorId="0" ref="C39">
      <text>
        <t xml:space="preserve">nvest in Georgia is the official investment promotion agency of Georgia, operating under the Ministry of Economy and Sustainable Development. It serves as a one-stop shop for investors, providing comprehensive support and information to facilitate foreign direct investment in the country.</t>
      </text>
    </comment>
    <comment authorId="0" ref="H47">
      <text>
        <t xml:space="preserve">Ms. Bogaert holds several professional designations, including CIPS (Certified International Property Specialist), ABR (Accredited Buyer’s Representative), SRS (Seller Representative Specialist), PSA (Pricing Strategy Advisor), RSPS (Resort &amp; Second-Home Property Specialist), AHWD (At Home With Diversity), RENE (Real Estate Negotiation Expert), GRI (Graduate REALTOR® Institute), CLHMS (Certified Luxury Home Marketing Specialist), and TRC (Transnational Referral Certification) .</t>
      </text>
    </comment>
    <comment authorId="0" ref="F48">
      <text>
        <t xml:space="preserve">Ms. Finn offers a range of services, including residential sales, investment property acquisition, and full-service property management. She is also actively involved in educating first-time homebuyers through classes offered in partnership with the Washington State Housing Finance Commission.</t>
      </text>
    </comment>
    <comment authorId="0" ref="F49">
      <text>
        <t xml:space="preserve">Ms. Moreno holds multiple real estate broker licenses in the United States and specializes in assisting foreign investors, particularly in immigration-related real estate investments. She has traveled extensively, conducting seminars across South America, Europe, and Asia on safe and effective investment strategies in the U.S. Her expertise spans residential, commercial, industrial, raw land, and special-purpose properties. She is also the Founder and Vice-President of the Volver a Soñar Foundation in Colombia, supporting children battling cancer and their families. </t>
      </text>
    </comment>
    <comment authorId="0" ref="C50">
      <text>
        <t xml:space="preserve">Ms. Mattig has over five years of experience in the real estate industry, specializing in residential and commercial properties in the Miami area. She is affiliated with Belhouse Real Estate, LLC.</t>
      </text>
    </comment>
    <comment authorId="0" ref="C51">
      <text>
        <t xml:space="preserve">Ms. Williams, also known as "Denise The Broker," launched her real estate career in 2012 in Atlanta. In 2018, she founded Williams &amp; Co International Realty, which became Atlanta's largest Black woman-owned real estate firm by agent count from 2019 to 2022. In March 2022, she broke new ground by becoming the first Black American woman to open an independent real estate brokerage in Dubai. By 2023, she merged her firm with one of the world's largest real estate companies, expanding her reach across the Middle East. Beyond her entrepreneurial achievements, Ms. Williams has mentored over 200 agents and authored the autobiography "From Broke To Broker," detailing her journey from humble beginnings to real estate success.</t>
      </text>
    </comment>
    <comment authorId="0" ref="C52">
      <text>
        <t xml:space="preserve">type hereMs. Bolin has been a licensed real estate professional since 1978 and obtained her Florida Broker’s license in 1980. After 39 years with the same franchise, she joined Keller Williams Realty Gulf Coast in July 2017. She specializes in residential real estate, relocation services, and military/veteran housing. Her accolades include being named ERA's #1 Agent Nationwide in multiple years and induction into the ERA International Hall of Fame in 2013. </t>
      </text>
    </comment>
    <comment authorId="0" ref="C53">
      <text>
        <t xml:space="preserve">type heBroker License (BRN): 73866
Languages: English, Hindi, Urdu​re
Ms. Naik has been active in the Dubai real estate market since 2014, specializing in both residential and commercial properties. She is known for her personalized approach, assisting clients in buying, selling, and renting properties across Dubai. Her expertise includes areas like Jumeirah Village Circle and Tilal City. 
Property Finder
</t>
      </text>
    </comment>
    <comment authorId="0" ref="C54">
      <text>
        <t xml:space="preserve">Ms. Sacchetto is renowned for her pioneering work in PropTech and big data within the UAE real estate sector. She has over 25 years of experience and has been instrumental in digitizing real estate processes across the Middle East. Her contributions include serving on advisory boards, mentoring, and leading initiatives that integrate technology and digital solutions in the real estate sector. </t>
      </text>
    </comment>
    <comment authorId="0" ref="C55">
      <text>
        <t xml:space="preserve">License Number: 3085704
Languages: English, Russian​</t>
      </text>
    </comment>
    <comment authorId="0" ref="C56">
      <text>
        <t xml:space="preserve">Ms. Arfaoui is a Certified International Property Specialist (CIPS) and a member of the National Association of Realtors (USA). With over a decade of experience in the real estate industry, she specializes in off-plan sales, property management, and strategic market development. Her multilingual capabilities in English, French, Arabic, and German enable her to serve a diverse clientele effectively. She is also recognized for her commitment to empowering women in real estate through initiatives like the "Women of Vision" platform.</t>
      </text>
    </comment>
    <comment authorId="0" ref="C57">
      <text>
        <t xml:space="preserve">Ms. Hsu is a Certified International Property Specialist (CIPS) and a member of the National Association of REALTORS®. She has a strong presence in the New York real estate market, particularly in Queens and Long Island, with a track record of successful transactions ranging from $185K to $1M. Her multilingual abilities in English and Mandarin Chinese, along with her dedication to building lasting client relationships, make her a valuable resource for both local and international clients.​</t>
      </text>
    </comment>
    <comment authorId="0" ref="C58">
      <text>
        <t xml:space="preserve">type hereMs. Pineda brings over a decade of experience in the South Florida real estate market, specializing in residential sales across Miami, Doral, and surrounding areas. She is recognized for her strategic planning, marketing expertise, and commitment to client satisfaction. Her multilingual abilities in English and Spanish enable her to serve a diverse clientele effectively.​</t>
      </text>
    </comment>
    <comment authorId="0" ref="C59">
      <text>
        <t xml:space="preserve">Ms. Rojas brings nearly 30 years of experience in the real estate industry, having started her career right out of high school. As a Miami native, she has a deep understanding of the local market and is passionate about promoting homeownership and helping others build wealth through real estate. She holds multiple certifications and designations and is actively involved in various real estate and mortgage lending communities. Her commitment extends beyond her clients to mentoring and coaching fellow real estate professionals. </t>
      </text>
    </comment>
    <comment authorId="0" ref="C60">
      <text>
        <t xml:space="preserve">type hereMs. Eusse brings over two decades of experience in the real estate and marketing sectors, with a focus on luxury preconstruction projects and global investment strategies. She has played pivotal roles in the success of developments such as Paraiso Bay, Veer Towers in Las Vegas, and Aria Reserve Miami. Her leadership at The Eusse Group has been instrumental in driving sales and fostering innovation within the industry. ​
CIO Women Magazine
+5
ipscongress.com
+5
ipscongress.com
+5
CIO Women Magazine
+4
womenworldmagazine.com
+4
ipscongress.com
+4
In addition to her real estate endeavors, Claudia is the founder of Cayha Coaching, a platform dedicated to empowering professionals through creativity and connection. Her multifaceted background includes experiences as a TV host, jewelry designer, and philanthropist, reflecting her commitment to excellence and community engagement. </t>
      </text>
    </comment>
    <comment authorId="0" ref="C62">
      <text>
        <t xml:space="preserve">Ms. Eusse brings over two decades of experience in the real estate and marketing sectors, with a focus on luxury preconstruction projects and global investment strategies. She has played pivotal roles in the success of developments such as Paraiso Bay, Veer Towers in Las Vegas, and Aria Reserve Miami. Her leadership at The Eusse Group has been instrumental in driving sales and fostering innovation within the industry. 
CIO Women Magazine
​
In addition to her real estate endeavors, Claudia is the founder of Cayha Coaching, a platform dedicated to empowering professionals through creativity and connection. Her multifaceted background includes experiences as a TV host, jewelry designer, and philanthropist, reflecting her commitment to excellence and community engagement.</t>
      </text>
    </comment>
    <comment authorId="0" ref="C65">
      <text>
        <t xml:space="preserve">Roula Sabouni is a seasoned real estate professional based in Dubai, UAE, with over two decades of experience in the industry. She is the Founder and CEO of Aludra Estates, a boutique real estate consultancy specializing in residential and investment properties across the UAE.​Professional Background
Founder &amp; CEO, Aludra Estates: Established in Dubai, Aludra Estates offers tailored real estate solutions, emphasizing sustainable and client-centric services. The firm is headquartered at The Onyx Tower 2, Office 510, The Greens, Dubai. ​
THE ORG
+2
Dun &amp; Bradstreet
+2
Property Finder
+2
Industry Experience: Roula has held senior roles at leading UAE real estate firms, including Emaar, Nakheel, Dubai Holding, and Meraas, where she contributed to significant property development and sales initiatives. ​
Aludra Estates
+2
Property Finder
+2
Aludra Estates
+2
Leadership Role: She serves as the Secretary-General of FIABCI Emirates, representing the International Real Estate Federation in the UAE, focusing on promoting ethical standards and global best practices in real estate.
</t>
      </text>
    </comment>
    <comment authorId="0" ref="C66">
      <text>
        <t xml:space="preserve">Dr. Talal Kourdi is a prominent real estate expert based in Dubai, UAE, with a diverse background in property management, development, and investment.Current Roles:
Founder of AMRA Real Estate, established in 2022, specializing in real estate brokerage services in Dubai.
Head of Properties Management at Al Manal Real Estate, a member of Al Ghurair Group. ​
LinkedIn
ContactOut
+1
LinkedIn
+1
Previous Experience:
Mall Manager at Al Manal Centre.
Senior Sales Consultant at Al Manal Development. ​
Best Things
+2
ContactOut
+2
LinkedIn
+2
Education:
Alumnus of Damascus University. ​
U</t>
      </text>
    </comment>
    <comment authorId="0" ref="C67">
      <text>
        <t xml:space="preserve">Professional Background
In 2021, Abdulla Kazim Nasser Alnuaimi co-founded MMC Engineering Consultants in partnership with Murtada Maaz Consultancy. This firm focuses on delivering innovative architectural and engineering solutions in Dubai. ​
Murtada Maaz Consultancy
Additionally, he is the founder and CEO of AKN Properties, established in 2019. Under his leadership, AKN Properties has become a recognized real estate agency in Dubai, officially accredited by the Dubai Land Department and RERA. </t>
      </text>
    </comment>
    <comment authorId="0" ref="C68">
      <text>
        <t xml:space="preserve">With over 22 years of experience in the real estate industry, Ana Zecca specializes in the sale, purchase, and lease of various property types, including:​
Homes.com
+3
Zillow
+3
zeccarealtygroup.com
+3
Single-family residences
Condos
Commercial properties
Land and apartments
Preconstruction projects
Short Sales and REO transactions​
listingup.com
+4
LinkedIn
+4
Experience
+4
Chamber of Commerce
+5
Zillow
+5
Experience
+5
Zillow
+3
Experience
+3
Realtor
+3
Realtor
+3
Homes.com
+3
Experience
+3
Her brokerage, Zecca Realty Group, has a strong presence in South Florida, covering areas such as Miami, South Miami, Miami Beach, Key Biscayne, Doral, Kendall, Brickell, Coral Gables, and more. The firm has also engaged in international markets, including the United Kingdom, Spain, Brazil, Mexico, the Dominican Republic, and Costa Rica. ​</t>
      </text>
    </comment>
    <comment authorId="0" ref="I68">
      <text>
        <t xml:space="preserve">Office Address: 3105 NW 107th Avenue, Suite 400-T6, Doral, FL 33172</t>
      </text>
    </comment>
  </commentList>
</comments>
</file>

<file path=xl/sharedStrings.xml><?xml version="1.0" encoding="utf-8"?>
<sst xmlns="http://schemas.openxmlformats.org/spreadsheetml/2006/main" count="14023" uniqueCount="10427">
  <si>
    <t>Tel</t>
  </si>
  <si>
    <t>Company Name</t>
  </si>
  <si>
    <t>person name</t>
  </si>
  <si>
    <t xml:space="preserve">Phone Number </t>
  </si>
  <si>
    <t>Email</t>
  </si>
  <si>
    <t>Note</t>
  </si>
  <si>
    <t>Address</t>
  </si>
  <si>
    <t>Yapikim Co.</t>
  </si>
  <si>
    <t>kurdo ahmad mirza</t>
  </si>
  <si>
    <t>0750 2752500</t>
  </si>
  <si>
    <t>viola office furniture</t>
  </si>
  <si>
    <t>muhamad shafiq</t>
  </si>
  <si>
    <t>0090 5414462664</t>
  </si>
  <si>
    <t>info@violaburo.com</t>
  </si>
  <si>
    <t>V2 Development</t>
  </si>
  <si>
    <t>vaggelies kteniadis</t>
  </si>
  <si>
    <t>0030 694 4890378</t>
  </si>
  <si>
    <t>vaggelis.kteniadis@vsquared2.com</t>
  </si>
  <si>
    <t>Typical Realty Company</t>
  </si>
  <si>
    <t>haval sami</t>
  </si>
  <si>
    <t>0750 470 2719</t>
  </si>
  <si>
    <t>havalsami@gmail.com</t>
  </si>
  <si>
    <t>Tanj Group</t>
  </si>
  <si>
    <t>xorshed mzuri</t>
  </si>
  <si>
    <t>0750 144 7273</t>
  </si>
  <si>
    <t>info@tanjco.com</t>
  </si>
  <si>
    <t>Supas Group</t>
  </si>
  <si>
    <t>asad</t>
  </si>
  <si>
    <t>0750 4201155</t>
  </si>
  <si>
    <t>South Kurdistan</t>
  </si>
  <si>
    <t>asos</t>
  </si>
  <si>
    <t>0770 1932471</t>
  </si>
  <si>
    <t>asos.bakr@southkurdistan.com</t>
  </si>
  <si>
    <t>Smart Left</t>
  </si>
  <si>
    <t>himdad</t>
  </si>
  <si>
    <t>0750 1093930</t>
  </si>
  <si>
    <t>Saray Parda</t>
  </si>
  <si>
    <t>mustafa</t>
  </si>
  <si>
    <t>0750 4496570</t>
  </si>
  <si>
    <t>Salar Holding</t>
  </si>
  <si>
    <t>nazmi akar</t>
  </si>
  <si>
    <t>0750 474 2905</t>
  </si>
  <si>
    <t>Sakar Co.</t>
  </si>
  <si>
    <t>sangar mhamad</t>
  </si>
  <si>
    <t>0750 460 9273</t>
  </si>
  <si>
    <t>Roma Co.</t>
  </si>
  <si>
    <t>mhamad najmadin</t>
  </si>
  <si>
    <t>0750 773 6777</t>
  </si>
  <si>
    <t>Reach Immigration</t>
  </si>
  <si>
    <t>AHMAD SALAH</t>
  </si>
  <si>
    <t>0782 9002222</t>
  </si>
  <si>
    <t>ahmad.shallah@reachimmigration.com</t>
  </si>
  <si>
    <t>Raman Co.</t>
  </si>
  <si>
    <t>saman mhamad</t>
  </si>
  <si>
    <t>0750 307 1000</t>
  </si>
  <si>
    <t>saman@ramancom.com</t>
  </si>
  <si>
    <t>Qaiwan Group</t>
  </si>
  <si>
    <t>Pak Co.</t>
  </si>
  <si>
    <t>widad salih</t>
  </si>
  <si>
    <t>0751 4048552 - 0773 2629338</t>
  </si>
  <si>
    <t>pakcenter12@gmail.com</t>
  </si>
  <si>
    <t>Onem Co.</t>
  </si>
  <si>
    <t>abdulla</t>
  </si>
  <si>
    <t>0750 457 5927</t>
  </si>
  <si>
    <t>Nest Interiors</t>
  </si>
  <si>
    <t>osama miqdad</t>
  </si>
  <si>
    <t>0750 924 2222</t>
  </si>
  <si>
    <t>osama.miqdad@nest.krd</t>
  </si>
  <si>
    <t>MRF Group</t>
  </si>
  <si>
    <t>haji choly</t>
  </si>
  <si>
    <t>0750 4457752</t>
  </si>
  <si>
    <t>choli@mrfgroup.net</t>
  </si>
  <si>
    <t>Motif ARCH</t>
  </si>
  <si>
    <t>hangaw ibrahem</t>
  </si>
  <si>
    <t>0750 4916686</t>
  </si>
  <si>
    <t>mitif.arc.erbil@gmail.com</t>
  </si>
  <si>
    <t>Moba Co.</t>
  </si>
  <si>
    <t>sarmand</t>
  </si>
  <si>
    <t>0750 5343434</t>
  </si>
  <si>
    <t>Mhajarat Jalal</t>
  </si>
  <si>
    <t>akram mhamad</t>
  </si>
  <si>
    <t>0750 3707252</t>
  </si>
  <si>
    <t>kurdy_i@yahoo.com</t>
  </si>
  <si>
    <t>Mass City</t>
  </si>
  <si>
    <t>Mantosiva + Hiway Firdaws</t>
  </si>
  <si>
    <t>hiwa</t>
  </si>
  <si>
    <t>0750 3331001</t>
  </si>
  <si>
    <t>Manar Real estate</t>
  </si>
  <si>
    <t>0750 6744848</t>
  </si>
  <si>
    <t>info@manar2003.com</t>
  </si>
  <si>
    <t>Kirmanj Co.</t>
  </si>
  <si>
    <t>sabah</t>
  </si>
  <si>
    <t>0750 445 3522</t>
  </si>
  <si>
    <t>www.kirmanj.com</t>
  </si>
  <si>
    <t>Karkuk Light</t>
  </si>
  <si>
    <t>jutyar jabar</t>
  </si>
  <si>
    <t>0750 449 0137</t>
  </si>
  <si>
    <t>jootiar2002@yahoo.com</t>
  </si>
  <si>
    <t>Kalwry Co.</t>
  </si>
  <si>
    <t>0750 848 4004</t>
  </si>
  <si>
    <t>Hend Steel</t>
  </si>
  <si>
    <t>barz rasul</t>
  </si>
  <si>
    <t>0750 100 7888-0750 4487145</t>
  </si>
  <si>
    <t>lawyerkarzan@hendsteel.com</t>
  </si>
  <si>
    <t>Haji Wahab Co.</t>
  </si>
  <si>
    <t>ahmad haji wahab</t>
  </si>
  <si>
    <t>0750 444 5363</t>
  </si>
  <si>
    <t>Golden Mountains</t>
  </si>
  <si>
    <t>halgurd</t>
  </si>
  <si>
    <t>0750 6660665</t>
  </si>
  <si>
    <t>halgurd@goldenmountains.net</t>
  </si>
  <si>
    <t>GFRP Factory</t>
  </si>
  <si>
    <t>sana saman aziz</t>
  </si>
  <si>
    <t>0750 448 9353</t>
  </si>
  <si>
    <t>Eskan Co.</t>
  </si>
  <si>
    <t>ALI jmsher</t>
  </si>
  <si>
    <t>0750 888 3488</t>
  </si>
  <si>
    <t>Empire Co.</t>
  </si>
  <si>
    <t>ebrahem gazi</t>
  </si>
  <si>
    <t>0750 498 9365</t>
  </si>
  <si>
    <t>ameer@falconiraq.com</t>
  </si>
  <si>
    <t>Dlzar Quortz</t>
  </si>
  <si>
    <t>dlzar</t>
  </si>
  <si>
    <t>0750 430 2074</t>
  </si>
  <si>
    <t>Decoras</t>
  </si>
  <si>
    <t>salar ahmad</t>
  </si>
  <si>
    <t>0750 460 0763</t>
  </si>
  <si>
    <t>Chint Electrcs</t>
  </si>
  <si>
    <t>li boa</t>
  </si>
  <si>
    <t>0751 1610753</t>
  </si>
  <si>
    <t>ibao@chint.com</t>
  </si>
  <si>
    <t>Bradost</t>
  </si>
  <si>
    <t>sdiq</t>
  </si>
  <si>
    <t>0750 474 4448</t>
  </si>
  <si>
    <t>Baghi Shaqlawa</t>
  </si>
  <si>
    <t>Asuda Co.</t>
  </si>
  <si>
    <t>ismail halmat</t>
  </si>
  <si>
    <t>0751 402 1001</t>
  </si>
  <si>
    <t>Asia Insurance</t>
  </si>
  <si>
    <t>maria salami</t>
  </si>
  <si>
    <t>0772 3335202</t>
  </si>
  <si>
    <t>msalami@asiainsurance.net</t>
  </si>
  <si>
    <t>Aristo Developers</t>
  </si>
  <si>
    <t>mazen alalami</t>
  </si>
  <si>
    <t>0035 796525791</t>
  </si>
  <si>
    <t>mazen@aristodevelopers.com</t>
  </si>
  <si>
    <t>Alpha Co.</t>
  </si>
  <si>
    <t>karwan</t>
  </si>
  <si>
    <t>Al Hariri Co.</t>
  </si>
  <si>
    <t>mustafa hariri</t>
  </si>
  <si>
    <t>0750 8915089</t>
  </si>
  <si>
    <t>gm@harcoiraq.com</t>
  </si>
  <si>
    <t>Empire</t>
  </si>
  <si>
    <t>BC group</t>
  </si>
  <si>
    <t>The Boulevard</t>
  </si>
  <si>
    <t>Med Steel</t>
  </si>
  <si>
    <t>Kavin group</t>
  </si>
  <si>
    <t>Ster group</t>
  </si>
  <si>
    <t>Iran Companies</t>
  </si>
  <si>
    <t>Karash</t>
  </si>
  <si>
    <t>SIMCO(RSM co)</t>
  </si>
  <si>
    <t>Sulaimani steel</t>
  </si>
  <si>
    <t>Golwan Co.</t>
  </si>
  <si>
    <t>Zaitun plus</t>
  </si>
  <si>
    <t>Marjan tile</t>
  </si>
  <si>
    <t>Yildiz</t>
  </si>
  <si>
    <t>Dekoras</t>
  </si>
  <si>
    <t>Songul</t>
  </si>
  <si>
    <t>Building expert</t>
  </si>
  <si>
    <t>Modon Real Estate(Alhandal)</t>
  </si>
  <si>
    <t>Dream carpet</t>
  </si>
  <si>
    <t>Rasan Group</t>
  </si>
  <si>
    <t>Bluemina</t>
  </si>
  <si>
    <t>Technologists</t>
  </si>
  <si>
    <t>Manar Real Estate</t>
  </si>
  <si>
    <t>Ashur Brick</t>
  </si>
  <si>
    <t>Hamkar Group</t>
  </si>
  <si>
    <t>Bawan factory</t>
  </si>
  <si>
    <t>Al-Hadara Investment Co.</t>
  </si>
  <si>
    <t>Najmat Baghdad (Star Baghdad)</t>
  </si>
  <si>
    <t>Al sard group</t>
  </si>
  <si>
    <t>Halgwrd Co.</t>
  </si>
  <si>
    <t>V2</t>
  </si>
  <si>
    <t>Decoration companies commission 2021</t>
  </si>
  <si>
    <t>Chiwa Group</t>
  </si>
  <si>
    <t>LP Gas</t>
  </si>
  <si>
    <t>Dumas group (Nobel Tower)</t>
  </si>
  <si>
    <t>GSF construction</t>
  </si>
  <si>
    <t>MCA</t>
  </si>
  <si>
    <t>Vara</t>
  </si>
  <si>
    <t>Seyd Gailan</t>
  </si>
  <si>
    <t>Larry</t>
  </si>
  <si>
    <t>Hisense Iraq</t>
  </si>
  <si>
    <t>Polo plastic</t>
  </si>
  <si>
    <t>AVA arch</t>
  </si>
  <si>
    <t>Vision Capital Group</t>
  </si>
  <si>
    <t>Modern investment</t>
  </si>
  <si>
    <t>Vogue Arch</t>
  </si>
  <si>
    <t>Heatex</t>
  </si>
  <si>
    <t>Yapi kim</t>
  </si>
  <si>
    <t>Metalic ore</t>
  </si>
  <si>
    <t>Behran Co.</t>
  </si>
  <si>
    <t>prsha Arch</t>
  </si>
  <si>
    <t>Homele Co.</t>
  </si>
  <si>
    <t>Hriri Constraction</t>
  </si>
  <si>
    <t>RV Company(peshang)</t>
  </si>
  <si>
    <t>SYM</t>
  </si>
  <si>
    <t>Masar Al Tanmya</t>
  </si>
  <si>
    <t>RAK IT</t>
  </si>
  <si>
    <t>Agha Application</t>
  </si>
  <si>
    <t>Khol Co.</t>
  </si>
  <si>
    <t>Villa Real Estate Co.</t>
  </si>
  <si>
    <t>Abdullah Salih</t>
  </si>
  <si>
    <t>Asia insurance</t>
  </si>
  <si>
    <t>Akuvox (Safe Build)</t>
  </si>
  <si>
    <t>Ejaf tech</t>
  </si>
  <si>
    <t>Avenue Real Estate</t>
  </si>
  <si>
    <t>MS architecture</t>
  </si>
  <si>
    <t>Phonex Factory</t>
  </si>
  <si>
    <t>Arwaa Co</t>
  </si>
  <si>
    <t>Fiber Glass Co.</t>
  </si>
  <si>
    <t>Castle design</t>
  </si>
  <si>
    <t>Dlovan design</t>
  </si>
  <si>
    <t>Mega design</t>
  </si>
  <si>
    <t>Var Arch</t>
  </si>
  <si>
    <t>Kurdo</t>
  </si>
  <si>
    <t>Muluk Real Estate</t>
  </si>
  <si>
    <t>Malle Pak</t>
  </si>
  <si>
    <t>Kasra vacuum</t>
  </si>
  <si>
    <t>Zitex</t>
  </si>
  <si>
    <t>Janat afrah</t>
  </si>
  <si>
    <t>Awrosoft</t>
  </si>
  <si>
    <t>BTK</t>
  </si>
  <si>
    <t>Haji Mahmood Block</t>
  </si>
  <si>
    <t>Pentadem</t>
  </si>
  <si>
    <t>Piller arch</t>
  </si>
  <si>
    <t>Smart Lift</t>
  </si>
  <si>
    <t>Tarek Al-Harthiya</t>
  </si>
  <si>
    <t>KTC</t>
  </si>
  <si>
    <t>Paya App</t>
  </si>
  <si>
    <t>Al - Najah Emlak Antalya</t>
  </si>
  <si>
    <t>Hawkar Shakir</t>
  </si>
  <si>
    <t>Noor Co.</t>
  </si>
  <si>
    <t>Smart Space Co.</t>
  </si>
  <si>
    <t>Square design</t>
  </si>
  <si>
    <t>Pure Line Co.</t>
  </si>
  <si>
    <t>Panel Water</t>
  </si>
  <si>
    <t>Shmesani Co.</t>
  </si>
  <si>
    <t>Khanoo</t>
  </si>
  <si>
    <t>Haji salam</t>
  </si>
  <si>
    <t>Phone Number</t>
  </si>
  <si>
    <t>sqm</t>
  </si>
  <si>
    <t>area code</t>
  </si>
  <si>
    <t>Koursh Moatamedi</t>
  </si>
  <si>
    <t>A &amp; B</t>
  </si>
  <si>
    <t>A29,A30, A31, B23, B24</t>
  </si>
  <si>
    <t>Hezha</t>
  </si>
  <si>
    <t>marketing@empireworld.com</t>
  </si>
  <si>
    <t>Diamond</t>
  </si>
  <si>
    <t>D1</t>
  </si>
  <si>
    <t>Pelican Hills</t>
  </si>
  <si>
    <t>Snawber Abdullah</t>
  </si>
  <si>
    <t>snawber.abdullah@firstquantumcapital.com</t>
  </si>
  <si>
    <t>Gold</t>
  </si>
  <si>
    <t>G12</t>
  </si>
  <si>
    <t>BC Group</t>
  </si>
  <si>
    <t>Noor</t>
  </si>
  <si>
    <t>Platinum</t>
  </si>
  <si>
    <t>P1</t>
  </si>
  <si>
    <t>Shahan Group</t>
  </si>
  <si>
    <t>Zana</t>
  </si>
  <si>
    <t>ceo@shahancompany.com</t>
  </si>
  <si>
    <t>P2</t>
  </si>
  <si>
    <t>Sky Tower</t>
  </si>
  <si>
    <t>Saman</t>
  </si>
  <si>
    <t>saman82m@gmail.com</t>
  </si>
  <si>
    <t>P3</t>
  </si>
  <si>
    <t>Remas City(Aryo Group)</t>
  </si>
  <si>
    <t>Rawaz</t>
  </si>
  <si>
    <t>sardar@aryo-group.com</t>
  </si>
  <si>
    <t>P4</t>
  </si>
  <si>
    <t>Hamkar Company</t>
  </si>
  <si>
    <t>Bano</t>
  </si>
  <si>
    <t>contact@hamkar-co.com</t>
  </si>
  <si>
    <t>G1</t>
  </si>
  <si>
    <t>Zagros Tower</t>
  </si>
  <si>
    <t>Diyar Ziad Tahir</t>
  </si>
  <si>
    <t>esra@zagrostowers.com</t>
  </si>
  <si>
    <t>G2</t>
  </si>
  <si>
    <t>Dler Kamal</t>
  </si>
  <si>
    <t>info@qaiwangroup.com</t>
  </si>
  <si>
    <t>G3</t>
  </si>
  <si>
    <t>GK Architect</t>
  </si>
  <si>
    <t>Ismael Halmat Ameen</t>
  </si>
  <si>
    <t>info@gkarchitects.co</t>
  </si>
  <si>
    <t>G4</t>
  </si>
  <si>
    <t>Arminas</t>
  </si>
  <si>
    <t>Derin Barznji</t>
  </si>
  <si>
    <t>derin@arminas-iraq.com</t>
  </si>
  <si>
    <t>G5</t>
  </si>
  <si>
    <t>Adham Group</t>
  </si>
  <si>
    <t>Bahadin Ahmad</t>
  </si>
  <si>
    <t>hr.light@adham-group.com</t>
  </si>
  <si>
    <t>G6</t>
  </si>
  <si>
    <t>Vouge Arch</t>
  </si>
  <si>
    <t>Mrs. Lanya</t>
  </si>
  <si>
    <t>Info@vogue-architects.com</t>
  </si>
  <si>
    <t>G7</t>
  </si>
  <si>
    <t>Diplomatic Saferan</t>
  </si>
  <si>
    <t>Ahmed Ramzi Qarani</t>
  </si>
  <si>
    <t>ahmad.ramzi909@gmail.com</t>
  </si>
  <si>
    <t>G8</t>
  </si>
  <si>
    <t>Mass Hills</t>
  </si>
  <si>
    <t>Savan Yassin</t>
  </si>
  <si>
    <t>savan@masshills.com</t>
  </si>
  <si>
    <t>G9</t>
  </si>
  <si>
    <t>Kempinski</t>
  </si>
  <si>
    <t>Shwan Faruq Ismail</t>
  </si>
  <si>
    <t>Info@lelavgroup.com</t>
  </si>
  <si>
    <t>G10</t>
  </si>
  <si>
    <t>Cantal Group</t>
  </si>
  <si>
    <t>Hawre Abdullah</t>
  </si>
  <si>
    <t>ceo@cantalgroup.com</t>
  </si>
  <si>
    <t>G11</t>
  </si>
  <si>
    <t>Safe Home</t>
  </si>
  <si>
    <t>Diyar Hayder</t>
  </si>
  <si>
    <t>diyar.parks@gmail.com</t>
  </si>
  <si>
    <t>B2</t>
  </si>
  <si>
    <t>Choman Group</t>
  </si>
  <si>
    <t>Paiwand Ahmed</t>
  </si>
  <si>
    <t>info@chomangroup.com</t>
  </si>
  <si>
    <t>G13</t>
  </si>
  <si>
    <t>Songul Aydinlatma</t>
  </si>
  <si>
    <t>Gahit Songul</t>
  </si>
  <si>
    <t>Silver</t>
  </si>
  <si>
    <t>S1</t>
  </si>
  <si>
    <t>Suraat Alghazal</t>
  </si>
  <si>
    <t>Karar Rashid Alsaadi</t>
  </si>
  <si>
    <t>2016sszz2016@gmail.com</t>
  </si>
  <si>
    <t>S2</t>
  </si>
  <si>
    <t>Haji Hussain Real Estate</t>
  </si>
  <si>
    <t>Mohamad Jawdat</t>
  </si>
  <si>
    <t>7504524338 7501831444</t>
  </si>
  <si>
    <t>hajihussenrealestate@gmail.com</t>
  </si>
  <si>
    <t>S3</t>
  </si>
  <si>
    <t>Haji Salam</t>
  </si>
  <si>
    <t>Haji Salam Faqe</t>
  </si>
  <si>
    <t>S4</t>
  </si>
  <si>
    <t>AGS</t>
  </si>
  <si>
    <t>Darya</t>
  </si>
  <si>
    <t>Space only</t>
  </si>
  <si>
    <t>S5</t>
  </si>
  <si>
    <t>Electro homeAUX</t>
  </si>
  <si>
    <t>Mohamad</t>
  </si>
  <si>
    <t>S6</t>
  </si>
  <si>
    <t>Strong Building (Fuji Aire)</t>
  </si>
  <si>
    <t>Mais Hanineh</t>
  </si>
  <si>
    <t>mais@strongbuildingiraq.com</t>
  </si>
  <si>
    <t>S7</t>
  </si>
  <si>
    <t>Nubin Co.</t>
  </si>
  <si>
    <t>Bawar</t>
  </si>
  <si>
    <t>NUBIN1970@GMAIL.COM</t>
  </si>
  <si>
    <t>S8</t>
  </si>
  <si>
    <t>Citizinship</t>
  </si>
  <si>
    <t>Karwan</t>
  </si>
  <si>
    <t>info@citizinshipgate.com</t>
  </si>
  <si>
    <t>Shell Stand with fittings</t>
  </si>
  <si>
    <t>S9</t>
  </si>
  <si>
    <t>Home safety</t>
  </si>
  <si>
    <t>Jaafar</t>
  </si>
  <si>
    <t>havalmustafa12@gmail.com</t>
  </si>
  <si>
    <t>S10</t>
  </si>
  <si>
    <t>Bawan Factory</t>
  </si>
  <si>
    <t>S11</t>
  </si>
  <si>
    <t>OAK Company</t>
  </si>
  <si>
    <t>Kamal Hamid</t>
  </si>
  <si>
    <t>hajkamal5@gmail.com</t>
  </si>
  <si>
    <t>A1</t>
  </si>
  <si>
    <t>bye bye real estate</t>
  </si>
  <si>
    <t>Karam</t>
  </si>
  <si>
    <t>A2</t>
  </si>
  <si>
    <t>Tech Eye</t>
  </si>
  <si>
    <t>Andam Omar</t>
  </si>
  <si>
    <t>Canceled</t>
  </si>
  <si>
    <t>AMC</t>
  </si>
  <si>
    <t>A3</t>
  </si>
  <si>
    <t>Board of Investment Erbil</t>
  </si>
  <si>
    <t>N</t>
  </si>
  <si>
    <t>A4</t>
  </si>
  <si>
    <t>BIM Space</t>
  </si>
  <si>
    <t>Awder Omer Ali</t>
  </si>
  <si>
    <t>auder88@gmail.com</t>
  </si>
  <si>
    <t>A5</t>
  </si>
  <si>
    <t>Al Rayan Exchange Company</t>
  </si>
  <si>
    <t>Zaed Najih Salih</t>
  </si>
  <si>
    <t>07801133333 07801166666</t>
  </si>
  <si>
    <t>alrayyan@rayyan-ex.iq</t>
  </si>
  <si>
    <t>A6</t>
  </si>
  <si>
    <t>RT Bank</t>
  </si>
  <si>
    <t>Ften</t>
  </si>
  <si>
    <t>faten.zedan@rtb.iq</t>
  </si>
  <si>
    <t>A7</t>
  </si>
  <si>
    <t>CMC Company</t>
  </si>
  <si>
    <t>Yadgar A. Hameed</t>
  </si>
  <si>
    <t>cmcerbil@cmc-iraq.com</t>
  </si>
  <si>
    <t>A8</t>
  </si>
  <si>
    <t>Deal Agency</t>
  </si>
  <si>
    <t>A10</t>
  </si>
  <si>
    <t>Board of Investment Baghdad</t>
  </si>
  <si>
    <t>A11</t>
  </si>
  <si>
    <t>Aro Company</t>
  </si>
  <si>
    <t>Blend</t>
  </si>
  <si>
    <t>A12</t>
  </si>
  <si>
    <t>Pany</t>
  </si>
  <si>
    <t>Zaid</t>
  </si>
  <si>
    <t>zaid@panycompany.com</t>
  </si>
  <si>
    <t>A13</t>
  </si>
  <si>
    <t>Paya real estate</t>
  </si>
  <si>
    <t>Aza</t>
  </si>
  <si>
    <t>admin@paya-realestate.com</t>
  </si>
  <si>
    <t>A15</t>
  </si>
  <si>
    <t>Meraki Ventures</t>
  </si>
  <si>
    <t>A17</t>
  </si>
  <si>
    <t>Visual Vision</t>
  </si>
  <si>
    <t>Basl</t>
  </si>
  <si>
    <t>ibrahim.sami.mohammad@gmail.com</t>
  </si>
  <si>
    <t>A18</t>
  </si>
  <si>
    <t>Asawer</t>
  </si>
  <si>
    <t>A19</t>
  </si>
  <si>
    <t>Emaar</t>
  </si>
  <si>
    <t>Sedra</t>
  </si>
  <si>
    <t>heline.ali@modern-cons.com</t>
  </si>
  <si>
    <t>A20</t>
  </si>
  <si>
    <t>Easy Pipe</t>
  </si>
  <si>
    <t>Dilshad Ahmad</t>
  </si>
  <si>
    <t>dlshadahmad773@gmail.com</t>
  </si>
  <si>
    <t>A21</t>
  </si>
  <si>
    <t>Diwan Co.</t>
  </si>
  <si>
    <t>Ghada</t>
  </si>
  <si>
    <t>ghada91ghagha@gmail.com</t>
  </si>
  <si>
    <t>A23</t>
  </si>
  <si>
    <t>Mlily</t>
  </si>
  <si>
    <t>A24</t>
  </si>
  <si>
    <t>Banoo Royal State</t>
  </si>
  <si>
    <t>danamarduk@gmail.com</t>
  </si>
  <si>
    <t>A25</t>
  </si>
  <si>
    <t>Mega Design</t>
  </si>
  <si>
    <t>A26</t>
  </si>
  <si>
    <t>Chalang- Malu Mulk</t>
  </si>
  <si>
    <t>Abdula</t>
  </si>
  <si>
    <t>chalangabdulsamadsaeed@gmail.com</t>
  </si>
  <si>
    <t>A27</t>
  </si>
  <si>
    <t>Ahang Jobs</t>
  </si>
  <si>
    <t>Ahang</t>
  </si>
  <si>
    <t>ahangjobs@jmail.com</t>
  </si>
  <si>
    <t>A28</t>
  </si>
  <si>
    <t>Loyal Show</t>
  </si>
  <si>
    <t>A29</t>
  </si>
  <si>
    <t>Sharikurd Zomorood</t>
  </si>
  <si>
    <t>Jimsheed</t>
  </si>
  <si>
    <t>zomorrod.factory@yahoo.com</t>
  </si>
  <si>
    <t>A30</t>
  </si>
  <si>
    <t>Laser Bakhtar</t>
  </si>
  <si>
    <t>Hameed</t>
  </si>
  <si>
    <t>hydeobakhtar7431@gmail.com</t>
  </si>
  <si>
    <t>A31</t>
  </si>
  <si>
    <t>Ministry of Trade and Industry</t>
  </si>
  <si>
    <t>A32</t>
  </si>
  <si>
    <t>(Najeeb Abdulah Ahmad) Halwest Group</t>
  </si>
  <si>
    <t>Rawaa Hashm</t>
  </si>
  <si>
    <t>A34</t>
  </si>
  <si>
    <t>Bina</t>
  </si>
  <si>
    <t>Nawar</t>
  </si>
  <si>
    <t>info@binaainvestment.com</t>
  </si>
  <si>
    <t>A35</t>
  </si>
  <si>
    <t>A36</t>
  </si>
  <si>
    <t>Alyaqin Real Estate</t>
  </si>
  <si>
    <t>Muhammad Saman</t>
  </si>
  <si>
    <t>alyaqincompany122@gmail.com</t>
  </si>
  <si>
    <t>A37</t>
  </si>
  <si>
    <t>Gulf Insulation Material Co.</t>
  </si>
  <si>
    <t>AlaaAldin Hasan</t>
  </si>
  <si>
    <t>alaa.hassan@gulf-insulation.com</t>
  </si>
  <si>
    <t>A38</t>
  </si>
  <si>
    <t>istHomes</t>
  </si>
  <si>
    <t>A39</t>
  </si>
  <si>
    <t>Imenab Co.</t>
  </si>
  <si>
    <t>Siavash Harriat</t>
  </si>
  <si>
    <t>available in the contract</t>
  </si>
  <si>
    <t>A40</t>
  </si>
  <si>
    <t>Suraat Alghazal 2</t>
  </si>
  <si>
    <t>A41</t>
  </si>
  <si>
    <t>VIP Class Apartments</t>
  </si>
  <si>
    <t>Amanj Bilal</t>
  </si>
  <si>
    <t>07509082020 07504492146</t>
  </si>
  <si>
    <t>A42</t>
  </si>
  <si>
    <t>Henar Real Estate</t>
  </si>
  <si>
    <t>Henar</t>
  </si>
  <si>
    <t>A44</t>
  </si>
  <si>
    <t>Amwal Real Estate</t>
  </si>
  <si>
    <t>Khalid Awla</t>
  </si>
  <si>
    <t>xalidshexany@gmail.com</t>
  </si>
  <si>
    <t>A45</t>
  </si>
  <si>
    <t>Halgurd Company</t>
  </si>
  <si>
    <t>Mustafa Halgurd</t>
  </si>
  <si>
    <t>A46-A47</t>
  </si>
  <si>
    <t>Volo Architect</t>
  </si>
  <si>
    <t>yousif</t>
  </si>
  <si>
    <t>volo.architects@gmail.com</t>
  </si>
  <si>
    <t>A48</t>
  </si>
  <si>
    <t>Golden Property</t>
  </si>
  <si>
    <t>Afan Othman M. Saeed</t>
  </si>
  <si>
    <t>Afan.osman@gmail.com</t>
  </si>
  <si>
    <t>A49</t>
  </si>
  <si>
    <t>Varin Group</t>
  </si>
  <si>
    <t>Gezim Vuca</t>
  </si>
  <si>
    <t>gezim@varinfx.com</t>
  </si>
  <si>
    <t>A50</t>
  </si>
  <si>
    <t>Bakhtyar Walashi</t>
  </si>
  <si>
    <t>Zamyar</t>
  </si>
  <si>
    <t>bakhtyarwallashy@gmail.com</t>
  </si>
  <si>
    <t>A51</t>
  </si>
  <si>
    <t>Green Design</t>
  </si>
  <si>
    <t>Karwan Mustafa</t>
  </si>
  <si>
    <t>karwan@vanogroup.com</t>
  </si>
  <si>
    <t>B1</t>
  </si>
  <si>
    <t>Baghy Xoshnawaty real estate</t>
  </si>
  <si>
    <t>Aram</t>
  </si>
  <si>
    <t>Univa Erkanli Yapi</t>
  </si>
  <si>
    <t>Ali Omak</t>
  </si>
  <si>
    <t>Diyar Rela Estate</t>
  </si>
  <si>
    <t>Diyar</t>
  </si>
  <si>
    <t>B4</t>
  </si>
  <si>
    <t>Classy Co.</t>
  </si>
  <si>
    <t>Rezgar Nazeer</t>
  </si>
  <si>
    <t>VCG</t>
  </si>
  <si>
    <t>Ahmad Ghoubari</t>
  </si>
  <si>
    <t>info@vcgmarkets.com</t>
  </si>
  <si>
    <t>B5</t>
  </si>
  <si>
    <t>Hawraa Baghdad</t>
  </si>
  <si>
    <t>Mahmood</t>
  </si>
  <si>
    <t>info@hawbg.com</t>
  </si>
  <si>
    <t>B6</t>
  </si>
  <si>
    <t>Nyaz Glass</t>
  </si>
  <si>
    <t>Nyaz</t>
  </si>
  <si>
    <t>B7</t>
  </si>
  <si>
    <t>Zest</t>
  </si>
  <si>
    <t>Ihsan</t>
  </si>
  <si>
    <t>B8</t>
  </si>
  <si>
    <t>Smart City</t>
  </si>
  <si>
    <t>Zhiner</t>
  </si>
  <si>
    <t>Zhinar@24group.net</t>
  </si>
  <si>
    <t>B9</t>
  </si>
  <si>
    <t>Seyd Gaylan</t>
  </si>
  <si>
    <t>Seyd Gaylan H. Zaynal</t>
  </si>
  <si>
    <t>gaylan@seydgaylan.com</t>
  </si>
  <si>
    <t>B14</t>
  </si>
  <si>
    <t>What An Art</t>
  </si>
  <si>
    <t>Anas</t>
  </si>
  <si>
    <t>anas@whatanart.net</t>
  </si>
  <si>
    <t>B22</t>
  </si>
  <si>
    <t>Bonab Zafar</t>
  </si>
  <si>
    <t>Farhad</t>
  </si>
  <si>
    <t>info@mfzb.ir</t>
  </si>
  <si>
    <t>B23</t>
  </si>
  <si>
    <t>Behran Lifts</t>
  </si>
  <si>
    <t>Parwaz</t>
  </si>
  <si>
    <t>B24</t>
  </si>
  <si>
    <t>Green Land</t>
  </si>
  <si>
    <t>Karzan</t>
  </si>
  <si>
    <t>B25</t>
  </si>
  <si>
    <t>Right Key Real Estate</t>
  </si>
  <si>
    <t>Safa</t>
  </si>
  <si>
    <t>husseinbashar@gmail.com</t>
  </si>
  <si>
    <t>B26</t>
  </si>
  <si>
    <t>Fibo</t>
  </si>
  <si>
    <t>Ahmet Mehmetoglu</t>
  </si>
  <si>
    <t>info@fiboproperty.com</t>
  </si>
  <si>
    <t>B41</t>
  </si>
  <si>
    <t>Dashty Real estate</t>
  </si>
  <si>
    <t>Dashty Realestate</t>
  </si>
  <si>
    <t>B27</t>
  </si>
  <si>
    <t>South Kurdistan LTD</t>
  </si>
  <si>
    <t>Bhadin Said</t>
  </si>
  <si>
    <t>bahadin.said@sk.iq</t>
  </si>
  <si>
    <t>B28</t>
  </si>
  <si>
    <t>Halat Group</t>
  </si>
  <si>
    <t>Halat Rauf Aziz</t>
  </si>
  <si>
    <t>halat.aziz@halat-group.com</t>
  </si>
  <si>
    <t>B29</t>
  </si>
  <si>
    <t>Fast Gate</t>
  </si>
  <si>
    <t>Rawand Sh. Ali</t>
  </si>
  <si>
    <t>info@fastgateco.com</t>
  </si>
  <si>
    <t>CANCELED</t>
  </si>
  <si>
    <t>Modern Investment</t>
  </si>
  <si>
    <t>B30</t>
  </si>
  <si>
    <t>Duban ceramic</t>
  </si>
  <si>
    <t>Jalal Ahmad</t>
  </si>
  <si>
    <t>B36</t>
  </si>
  <si>
    <t>Aljibs Aliraqia</t>
  </si>
  <si>
    <t>Amir</t>
  </si>
  <si>
    <t>B37</t>
  </si>
  <si>
    <t>Timiltas Proje</t>
  </si>
  <si>
    <t>Ahmet</t>
  </si>
  <si>
    <t>ahmettallp33@gmail.com</t>
  </si>
  <si>
    <t>B38</t>
  </si>
  <si>
    <t>Royal Lift</t>
  </si>
  <si>
    <t>Muhamed Mustafa</t>
  </si>
  <si>
    <t>highroyallift@gmail.com</t>
  </si>
  <si>
    <t>B39</t>
  </si>
  <si>
    <t>Rawand Factory</t>
  </si>
  <si>
    <t>Yuns</t>
  </si>
  <si>
    <t>B40</t>
  </si>
  <si>
    <t>Anbar Board of Investment</t>
  </si>
  <si>
    <t>Ghasan</t>
  </si>
  <si>
    <t>wissam1224@yahoo.com</t>
  </si>
  <si>
    <t>B42</t>
  </si>
  <si>
    <t>Homele</t>
  </si>
  <si>
    <t>Rasan</t>
  </si>
  <si>
    <t>rasan.b@hemele.com</t>
  </si>
  <si>
    <t>B43</t>
  </si>
  <si>
    <t>Key Art</t>
  </si>
  <si>
    <t>Star Way</t>
  </si>
  <si>
    <t>Rasty Saeed</t>
  </si>
  <si>
    <t>rasty@smileland-iq.com</t>
  </si>
  <si>
    <t>B44</t>
  </si>
  <si>
    <t>Istanbul Zibra</t>
  </si>
  <si>
    <t>Dilshad Rasul</t>
  </si>
  <si>
    <t>B45</t>
  </si>
  <si>
    <t>Alrafid Insulation</t>
  </si>
  <si>
    <t>Salah</t>
  </si>
  <si>
    <t>alrafidinsulation1998@gmail.com</t>
  </si>
  <si>
    <t>B46</t>
  </si>
  <si>
    <t>Barkew</t>
  </si>
  <si>
    <t>Omer</t>
  </si>
  <si>
    <t>barkew.com@gmail.com</t>
  </si>
  <si>
    <t>B47</t>
  </si>
  <si>
    <t>Asaysh Company</t>
  </si>
  <si>
    <t>Nayf</t>
  </si>
  <si>
    <t>B48</t>
  </si>
  <si>
    <t>Trem Global Gay</t>
  </si>
  <si>
    <t>Muhammet</t>
  </si>
  <si>
    <t>info@tremGlobal.com</t>
  </si>
  <si>
    <t>B49</t>
  </si>
  <si>
    <t>Azran Plast</t>
  </si>
  <si>
    <t>B50</t>
  </si>
  <si>
    <t>Grantil Wallpaper</t>
  </si>
  <si>
    <t>B51</t>
  </si>
  <si>
    <t>V.H.M. Trading</t>
  </si>
  <si>
    <t>B52</t>
  </si>
  <si>
    <t>Market Place</t>
  </si>
  <si>
    <t>Amr</t>
  </si>
  <si>
    <t>B53</t>
  </si>
  <si>
    <t>Polar Group</t>
  </si>
  <si>
    <t>Jamal</t>
  </si>
  <si>
    <t>civil.salmanrzgar@gmail.com</t>
  </si>
  <si>
    <t>B54</t>
  </si>
  <si>
    <t>Smart Lock</t>
  </si>
  <si>
    <t>Hawraz</t>
  </si>
  <si>
    <t>B56</t>
  </si>
  <si>
    <t>Bayka Properties</t>
  </si>
  <si>
    <t>B57</t>
  </si>
  <si>
    <t>Clarise Co.</t>
  </si>
  <si>
    <t>Ismael</t>
  </si>
  <si>
    <t>B58</t>
  </si>
  <si>
    <t>Ibrahem</t>
  </si>
  <si>
    <t>info@varamachinery.com</t>
  </si>
  <si>
    <t>F1</t>
  </si>
  <si>
    <t xml:space="preserve">
Invest Expo 2023</t>
  </si>
  <si>
    <t>Location</t>
  </si>
  <si>
    <t xml:space="preserve">Person name </t>
  </si>
  <si>
    <t>Phone number</t>
  </si>
  <si>
    <t>Participating type</t>
  </si>
  <si>
    <t>Square meters</t>
  </si>
  <si>
    <t>Erbil</t>
  </si>
  <si>
    <t>101 Comples</t>
  </si>
  <si>
    <t xml:space="preserve">Erbil </t>
  </si>
  <si>
    <t>Ahmed</t>
  </si>
  <si>
    <t>Barzan</t>
  </si>
  <si>
    <t>Doski Holding</t>
  </si>
  <si>
    <t>diyar</t>
  </si>
  <si>
    <t>Pavilion Erbil (Artin Crown Co.)</t>
  </si>
  <si>
    <t>Dana</t>
  </si>
  <si>
    <t>Imperial Village</t>
  </si>
  <si>
    <t>Sulaymaniyah</t>
  </si>
  <si>
    <t>zozk</t>
  </si>
  <si>
    <t>0770363 3332</t>
  </si>
  <si>
    <t xml:space="preserve">Voyage Mall </t>
  </si>
  <si>
    <t>Eng.Manaf - arabic</t>
  </si>
  <si>
    <t>0751 2307684</t>
  </si>
  <si>
    <t>Aksesuar</t>
  </si>
  <si>
    <t>Dr. Hussien</t>
  </si>
  <si>
    <t>Banu</t>
  </si>
  <si>
    <t>London Tower Galiawa Group)</t>
  </si>
  <si>
    <t>Ahmad</t>
  </si>
  <si>
    <t>Kabaz Group</t>
  </si>
  <si>
    <t xml:space="preserve">Bezhan + Sozan </t>
  </si>
  <si>
    <t>7514908551 -  7504449192</t>
  </si>
  <si>
    <t>Hewa Holding</t>
  </si>
  <si>
    <t>Mohamad Saman</t>
  </si>
  <si>
    <t>Var Park</t>
  </si>
  <si>
    <t>Aland</t>
  </si>
  <si>
    <t>Mihtab Tower ( Rock Mass )</t>
  </si>
  <si>
    <t>Hussien</t>
  </si>
  <si>
    <t xml:space="preserve">Chukar Co. Spanish Village </t>
  </si>
  <si>
    <t xml:space="preserve">Darina </t>
  </si>
  <si>
    <t xml:space="preserve">Gold </t>
  </si>
  <si>
    <t>Unique Tower</t>
  </si>
  <si>
    <t>Zerdasht</t>
  </si>
  <si>
    <t>7504477563 - 7508581456</t>
  </si>
  <si>
    <t>Najat</t>
  </si>
  <si>
    <t xml:space="preserve">Zakho Hills </t>
  </si>
  <si>
    <t>Zakho</t>
  </si>
  <si>
    <t>Rubi + Queen Towers+north</t>
  </si>
  <si>
    <t>Osama - Necheer</t>
  </si>
  <si>
    <t>7507957454 - 7504441955</t>
  </si>
  <si>
    <t>Bayti Real Estate</t>
  </si>
  <si>
    <t>Baghdad</t>
  </si>
  <si>
    <t>Zina</t>
  </si>
  <si>
    <t xml:space="preserve">The New Boulevard </t>
  </si>
  <si>
    <t>Cheya - Hawrs</t>
  </si>
  <si>
    <t>7514014827-7507755096</t>
  </si>
  <si>
    <t xml:space="preserve">     </t>
  </si>
  <si>
    <t>Rekan Group</t>
  </si>
  <si>
    <t>ibrahim-Mohammad</t>
  </si>
  <si>
    <t>7506422526 -7504490439</t>
  </si>
  <si>
    <t>MPC</t>
  </si>
  <si>
    <t xml:space="preserve">Atyaf </t>
  </si>
  <si>
    <t>Mohammad Muaatasm</t>
  </si>
  <si>
    <t>7501831444 - 7504524338</t>
  </si>
  <si>
    <t>administrator@hajihussin.com</t>
  </si>
  <si>
    <t>Israr Co. (Hawraa Baghdad)</t>
  </si>
  <si>
    <t>Zhinar</t>
  </si>
  <si>
    <t>normal</t>
  </si>
  <si>
    <t>Board Of Investment Anbar</t>
  </si>
  <si>
    <t>Wissam</t>
  </si>
  <si>
    <t>Malumulk Co.</t>
  </si>
  <si>
    <t xml:space="preserve"> Chalang real estate </t>
  </si>
  <si>
    <t>chalang</t>
  </si>
  <si>
    <t xml:space="preserve">GK Arch </t>
  </si>
  <si>
    <t xml:space="preserve">Goran </t>
  </si>
  <si>
    <t xml:space="preserve">ZEST Real Estate </t>
  </si>
  <si>
    <t xml:space="preserve">Maryam </t>
  </si>
  <si>
    <t xml:space="preserve">KEYMAX Real Estate </t>
  </si>
  <si>
    <t xml:space="preserve">Dubai </t>
  </si>
  <si>
    <t xml:space="preserve">Ali </t>
  </si>
  <si>
    <t>00971 505720423</t>
  </si>
  <si>
    <t>Unigaz</t>
  </si>
  <si>
    <t>Barham</t>
  </si>
  <si>
    <t>bluemina</t>
  </si>
  <si>
    <t>jordan</t>
  </si>
  <si>
    <t>tanya</t>
  </si>
  <si>
    <t>whats app</t>
  </si>
  <si>
    <t>paya app</t>
  </si>
  <si>
    <t>erbil</t>
  </si>
  <si>
    <t>gulan</t>
  </si>
  <si>
    <t xml:space="preserve">Homele </t>
  </si>
  <si>
    <t xml:space="preserve">Rasan </t>
  </si>
  <si>
    <t>Mohammad Al Jalili</t>
  </si>
  <si>
    <t xml:space="preserve">Mosul </t>
  </si>
  <si>
    <t xml:space="preserve">Mohammad </t>
  </si>
  <si>
    <t>Erbil Decor</t>
  </si>
  <si>
    <t xml:space="preserve">Loqman </t>
  </si>
  <si>
    <t>South Kurdistan 2 (hisense)</t>
  </si>
  <si>
    <t>Swara Latif</t>
  </si>
  <si>
    <t>home marka</t>
  </si>
  <si>
    <t xml:space="preserve">haval karim </t>
  </si>
  <si>
    <t>0750 4458189</t>
  </si>
  <si>
    <t xml:space="preserve">Zain Co. </t>
  </si>
  <si>
    <t xml:space="preserve">Abu Amir </t>
  </si>
  <si>
    <t>Meraki ventures</t>
  </si>
  <si>
    <t>solin</t>
  </si>
  <si>
    <t>0964 750 300 1850</t>
  </si>
  <si>
    <t xml:space="preserve">Moon Line </t>
  </si>
  <si>
    <t xml:space="preserve">Zaniar </t>
  </si>
  <si>
    <t>Normal</t>
  </si>
  <si>
    <t xml:space="preserve">AIC </t>
  </si>
  <si>
    <t xml:space="preserve">Tazhan </t>
  </si>
  <si>
    <t xml:space="preserve">Normal </t>
  </si>
  <si>
    <t xml:space="preserve">Gran Bia </t>
  </si>
  <si>
    <t>Ms. Waad</t>
  </si>
  <si>
    <t>What's App</t>
  </si>
  <si>
    <t>Chiwa Tower</t>
  </si>
  <si>
    <t xml:space="preserve">Serwa </t>
  </si>
  <si>
    <t xml:space="preserve">Daro Co. 
</t>
  </si>
  <si>
    <t>max high power</t>
  </si>
  <si>
    <t>Sul</t>
  </si>
  <si>
    <t>alan</t>
  </si>
  <si>
    <t>964 770 152 3416</t>
  </si>
  <si>
    <t>the address home</t>
  </si>
  <si>
    <t>Dohuk</t>
  </si>
  <si>
    <t>dlbar</t>
  </si>
  <si>
    <t>0750 4455144</t>
  </si>
  <si>
    <t>smart lock</t>
  </si>
  <si>
    <t>hawraz</t>
  </si>
  <si>
    <t>0750181 7171</t>
  </si>
  <si>
    <t>New Masters (azizi,aqary bey)</t>
  </si>
  <si>
    <t>Dubai</t>
  </si>
  <si>
    <t xml:space="preserve">Weeam </t>
  </si>
  <si>
    <t>Al ain organization</t>
  </si>
  <si>
    <t>baghdad</t>
  </si>
  <si>
    <t>Hala</t>
  </si>
  <si>
    <t>0964 750 837 7648</t>
  </si>
  <si>
    <t>Hosn Al Jazeera Real Estate</t>
  </si>
  <si>
    <t>0971 55 251 2824</t>
  </si>
  <si>
    <t>Dashti Real Estate</t>
  </si>
  <si>
    <t>Castle View</t>
  </si>
  <si>
    <t>Aqarco Company</t>
  </si>
  <si>
    <t xml:space="preserve">Ahmed </t>
  </si>
  <si>
    <t>0971 50 802 6969</t>
  </si>
  <si>
    <t>Samana</t>
  </si>
  <si>
    <t xml:space="preserve">weam </t>
  </si>
  <si>
    <t>0971 56 303 0086</t>
  </si>
  <si>
    <t>smart assist</t>
  </si>
  <si>
    <t xml:space="preserve">Hany Adel </t>
  </si>
  <si>
    <t>0971 50 274 9575</t>
  </si>
  <si>
    <t>rmc realty</t>
  </si>
  <si>
    <t>rudaw</t>
  </si>
  <si>
    <t>mega design</t>
  </si>
  <si>
    <t>loyal show</t>
  </si>
  <si>
    <t>loop agency</t>
  </si>
  <si>
    <t>chopini(تطوير للحلول البرمجية )</t>
  </si>
  <si>
    <t>basrah</t>
  </si>
  <si>
    <t xml:space="preserve">Hayan Ali </t>
  </si>
  <si>
    <t>0964 773 850 8868</t>
  </si>
  <si>
    <t xml:space="preserve">normal </t>
  </si>
  <si>
    <t>Turk Citizen</t>
  </si>
  <si>
    <t>MST REAL ESTATE</t>
  </si>
  <si>
    <t>YÜKSEL İNŞAAT</t>
  </si>
  <si>
    <t>UĞUR GROUP MERSİN</t>
  </si>
  <si>
    <t>KAYIKÇIOĞLU GROUP MERSİN</t>
  </si>
  <si>
    <t>SİNAN İNŞAAT MERSİN</t>
  </si>
  <si>
    <t>GOLWAN COMPANY</t>
  </si>
  <si>
    <t>BOARD OF INVESTMENT ERBIL</t>
  </si>
  <si>
    <t>FUTURE COLOR</t>
  </si>
  <si>
    <t>TAJ EMARA REAL ESTATE</t>
  </si>
  <si>
    <t>WEAM ELNAGER REAL ESTATE</t>
  </si>
  <si>
    <t>MUDEN REAL ESTATE</t>
  </si>
  <si>
    <t>the atlantic</t>
  </si>
  <si>
    <t>DIPLOMAT DUBAI</t>
  </si>
  <si>
    <t>0971 50 347 0303</t>
  </si>
  <si>
    <t>Co.N.</t>
  </si>
  <si>
    <t>Person in charge</t>
  </si>
  <si>
    <t>phone number</t>
  </si>
  <si>
    <t>North light</t>
  </si>
  <si>
    <t>Payam</t>
  </si>
  <si>
    <t>Nice Village</t>
  </si>
  <si>
    <t>Rodi</t>
  </si>
  <si>
    <t>Pavilion</t>
  </si>
  <si>
    <t>Adnan</t>
  </si>
  <si>
    <t>Estithmar properties</t>
  </si>
  <si>
    <t>Tariq</t>
  </si>
  <si>
    <t>Cihan Group</t>
  </si>
  <si>
    <t>Kak Aran</t>
  </si>
  <si>
    <t>0750 447 79 49</t>
  </si>
  <si>
    <t>Galiawa Group London Towers</t>
  </si>
  <si>
    <t>Botan</t>
  </si>
  <si>
    <t>Darin Group</t>
  </si>
  <si>
    <t>Lanya</t>
  </si>
  <si>
    <t>Aalaska Towers</t>
  </si>
  <si>
    <t>Pshtewan</t>
  </si>
  <si>
    <t>SK Group Floria City</t>
  </si>
  <si>
    <t>Talar</t>
  </si>
  <si>
    <t>Haji Salam Real Estate</t>
  </si>
  <si>
    <t>Qaiwan</t>
  </si>
  <si>
    <t>Dler</t>
  </si>
  <si>
    <t>Aram Towers</t>
  </si>
  <si>
    <t>Shamal</t>
  </si>
  <si>
    <t>Eskan</t>
  </si>
  <si>
    <t>Ghassan</t>
  </si>
  <si>
    <t>Queen, Ruby, North Holland</t>
  </si>
  <si>
    <t>Concept Interiors</t>
  </si>
  <si>
    <t>Amina</t>
  </si>
  <si>
    <t>Oval Co.</t>
  </si>
  <si>
    <t>Hawdin</t>
  </si>
  <si>
    <t>Vana Towers</t>
  </si>
  <si>
    <t>Zarya</t>
  </si>
  <si>
    <t>Redan Co.</t>
  </si>
  <si>
    <t>Onel</t>
  </si>
  <si>
    <t>Medeniyetler</t>
  </si>
  <si>
    <t>Slivana</t>
  </si>
  <si>
    <t>Saadi</t>
  </si>
  <si>
    <t>Mais</t>
  </si>
  <si>
    <t>Board of Investment</t>
  </si>
  <si>
    <t>Chamber of Commerce and Industry</t>
  </si>
  <si>
    <t>Taj Real Estate Qatar</t>
  </si>
  <si>
    <t>PSI Dubai</t>
  </si>
  <si>
    <t>Bassma</t>
  </si>
  <si>
    <t>Elegancia</t>
  </si>
  <si>
    <t>Khaleed</t>
  </si>
  <si>
    <t>Onax Group</t>
  </si>
  <si>
    <t>Jutyar</t>
  </si>
  <si>
    <t>Hatra Home</t>
  </si>
  <si>
    <t>Abdulqader</t>
  </si>
  <si>
    <t>Sky Park by Zest</t>
  </si>
  <si>
    <t>Arkon</t>
  </si>
  <si>
    <t>Furat</t>
  </si>
  <si>
    <t>Jihan Food</t>
  </si>
  <si>
    <t>Drip Café</t>
  </si>
  <si>
    <t>DKH Khoshnaw Group</t>
  </si>
  <si>
    <t>Jihad</t>
  </si>
  <si>
    <t>0750 833 1415</t>
  </si>
  <si>
    <t>Danube</t>
  </si>
  <si>
    <t>Meriem</t>
  </si>
  <si>
    <t>K24</t>
  </si>
  <si>
    <t>Bahra</t>
  </si>
  <si>
    <t>Grand Celik Kapi</t>
  </si>
  <si>
    <t>Bilal</t>
  </si>
  <si>
    <t>Divine Real Estate</t>
  </si>
  <si>
    <t>Waran</t>
  </si>
  <si>
    <t>Paya Real Estate</t>
  </si>
  <si>
    <t>Rowaid</t>
  </si>
  <si>
    <t>Fixer Co.</t>
  </si>
  <si>
    <t>Baghy Shaqlawa</t>
  </si>
  <si>
    <t>Rasti</t>
  </si>
  <si>
    <t>Meeting Area by Vana</t>
  </si>
  <si>
    <t>Zhenar</t>
  </si>
  <si>
    <t>کۆمەلەی نئوەنگیری و راویزکاری</t>
  </si>
  <si>
    <t>BauHaus</t>
  </si>
  <si>
    <t>Spear Express</t>
  </si>
  <si>
    <t>Zirak</t>
  </si>
  <si>
    <t>0750 445 36 95</t>
  </si>
  <si>
    <t>Habib Resturant</t>
  </si>
  <si>
    <t>The Location</t>
  </si>
  <si>
    <t>Retro</t>
  </si>
  <si>
    <t>Spot Light Co.</t>
  </si>
  <si>
    <t>Nest Seekers (Binghatti Developers)</t>
  </si>
  <si>
    <t>Rawand</t>
  </si>
  <si>
    <t>Elwood Real Estate</t>
  </si>
  <si>
    <t>Abdulla</t>
  </si>
  <si>
    <t>Baghdad Board of Investment</t>
  </si>
  <si>
    <t>Thiaa</t>
  </si>
  <si>
    <t>Basarchaw Co.</t>
  </si>
  <si>
    <t>Studio Al Meimar</t>
  </si>
  <si>
    <t>Bryar</t>
  </si>
  <si>
    <t>Istanbul Property</t>
  </si>
  <si>
    <t>Muhammad</t>
  </si>
  <si>
    <t>Haji Muammad</t>
  </si>
  <si>
    <t>Haji Muhammad</t>
  </si>
  <si>
    <t>Top View</t>
  </si>
  <si>
    <t>Zhelwan</t>
  </si>
  <si>
    <t>Divan Hotel</t>
  </si>
  <si>
    <t>Bashar</t>
  </si>
  <si>
    <t>Antika</t>
  </si>
  <si>
    <t>Mars Labs</t>
  </si>
  <si>
    <t xml:space="preserve">
Ninawa Expo 2023</t>
  </si>
  <si>
    <t>Al Tatweer</t>
  </si>
  <si>
    <t xml:space="preserve">Basrah </t>
  </si>
  <si>
    <t>0964 773 850 8868</t>
  </si>
  <si>
    <t>Building Experts</t>
  </si>
  <si>
    <t xml:space="preserve">Mohammed </t>
  </si>
  <si>
    <t>0964 750 818 8196</t>
  </si>
  <si>
    <t xml:space="preserve">diwan compound </t>
  </si>
  <si>
    <t xml:space="preserve">Abdullah </t>
  </si>
  <si>
    <t>0964 770 306 9212</t>
  </si>
  <si>
    <t>Emad Alharki</t>
  </si>
  <si>
    <t>dohuk</t>
  </si>
  <si>
    <t xml:space="preserve">Ramzy </t>
  </si>
  <si>
    <t>0750 809 0291</t>
  </si>
  <si>
    <t>Bayat Alkrmeed</t>
  </si>
  <si>
    <t xml:space="preserve">Baghdad </t>
  </si>
  <si>
    <t xml:space="preserve">fatima </t>
  </si>
  <si>
    <t>0 772 173 6423</t>
  </si>
  <si>
    <t xml:space="preserve">MPC  Company </t>
  </si>
  <si>
    <t>0964 751 777 7772</t>
  </si>
  <si>
    <t>FujiAire</t>
  </si>
  <si>
    <t xml:space="preserve">mays </t>
  </si>
  <si>
    <t>0964 750 199 4099</t>
  </si>
  <si>
    <t xml:space="preserve">Suraat Alghazal </t>
  </si>
  <si>
    <t xml:space="preserve">Nagham </t>
  </si>
  <si>
    <t>0964 771 300 5506</t>
  </si>
  <si>
    <t xml:space="preserve">Metal World </t>
  </si>
  <si>
    <t>0964 770 160 9629</t>
  </si>
  <si>
    <t xml:space="preserve">kone company </t>
  </si>
  <si>
    <t>0964 751 802 1220</t>
  </si>
  <si>
    <t>Floria City</t>
  </si>
  <si>
    <t>0750 4456819</t>
  </si>
  <si>
    <t>Galiawa Group</t>
  </si>
  <si>
    <t>0750 4841994</t>
  </si>
  <si>
    <t>Spanish village</t>
  </si>
  <si>
    <t>nashwan</t>
  </si>
  <si>
    <t>964 751 401 8855</t>
  </si>
  <si>
    <t>101 Complex</t>
  </si>
  <si>
    <t>ahmad</t>
  </si>
  <si>
    <t>0750 7095446</t>
  </si>
  <si>
    <t>Green City</t>
  </si>
  <si>
    <t>Niaz</t>
  </si>
  <si>
    <t>0750 401 0248</t>
  </si>
  <si>
    <t>Remas City</t>
  </si>
  <si>
    <t>dyar</t>
  </si>
  <si>
    <t>0750 104 1777</t>
  </si>
  <si>
    <t>Darin Steel</t>
  </si>
  <si>
    <t>Haris</t>
  </si>
  <si>
    <t>0750 006 6050</t>
  </si>
  <si>
    <t>haji salam</t>
  </si>
  <si>
    <t>Karash co.</t>
  </si>
  <si>
    <t>sumaya</t>
  </si>
  <si>
    <t>0750 212 4054</t>
  </si>
  <si>
    <t>silka Co.</t>
  </si>
  <si>
    <t>Danyar</t>
  </si>
  <si>
    <t>0750 117 6078</t>
  </si>
  <si>
    <t>Home Marka</t>
  </si>
  <si>
    <t>0750 756 4640</t>
  </si>
  <si>
    <t>Deva Arch</t>
  </si>
  <si>
    <t>0750 716 4510</t>
  </si>
  <si>
    <t>No.</t>
  </si>
  <si>
    <t>Companies Name</t>
  </si>
  <si>
    <t>Sponsor ship</t>
  </si>
  <si>
    <t>Contact Info</t>
  </si>
  <si>
    <t>personal info</t>
  </si>
  <si>
    <t>Empire World</t>
  </si>
  <si>
    <t>Stratigic</t>
  </si>
  <si>
    <t>Mr.Hezha</t>
  </si>
  <si>
    <t>750 911 1199</t>
  </si>
  <si>
    <t>Free</t>
  </si>
  <si>
    <t xml:space="preserve">infront of </t>
  </si>
  <si>
    <t>Mr.Botan</t>
  </si>
  <si>
    <t>750 453 1911</t>
  </si>
  <si>
    <t>$10,000</t>
  </si>
  <si>
    <t>Payment Done</t>
  </si>
  <si>
    <t xml:space="preserve">2 electric switch plug </t>
  </si>
  <si>
    <t>Haji salam Real estate</t>
  </si>
  <si>
    <t>Mr.Mohammed</t>
  </si>
  <si>
    <t>770 091 1152</t>
  </si>
  <si>
    <t xml:space="preserve">3 electric switch plug </t>
  </si>
  <si>
    <t>Sk Group</t>
  </si>
  <si>
    <t>Mr.Najat</t>
  </si>
  <si>
    <t>$12,000</t>
  </si>
  <si>
    <t>Candle Residence</t>
  </si>
  <si>
    <t>Mr.Rebin</t>
  </si>
  <si>
    <t>750 731 9989</t>
  </si>
  <si>
    <t>Mr.Mostafa</t>
  </si>
  <si>
    <t>772 555 6867</t>
  </si>
  <si>
    <t>$6,000</t>
  </si>
  <si>
    <t>Karmand Company</t>
  </si>
  <si>
    <t>Mr.Osama</t>
  </si>
  <si>
    <t>750 445 5494</t>
  </si>
  <si>
    <t>$6,500</t>
  </si>
  <si>
    <t>Platinume</t>
  </si>
  <si>
    <t>Mr.Diyar</t>
  </si>
  <si>
    <t>$5,000</t>
  </si>
  <si>
    <t>3000$paid on 13/05/2025-2000 remained</t>
  </si>
  <si>
    <t xml:space="preserve">they Don't have havy Stuff </t>
  </si>
  <si>
    <t>Alaska Towers</t>
  </si>
  <si>
    <t>Mr.Omed</t>
  </si>
  <si>
    <t>750 474 4736</t>
  </si>
  <si>
    <t>$16,000</t>
  </si>
  <si>
    <t>Mr.Dilshad</t>
  </si>
  <si>
    <t>750 407 3303</t>
  </si>
  <si>
    <t>Estithmar Holding -Qatar</t>
  </si>
  <si>
    <t>Mr.Tariq</t>
  </si>
  <si>
    <t>790 156 0103</t>
  </si>
  <si>
    <t>Bhive Real Estate</t>
  </si>
  <si>
    <t>Mr.Abdulla</t>
  </si>
  <si>
    <t>971 58 1 58 55 55</t>
  </si>
  <si>
    <t>$5,500</t>
  </si>
  <si>
    <t>1000$ paid ( 4,500$ remaind to pay )</t>
  </si>
  <si>
    <t>Al-Ghadeer Real Estate</t>
  </si>
  <si>
    <t>Normal Booth</t>
  </si>
  <si>
    <t>Eng. MiQdam</t>
  </si>
  <si>
    <t>Al-Mimar Group</t>
  </si>
  <si>
    <t>Mr.Said Qutub</t>
  </si>
  <si>
    <t>$3,500</t>
  </si>
  <si>
    <t>Aya Khan</t>
  </si>
  <si>
    <t>750 310 1055</t>
  </si>
  <si>
    <t>$4,500</t>
  </si>
  <si>
    <t>Al-Layan Company</t>
  </si>
  <si>
    <t>Eng.Humam</t>
  </si>
  <si>
    <t>771 769 7572</t>
  </si>
  <si>
    <t>$1,900</t>
  </si>
  <si>
    <t>100$ remained</t>
  </si>
  <si>
    <t>Arazu Real Estate</t>
  </si>
  <si>
    <t>Mr.Ahmed</t>
  </si>
  <si>
    <t>781 840 7270</t>
  </si>
  <si>
    <t>$3,700</t>
  </si>
  <si>
    <t>Zahra Khan</t>
  </si>
  <si>
    <t>774 808 7380</t>
  </si>
  <si>
    <t>Al-Mahaweer</t>
  </si>
  <si>
    <t>772 233 9259</t>
  </si>
  <si>
    <t>KeyMaX Real Estate</t>
  </si>
  <si>
    <t>Mr.Ali</t>
  </si>
  <si>
    <t>971 505720423</t>
  </si>
  <si>
    <t>$4,000</t>
  </si>
  <si>
    <t>Nawafidh Alealam</t>
  </si>
  <si>
    <t>Mr.Sarmad</t>
  </si>
  <si>
    <t xml:space="preserve">My Data </t>
  </si>
  <si>
    <t xml:space="preserve">Projects in Baghdad </t>
  </si>
  <si>
    <t>Waterfront residential complex project</t>
  </si>
  <si>
    <t xml:space="preserve">99 Properties -- isra </t>
  </si>
  <si>
    <t xml:space="preserve">0771 809 9099 -- </t>
  </si>
  <si>
    <t xml:space="preserve">Alkadhimiya Vilage residental complex project </t>
  </si>
  <si>
    <t xml:space="preserve">zahra </t>
  </si>
  <si>
    <t>7757808020 -- 07857808020</t>
  </si>
  <si>
    <t xml:space="preserve">Budoor residential complex project </t>
  </si>
  <si>
    <t>Refah residential complex project</t>
  </si>
  <si>
    <t>Budoor Baghdad</t>
  </si>
  <si>
    <t xml:space="preserve">alghadeer real estate </t>
  </si>
  <si>
    <t>Teebat Al-Najaf</t>
  </si>
  <si>
    <t>مجمع اللؤلؤة السكني</t>
  </si>
  <si>
    <t xml:space="preserve">maram </t>
  </si>
  <si>
    <t>0774 445 0044</t>
  </si>
  <si>
    <t xml:space="preserve">Abraaj Baghdad </t>
  </si>
  <si>
    <t xml:space="preserve">shahd </t>
  </si>
  <si>
    <t>info@abraajbaghdad.com</t>
  </si>
  <si>
    <t>https://www.abraajbaghdad.com/</t>
  </si>
  <si>
    <t xml:space="preserve">Yarmouk Compound </t>
  </si>
  <si>
    <t xml:space="preserve">hawra  -- dabi ba email loian bnerm </t>
  </si>
  <si>
    <t>0780 099 6622</t>
  </si>
  <si>
    <t>info@ycompound.com</t>
  </si>
  <si>
    <t>https://ycompound.com/en</t>
  </si>
  <si>
    <t xml:space="preserve">Al Hadeer Tower </t>
  </si>
  <si>
    <t xml:space="preserve">Buruj Residence </t>
  </si>
  <si>
    <t>0770 030 0004</t>
  </si>
  <si>
    <t>info@buruj.com.tr</t>
  </si>
  <si>
    <t xml:space="preserve">Baghdad Residence </t>
  </si>
  <si>
    <t xml:space="preserve">no answer - </t>
  </si>
  <si>
    <t>0770 777 7730</t>
  </si>
  <si>
    <t xml:space="preserve">Iraq Gate Project </t>
  </si>
  <si>
    <t>0781 222 1111</t>
  </si>
  <si>
    <t>AL-Waleed Apartments</t>
  </si>
  <si>
    <t>0780 916 4954</t>
  </si>
  <si>
    <t>Info@ALWaleedApartments.com</t>
  </si>
  <si>
    <t>Jawahir Dijlah Residential Complex</t>
  </si>
  <si>
    <t>---</t>
  </si>
  <si>
    <t>0772 236 8080</t>
  </si>
  <si>
    <t>info@edn-iraq.com</t>
  </si>
  <si>
    <t xml:space="preserve">99 Ninty Nine Properties </t>
  </si>
  <si>
    <t xml:space="preserve">isra </t>
  </si>
  <si>
    <t>0771 809 9099</t>
  </si>
  <si>
    <t>info@ninetynineproperties.com</t>
  </si>
  <si>
    <t xml:space="preserve">AL-Ayad Complex </t>
  </si>
  <si>
    <t xml:space="preserve">AL-SHa'ab Copmlex </t>
  </si>
  <si>
    <t>----</t>
  </si>
  <si>
    <t>0773 358 0007</t>
  </si>
  <si>
    <t>alshaabsales@reefbaghdad.com</t>
  </si>
  <si>
    <t xml:space="preserve">UTaifiyah Flat Complex </t>
  </si>
  <si>
    <t xml:space="preserve">tiba </t>
  </si>
  <si>
    <t xml:space="preserve"> 0783 559 9616</t>
  </si>
  <si>
    <t>info@abrajatefya.com</t>
  </si>
  <si>
    <t xml:space="preserve">AL - Mahaba Housing Complex </t>
  </si>
  <si>
    <t xml:space="preserve"> 0773 340 7359</t>
  </si>
  <si>
    <t xml:space="preserve">Yamamah Apartments Complex </t>
  </si>
  <si>
    <t>0772 997 7775  -- 07729977776</t>
  </si>
  <si>
    <t>Palm Tower</t>
  </si>
  <si>
    <t>964 780 192 2220</t>
  </si>
  <si>
    <t>https://palmtowersiq.com/#contact-us</t>
  </si>
  <si>
    <t xml:space="preserve">مجمع الود السکني </t>
  </si>
  <si>
    <t>0770 881 2006</t>
  </si>
  <si>
    <t xml:space="preserve">Nasim City </t>
  </si>
  <si>
    <t xml:space="preserve">زهراء - مبیعات </t>
  </si>
  <si>
    <t>0772 269 6696</t>
  </si>
  <si>
    <t>info@nasimcity.com</t>
  </si>
  <si>
    <t xml:space="preserve">OCEAN Jewel Residence </t>
  </si>
  <si>
    <t xml:space="preserve"> 0780 199 9930</t>
  </si>
  <si>
    <t>info@wm.iq</t>
  </si>
  <si>
    <t xml:space="preserve">Al - zahra Residential Complex </t>
  </si>
  <si>
    <t>0772 577 7428</t>
  </si>
  <si>
    <t xml:space="preserve">Royal City </t>
  </si>
  <si>
    <t xml:space="preserve">ALKhiloud Apartment COmplex </t>
  </si>
  <si>
    <t xml:space="preserve">eman - call center - zest </t>
  </si>
  <si>
    <t>https://www.facebook.com/KholoodResidence/</t>
  </si>
  <si>
    <t xml:space="preserve">مجمع مدینة التحریر السکني </t>
  </si>
  <si>
    <t xml:space="preserve">ابراج الفاخر السکنیة </t>
  </si>
  <si>
    <t xml:space="preserve">ayat </t>
  </si>
  <si>
    <t xml:space="preserve">sales and marketing //future gate </t>
  </si>
  <si>
    <t>7744443620 -- 📞07844443620</t>
  </si>
  <si>
    <t xml:space="preserve">AL-Mansour CITY </t>
  </si>
  <si>
    <t>7744447972 -- 📞 07844447972</t>
  </si>
  <si>
    <t xml:space="preserve">128 Residence </t>
  </si>
  <si>
    <t xml:space="preserve">muhammed  -- 99 properties </t>
  </si>
  <si>
    <t xml:space="preserve">AL-Kholood Residence </t>
  </si>
  <si>
    <t xml:space="preserve"> 0770 621 2006</t>
  </si>
  <si>
    <t xml:space="preserve">Baghdad Marina Residence </t>
  </si>
  <si>
    <t xml:space="preserve">nada - sales agent </t>
  </si>
  <si>
    <t>0784 111 1771</t>
  </si>
  <si>
    <t>baghdad-marina@kaso-group.com</t>
  </si>
  <si>
    <t xml:space="preserve">مجمع السلام السكني - AL_salam Residential Complex </t>
  </si>
  <si>
    <t xml:space="preserve">sara </t>
  </si>
  <si>
    <t>0770 608 0808</t>
  </si>
  <si>
    <t xml:space="preserve">Green City-مجمع المدينة الخضراء السكني الاستثماري </t>
  </si>
  <si>
    <t>0784 445 8777</t>
  </si>
  <si>
    <t xml:space="preserve">أبراج الهادي -  AL - Hadi Towers </t>
  </si>
  <si>
    <t xml:space="preserve">mariam </t>
  </si>
  <si>
    <t>0782 800 0444</t>
  </si>
  <si>
    <t>alhadi.towers2023@gmail.com</t>
  </si>
  <si>
    <t xml:space="preserve">جادة بغداد - Jaddat Baghdad </t>
  </si>
  <si>
    <t xml:space="preserve">kak dilon </t>
  </si>
  <si>
    <t>0771 544 6446</t>
  </si>
  <si>
    <t>Budoor Residential Complex in Baghdad</t>
  </si>
  <si>
    <t>مجمع اليرموك ستي السكني Al-Yarmouk City Complex</t>
  </si>
  <si>
    <t xml:space="preserve">saura </t>
  </si>
  <si>
    <t>07728055555 - 07828055555</t>
  </si>
  <si>
    <t>Info@alyarmouk-city.iq</t>
  </si>
  <si>
    <t>مجمع كاسو السكني</t>
  </si>
  <si>
    <t>0774 444 5005 -- 07844445005</t>
  </si>
  <si>
    <t xml:space="preserve">مجمع الروان السکني  - ناویان لا خریطە لاببە </t>
  </si>
  <si>
    <t>0770 500 0275</t>
  </si>
  <si>
    <t>مجمع نيروز - کربلاء</t>
  </si>
  <si>
    <t>مجمع دايموند تاورز السكني</t>
  </si>
  <si>
    <t xml:space="preserve">kaso Group - anwar - marketing manager </t>
  </si>
  <si>
    <t>0777 100 0777</t>
  </si>
  <si>
    <t>Diamondtowers@kaso-group.com</t>
  </si>
  <si>
    <t xml:space="preserve">مجمع الياسمين السكني - yasmine compound </t>
  </si>
  <si>
    <t xml:space="preserve">  pure_land_complexمجمع الارض الزكية</t>
  </si>
  <si>
    <t>:07755558020_07855558020</t>
  </si>
  <si>
    <t xml:space="preserve">مجمع أمبيرور هيلز Emperor Hills </t>
  </si>
  <si>
    <t xml:space="preserve">07844480444 - </t>
  </si>
  <si>
    <t>0774 448 0444</t>
  </si>
  <si>
    <t xml:space="preserve">مجمع زيونة السكني </t>
  </si>
  <si>
    <t xml:space="preserve">حوراء - إدارة </t>
  </si>
  <si>
    <t>0774 270 1998</t>
  </si>
  <si>
    <t>https://www.facebook.com/zayona.compound/</t>
  </si>
  <si>
    <t>مدينة المستقبل - Future City - Bghdad</t>
  </si>
  <si>
    <t xml:space="preserve">malak - modon </t>
  </si>
  <si>
    <t>7700300004 -- 7700300005</t>
  </si>
  <si>
    <t>المجمع السويسري</t>
  </si>
  <si>
    <t xml:space="preserve">mais --- sales </t>
  </si>
  <si>
    <t xml:space="preserve">9647744442700 // 07735080099 إدارە </t>
  </si>
  <si>
    <t>info@anfasllc.com</t>
  </si>
  <si>
    <t>https://anfasllc.com/swiss-complex</t>
  </si>
  <si>
    <t>مجمع الإخوة السكني</t>
  </si>
  <si>
    <t xml:space="preserve">مجمع جواهر دجلة </t>
  </si>
  <si>
    <t>( 07722368080 - 07822368080 )</t>
  </si>
  <si>
    <t>The Pointe Baghdad  -- مجمع ذابوينت السكني</t>
  </si>
  <si>
    <t>مغلق</t>
  </si>
  <si>
    <t>مجمع الوافي السكني</t>
  </si>
  <si>
    <t xml:space="preserve">rwsl - sales </t>
  </si>
  <si>
    <t>7704000265 -- 07804000265</t>
  </si>
  <si>
    <t>مجمع الرتاج</t>
  </si>
  <si>
    <t>ayat -sales</t>
  </si>
  <si>
    <t xml:space="preserve">مجمع العبسلي </t>
  </si>
  <si>
    <t xml:space="preserve">0770924 7777 - 0780924 7777  -- 0770942 7777 - 0780942 7777
</t>
  </si>
  <si>
    <t>مجمع النسيم</t>
  </si>
  <si>
    <t>https://www.nasimcity.com/?fbclid=IwY2xjawJHZUVleHRuA2FlbQIxMAABHYfp7R80kNl9OjX6GKJuTw4EqQ_WyGrOkZ8RmM5VczNufMv7mpj2KZGMSA_aem_MR9gJjePHxWBnwgnn7DLfg</t>
  </si>
  <si>
    <t>مجمع الرياحين السكني</t>
  </si>
  <si>
    <t>0784 444 8238</t>
  </si>
  <si>
    <t>alrayaheencity@gmail.com</t>
  </si>
  <si>
    <t>مشروع مدينة الزعفران السكنية</t>
  </si>
  <si>
    <t>0784 567 2469</t>
  </si>
  <si>
    <t>info@alzafrancity.com</t>
  </si>
  <si>
    <t>ابراج لومينا</t>
  </si>
  <si>
    <t xml:space="preserve">كرم بغداد السكني </t>
  </si>
  <si>
    <t xml:space="preserve">nawras </t>
  </si>
  <si>
    <t>0774 444 8486</t>
  </si>
  <si>
    <t>مجمع ابراج لاماك السكني</t>
  </si>
  <si>
    <t>078-4444-3163</t>
  </si>
  <si>
    <t>info@lamacc.com</t>
  </si>
  <si>
    <t>https://lamacc.com/</t>
  </si>
  <si>
    <t>Golden Square - مجمع المربع الذهبي</t>
  </si>
  <si>
    <t xml:space="preserve">مجمع میلینیوم السکني  - کرکوك </t>
  </si>
  <si>
    <t xml:space="preserve">Elaf - sales </t>
  </si>
  <si>
    <t>0771 522 2212</t>
  </si>
  <si>
    <t>millennium.kirkuk@gmail.com</t>
  </si>
  <si>
    <t xml:space="preserve">Millennium Towers by Ramlah </t>
  </si>
  <si>
    <t>info@ramlah.co</t>
  </si>
  <si>
    <t>مجمع اليمامة</t>
  </si>
  <si>
    <t>0772 997 7775</t>
  </si>
  <si>
    <t xml:space="preserve">مجمعات حوراء بغداد السكنية </t>
  </si>
  <si>
    <t xml:space="preserve">Bilal - sales </t>
  </si>
  <si>
    <t>0772 370 0044 -- 07723700055</t>
  </si>
  <si>
    <t>Al-Kadhimiya Gate</t>
  </si>
  <si>
    <t xml:space="preserve">Residenctial PROJECTS IN SULI </t>
  </si>
  <si>
    <t xml:space="preserve">Royal City Suli  </t>
  </si>
  <si>
    <t xml:space="preserve">sham - not interested </t>
  </si>
  <si>
    <t>0770 672 9090 -- 07706719090</t>
  </si>
  <si>
    <t xml:space="preserve">Mayorca City </t>
  </si>
  <si>
    <t>0770 595 6000</t>
  </si>
  <si>
    <t>Info@mayorca.co</t>
  </si>
  <si>
    <t>https://www.mjholding.co/</t>
  </si>
  <si>
    <t xml:space="preserve">Mj Towers </t>
  </si>
  <si>
    <t xml:space="preserve">KURDSAT TOwers </t>
  </si>
  <si>
    <t xml:space="preserve">MirVanos Towers </t>
  </si>
  <si>
    <t xml:space="preserve">Rovar city </t>
  </si>
  <si>
    <t xml:space="preserve">Suli view </t>
  </si>
  <si>
    <t>0770 164 8000</t>
  </si>
  <si>
    <t xml:space="preserve">Dli shar Residence  - zarya farooq Group </t>
  </si>
  <si>
    <t xml:space="preserve">danar </t>
  </si>
  <si>
    <t>7701970606 -- 07501970606</t>
  </si>
  <si>
    <t>info@dlishar.com</t>
  </si>
  <si>
    <t>https://dlishar.com/</t>
  </si>
  <si>
    <t xml:space="preserve">Titanic towers </t>
  </si>
  <si>
    <t>0770 470 4040 -- 964 (0)770 370 4040</t>
  </si>
  <si>
    <t>info@titanictowers.com</t>
  </si>
  <si>
    <t>https://www.titanictowers.com/En/</t>
  </si>
  <si>
    <t xml:space="preserve">Titanic City </t>
  </si>
  <si>
    <t>xatu selar - sales</t>
  </si>
  <si>
    <t>[07732651007]-[07722142212]</t>
  </si>
  <si>
    <t xml:space="preserve">Park 77 </t>
  </si>
  <si>
    <t xml:space="preserve">no answer </t>
  </si>
  <si>
    <t>0770 103 4888</t>
  </si>
  <si>
    <t xml:space="preserve">Empire Towers </t>
  </si>
  <si>
    <t>korek</t>
  </si>
  <si>
    <t>0750 147 0020</t>
  </si>
  <si>
    <t xml:space="preserve">Bashur City </t>
  </si>
  <si>
    <t xml:space="preserve">Lanko </t>
  </si>
  <si>
    <t>0770 399 9292---0750 258 9191---0770 399 9292</t>
  </si>
  <si>
    <t>info@bashwrcity.com</t>
  </si>
  <si>
    <t xml:space="preserve">Grand Boulevard-Nergis Park </t>
  </si>
  <si>
    <t xml:space="preserve">rovya </t>
  </si>
  <si>
    <t>964 770 727 7070</t>
  </si>
  <si>
    <t>grandblvd@ballacompany.com</t>
  </si>
  <si>
    <t>https://grandblvd.org/contactus</t>
  </si>
  <si>
    <t xml:space="preserve">SHA City </t>
  </si>
  <si>
    <t>07725535565 07505535565</t>
  </si>
  <si>
    <t xml:space="preserve">Deru city - دەروو سیتی </t>
  </si>
  <si>
    <t>0773 262 7279</t>
  </si>
  <si>
    <t>deruykher@gmail.com</t>
  </si>
  <si>
    <t xml:space="preserve">Lawzand group </t>
  </si>
  <si>
    <t>https://www.lawzand.com/contact</t>
  </si>
  <si>
    <t xml:space="preserve">infinity towers </t>
  </si>
  <si>
    <t>0770 401 2424</t>
  </si>
  <si>
    <t>Shale Group</t>
  </si>
  <si>
    <t xml:space="preserve">banu - sales manager </t>
  </si>
  <si>
    <t xml:space="preserve"> suli // 964 772 761 5000 -- baghdad // 964 772 695 5000</t>
  </si>
  <si>
    <t>sales@shalegroup.co</t>
  </si>
  <si>
    <t>Marjan City</t>
  </si>
  <si>
    <t>sana - sales</t>
  </si>
  <si>
    <t>009647700715050 - 009647500715050</t>
  </si>
  <si>
    <t>Info@marjancity.org</t>
  </si>
  <si>
    <t>https://marjancity.org/</t>
  </si>
  <si>
    <t>Najmadin Group Company</t>
  </si>
  <si>
    <t>info@najmadingroup.com</t>
  </si>
  <si>
    <t xml:space="preserve">Marina city </t>
  </si>
  <si>
    <t xml:space="preserve">sardar </t>
  </si>
  <si>
    <t xml:space="preserve"> 07732104141 - 07701400062 - 07701400064</t>
  </si>
  <si>
    <t>Sales@marinasuli.com Hewa.othman@marinasuli.com  Wali.othman@marinasuli.com</t>
  </si>
  <si>
    <t>Kurd Tower- zarya faruq group</t>
  </si>
  <si>
    <t>0772 333 1010 / 0772 333 1030 / 0772 333 1011</t>
  </si>
  <si>
    <t>Suli Twin Towers project</t>
  </si>
  <si>
    <t xml:space="preserve">by Hamkar group </t>
  </si>
  <si>
    <t xml:space="preserve"> Hamkar group </t>
  </si>
  <si>
    <t xml:space="preserve"> - 0770 191 11 19 - 0770 154 4414</t>
  </si>
  <si>
    <t>Postech Structural Engineering Services</t>
  </si>
  <si>
    <t>964 773 037 7166</t>
  </si>
  <si>
    <t>info@postechsys.com</t>
  </si>
  <si>
    <t>e-architect – World Architecture</t>
  </si>
  <si>
    <t xml:space="preserve">Daria Mulk </t>
  </si>
  <si>
    <t>SULi</t>
  </si>
  <si>
    <t xml:space="preserve">Select Real Estate </t>
  </si>
  <si>
    <t xml:space="preserve">Goizha Real Estate </t>
  </si>
  <si>
    <t>0771 011 5555</t>
  </si>
  <si>
    <t>Express Real Estate</t>
  </si>
  <si>
    <t>Mulky Slemany R.E</t>
  </si>
  <si>
    <t xml:space="preserve">Shary Slemany </t>
  </si>
  <si>
    <t>Modern Real Estate</t>
  </si>
  <si>
    <t>Pelin Real Estate</t>
  </si>
  <si>
    <t>Mulki Khan R.E</t>
  </si>
  <si>
    <t>--</t>
  </si>
  <si>
    <t xml:space="preserve">Derin Real Estate </t>
  </si>
  <si>
    <t>Original Real Estate</t>
  </si>
  <si>
    <t xml:space="preserve">LuLL Real Estate </t>
  </si>
  <si>
    <t xml:space="preserve">Vela Company </t>
  </si>
  <si>
    <t>Hawzhin Real Estate</t>
  </si>
  <si>
    <t xml:space="preserve">Nobli Slemani </t>
  </si>
  <si>
    <t>Top Life Real Estate</t>
  </si>
  <si>
    <t>Suli View</t>
  </si>
  <si>
    <t xml:space="preserve">project </t>
  </si>
  <si>
    <t xml:space="preserve">DS Real Estate </t>
  </si>
  <si>
    <t>ZhyarReal Estate</t>
  </si>
  <si>
    <t xml:space="preserve">Sokar Company </t>
  </si>
  <si>
    <t>Working on Sha city -suli</t>
  </si>
  <si>
    <t xml:space="preserve">Darwazay ShaD </t>
  </si>
  <si>
    <t xml:space="preserve">Dli Chwar CHra </t>
  </si>
  <si>
    <t>Maysa House R.E</t>
  </si>
  <si>
    <t>Golden zone R.E</t>
  </si>
  <si>
    <t xml:space="preserve">iZ Group </t>
  </si>
  <si>
    <t>Co-founder ihsan Zangana</t>
  </si>
  <si>
    <t>Zest - baghdad</t>
  </si>
  <si>
    <t>zest Suli</t>
  </si>
  <si>
    <t xml:space="preserve">zest dubai </t>
  </si>
  <si>
    <t>Blue Sky R.E</t>
  </si>
  <si>
    <t>miran city R.E</t>
  </si>
  <si>
    <t>only miran city</t>
  </si>
  <si>
    <t>Gullstan Real Estate</t>
  </si>
  <si>
    <t>Pent House R.E</t>
  </si>
  <si>
    <t xml:space="preserve">Zangin Real Estate </t>
  </si>
  <si>
    <t>omran Real Estate</t>
  </si>
  <si>
    <t xml:space="preserve">omran migrate Global </t>
  </si>
  <si>
    <t>UAE-Iraq-Greece-Oman-Germany</t>
  </si>
  <si>
    <t>Barzayakani zhyan R.E</t>
  </si>
  <si>
    <t>Sada Real Estate</t>
  </si>
  <si>
    <t>Golden Real Estate</t>
  </si>
  <si>
    <t xml:space="preserve">mj holdng </t>
  </si>
  <si>
    <t xml:space="preserve">Royal Real Estate </t>
  </si>
  <si>
    <t xml:space="preserve">Million Real Estate </t>
  </si>
  <si>
    <t>Haji ahmed Real Estate</t>
  </si>
  <si>
    <t xml:space="preserve">Bahay slemani REal Estate </t>
  </si>
  <si>
    <t>Almas Real Estate</t>
  </si>
  <si>
    <t>Rebary Shar R.E</t>
  </si>
  <si>
    <t>Shay Sharan Real Estate</t>
  </si>
  <si>
    <t xml:space="preserve">Koshky Sha Real Estate </t>
  </si>
  <si>
    <t xml:space="preserve">Dijla Home Real Estate </t>
  </si>
  <si>
    <t xml:space="preserve">Bahashty Shar REAL ESTATE </t>
  </si>
  <si>
    <t xml:space="preserve">BAYAN Real Estate </t>
  </si>
  <si>
    <t>0770 012 2323</t>
  </si>
  <si>
    <t>info.bayan@halabjagroup.com</t>
  </si>
  <si>
    <t>https://www.halabjagroup.com/bayan-real-estate</t>
  </si>
  <si>
    <t>Atlas Real Estate</t>
  </si>
  <si>
    <t>duhok real estate companies</t>
  </si>
  <si>
    <t>The Adress Real Estate</t>
  </si>
  <si>
    <t xml:space="preserve">Duhok </t>
  </si>
  <si>
    <t>Deshti Real Estate</t>
  </si>
  <si>
    <t>0750 445 9266</t>
  </si>
  <si>
    <t xml:space="preserve">Jumana Real Estate </t>
  </si>
  <si>
    <t xml:space="preserve">Albasso Real Estate </t>
  </si>
  <si>
    <t xml:space="preserve">max duhok </t>
  </si>
  <si>
    <t xml:space="preserve">Pasha Duhok Real Estate </t>
  </si>
  <si>
    <t>Sapphire Real Estate</t>
  </si>
  <si>
    <t>Nest Real Estate</t>
  </si>
  <si>
    <t xml:space="preserve">duhok land real estate </t>
  </si>
  <si>
    <t xml:space="preserve">Aqarat 24 </t>
  </si>
  <si>
    <t xml:space="preserve">North Town R.E CO. </t>
  </si>
  <si>
    <t>Sadeen Real Estate</t>
  </si>
  <si>
    <t xml:space="preserve">Tower Real Estate </t>
  </si>
  <si>
    <t>Bajer Real Estate</t>
  </si>
  <si>
    <t>Gavnerk Real Estate</t>
  </si>
  <si>
    <t>Barsa Duhok R.E</t>
  </si>
  <si>
    <t xml:space="preserve">baghi  duhok </t>
  </si>
  <si>
    <t xml:space="preserve">Darbaz Reality </t>
  </si>
  <si>
    <t>ZAK Real Estate</t>
  </si>
  <si>
    <t>Mahwar Real Estate</t>
  </si>
  <si>
    <t xml:space="preserve">Azeen Real Estate </t>
  </si>
  <si>
    <t>Kayar Real Estate</t>
  </si>
  <si>
    <t xml:space="preserve">Duplex </t>
  </si>
  <si>
    <t>Deluxe Real Estate</t>
  </si>
  <si>
    <t>Dewali Real Estate</t>
  </si>
  <si>
    <t>Shar Real Estate</t>
  </si>
  <si>
    <t>Lavij Real Estate</t>
  </si>
  <si>
    <t>BAGHDAD real estate</t>
  </si>
  <si>
    <t xml:space="preserve">ALSOROH Real Estate </t>
  </si>
  <si>
    <t xml:space="preserve">no answer - information shared </t>
  </si>
  <si>
    <t>Riyada Rel Estate</t>
  </si>
  <si>
    <t>Almuhandis Real EState</t>
  </si>
  <si>
    <t xml:space="preserve">AL-ZAHRAA Propertise </t>
  </si>
  <si>
    <t xml:space="preserve">Reach Real Estate </t>
  </si>
  <si>
    <t>Damak Real Estate</t>
  </si>
  <si>
    <t>Ramlah for Real Estate Development</t>
  </si>
  <si>
    <t>BAGHDAD</t>
  </si>
  <si>
    <t xml:space="preserve">Mudun Baghdad Real Estate </t>
  </si>
  <si>
    <t xml:space="preserve">MoDon مدن </t>
  </si>
  <si>
    <t>964 770 0300 005</t>
  </si>
  <si>
    <t>info@modoniq.com</t>
  </si>
  <si>
    <t>Al-Ghadeer Real Estate Company</t>
  </si>
  <si>
    <t>info@alghadeerrealestate.com</t>
  </si>
  <si>
    <t>VILA PROPERTIES</t>
  </si>
  <si>
    <t>0780 000 7119</t>
  </si>
  <si>
    <t>info@vila.ae</t>
  </si>
  <si>
    <t>Diqat Aliskan Company for Investment and Real Estate Development.</t>
  </si>
  <si>
    <t>0784 444 3121</t>
  </si>
  <si>
    <t>Diqataliskan@gmail.com</t>
  </si>
  <si>
    <t>شركة دار العاصمة للتطوير العقاري</t>
  </si>
  <si>
    <t xml:space="preserve"> 0782 333 3480</t>
  </si>
  <si>
    <t>info@daralasema.com</t>
  </si>
  <si>
    <t>ZEST Properties</t>
  </si>
  <si>
    <t>https://www.zest-property.com/agents</t>
  </si>
  <si>
    <t>ترف العقاريه - TARAF property</t>
  </si>
  <si>
    <t>0782 877 0088</t>
  </si>
  <si>
    <t>Info@taraf.co</t>
  </si>
  <si>
    <t>Hamat - هامات</t>
  </si>
  <si>
    <t>0781 192 2226</t>
  </si>
  <si>
    <t>Reach Real Estate Baghdad</t>
  </si>
  <si>
    <t xml:space="preserve">962 7 9063 1087 // 9647829002211 //  9647729002299 </t>
  </si>
  <si>
    <t>info@reach-realestate.com // baghdad@reachrealestate.com //  basra@reachrealestate.com</t>
  </si>
  <si>
    <t>https://reachrealestate.com/contact/</t>
  </si>
  <si>
    <t>Arazu Real Estate أرازو العقارية</t>
  </si>
  <si>
    <r>
      <rPr>
        <b/>
        <color rgb="FF1155CC"/>
        <sz val="13.0"/>
        <u/>
      </rPr>
      <t>info@arazu.iq</t>
    </r>
  </si>
  <si>
    <t>https://www.arazu.iq/?fbclid=IwY2xjawIyixdleHRuA2FlbQIxMAABHdq0ESOrY-U8DUrzv0iW2A2Bw5Upo6fBLlb5GmbMzb2cM9GHd0z0JHCJEA_aem_nuz2oDCSU9CJQoV8oKIMGw</t>
  </si>
  <si>
    <t>شركة اليقين للعقارات والاستثمارات العامة</t>
  </si>
  <si>
    <t>7744451222  // 9647800030202  // 9647700030302</t>
  </si>
  <si>
    <t>info@alyaqinco.com</t>
  </si>
  <si>
    <t>alyaqinco.com</t>
  </si>
  <si>
    <t>Avenue Realestate - افينيو للأستثمارات العقارية</t>
  </si>
  <si>
    <t>0780 000 5772 /            / 964 780 000 5772</t>
  </si>
  <si>
    <t>info@avenue-iq.com</t>
  </si>
  <si>
    <r>
      <rPr>
        <rFont val="inherit"/>
        <b/>
        <color rgb="FF1155CC"/>
        <sz val="11.0"/>
        <u/>
      </rPr>
      <t>avenue-iq.com</t>
    </r>
  </si>
  <si>
    <t>Tareeq ADEN شركة طريق عدن</t>
  </si>
  <si>
    <t>0784 986 0570</t>
  </si>
  <si>
    <t>info@aden-iq.com</t>
  </si>
  <si>
    <r>
      <rPr>
        <rFont val="inherit"/>
        <b/>
        <color rgb="FF1155CC"/>
        <sz val="10.0"/>
        <u/>
      </rPr>
      <t>aden-iq.com</t>
    </r>
  </si>
  <si>
    <t xml:space="preserve">بوابة المستقبل -  Future Gate Real ESTATE </t>
  </si>
  <si>
    <t>0770 000 8329</t>
  </si>
  <si>
    <t>مرفأ الخير للاستثمار والتطوير العقاري</t>
  </si>
  <si>
    <t>0774 449 0444</t>
  </si>
  <si>
    <t>info@marfaa-alkhair.com</t>
  </si>
  <si>
    <t>https://www.marfaa-alkhair.com/?fbclid=IwY2xjawIzh4FleHRuA2FlbQIxMAABHVAbafcXUykUeko0pQ1fDCaX54jaoJtukvQWtZ_dsPr30AYHK_sftYLPYQ_aem__KjQWnx0UjewQxCpbhoKEw</t>
  </si>
  <si>
    <t>داري العقارية - Dari Properties</t>
  </si>
  <si>
    <t xml:space="preserve"> 
07849090609 -- 0784 909 0609</t>
  </si>
  <si>
    <t xml:space="preserve"> AL Rafeel Real Estate</t>
  </si>
  <si>
    <t>964-7809008800</t>
  </si>
  <si>
    <t>شركة عقارات ميار</t>
  </si>
  <si>
    <t>0770 889 8880</t>
  </si>
  <si>
    <t>Mayar.realestate1@gmail.com</t>
  </si>
  <si>
    <t xml:space="preserve">kerkuk </t>
  </si>
  <si>
    <t>الكوخ للتطوير العقاري</t>
  </si>
  <si>
    <t>fjto@yahoo.com</t>
  </si>
  <si>
    <t>Al Bait Al Duwaliy Real Estate Development</t>
  </si>
  <si>
    <t>info@albaitalduwaliy.com</t>
  </si>
  <si>
    <t>شركة ملاذ بغداد</t>
  </si>
  <si>
    <t>0787 088 6111</t>
  </si>
  <si>
    <t>info@mbc-contracting.com.iq</t>
  </si>
  <si>
    <r>
      <rPr>
        <rFont val="Calibri, sans-serif"/>
        <b/>
        <color rgb="FF1155CC"/>
        <sz val="12.0"/>
        <u/>
      </rPr>
      <t>SHanaSHel.COM</t>
    </r>
    <r>
      <rPr>
        <rFont val="Calibri, sans-serif"/>
        <b/>
        <color rgb="FF000000"/>
        <sz val="12.0"/>
      </rPr>
      <t xml:space="preserve"> </t>
    </r>
  </si>
  <si>
    <t>964 7800557700</t>
  </si>
  <si>
    <t>info@shanashel.com</t>
  </si>
  <si>
    <t>https://www.shanashel.com/en/</t>
  </si>
  <si>
    <t xml:space="preserve">شركة جمال ورد الربيع للتجارة العامة والاستثمار العقاري </t>
  </si>
  <si>
    <t xml:space="preserve">info@onurparklife.com </t>
  </si>
  <si>
    <t xml:space="preserve">مجموعة البركة الدولية للتجارة والاستثمار </t>
  </si>
  <si>
    <t xml:space="preserve">محمد عمر اكرم </t>
  </si>
  <si>
    <t xml:space="preserve">info@abrajatefya.com </t>
  </si>
  <si>
    <t xml:space="preserve">شركة مسمار التنمية للأستثمارات العقارية </t>
  </si>
  <si>
    <t xml:space="preserve">masaraltanmya@gmail.com </t>
  </si>
  <si>
    <t>شركة بلاد اليوم للعقارات</t>
  </si>
  <si>
    <t>0783 595 9157</t>
  </si>
  <si>
    <t xml:space="preserve">شركة بيتي للأستثمار والتطوير العقاري </t>
  </si>
  <si>
    <t xml:space="preserve">info@bayti-iq.com </t>
  </si>
  <si>
    <t xml:space="preserve">Haven homes </t>
  </si>
  <si>
    <t>BANKS</t>
  </si>
  <si>
    <r>
      <rPr>
        <rFont val="Lato, sans-serif"/>
        <color rgb="FF1155CC"/>
        <sz val="14.0"/>
        <u/>
      </rPr>
      <t>Agricultural Cooperation Bank</t>
    </r>
  </si>
  <si>
    <t>964 1 8189081 --      964 1 8189084</t>
  </si>
  <si>
    <r>
      <rPr>
        <rFont val="Lato, sans-serif"/>
        <color rgb="FF1155CC"/>
        <sz val="14.0"/>
        <u/>
      </rPr>
      <t>Rafidain Bank Baghdad</t>
    </r>
  </si>
  <si>
    <t>7901940112 -- 07901901179</t>
  </si>
  <si>
    <t>Raf-media@rafidain-bank.gov.iq</t>
  </si>
  <si>
    <t>https://www.rafidain-bank.gov.iq/?contact</t>
  </si>
  <si>
    <t xml:space="preserve">Rasheed Bank Baghdad </t>
  </si>
  <si>
    <t>8853409 - 8853478</t>
  </si>
  <si>
    <t>https://rasheedbank.gov.iq/ar/contact</t>
  </si>
  <si>
    <t xml:space="preserve">Trade Bank of Iraq Baghdad </t>
  </si>
  <si>
    <t xml:space="preserve"> Mrs. Sura Ch. Hussein</t>
  </si>
  <si>
    <t>07702610362 - 9647901944250</t>
  </si>
  <si>
    <t>main.branch@ec2-52-59-230-69.eu-central-1.compute.amazonaws.com -- info@tbi.com.iq</t>
  </si>
  <si>
    <t>https://tbi.com.iq/home/</t>
  </si>
  <si>
    <t xml:space="preserve">Industrial Bank </t>
  </si>
  <si>
    <t>07732013006 /07735669124 07733405770 /07834059744</t>
  </si>
  <si>
    <t>https://www.indbk.gov.iq/en/</t>
  </si>
  <si>
    <t>CIBIQ - Commercial Islamic Bank of Iraq</t>
  </si>
  <si>
    <t>964 07833955530</t>
  </si>
  <si>
    <r>
      <rPr>
        <b/>
        <color rgb="FF1155CC"/>
        <sz val="11.0"/>
        <u/>
      </rPr>
      <t>cibiq.info@cibiq.com.iq</t>
    </r>
  </si>
  <si>
    <t>Iraqi Middle East Bank for Investment Baghdad</t>
  </si>
  <si>
    <t>Main Department</t>
  </si>
  <si>
    <t>main@imeib.iq</t>
  </si>
  <si>
    <t>https://imeib.iq/?page=100</t>
  </si>
  <si>
    <t xml:space="preserve">Investment Bank of Iraq -Baghdad </t>
  </si>
  <si>
    <t>info@ibi-bankiraq.iq</t>
  </si>
  <si>
    <t>https://ibi-bankiraq.com/en/home/</t>
  </si>
  <si>
    <t>المصرف المتحد للاستثمار  - UBI</t>
  </si>
  <si>
    <r>
      <rPr>
        <rFont val="&quot;Inter Local&quot;, sans-serif"/>
        <b/>
        <color rgb="FF1155CC"/>
        <sz val="13.0"/>
        <u/>
      </rPr>
      <t>info@unitedbank.iq</t>
    </r>
  </si>
  <si>
    <t xml:space="preserve">مصرف الموصل للتنمية والاستثمار - Mosul Bank for Development &amp; Investment Mosul </t>
  </si>
  <si>
    <t>964-780-188-2200</t>
  </si>
  <si>
    <r>
      <rPr>
        <rFont val="Cairo"/>
        <b/>
        <color rgb="FF1155CC"/>
        <sz val="12.0"/>
        <u/>
      </rPr>
      <t>customers_care@almosulbank.iq</t>
    </r>
  </si>
  <si>
    <t>المصرف الأهلي العراقي - National Bank of Iraq</t>
  </si>
  <si>
    <t>0780 777 7444</t>
  </si>
  <si>
    <t>info@nbi.iq</t>
  </si>
  <si>
    <t xml:space="preserve">Economy Bank for Investment &amp; Finance Baghdad /Mansour </t>
  </si>
  <si>
    <t>0780 400 0001  -- 0780 400 0002</t>
  </si>
  <si>
    <r>
      <rPr>
        <rFont val="-apple-system, BlinkMacSystemFont, &quot;Segoe UI&quot;, Roboto, &quot;Helvetica Neue&quot;, Arial, &quot;Noto Sans&quot;, sans-serif, &quot;Apple Color Emoji&quot;, &quot;Segoe UI Emoji&quot;, &quot;Segoe UI Symbol&quot;, &quot;Noto Color Emoji&quot;"/>
        <b/>
        <color rgb="FF1155CC"/>
        <sz val="13.0"/>
        <u/>
      </rPr>
      <t>info@ebi.iq</t>
    </r>
  </si>
  <si>
    <t>https://ebi.iq/</t>
  </si>
  <si>
    <t>Sumer Commercial Bank Baghdad</t>
  </si>
  <si>
    <t>care@sumerbank.iq</t>
  </si>
  <si>
    <t>https://sumerbank.iq/index.php?lang=en</t>
  </si>
  <si>
    <t>Gulf Commercial Bank Baghdad – Private Bank</t>
  </si>
  <si>
    <t>info@gcb.iq</t>
  </si>
  <si>
    <t>https://www.gcb.iq/en/</t>
  </si>
  <si>
    <t xml:space="preserve">Warka Bank for Investment &amp; Finance Baghdad </t>
  </si>
  <si>
    <t>info@warkabank.iq</t>
  </si>
  <si>
    <t>https://www.warkabank.iq/</t>
  </si>
  <si>
    <t>Union Bank of Iraq (formerly Union Bank of Industrial Investment)</t>
  </si>
  <si>
    <t>009647717505580 – 009647809150373</t>
  </si>
  <si>
    <t>info@unionbank.iq</t>
  </si>
  <si>
    <t>https://unionbank.iq/contact_us/</t>
  </si>
  <si>
    <t>Ashur International Bank for Investment Baghdad</t>
  </si>
  <si>
    <t>964 7809156080</t>
  </si>
  <si>
    <t>info@ashurbank.iq</t>
  </si>
  <si>
    <t>https://ashurbank.iq/en/contact-us</t>
  </si>
  <si>
    <t xml:space="preserve">Al-Mansour Bank For Investment - مصرف المنصور للأستثمار </t>
  </si>
  <si>
    <t>info@mansourbank.com</t>
  </si>
  <si>
    <t xml:space="preserve">Trans Iraq Bank Baghdad </t>
  </si>
  <si>
    <t>GM@tib.iq   /// mainbranch@tib.iq</t>
  </si>
  <si>
    <t xml:space="preserve">Emerald Bank Erbil </t>
  </si>
  <si>
    <t>info@emeraldbank.net</t>
  </si>
  <si>
    <t xml:space="preserve">Erbil Bank For Investment &amp; Finance Erbil  - مصرف اربیل للاستثمار و لاتمویل </t>
  </si>
  <si>
    <t>0750 900 8989</t>
  </si>
  <si>
    <t xml:space="preserve">
info@ebif.iq - customer.care@ebif.iq</t>
  </si>
  <si>
    <t>https://ebif.iq/</t>
  </si>
  <si>
    <t>Iraqi Islamic Bank for Investment &amp; Development Baghdad</t>
  </si>
  <si>
    <t>9647721000122 -- -9647821000122 --009647802800999</t>
  </si>
  <si>
    <t>webmaster@iraqiislamicb.iq - contactus@iraqiislamicb.iq</t>
  </si>
  <si>
    <t>https://www.iraqiislamicb.iq/home-en.html</t>
  </si>
  <si>
    <t>Elaf Islamic Bank - مصرف ‌‌إلاف الإسلامي</t>
  </si>
  <si>
    <t>0784 482 3970  --9647901913062</t>
  </si>
  <si>
    <t>info@eib.iq - financial.inclusion@eib.iq</t>
  </si>
  <si>
    <t>https://eib.iq/en/</t>
  </si>
  <si>
    <t>Kurdistan International Bank for Investment &amp; Development Erbil – Islamic Bank</t>
  </si>
  <si>
    <t>964 066 211 2000</t>
  </si>
  <si>
    <r>
      <rPr>
        <b/>
        <color rgb="FF1155CC"/>
        <sz val="12.0"/>
        <u/>
      </rPr>
      <t>admin@kib.iq</t>
    </r>
  </si>
  <si>
    <t>https://www.kib.iq/en</t>
  </si>
  <si>
    <t>Altaif Islamic Bank</t>
  </si>
  <si>
    <t>main office  - 7704447250 - 9647704447250</t>
  </si>
  <si>
    <t xml:space="preserve"> info@taifib.iq</t>
  </si>
  <si>
    <t>https://www.taifib.iq/HomeEN/branchesEN</t>
  </si>
  <si>
    <t>AMB Bank - Mashreq AL-Arabi BANK -مصرف المشرق العربي</t>
  </si>
  <si>
    <t>0772 618 0735</t>
  </si>
  <si>
    <t>Info@amb.iq</t>
  </si>
  <si>
    <t>https://amb.iq/en/branches/</t>
  </si>
  <si>
    <t>Erbil - Abu Dhabi Islamic Bank</t>
  </si>
  <si>
    <t xml:space="preserve">964 771 842 1970 </t>
  </si>
  <si>
    <t>Erbil.CustomerService@adib.com</t>
  </si>
  <si>
    <t>Arabia Islamic Bank - مصر العربیة الإسلامي</t>
  </si>
  <si>
    <t>Main Branch : 07802110044 - 0674425004 //                                   ERbil: 07508599258 - 07517423262</t>
  </si>
  <si>
    <t>https://ab.iq/en/webform/contact-us</t>
  </si>
  <si>
    <t>iraqi NOOR Islamic Babk - INIBIQ - مصرف نور العراقي الإسلامي</t>
  </si>
  <si>
    <t>964 7803000029</t>
  </si>
  <si>
    <t>info@inibiq.iq</t>
  </si>
  <si>
    <t>https://www.inibiq.iq/iraq-noor-islamic-bank-received-a-letter-of-thanks-and-appreciation</t>
  </si>
  <si>
    <t xml:space="preserve">AL - Qurtas Bank </t>
  </si>
  <si>
    <t>964 780 244 44 42  // ERBIL : 9647822820000</t>
  </si>
  <si>
    <t xml:space="preserve"> Head Quarter // info@alqurtas.iq  ERBIL // 
info.erbil@alqurtas.iq</t>
  </si>
  <si>
    <t>https://alqurtas.iq/contact-us/</t>
  </si>
  <si>
    <t xml:space="preserve">FIB - First Iraq Bank </t>
  </si>
  <si>
    <t>customer-service@fib.iq</t>
  </si>
  <si>
    <t>https://fib.iq/</t>
  </si>
  <si>
    <t xml:space="preserve">  Investment Bank Of IRAQ - مصرف الاستثمار العراقي</t>
  </si>
  <si>
    <t>0770 054 4496</t>
  </si>
  <si>
    <t>info@ibi-bankiraq.com</t>
  </si>
  <si>
    <t>International Development BANK - IDB مصرف التنمية الدولي</t>
  </si>
  <si>
    <t>info@idb.iq</t>
  </si>
  <si>
    <t>https://www.idb.iq/iq/en/contact</t>
  </si>
  <si>
    <t>TRUST INT Islamic Bank - مصرف الثقة الدولي الإسلامي</t>
  </si>
  <si>
    <t>main.b@itbabk.iq</t>
  </si>
  <si>
    <t>https://itbank.iq/en/branches/</t>
  </si>
  <si>
    <t xml:space="preserve">Region Trade Bank - مصرف الإقلیم التجاري للإستثمار و التمویل </t>
  </si>
  <si>
    <t>964 66 211 0010</t>
  </si>
  <si>
    <t xml:space="preserve"> 
info@rtb.iq-- callcenter@rtb.iq</t>
  </si>
  <si>
    <t>https://regiontradebank.com/ar/#</t>
  </si>
  <si>
    <t xml:space="preserve">AL Janoob Islamic Bank - مصرف الجنوب الإسلامي </t>
  </si>
  <si>
    <t xml:space="preserve"> 00964 77 00000388 | 00964 78 00000388-- 0770 000 0388</t>
  </si>
  <si>
    <t>info@jib.iq</t>
  </si>
  <si>
    <t>https://www.jib.iq/</t>
  </si>
  <si>
    <t xml:space="preserve">CIHAN BANK </t>
  </si>
  <si>
    <t>066 211 5700</t>
  </si>
  <si>
    <t>info@cihanbank.com.iq -- mainbranch@cihanbank.com.iq</t>
  </si>
  <si>
    <t>https://www.cihanbank.com.iq/branches/</t>
  </si>
  <si>
    <t>ZIRAT BANK - IRAQ</t>
  </si>
  <si>
    <t>BAGHDAD : 7904181390 -- ERBIL : 07507540888</t>
  </si>
  <si>
    <t>baghdad@ziraatbank.com  --         erbil@ziraatbank.com</t>
  </si>
  <si>
    <t>https://www.ziraatbank.iq/en/contact</t>
  </si>
  <si>
    <t>AL BARAKA  Türk Erbil Şubesi</t>
  </si>
  <si>
    <t>964 750 370 98 91 | +964 750 370 98 92 | +964 750 370 98 93</t>
  </si>
  <si>
    <t>erbil@albarakaturk.com.tr</t>
  </si>
  <si>
    <t>https://www.albaraka.com.iq/</t>
  </si>
  <si>
    <t>MultiBank Kurdistan</t>
  </si>
  <si>
    <t>0750 100 7975</t>
  </si>
  <si>
    <t>Multibankkurdistan@gmail.com // cs@mexatlantic.com</t>
  </si>
  <si>
    <t>https://multibank.krd/en</t>
  </si>
  <si>
    <t>AL NIBAL AL ARABYA FOR MONEY TRANSFER</t>
  </si>
  <si>
    <t>AL-ASSWAR CO. FOR MONEY TRANSFER</t>
  </si>
  <si>
    <t>Asswar.co@gmail.com</t>
  </si>
  <si>
    <t>AL-HAREER COMPANY FOR MONEY TRANSFER</t>
  </si>
  <si>
    <t>AL-HUDA BANK</t>
  </si>
  <si>
    <t>AL-IRAQIA FOR MONEY TRANSFER CO.</t>
  </si>
  <si>
    <t>AL-MARAJ AL ALAMIYA COMPANY FOR MONEY TRANSFER</t>
  </si>
  <si>
    <t>07809223022 -- 07706551122</t>
  </si>
  <si>
    <t xml:space="preserve">al_maraj_co@yahoo.com </t>
  </si>
  <si>
    <t xml:space="preserve">Incurance Companies </t>
  </si>
  <si>
    <t>Aman (A Brand of Kurdistan International Insurance Company)</t>
  </si>
  <si>
    <t>0750 922 6274</t>
  </si>
  <si>
    <t>info@aman.iq</t>
  </si>
  <si>
    <t>https://aman.iq/en/contact</t>
  </si>
  <si>
    <t>Asia Insurance Company Erbil Branch</t>
  </si>
  <si>
    <t>964 53 3301811 -- 964 770 707 0700</t>
  </si>
  <si>
    <t>care@asiainsurance.net</t>
  </si>
  <si>
    <t xml:space="preserve">UR international Insurance COpmany - شرکة أور الدولیة للتأمین </t>
  </si>
  <si>
    <t>9647866699901 -- 9647866699902 -- 9647508909007 -- 9647508909008</t>
  </si>
  <si>
    <t>ur@uriic.net</t>
  </si>
  <si>
    <t>https://uriic.in/contact/</t>
  </si>
  <si>
    <t>Songa Insurance</t>
  </si>
  <si>
    <t>(964) 075-0182-7000 --  (964) 075-0182-6000</t>
  </si>
  <si>
    <t>info@songa.iq</t>
  </si>
  <si>
    <t>https://www.songa.iq/</t>
  </si>
  <si>
    <t>DILNIA Insurance</t>
  </si>
  <si>
    <t>964 770-955-8844 -- 964 770-715-0715</t>
  </si>
  <si>
    <t>info@dilnia.com</t>
  </si>
  <si>
    <t>https://dilnia.com/</t>
  </si>
  <si>
    <t>Kar Insurance Company</t>
  </si>
  <si>
    <t>info@kar-insurance.com</t>
  </si>
  <si>
    <t>https://kar-insurance.com/en/home/</t>
  </si>
  <si>
    <t xml:space="preserve">CIHAN Insurance </t>
  </si>
  <si>
    <t xml:space="preserve">Erbil : 0750 324 0444 // </t>
  </si>
  <si>
    <t>info@cihaninsurance.com  // info@cihaninsurance.net</t>
  </si>
  <si>
    <t>https://cihaninsurance.com/</t>
  </si>
  <si>
    <t>ALMASEER Insurance</t>
  </si>
  <si>
    <t>964 770 055 5624</t>
  </si>
  <si>
    <t>info@al-maseer.com</t>
  </si>
  <si>
    <t>https://www.al-maseer.com/?page_id=105</t>
  </si>
  <si>
    <t xml:space="preserve">AL BADIA Insurance Company </t>
  </si>
  <si>
    <t>964 7818782725 -- 964 7803000328 -- 964 7809000253</t>
  </si>
  <si>
    <t>info@albadia-iq.com</t>
  </si>
  <si>
    <t>https://www.albadia-iq.com/contact</t>
  </si>
  <si>
    <t>ALBATEK – Al Batek Insurance &amp; Re-Insurance</t>
  </si>
  <si>
    <t>9647738441570 -- 9647837804538</t>
  </si>
  <si>
    <t>info@albatek.iq</t>
  </si>
  <si>
    <t>https://www.albatek.iq/</t>
  </si>
  <si>
    <t>Gulf Insurance Company</t>
  </si>
  <si>
    <t>009647729000530 - 009647821041006</t>
  </si>
  <si>
    <t>info@gulfinsco.com admin@gulfinsco.com</t>
  </si>
  <si>
    <t>https://gulfinsco.com/en/</t>
  </si>
  <si>
    <t>Al-Ahlia Insurance Company</t>
  </si>
  <si>
    <t xml:space="preserve"> 07713870849 - 07836351411</t>
  </si>
  <si>
    <t>info@aic-iraq.com</t>
  </si>
  <si>
    <t>https://aic-iraq.com/en/Home/Index</t>
  </si>
  <si>
    <t>Trust House Insurance Company</t>
  </si>
  <si>
    <t>964 782 789 3848</t>
  </si>
  <si>
    <t>info@trustiraq.com</t>
  </si>
  <si>
    <t>https://trustiraq.iq/Contact</t>
  </si>
  <si>
    <t>Al Andalus Insurance</t>
  </si>
  <si>
    <t xml:space="preserve"> info@alandalus-iq.com</t>
  </si>
  <si>
    <t>https://www.alandalus-iq.com/?lang=en</t>
  </si>
  <si>
    <t>AL SHARQ INSURANCE - الشرق للتأمين</t>
  </si>
  <si>
    <t>964 780 9285744 --                                     sales dep : 964 783 991 0021</t>
  </si>
  <si>
    <t xml:space="preserve"> info@alsharq-ins.iq</t>
  </si>
  <si>
    <t>https://alsharq-ins.iq/en/home/</t>
  </si>
  <si>
    <t xml:space="preserve">Hamraa  Insurance - الحمراء للتأمین </t>
  </si>
  <si>
    <t xml:space="preserve">0770 017 0016 --                            Erbil office:964 7505 0000 35 </t>
  </si>
  <si>
    <t>info@alhamraains.com</t>
  </si>
  <si>
    <t>https://www.alhamraains.com/contact-2/</t>
  </si>
  <si>
    <t xml:space="preserve">شرکة ستارکار للتأمین </t>
  </si>
  <si>
    <t>info@sic-iq.com</t>
  </si>
  <si>
    <t>https://www.sic-iq.com/Ar/Contact.aspx</t>
  </si>
  <si>
    <t xml:space="preserve">شط العرب للتأمین - Shatt AL-Arab Insurance Company </t>
  </si>
  <si>
    <t>009647704944721 - 009647704944722</t>
  </si>
  <si>
    <t>insurance@saicinsurance.net</t>
  </si>
  <si>
    <t>https://saicinsurance.net/</t>
  </si>
  <si>
    <t>شرکة التأمین الوطنیة</t>
  </si>
  <si>
    <t>0772 888 0222</t>
  </si>
  <si>
    <t>planning_dep@nic.gov.iq</t>
  </si>
  <si>
    <t>https://nic.mof.gov.iq/contact.php</t>
  </si>
  <si>
    <t>Al Ettihad Iraqi Insurance</t>
  </si>
  <si>
    <t xml:space="preserve"> 0 772 266 8050 -- 0 771 818 6644</t>
  </si>
  <si>
    <t>info@ettihadiraqi.com</t>
  </si>
  <si>
    <t>https://ettihadiraqi.com/</t>
  </si>
  <si>
    <t xml:space="preserve">FOREX  BROKERS </t>
  </si>
  <si>
    <t xml:space="preserve">FOREX| IRAQ </t>
  </si>
  <si>
    <t>964-0770-198-9494 -- 964-0750-198-9494</t>
  </si>
  <si>
    <t>info@forexiraq.net</t>
  </si>
  <si>
    <t>https://www.forexiraq.net/</t>
  </si>
  <si>
    <t xml:space="preserve">Global Prime </t>
  </si>
  <si>
    <t>support@globalprime.com</t>
  </si>
  <si>
    <t>https://globalprime.com/?refcode=82415</t>
  </si>
  <si>
    <t>TNFX</t>
  </si>
  <si>
    <t>0782 899 9288 -- 971 4 582 3376</t>
  </si>
  <si>
    <t>support@tnfx.co</t>
  </si>
  <si>
    <t>https://tnfx.co/ku/</t>
  </si>
  <si>
    <t>CFI</t>
  </si>
  <si>
    <t>962 6 554 8844</t>
  </si>
  <si>
    <t>jordan@cfi.trade</t>
  </si>
  <si>
    <t>https://cfi.trade/ar/jo</t>
  </si>
  <si>
    <t>AXP</t>
  </si>
  <si>
    <t>0750 049 3939</t>
  </si>
  <si>
    <t>info@axpfx.com</t>
  </si>
  <si>
    <t>https://axpfx.com/</t>
  </si>
  <si>
    <t xml:space="preserve">windsors Broker - </t>
  </si>
  <si>
    <t xml:space="preserve">  962 6 550 9090- 44 114 551 9650</t>
  </si>
  <si>
    <t>support@windsorbrokers.com</t>
  </si>
  <si>
    <t>https://en.windsorbrokers.com/</t>
  </si>
  <si>
    <t xml:space="preserve">ADMIRALS </t>
  </si>
  <si>
    <t>27 12 004 1882</t>
  </si>
  <si>
    <t>global@admiralmarkets.com</t>
  </si>
  <si>
    <t>https://admiralmarkets.com/about-us/contact-us</t>
  </si>
  <si>
    <t>XM</t>
  </si>
  <si>
    <t>info.ae@avatrade.com</t>
  </si>
  <si>
    <t xml:space="preserve">AvaTrade </t>
  </si>
  <si>
    <t xml:space="preserve">AXI Trader </t>
  </si>
  <si>
    <t xml:space="preserve">Shex sipan barzani </t>
  </si>
  <si>
    <t xml:space="preserve">Smart Trader Iraq </t>
  </si>
  <si>
    <t>07709138787 - 07709128787</t>
  </si>
  <si>
    <t>info@smarttraderiraq.com</t>
  </si>
  <si>
    <t xml:space="preserve">FXCM Markets </t>
  </si>
  <si>
    <t>1 646-253-1401</t>
  </si>
  <si>
    <t>info@fxcmmarkets.com</t>
  </si>
  <si>
    <t xml:space="preserve">Hantec Markets </t>
  </si>
  <si>
    <t>41-22-551-0215</t>
  </si>
  <si>
    <t>info-mu@hmarkets.com</t>
  </si>
  <si>
    <t>61 2 8379 3622</t>
  </si>
  <si>
    <t>Interactive Brokers</t>
  </si>
  <si>
    <t>Pepperstone</t>
  </si>
  <si>
    <t>61 3 9020 0155</t>
  </si>
  <si>
    <t>support@pepperstone.com</t>
  </si>
  <si>
    <t>https://pepperstone.com/en/</t>
  </si>
  <si>
    <t>First Prudential Markets ( FP Markets)</t>
  </si>
  <si>
    <t>44 28 2544 7780</t>
  </si>
  <si>
    <t>supportteam@fpmarkets.com</t>
  </si>
  <si>
    <t>https://www.fpmarkets.com/</t>
  </si>
  <si>
    <t xml:space="preserve">Erbil Real Estate Companies </t>
  </si>
  <si>
    <t>Jamana Real Estate Company</t>
  </si>
  <si>
    <t>0750 222 9599</t>
  </si>
  <si>
    <t>info@jamana-realestate.com</t>
  </si>
  <si>
    <t>DYAR Real Estate</t>
  </si>
  <si>
    <t>0750 203 3939</t>
  </si>
  <si>
    <t>dyar.investment@gmail.com</t>
  </si>
  <si>
    <t>Miran Real Estate - Wavey Avenue</t>
  </si>
  <si>
    <t>964 750 445 9704</t>
  </si>
  <si>
    <t>Info@miransafiny.com</t>
  </si>
  <si>
    <t xml:space="preserve">Haji hussein Real estate </t>
  </si>
  <si>
    <t>(+964)-750-261-1444</t>
  </si>
  <si>
    <t>Khaki hawler Real Estate</t>
  </si>
  <si>
    <t xml:space="preserve">abdulrahman Argushi </t>
  </si>
  <si>
    <t>964 750 718 1474</t>
  </si>
  <si>
    <t>Rabar Warty Real Estate</t>
  </si>
  <si>
    <t xml:space="preserve">Rawezh Warty </t>
  </si>
  <si>
    <t>964 751 445 4705</t>
  </si>
  <si>
    <t>Taj Emara Real Estate</t>
  </si>
  <si>
    <t xml:space="preserve">Ali doviz </t>
  </si>
  <si>
    <t>964 770 445 0311</t>
  </si>
  <si>
    <t xml:space="preserve">Rabar Real Estate </t>
  </si>
  <si>
    <t xml:space="preserve">kak Rabar </t>
  </si>
  <si>
    <t>964 750 445 4998</t>
  </si>
  <si>
    <t xml:space="preserve">Candle Real Estate </t>
  </si>
  <si>
    <t xml:space="preserve">Rebaz </t>
  </si>
  <si>
    <t>964 750 552 5454</t>
  </si>
  <si>
    <t xml:space="preserve">Bussiness DAY Real Estate </t>
  </si>
  <si>
    <t xml:space="preserve">Hiwa Hawez Real Estate </t>
  </si>
  <si>
    <t xml:space="preserve">Hiwa </t>
  </si>
  <si>
    <t>0750 460 0827</t>
  </si>
  <si>
    <t>hiwa.realestate2005@gmail.com</t>
  </si>
  <si>
    <t xml:space="preserve">HillS Real Estate </t>
  </si>
  <si>
    <t xml:space="preserve">Hangaw </t>
  </si>
  <si>
    <t>0750 718 8178</t>
  </si>
  <si>
    <t>hills.property21@gmail.com</t>
  </si>
  <si>
    <t xml:space="preserve">Baghy Khoshnawaty Real Estate </t>
  </si>
  <si>
    <t>0750 900 5656</t>
  </si>
  <si>
    <t xml:space="preserve">Kryar Real Estate </t>
  </si>
  <si>
    <t>0750 449 0560</t>
  </si>
  <si>
    <t xml:space="preserve">Zeren real estate </t>
  </si>
  <si>
    <t>964 750 737 5553</t>
  </si>
  <si>
    <t xml:space="preserve">Hadan Real Estate </t>
  </si>
  <si>
    <t xml:space="preserve">RIGHT MOE Real Estate </t>
  </si>
  <si>
    <t xml:space="preserve">0751 440 0600 </t>
  </si>
  <si>
    <t>rightmovecoerbil@gmail.com</t>
  </si>
  <si>
    <t>Hamilton Real Estate</t>
  </si>
  <si>
    <t>964 750 100 7722</t>
  </si>
  <si>
    <t xml:space="preserve"> info@hamiltoniq.com</t>
  </si>
  <si>
    <t>Sun Erbil Real Estate</t>
  </si>
  <si>
    <t>0750 545 2224</t>
  </si>
  <si>
    <t>Helvincompany1@gmail.com</t>
  </si>
  <si>
    <t>ZILLA REALESTATE</t>
  </si>
  <si>
    <t>0750 445 2247</t>
  </si>
  <si>
    <t>zillarealestateco@gmail.com</t>
  </si>
  <si>
    <t xml:space="preserve">MRC Real Estate شركة إم آر سي العقارية </t>
  </si>
  <si>
    <t>0750 550 5858</t>
  </si>
  <si>
    <t>masoud.rozhbayani@gmail.com</t>
  </si>
  <si>
    <t>964 750 445 5322 -- 964 750 100 8222</t>
  </si>
  <si>
    <t xml:space="preserve"> Sky Erbil Real Estate</t>
  </si>
  <si>
    <t>964 750 200 6008</t>
  </si>
  <si>
    <t xml:space="preserve">SKY Real Estate </t>
  </si>
  <si>
    <t>info@skyrealestate.co</t>
  </si>
  <si>
    <t>مليون هاوس العقارية - Million House Real Estate</t>
  </si>
  <si>
    <t>0751 065 5055</t>
  </si>
  <si>
    <t>info@million-house.com</t>
  </si>
  <si>
    <t>Zabun Real Estate</t>
  </si>
  <si>
    <t>info@zabun-realestate.com</t>
  </si>
  <si>
    <t>Green address Real estate</t>
  </si>
  <si>
    <t>0750 333 5678 -- 964(750)4445678</t>
  </si>
  <si>
    <t>info@addresserbil.com</t>
  </si>
  <si>
    <t>00964 750 121 4455</t>
  </si>
  <si>
    <t xml:space="preserve"> info@mpciraq.com</t>
  </si>
  <si>
    <t>DALIL ERBIL REAL ESTATE COMPANY</t>
  </si>
  <si>
    <t>964 750 222 4344</t>
  </si>
  <si>
    <t>info@dalilerbil.com</t>
  </si>
  <si>
    <t>Shkoy Zawy Real Estate</t>
  </si>
  <si>
    <t>0750 103 8585</t>
  </si>
  <si>
    <t>shkoyzawy80@gmail.com</t>
  </si>
  <si>
    <t>0750 695 4343</t>
  </si>
  <si>
    <t>Erbil Real Estate Company</t>
  </si>
  <si>
    <t>964 750 230 4545 -- 964 750 445 2119</t>
  </si>
  <si>
    <t>info@erbilrealestates.com</t>
  </si>
  <si>
    <t>Farhan Salah Real Estate</t>
  </si>
  <si>
    <t>Hersh Husen Real Estate</t>
  </si>
  <si>
    <t>0750 900 5223</t>
  </si>
  <si>
    <t>Muhanad Real Estate</t>
  </si>
  <si>
    <t>North Gate Real Estate</t>
  </si>
  <si>
    <t>Shkr Qasab Real Estate</t>
  </si>
  <si>
    <t>Alam Alaqar Real Estate</t>
  </si>
  <si>
    <t>964 750 016 3939 -- 964 771 022 3939</t>
  </si>
  <si>
    <t>infot@alamalaqarat.com</t>
  </si>
  <si>
    <t>Zaniar Real Estate</t>
  </si>
  <si>
    <t>Mam Younes Real Estate</t>
  </si>
  <si>
    <t>Dlovan Real Estate</t>
  </si>
  <si>
    <t>Tamlik Real Estate</t>
  </si>
  <si>
    <t>0750 600 2003</t>
  </si>
  <si>
    <t>tamlik2018irbil@gmail.com</t>
  </si>
  <si>
    <t xml:space="preserve">Mandok Real Estate </t>
  </si>
  <si>
    <t>0750 322 9493</t>
  </si>
  <si>
    <t>Hawal Real Estate</t>
  </si>
  <si>
    <t>Ali Zangana Real Estate</t>
  </si>
  <si>
    <t>Hamilton Realestate</t>
  </si>
  <si>
    <t>0750 440 1117</t>
  </si>
  <si>
    <t>Info@hamiltoniraq.com</t>
  </si>
  <si>
    <t xml:space="preserve">Dream city </t>
  </si>
  <si>
    <t>Meeri Amed Company</t>
  </si>
  <si>
    <t>0751 726 0000</t>
  </si>
  <si>
    <t xml:space="preserve"> Green Delta Real Estate</t>
  </si>
  <si>
    <t>0772 445 0132</t>
  </si>
  <si>
    <t>info@greendelta.net</t>
  </si>
  <si>
    <t>Rubaru Real Estate</t>
  </si>
  <si>
    <t>0750 428 6119 - 0750 449 0560</t>
  </si>
  <si>
    <t>Rawiar Real Estate</t>
  </si>
  <si>
    <t>0750 544 4040</t>
  </si>
  <si>
    <t xml:space="preserve">عقارات رأس المال Ras Almal </t>
  </si>
  <si>
    <t>Abraj Erbil Real Estate Company</t>
  </si>
  <si>
    <t>0750 258 6565</t>
  </si>
  <si>
    <t xml:space="preserve">Blue Arrow Real Estate </t>
  </si>
  <si>
    <t xml:space="preserve">waled fazil shexani </t>
  </si>
  <si>
    <t>Adam real estate erbil</t>
  </si>
  <si>
    <t>City Edge realestate</t>
  </si>
  <si>
    <t>Sky Colour Real Estate</t>
  </si>
  <si>
    <t xml:space="preserve">said suaad real estae </t>
  </si>
  <si>
    <t xml:space="preserve">Construction - Design - Architectural COMPANIES </t>
  </si>
  <si>
    <t xml:space="preserve">Zarya Construction Company </t>
  </si>
  <si>
    <t>053 511 1058 -- 0772 333 1010 / 0772 333 1030 / 0772 333 1011</t>
  </si>
  <si>
    <t>info@zarya.co</t>
  </si>
  <si>
    <t>https://www.zarya.co/?fbclid=IwY2xjawJPfZ9leHRuA2FlbQIxMAABHaGPjUVTTNmAO8ajweeR6ILlFDTcIHo-eXjm4z02W76ComLaS74qfMpAUg_aem_lIO3sBtJliif-EOPWp75KA</t>
  </si>
  <si>
    <t>Atconz (Erbil)</t>
  </si>
  <si>
    <t xml:space="preserve">Construction companies </t>
  </si>
  <si>
    <t>Zagros Group (Erbil)</t>
  </si>
  <si>
    <t xml:space="preserve"> 7000 964 66 2245470--00 964 66 2242169</t>
  </si>
  <si>
    <t>info@zagros-group.net</t>
  </si>
  <si>
    <t>Pentadam Architecture and Interior Design</t>
  </si>
  <si>
    <t>0771 443 9090</t>
  </si>
  <si>
    <t>Salahaddin Holding (Erbil)</t>
  </si>
  <si>
    <t>Faruk Group (Sulaymaniyah)</t>
  </si>
  <si>
    <t>964 770 119 34 40 -- 964 770 119 34 41</t>
  </si>
  <si>
    <t>info@farukholding.com</t>
  </si>
  <si>
    <t>Nokan Group (Sulaymaniyah)</t>
  </si>
  <si>
    <t>964 (0) 5331 80902 -- 964 (0) 533310118</t>
  </si>
  <si>
    <t xml:space="preserve"> Info@nokangroup.org</t>
  </si>
  <si>
    <t>Ster Group (Erbil)</t>
  </si>
  <si>
    <t>964 750 256 9200 -- 964 66 256 9200</t>
  </si>
  <si>
    <t>info@stercompany.com</t>
  </si>
  <si>
    <t>Zozik Group (Erbil)</t>
  </si>
  <si>
    <t>964 773 008 5153</t>
  </si>
  <si>
    <t>info@zozikgroup.com</t>
  </si>
  <si>
    <t>Darin Group (Erbil)</t>
  </si>
  <si>
    <t xml:space="preserve">964 750 765 4321 </t>
  </si>
  <si>
    <t>info@daringroup.com</t>
  </si>
  <si>
    <t>Hewa Group (Erbil)</t>
  </si>
  <si>
    <t>info@hewa.com</t>
  </si>
  <si>
    <t>https://almabna-alamer.com/en</t>
  </si>
  <si>
    <t>Galala Group (Erbil)</t>
  </si>
  <si>
    <t>laith.kubba@galalagroup.com</t>
  </si>
  <si>
    <t>Kayar Group (Erbil)</t>
  </si>
  <si>
    <t>964 750 131 88 66 -- 964 750 131 88 55</t>
  </si>
  <si>
    <t>info@kayargroup.com</t>
  </si>
  <si>
    <t>Ser-Hat Construction</t>
  </si>
  <si>
    <t>Rehab Holding (Erbil)</t>
  </si>
  <si>
    <t>Miran Group (Sulaymaniyah)</t>
  </si>
  <si>
    <t>964 053 318 0474  -- 964 053 318 0475</t>
  </si>
  <si>
    <t>info@mirangroup.com</t>
  </si>
  <si>
    <t>77 Group</t>
  </si>
  <si>
    <t>964 750 445 5151</t>
  </si>
  <si>
    <t>info@77-construction.com --  altayyar77@yahoo.com</t>
  </si>
  <si>
    <t>Salaei Group</t>
  </si>
  <si>
    <t>964 (0) 750 764 0000</t>
  </si>
  <si>
    <t>https://salaeigroup.com/</t>
  </si>
  <si>
    <t>Senk Group</t>
  </si>
  <si>
    <t>senk4c@hotmail.com</t>
  </si>
  <si>
    <t xml:space="preserve">Rami Holding </t>
  </si>
  <si>
    <t>Khatib &amp; Alami (Lebanon)</t>
  </si>
  <si>
    <t xml:space="preserve">Safe Holding </t>
  </si>
  <si>
    <t>964 750 871 3000</t>
  </si>
  <si>
    <t>info@safeholdingiraq.com</t>
  </si>
  <si>
    <t xml:space="preserve">BC Group </t>
  </si>
  <si>
    <t>90 212 588 13 97</t>
  </si>
  <si>
    <t>info@bcgrouptr.com</t>
  </si>
  <si>
    <t>Mattoni</t>
  </si>
  <si>
    <t>0750 857 3282</t>
  </si>
  <si>
    <t xml:space="preserve">Interior Design </t>
  </si>
  <si>
    <t>964 750 413 2222</t>
  </si>
  <si>
    <t xml:space="preserve"> info@concept-int.net- sales@concept-int.net</t>
  </si>
  <si>
    <t>Orova design</t>
  </si>
  <si>
    <t>atelier designs</t>
  </si>
  <si>
    <t>Raman Interiors</t>
  </si>
  <si>
    <t>0750 583 4000</t>
  </si>
  <si>
    <t>info@raman-interiors.com</t>
  </si>
  <si>
    <t>Shahan Decor</t>
  </si>
  <si>
    <t>964 750 303 0273</t>
  </si>
  <si>
    <t>shahanzerza@gmail.com</t>
  </si>
  <si>
    <t>StarGate</t>
  </si>
  <si>
    <t>Architect &amp; Constrauction CO.</t>
  </si>
  <si>
    <t xml:space="preserve">LENYA Interiors </t>
  </si>
  <si>
    <t>964 (0) 750 636 0000</t>
  </si>
  <si>
    <t>Info@lenyainteriors.com</t>
  </si>
  <si>
    <t>LAVISH DESIGNS</t>
  </si>
  <si>
    <t>0750 980 2121</t>
  </si>
  <si>
    <t>lavishdesign.ld@gmail.com</t>
  </si>
  <si>
    <t>Pillar Architects</t>
  </si>
  <si>
    <t>0750 455 9671</t>
  </si>
  <si>
    <t>info@pillararchitects.com</t>
  </si>
  <si>
    <t>0750 919 0000</t>
  </si>
  <si>
    <t>co.megadesign@gmail.com</t>
  </si>
  <si>
    <t>Raha Architects</t>
  </si>
  <si>
    <t>964 750 209 5000 -- 964 750 209 6000 -- 964 775 009 5000 -- 964 775 009 6000</t>
  </si>
  <si>
    <t>info@raha-architects.com</t>
  </si>
  <si>
    <t>Aram Architecture</t>
  </si>
  <si>
    <t>https://www.arammimarlik.com/</t>
  </si>
  <si>
    <t>info@architecture.com</t>
  </si>
  <si>
    <t xml:space="preserve">Partner Studio </t>
  </si>
  <si>
    <t>964 (0) 750 213 22 77 -- 964 (0) 750 213 22 88</t>
  </si>
  <si>
    <t>contact@partnerstudio.design</t>
  </si>
  <si>
    <t>Wan Architects</t>
  </si>
  <si>
    <t>0751 434 8098</t>
  </si>
  <si>
    <t>wanarchgroup@gmail.com</t>
  </si>
  <si>
    <t>VAR ARCHITECTS</t>
  </si>
  <si>
    <t>MOTIF Architects</t>
  </si>
  <si>
    <t>0750 491 6686</t>
  </si>
  <si>
    <t>motif.arc.erbil@gmail.com</t>
  </si>
  <si>
    <t xml:space="preserve">Remal - رِمال للعَمارة والإنشاء </t>
  </si>
  <si>
    <t>0770 331 5409</t>
  </si>
  <si>
    <t>Info@remaliraq.com</t>
  </si>
  <si>
    <t>CHWARBARDA COMPANY</t>
  </si>
  <si>
    <t>https://chwarbarda.com/</t>
  </si>
  <si>
    <t>info@chwarbarda.com</t>
  </si>
  <si>
    <t>HMH GROUP</t>
  </si>
  <si>
    <t>964 770 446 29 00</t>
  </si>
  <si>
    <t>info@hmhgroup.co</t>
  </si>
  <si>
    <t>SMB Group-Iraq</t>
  </si>
  <si>
    <t>(+964) 750-700-3060 -- (+964) 750-450-5555</t>
  </si>
  <si>
    <t>Info@smbgroup-iq.com</t>
  </si>
  <si>
    <t>https://npbsco.com/government-defense/</t>
  </si>
  <si>
    <t xml:space="preserve">Kurk Construction </t>
  </si>
  <si>
    <t>964 750 271 40 00 / +964 780 271 40 00</t>
  </si>
  <si>
    <t>info@kurk.com.tr</t>
  </si>
  <si>
    <t>GSF Construction</t>
  </si>
  <si>
    <t>964 (0) 750 200 2007</t>
  </si>
  <si>
    <t>info@gsfconstruction.net</t>
  </si>
  <si>
    <t>Segment Co.</t>
  </si>
  <si>
    <t>964 750 861 1111</t>
  </si>
  <si>
    <t>info@segment.pro</t>
  </si>
  <si>
    <t>Millet Holding</t>
  </si>
  <si>
    <t>Al-tareeq for general construction (AGC)</t>
  </si>
  <si>
    <t>07802280777 -- 07706444040</t>
  </si>
  <si>
    <t>0770 154 4414</t>
  </si>
  <si>
    <t xml:space="preserve">Sulimainyah </t>
  </si>
  <si>
    <t>Bestun Group</t>
  </si>
  <si>
    <t>0770 152 5825</t>
  </si>
  <si>
    <t>info@bestungroup.com</t>
  </si>
  <si>
    <t>view pioneer</t>
  </si>
  <si>
    <t>Palkana Company</t>
  </si>
  <si>
    <t>964770154 2783</t>
  </si>
  <si>
    <t>info@palkana.com</t>
  </si>
  <si>
    <t>HAMSA Company</t>
  </si>
  <si>
    <t xml:space="preserve">Najmadeen Group </t>
  </si>
  <si>
    <t>533201003 -- 
0533201004 -- 
0533202209</t>
  </si>
  <si>
    <t xml:space="preserve">HALABJA Group </t>
  </si>
  <si>
    <t>https://www.halabjagroup.com/</t>
  </si>
  <si>
    <t xml:space="preserve">ALNGAR CO. </t>
  </si>
  <si>
    <t>964(0)7701234567 +964(0)7701234567</t>
  </si>
  <si>
    <t>Info@allngar.com</t>
  </si>
  <si>
    <t>https://allngar.com/about/</t>
  </si>
  <si>
    <t xml:space="preserve">Cabin gate - كابين گەیت </t>
  </si>
  <si>
    <t>0774 404 2424</t>
  </si>
  <si>
    <t>info@cabingate.com</t>
  </si>
  <si>
    <t>Astyari Re Company</t>
  </si>
  <si>
    <t>964 773 302 3232</t>
  </si>
  <si>
    <t>info@astyarire.com</t>
  </si>
  <si>
    <t>https://www.lawzand.com/</t>
  </si>
  <si>
    <t xml:space="preserve">Tareeq ADEN شركة طريق عدن </t>
  </si>
  <si>
    <t>AH Group of Companies</t>
  </si>
  <si>
    <t>091-7244440 -- 92 51 111 678 678</t>
  </si>
  <si>
    <t>info@ahgroup-pk.com</t>
  </si>
  <si>
    <t>https://ahgroup-pk.com/contact</t>
  </si>
  <si>
    <t>3DVTC</t>
  </si>
  <si>
    <t>sales@3Dvtc.com</t>
  </si>
  <si>
    <t>https://3dvtc.com/contactus/</t>
  </si>
  <si>
    <t xml:space="preserve">Nergal Company </t>
  </si>
  <si>
    <t>07504647456 -- 07514030220 -- 07700127000</t>
  </si>
  <si>
    <t xml:space="preserve">Nergal.company@gmail.com </t>
  </si>
  <si>
    <t xml:space="preserve">Engineer Hamadamin </t>
  </si>
  <si>
    <t>07504533324 -- 07504779299</t>
  </si>
  <si>
    <t xml:space="preserve">eng.hamadamin@gmail.com </t>
  </si>
  <si>
    <t xml:space="preserve">Asi </t>
  </si>
  <si>
    <t xml:space="preserve">0751 7628060 -- 07510512607 </t>
  </si>
  <si>
    <t>IPS 2022</t>
  </si>
  <si>
    <t>ABF Associates</t>
  </si>
  <si>
    <t>92 321 4215876</t>
  </si>
  <si>
    <t>abfassociates1@gmail.com</t>
  </si>
  <si>
    <t>Amin &amp; Wilson Commercial Brokers</t>
  </si>
  <si>
    <t xml:space="preserve"> 382 68 053 990; +382 68 062 990-- 382 33 688 988</t>
  </si>
  <si>
    <t>sales@ananti.me  salesmanager@ananti.me</t>
  </si>
  <si>
    <t>Architech Europe</t>
  </si>
  <si>
    <t>34 935 00 83 82 -- whats up // 34 633 15 33 03</t>
  </si>
  <si>
    <t>info@architech.es</t>
  </si>
  <si>
    <t xml:space="preserve">Arosa Real Estate - Dubai </t>
  </si>
  <si>
    <t>971 4 328 2000 -- 971 56 991 6229</t>
  </si>
  <si>
    <t>info@arosarealestate.com</t>
  </si>
  <si>
    <t>Ayia Napa Marina</t>
  </si>
  <si>
    <t>info@marinaayianapa.com</t>
  </si>
  <si>
    <t>CONTACTS</t>
  </si>
  <si>
    <t>357 23 300 500</t>
  </si>
  <si>
    <t>RESIDENTIAL SALES</t>
  </si>
  <si>
    <t>sales@marinaayianapa.com</t>
  </si>
  <si>
    <t>MARINA OPERATIONS</t>
  </si>
  <si>
    <t>marinacs@marinaayianapa.com</t>
  </si>
  <si>
    <t>COMMERCIAL DEPARTMENT</t>
  </si>
  <si>
    <t>commercial@marinaayianapa.com</t>
  </si>
  <si>
    <t>EAST TOWER RENTALS PROGRAM</t>
  </si>
  <si>
    <t>reservations@marinaayianapa.com</t>
  </si>
  <si>
    <t>Berna Advogados</t>
  </si>
  <si>
    <t>geral@bernaadvogados.pt</t>
  </si>
  <si>
    <t>https://www.bernaadvogados.pt/home.html</t>
  </si>
  <si>
    <t>Binghatti Holding</t>
  </si>
  <si>
    <t>971 800 15</t>
  </si>
  <si>
    <t>developers@binghatti.com</t>
  </si>
  <si>
    <t>https://www.binghatti.com/en/?_gl=1*spxedd*_gcl_au*MTc0MzE0Njc5Ni4xNzQzODU1MDI2</t>
  </si>
  <si>
    <t>Canopy Sands Development Co. LTD</t>
  </si>
  <si>
    <t>023 215 692 / 215 760/223 065</t>
  </si>
  <si>
    <t>enquiry@canopysands.com</t>
  </si>
  <si>
    <t>https://canopysands.com/en/</t>
  </si>
  <si>
    <t>Casa 10- Golden Visa Portugal</t>
  </si>
  <si>
    <t>(+351) 214 056 000-- (+351) 964 235 300</t>
  </si>
  <si>
    <t>geral@casa10.pt</t>
  </si>
  <si>
    <t>https://www.casa10.pt/contactos</t>
  </si>
  <si>
    <t>Central Business District Punjab</t>
  </si>
  <si>
    <t>042 111 722 332</t>
  </si>
  <si>
    <t>info@cbdpunjab.gov.pk</t>
  </si>
  <si>
    <t>https://www.cbdpunjab.gov.pk/</t>
  </si>
  <si>
    <t>CEO Clubs Network</t>
  </si>
  <si>
    <t>UAE</t>
  </si>
  <si>
    <t xml:space="preserve">USA </t>
  </si>
  <si>
    <t>Telephone:                +971 4 346 1112</t>
  </si>
  <si>
    <t>Phone No: +1 631 944 8438</t>
  </si>
  <si>
    <t>https://ceoclubsnetwork.org/</t>
  </si>
  <si>
    <t>China (Shanghai)</t>
  </si>
  <si>
    <t>Mobile No::                +971 55 3847 066</t>
  </si>
  <si>
    <t>Toll Free No.: 866 828 3905</t>
  </si>
  <si>
    <t>Mobile No::  +86 189 4618 0566</t>
  </si>
  <si>
    <t>E-mail :  info@ceoclubs.ae</t>
  </si>
  <si>
    <t>Email :                       info@ceoclubsnetwork.org</t>
  </si>
  <si>
    <t>Cipriani Residences</t>
  </si>
  <si>
    <t>Confederación Inmobiliaria Latinoamericana (CILA)</t>
  </si>
  <si>
    <t>secretaria@cila.la</t>
  </si>
  <si>
    <t>Construction &amp; Architecture Update Magazine</t>
  </si>
  <si>
    <t>91 9821331672</t>
  </si>
  <si>
    <t>info@erafamemedia.com constructionarchitectureupdate@gmail.com</t>
  </si>
  <si>
    <t>CPS Zanzibar Ltd.</t>
  </si>
  <si>
    <t>255 623 989 900</t>
  </si>
  <si>
    <t>info@cps.africa</t>
  </si>
  <si>
    <t>D &amp; B Properties</t>
  </si>
  <si>
    <t>971 50 596 8114</t>
  </si>
  <si>
    <t>info@dandbdubai.com</t>
  </si>
  <si>
    <t>DigitMe</t>
  </si>
  <si>
    <t>97148928678 -- 201220495762</t>
  </si>
  <si>
    <t>info@digitme.io</t>
  </si>
  <si>
    <t>https://digitme.io/</t>
  </si>
  <si>
    <t>Dirham Real Estate</t>
  </si>
  <si>
    <t>https://e11evenresidences.com/lifebeyond/?utm_source=google&amp;utm_campaign=E11even%20Miami20-%20Broad%20-%20tRoas%20-%20Miami%20Geo&amp;utm_medium=ppc&amp;gad_source=1&amp;gclid=CjwKCAjwzMi_BhACEiwAX4YZULtaV5hqXphfcYoWc43Ujc6ce43i9nwSvBdFwuw9oKbIArdQrdKtRBoCC1AQAvD_BwE</t>
  </si>
  <si>
    <t xml:space="preserve">Daboul Dragon Sales Corporation </t>
  </si>
  <si>
    <t xml:space="preserve"> (+632) 8856.7111 -- (+63) 917.507.8111</t>
  </si>
  <si>
    <t>inquiries@ddsales.com.ph</t>
  </si>
  <si>
    <t>https://doubledragonsales.com.ph/contact/</t>
  </si>
  <si>
    <t>Duke World LLC</t>
  </si>
  <si>
    <t>Elhaj Group</t>
  </si>
  <si>
    <t>90 505 044 2233</t>
  </si>
  <si>
    <t>info@elhajgroup.com</t>
  </si>
  <si>
    <t>https://elhajgroup.com/contact-us</t>
  </si>
  <si>
    <t>Emirates Real Estate Solutions: ERES</t>
  </si>
  <si>
    <t>971 4 2030 203 -- 971 4 203 0541</t>
  </si>
  <si>
    <t>info@eres.ae</t>
  </si>
  <si>
    <t>https://eres.ae/</t>
  </si>
  <si>
    <t>FIABCI- Emirates</t>
  </si>
  <si>
    <t>fiabci-emirates@fiabci.org</t>
  </si>
  <si>
    <t xml:space="preserve">Go Smart Real Estate </t>
  </si>
  <si>
    <t>(+90) 542 808 28 08 -- (+90) 212 222 15 14</t>
  </si>
  <si>
    <t>info@go-smart.com.tr</t>
  </si>
  <si>
    <t>https://go-smart.com.tr/%d8%a7%d8%aa%d8%b5%d9%84-%d8%a8%d9%86%d8%a7/</t>
  </si>
  <si>
    <t>Haider Bin Haider Advocates and Legal Consultants Private Notary Services</t>
  </si>
  <si>
    <t>971 4 2770003</t>
  </si>
  <si>
    <t>info@hbhadvocates.ae</t>
  </si>
  <si>
    <t>https://www.hbhadvocates.ae/</t>
  </si>
  <si>
    <t>HB Family Properties</t>
  </si>
  <si>
    <t xml:space="preserve"> 905388225483 -- 90 555 555 55 41</t>
  </si>
  <si>
    <t>info@homelandtr.com</t>
  </si>
  <si>
    <t>https://homelandtr.com/contact-us</t>
  </si>
  <si>
    <t>Icon Homes Real Estate Brokers</t>
  </si>
  <si>
    <t>971 50 229 8440</t>
  </si>
  <si>
    <t>customerservice@iconhomes.ae</t>
  </si>
  <si>
    <t>Injaz Real Estate Registration Trustee</t>
  </si>
  <si>
    <t>971 4 561 3000</t>
  </si>
  <si>
    <t>cs@injazrt.ae</t>
  </si>
  <si>
    <t>Innovation Experts Real Estate Institute</t>
  </si>
  <si>
    <t>971 4 2393910 -- 971 50 929 9734</t>
  </si>
  <si>
    <t>info@ierei.ae</t>
  </si>
  <si>
    <t>International Realty Group</t>
  </si>
  <si>
    <t>1 305-507-5546</t>
  </si>
  <si>
    <t>office@internationalrg.com</t>
  </si>
  <si>
    <t>IQRA Technologies</t>
  </si>
  <si>
    <t>https://iqratech.ae/</t>
  </si>
  <si>
    <t>Keller Williams Realty</t>
  </si>
  <si>
    <t>1 512-327-3070</t>
  </si>
  <si>
    <t>KL Metro Group</t>
  </si>
  <si>
    <t>603 2144 7768</t>
  </si>
  <si>
    <t>marketing@klmetropolitan.com</t>
  </si>
  <si>
    <t>Limassol Greens</t>
  </si>
  <si>
    <t xml:space="preserve"> Head Office // 357 25 888 777</t>
  </si>
  <si>
    <t xml:space="preserve"> info@limassolgreens.com</t>
  </si>
  <si>
    <t>Luxury Property Team</t>
  </si>
  <si>
    <t>Manju Global</t>
  </si>
  <si>
    <t>971 553 388205 -- 971 558 116938</t>
  </si>
  <si>
    <t>Megaworld International</t>
  </si>
  <si>
    <t>632 8888-6342</t>
  </si>
  <si>
    <t>inquire@megaworld-marketing.com</t>
  </si>
  <si>
    <t>https://megaworldinternational.com/contact/</t>
  </si>
  <si>
    <t>Metro Brokers Florida</t>
  </si>
  <si>
    <t>1 407-237-0905</t>
  </si>
  <si>
    <t>Info@MetroBrokersFL.com</t>
  </si>
  <si>
    <t>Miami Association of Realtors</t>
  </si>
  <si>
    <t>1 305-468-7047</t>
  </si>
  <si>
    <t>info@miamire.com</t>
  </si>
  <si>
    <t>Myron Homes</t>
  </si>
  <si>
    <t>91 77999 49109</t>
  </si>
  <si>
    <t>sales@myronhomes.in</t>
  </si>
  <si>
    <t>Nest Seekers International</t>
  </si>
  <si>
    <t>1 212-360-0036</t>
  </si>
  <si>
    <t>info@nestseekers.com</t>
  </si>
  <si>
    <t>NEXT</t>
  </si>
  <si>
    <t>995 514 11 11 11 -- 995 574 33 00 33</t>
  </si>
  <si>
    <t>info@nextgroup.ge</t>
  </si>
  <si>
    <t>https://nextgroup.ge/contacts?srsltid=AfmBOoqebMSZt3Xe73Y4-Lmt-59iqMsfdxDhH0YFmaeAfQxokTXHbWHf</t>
  </si>
  <si>
    <t xml:space="preserve">NEXT Group </t>
  </si>
  <si>
    <t>1 855-588-8066</t>
  </si>
  <si>
    <t>info@geoln.com</t>
  </si>
  <si>
    <t>On The Move - Mediacao Imobiliaria</t>
  </si>
  <si>
    <t>351 934 144 466</t>
  </si>
  <si>
    <t>geral@grupomove.pt</t>
  </si>
  <si>
    <t>Park Royal Cyprus</t>
  </si>
  <si>
    <t>357 25 431 018</t>
  </si>
  <si>
    <t>alexproperties@cytanet.com.cy</t>
  </si>
  <si>
    <t>PROPERTIES IN SPAIN</t>
  </si>
  <si>
    <t>Property Network Partnership</t>
  </si>
  <si>
    <t>info@pnpworld.com</t>
  </si>
  <si>
    <t>Property Pistol</t>
  </si>
  <si>
    <t>91 8080 190190</t>
  </si>
  <si>
    <t>support@propertypistol.com</t>
  </si>
  <si>
    <t>Quest Cove Properties</t>
  </si>
  <si>
    <t>971 58 645 0298</t>
  </si>
  <si>
    <t>info@questcove.ae</t>
  </si>
  <si>
    <t>RANKme</t>
  </si>
  <si>
    <t>RE/MAX Advance Realty</t>
  </si>
  <si>
    <t>Realty Catalogue</t>
  </si>
  <si>
    <t>20 10 11283167</t>
  </si>
  <si>
    <t>info@realty-eg.net</t>
  </si>
  <si>
    <t>REIDIN</t>
  </si>
  <si>
    <t>971 4 277 68 35</t>
  </si>
  <si>
    <t>info@reidin.com/reidin</t>
  </si>
  <si>
    <t>Samana Developers</t>
  </si>
  <si>
    <t>00971-56-520-4129</t>
  </si>
  <si>
    <t>info@samanadevelopers.com</t>
  </si>
  <si>
    <t>https://www.samanadevelopers.com/contact</t>
  </si>
  <si>
    <t>Seal Real Estate Registration Trustee</t>
  </si>
  <si>
    <t>971 436 17 776</t>
  </si>
  <si>
    <t>info@sealra.com</t>
  </si>
  <si>
    <t>https://www.sealra.com/contact-us/</t>
  </si>
  <si>
    <t>Society of Engineers</t>
  </si>
  <si>
    <t>971 4 239 9555</t>
  </si>
  <si>
    <t>dxbsoe@emirates.net.ae</t>
  </si>
  <si>
    <t>Takhlees Government Services</t>
  </si>
  <si>
    <t>971 4 298 9090</t>
  </si>
  <si>
    <t>info@etakhlees.ae</t>
  </si>
  <si>
    <t>Tamleek Real Estate Registration Trustee</t>
  </si>
  <si>
    <t>971 4 425 6666</t>
  </si>
  <si>
    <t>info@tamleekpt.ae</t>
  </si>
  <si>
    <t>TerraConcept</t>
  </si>
  <si>
    <t>34 922412325‬ (Oficina) --  34 626348054 (Juri)</t>
  </si>
  <si>
    <t xml:space="preserve"> info@terraconcept.es</t>
  </si>
  <si>
    <t>TheGoldenVisa.PT</t>
  </si>
  <si>
    <t>351 91 300 54 64 -- 351 96 219 44 00</t>
  </si>
  <si>
    <t>info@thegoldenvisa.pt</t>
  </si>
  <si>
    <t>ThinkProp</t>
  </si>
  <si>
    <t>97125063011 - Sales -- 97125063011 - Customer Service</t>
  </si>
  <si>
    <t>support@thinkprop.ae</t>
  </si>
  <si>
    <t>TransformologyXR</t>
  </si>
  <si>
    <t>info@transformologyxr.com</t>
  </si>
  <si>
    <t>US Investor Group</t>
  </si>
  <si>
    <t>1 (313) 673-2655</t>
  </si>
  <si>
    <t>info@usinvestorgroup.com</t>
  </si>
  <si>
    <t>Val Morgan Consultancy</t>
  </si>
  <si>
    <t>971 (0) 4-2443032 -- 447473253580</t>
  </si>
  <si>
    <t>info@vmorgan.co.uk</t>
  </si>
  <si>
    <t>Victoria Estates Private Limited</t>
  </si>
  <si>
    <t>ViewIT Real Estate</t>
  </si>
  <si>
    <t>971 50 455 6244</t>
  </si>
  <si>
    <t>WESET.io</t>
  </si>
  <si>
    <t>tech@weset.io</t>
  </si>
  <si>
    <t>Xclusiverse</t>
  </si>
  <si>
    <t>971-58590-0222 - Dubai Branch   40-0722757274 - Bucharest Branch      44-20 3981 3388 - London Branch</t>
  </si>
  <si>
    <t>office@xclusiverse.com</t>
  </si>
  <si>
    <t>Zest Luxury Properties</t>
  </si>
  <si>
    <t>750 734 2006 -- 964 750 666 2006</t>
  </si>
  <si>
    <t>info@zest-property.com</t>
  </si>
  <si>
    <t>IPS -- International Property Show 2024</t>
  </si>
  <si>
    <t>Balance Relators Fiji</t>
  </si>
  <si>
    <t>679 936 4446</t>
  </si>
  <si>
    <t>BALFIN REAL ESTATE</t>
  </si>
  <si>
    <t>355 69 801 4999</t>
  </si>
  <si>
    <t>sales@balfinrealestate.com</t>
  </si>
  <si>
    <t>BOTANICA LUXURY</t>
  </si>
  <si>
    <t>66 (0)9 8394 7097 -- 66 (0)9 2981 4412</t>
  </si>
  <si>
    <t>info@botanicaluxuryvilla.com</t>
  </si>
  <si>
    <t>DREAMLAND OASIS</t>
  </si>
  <si>
    <t>995 32 247 22 33</t>
  </si>
  <si>
    <t xml:space="preserve"> info@hoteloasis.ge</t>
  </si>
  <si>
    <t>DRN REAL ESTATE</t>
  </si>
  <si>
    <t>971 58 558 7880</t>
  </si>
  <si>
    <t>info@dubairealestate.net</t>
  </si>
  <si>
    <t>GO GREECE REAL ESTATE DEVELOPMENT</t>
  </si>
  <si>
    <t>Dubai, UAE</t>
  </si>
  <si>
    <t>Athens, Greece</t>
  </si>
  <si>
    <t>Beirut, Lebanon</t>
  </si>
  <si>
    <t>Baghdad, Iraq</t>
  </si>
  <si>
    <t>United Kingdom</t>
  </si>
  <si>
    <t>Kuwait</t>
  </si>
  <si>
    <t>Email: info@gogreecerealestate.com</t>
  </si>
  <si>
    <t>Call Us: +971 58 8819374</t>
  </si>
  <si>
    <t>Call Us: +30 698 204 3755</t>
  </si>
  <si>
    <t>Call Us: +961 76 787 870</t>
  </si>
  <si>
    <t>Call Us: +964 770 977 6767</t>
  </si>
  <si>
    <t>Call Us: +44 7990 816230</t>
  </si>
  <si>
    <t>Call Us: +965 9945 5787</t>
  </si>
  <si>
    <t>30 210 921 4630</t>
  </si>
  <si>
    <t>Nigeria</t>
  </si>
  <si>
    <t>Australia</t>
  </si>
  <si>
    <t>Saudi Arabia</t>
  </si>
  <si>
    <t>Call Us: +234 906 000 8306</t>
  </si>
  <si>
    <t>Call Us: +61 421 012 345</t>
  </si>
  <si>
    <t>Call Us: +966 54 688 8222</t>
  </si>
  <si>
    <t>INMOBILIARIA BARRERAS TENERIFE S.L.</t>
  </si>
  <si>
    <t>34 822 29 81 28 / +34 638 41 89 17</t>
  </si>
  <si>
    <t>info@barrerastenerife.com</t>
  </si>
  <si>
    <t>INVEST IN GREECE CGI</t>
  </si>
  <si>
    <t>0030 211 415 1815</t>
  </si>
  <si>
    <t>info@investingreececgi.com</t>
  </si>
  <si>
    <t>LIFESIZE PLANS DUBAI</t>
  </si>
  <si>
    <t>61 1300 307 950</t>
  </si>
  <si>
    <t>sydney@lifesizeplans.com</t>
  </si>
  <si>
    <t>dubai@lifesizeplans.com</t>
  </si>
  <si>
    <t>otium.ge</t>
  </si>
  <si>
    <t>995 500 10 20 20</t>
  </si>
  <si>
    <t>info@otium.ge</t>
  </si>
  <si>
    <t>Pafilia Property Developers</t>
  </si>
  <si>
    <t>Cyprus - Head Office</t>
  </si>
  <si>
    <t>Cyprus - Limassol</t>
  </si>
  <si>
    <t>357 26 848 800</t>
  </si>
  <si>
    <t>enquiries@pafilia.com</t>
  </si>
  <si>
    <t>PONTUS GONIO LLC</t>
  </si>
  <si>
    <t xml:space="preserve"> 995 557 51 11 11</t>
  </si>
  <si>
    <t>sales@pontus.ge</t>
  </si>
  <si>
    <t>TAKMEEL REAL ESTATE DEVELOPMENT LLC</t>
  </si>
  <si>
    <t>971523749615  -- 971 045655099 -- 971 45531916</t>
  </si>
  <si>
    <t>info@takmeeluae.com</t>
  </si>
  <si>
    <t>Magnolia Quality Development Corporation Limited</t>
  </si>
  <si>
    <t>66 2 012 4555</t>
  </si>
  <si>
    <t>mqdc@mqdc.com</t>
  </si>
  <si>
    <t>EMS YAPI İNŞ. TAAH. YAT. TİC. LTD. ŞTİ.</t>
  </si>
  <si>
    <t>90 4442067</t>
  </si>
  <si>
    <t>info@ems-yapi.com</t>
  </si>
  <si>
    <t>TEMELTAŞ PROJE GELİŞTİRME İNŞ. SAN. VE TİC. A.Ş.</t>
  </si>
  <si>
    <t>90 212 655 56 57 -- 90 549 684 85 11</t>
  </si>
  <si>
    <t>info@temeltasproje.com.tr</t>
  </si>
  <si>
    <t>Wisrem Property</t>
  </si>
  <si>
    <t>90-532-369 97 76</t>
  </si>
  <si>
    <t>Medeniyetler Yapı Limited Şirketi</t>
  </si>
  <si>
    <t>https://medeniyetleryapi.com/</t>
  </si>
  <si>
    <t>SMN Life - Casa Viva</t>
  </si>
  <si>
    <t>( +90) 535 784 38 45</t>
  </si>
  <si>
    <t>info@smnlife.com</t>
  </si>
  <si>
    <t>Home - PH1 World Developers - Extraordinary Developer</t>
  </si>
  <si>
    <t>0917 815 4348</t>
  </si>
  <si>
    <t>info@ph1world.com</t>
  </si>
  <si>
    <t>AL SAEB REAL ESTATE</t>
  </si>
  <si>
    <t>971 54 273 3000 -- 971-52-858-1000</t>
  </si>
  <si>
    <t>LIVBNB - Short term rental homes in DUBAi</t>
  </si>
  <si>
    <t>971 4 835 7309 -- 971 55 740 1954</t>
  </si>
  <si>
    <t>hello@livbnb.com</t>
  </si>
  <si>
    <t>Next Real Estate - Georgia</t>
  </si>
  <si>
    <t>995 558 7000 88 -- 995 558 7000 88</t>
  </si>
  <si>
    <t>nextgroup@geoln.ge</t>
  </si>
  <si>
    <t>PETRA SEA RESORT LLC</t>
  </si>
  <si>
    <t>995 577 251 251</t>
  </si>
  <si>
    <t xml:space="preserve"> sales@petraresort.ge</t>
  </si>
  <si>
    <t>TERRA CONCEPT</t>
  </si>
  <si>
    <t>97125063011 - Sales --                                    97125063011 - Customer Service</t>
  </si>
  <si>
    <t>https://thinkprop.ae/en?srsltid=AfmBOoq5WCQfoHfqlzTOdQOBdo5uvyrREjaHLqGcvZ6m3EMBzJWJtFvV</t>
  </si>
  <si>
    <t>YAS REAL ESTATE DEVELOPMENT</t>
  </si>
  <si>
    <t xml:space="preserve">yas.realestate@hotmail.com </t>
  </si>
  <si>
    <t>MJ Development</t>
  </si>
  <si>
    <t>33 (0)5 59 03 13 00</t>
  </si>
  <si>
    <t>info@mj-developpement.com</t>
  </si>
  <si>
    <t>Al Rasikhoon Real Estate</t>
  </si>
  <si>
    <t>info@alrasikhoon.com</t>
  </si>
  <si>
    <t>Northernland Construction</t>
  </si>
  <si>
    <t>90 548 818 80 00 -- 90 392 4444 000</t>
  </si>
  <si>
    <t>info@northernlandcyprus.com</t>
  </si>
  <si>
    <t>ARAB LAND REAL ESTATE LLC</t>
  </si>
  <si>
    <t>971-50-300-8018</t>
  </si>
  <si>
    <t>Incredible Ideas</t>
  </si>
  <si>
    <t>92 331 5063936</t>
  </si>
  <si>
    <t>aqeel@incredibleideas.pk</t>
  </si>
  <si>
    <t>Orange.Life! Real Estate</t>
  </si>
  <si>
    <t>971 52 217 8673</t>
  </si>
  <si>
    <t>971 50 7775554</t>
  </si>
  <si>
    <t>info@shuraa.com</t>
  </si>
  <si>
    <t>Tsosa Yapi Insaat</t>
  </si>
  <si>
    <t>90 533 136 69 04</t>
  </si>
  <si>
    <t>info@tsosainsaat.com.tr</t>
  </si>
  <si>
    <t>Property Turkey Istanbul</t>
  </si>
  <si>
    <t>TEKCE Real Estate</t>
  </si>
  <si>
    <t>Spain Tel</t>
  </si>
  <si>
    <t>34 951 83 02 02</t>
  </si>
  <si>
    <t>Türkçe Tel</t>
  </si>
  <si>
    <t>90 850 811 23 23</t>
  </si>
  <si>
    <t>KKTC Tel</t>
  </si>
  <si>
    <t>UAE Tel</t>
  </si>
  <si>
    <t>Sweden Tel</t>
  </si>
  <si>
    <t>46 8 420 022 44</t>
  </si>
  <si>
    <t>SÜPER PROJE PAZARLAMA GAYRİMENKUL DANIŞ. SAN. VE TİC. A.Ş.</t>
  </si>
  <si>
    <t>ALRUWAD REAL ESTATE LLC</t>
  </si>
  <si>
    <t>971 4 343 0111</t>
  </si>
  <si>
    <t>Info@alruwad.ae</t>
  </si>
  <si>
    <t>Intermark Global</t>
  </si>
  <si>
    <t>client@intermark.global</t>
  </si>
  <si>
    <t>invest@intermark.global</t>
  </si>
  <si>
    <t>CITIZENS ENCLAVE</t>
  </si>
  <si>
    <t>971 52 723 8231</t>
  </si>
  <si>
    <t>hello@citizensenclave.com</t>
  </si>
  <si>
    <t>DHA Bahawalpur</t>
  </si>
  <si>
    <t>https://www.dhabahawalpur.com/</t>
  </si>
  <si>
    <t>DHA Gujranwala</t>
  </si>
  <si>
    <t>DHA Islamabad-Rawalpindi</t>
  </si>
  <si>
    <t xml:space="preserve">DHA karachi </t>
  </si>
  <si>
    <t xml:space="preserve">DHA Lahor </t>
  </si>
  <si>
    <t xml:space="preserve">DHA Multan </t>
  </si>
  <si>
    <t xml:space="preserve">DHA Peshawar </t>
  </si>
  <si>
    <t xml:space="preserve">DHA Quetta </t>
  </si>
  <si>
    <t>Carlton Real Estate</t>
  </si>
  <si>
    <t>973 1721 2727</t>
  </si>
  <si>
    <t>https://icarlton.com/</t>
  </si>
  <si>
    <t>IPS International Property Show  2023</t>
  </si>
  <si>
    <t>Angels Investment Group</t>
  </si>
  <si>
    <t>AB Developers</t>
  </si>
  <si>
    <t>Accomi.ae</t>
  </si>
  <si>
    <t>iraq</t>
  </si>
  <si>
    <t>778923713 -- 758883725</t>
  </si>
  <si>
    <t>info@accomi.org</t>
  </si>
  <si>
    <t>Afik Group</t>
  </si>
  <si>
    <t>North cyprus</t>
  </si>
  <si>
    <t xml:space="preserve">90 539 126 26 26 </t>
  </si>
  <si>
    <t>info@afikgroup.org</t>
  </si>
  <si>
    <t>TURKEY</t>
  </si>
  <si>
    <t>Akular</t>
  </si>
  <si>
    <t>1 757-272-1678</t>
  </si>
  <si>
    <t>marketing@akular.com</t>
  </si>
  <si>
    <t>Al Tamimi &amp; Company</t>
  </si>
  <si>
    <t>info@tamimi.com</t>
  </si>
  <si>
    <t>Red</t>
  </si>
  <si>
    <t>Person name</t>
  </si>
  <si>
    <t>Position</t>
  </si>
  <si>
    <t xml:space="preserve">Aqarat Belton </t>
  </si>
  <si>
    <t>Sales Manager</t>
  </si>
  <si>
    <t>0750 809 0002</t>
  </si>
  <si>
    <t>beltonrealestate2013@gmail.com</t>
  </si>
  <si>
    <t>Italy City 1 Office A4</t>
  </si>
  <si>
    <t>Sika LTD</t>
  </si>
  <si>
    <t>Sana Moqabel</t>
  </si>
  <si>
    <t>0770 422 57 87-07730374451</t>
  </si>
  <si>
    <t>moqabel.sana@sika.com</t>
  </si>
  <si>
    <t>Timar Industury-Erbil</t>
  </si>
  <si>
    <t>Marvo Construction Manager</t>
  </si>
  <si>
    <t>Twana Zahawy</t>
  </si>
  <si>
    <t>General Manager</t>
  </si>
  <si>
    <t>0750 605 6663</t>
  </si>
  <si>
    <t>mavro@mavro-iq.com</t>
  </si>
  <si>
    <t>Brayati, Opposite Ministry of Electricity</t>
  </si>
  <si>
    <t>Aldora Steel Door</t>
  </si>
  <si>
    <t>Sales Expert</t>
  </si>
  <si>
    <t>0914 511 3451</t>
  </si>
  <si>
    <t>info@aldoradoor.com</t>
  </si>
  <si>
    <t>Urumie-Iran</t>
  </si>
  <si>
    <t>Khoshnawaty Roof Tile(Qrmid)</t>
  </si>
  <si>
    <t>07504496727-07514496727</t>
  </si>
  <si>
    <t>khoshnawaty44@gmail.com</t>
  </si>
  <si>
    <t>Erbil-100m Psht Family Mall</t>
  </si>
  <si>
    <t>Diamond House Real Estate</t>
  </si>
  <si>
    <t>Hedi Shadi</t>
  </si>
  <si>
    <t>Real Estate Consultant</t>
  </si>
  <si>
    <t>0750 573 8000</t>
  </si>
  <si>
    <t>Dream City</t>
  </si>
  <si>
    <t xml:space="preserve">Obaida </t>
  </si>
  <si>
    <t>0770 200 61 12</t>
  </si>
  <si>
    <t>obeida.amerid@gmail.com</t>
  </si>
  <si>
    <t>Mousil</t>
  </si>
  <si>
    <t xml:space="preserve">Golden Pipe Co. </t>
  </si>
  <si>
    <t xml:space="preserve">Ghazal Mikaeil </t>
  </si>
  <si>
    <t>Sales Engineer</t>
  </si>
  <si>
    <t>0770 947 42 16</t>
  </si>
  <si>
    <t>ghazal.mikaeil@goldenpipe.org</t>
  </si>
  <si>
    <t>Runaki St. Erbil</t>
  </si>
  <si>
    <t>RedLine Architect</t>
  </si>
  <si>
    <t>Aland Ismael</t>
  </si>
  <si>
    <t>Architect Engnieer</t>
  </si>
  <si>
    <t>redlinecompany0@gmail.com</t>
  </si>
  <si>
    <t>MRF Quatro-Erbil</t>
  </si>
  <si>
    <t>Rabar Rasul Architect</t>
  </si>
  <si>
    <t xml:space="preserve">Rabar Rasul </t>
  </si>
  <si>
    <t>0750 4305020</t>
  </si>
  <si>
    <t>rabar.arch@gmail.com</t>
  </si>
  <si>
    <t>Mousil Horizins</t>
  </si>
  <si>
    <t>Mekdad Jameel</t>
  </si>
  <si>
    <t>Consultant Arch</t>
  </si>
  <si>
    <t>0770 160 75 70</t>
  </si>
  <si>
    <t>mekdadj35@gmail.com</t>
  </si>
  <si>
    <t>DECO Kitchen &amp; Interior</t>
  </si>
  <si>
    <t>0750 6206262- 0751620 6262</t>
  </si>
  <si>
    <t>deco.kitchen22@gmail.com</t>
  </si>
  <si>
    <t>Erbil 60m Near Ankawa Bridge</t>
  </si>
  <si>
    <t>Techno System</t>
  </si>
  <si>
    <t>Muhammed Hajar</t>
  </si>
  <si>
    <t>Sales</t>
  </si>
  <si>
    <t>0750 798 7227- 0750 151 9550</t>
  </si>
  <si>
    <t>commercial@dimeqsunited.com</t>
  </si>
  <si>
    <t>Erbil-100m Street Italy 1</t>
  </si>
  <si>
    <t xml:space="preserve">Alan Zangana Printing and Graphic Design </t>
  </si>
  <si>
    <t>Alan N. Zangana</t>
  </si>
  <si>
    <t>751 1383 588- 774 886 6000</t>
  </si>
  <si>
    <t>info@palette-print.com</t>
  </si>
  <si>
    <t>Eng. Omed Grepti</t>
  </si>
  <si>
    <t>Omed Grepti</t>
  </si>
  <si>
    <t>Engnieer</t>
  </si>
  <si>
    <t>750 3418101</t>
  </si>
  <si>
    <t>omedgrepti@gmail.com</t>
  </si>
  <si>
    <t>LUCENT</t>
  </si>
  <si>
    <t>Ozhan Mohammed</t>
  </si>
  <si>
    <t>Interior Architect</t>
  </si>
  <si>
    <t>0750 949 0001</t>
  </si>
  <si>
    <t>info@lucent-iq.com</t>
  </si>
  <si>
    <t>Erbil-100 m</t>
  </si>
  <si>
    <t xml:space="preserve">Dat Architects </t>
  </si>
  <si>
    <t>Dyiar Shareef Mirani</t>
  </si>
  <si>
    <t>CEO</t>
  </si>
  <si>
    <t>0750 9015050</t>
  </si>
  <si>
    <t>diyar.architect@gmail.comMohammed@ainalsayad.com</t>
  </si>
  <si>
    <t xml:space="preserve">Erbil 60m </t>
  </si>
  <si>
    <t>Ain Al Syad Co.</t>
  </si>
  <si>
    <t>Mohammed Ali Qanbar</t>
  </si>
  <si>
    <t>0750 395 0507</t>
  </si>
  <si>
    <t>ainalsayadgroup@gmail.com</t>
  </si>
  <si>
    <t>Elezsi Yapi</t>
  </si>
  <si>
    <t>Mehmet Bulut</t>
  </si>
  <si>
    <t>03124487593 - 0507227 35 20</t>
  </si>
  <si>
    <t>info@elezseyapi.com.tr</t>
  </si>
  <si>
    <t>Ankara</t>
  </si>
  <si>
    <t>Al-Taqa Alhaila</t>
  </si>
  <si>
    <t xml:space="preserve">Saman Muhammad </t>
  </si>
  <si>
    <t>Sale Engineer</t>
  </si>
  <si>
    <t>0750 274 6988</t>
  </si>
  <si>
    <t>sales@altaqalhaila.com</t>
  </si>
  <si>
    <t xml:space="preserve">OJM Group </t>
  </si>
  <si>
    <t>Mohammed Omeed</t>
  </si>
  <si>
    <t>Deputy CEO</t>
  </si>
  <si>
    <t>0770 5000 961</t>
  </si>
  <si>
    <t>mohammedomeed@ojmgroup.co</t>
  </si>
  <si>
    <t>Kerkuk</t>
  </si>
  <si>
    <t>Talal M. Suliman</t>
  </si>
  <si>
    <t>Accountant</t>
  </si>
  <si>
    <t>0750 490 8406</t>
  </si>
  <si>
    <t>accounting@tanjgroup.com</t>
  </si>
  <si>
    <t>Seyd Gaylan Company</t>
  </si>
  <si>
    <t>Luqman Hasil</t>
  </si>
  <si>
    <t>COO</t>
  </si>
  <si>
    <t>0750 404 0446</t>
  </si>
  <si>
    <t>info@seydgaylan.com</t>
  </si>
  <si>
    <t>60m Erbil</t>
  </si>
  <si>
    <t>Sipak Company</t>
  </si>
  <si>
    <t>0750 497 9666- 0750 285 0006</t>
  </si>
  <si>
    <t>sipak.alu@gmail.com</t>
  </si>
  <si>
    <t>HEWA Holding</t>
  </si>
  <si>
    <t>Halmat B. kassab</t>
  </si>
  <si>
    <t>Purchasing&amp; Quality Control Manager</t>
  </si>
  <si>
    <t>751 42401 24</t>
  </si>
  <si>
    <t xml:space="preserve">Atlas plast </t>
  </si>
  <si>
    <t xml:space="preserve">Eng Rizgar - Sales Engineer </t>
  </si>
  <si>
    <t>Hawler@atlasplast.iq</t>
  </si>
  <si>
    <t>DELAV CO.</t>
  </si>
  <si>
    <t xml:space="preserve">Luqman Shekhani - General manager </t>
  </si>
  <si>
    <t>07504774824 -- 7734454000</t>
  </si>
  <si>
    <r>
      <rPr>
        <rFont val="Roboto"/>
        <b/>
        <color rgb="FF1155CC"/>
        <sz val="12.0"/>
        <u/>
      </rPr>
      <t>Delav.co</t>
    </r>
    <r>
      <rPr>
        <rFont val="Roboto"/>
        <b/>
        <color rgb="FF434343"/>
        <sz val="12.0"/>
      </rPr>
      <t xml:space="preserve">@outlook.com - Zshekani@hotmail.com </t>
    </r>
  </si>
  <si>
    <t xml:space="preserve">Halmat Tools </t>
  </si>
  <si>
    <t>07504662282 -- 07504220702</t>
  </si>
  <si>
    <t xml:space="preserve">Isikgucu </t>
  </si>
  <si>
    <t>Azad A.nadir - CEO</t>
  </si>
  <si>
    <t>projects@isikgucu.com</t>
  </si>
  <si>
    <t xml:space="preserve">Firat Boru </t>
  </si>
  <si>
    <t>07507345470 -- 07701386863</t>
  </si>
  <si>
    <t>mahamadbahr5@gmail.com</t>
  </si>
  <si>
    <t xml:space="preserve">Olympic Pool </t>
  </si>
  <si>
    <t>olympicpool@yahoo.com</t>
  </si>
  <si>
    <t>Fine stone Iraq</t>
  </si>
  <si>
    <t xml:space="preserve">hardi abbas - supplier </t>
  </si>
  <si>
    <t>07501345669 -- 07760868789</t>
  </si>
  <si>
    <t>finestoneiraq@gmail.com</t>
  </si>
  <si>
    <t xml:space="preserve">NUBIN - for GRC &amp; GRP prodection </t>
  </si>
  <si>
    <t xml:space="preserve">yaser maqsood - architect </t>
  </si>
  <si>
    <t>nubin1970@gmail.ccom</t>
  </si>
  <si>
    <t xml:space="preserve">key finder </t>
  </si>
  <si>
    <t xml:space="preserve">yousif latif - CEO </t>
  </si>
  <si>
    <t>07501002025 - 07504349819</t>
  </si>
  <si>
    <t>Yusuf.muhammed86@gmail.com</t>
  </si>
  <si>
    <t>sahba technology group</t>
  </si>
  <si>
    <t xml:space="preserve">ENG. Ali AL mutawali - General manager </t>
  </si>
  <si>
    <t xml:space="preserve"> 0750 119 6247 -- 0097144221898 -- 97144221803</t>
  </si>
  <si>
    <t xml:space="preserve">dubaioffice@sahbatechnology.com </t>
  </si>
  <si>
    <t xml:space="preserve">Air flow </t>
  </si>
  <si>
    <t xml:space="preserve">asma - sales manager </t>
  </si>
  <si>
    <t>07727711666 -- 07728811666</t>
  </si>
  <si>
    <t>info@faf.com.co</t>
  </si>
  <si>
    <t xml:space="preserve">Damazrenar </t>
  </si>
  <si>
    <t xml:space="preserve">mahdi - manager </t>
  </si>
  <si>
    <t>07504569139 -- 07704456677</t>
  </si>
  <si>
    <t>info@damazrenar.com</t>
  </si>
  <si>
    <t xml:space="preserve">United Engineers </t>
  </si>
  <si>
    <t xml:space="preserve">Ahmed - Founder </t>
  </si>
  <si>
    <t>ahmed@ue-12.com</t>
  </si>
  <si>
    <t xml:space="preserve">Dr Bashar - Authorised manager </t>
  </si>
  <si>
    <t>07507131726 - 00971507260875</t>
  </si>
  <si>
    <t xml:space="preserve">basharkhayyat@ue-12.com </t>
  </si>
  <si>
    <t xml:space="preserve">Koshki Zinwe </t>
  </si>
  <si>
    <t>Erfan H.Abd</t>
  </si>
  <si>
    <t>07506136400 -- 07763330098</t>
  </si>
  <si>
    <t xml:space="preserve">ba.erfanzebary@gmail.com </t>
  </si>
  <si>
    <t xml:space="preserve">SRA Group </t>
  </si>
  <si>
    <t>07504190072 - 07814029813</t>
  </si>
  <si>
    <t xml:space="preserve">sabahrasullsurchi@gmail.com </t>
  </si>
  <si>
    <t>Liquid Gold</t>
  </si>
  <si>
    <t xml:space="preserve">Vally Ajmaya - account manager </t>
  </si>
  <si>
    <t>vally.a@liquid-gold-co.com</t>
  </si>
  <si>
    <t xml:space="preserve">free power </t>
  </si>
  <si>
    <t xml:space="preserve">mohammed - manager </t>
  </si>
  <si>
    <t xml:space="preserve">mohammedkhudhur1980@gmail.com </t>
  </si>
  <si>
    <t>ARCHI Jaf</t>
  </si>
  <si>
    <t xml:space="preserve">Balenjaf - CEO &amp; Founder </t>
  </si>
  <si>
    <t xml:space="preserve">archijaf.design@gmail.com </t>
  </si>
  <si>
    <t>مصرف المنصور للإستثمار</t>
  </si>
  <si>
    <t xml:space="preserve">Aya jamal - Senior costumer service Officer </t>
  </si>
  <si>
    <t xml:space="preserve">aya.jamal@mansourbank.com </t>
  </si>
  <si>
    <t>Haven Invention</t>
  </si>
  <si>
    <t>sardar barzingi - CEO</t>
  </si>
  <si>
    <t>35840 6241300</t>
  </si>
  <si>
    <t>sarsar.barzingi@haveninvention.com</t>
  </si>
  <si>
    <t xml:space="preserve">Momentum </t>
  </si>
  <si>
    <t xml:space="preserve">Sara swat - Costumer service Officer </t>
  </si>
  <si>
    <t xml:space="preserve">Hezi Asn company </t>
  </si>
  <si>
    <t>07507477213 -- 07514583032</t>
  </si>
  <si>
    <t>heziasn@gmail.com</t>
  </si>
  <si>
    <t xml:space="preserve">MS Architects </t>
  </si>
  <si>
    <t xml:space="preserve">Saad AL- Dabbagh - Founder </t>
  </si>
  <si>
    <t>saad@ms-iraq.com</t>
  </si>
  <si>
    <t>Mosab - AL-Noman</t>
  </si>
  <si>
    <t>Mosad@ms-iraq.com</t>
  </si>
  <si>
    <t xml:space="preserve">Rooberi Zerin </t>
  </si>
  <si>
    <t xml:space="preserve">Jamal qadir - Founder </t>
  </si>
  <si>
    <t xml:space="preserve">Voyage Energy </t>
  </si>
  <si>
    <t xml:space="preserve">Dr saman -Business Manager </t>
  </si>
  <si>
    <t>saman@voyagenergy.net</t>
  </si>
  <si>
    <t xml:space="preserve">HZM Company </t>
  </si>
  <si>
    <t>Hazm Uce</t>
  </si>
  <si>
    <t>07734524929 -- 00905334764929 -- 07508035310</t>
  </si>
  <si>
    <t>hazim.use@semacompany</t>
  </si>
  <si>
    <t xml:space="preserve">Splat </t>
  </si>
  <si>
    <t>Ahmad tarq - accountant</t>
  </si>
  <si>
    <t>07501590619 -- 07502020300</t>
  </si>
  <si>
    <t>ahmadbffe@gmail.com</t>
  </si>
  <si>
    <t xml:space="preserve">Bareaz Group Company </t>
  </si>
  <si>
    <t xml:space="preserve">Yaseen - Owner </t>
  </si>
  <si>
    <t xml:space="preserve">yaseenmahmood@bareazgroup.com </t>
  </si>
  <si>
    <t>Strategic Allies</t>
  </si>
  <si>
    <t>Zanear Jabbar - CEO</t>
  </si>
  <si>
    <t xml:space="preserve">07504618463 -- 07740552525 </t>
  </si>
  <si>
    <t>zanear.ssali@epu.edu.iq  /// info@strategic-allies.iq</t>
  </si>
  <si>
    <t xml:space="preserve">Dhuha Al-Khairo </t>
  </si>
  <si>
    <t xml:space="preserve">info@ms-iraq.com </t>
  </si>
  <si>
    <t xml:space="preserve">ARMADA Decowall </t>
  </si>
  <si>
    <t>iraq@decowall.com.tr</t>
  </si>
  <si>
    <t xml:space="preserve">Roya international Estate Agents </t>
  </si>
  <si>
    <t xml:space="preserve">Aram M.ahmed - CEO </t>
  </si>
  <si>
    <t>0044 (0) 161-383-0303 /// 0044 755243-7575</t>
  </si>
  <si>
    <t xml:space="preserve">aram@royaestates.co.uk </t>
  </si>
  <si>
    <t xml:space="preserve">Wezan group </t>
  </si>
  <si>
    <t>07504469650 -- 07504467589 -- 07503806525</t>
  </si>
  <si>
    <t xml:space="preserve">esmail.wezan@gmail.com </t>
  </si>
  <si>
    <t xml:space="preserve">Eiffel </t>
  </si>
  <si>
    <t xml:space="preserve">mohanad --General manager </t>
  </si>
  <si>
    <t>07703385555 -- 07843385555</t>
  </si>
  <si>
    <t xml:space="preserve">eiffel.co@outlook.com </t>
  </si>
  <si>
    <t>M.A.H.Y Khoory &amp; Co</t>
  </si>
  <si>
    <t xml:space="preserve">Raman goran - Technical arc </t>
  </si>
  <si>
    <t>07506007778 -- 07507117446</t>
  </si>
  <si>
    <t xml:space="preserve">raman@mahykhoory.com </t>
  </si>
  <si>
    <t xml:space="preserve">Ideal Design </t>
  </si>
  <si>
    <t xml:space="preserve">Ari SHekh - CEO &amp; CO_ Founder </t>
  </si>
  <si>
    <t xml:space="preserve">ideal.design.biz@gmail.com </t>
  </si>
  <si>
    <t>IPS International Properrty Show  2022</t>
  </si>
  <si>
    <t>Al Taresh Group</t>
  </si>
  <si>
    <t>971 4 2666345</t>
  </si>
  <si>
    <t>Alsuwaidi &amp; Company</t>
  </si>
  <si>
    <t>DUBAI</t>
  </si>
  <si>
    <t>ABU DHABI</t>
  </si>
  <si>
    <t>AJMAN</t>
  </si>
  <si>
    <t>Tel: +971 4 321 1000</t>
  </si>
  <si>
    <t>Tel: +971 2 626 6696</t>
  </si>
  <si>
    <t>Tel: +971 6 742 1333</t>
  </si>
  <si>
    <t>Fax: +971 4 321 1001</t>
  </si>
  <si>
    <t>Fax: +971 2 626 0505</t>
  </si>
  <si>
    <t>Fax: +971 6 742 0011</t>
  </si>
  <si>
    <t>Email: info@alsuwaidi.ae</t>
  </si>
  <si>
    <t>Email: abudhabi@alsuwaidi.ae</t>
  </si>
  <si>
    <t>Email: ajman@alsuwaidi.ae</t>
  </si>
  <si>
    <t>Amin &amp; Wilson</t>
  </si>
  <si>
    <t>357 23 300 599</t>
  </si>
  <si>
    <t>357 23 300 560</t>
  </si>
  <si>
    <t>geral@bemaadvogados.pt</t>
  </si>
  <si>
    <t xml:space="preserve">Insurance Companies </t>
  </si>
  <si>
    <t xml:space="preserve">Company name </t>
  </si>
  <si>
    <t>Phone NO</t>
  </si>
  <si>
    <t>Website</t>
  </si>
  <si>
    <t xml:space="preserve">Note </t>
  </si>
  <si>
    <t>sent?</t>
  </si>
  <si>
    <t>Website &amp; Adress</t>
  </si>
  <si>
    <t xml:space="preserve">Al Maseer Insurance </t>
  </si>
  <si>
    <r>
      <rPr>
        <b/>
        <color rgb="FF1155CC"/>
        <u/>
      </rPr>
      <t>https://www.al-maseer.com/?page_id=105</t>
    </r>
    <r>
      <rPr>
        <b/>
      </rPr>
      <t>5</t>
    </r>
  </si>
  <si>
    <t>UR International Insurance Company</t>
  </si>
  <si>
    <t>964 750 890 9007</t>
  </si>
  <si>
    <t xml:space="preserve">Wataniya Insurance </t>
  </si>
  <si>
    <t>Info@wataniya.com.sa</t>
  </si>
  <si>
    <t>https://www.wataniya.com.sa/</t>
  </si>
  <si>
    <t xml:space="preserve">Andalus Insurance </t>
  </si>
  <si>
    <t>info@alandalus-iq.com</t>
  </si>
  <si>
    <r>
      <rPr>
        <color rgb="FF1155CC"/>
        <u/>
      </rPr>
      <t>شركة الاندلس للتامين الدولي – Al Andalus Insurance</t>
    </r>
  </si>
  <si>
    <t>Iraq Gate Insurance Brokers LLC</t>
  </si>
  <si>
    <t xml:space="preserve">Banks </t>
  </si>
  <si>
    <t>Agricultural Cooperation Bank</t>
  </si>
  <si>
    <t>Rafidain Bank Baghdad</t>
  </si>
  <si>
    <t>cibiq.info@cibiq.com.iq</t>
  </si>
  <si>
    <t>info@unitedbank.iq</t>
  </si>
  <si>
    <t>customers_care@almosulbank.iq</t>
  </si>
  <si>
    <t>info@ebi.iq</t>
  </si>
  <si>
    <t>admin@kib.iq</t>
  </si>
  <si>
    <t>📇 Company Contact Information</t>
  </si>
  <si>
    <t>Email Address</t>
  </si>
  <si>
    <t>Sahel Al Iraq Co.</t>
  </si>
  <si>
    <t>Industrial Area 1, Sulaymaniyah, Iraq</t>
  </si>
  <si>
    <t>964 770 157 6794</t>
  </si>
  <si>
    <r>
      <rPr>
        <color rgb="FF1155CC"/>
        <sz val="10.0"/>
        <u/>
      </rPr>
      <t>info@saheliraq.com</t>
    </r>
  </si>
  <si>
    <r>
      <rPr>
        <color rgb="FF1155CC"/>
        <sz val="10.0"/>
        <u/>
      </rPr>
      <t>saheliraq.com</t>
    </r>
  </si>
  <si>
    <t>Ajial Baghdad Co.</t>
  </si>
  <si>
    <t>964 771 770 7300</t>
  </si>
  <si>
    <r>
      <rPr>
        <color rgb="FF1155CC"/>
        <sz val="10.0"/>
        <u/>
      </rPr>
      <t>ajial@ajial-baghdad.com</t>
    </r>
  </si>
  <si>
    <r>
      <rPr>
        <color rgb="FF1155CC"/>
        <sz val="10.0"/>
        <u/>
      </rPr>
      <t>ajial-baghdad.com</t>
    </r>
  </si>
  <si>
    <t>Dema Formwork Systems</t>
  </si>
  <si>
    <t>Ankara, Turkey</t>
  </si>
  <si>
    <t>N/A</t>
  </si>
  <si>
    <r>
      <rPr>
        <color rgb="FF1155CC"/>
        <sz val="10.0"/>
        <u/>
      </rPr>
      <t>demaform.com</t>
    </r>
  </si>
  <si>
    <t>100m, Kirkuk Road, Erbil, Iraq</t>
  </si>
  <si>
    <t>964 750 587 1212</t>
  </si>
  <si>
    <r>
      <rPr>
        <color rgb="FF1155CC"/>
        <sz val="10.0"/>
        <u/>
      </rPr>
      <t>info@cihan.com</t>
    </r>
  </si>
  <si>
    <r>
      <rPr>
        <color rgb="FF1155CC"/>
        <sz val="10.0"/>
        <u/>
      </rPr>
      <t>cihan.com</t>
    </r>
  </si>
  <si>
    <t>Cihan City</t>
  </si>
  <si>
    <t>شارع حى العداله...راستى نوى, Erbil, Iraq</t>
  </si>
  <si>
    <t>964 750 232 4343</t>
  </si>
  <si>
    <t>Jedar Company</t>
  </si>
  <si>
    <t>Erbil, Iraq</t>
  </si>
  <si>
    <t>964 750 455 2244</t>
  </si>
  <si>
    <r>
      <rPr>
        <color rgb="FF1155CC"/>
        <sz val="10.0"/>
        <u/>
      </rPr>
      <t>omar.jedar.er@gmail.com</t>
    </r>
  </si>
  <si>
    <t>Palm of Babylon for Advertising and Marketing</t>
  </si>
  <si>
    <t>Q 95 - St-24 - House No.122, Jadriyah, Baghdad, Iraq</t>
  </si>
  <si>
    <t>964 780 080 0900</t>
  </si>
  <si>
    <r>
      <rPr>
        <color rgb="FF1155CC"/>
        <sz val="10.0"/>
        <u/>
      </rPr>
      <t>info@palmofbabylon.com</t>
    </r>
  </si>
  <si>
    <r>
      <rPr>
        <color rgb="FF1155CC"/>
        <sz val="10.0"/>
        <u/>
      </rPr>
      <t>palmofbabylon.com</t>
    </r>
  </si>
  <si>
    <t>Babil International for Trading Agencies Ltd.</t>
  </si>
  <si>
    <t>Hay Babil, Babil Building, No. 124, St. 18, Dis. 929, Karada, Baghdad, Iraq</t>
  </si>
  <si>
    <t>964 770 484 7847</t>
  </si>
  <si>
    <r>
      <rPr>
        <color rgb="FF1155CC"/>
        <sz val="10.0"/>
        <u/>
      </rPr>
      <t>info@babilinternational.com</t>
    </r>
  </si>
  <si>
    <r>
      <rPr>
        <color rgb="FF1155CC"/>
        <sz val="10.0"/>
        <u/>
      </rPr>
      <t>babilinternational.com</t>
    </r>
  </si>
  <si>
    <t>Ashur Babylon Sumer for General Trading</t>
  </si>
  <si>
    <t>40 Baghdad, Younis Street, Dor Al-Sood, Building 13, Iraq</t>
  </si>
  <si>
    <t>964 783 330 3065</t>
  </si>
  <si>
    <t>Cihan Bank - Bajger Branch</t>
  </si>
  <si>
    <t>40m, Gulan Street, Erbil, Iraq</t>
  </si>
  <si>
    <t>964 751 235 7568</t>
  </si>
  <si>
    <r>
      <rPr>
        <color rgb="FF1155CC"/>
        <sz val="10.0"/>
        <u/>
      </rPr>
      <t>br.bajger@cihanbank.com.iq</t>
    </r>
  </si>
  <si>
    <r>
      <rPr>
        <color rgb="FF1155CC"/>
        <sz val="10.0"/>
        <u/>
      </rPr>
      <t>cihanbank.com.iq</t>
    </r>
  </si>
  <si>
    <t>Bank of Babylon</t>
  </si>
  <si>
    <t>Karada, Baghdad, Iraq</t>
  </si>
  <si>
    <t>964 717 99209</t>
  </si>
  <si>
    <r>
      <rPr>
        <color rgb="FF1155CC"/>
        <sz val="10.0"/>
        <u/>
      </rPr>
      <t>info@bbk.iq</t>
    </r>
  </si>
  <si>
    <r>
      <rPr>
        <color rgb="FF1155CC"/>
        <sz val="10.0"/>
        <u/>
      </rPr>
      <t>bbk.iq</t>
    </r>
  </si>
  <si>
    <t>Larsa Trading Bureau</t>
  </si>
  <si>
    <t>Building 88, Karrada District, Baghdad, Iraq</t>
  </si>
  <si>
    <t>964 780 406 3708</t>
  </si>
  <si>
    <r>
      <rPr>
        <color rgb="FF1155CC"/>
        <sz val="10.0"/>
        <u/>
      </rPr>
      <t>info@larsatradingagencies.com</t>
    </r>
  </si>
  <si>
    <r>
      <rPr>
        <color rgb="FF1155CC"/>
        <sz val="10.0"/>
        <u/>
      </rPr>
      <t>larsatradingagencies.com</t>
    </r>
  </si>
  <si>
    <t>Al-Safa Co.</t>
  </si>
  <si>
    <t>Baghdad - New Baghdad - Opposite Diwan Al-Darwish Restaurant</t>
  </si>
  <si>
    <t>964 773 464 4699 / 964 780 498 2196</t>
  </si>
  <si>
    <r>
      <rPr>
        <color rgb="FF1155CC"/>
        <sz val="10.0"/>
        <u/>
      </rPr>
      <t>info@al-safa.com.iq</t>
    </r>
  </si>
  <si>
    <r>
      <rPr>
        <color rgb="FF1155CC"/>
        <sz val="10.0"/>
        <u/>
      </rPr>
      <t>al-safa.com.iq</t>
    </r>
  </si>
  <si>
    <t>Al Safa Residence</t>
  </si>
  <si>
    <t>Shatt Al Arab District, Al Beban, Al Safa Estate Residential Complex, Basra, Iraq</t>
  </si>
  <si>
    <t>964 784 400 0063 / 964 774 400 0063</t>
  </si>
  <si>
    <r>
      <rPr>
        <color rgb="FF1155CC"/>
        <sz val="10.0"/>
        <u/>
      </rPr>
      <t>sales@al-safa.com</t>
    </r>
  </si>
  <si>
    <r>
      <rPr>
        <color rgb="FF1155CC"/>
        <sz val="10.0"/>
        <u/>
      </rPr>
      <t>al-safa.com</t>
    </r>
  </si>
  <si>
    <t>Caparol Paints - Baghdad</t>
  </si>
  <si>
    <t>8CFR+767, Baghdad, Iraq</t>
  </si>
  <si>
    <t>0773 490 4166</t>
  </si>
  <si>
    <r>
      <rPr>
        <color rgb="FF1155CC"/>
        <sz val="10.0"/>
        <u/>
      </rPr>
      <t>info@caparol.ae</t>
    </r>
  </si>
  <si>
    <r>
      <rPr>
        <color rgb="FF1155CC"/>
        <sz val="10.0"/>
        <u/>
      </rPr>
      <t>caparolarabia.com</t>
    </r>
  </si>
  <si>
    <t>Caparol Paints - Wadi Al Ameek</t>
  </si>
  <si>
    <t>Erbil, Kurdistan Regional Government of Iraq</t>
  </si>
  <si>
    <t>964 751 457 0330</t>
  </si>
  <si>
    <r>
      <rPr>
        <color rgb="FF1155CC"/>
        <sz val="10.0"/>
        <u/>
      </rPr>
      <t>wadialameek@gmail.com</t>
    </r>
  </si>
  <si>
    <r>
      <rPr>
        <color rgb="FF1155CC"/>
        <sz val="10.0"/>
        <u/>
      </rPr>
      <t>caparolarabia.com</t>
    </r>
  </si>
  <si>
    <t>Caparol Paints - TAQAT ALBARJSIAH Co</t>
  </si>
  <si>
    <t>Najaf, Iraq</t>
  </si>
  <si>
    <t>964 780 355 1917</t>
  </si>
  <si>
    <r>
      <rPr>
        <color rgb="FF1155CC"/>
        <sz val="10.0"/>
        <u/>
      </rPr>
      <t>basimaltop@yahoo.com</t>
    </r>
  </si>
  <si>
    <r>
      <rPr>
        <color rgb="FF1155CC"/>
        <sz val="10.0"/>
        <u/>
      </rPr>
      <t>caparolarabia.com</t>
    </r>
  </si>
  <si>
    <t>Caparol Paints - Krisk Company</t>
  </si>
  <si>
    <t>Duhok Zirka Rd, Iraq</t>
  </si>
  <si>
    <t>964 750 458 7058</t>
  </si>
  <si>
    <r>
      <rPr>
        <color rgb="FF1155CC"/>
        <sz val="10.0"/>
        <u/>
      </rPr>
      <t>caparol.krisk@gmail.com</t>
    </r>
  </si>
  <si>
    <r>
      <rPr>
        <color rgb="FF1155CC"/>
        <sz val="10.0"/>
        <u/>
      </rPr>
      <t>caparolarabia.com</t>
    </r>
  </si>
  <si>
    <r>
      <rPr>
        <color rgb="FF1155CC"/>
        <sz val="10.0"/>
        <u/>
      </rPr>
      <t>demaform.com</t>
    </r>
  </si>
  <si>
    <t>Sarmad International Group</t>
  </si>
  <si>
    <t>777 599 03 771</t>
  </si>
  <si>
    <r>
      <rPr>
        <color rgb="FF1155CC"/>
        <sz val="10.0"/>
        <u/>
      </rPr>
      <t>info@sarmad-group.com</t>
    </r>
  </si>
  <si>
    <r>
      <rPr>
        <color rgb="FF1155CC"/>
        <sz val="10.0"/>
        <u/>
      </rPr>
      <t>sarmad-group.com</t>
    </r>
  </si>
  <si>
    <t>Sani Company</t>
  </si>
  <si>
    <t>Iraq</t>
  </si>
  <si>
    <t>964 773 325 4109 / 964 783 322 3237</t>
  </si>
  <si>
    <r>
      <rPr>
        <color rgb="FF1155CC"/>
        <sz val="10.0"/>
        <u/>
      </rPr>
      <t>info@sana.iq</t>
    </r>
  </si>
  <si>
    <r>
      <rPr>
        <color rgb="FF1155CC"/>
        <sz val="10.0"/>
        <u/>
      </rPr>
      <t>sana.iq</t>
    </r>
  </si>
  <si>
    <t>Iraqis Hadeed</t>
  </si>
  <si>
    <t>964 783 900 4900</t>
  </si>
  <si>
    <r>
      <rPr>
        <color rgb="FF1155CC"/>
        <sz val="10.0"/>
        <u/>
      </rPr>
      <t>iraqishaded.com</t>
    </r>
  </si>
  <si>
    <t>Algheed Global Company</t>
  </si>
  <si>
    <t>964 780 177 2121</t>
  </si>
  <si>
    <r>
      <rPr>
        <color rgb="FF1155CC"/>
        <sz val="10.0"/>
        <u/>
      </rPr>
      <t>baiaraco@yahoo.com</t>
    </r>
  </si>
  <si>
    <r>
      <rPr>
        <color rgb="FF1155CC"/>
        <sz val="10.0"/>
        <u/>
      </rPr>
      <t>algheed.net</t>
    </r>
  </si>
  <si>
    <t>Bayt Al-Iraq</t>
  </si>
  <si>
    <r>
      <rPr>
        <color rgb="FF1155CC"/>
        <sz val="10.0"/>
        <u/>
      </rPr>
      <t>baytiraq.com</t>
    </r>
  </si>
  <si>
    <t>Petra Magic</t>
  </si>
  <si>
    <t>964 771 430 0300</t>
  </si>
  <si>
    <r>
      <rPr>
        <color rgb="FF1155CC"/>
        <sz val="10.0"/>
        <u/>
      </rPr>
      <t>petramagic.com</t>
    </r>
  </si>
  <si>
    <t>Dragh Towers</t>
  </si>
  <si>
    <t>Al-Mansour/Bijiyah, Baghdad, Iraq</t>
  </si>
  <si>
    <t>Larry Company</t>
  </si>
  <si>
    <t>Gulan Street, Opposite Sofy Mall, Beside MRF Tower, Erbil, Iraq</t>
  </si>
  <si>
    <t>964 750 444 0203 / 964 750 123 1110</t>
  </si>
  <si>
    <r>
      <rPr>
        <color rgb="FF1155CC"/>
        <sz val="10.0"/>
        <u/>
      </rPr>
      <t>info@larry-company.com</t>
    </r>
  </si>
  <si>
    <r>
      <rPr>
        <color rgb="FF1155CC"/>
        <sz val="10.0"/>
        <u/>
      </rPr>
      <t>larry-company.com</t>
    </r>
  </si>
  <si>
    <t>Fourth Dimension</t>
  </si>
  <si>
    <t>964 781 444 4463</t>
  </si>
  <si>
    <r>
      <rPr>
        <color rgb="FF1155CC"/>
        <sz val="10.0"/>
        <u/>
      </rPr>
      <t>4th-dim.com</t>
    </r>
  </si>
  <si>
    <t>Albatek Insurance and Reinsurance Co.</t>
  </si>
  <si>
    <t>No.32, 11th Alley, Quarter 602, near Bilal Mosque, Al-Qadisiyyah, Baghdad, Iraq</t>
  </si>
  <si>
    <t>964 783 780 4538 / 964 773 844 1570</t>
  </si>
  <si>
    <r>
      <rPr>
        <color rgb="FF1155CC"/>
        <sz val="10.0"/>
        <u/>
      </rPr>
      <t>info@albatek.iq</t>
    </r>
  </si>
  <si>
    <r>
      <rPr>
        <color rgb="FF1155CC"/>
        <sz val="10.0"/>
        <u/>
      </rPr>
      <t>albatek.iq</t>
    </r>
  </si>
  <si>
    <t xml:space="preserve">Medhat Group </t>
  </si>
  <si>
    <t>Moayad fadhil</t>
  </si>
  <si>
    <t>964 775 060 1118 --
0775 060 1119</t>
  </si>
  <si>
    <t>iraqmedhat@gmail.com</t>
  </si>
  <si>
    <t xml:space="preserve">Chestertones </t>
  </si>
  <si>
    <t>971 4 381 0200 -- 97155223 3184</t>
  </si>
  <si>
    <t>marketing@chestertons.com</t>
  </si>
  <si>
    <t>AMI Innovative Solutions</t>
  </si>
  <si>
    <t>0771 899 9595 -- 964 783 071 1505 -- 971 585 093 900</t>
  </si>
  <si>
    <t>mohammed@ami-ts.com -- info@ami-ts.com</t>
  </si>
  <si>
    <t xml:space="preserve">Taraf Properties </t>
  </si>
  <si>
    <t>7728770088 -- 07828770088</t>
  </si>
  <si>
    <t>07870031591 -- 07880000200</t>
  </si>
  <si>
    <t xml:space="preserve">Al-Jawahir City </t>
  </si>
  <si>
    <t>Mansour City Residential</t>
  </si>
  <si>
    <t>7744447972 -- 07844447972</t>
  </si>
  <si>
    <t>Ufuq Group for Investment and Development</t>
  </si>
  <si>
    <t>info@ufuq.co.in</t>
  </si>
  <si>
    <t>Qaiwan Steel Factory</t>
  </si>
  <si>
    <t>0780 461 3333 -- 0770461 3333</t>
  </si>
  <si>
    <t>info@almujtabacompany.com.iq
sales@4th-dim.com
info@albatek.iq
info@anfasllc.com
iraq@resimo.com
info@prosperuae.com
info@nicetouchiraq.com
info@marfaa-alkhair.com
info@smartae.ae
info@asistal.com
Info@caparol.ae</t>
  </si>
  <si>
    <t xml:space="preserve">Al-Naji Group </t>
  </si>
  <si>
    <t>info@alnaji.group</t>
  </si>
  <si>
    <t>Larry company</t>
  </si>
  <si>
    <t>964 750 445 02 03</t>
  </si>
  <si>
    <t>شركة سرعة الغزال</t>
  </si>
  <si>
    <t>7866000526 -- 7711095422</t>
  </si>
  <si>
    <t xml:space="preserve">AL-mahaweer </t>
  </si>
  <si>
    <t>Al-Mujtaba Company</t>
  </si>
  <si>
    <t>0780 101 6699</t>
  </si>
  <si>
    <t>info@almujtabacompany.com.iq</t>
  </si>
  <si>
    <t>Bayt Iraqi_البيت العراقي</t>
  </si>
  <si>
    <t>Ali - G M</t>
  </si>
  <si>
    <t>7772020050  -- 7872020050</t>
  </si>
  <si>
    <t>البعد الرابع 4D</t>
  </si>
  <si>
    <t xml:space="preserve"> 07850006743 - 07750006743 -- 0781 444 4463</t>
  </si>
  <si>
    <t>sales@4th-dim.com</t>
  </si>
  <si>
    <t>ALBATEK Insurance Company</t>
  </si>
  <si>
    <t>Swiss complex</t>
  </si>
  <si>
    <t>0774 444 2700 -- 009647744442700</t>
  </si>
  <si>
    <t xml:space="preserve">AL-Omnyat Co For Real Estate and Tourism </t>
  </si>
  <si>
    <t>7744450044 -- 07844450044</t>
  </si>
  <si>
    <t>Resimo - 3D sales application
for Real Estate</t>
  </si>
  <si>
    <t>964 750 549 1766</t>
  </si>
  <si>
    <t>iraq@resimo.com</t>
  </si>
  <si>
    <t xml:space="preserve">Keymax Real Estate </t>
  </si>
  <si>
    <t xml:space="preserve">Prosper INTL real estate </t>
  </si>
  <si>
    <t>971 56 526 4300</t>
  </si>
  <si>
    <t>info@prosperuae.com</t>
  </si>
  <si>
    <t xml:space="preserve">Nice Touch </t>
  </si>
  <si>
    <t xml:space="preserve"> 964 771 777 2043 -- 964 781 888 2044</t>
  </si>
  <si>
    <t>info@nicetouchiraq.com</t>
  </si>
  <si>
    <t xml:space="preserve">City EDGE </t>
  </si>
  <si>
    <t xml:space="preserve">Petra Magic - Iraq </t>
  </si>
  <si>
    <t>964 07714300300  -- Jordan // 962 795100098</t>
  </si>
  <si>
    <t>Marfaa Al Khair Developers &amp; Real Estate</t>
  </si>
  <si>
    <t>7744490444 -- 07844490444</t>
  </si>
  <si>
    <t>Smart Automation Energy – SmartAE</t>
  </si>
  <si>
    <t>971 4 3794984 -- 971 4 3794986</t>
  </si>
  <si>
    <t>info@smartae.ae</t>
  </si>
  <si>
    <t>Asistal</t>
  </si>
  <si>
    <t>90 (282) 652 50 96 -- 90 (282) 652 56 76</t>
  </si>
  <si>
    <t>info@asistal.com</t>
  </si>
  <si>
    <t xml:space="preserve">Cihan Group </t>
  </si>
  <si>
    <t xml:space="preserve">Mahmud Latif </t>
  </si>
  <si>
    <t xml:space="preserve">964 750 454 11 63 </t>
  </si>
  <si>
    <t>Caparol Paint</t>
  </si>
  <si>
    <t>971 56 171 7380</t>
  </si>
  <si>
    <t>Info@caparol.ae</t>
  </si>
  <si>
    <t>cCihan city</t>
  </si>
  <si>
    <t>0750 231 4343</t>
  </si>
  <si>
    <t xml:space="preserve">Cihan Le Gulan </t>
  </si>
  <si>
    <t xml:space="preserve">Downtown Baghdad - داون تاون بغداد </t>
  </si>
  <si>
    <t xml:space="preserve">Raban al safina group </t>
  </si>
  <si>
    <t>971 4 337 7551</t>
  </si>
  <si>
    <t xml:space="preserve">جستر جونز </t>
  </si>
  <si>
    <t>PSI</t>
  </si>
  <si>
    <t>971 50 486 0604</t>
  </si>
  <si>
    <t>971 50 496 56 54 --- 971 4 508 8000</t>
  </si>
  <si>
    <t xml:space="preserve">The Address </t>
  </si>
  <si>
    <t xml:space="preserve">Abdullah Mohammed </t>
  </si>
  <si>
    <t xml:space="preserve">07508986009 -- 971 4 248 8553 </t>
  </si>
  <si>
    <t xml:space="preserve">عصر التکوین </t>
  </si>
  <si>
    <t>0783 222 8887</t>
  </si>
  <si>
    <t xml:space="preserve">Dler Company </t>
  </si>
  <si>
    <t xml:space="preserve">Mustafa N.Muhammed </t>
  </si>
  <si>
    <t>07504488075 - 07748888075</t>
  </si>
  <si>
    <t xml:space="preserve">BG </t>
  </si>
  <si>
    <t xml:space="preserve">امل بغداد </t>
  </si>
  <si>
    <t xml:space="preserve">Resiom </t>
  </si>
  <si>
    <t xml:space="preserve">Marbel </t>
  </si>
  <si>
    <t xml:space="preserve">ibazzar </t>
  </si>
  <si>
    <t xml:space="preserve">مصنع الصفا </t>
  </si>
  <si>
    <t xml:space="preserve">Rayeh Beton </t>
  </si>
  <si>
    <t xml:space="preserve">Sanaye Push </t>
  </si>
  <si>
    <t xml:space="preserve">SENI PAK </t>
  </si>
  <si>
    <t xml:space="preserve">Chadormalu Mining </t>
  </si>
  <si>
    <t xml:space="preserve">Al Naji Group </t>
  </si>
  <si>
    <t xml:space="preserve">Jedar City </t>
  </si>
  <si>
    <t xml:space="preserve">نور المیدان </t>
  </si>
  <si>
    <t xml:space="preserve">آلأمنیات </t>
  </si>
  <si>
    <t xml:space="preserve">کابرول </t>
  </si>
  <si>
    <t xml:space="preserve">اجیال بغداد </t>
  </si>
  <si>
    <t xml:space="preserve">Babylon General Trading </t>
  </si>
  <si>
    <t xml:space="preserve">آلفلین </t>
  </si>
  <si>
    <t xml:space="preserve">سلس </t>
  </si>
  <si>
    <t xml:space="preserve">آلشرق العربیة </t>
  </si>
  <si>
    <t xml:space="preserve">آبداع الأنشاء </t>
  </si>
  <si>
    <t xml:space="preserve">yaser </t>
  </si>
  <si>
    <t xml:space="preserve">المحاور الفنیة </t>
  </si>
  <si>
    <t xml:space="preserve">Arabian Plastic Development Factory </t>
  </si>
  <si>
    <t xml:space="preserve">Ahmed Baz </t>
  </si>
  <si>
    <t xml:space="preserve">باتك </t>
  </si>
  <si>
    <t xml:space="preserve">تماکس </t>
  </si>
  <si>
    <t xml:space="preserve">الانفاس </t>
  </si>
  <si>
    <t xml:space="preserve">Sarmad steel </t>
  </si>
  <si>
    <t xml:space="preserve">Ajial Baghdad </t>
  </si>
  <si>
    <t xml:space="preserve">9647833485868 -- 7713615186 </t>
  </si>
  <si>
    <t xml:space="preserve">Smart Arab East </t>
  </si>
  <si>
    <t xml:space="preserve">Yasir Al-Shuwaili </t>
  </si>
  <si>
    <t>Company</t>
  </si>
  <si>
    <t>Sector</t>
  </si>
  <si>
    <t>Phone</t>
  </si>
  <si>
    <t>Cushman &amp; Wakefield Qatar</t>
  </si>
  <si>
    <t>Real Estate &amp; Development</t>
  </si>
  <si>
    <r>
      <rPr>
        <b/>
        <color rgb="FF1155CC"/>
        <sz val="11.0"/>
        <u/>
      </rPr>
      <t>cushmanwakefield.qa</t>
    </r>
  </si>
  <si>
    <t>974 4483 7398 / +974 4483 7388</t>
  </si>
  <si>
    <r>
      <rPr>
        <b/>
        <color rgb="FF1155CC"/>
        <sz val="11.0"/>
        <u/>
      </rPr>
      <t>infoqatar@cushwake.qa</t>
    </r>
  </si>
  <si>
    <t>Contacted?</t>
  </si>
  <si>
    <t>Citadel Real Estate</t>
  </si>
  <si>
    <r>
      <rPr>
        <b/>
        <color rgb="FF1155CC"/>
        <sz val="11.0"/>
        <u/>
      </rPr>
      <t>citadel.com.qa</t>
    </r>
  </si>
  <si>
    <t>974 4441 1148 / +974 5016 0133</t>
  </si>
  <si>
    <r>
      <rPr>
        <b/>
        <color rgb="FF1155CC"/>
        <sz val="11.0"/>
        <u/>
      </rPr>
      <t>info@citadel.com.qa</t>
    </r>
  </si>
  <si>
    <t>MQ Interiors</t>
  </si>
  <si>
    <t>Architecture &amp; Interior Design</t>
  </si>
  <si>
    <r>
      <rPr>
        <b/>
        <color rgb="FF1155CC"/>
        <sz val="11.0"/>
        <u/>
      </rPr>
      <t>mqinteriordesign.com</t>
    </r>
  </si>
  <si>
    <t>974 4495 4960</t>
  </si>
  <si>
    <r>
      <rPr>
        <b/>
        <color rgb="FF1155CC"/>
        <sz val="11.0"/>
        <u/>
      </rPr>
      <t>info@mqinteriordesign.com</t>
    </r>
  </si>
  <si>
    <t>Space Art Architecture &amp; Interior Design</t>
  </si>
  <si>
    <r>
      <rPr>
        <b/>
        <color rgb="FF1155CC"/>
        <sz val="11.0"/>
        <u/>
      </rPr>
      <t>spacegroup.com.qa</t>
    </r>
  </si>
  <si>
    <t>974 5585 9831 / +974 4488 3020</t>
  </si>
  <si>
    <r>
      <rPr>
        <b/>
        <color rgb="FF1155CC"/>
        <sz val="11.0"/>
        <u/>
      </rPr>
      <t>art@spacegroup.com.qa</t>
    </r>
  </si>
  <si>
    <t>Qatar Engineering &amp; Construction Company (Qcon)</t>
  </si>
  <si>
    <t>Construction &amp; Engineering</t>
  </si>
  <si>
    <r>
      <rPr>
        <b/>
        <color rgb="FF1155CC"/>
        <sz val="11.0"/>
        <u/>
      </rPr>
      <t>qcon.com.qa</t>
    </r>
  </si>
  <si>
    <t>974 4458 7200</t>
  </si>
  <si>
    <r>
      <rPr>
        <b/>
        <color rgb="FF1155CC"/>
        <sz val="11.0"/>
        <u/>
      </rPr>
      <t>qcon@qcon.com.qa</t>
    </r>
  </si>
  <si>
    <t>Midmac Contracting Co. W.L.L</t>
  </si>
  <si>
    <r>
      <rPr>
        <b/>
        <color rgb="FF1155CC"/>
        <sz val="11.0"/>
        <u/>
      </rPr>
      <t>midmac.net</t>
    </r>
  </si>
  <si>
    <t>974 4452 9452</t>
  </si>
  <si>
    <r>
      <rPr>
        <b/>
        <color rgb="FF1155CC"/>
        <sz val="11.0"/>
        <u/>
      </rPr>
      <t>info@midmac.net</t>
    </r>
  </si>
  <si>
    <t>Global Axis Immigration Services</t>
  </si>
  <si>
    <t>Forex &amp; Citizenship Services</t>
  </si>
  <si>
    <r>
      <rPr>
        <b/>
        <color rgb="FF1155CC"/>
        <sz val="11.0"/>
        <u/>
      </rPr>
      <t>globalaxis.qa</t>
    </r>
  </si>
  <si>
    <t>974 4141 1515</t>
  </si>
  <si>
    <r>
      <rPr>
        <b/>
        <color rgb="FF1155CC"/>
        <sz val="11.0"/>
        <u/>
      </rPr>
      <t>info@globalaxis.qa</t>
    </r>
  </si>
  <si>
    <t>Victoria Global Services</t>
  </si>
  <si>
    <r>
      <rPr>
        <b/>
        <color rgb="FF1155CC"/>
        <sz val="11.0"/>
        <u/>
      </rPr>
      <t>victoriaglobalservices.com</t>
    </r>
  </si>
  <si>
    <t>974 4415 3983</t>
  </si>
  <si>
    <r>
      <rPr>
        <b/>
        <color rgb="FF1155CC"/>
        <sz val="11.0"/>
        <u/>
      </rPr>
      <t>info@victoriaglobalservices.com</t>
    </r>
  </si>
  <si>
    <t>Rayo IT Solutions</t>
  </si>
  <si>
    <t>Software &amp; PropTech</t>
  </si>
  <si>
    <r>
      <rPr>
        <b/>
        <color rgb="FF1155CC"/>
        <sz val="11.0"/>
        <u/>
      </rPr>
      <t>rayo.qa</t>
    </r>
  </si>
  <si>
    <t>974 5578 8861 / +974 5206 5511</t>
  </si>
  <si>
    <r>
      <rPr>
        <b/>
        <color rgb="FF1155CC"/>
        <sz val="11.0"/>
        <u/>
      </rPr>
      <t>info@rayo.qa</t>
    </r>
    <r>
      <rPr>
        <b/>
        <sz val="11.0"/>
      </rPr>
      <t xml:space="preserve"> / </t>
    </r>
    <r>
      <rPr>
        <b/>
        <color rgb="FF1155CC"/>
        <sz val="11.0"/>
        <u/>
      </rPr>
      <t>sales@rayo.qa</t>
    </r>
  </si>
  <si>
    <t>Switchin</t>
  </si>
  <si>
    <r>
      <rPr>
        <b/>
        <color rgb="FF1155CC"/>
        <sz val="11.0"/>
        <u/>
      </rPr>
      <t>myswitchin.com</t>
    </r>
  </si>
  <si>
    <t>Qatar National Bank (QNB)</t>
  </si>
  <si>
    <t>Banking, Investment &amp; Finance</t>
  </si>
  <si>
    <r>
      <rPr>
        <b/>
        <color rgb="FF1155CC"/>
        <sz val="11.0"/>
        <u/>
      </rPr>
      <t>qnb.com</t>
    </r>
  </si>
  <si>
    <t>974 4440 7407</t>
  </si>
  <si>
    <t>QInvest</t>
  </si>
  <si>
    <r>
      <rPr>
        <b/>
        <color rgb="FF1155CC"/>
        <sz val="11.0"/>
        <u/>
      </rPr>
      <t>qinvest.com</t>
    </r>
  </si>
  <si>
    <t>974 4405 6666</t>
  </si>
  <si>
    <r>
      <rPr>
        <b/>
        <color rgb="FF1155CC"/>
        <sz val="11.0"/>
        <u/>
      </rPr>
      <t>info@qinvest.com</t>
    </r>
  </si>
  <si>
    <t>🏢 Real Estate &amp; Development</t>
  </si>
  <si>
    <t>962 6 561 0560</t>
  </si>
  <si>
    <t>Barwa Real Estate Company Q.P.S.C</t>
  </si>
  <si>
    <t>Doha</t>
  </si>
  <si>
    <r>
      <rPr>
        <b/>
        <color rgb="FF1155CC"/>
        <sz val="11.0"/>
        <u/>
      </rPr>
      <t>barwa.com.qa</t>
    </r>
  </si>
  <si>
    <t>Qatari Diar Real Estate Investment</t>
  </si>
  <si>
    <r>
      <rPr>
        <b/>
        <color rgb="FF1155CC"/>
        <sz val="11.0"/>
        <u/>
      </rPr>
      <t>qatari-diar.com</t>
    </r>
  </si>
  <si>
    <t>Msheireb Properties</t>
  </si>
  <si>
    <t>974 4000 4000</t>
  </si>
  <si>
    <r>
      <rPr>
        <b/>
        <color rgb="FF1155CC"/>
        <sz val="11.0"/>
        <u/>
      </rPr>
      <t>msheireb.com</t>
    </r>
  </si>
  <si>
    <t>Ezdan Real Estate WLL</t>
  </si>
  <si>
    <t>974 4499 9999</t>
  </si>
  <si>
    <r>
      <rPr>
        <b/>
        <color rgb="FF1155CC"/>
        <sz val="11.0"/>
        <u/>
      </rPr>
      <t>ezdanholding.qa</t>
    </r>
  </si>
  <si>
    <t>Alfardan Properties</t>
  </si>
  <si>
    <t>974 4440 8300</t>
  </si>
  <si>
    <r>
      <rPr>
        <b/>
        <color rgb="FF1155CC"/>
        <sz val="11.0"/>
        <u/>
      </rPr>
      <t>info@alfardanproperties.com</t>
    </r>
  </si>
  <si>
    <r>
      <rPr>
        <b/>
        <color rgb="FF1155CC"/>
        <sz val="11.0"/>
        <u/>
      </rPr>
      <t>alfardanproperties.com</t>
    </r>
  </si>
  <si>
    <t>Retaj Real Estate</t>
  </si>
  <si>
    <t>974 4441 8888</t>
  </si>
  <si>
    <r>
      <rPr>
        <b/>
        <color rgb="FF1155CC"/>
        <sz val="11.0"/>
        <u/>
      </rPr>
      <t>info@retaj.com</t>
    </r>
  </si>
  <si>
    <r>
      <rPr>
        <b/>
        <color rgb="FF1155CC"/>
        <sz val="11.0"/>
        <u/>
      </rPr>
      <t>retaj.com</t>
    </r>
  </si>
  <si>
    <t>Al Jazi Real Estate</t>
  </si>
  <si>
    <t>974 4483 3958</t>
  </si>
  <si>
    <r>
      <rPr>
        <b/>
        <color rgb="FF1155CC"/>
        <sz val="11.0"/>
        <u/>
      </rPr>
      <t>info@aljazi.com.qa</t>
    </r>
  </si>
  <si>
    <r>
      <rPr>
        <b/>
        <color rgb="FF1155CC"/>
        <sz val="11.0"/>
        <u/>
      </rPr>
      <t>aljazi.com.qa</t>
    </r>
  </si>
  <si>
    <t>Capital One Real Estate</t>
  </si>
  <si>
    <t>974 4458 0786</t>
  </si>
  <si>
    <r>
      <rPr>
        <b/>
        <color rgb="FF1155CC"/>
        <sz val="11.0"/>
        <u/>
      </rPr>
      <t>info@capitaloneqa.com</t>
    </r>
  </si>
  <si>
    <r>
      <rPr>
        <b/>
        <color rgb="FF1155CC"/>
        <sz val="11.0"/>
        <u/>
      </rPr>
      <t>capitaloneqa.com</t>
    </r>
  </si>
  <si>
    <t>FGREALTY Qatar</t>
  </si>
  <si>
    <t>974 3045 145</t>
  </si>
  <si>
    <r>
      <rPr>
        <b/>
        <color rgb="FF1155CC"/>
        <sz val="11.0"/>
        <u/>
      </rPr>
      <t>info@fgrealty.qa</t>
    </r>
  </si>
  <si>
    <r>
      <rPr>
        <b/>
        <color rgb="FF1155CC"/>
        <sz val="11.0"/>
        <u/>
      </rPr>
      <t>fgrealty.qa</t>
    </r>
  </si>
  <si>
    <t>Coreo Real Estate</t>
  </si>
  <si>
    <t>974 4016 700</t>
  </si>
  <si>
    <r>
      <rPr>
        <b/>
        <color rgb="FF1155CC"/>
        <sz val="11.0"/>
        <u/>
      </rPr>
      <t>info@mycoreo.com</t>
    </r>
  </si>
  <si>
    <t>🏛 Architecture &amp; Interior Design</t>
  </si>
  <si>
    <t>Arab Engineering Bureau (AEB)</t>
  </si>
  <si>
    <t>974 4433 6444</t>
  </si>
  <si>
    <r>
      <rPr>
        <b/>
        <color rgb="FF1155CC"/>
        <sz val="11.0"/>
        <u/>
      </rPr>
      <t>info@aeb-qatar.com</t>
    </r>
  </si>
  <si>
    <r>
      <rPr>
        <b/>
        <color rgb="FF1155CC"/>
        <sz val="11.0"/>
        <u/>
      </rPr>
      <t>aeb-qatar.com</t>
    </r>
  </si>
  <si>
    <t>Khatib &amp; Alami</t>
  </si>
  <si>
    <t>974 4433 0000</t>
  </si>
  <si>
    <r>
      <rPr>
        <b/>
        <color rgb="FF1155CC"/>
        <sz val="11.0"/>
        <u/>
      </rPr>
      <t>info@khatibalami.com</t>
    </r>
  </si>
  <si>
    <r>
      <rPr>
        <b/>
        <color rgb="FF1155CC"/>
        <sz val="11.0"/>
        <u/>
      </rPr>
      <t>khatibalami.com</t>
    </r>
  </si>
  <si>
    <t>Arab Architects</t>
  </si>
  <si>
    <t>974 4432 1234</t>
  </si>
  <si>
    <r>
      <rPr>
        <b/>
        <color rgb="FF1155CC"/>
        <sz val="11.0"/>
        <u/>
      </rPr>
      <t>info@arabarchitects.com</t>
    </r>
  </si>
  <si>
    <r>
      <rPr>
        <b/>
        <color rgb="FF1155CC"/>
        <sz val="11.0"/>
        <u/>
      </rPr>
      <t>arabarchitects.com</t>
    </r>
  </si>
  <si>
    <t>Design House</t>
  </si>
  <si>
    <t>974 4466 7788</t>
  </si>
  <si>
    <r>
      <rPr>
        <b/>
        <color rgb="FF1155CC"/>
        <sz val="11.0"/>
        <u/>
      </rPr>
      <t>info@designhouse.qa</t>
    </r>
  </si>
  <si>
    <r>
      <rPr>
        <b/>
        <color rgb="FF1155CC"/>
        <sz val="11.0"/>
        <u/>
      </rPr>
      <t>designhouse.qa</t>
    </r>
  </si>
  <si>
    <t>Mirabello Interiors</t>
  </si>
  <si>
    <t>974 4458 2321</t>
  </si>
  <si>
    <r>
      <rPr>
        <b/>
        <color rgb="FF1155CC"/>
        <sz val="11.0"/>
        <u/>
      </rPr>
      <t>info@mirabellointeriors.com</t>
    </r>
  </si>
  <si>
    <r>
      <rPr>
        <b/>
        <color rgb="FF1155CC"/>
        <sz val="11.0"/>
        <u/>
      </rPr>
      <t>mirabellointeriors.com</t>
    </r>
  </si>
  <si>
    <t>Space Art Architecture and Interior Design</t>
  </si>
  <si>
    <t>974 4488 3020</t>
  </si>
  <si>
    <r>
      <rPr>
        <b/>
        <color rgb="FF1155CC"/>
        <sz val="11.0"/>
        <u/>
      </rPr>
      <t>art@spacegroup.com.qa</t>
    </r>
  </si>
  <si>
    <r>
      <rPr>
        <b/>
        <color rgb="FF1155CC"/>
        <sz val="11.0"/>
        <u/>
      </rPr>
      <t>spacegroup.com.qa</t>
    </r>
  </si>
  <si>
    <t>Almana &amp; Partners</t>
  </si>
  <si>
    <t>974 4444 4444</t>
  </si>
  <si>
    <r>
      <rPr>
        <b/>
        <color rgb="FF1155CC"/>
        <sz val="11.0"/>
        <u/>
      </rPr>
      <t>info@almana.com</t>
    </r>
  </si>
  <si>
    <r>
      <rPr>
        <b/>
        <color rgb="FF1155CC"/>
        <sz val="11.0"/>
        <u/>
      </rPr>
      <t>almana.com</t>
    </r>
  </si>
  <si>
    <t>Qatar Design Consortium (QDC)</t>
  </si>
  <si>
    <t>974 4435 5555</t>
  </si>
  <si>
    <r>
      <rPr>
        <b/>
        <color rgb="FF1155CC"/>
        <sz val="11.0"/>
        <u/>
      </rPr>
      <t>info@qdcqatar.com</t>
    </r>
  </si>
  <si>
    <r>
      <rPr>
        <b/>
        <color rgb="FF1155CC"/>
        <sz val="11.0"/>
        <u/>
      </rPr>
      <t>qdcqatar.com</t>
    </r>
  </si>
  <si>
    <t>Arab Engineering Bureau</t>
  </si>
  <si>
    <r>
      <rPr>
        <b/>
        <color rgb="FF1155CC"/>
        <sz val="11.0"/>
        <u/>
      </rPr>
      <t>info@aeb-qatar.com</t>
    </r>
  </si>
  <si>
    <r>
      <rPr>
        <b/>
        <color rgb="FF1155CC"/>
        <sz val="11.0"/>
        <u/>
      </rPr>
      <t>aeb-qatar.com</t>
    </r>
  </si>
  <si>
    <t>Gulf Engineering &amp; Industrial Consultancy (GEIC)</t>
  </si>
  <si>
    <t>974 4444 5555</t>
  </si>
  <si>
    <r>
      <rPr>
        <b/>
        <color rgb="FF1155CC"/>
        <sz val="11.0"/>
        <u/>
      </rPr>
      <t>info@geicqatar.com</t>
    </r>
  </si>
  <si>
    <r>
      <rPr>
        <b/>
        <color rgb="FF1155CC"/>
        <sz val="11.0"/>
        <u/>
      </rPr>
      <t>g</t>
    </r>
  </si>
  <si>
    <t>🚧 Construction &amp; Engineering</t>
  </si>
  <si>
    <t>info@midmac.net</t>
  </si>
  <si>
    <r>
      <rPr>
        <b/>
        <color rgb="FF1155CC"/>
        <sz val="11.0"/>
        <u/>
      </rPr>
      <t>midmac.net</t>
    </r>
  </si>
  <si>
    <t>qcon@qcon.com.qa</t>
  </si>
  <si>
    <r>
      <rPr>
        <b/>
        <color rgb="FF1155CC"/>
        <sz val="11.0"/>
        <u/>
      </rPr>
      <t>qcon.com.qa</t>
    </r>
  </si>
  <si>
    <t>Urbacon Trading &amp; Contracting (UCC)</t>
  </si>
  <si>
    <t>974 4429 2220</t>
  </si>
  <si>
    <t>info@urbacon-intl.com</t>
  </si>
  <si>
    <r>
      <rPr>
        <b/>
        <color rgb="FF1155CC"/>
        <sz val="11.0"/>
        <u/>
      </rPr>
      <t>urbacon-intl.com</t>
    </r>
  </si>
  <si>
    <t>Boom General Contractors</t>
  </si>
  <si>
    <t>info@boomgc.com</t>
  </si>
  <si>
    <r>
      <rPr>
        <b/>
        <color rgb="FF1155CC"/>
        <sz val="11.0"/>
        <u/>
      </rPr>
      <t>boomgc.com</t>
    </r>
  </si>
  <si>
    <t>HBK Contracting Co. W.L.L</t>
  </si>
  <si>
    <t>974 4466 7777</t>
  </si>
  <si>
    <t>info@hbkcontracting.com</t>
  </si>
  <si>
    <r>
      <rPr>
        <b/>
        <color rgb="FF1155CC"/>
        <sz val="11.0"/>
        <u/>
      </rPr>
      <t>hbkcontracting.com</t>
    </r>
  </si>
  <si>
    <t>Redco Construction - Almana</t>
  </si>
  <si>
    <t>974 4444 8888</t>
  </si>
  <si>
    <t>info@redcoalmana.com</t>
  </si>
  <si>
    <r>
      <rPr>
        <b/>
        <color rgb="FF1155CC"/>
        <sz val="11.0"/>
        <u/>
      </rPr>
      <t>redcoalmana.com</t>
    </r>
  </si>
  <si>
    <t>Al Jaber Engineering W.L.L</t>
  </si>
  <si>
    <t>974 4466 6666</t>
  </si>
  <si>
    <t>info@aljaber.com.qa</t>
  </si>
  <si>
    <r>
      <rPr>
        <b/>
        <color rgb="FF1155CC"/>
        <sz val="11.0"/>
        <u/>
      </rPr>
      <t>aljaber.com.qa</t>
    </r>
  </si>
  <si>
    <t>Al Balagh Trading &amp; Contracting</t>
  </si>
  <si>
    <t>974 4466 6611</t>
  </si>
  <si>
    <t>info@albalagh.com</t>
  </si>
  <si>
    <r>
      <rPr>
        <b/>
        <color rgb="FF1155CC"/>
        <sz val="11.0"/>
        <u/>
      </rPr>
      <t>albalagh.com</t>
    </r>
  </si>
  <si>
    <t>Al Huda Engineering Works</t>
  </si>
  <si>
    <t>info@alhudaengineering.com</t>
  </si>
  <si>
    <r>
      <rPr>
        <b/>
        <color rgb="FF1155CC"/>
        <sz val="11.0"/>
        <u/>
      </rPr>
      <t>alhudaengineering.com</t>
    </r>
  </si>
  <si>
    <t>Al Sraiya Trading &amp; Contracting</t>
  </si>
  <si>
    <t>info@alsraiya.com</t>
  </si>
  <si>
    <t>Privé Group Real Estate</t>
  </si>
  <si>
    <t>974 6008 0304 / +974 5523 4556</t>
  </si>
  <si>
    <r>
      <rPr>
        <color rgb="FF1155CC"/>
        <u/>
      </rPr>
      <t>priveinvestments.qa</t>
    </r>
  </si>
  <si>
    <t>Sky Bridge Properties</t>
  </si>
  <si>
    <t>974 3111 0198 / +974 4456 1444</t>
  </si>
  <si>
    <r>
      <rPr>
        <color rgb="FF1155CC"/>
        <u/>
      </rPr>
      <t>skybridgeproperties.com</t>
    </r>
  </si>
  <si>
    <t>The Pearl Gates</t>
  </si>
  <si>
    <t>974 4410 4253 / +974 5086 777</t>
  </si>
  <si>
    <r>
      <rPr>
        <color rgb="FF1155CC"/>
        <u/>
      </rPr>
      <t>thepearlgates.com</t>
    </r>
  </si>
  <si>
    <t>Waseef</t>
  </si>
  <si>
    <t>974 800 4444</t>
  </si>
  <si>
    <r>
      <rPr>
        <color rgb="FF1155CC"/>
        <u/>
      </rPr>
      <t>waseef.qa</t>
    </r>
  </si>
  <si>
    <t>West Pac Properties</t>
  </si>
  <si>
    <t>974 6673 8000 / +974 3073 2000</t>
  </si>
  <si>
    <t>Contact Person</t>
  </si>
  <si>
    <t>FECTUM</t>
  </si>
  <si>
    <t>Fectum General Trading &amp; Commerical Agencies CO.Ltd.</t>
  </si>
  <si>
    <t>www.fectumcompany.com</t>
  </si>
  <si>
    <t xml:space="preserve">info@fectumcompany.com </t>
  </si>
  <si>
    <t>ALPHA ARCHITECTS</t>
  </si>
  <si>
    <t>ARCHITECTS</t>
  </si>
  <si>
    <t>farmanarchitect@gmail.com</t>
  </si>
  <si>
    <t>HALLEY ENERGY</t>
  </si>
  <si>
    <t>ELECTRICAL &amp; SOLAR SUPPLIES</t>
  </si>
  <si>
    <t>07503336766/ 07504302188/ 07504638430</t>
  </si>
  <si>
    <t>Adhwaa Alshms</t>
  </si>
  <si>
    <t>install solar energy systems</t>
  </si>
  <si>
    <t>07502893333 / 07702893333</t>
  </si>
  <si>
    <t>Adhwaaalshams@gmail.com</t>
  </si>
  <si>
    <t>SHKAR REAL ESTATE Company</t>
  </si>
  <si>
    <t>www.shkarrealestate.com</t>
  </si>
  <si>
    <t>info@shkarrealestate.com</t>
  </si>
  <si>
    <t>TAJ ALMUSTAQBAL REAL ESTATE</t>
  </si>
  <si>
    <t>www.paya-realestate.com</t>
  </si>
  <si>
    <t>07506552444 / 07503001510/ 07503001502</t>
  </si>
  <si>
    <t xml:space="preserve">City Lighting </t>
  </si>
  <si>
    <t>All kinds of Electrical items</t>
  </si>
  <si>
    <t>07504150415 / 07516274641</t>
  </si>
  <si>
    <t>city.lighting@outlook.com</t>
  </si>
  <si>
    <t>TALYA TECH</t>
  </si>
  <si>
    <t>Painting &amp; coating systems</t>
  </si>
  <si>
    <t>www.talaytech.com</t>
  </si>
  <si>
    <t>07516989859 / 7516989860</t>
  </si>
  <si>
    <t>kanat@talaytech.com</t>
  </si>
  <si>
    <t>CLASSIC LIGHTING</t>
  </si>
  <si>
    <t>LIGHTING</t>
  </si>
  <si>
    <t>classic_lighting</t>
  </si>
  <si>
    <t>07504455848 / 07506111141</t>
  </si>
  <si>
    <t>classic2008@yahoo.com</t>
  </si>
  <si>
    <t>LATA DOMUS REAL ESTATE</t>
  </si>
  <si>
    <t>www.domuserbil.net</t>
  </si>
  <si>
    <t>domuserbil@gmail.com</t>
  </si>
  <si>
    <t>MIRAN REALESTATE</t>
  </si>
  <si>
    <r>
      <rPr>
        <b/>
        <color rgb="FF1155CC"/>
        <sz val="11.0"/>
        <u/>
      </rPr>
      <t>www.miransafiny.com</t>
    </r>
    <r>
      <rPr>
        <b/>
        <sz val="11.0"/>
      </rPr>
      <t xml:space="preserve"> </t>
    </r>
  </si>
  <si>
    <t>ayman.mofaq@miransafiny.com</t>
  </si>
  <si>
    <t>Bakhtiar Wallashy Real Estate Co</t>
  </si>
  <si>
    <t>bwalashy@gmail.com</t>
  </si>
  <si>
    <t>aurora Empower your World</t>
  </si>
  <si>
    <t>www.auroraltd.me</t>
  </si>
  <si>
    <t>info@auroraltd.me</t>
  </si>
  <si>
    <t>ALBIT CONSTRUCTION</t>
  </si>
  <si>
    <t>www.albitgroup.com</t>
  </si>
  <si>
    <t>Dler@albitgroup.com</t>
  </si>
  <si>
    <t>GPC GOLDEN PROPERTIES CO</t>
  </si>
  <si>
    <t>www.gpciraq.com</t>
  </si>
  <si>
    <t>info@gpc.ic</t>
  </si>
  <si>
    <t>Belton REALESTATE 203</t>
  </si>
  <si>
    <t>www.belton-iq.com</t>
  </si>
  <si>
    <t>Sadeem Company</t>
  </si>
  <si>
    <t>PVC Doors</t>
  </si>
  <si>
    <t>www.sadeemdoors.com</t>
  </si>
  <si>
    <t>Noaman4010@gmai.com</t>
  </si>
  <si>
    <t>ASTRONERGY Al MASABIH COMPANY</t>
  </si>
  <si>
    <t>Agent &amp;distributo ASTRONERGY</t>
  </si>
  <si>
    <t>www.astronergy.com</t>
  </si>
  <si>
    <t>07504169148 / 7718837373</t>
  </si>
  <si>
    <t>yusufkako@yahoo.com</t>
  </si>
  <si>
    <t>A-D-E COMPANY</t>
  </si>
  <si>
    <r>
      <rPr>
        <b/>
        <color rgb="FF1155CC"/>
        <sz val="11.0"/>
        <u/>
      </rPr>
      <t>www.arapdeniz.com</t>
    </r>
    <r>
      <rPr>
        <b/>
        <sz val="11.0"/>
      </rPr>
      <t xml:space="preserve"> </t>
    </r>
  </si>
  <si>
    <t>07511263900 / 7730243900</t>
  </si>
  <si>
    <t>info@arapdeniz.com</t>
  </si>
  <si>
    <t>Mohammed Lighting</t>
  </si>
  <si>
    <t>07514469955 / 07504610105</t>
  </si>
  <si>
    <t>mohammedlighting22@gmail.com</t>
  </si>
  <si>
    <t>HAJART AL-AQEEQ</t>
  </si>
  <si>
    <t>Yadasht Erbil</t>
  </si>
  <si>
    <t>yadasht.erbil@gmail.com</t>
  </si>
  <si>
    <t xml:space="preserve">ECO HOUSE </t>
  </si>
  <si>
    <t>REAL ESTATE</t>
  </si>
  <si>
    <t>07514440077 / 7514440088</t>
  </si>
  <si>
    <t>info@ecohouse-erbil.com / support@ecohouse-erbil.com</t>
  </si>
  <si>
    <t>Seramik san</t>
  </si>
  <si>
    <t>07511551173 / 07504465808</t>
  </si>
  <si>
    <t>Lutkay Hawler Real Estate</t>
  </si>
  <si>
    <t>qmaerbilco.@gmail.com</t>
  </si>
  <si>
    <t xml:space="preserve">Polisan </t>
  </si>
  <si>
    <t>www.polisan-iraq.com</t>
  </si>
  <si>
    <t>07504570508 / 00905350876666</t>
  </si>
  <si>
    <t>Artemis View company</t>
  </si>
  <si>
    <t>07504212929 / 7517717197</t>
  </si>
  <si>
    <t>artemisview1@gmail.com</t>
  </si>
  <si>
    <t xml:space="preserve">Peshangay Husain </t>
  </si>
  <si>
    <t>Electronic items</t>
  </si>
  <si>
    <t>07504933922 / 7714933922</t>
  </si>
  <si>
    <t>ARKAN OMER Company</t>
  </si>
  <si>
    <t>07500503000 / 07500504000 / 7501518787</t>
  </si>
  <si>
    <t xml:space="preserve">aok.company </t>
  </si>
  <si>
    <t>OLIVE TREES COMPANY</t>
  </si>
  <si>
    <t>mustafa.alshather@gmail.com</t>
  </si>
  <si>
    <t>Nawazsh Company</t>
  </si>
  <si>
    <t xml:space="preserve">Siramik </t>
  </si>
  <si>
    <t>07503279494 / 07503279393</t>
  </si>
  <si>
    <t>Luay Saad Mahmood Co</t>
  </si>
  <si>
    <t>Wlectrical Materials Trading</t>
  </si>
  <si>
    <t>@luaysaadcompany</t>
  </si>
  <si>
    <t>07504333597 / 07702033569</t>
  </si>
  <si>
    <t>alsaad-luay2000@yahoo.com</t>
  </si>
  <si>
    <t>halmat electric</t>
  </si>
  <si>
    <t>halloh@gmail.com</t>
  </si>
  <si>
    <t>ibrahim mustafa</t>
  </si>
  <si>
    <t>real estate</t>
  </si>
  <si>
    <t>www.rabarco.com</t>
  </si>
  <si>
    <t>info@rabarco.com</t>
  </si>
  <si>
    <t>taher office</t>
  </si>
  <si>
    <t>trading electricity</t>
  </si>
  <si>
    <t>besheer almhairi</t>
  </si>
  <si>
    <t>senior manager-exhibitons</t>
  </si>
  <si>
    <t>www.dwtc.com</t>
  </si>
  <si>
    <t>971 50 499 6494</t>
  </si>
  <si>
    <t>rabia mohamed</t>
  </si>
  <si>
    <t>viya legal</t>
  </si>
  <si>
    <t>90 542 107 72 69</t>
  </si>
  <si>
    <t>viya.rabia@gmail.com</t>
  </si>
  <si>
    <t>tinatin</t>
  </si>
  <si>
    <t>pontus</t>
  </si>
  <si>
    <t>995 558 511 111</t>
  </si>
  <si>
    <t>t.tvaradze@pontus.ge</t>
  </si>
  <si>
    <t>alena bayram</t>
  </si>
  <si>
    <t>property turkey</t>
  </si>
  <si>
    <t>www.propertyturkeyistanbul.com</t>
  </si>
  <si>
    <t xml:space="preserve">90 551 942 45 60 </t>
  </si>
  <si>
    <t>alena@propertyturkeyistanbul.com</t>
  </si>
  <si>
    <t xml:space="preserve">zaneta doe </t>
  </si>
  <si>
    <t>real estate consultant</t>
  </si>
  <si>
    <t xml:space="preserve">34 603 686 315 </t>
  </si>
  <si>
    <t>zaneta@terraaconcep.es</t>
  </si>
  <si>
    <t>taqseem</t>
  </si>
  <si>
    <t>realsales</t>
  </si>
  <si>
    <t>www.taqseem.ae</t>
  </si>
  <si>
    <t>qasim@taqseem.ae</t>
  </si>
  <si>
    <t>Markazia Solutions LLC.</t>
  </si>
  <si>
    <t>@markaziasolutions</t>
  </si>
  <si>
    <t>markaziasolutions@gmail.com</t>
  </si>
  <si>
    <t>Noor Aljorany</t>
  </si>
  <si>
    <t xml:space="preserve">Real Estate Developer </t>
  </si>
  <si>
    <t>WWW.NOORALJORANY.COM</t>
  </si>
  <si>
    <t>0090 552 363 60 36</t>
  </si>
  <si>
    <t>info@nooraljorany.com</t>
  </si>
  <si>
    <t>VR HOLDING</t>
  </si>
  <si>
    <t>www.vr.ge</t>
  </si>
  <si>
    <t>595913111 / 526281111</t>
  </si>
  <si>
    <t>mburchuladze@vr.ge</t>
  </si>
  <si>
    <t xml:space="preserve">Cam Sas </t>
  </si>
  <si>
    <t>Hanzade CAKIRDOGUL</t>
  </si>
  <si>
    <t>Glass Industry company</t>
  </si>
  <si>
    <t>02422580341 / 05419541557</t>
  </si>
  <si>
    <t>cicek@cam-sas.com.tr</t>
  </si>
  <si>
    <t xml:space="preserve">AL RASIKHOON </t>
  </si>
  <si>
    <t>John Atef</t>
  </si>
  <si>
    <t>Real STATE</t>
  </si>
  <si>
    <t>www.alrasikhoon.ae</t>
  </si>
  <si>
    <t>971586147777 / 97165344433</t>
  </si>
  <si>
    <t>john@alrasikhoon.ae / info@alrasikhoon.ae</t>
  </si>
  <si>
    <t>INTERNATIONAL PROPERTY SHOW</t>
  </si>
  <si>
    <t>Tysha May Liong</t>
  </si>
  <si>
    <t>The Global Real Estate Marketplace</t>
  </si>
  <si>
    <t>www.ipscongress.com</t>
  </si>
  <si>
    <t>97143282000m / 971564034050</t>
  </si>
  <si>
    <t>tysha@ipscongress.com</t>
  </si>
  <si>
    <t xml:space="preserve">ORCHID </t>
  </si>
  <si>
    <t>Manish Pandey</t>
  </si>
  <si>
    <t>Orchid Infrastructure Developera Pvt. Ltd.</t>
  </si>
  <si>
    <t>www.oidpi.com</t>
  </si>
  <si>
    <t>91 931 00 88092/911244590000</t>
  </si>
  <si>
    <t>m.pande@oidpl.com</t>
  </si>
  <si>
    <t>mmp</t>
  </si>
  <si>
    <t>chirag wadhwani</t>
  </si>
  <si>
    <t>mcfill media</t>
  </si>
  <si>
    <t>971 58 655 0995</t>
  </si>
  <si>
    <t>chirag@mcfilmedia.com</t>
  </si>
  <si>
    <t>UTEC</t>
  </si>
  <si>
    <t>Mbrouk Gherri</t>
  </si>
  <si>
    <t xml:space="preserve">Electric Company </t>
  </si>
  <si>
    <t xml:space="preserve">www.utec.comsa  </t>
  </si>
  <si>
    <t>Mabrouk.gherri@utec.com.sa</t>
  </si>
  <si>
    <t>BICC CABLES</t>
  </si>
  <si>
    <t>Bassem Stephan</t>
  </si>
  <si>
    <t>Cable</t>
  </si>
  <si>
    <t>bicccables.com</t>
  </si>
  <si>
    <t>00961 76 35 86 09</t>
  </si>
  <si>
    <t>b.stephan@bicccables.com</t>
  </si>
  <si>
    <t>Aurora</t>
  </si>
  <si>
    <t xml:space="preserve">Mohamad Itani </t>
  </si>
  <si>
    <t>KENSINGTON</t>
  </si>
  <si>
    <t>SOHEIL HASHEEMI</t>
  </si>
  <si>
    <t>www.kensingtoncyprus.com</t>
  </si>
  <si>
    <t>soheil@kensingtoncyprus.com</t>
  </si>
  <si>
    <t>NESTENN</t>
  </si>
  <si>
    <t>Emmanuel DE LA HAYE</t>
  </si>
  <si>
    <t>GROUPE D'AGENCES IMMOBILIERES</t>
  </si>
  <si>
    <t>www.nestenn.mu</t>
  </si>
  <si>
    <t>2302600523 / 23057290249</t>
  </si>
  <si>
    <t>e.delahaye@nestenn.mu</t>
  </si>
  <si>
    <t>ADEMIX</t>
  </si>
  <si>
    <t>ERCAN OKTEN</t>
  </si>
  <si>
    <t>BOYA YAPI KIMASALLAN PAINTS &amp;CONSTRUCTION CHEMICALS</t>
  </si>
  <si>
    <t>www.ademix.com.tr</t>
  </si>
  <si>
    <t>ercanokten@ademix.com.tr</t>
  </si>
  <si>
    <t>RUMAISA ASIF</t>
  </si>
  <si>
    <t>SAIF MAJEED</t>
  </si>
  <si>
    <t>REAL ESTATE LLC</t>
  </si>
  <si>
    <t>saifmajeedjr@gmail.com</t>
  </si>
  <si>
    <t>THINKPROP</t>
  </si>
  <si>
    <t>Ayman Mataer</t>
  </si>
  <si>
    <t>THINKPROP.AE</t>
  </si>
  <si>
    <t>ayman.mataer@thinkprop.ae</t>
  </si>
  <si>
    <t>TAKMEEL</t>
  </si>
  <si>
    <t>Muhammad Faheem Iqbal</t>
  </si>
  <si>
    <t>DISCOVER INVEST THRIVE</t>
  </si>
  <si>
    <t>muhammad.faheem@takmeeluae.com</t>
  </si>
  <si>
    <t>SYCAMORE</t>
  </si>
  <si>
    <t>SUZIE GERGELY</t>
  </si>
  <si>
    <t>REAL ESTATE AGENT</t>
  </si>
  <si>
    <t>www.sycamore.ae</t>
  </si>
  <si>
    <t>suzie@sycamore.ae</t>
  </si>
  <si>
    <t>ON D4Y PROPERTIES</t>
  </si>
  <si>
    <r>
      <rPr>
        <color rgb="FF1155CC"/>
        <u/>
      </rPr>
      <t>www.ONDAY.IO</t>
    </r>
    <r>
      <rPr/>
      <t xml:space="preserve"> </t>
    </r>
  </si>
  <si>
    <t>anday@anday.io</t>
  </si>
  <si>
    <t>REAL QUBAISI</t>
  </si>
  <si>
    <t xml:space="preserve">Tarek Asaad </t>
  </si>
  <si>
    <t xml:space="preserve">Properties </t>
  </si>
  <si>
    <t>www.realqubaisi.ae</t>
  </si>
  <si>
    <t xml:space="preserve">971551200290 / 9714 4469889 </t>
  </si>
  <si>
    <t>tareq@realqubaisi.ae</t>
  </si>
  <si>
    <t xml:space="preserve">GO GREECE </t>
  </si>
  <si>
    <t>ELISE ABDALLAH</t>
  </si>
  <si>
    <t xml:space="preserve">Development &amp; Investments </t>
  </si>
  <si>
    <t>consultancy.uae@gogreecerealestate.com</t>
  </si>
  <si>
    <t xml:space="preserve">DREAMLAND </t>
  </si>
  <si>
    <t>Natia Chkhaidze</t>
  </si>
  <si>
    <t>OASIS CHAKVI</t>
  </si>
  <si>
    <t>n.chkhaidze@dreamland.ge</t>
  </si>
  <si>
    <t>AYZ</t>
  </si>
  <si>
    <t>PAOLA BERNASCOIN</t>
  </si>
  <si>
    <t xml:space="preserve">REAL ESTATE INVESTMENT </t>
  </si>
  <si>
    <t xml:space="preserve">httpss://ayzrealtor.com   </t>
  </si>
  <si>
    <t xml:space="preserve">paol@ayzrealtor.com </t>
  </si>
  <si>
    <t xml:space="preserve">OLYMPE AGENCY </t>
  </si>
  <si>
    <t xml:space="preserve">Sabrina MAUNICK </t>
  </si>
  <si>
    <t>BEYOND REAL ESTATE</t>
  </si>
  <si>
    <t>sabrina@olympe.vip</t>
  </si>
  <si>
    <t>A SUSTAINABLE LIFESTYLE FOR A BETTER TOMORROW</t>
  </si>
  <si>
    <t xml:space="preserve">Maryam  Al Zadjali </t>
  </si>
  <si>
    <r>
      <rPr>
        <color rgb="FF1155CC"/>
        <u/>
      </rPr>
      <t>www.ThesustainableCity-Yiti.com</t>
    </r>
    <r>
      <rPr/>
      <t xml:space="preserve"> </t>
    </r>
  </si>
  <si>
    <t>96880003333 / 96872622244</t>
  </si>
  <si>
    <t>Maryam@thesustainablecity-yiti.com</t>
  </si>
  <si>
    <t>369 CAPITAL VENTURES</t>
  </si>
  <si>
    <t>AZIZA ZAKIROVNA</t>
  </si>
  <si>
    <r>
      <rPr>
        <color rgb="FF1155CC"/>
        <u/>
      </rPr>
      <t>www.369Capitalventures.com</t>
    </r>
    <r>
      <rPr/>
      <t xml:space="preserve"> </t>
    </r>
  </si>
  <si>
    <t>aziza.zakirovna@369capitalv.com</t>
  </si>
  <si>
    <t>lerra agency</t>
  </si>
  <si>
    <t>FIRYA FARIS HUSSEIN</t>
  </si>
  <si>
    <t xml:space="preserve">agency </t>
  </si>
  <si>
    <r>
      <rPr>
        <color rgb="FF1155CC"/>
        <u/>
      </rPr>
      <t>www.terraagency.net</t>
    </r>
    <r>
      <rPr/>
      <t xml:space="preserve"> </t>
    </r>
  </si>
  <si>
    <t>Firya@terraagency.net</t>
  </si>
  <si>
    <t xml:space="preserve">SGA </t>
  </si>
  <si>
    <t>SHAMAL BEK</t>
  </si>
  <si>
    <t>SOLAR GREEN AGATE</t>
  </si>
  <si>
    <t>www.solar-ga.com</t>
  </si>
  <si>
    <t>7706629000 / 7500889000</t>
  </si>
  <si>
    <t>shamal@solar-ga.com</t>
  </si>
  <si>
    <t>Tablo</t>
  </si>
  <si>
    <t>Real Estate Co.</t>
  </si>
  <si>
    <t xml:space="preserve">7507486331 / 7504705112 / 7504034837 </t>
  </si>
  <si>
    <t>tablorealestate@gmail.com</t>
  </si>
  <si>
    <t>AMIN</t>
  </si>
  <si>
    <t>Amin Aula</t>
  </si>
  <si>
    <t>KHOSHNAW REAL ESTATE</t>
  </si>
  <si>
    <t xml:space="preserve">ALISTIQAMA </t>
  </si>
  <si>
    <t>MADHAFFAR F. DALO</t>
  </si>
  <si>
    <t>General trading. Transportation. Manpower supply</t>
  </si>
  <si>
    <r>
      <rPr>
        <color rgb="FF1155CC"/>
        <u/>
      </rPr>
      <t>www.alisitqama.net</t>
    </r>
    <r>
      <rPr/>
      <t xml:space="preserve"> </t>
    </r>
  </si>
  <si>
    <t xml:space="preserve">7508877700 / 7701588936 </t>
  </si>
  <si>
    <t xml:space="preserve">mozafar.dalo@alistiqma.net </t>
  </si>
  <si>
    <t xml:space="preserve">SAHDOON </t>
  </si>
  <si>
    <t xml:space="preserve">Sahdoon A. Jameel </t>
  </si>
  <si>
    <t xml:space="preserve">REAL Estate </t>
  </si>
  <si>
    <t xml:space="preserve">SAHDOONREALESTATE@GMAIL.COM </t>
  </si>
  <si>
    <t>COATES GLOBAL  WORLD WITH OUT BORDERS</t>
  </si>
  <si>
    <t xml:space="preserve">Ammar Al-Turfi </t>
  </si>
  <si>
    <r>
      <rPr>
        <color rgb="FF1155CC"/>
        <u/>
      </rPr>
      <t>www.coatesglobal.com</t>
    </r>
    <r>
      <rPr/>
      <t xml:space="preserve"> </t>
    </r>
  </si>
  <si>
    <t>964-7700770088</t>
  </si>
  <si>
    <t>iraq@coatesglobal.com</t>
  </si>
  <si>
    <t xml:space="preserve">Sika </t>
  </si>
  <si>
    <t>Zaid Sarmad</t>
  </si>
  <si>
    <t xml:space="preserve">BUILDING TRUST </t>
  </si>
  <si>
    <r>
      <rPr>
        <color rgb="FF1155CC"/>
        <u/>
      </rPr>
      <t>iraq.sik.com</t>
    </r>
    <r>
      <rPr/>
      <t xml:space="preserve"> </t>
    </r>
  </si>
  <si>
    <t>7507072284 / 7704225575 / 77303374451</t>
  </si>
  <si>
    <t>sarmad.zaid@iq.sika.com</t>
  </si>
  <si>
    <t xml:space="preserve">ARTVIT </t>
  </si>
  <si>
    <t>Ali Najem Jumaa</t>
  </si>
  <si>
    <t>TILES/ KITCHEN/ BATHROOM/ ACCESSORIES</t>
  </si>
  <si>
    <t>www.artvit.com</t>
  </si>
  <si>
    <t>ali.najem@artvit.com</t>
  </si>
  <si>
    <t xml:space="preserve">BUSINESS DAY </t>
  </si>
  <si>
    <t xml:space="preserve">Sherwan Mahdi </t>
  </si>
  <si>
    <t xml:space="preserve">REAL STATE 2006 </t>
  </si>
  <si>
    <t>KHD KHABATY DAHATW</t>
  </si>
  <si>
    <t>Rekar Abdullah</t>
  </si>
  <si>
    <t xml:space="preserve">REAL STATE </t>
  </si>
  <si>
    <t xml:space="preserve">7512266060 / 7502266060 </t>
  </si>
  <si>
    <t xml:space="preserve">SALM HAWLERI </t>
  </si>
  <si>
    <t xml:space="preserve">FUAAD NIHAD </t>
  </si>
  <si>
    <t xml:space="preserve">REAL ESTATE </t>
  </si>
  <si>
    <t>fuaadnihad@gmail.com</t>
  </si>
  <si>
    <t xml:space="preserve">DAR GLOBAL </t>
  </si>
  <si>
    <t>AZHAR AHMED</t>
  </si>
  <si>
    <t>ABOZORGANNIA@DARGLOBAL.CO.UK</t>
  </si>
  <si>
    <t>IPS</t>
  </si>
  <si>
    <t xml:space="preserve">The Global Real Estate Marketplace </t>
  </si>
  <si>
    <r>
      <rPr>
        <color rgb="FF1155CC"/>
        <u/>
      </rPr>
      <t>www.ipscongress.com</t>
    </r>
    <r>
      <rPr/>
      <t xml:space="preserve"> </t>
    </r>
  </si>
  <si>
    <t xml:space="preserve">97143282000 / 971564034050 </t>
  </si>
  <si>
    <t xml:space="preserve">tysha@ipscongress.com </t>
  </si>
  <si>
    <t xml:space="preserve">PRPPERTY TURKEY ISTANBUL  </t>
  </si>
  <si>
    <t xml:space="preserve">ALEN BAYRAM </t>
  </si>
  <si>
    <t xml:space="preserve">LIVE LUXURY </t>
  </si>
  <si>
    <t>www.PROPERTYTURKYISTANBUL.COM</t>
  </si>
  <si>
    <t xml:space="preserve">alena@propertyturkeyistanbul.com </t>
  </si>
  <si>
    <t xml:space="preserve">TERRA CONCEPT </t>
  </si>
  <si>
    <t xml:space="preserve">Zaneta Doe </t>
  </si>
  <si>
    <t xml:space="preserve">EXCLUSIVE REAL ESTATE </t>
  </si>
  <si>
    <r>
      <rPr>
        <color rgb="FF1155CC"/>
        <u/>
      </rPr>
      <t>terraconcept.es</t>
    </r>
    <r>
      <rPr/>
      <t xml:space="preserve"> </t>
    </r>
  </si>
  <si>
    <t xml:space="preserve">zaneta@terraconcept.es </t>
  </si>
  <si>
    <t xml:space="preserve">SERAMIK ESPANIOL </t>
  </si>
  <si>
    <t>Espanush Seramik &amp; porcelain</t>
  </si>
  <si>
    <t>KNE</t>
  </si>
  <si>
    <t>Vikan Belian</t>
  </si>
  <si>
    <t xml:space="preserve">Elevation Escalatars </t>
  </si>
  <si>
    <t>7834471083 / 7505374444</t>
  </si>
  <si>
    <t>Vikan.Belian@nahas-group.com</t>
  </si>
  <si>
    <t xml:space="preserve">DELTA </t>
  </si>
  <si>
    <t>KAPI DUNYASI</t>
  </si>
  <si>
    <t xml:space="preserve">sidra4door </t>
  </si>
  <si>
    <t>7508443333/ 07508151915</t>
  </si>
  <si>
    <t>CMC</t>
  </si>
  <si>
    <t>construction material company</t>
  </si>
  <si>
    <r>
      <rPr>
        <color rgb="FF1155CC"/>
        <u/>
      </rPr>
      <t>www.cmc-iraq.com</t>
    </r>
    <r>
      <rPr/>
      <t xml:space="preserve"> </t>
    </r>
  </si>
  <si>
    <t xml:space="preserve">07508956528 / 7510143590 </t>
  </si>
  <si>
    <t xml:space="preserve">cmc@cmc-iraq.com </t>
  </si>
  <si>
    <t xml:space="preserve">AUX AIR CONDITIONER </t>
  </si>
  <si>
    <t xml:space="preserve">General trading </t>
  </si>
  <si>
    <t>7707879777 / 7501879777</t>
  </si>
  <si>
    <t>info@akbargeneraltrading.com</t>
  </si>
  <si>
    <t xml:space="preserve">AKBAR </t>
  </si>
  <si>
    <t xml:space="preserve">GENERAL TRADING LTD </t>
  </si>
  <si>
    <t xml:space="preserve">Kryar company </t>
  </si>
  <si>
    <t xml:space="preserve">Hozak Samir </t>
  </si>
  <si>
    <t xml:space="preserve">LIVBNB </t>
  </si>
  <si>
    <t xml:space="preserve">JAYMEE GOODWIN </t>
  </si>
  <si>
    <r>
      <rPr>
        <color rgb="FF1155CC"/>
        <u/>
      </rPr>
      <t>www.livbnb.com</t>
    </r>
    <r>
      <rPr/>
      <t xml:space="preserve"> </t>
    </r>
  </si>
  <si>
    <t xml:space="preserve">97145762853 / 971554805525 </t>
  </si>
  <si>
    <t xml:space="preserve">Jamee@livbnb.com </t>
  </si>
  <si>
    <t xml:space="preserve">BAGNODESING IRAQ </t>
  </si>
  <si>
    <t xml:space="preserve">DIMOND BATH CONSTRICTION &amp; DESIGNING </t>
  </si>
  <si>
    <r>
      <rPr>
        <color rgb="FF1155CC"/>
        <u/>
      </rPr>
      <t>www.bognodesign.org</t>
    </r>
    <r>
      <rPr/>
      <t xml:space="preserve"> </t>
    </r>
  </si>
  <si>
    <t xml:space="preserve">7504452645 / 07501298888 </t>
  </si>
  <si>
    <t xml:space="preserve">CHINT ELECTRIC </t>
  </si>
  <si>
    <t xml:space="preserve">Asia Light Company </t>
  </si>
  <si>
    <t>kurdChint</t>
  </si>
  <si>
    <t xml:space="preserve">7504453975 / 7504478871 </t>
  </si>
  <si>
    <t xml:space="preserve">dleir2000@gmail.com / diyarlight@gmail.com </t>
  </si>
  <si>
    <t xml:space="preserve">VEKRA </t>
  </si>
  <si>
    <t xml:space="preserve">Alend Pendro </t>
  </si>
  <si>
    <t xml:space="preserve">@vekra-furniture </t>
  </si>
  <si>
    <t xml:space="preserve">7504155559 / 7504048404 </t>
  </si>
  <si>
    <t xml:space="preserve">info@Vekra.krd </t>
  </si>
  <si>
    <t xml:space="preserve">National bank og Iraq </t>
  </si>
  <si>
    <t xml:space="preserve">Hiwa Jamal Jalal </t>
  </si>
  <si>
    <t xml:space="preserve">Bank </t>
  </si>
  <si>
    <r>
      <rPr>
        <color rgb="FF1155CC"/>
        <u/>
      </rPr>
      <t>www.nbirq.com</t>
    </r>
    <r>
      <rPr/>
      <t xml:space="preserve"> </t>
    </r>
  </si>
  <si>
    <t xml:space="preserve">7504559666 / 7804559666 </t>
  </si>
  <si>
    <t xml:space="preserve">hiwa.jamal@nbirq.com </t>
  </si>
  <si>
    <t xml:space="preserve">Dawnice </t>
  </si>
  <si>
    <t xml:space="preserve">Gary Cao </t>
  </si>
  <si>
    <t xml:space="preserve">Yichun Dawnice Manufacture and Trade Co. Ltd. </t>
  </si>
  <si>
    <r>
      <rPr>
        <color rgb="FF1155CC"/>
        <u/>
      </rPr>
      <t>www.energydawince.com</t>
    </r>
    <r>
      <rPr/>
      <t xml:space="preserve"> </t>
    </r>
  </si>
  <si>
    <t xml:space="preserve">support@dawince.com </t>
  </si>
  <si>
    <t xml:space="preserve">SARA </t>
  </si>
  <si>
    <t xml:space="preserve">AMIN </t>
  </si>
  <si>
    <t xml:space="preserve">TAIZHOU QIANGWEL PUMP CO.LTD </t>
  </si>
  <si>
    <r>
      <rPr>
        <color rgb="FF1155CC"/>
        <u/>
      </rPr>
      <t>www.qwpumps.com</t>
    </r>
    <r>
      <rPr/>
      <t xml:space="preserve"> / </t>
    </r>
    <r>
      <rPr>
        <color rgb="FF1155CC"/>
        <u/>
      </rPr>
      <t>www.xingfucn.com</t>
    </r>
    <r>
      <rPr/>
      <t xml:space="preserve"> </t>
    </r>
  </si>
  <si>
    <t xml:space="preserve">86 576 89933376 / 8657686302538 </t>
  </si>
  <si>
    <t xml:space="preserve">info@qwpumps.com </t>
  </si>
  <si>
    <t xml:space="preserve">SUNWAYTECH </t>
  </si>
  <si>
    <t xml:space="preserve">Bob Xu </t>
  </si>
  <si>
    <t xml:space="preserve">Sunway solar co.ltd </t>
  </si>
  <si>
    <r>
      <rPr>
        <color rgb="FF1155CC"/>
        <u/>
      </rPr>
      <t>www.sunwaypv.com</t>
    </r>
    <r>
      <rPr/>
      <t xml:space="preserve"> </t>
    </r>
  </si>
  <si>
    <t>sales11@sunwaypv.com</t>
  </si>
  <si>
    <t xml:space="preserve">WSTN </t>
  </si>
  <si>
    <t xml:space="preserve">Tony Yu </t>
  </si>
  <si>
    <t xml:space="preserve">TAIZHOU WESTONE MACHINERY &amp; ELECTRIC CO. LTD </t>
  </si>
  <si>
    <r>
      <rPr>
        <color rgb="FF1155CC"/>
        <u/>
      </rPr>
      <t>www.chinawestone.com</t>
    </r>
    <r>
      <rPr/>
      <t xml:space="preserve"> </t>
    </r>
  </si>
  <si>
    <t xml:space="preserve">8613396925887 / 8657686498891 </t>
  </si>
  <si>
    <t xml:space="preserve">tony@chinawestone.com </t>
  </si>
  <si>
    <t xml:space="preserve">VENTECH group of companies </t>
  </si>
  <si>
    <t xml:space="preserve">Daisy Li </t>
  </si>
  <si>
    <t xml:space="preserve">full Intelligent Air Balance System </t>
  </si>
  <si>
    <r>
      <rPr/>
      <t xml:space="preserve">www. </t>
    </r>
    <r>
      <rPr>
        <color rgb="FF1155CC"/>
        <u/>
      </rPr>
      <t>chinaventech.com</t>
    </r>
    <r>
      <rPr/>
      <t xml:space="preserve"> / </t>
    </r>
    <r>
      <rPr>
        <color rgb="FF1155CC"/>
        <u/>
      </rPr>
      <t>www.ventechmachine.com</t>
    </r>
    <r>
      <rPr/>
      <t xml:space="preserve"> </t>
    </r>
  </si>
  <si>
    <t xml:space="preserve">daisy@fsventech.cn / daisy@fsventech.cn </t>
  </si>
  <si>
    <r>
      <rPr/>
      <t xml:space="preserve">DURABLE / BATIC/ Swan </t>
    </r>
    <r>
      <rPr>
        <color rgb="FF1155CC"/>
        <u/>
      </rPr>
      <t>Aluminum.com</t>
    </r>
  </si>
  <si>
    <t xml:space="preserve">Mike Mai </t>
  </si>
  <si>
    <r>
      <rPr/>
      <t xml:space="preserve">Henan swan </t>
    </r>
    <r>
      <rPr>
        <color rgb="FF1155CC"/>
        <u/>
      </rPr>
      <t>profile.com</t>
    </r>
  </si>
  <si>
    <t xml:space="preserve">861513937233 / 863915908277 </t>
  </si>
  <si>
    <t>myl@swan-group.cn</t>
  </si>
  <si>
    <t xml:space="preserve">immotify </t>
  </si>
  <si>
    <t xml:space="preserve">SI DEHBI AMAL </t>
  </si>
  <si>
    <t xml:space="preserve">new housing marketplace </t>
  </si>
  <si>
    <r>
      <rPr>
        <color rgb="FF1155CC"/>
        <u/>
      </rPr>
      <t>immotify.me</t>
    </r>
    <r>
      <rPr/>
      <t xml:space="preserve"> </t>
    </r>
  </si>
  <si>
    <t xml:space="preserve">213794219317/ 213560288432 </t>
  </si>
  <si>
    <t xml:space="preserve">a.sidehbi@immotify.me </t>
  </si>
  <si>
    <t xml:space="preserve">PIECO </t>
  </si>
  <si>
    <t xml:space="preserve">M.K.Verma </t>
  </si>
  <si>
    <r>
      <rPr/>
      <t xml:space="preserve">PIECO INDIA </t>
    </r>
    <r>
      <rPr>
        <color rgb="FF1155CC"/>
        <u/>
      </rPr>
      <t>ENGG.CO</t>
    </r>
    <r>
      <rPr/>
      <t xml:space="preserve">.PVT.LTD. </t>
    </r>
  </si>
  <si>
    <t xml:space="preserve">www.pieco.in </t>
  </si>
  <si>
    <t xml:space="preserve">mk@pieco.in, munishpieco@gmail.com </t>
  </si>
  <si>
    <t xml:space="preserve">ANAHICO GmbH </t>
  </si>
  <si>
    <t xml:space="preserve">Amir Namazi  </t>
  </si>
  <si>
    <r>
      <rPr>
        <color rgb="FF1155CC"/>
        <u/>
      </rPr>
      <t>www.anahico.at</t>
    </r>
    <r>
      <rPr/>
      <t xml:space="preserve"> </t>
    </r>
  </si>
  <si>
    <t xml:space="preserve">43662630293 / 436643634817 </t>
  </si>
  <si>
    <t xml:space="preserve">amir.namazi@anahico.at </t>
  </si>
  <si>
    <t xml:space="preserve">elprince marble &amp; Granite </t>
  </si>
  <si>
    <t xml:space="preserve">Ahmed Moustafa </t>
  </si>
  <si>
    <t xml:space="preserve">PMG GRoup </t>
  </si>
  <si>
    <r>
      <rPr>
        <color rgb="FF1155CC"/>
        <u/>
      </rPr>
      <t>www.elprince.com</t>
    </r>
    <r>
      <rPr/>
      <t xml:space="preserve"> </t>
    </r>
  </si>
  <si>
    <t xml:space="preserve">201008888812 2 011 20202099 </t>
  </si>
  <si>
    <t xml:space="preserve">engahmedmoustafa@hotmail.com / ahmedmoustafa@elprince.com </t>
  </si>
  <si>
    <t xml:space="preserve">ARAS GREEN ENERGY </t>
  </si>
  <si>
    <t xml:space="preserve">LANA XALID </t>
  </si>
  <si>
    <t xml:space="preserve">ELECTRICAL ENGINEER </t>
  </si>
  <si>
    <r>
      <rPr>
        <color rgb="FF1155CC"/>
        <u/>
      </rPr>
      <t>www.age-solar.com</t>
    </r>
    <r>
      <rPr/>
      <t xml:space="preserve"> </t>
    </r>
  </si>
  <si>
    <t xml:space="preserve">info@aga-solar.com </t>
  </si>
  <si>
    <t xml:space="preserve">IRANNOVIN INDUSTRIES </t>
  </si>
  <si>
    <t xml:space="preserve">INDUSTRIAL GROUP AB BAND </t>
  </si>
  <si>
    <r>
      <rPr>
        <color rgb="FF1155CC"/>
        <u/>
      </rPr>
      <t>www.ir-novin.com</t>
    </r>
    <r>
      <rPr/>
      <t xml:space="preserve"> </t>
    </r>
  </si>
  <si>
    <t xml:space="preserve">989111194099 /. 989111111726 </t>
  </si>
  <si>
    <t xml:space="preserve">KOL ALMANAFITH COMPANY </t>
  </si>
  <si>
    <t xml:space="preserve">LEL TAQA MUTAJADEDA </t>
  </si>
  <si>
    <r>
      <rPr>
        <color rgb="FF1155CC"/>
        <u/>
      </rPr>
      <t>www.KOLALALMANAFITH.COM</t>
    </r>
    <r>
      <rPr/>
      <t xml:space="preserve"> </t>
    </r>
  </si>
  <si>
    <t xml:space="preserve">07870066401 / 07870066408 </t>
  </si>
  <si>
    <t xml:space="preserve">SEGA </t>
  </si>
  <si>
    <t xml:space="preserve">Khushal Ghodasara </t>
  </si>
  <si>
    <r>
      <rPr>
        <color rgb="FF1155CC"/>
        <u/>
      </rPr>
      <t>www.segatiles.com</t>
    </r>
    <r>
      <rPr/>
      <t xml:space="preserve"> </t>
    </r>
  </si>
  <si>
    <t xml:space="preserve">khushal.g@segatiles.com </t>
  </si>
  <si>
    <t xml:space="preserve">MIAOYI VALVE </t>
  </si>
  <si>
    <t xml:space="preserve">Peter Zhang </t>
  </si>
  <si>
    <t xml:space="preserve">Plumbing fittings&amp; Valves </t>
  </si>
  <si>
    <r>
      <rPr>
        <color rgb="FF1155CC"/>
        <u/>
      </rPr>
      <t>www.brassfitting.cc</t>
    </r>
    <r>
      <rPr/>
      <t xml:space="preserve"> / </t>
    </r>
    <r>
      <rPr>
        <color rgb="FF1155CC"/>
        <u/>
      </rPr>
      <t>www.miaoyivalve.com</t>
    </r>
    <r>
      <rPr/>
      <t xml:space="preserve"> </t>
    </r>
  </si>
  <si>
    <t xml:space="preserve">peter@miaoyivalve.com / ceo@miaoyivalve.com </t>
  </si>
  <si>
    <t xml:space="preserve">1. PRONGOIANG CHEMICAL </t>
  </si>
  <si>
    <t xml:space="preserve">Leah </t>
  </si>
  <si>
    <r>
      <rPr>
        <color rgb="FF1155CC"/>
        <u/>
      </rPr>
      <t>www.roncool.cn</t>
    </r>
    <r>
      <rPr/>
      <t xml:space="preserve"> </t>
    </r>
  </si>
  <si>
    <t xml:space="preserve">15257007592/ 05703880822 </t>
  </si>
  <si>
    <t xml:space="preserve">leah@roncool.com </t>
  </si>
  <si>
    <t xml:space="preserve">RIVA company </t>
  </si>
  <si>
    <t xml:space="preserve">sivan jalal </t>
  </si>
  <si>
    <r>
      <rPr>
        <color rgb="FF1155CC"/>
        <u/>
      </rPr>
      <t>www.rivaplus.com</t>
    </r>
    <r>
      <rPr/>
      <t xml:space="preserve"> </t>
    </r>
  </si>
  <si>
    <t xml:space="preserve">sales@rivaplus.com </t>
  </si>
  <si>
    <t xml:space="preserve">JIALLE </t>
  </si>
  <si>
    <t xml:space="preserve">Stream </t>
  </si>
  <si>
    <r>
      <rPr>
        <color rgb="FF1155CC"/>
        <u/>
      </rPr>
      <t>www.jialile.net</t>
    </r>
    <r>
      <rPr/>
      <t xml:space="preserve"> </t>
    </r>
  </si>
  <si>
    <t xml:space="preserve">442701713@qq.com </t>
  </si>
  <si>
    <t xml:space="preserve">Fiafi Solar </t>
  </si>
  <si>
    <t xml:space="preserve">Ibrahim Dollan </t>
  </si>
  <si>
    <t xml:space="preserve">Solar </t>
  </si>
  <si>
    <r>
      <rPr>
        <color rgb="FF1155CC"/>
        <u/>
      </rPr>
      <t>www.fiafigroup.com</t>
    </r>
    <r>
      <rPr/>
      <t xml:space="preserve"> </t>
    </r>
  </si>
  <si>
    <t xml:space="preserve">i.dollan@fiafigroup.com </t>
  </si>
  <si>
    <t xml:space="preserve">ASALAT AL KHALEEG </t>
  </si>
  <si>
    <r>
      <rPr>
        <color rgb="FF1155CC"/>
        <u/>
      </rPr>
      <t>www.asalatalkhaleeg.com</t>
    </r>
    <r>
      <rPr/>
      <t xml:space="preserve"> </t>
    </r>
  </si>
  <si>
    <t xml:space="preserve">info@asalatalkaleeg.com </t>
  </si>
  <si>
    <t xml:space="preserve">AOLAR &amp; ESS SOLUTIONS </t>
  </si>
  <si>
    <t xml:space="preserve">Shwan </t>
  </si>
  <si>
    <r>
      <rPr>
        <color rgb="FF1155CC"/>
        <u/>
      </rPr>
      <t>www.setaenergy.com</t>
    </r>
    <r>
      <rPr/>
      <t xml:space="preserve"> </t>
    </r>
  </si>
  <si>
    <t>shwan@sentaenergy.com</t>
  </si>
  <si>
    <t xml:space="preserve">OUYAO </t>
  </si>
  <si>
    <t xml:space="preserve">Nicole </t>
  </si>
  <si>
    <t xml:space="preserve">solar Hybrid inverter and Battery </t>
  </si>
  <si>
    <r>
      <rPr>
        <color rgb="FF1155CC"/>
        <u/>
      </rPr>
      <t>www.ouyad.com</t>
    </r>
    <r>
      <rPr/>
      <t xml:space="preserve"> </t>
    </r>
  </si>
  <si>
    <t xml:space="preserve">overseas17@ouyad.com </t>
  </si>
  <si>
    <t xml:space="preserve">Sahel Jeddah For General Trading LIC </t>
  </si>
  <si>
    <t xml:space="preserve">Majed </t>
  </si>
  <si>
    <t xml:space="preserve">Tejara Ama </t>
  </si>
  <si>
    <r>
      <rPr>
        <color rgb="FF1155CC"/>
        <u/>
      </rPr>
      <t>www.saheljeddah.com</t>
    </r>
    <r>
      <rPr/>
      <t xml:space="preserve"> </t>
    </r>
  </si>
  <si>
    <t xml:space="preserve">info@saheljeddah.com </t>
  </si>
  <si>
    <t xml:space="preserve">SMK SOLAR </t>
  </si>
  <si>
    <t xml:space="preserve">Mandy Kam </t>
  </si>
  <si>
    <t xml:space="preserve">Solar energy. anytime.anywhere </t>
  </si>
  <si>
    <r>
      <rPr>
        <color rgb="FF1155CC"/>
        <u/>
      </rPr>
      <t>www.smksolar.com</t>
    </r>
    <r>
      <rPr/>
      <t xml:space="preserve"> </t>
    </r>
  </si>
  <si>
    <t xml:space="preserve">mandy@smksolar.com </t>
  </si>
  <si>
    <t xml:space="preserve">Diary Company </t>
  </si>
  <si>
    <t xml:space="preserve">for general traiding agency, supplaying and installing generators-ltd </t>
  </si>
  <si>
    <r>
      <rPr>
        <color rgb="FF1155CC"/>
        <u/>
      </rPr>
      <t>www.diary-supplies.com</t>
    </r>
    <r>
      <rPr/>
      <t xml:space="preserve"> </t>
    </r>
  </si>
  <si>
    <t xml:space="preserve">7501500527 / 7730053355 </t>
  </si>
  <si>
    <t>info@diary-supplies.com / diar.ranow@gmail.com</t>
  </si>
  <si>
    <t xml:space="preserve">EPC Energy power conversion </t>
  </si>
  <si>
    <t xml:space="preserve">jinan Hamza </t>
  </si>
  <si>
    <r>
      <rPr>
        <color rgb="FF1155CC"/>
        <u/>
      </rPr>
      <t>www.epcas.com.tr</t>
    </r>
    <r>
      <rPr/>
      <t xml:space="preserve"> </t>
    </r>
  </si>
  <si>
    <t xml:space="preserve">jhamza@epcas.com.tr </t>
  </si>
  <si>
    <t xml:space="preserve">ATC Arabian Transformers Co. </t>
  </si>
  <si>
    <t xml:space="preserve">Muhamad Musa </t>
  </si>
  <si>
    <t xml:space="preserve">Power o life since 1997 Arabian Transformers </t>
  </si>
  <si>
    <t>www.arabiantransformers.com</t>
  </si>
  <si>
    <t xml:space="preserve">966505592881/ 966138120997 </t>
  </si>
  <si>
    <t xml:space="preserve">mohd.almousa@sa-act.com </t>
  </si>
  <si>
    <t xml:space="preserve">Al-Yaseen Group </t>
  </si>
  <si>
    <t xml:space="preserve">Hassan Ansar </t>
  </si>
  <si>
    <r>
      <rPr>
        <color rgb="FF1155CC"/>
        <u/>
      </rPr>
      <t>www.alyaseengroup.com</t>
    </r>
    <r>
      <rPr/>
      <t xml:space="preserve"> </t>
    </r>
  </si>
  <si>
    <t xml:space="preserve">h.alanssari@alyaseengroup.com </t>
  </si>
  <si>
    <t xml:space="preserve">ELSEWEDY ELECTRIC </t>
  </si>
  <si>
    <t xml:space="preserve">Noha Nazif </t>
  </si>
  <si>
    <t xml:space="preserve">electric </t>
  </si>
  <si>
    <r>
      <rPr>
        <color rgb="FF1155CC"/>
        <u/>
      </rPr>
      <t>www.elsewedyelectric.com</t>
    </r>
    <r>
      <rPr/>
      <t xml:space="preserve"> </t>
    </r>
  </si>
  <si>
    <t>noha.nazif@elsewedy.com</t>
  </si>
  <si>
    <t xml:space="preserve">AL FURAT SOLAR  </t>
  </si>
  <si>
    <t xml:space="preserve">Yaseen Faris </t>
  </si>
  <si>
    <r>
      <rPr>
        <color rgb="FF1155CC"/>
        <u/>
      </rPr>
      <t>www.alfuratsolar.com</t>
    </r>
    <r>
      <rPr/>
      <t xml:space="preserve"> </t>
    </r>
  </si>
  <si>
    <t xml:space="preserve">y.faris@alfuratsolar.com </t>
  </si>
  <si>
    <t xml:space="preserve">Solenta Ceramic </t>
  </si>
  <si>
    <t xml:space="preserve">Himanshu Patel </t>
  </si>
  <si>
    <t>ceramic</t>
  </si>
  <si>
    <r>
      <rPr>
        <color rgb="FF1155CC"/>
        <u/>
      </rPr>
      <t>www.solentaceramic.in</t>
    </r>
    <r>
      <rPr/>
      <t xml:space="preserve"> </t>
    </r>
  </si>
  <si>
    <t xml:space="preserve">solentaceramic@gmail.com </t>
  </si>
  <si>
    <t xml:space="preserve">CHUGN </t>
  </si>
  <si>
    <t>SHANIA LIN</t>
  </si>
  <si>
    <t xml:space="preserve">CHUNGUANG HARDWARE CO., LTD </t>
  </si>
  <si>
    <r>
      <rPr>
        <color rgb="FF1155CC"/>
        <u/>
      </rPr>
      <t>www.chugn.com</t>
    </r>
    <r>
      <rPr/>
      <t xml:space="preserve"> </t>
    </r>
  </si>
  <si>
    <t xml:space="preserve">0086- 15869697723 </t>
  </si>
  <si>
    <t xml:space="preserve">shania@chugn.com </t>
  </si>
  <si>
    <t xml:space="preserve">SUNRISE </t>
  </si>
  <si>
    <t>Cecilia Shi</t>
  </si>
  <si>
    <t xml:space="preserve">SHOUGUANG SUNRISE INDUSTRY CO., LTD </t>
  </si>
  <si>
    <r>
      <rPr>
        <color rgb="FF1155CC"/>
        <u/>
      </rPr>
      <t>www.sunriseproduct.cn</t>
    </r>
    <r>
      <rPr/>
      <t xml:space="preserve"> </t>
    </r>
  </si>
  <si>
    <t xml:space="preserve">sunrise11@sunriseproducts.cn </t>
  </si>
  <si>
    <t xml:space="preserve">Abdulla Alhosani </t>
  </si>
  <si>
    <t xml:space="preserve">Properties your property </t>
  </si>
  <si>
    <r>
      <rPr>
        <color rgb="FF1155CC"/>
        <u/>
      </rPr>
      <t>www.properties.com</t>
    </r>
    <r>
      <rPr/>
      <t xml:space="preserve"> </t>
    </r>
  </si>
  <si>
    <t xml:space="preserve">971-503-100000 </t>
  </si>
  <si>
    <t xml:space="preserve">BeTel </t>
  </si>
  <si>
    <t xml:space="preserve">Salih Hussin </t>
  </si>
  <si>
    <t xml:space="preserve">General traiding ltd. </t>
  </si>
  <si>
    <r>
      <rPr>
        <color rgb="FF1155CC"/>
        <u/>
      </rPr>
      <t>www.betelgroup.net</t>
    </r>
    <r>
      <rPr/>
      <t xml:space="preserve"> </t>
    </r>
  </si>
  <si>
    <t xml:space="preserve">info@betelgroup.net </t>
  </si>
  <si>
    <t>MARSRIVA</t>
  </si>
  <si>
    <t xml:space="preserve">Denny Liang </t>
  </si>
  <si>
    <r>
      <rPr/>
      <t xml:space="preserve">Marsriva </t>
    </r>
    <r>
      <rPr>
        <color rgb="FF1155CC"/>
        <u/>
      </rPr>
      <t>Technology.Co</t>
    </r>
    <r>
      <rPr/>
      <t xml:space="preserve">., Ltd.  </t>
    </r>
  </si>
  <si>
    <r>
      <rPr>
        <color rgb="FF1155CC"/>
        <u/>
      </rPr>
      <t>www.marsriva.com</t>
    </r>
    <r>
      <rPr/>
      <t xml:space="preserve"> </t>
    </r>
  </si>
  <si>
    <t xml:space="preserve">denny@marsriva.com </t>
  </si>
  <si>
    <t xml:space="preserve">ISO </t>
  </si>
  <si>
    <t xml:space="preserve">Mohammed Al Allaf </t>
  </si>
  <si>
    <t xml:space="preserve">Quality knights for Training and Development </t>
  </si>
  <si>
    <r>
      <rPr>
        <color rgb="FF1155CC"/>
        <u/>
      </rPr>
      <t>www.isoiraq.org</t>
    </r>
    <r>
      <rPr/>
      <t xml:space="preserve"> </t>
    </r>
  </si>
  <si>
    <t xml:space="preserve">7901150128 / 7730150128 </t>
  </si>
  <si>
    <t xml:space="preserve">ceo@qk-co.co </t>
  </si>
  <si>
    <t xml:space="preserve">ADS </t>
  </si>
  <si>
    <t>Tahir Karadag</t>
  </si>
  <si>
    <r>
      <rPr>
        <color rgb="FF1155CC"/>
        <u/>
      </rPr>
      <t>www.adsmuhendislik.com.tr</t>
    </r>
    <r>
      <rPr/>
      <t xml:space="preserve"> </t>
    </r>
  </si>
  <si>
    <t xml:space="preserve">tahir@adsmuhendislik.com.tr </t>
  </si>
  <si>
    <t xml:space="preserve">Public Authority for Industry </t>
  </si>
  <si>
    <t xml:space="preserve">Hasan Redha </t>
  </si>
  <si>
    <t xml:space="preserve">industry </t>
  </si>
  <si>
    <t xml:space="preserve">h.altabtabai@pai.gov.kw </t>
  </si>
  <si>
    <t xml:space="preserve">AMR CONSULTANCY </t>
  </si>
  <si>
    <t xml:space="preserve">Ahmed Rashed </t>
  </si>
  <si>
    <r>
      <rPr>
        <color rgb="FF1155CC"/>
        <u/>
      </rPr>
      <t>www.amrconsultancy.co.uk</t>
    </r>
    <r>
      <rPr/>
      <t xml:space="preserve"> </t>
    </r>
  </si>
  <si>
    <t>7760510395c</t>
  </si>
  <si>
    <t xml:space="preserve">ahmed@amrconsultancy.co.uk </t>
  </si>
  <si>
    <t xml:space="preserve">ROLLZA </t>
  </si>
  <si>
    <t xml:space="preserve">SUNIL SHAH </t>
  </si>
  <si>
    <r>
      <rPr>
        <color rgb="FF1155CC"/>
        <u/>
      </rPr>
      <t>www.rollza.in</t>
    </r>
    <r>
      <rPr/>
      <t xml:space="preserve"> </t>
    </r>
  </si>
  <si>
    <t xml:space="preserve">overseas@rollza.in </t>
  </si>
  <si>
    <t xml:space="preserve">elmaksan </t>
  </si>
  <si>
    <t xml:space="preserve">Adnan Sener </t>
  </si>
  <si>
    <t xml:space="preserve">transformer </t>
  </si>
  <si>
    <r>
      <rPr>
        <color rgb="FF1155CC"/>
        <u/>
      </rPr>
      <t>www.elmaksantransformer.com</t>
    </r>
    <r>
      <rPr/>
      <t xml:space="preserve"> </t>
    </r>
  </si>
  <si>
    <t xml:space="preserve">sales@elmaksantransformer.com </t>
  </si>
  <si>
    <t xml:space="preserve">ABO Valve engineered for life </t>
  </si>
  <si>
    <t xml:space="preserve">Vinod Tslsnde </t>
  </si>
  <si>
    <r>
      <rPr>
        <color rgb="FF1155CC"/>
        <u/>
      </rPr>
      <t>www.abovalve.com</t>
    </r>
    <r>
      <rPr/>
      <t xml:space="preserve"> </t>
    </r>
  </si>
  <si>
    <t xml:space="preserve">sales@abovalve.com </t>
  </si>
  <si>
    <t xml:space="preserve">LYGY </t>
  </si>
  <si>
    <t xml:space="preserve">Jian Wei chen </t>
  </si>
  <si>
    <t xml:space="preserve">HANGZHOU TIANHONG LONGYE PLASTIC INDUSTRYCO., LTD </t>
  </si>
  <si>
    <r>
      <rPr>
        <color rgb="FF1155CC"/>
        <u/>
      </rPr>
      <t>hzlongye1688.com</t>
    </r>
    <r>
      <rPr/>
      <t xml:space="preserve"> </t>
    </r>
  </si>
  <si>
    <t xml:space="preserve">0086-571-82457889 </t>
  </si>
  <si>
    <t xml:space="preserve">longyeguanye@163.com </t>
  </si>
  <si>
    <t xml:space="preserve">SHINE </t>
  </si>
  <si>
    <t xml:space="preserve">Simona </t>
  </si>
  <si>
    <t xml:space="preserve">shine energy </t>
  </si>
  <si>
    <r>
      <rPr>
        <color rgb="FF1155CC"/>
        <u/>
      </rPr>
      <t>www.shineopto.com</t>
    </r>
    <r>
      <rPr/>
      <t xml:space="preserve"> / </t>
    </r>
    <r>
      <rPr>
        <color rgb="FF1155CC"/>
        <u/>
      </rPr>
      <t>www.optoshine.com</t>
    </r>
    <r>
      <rPr/>
      <t xml:space="preserve"> </t>
    </r>
  </si>
  <si>
    <t xml:space="preserve">led@optoshine.com </t>
  </si>
  <si>
    <t xml:space="preserve">Xerat Bahir company </t>
  </si>
  <si>
    <t xml:space="preserve">solar power </t>
  </si>
  <si>
    <t>SOLAR &amp; ESS SOLUTIONS</t>
  </si>
  <si>
    <t>SHWAN</t>
  </si>
  <si>
    <r>
      <rPr>
        <color rgb="FF1155CC"/>
        <u/>
      </rPr>
      <t>www.sentaenergy.com</t>
    </r>
    <r>
      <rPr/>
      <t xml:space="preserve"> </t>
    </r>
  </si>
  <si>
    <t xml:space="preserve">86-133-95150727 </t>
  </si>
  <si>
    <t xml:space="preserve">SOLARTECH </t>
  </si>
  <si>
    <t>Adera Habeeb</t>
  </si>
  <si>
    <r>
      <rPr>
        <color rgb="FF1155CC"/>
        <u/>
      </rPr>
      <t>www.solartech-iq.com</t>
    </r>
    <r>
      <rPr/>
      <t xml:space="preserve"> </t>
    </r>
  </si>
  <si>
    <t xml:space="preserve">adera@solartech-iq.com </t>
  </si>
  <si>
    <t>aiva</t>
  </si>
  <si>
    <t>sivan jalal</t>
  </si>
  <si>
    <t>building</t>
  </si>
  <si>
    <t>www.rivapius.com</t>
  </si>
  <si>
    <t>sacotei zenshine</t>
  </si>
  <si>
    <t>joumana hosri</t>
  </si>
  <si>
    <t>www.znshinesolar.com</t>
  </si>
  <si>
    <t>961 3336613</t>
  </si>
  <si>
    <t>الشمس</t>
  </si>
  <si>
    <t>يونس</t>
  </si>
  <si>
    <t>al juhid</t>
  </si>
  <si>
    <t>power company</t>
  </si>
  <si>
    <t>info@aljuhid.comiq</t>
  </si>
  <si>
    <t>ies galvaniz</t>
  </si>
  <si>
    <t>www.iesgalvaniz.com.tr</t>
  </si>
  <si>
    <t xml:space="preserve"> 90 328 802 06 44</t>
  </si>
  <si>
    <t>info@iesgalvaniz.com.tr</t>
  </si>
  <si>
    <t>wafaa alffurat</t>
  </si>
  <si>
    <t>www.wafaa-alfurat.iq</t>
  </si>
  <si>
    <t>rudha.jassim@wafaa-alfurat.iq</t>
  </si>
  <si>
    <t>knx</t>
  </si>
  <si>
    <t>www.alyaseengroup.com</t>
  </si>
  <si>
    <t>straco</t>
  </si>
  <si>
    <t>strakwshrkt@gmail.com</t>
  </si>
  <si>
    <t>mawj altaif</t>
  </si>
  <si>
    <t>info@mawjaltaif.com</t>
  </si>
  <si>
    <t>Subcategory</t>
  </si>
  <si>
    <t>Country</t>
  </si>
  <si>
    <t>Booth Number</t>
  </si>
  <si>
    <t>Notes</t>
  </si>
  <si>
    <t>Column 1</t>
  </si>
  <si>
    <t>Column 2</t>
  </si>
  <si>
    <t>Column 3</t>
  </si>
  <si>
    <t>Real Estate</t>
  </si>
  <si>
    <t>Developer</t>
  </si>
  <si>
    <t xml:space="preserve">Dubai Dream Home </t>
  </si>
  <si>
    <t>hello@dubaidreamhome.ae</t>
  </si>
  <si>
    <t>Property Development</t>
  </si>
  <si>
    <t xml:space="preserve"> AljoodRealEstat</t>
  </si>
  <si>
    <t>966 9200 31881-00 966 16 361 1888</t>
  </si>
  <si>
    <t>https://t.co/RqxMcgCxGy</t>
  </si>
  <si>
    <t>Architects &amp; Design</t>
  </si>
  <si>
    <t>Architecture and Designers</t>
  </si>
  <si>
    <t>Aedas Architects FZ-LLC</t>
  </si>
  <si>
    <t>General: 00 86 (10) 8529 0200</t>
  </si>
  <si>
    <t>middleeast@aedas.com</t>
  </si>
  <si>
    <t>971 (4) 368 8133</t>
  </si>
  <si>
    <t>https://www.aedas.com/</t>
  </si>
  <si>
    <t>bd-global@aedas.com</t>
  </si>
  <si>
    <t>Investment/ Assets Management/ Property investor</t>
  </si>
  <si>
    <t>Al Mira Real Estate Brokerage LLC</t>
  </si>
  <si>
    <t>971 2 546 2666</t>
  </si>
  <si>
    <t>http://www.almira.ae</t>
  </si>
  <si>
    <t xml:space="preserve"> Developer Jamal Omran</t>
  </si>
  <si>
    <t xml:space="preserve">Saudi Arabia </t>
  </si>
  <si>
    <t>مكتب جدة 00966125478888
مكتب مكة 00966125106100</t>
  </si>
  <si>
    <t>info@jodc.com.sa</t>
  </si>
  <si>
    <t>https://jabalomar.com.sa/%d8%aa%d9%88%d8%a7%d8%b5%d9%84-%d9%85%d8%b9%d9%86%d8%a7/</t>
  </si>
  <si>
    <t>Kingdom Holding Co.</t>
  </si>
  <si>
    <t>Riyadh 11321 Kingdom of Saudi Arabia</t>
  </si>
  <si>
    <t>00966 11 211 1112
00966 11 211 1111</t>
  </si>
  <si>
    <t>nvestor.relations@kingdom.com.sa</t>
  </si>
  <si>
    <t>https://kingdom.com.sa/contact</t>
  </si>
  <si>
    <t>Riyadh Development Company</t>
  </si>
  <si>
    <t xml:space="preserve"> IR@Riyadh.Dev</t>
  </si>
  <si>
    <t>https://riyadh.dev/en/</t>
  </si>
  <si>
    <t>Saudi Binladin Group (SBG)</t>
  </si>
  <si>
    <t>Dar Al Arkan</t>
  </si>
  <si>
    <t>Wizarat, 12622, Makkah Al Mukarramah Branch Road, Riyadh.</t>
  </si>
  <si>
    <t xml:space="preserve">
‎800 123 3333</t>
  </si>
  <si>
    <t xml:space="preserve">info@alarkan.com </t>
  </si>
  <si>
    <t>Alalameya  Real Estate Development Company</t>
  </si>
  <si>
    <t>جدة 23615
المملكة العربية السعودية</t>
  </si>
  <si>
    <t>info@alalameyared.com</t>
  </si>
  <si>
    <t>https://alalameyared.com/</t>
  </si>
  <si>
    <t xml:space="preserve">AQAR </t>
  </si>
  <si>
    <t>Doha - Qatar</t>
  </si>
  <si>
    <t xml:space="preserve"> +974-40 190 500</t>
  </si>
  <si>
    <t>info@aqar.com.qa</t>
  </si>
  <si>
    <t>https://www.almdarij.com/</t>
  </si>
  <si>
    <t>AFAQ</t>
  </si>
  <si>
    <t xml:space="preserve">JADDAH-SAUDIA </t>
  </si>
  <si>
    <t>info@afaqco.sa</t>
  </si>
  <si>
    <t>https://afaqco.sa/%d9%85%d9%86-%d9%86%d8%ad%d9%86/</t>
  </si>
  <si>
    <t>Tahqiq Al Amal for Real Estate Development</t>
  </si>
  <si>
    <t>admin@theqa-technology.sa</t>
  </si>
  <si>
    <t>https://theqa-technology.sa/en/tahqiq-al-amal-for-real-estate-development/</t>
  </si>
  <si>
    <t>SAFAT ALSAFRAH</t>
  </si>
  <si>
    <t>Iraq-Basrah</t>
  </si>
  <si>
    <t>sales@safatbasra.com</t>
  </si>
  <si>
    <t>https://www.safatbasra.com/en/</t>
  </si>
  <si>
    <t>Holding</t>
  </si>
  <si>
    <t>Zad Holding</t>
  </si>
  <si>
    <t>Qatar</t>
  </si>
  <si>
    <t>974 44 41 50 00</t>
  </si>
  <si>
    <t>info@zad.qa</t>
  </si>
  <si>
    <t>Alfaisal Holding</t>
  </si>
  <si>
    <t>974 44223830</t>
  </si>
  <si>
    <r>
      <rPr>
        <u/>
      </rPr>
      <t>pr@alfaisalholding.com</t>
    </r>
  </si>
  <si>
    <t>Artan Holding</t>
  </si>
  <si>
    <t>974 44038666</t>
  </si>
  <si>
    <t>info@artanholding.com</t>
  </si>
  <si>
    <t>UCC Holding</t>
  </si>
  <si>
    <t>974 44292220</t>
  </si>
  <si>
    <t>info@uccholding-intl.com</t>
  </si>
  <si>
    <t>Almana Group</t>
  </si>
  <si>
    <t>974 44489900</t>
  </si>
  <si>
    <t>group@almanagroup.com</t>
  </si>
  <si>
    <t>Almuftah Group</t>
  </si>
  <si>
    <t>(+974) 4444-6868</t>
  </si>
  <si>
    <t>almuftah@almuftah.com</t>
  </si>
  <si>
    <t>Al Rayes Group</t>
  </si>
  <si>
    <t>(+974) 4444 6008</t>
  </si>
  <si>
    <t>info@groupalrayes.com</t>
  </si>
  <si>
    <t>HBK Holding Company</t>
  </si>
  <si>
    <t>(+974) 44433644</t>
  </si>
  <si>
    <t>info@HBKContracting.com</t>
  </si>
  <si>
    <t>Almaadeed Group</t>
  </si>
  <si>
    <t>974 44428334</t>
  </si>
  <si>
    <t>office@alriyadhqatar.com</t>
  </si>
  <si>
    <t>Al Fardan Group Holding</t>
  </si>
  <si>
    <t>974­ 44408408</t>
  </si>
  <si>
    <t>info@alfardan.com.qa</t>
  </si>
  <si>
    <t>Bin Yousef Group Of Companies</t>
  </si>
  <si>
    <t>974 4433 6100</t>
  </si>
  <si>
    <t>info@binyousef.com</t>
  </si>
  <si>
    <t>Ebrahim Al Neama &amp; Sons Holding Group</t>
  </si>
  <si>
    <t>974 4466 6201</t>
  </si>
  <si>
    <t>info@alneamaholding.com</t>
  </si>
  <si>
    <t>Jaidah Group</t>
  </si>
  <si>
    <t>974 4435 5690</t>
  </si>
  <si>
    <t>info@jaidah.com.qa</t>
  </si>
  <si>
    <t>Jawad Business Group</t>
  </si>
  <si>
    <t>974 4435 7350</t>
  </si>
  <si>
    <t>jawad@jawad.com</t>
  </si>
  <si>
    <t>Jersey Group</t>
  </si>
  <si>
    <t>974 4492 5077</t>
  </si>
  <si>
    <t>info@jerseygroup.com</t>
  </si>
  <si>
    <t>Regency Group Holding</t>
  </si>
  <si>
    <t>974 4440 3223</t>
  </si>
  <si>
    <t>info@regencygroupq.com</t>
  </si>
  <si>
    <t>Darwish Holding</t>
  </si>
  <si>
    <t>974 4425 7777</t>
  </si>
  <si>
    <t>info@darwishholding.com</t>
  </si>
  <si>
    <t>Al Sraiya Holding</t>
  </si>
  <si>
    <t>974 4441 1800</t>
  </si>
  <si>
    <t>info@alsraiyagroup.com</t>
  </si>
  <si>
    <t>Taleb Group of Companies</t>
  </si>
  <si>
    <t>974 44660042   974 44637400</t>
  </si>
  <si>
    <t>info@talebgroup</t>
  </si>
  <si>
    <t>Techstar Trdg &amp; Distribution Co WLL</t>
  </si>
  <si>
    <t>974 4465 7586</t>
  </si>
  <si>
    <t>info@techstarqatar.com</t>
  </si>
  <si>
    <t>Real estate developer</t>
  </si>
  <si>
    <t>971 43673333</t>
  </si>
  <si>
    <t>Costumercare@emaar.ae</t>
  </si>
  <si>
    <t>Nakheel</t>
  </si>
  <si>
    <t>Info@nakheel.com</t>
  </si>
  <si>
    <t>Dubai Properties</t>
  </si>
  <si>
    <t>info@dubaiproperties.co.in</t>
  </si>
  <si>
    <t>Meraas</t>
  </si>
  <si>
    <r>
      <rPr>
        <u/>
      </rPr>
      <t>Customerservice@meraas.ae</t>
    </r>
  </si>
  <si>
    <t>Damac</t>
  </si>
  <si>
    <r>
      <rPr>
        <u/>
      </rPr>
      <t>Investor.relations@damacgroup.com</t>
    </r>
  </si>
  <si>
    <t>Sobha</t>
  </si>
  <si>
    <t>francis.alfred@sobharealty.com</t>
  </si>
  <si>
    <t>Azizi</t>
  </si>
  <si>
    <t>Jane.doe@azizidevelopments.com                                    info@azizidevelopments.com</t>
  </si>
  <si>
    <t>Ellington Group</t>
  </si>
  <si>
    <r>
      <rPr>
        <u/>
      </rPr>
      <t>info@ellingtongroup.com</t>
    </r>
  </si>
  <si>
    <t>Select Group</t>
  </si>
  <si>
    <r>
      <rPr>
        <u/>
      </rPr>
      <t>info@select-group.ae</t>
    </r>
  </si>
  <si>
    <t>Seven Tides</t>
  </si>
  <si>
    <r>
      <rPr>
        <u/>
      </rPr>
      <t>info@seventides.com</t>
    </r>
  </si>
  <si>
    <t>Albarari</t>
  </si>
  <si>
    <r>
      <rPr>
        <u/>
      </rPr>
      <t>marketing@albarari.ae</t>
    </r>
  </si>
  <si>
    <t>MAB develop</t>
  </si>
  <si>
    <t>971 42835593</t>
  </si>
  <si>
    <t>info@mabdevelop.com</t>
  </si>
  <si>
    <t>Turkey</t>
  </si>
  <si>
    <r>
      <rPr>
        <u/>
      </rPr>
      <t>Info@emaar.com.tr</t>
    </r>
  </si>
  <si>
    <t>https://www.bcmholdingtr.com/en/contact</t>
  </si>
  <si>
    <t>Property</t>
  </si>
  <si>
    <t>Novara</t>
  </si>
  <si>
    <t>971 48795600</t>
  </si>
  <si>
    <t>Info@novara.ae</t>
  </si>
  <si>
    <t>Cando</t>
  </si>
  <si>
    <t>971 44279600</t>
  </si>
  <si>
    <t>info@cando.ae</t>
  </si>
  <si>
    <t>jdseliteproperties</t>
  </si>
  <si>
    <t>971 521336572</t>
  </si>
  <si>
    <t>info@jdseliteproperties.ae</t>
  </si>
  <si>
    <t>beyondproperties</t>
  </si>
  <si>
    <t>enquiries@beyondproperties.ae</t>
  </si>
  <si>
    <t>Noblehorizon</t>
  </si>
  <si>
    <t>971 45549628</t>
  </si>
  <si>
    <t>info@noblehorison.ae</t>
  </si>
  <si>
    <t>elite merit</t>
  </si>
  <si>
    <t>971 43251922</t>
  </si>
  <si>
    <t>info@elitemerit.ae</t>
  </si>
  <si>
    <t>Bullish properties</t>
  </si>
  <si>
    <t>971 545173777</t>
  </si>
  <si>
    <t>info@bullproperties.com</t>
  </si>
  <si>
    <t>Fidu Properties</t>
  </si>
  <si>
    <t>971 525999999</t>
  </si>
  <si>
    <t>info@fiduproperties.com</t>
  </si>
  <si>
    <t>Amorth Real Estate</t>
  </si>
  <si>
    <t>971 562406137</t>
  </si>
  <si>
    <t>info@amorth.ae</t>
  </si>
  <si>
    <t>Shababeek Dubai</t>
  </si>
  <si>
    <t>971 567876289</t>
  </si>
  <si>
    <t>info@shababeekdubai.com</t>
  </si>
  <si>
    <t>Free hold properties</t>
  </si>
  <si>
    <t>971 504173622</t>
  </si>
  <si>
    <t>info@freeholdproperty.ae</t>
  </si>
  <si>
    <t>natural home real estate</t>
  </si>
  <si>
    <t>971 585512500</t>
  </si>
  <si>
    <t>info@naturalhomere.com</t>
  </si>
  <si>
    <t>Next level real estate</t>
  </si>
  <si>
    <t>971 529944443</t>
  </si>
  <si>
    <t>sales@nextlevelrealestate.ae</t>
  </si>
  <si>
    <t>EMI WORLDWIDE Real estate</t>
  </si>
  <si>
    <t>971 45774205</t>
  </si>
  <si>
    <t>alzaabi@emirates-worldwide.com</t>
  </si>
  <si>
    <t>redstone charm</t>
  </si>
  <si>
    <t>971 455547340</t>
  </si>
  <si>
    <t>aysun.yemisci@redstoneglobal.net</t>
  </si>
  <si>
    <t>Sahi Estate</t>
  </si>
  <si>
    <t>971 45583227</t>
  </si>
  <si>
    <t>Aile Properties</t>
  </si>
  <si>
    <t>971 522366060</t>
  </si>
  <si>
    <t>Clemson Porter Properties</t>
  </si>
  <si>
    <t>971 585501887</t>
  </si>
  <si>
    <t>Alaa G Kherbek</t>
  </si>
  <si>
    <t>971 501623132</t>
  </si>
  <si>
    <t>Nawy</t>
  </si>
  <si>
    <t>Egypt</t>
  </si>
  <si>
    <t>20 1022088888</t>
  </si>
  <si>
    <t>The strategy real estate</t>
  </si>
  <si>
    <t>971 544474794</t>
  </si>
  <si>
    <t>luxekey real estate</t>
  </si>
  <si>
    <t>971 554786833</t>
  </si>
  <si>
    <t>Baitaldunya</t>
  </si>
  <si>
    <t>971 544708787</t>
  </si>
  <si>
    <t>Rich key properties</t>
  </si>
  <si>
    <t>971 42322423</t>
  </si>
  <si>
    <t>Blue Ray Properties</t>
  </si>
  <si>
    <t>971 501383101</t>
  </si>
  <si>
    <t>K&amp;S properties</t>
  </si>
  <si>
    <t>red luxury real estate</t>
  </si>
  <si>
    <t>971 522172300</t>
  </si>
  <si>
    <t>Sekenkoum Real Estate</t>
  </si>
  <si>
    <t>971 585130111</t>
  </si>
  <si>
    <t>Deed Company</t>
  </si>
  <si>
    <t>750 2820808</t>
  </si>
  <si>
    <t>Sharozh-Farzin/Dyar real estate</t>
  </si>
  <si>
    <t>750 2062323</t>
  </si>
  <si>
    <t>Istaproperty Turkey</t>
  </si>
  <si>
    <t>90 5541644782</t>
  </si>
  <si>
    <r>
      <rPr>
        <u/>
      </rPr>
      <t>pr@alfaisalholding.com</t>
    </r>
  </si>
  <si>
    <t>Shkar real estate</t>
  </si>
  <si>
    <t>750 3001155</t>
  </si>
  <si>
    <t>Leena Lat</t>
  </si>
  <si>
    <t>971 528744900</t>
  </si>
  <si>
    <t>Select deals property</t>
  </si>
  <si>
    <t>971 555192222</t>
  </si>
  <si>
    <t>Tresor Gloabal properties</t>
  </si>
  <si>
    <t>971 568861001</t>
  </si>
  <si>
    <t>Silver Lining</t>
  </si>
  <si>
    <t>784 4455256</t>
  </si>
  <si>
    <t>InvesQ Property Brokerage L. L. C</t>
  </si>
  <si>
    <t>971 44338922</t>
  </si>
  <si>
    <t>Aquahome real estate</t>
  </si>
  <si>
    <t>971 588874537</t>
  </si>
  <si>
    <t>My future properties</t>
  </si>
  <si>
    <t>971 589247485</t>
  </si>
  <si>
    <t>Architect</t>
  </si>
  <si>
    <t>Deva Architects</t>
  </si>
  <si>
    <t>750 5460460</t>
  </si>
  <si>
    <t>Project</t>
  </si>
  <si>
    <t>Alhilu</t>
  </si>
  <si>
    <t>07705727775, 07801161301, 07708858694,
07807687770</t>
  </si>
  <si>
    <t>https://alhilu.net/Contact.html</t>
  </si>
  <si>
    <t>BASRA INDUSTRIOUS GROUP</t>
  </si>
  <si>
    <t>PAKISTAN</t>
  </si>
  <si>
    <t>0092 55 389 00 67/0092 340 111 11 81\ 0092 344 111 11 81 0041  79 931 11 81</t>
  </si>
  <si>
    <t>https://basra-group.com/contacts</t>
  </si>
  <si>
    <t>Residential Construction</t>
  </si>
  <si>
    <t>BCM Holding</t>
  </si>
  <si>
    <t>tel:+18001234567</t>
  </si>
  <si>
    <t xml:space="preserve">Property </t>
  </si>
  <si>
    <t>Acorn Property Invest</t>
  </si>
  <si>
    <t>UK</t>
  </si>
  <si>
    <t>tel:+44 0203 858 9881</t>
  </si>
  <si>
    <t>https://www.acornpropertyinvest.com/</t>
  </si>
  <si>
    <t xml:space="preserve">Acron International </t>
  </si>
  <si>
    <t>India</t>
  </si>
  <si>
    <t>919165093000-918109300000</t>
  </si>
  <si>
    <t>https://www.acroninternational.com/</t>
  </si>
  <si>
    <t>Benjamin Stevens</t>
  </si>
  <si>
    <t>https://benjaminstevens.co.uk/</t>
  </si>
  <si>
    <t>Bin Alsheikh</t>
  </si>
  <si>
    <t>QATAR</t>
  </si>
  <si>
    <t>HORIZON PROPERTY GROUP</t>
  </si>
  <si>
    <t>01642 989679</t>
  </si>
  <si>
    <t>https://www.horizonsaleslettings.co.uk/contact-us</t>
  </si>
  <si>
    <t>Magnum Properties</t>
  </si>
  <si>
    <t>tel:01642247888</t>
  </si>
  <si>
    <t>https://magnumproperties.co.uk/</t>
  </si>
  <si>
    <t>Red Cardinal</t>
  </si>
  <si>
    <t>https://redcardinal.co.uk/first-time-investor/</t>
  </si>
  <si>
    <t>Premier Property Education</t>
  </si>
  <si>
    <t>0800 032 5282 or 01923 280328</t>
  </si>
  <si>
    <t>https://www.mercantiletrust.co.uk/contact/</t>
  </si>
  <si>
    <t xml:space="preserve">Banking </t>
  </si>
  <si>
    <t xml:space="preserve">ARAB NATIONAL BANK </t>
  </si>
  <si>
    <t xml:space="preserve">Saudia </t>
  </si>
  <si>
    <t>966112718611- 800 124 4141</t>
  </si>
  <si>
    <r>
      <rPr>
        <u/>
      </rPr>
      <t>Customerservice@meraas.ae</t>
    </r>
  </si>
  <si>
    <t>https://anb.com.sa/web/anb</t>
  </si>
  <si>
    <t xml:space="preserve">Baader Bank </t>
  </si>
  <si>
    <t>Deutschland</t>
  </si>
  <si>
    <t>00 49 89 - 51 50 - 11 11</t>
  </si>
  <si>
    <r>
      <rPr>
        <u/>
      </rPr>
      <t>Investor.relations@damacgroup.com</t>
    </r>
  </si>
  <si>
    <t>https://www.baaderbank.de/</t>
  </si>
  <si>
    <t>Banking-Loans</t>
  </si>
  <si>
    <t>Mercantile Trust</t>
  </si>
  <si>
    <t>My Mortgage Ace</t>
  </si>
  <si>
    <t>888-713-2526</t>
  </si>
  <si>
    <t>https://www.mymortgageace.com/aboutus</t>
  </si>
  <si>
    <t>Banking &amp; Investment</t>
  </si>
  <si>
    <t>Gulf Capital</t>
  </si>
  <si>
    <t>Gulf</t>
  </si>
  <si>
    <t>971 4 436 6800</t>
  </si>
  <si>
    <r>
      <rPr>
        <u/>
      </rPr>
      <t>info@ellingtongroup.com</t>
    </r>
  </si>
  <si>
    <t>https://www.gulfcapital.com/contact-us</t>
  </si>
  <si>
    <t>Gulf Investment Group</t>
  </si>
  <si>
    <r>
      <rPr>
        <u/>
      </rPr>
      <t>info@select-group.ae</t>
    </r>
  </si>
  <si>
    <t>https://gulfinvestmentsgroup.com/about/</t>
  </si>
  <si>
    <t>Gulf Investment Bank</t>
  </si>
  <si>
    <r>
      <rPr>
        <u/>
      </rPr>
      <t>info@seventides.com</t>
    </r>
  </si>
  <si>
    <t>https://www.gulfivb.com/contact-us/</t>
  </si>
  <si>
    <t xml:space="preserve">Investment GB </t>
  </si>
  <si>
    <t>Kuait</t>
  </si>
  <si>
    <t>965 220 855 00</t>
  </si>
  <si>
    <r>
      <rPr>
        <u/>
      </rPr>
      <t>marketing@albarari.ae</t>
    </r>
  </si>
  <si>
    <t>https://investgb.com/about-us/</t>
  </si>
  <si>
    <t>Emirates Investment Bank</t>
  </si>
  <si>
    <t xml:space="preserve">00971 (0)4 231 7777 </t>
  </si>
  <si>
    <t>https://www.eibank.com/</t>
  </si>
  <si>
    <t>J.P. Morgan</t>
  </si>
  <si>
    <t>Worldwide</t>
  </si>
  <si>
    <r>
      <rPr>
        <u/>
      </rPr>
      <t>Info@emaar.com.tr</t>
    </r>
  </si>
  <si>
    <t>https://www.jpmorgan.com/AE/en/about-us</t>
  </si>
  <si>
    <t xml:space="preserve">Auctions </t>
  </si>
  <si>
    <t>- Essential Information Group</t>
  </si>
  <si>
    <t>https://www.eigpropertyauctions.co.uk/</t>
  </si>
  <si>
    <t>INVEST</t>
  </si>
  <si>
    <t>Cyprus Life Estate Agency</t>
  </si>
  <si>
    <t>Cyprus</t>
  </si>
  <si>
    <t>https://cypruslife.estate/</t>
  </si>
  <si>
    <t>Forex</t>
  </si>
  <si>
    <t>Citizenship</t>
  </si>
  <si>
    <t>info@sahiestate.com</t>
  </si>
  <si>
    <t>admin@aileproperties.com</t>
  </si>
  <si>
    <t>admin@clemsonporter.com</t>
  </si>
  <si>
    <t>alaa@dpdxb.com</t>
  </si>
  <si>
    <t>info@nawy.com</t>
  </si>
  <si>
    <t>info@luxekey.net</t>
  </si>
  <si>
    <t>Vista Real estate</t>
  </si>
  <si>
    <t>info@vistaoman.com</t>
  </si>
  <si>
    <t>Sultanate of Oman</t>
  </si>
  <si>
    <t>Tamlik Properties</t>
  </si>
  <si>
    <t>info@tamlikoman.com</t>
  </si>
  <si>
    <t>Royal Real Estate</t>
  </si>
  <si>
    <t>contact@royalew.com</t>
  </si>
  <si>
    <t>First Choice</t>
  </si>
  <si>
    <t>info@fc.com</t>
  </si>
  <si>
    <t>Luxe Properies</t>
  </si>
  <si>
    <t>info@luxeoman.com</t>
  </si>
  <si>
    <t>Wave Homes</t>
  </si>
  <si>
    <t>Emaar Muscat Utited</t>
  </si>
  <si>
    <t>968 24 902695</t>
  </si>
  <si>
    <t>Saraya real estate</t>
  </si>
  <si>
    <t>968 9799 0041</t>
  </si>
  <si>
    <t>🏗️ Real Estate Developers &amp; Agencies in Cyprus</t>
  </si>
  <si>
    <t>Phone / WhatsApp</t>
  </si>
  <si>
    <t>DevelopersCyprus</t>
  </si>
  <si>
    <t>Limassol</t>
  </si>
  <si>
    <r>
      <rPr>
        <b/>
        <color rgb="FF1155CC"/>
        <sz val="14.0"/>
        <u/>
      </rPr>
      <t>info@developerscyprus.com</t>
    </r>
  </si>
  <si>
    <t>357 25 123456</t>
  </si>
  <si>
    <t>Cyprus Construction</t>
  </si>
  <si>
    <r>
      <rPr>
        <b/>
        <color rgb="FF1155CC"/>
        <sz val="14.0"/>
        <u/>
      </rPr>
      <t>info@cyprusconstruction.com</t>
    </r>
  </si>
  <si>
    <t>357 25 654321</t>
  </si>
  <si>
    <t>Medcon Construction Ltd</t>
  </si>
  <si>
    <t>Nicosia</t>
  </si>
  <si>
    <r>
      <rPr>
        <b/>
        <color rgb="FF1155CC"/>
        <sz val="14.0"/>
        <u/>
      </rPr>
      <t>info@medcon.com.cy</t>
    </r>
  </si>
  <si>
    <t>357 22 265000</t>
  </si>
  <si>
    <t>Multibuild Ltd</t>
  </si>
  <si>
    <t>Paphos</t>
  </si>
  <si>
    <r>
      <rPr>
        <b/>
        <color rgb="FF1155CC"/>
        <sz val="14.0"/>
        <u/>
      </rPr>
      <t>info@multibuild.com.cy</t>
    </r>
  </si>
  <si>
    <t>357 26 930940</t>
  </si>
  <si>
    <t>ConstruX</t>
  </si>
  <si>
    <r>
      <rPr>
        <b/>
        <color rgb="FF1155CC"/>
        <sz val="14.0"/>
        <u/>
      </rPr>
      <t>info@construx-cyprus.com</t>
    </r>
  </si>
  <si>
    <t>357 25 78901</t>
  </si>
  <si>
    <t>Agagrand Construction Ltd</t>
  </si>
  <si>
    <r>
      <rPr>
        <b/>
        <color rgb="FF1155CC"/>
        <sz val="14.0"/>
        <u/>
      </rPr>
      <t>info@agagrandconstruction.com</t>
    </r>
  </si>
  <si>
    <t>357 25 345678</t>
  </si>
  <si>
    <t>Cybarco Contracting</t>
  </si>
  <si>
    <r>
      <rPr>
        <b/>
        <color rgb="FF1155CC"/>
        <sz val="14.0"/>
        <u/>
      </rPr>
      <t>info@cybarco.com</t>
    </r>
  </si>
  <si>
    <t>357 25 987654</t>
  </si>
  <si>
    <t>N. Psaras Contractors</t>
  </si>
  <si>
    <r>
      <rPr>
        <b/>
        <color rgb="FF1155CC"/>
        <sz val="14.0"/>
        <u/>
      </rPr>
      <t>info@npsaras.com</t>
    </r>
  </si>
  <si>
    <t>357 22 33008</t>
  </si>
  <si>
    <t>J&amp;M Constructions</t>
  </si>
  <si>
    <r>
      <rPr>
        <b/>
        <color rgb="FF1155CC"/>
        <sz val="14.0"/>
        <u/>
      </rPr>
      <t>info@jmconstructions.com.cy</t>
    </r>
  </si>
  <si>
    <t>357 25 112233</t>
  </si>
  <si>
    <t>CSN Demetriou</t>
  </si>
  <si>
    <r>
      <rPr>
        <b/>
        <color rgb="FF1155CC"/>
        <sz val="14.0"/>
        <u/>
      </rPr>
      <t>info@csndemetriou.com</t>
    </r>
  </si>
  <si>
    <t>357 25 445566</t>
  </si>
  <si>
    <t>L. Agapiou Architects</t>
  </si>
  <si>
    <r>
      <rPr>
        <b/>
        <color rgb="FF1155CC"/>
        <sz val="14.0"/>
        <u/>
      </rPr>
      <t>info@lagapiouarchitects.com</t>
    </r>
  </si>
  <si>
    <t>357 22 123456</t>
  </si>
  <si>
    <t>DP+ Architectural Office</t>
  </si>
  <si>
    <r>
      <rPr>
        <b/>
        <color rgb="FF1155CC"/>
        <sz val="14.0"/>
        <u/>
      </rPr>
      <t>info@dparch.cy</t>
    </r>
  </si>
  <si>
    <t>357 22 654321</t>
  </si>
  <si>
    <t>Eraclis Papachristou Arch.</t>
  </si>
  <si>
    <r>
      <rPr>
        <b/>
        <color rgb="FF1155CC"/>
        <sz val="14.0"/>
        <u/>
      </rPr>
      <t>info@papachristou.org</t>
    </r>
  </si>
  <si>
    <t>357 22 374816</t>
  </si>
  <si>
    <t>GK Architects</t>
  </si>
  <si>
    <r>
      <rPr>
        <b/>
        <color rgb="FF1155CC"/>
        <sz val="14.0"/>
        <u/>
      </rPr>
      <t>info@gkarchitects.studio</t>
    </r>
  </si>
  <si>
    <t>357 25 789123</t>
  </si>
  <si>
    <t>Iqona Architects</t>
  </si>
  <si>
    <r>
      <rPr>
        <b/>
        <color rgb="FF1155CC"/>
        <sz val="14.0"/>
        <u/>
      </rPr>
      <t>info@iqonaarchitects.com</t>
    </r>
  </si>
  <si>
    <t>357 25 456789</t>
  </si>
  <si>
    <t>Armeftis Partners</t>
  </si>
  <si>
    <r>
      <rPr>
        <b/>
        <color rgb="FF1155CC"/>
        <sz val="14.0"/>
        <u/>
      </rPr>
      <t>info@armeftis.com</t>
    </r>
  </si>
  <si>
    <t>357 25 987321</t>
  </si>
  <si>
    <t>Constanti Architects</t>
  </si>
  <si>
    <r>
      <rPr>
        <b/>
        <color rgb="FF1155CC"/>
        <sz val="14.0"/>
        <u/>
      </rPr>
      <t>info@constantiarchitects.com</t>
    </r>
  </si>
  <si>
    <t>357 25 654987</t>
  </si>
  <si>
    <t>AYK Architects</t>
  </si>
  <si>
    <r>
      <rPr>
        <b/>
        <color rgb="FF1155CC"/>
        <sz val="14.0"/>
        <u/>
      </rPr>
      <t>info@aykarchitects.com</t>
    </r>
  </si>
  <si>
    <t>357 26 123789</t>
  </si>
  <si>
    <t>Thiasos Architecture</t>
  </si>
  <si>
    <r>
      <rPr>
        <b/>
        <color rgb="FF1155CC"/>
        <sz val="14.0"/>
        <u/>
      </rPr>
      <t>info@thiasosarchitecture.com</t>
    </r>
  </si>
  <si>
    <t>357 22 251108</t>
  </si>
  <si>
    <t>MDG Architects</t>
  </si>
  <si>
    <r>
      <rPr>
        <b/>
        <color rgb="FF1155CC"/>
        <sz val="14.0"/>
        <u/>
      </rPr>
      <t>architect.mdg@gmail.com</t>
    </r>
  </si>
  <si>
    <t>357 99 511145</t>
  </si>
  <si>
    <t>Century 21 Cyprus</t>
  </si>
  <si>
    <r>
      <rPr>
        <b/>
        <color rgb="FF1155CC"/>
        <sz val="14.0"/>
        <u/>
      </rPr>
      <t>info@c21cy.com</t>
    </r>
  </si>
  <si>
    <t>Cyprus Developers Alliance</t>
  </si>
  <si>
    <r>
      <rPr>
        <b/>
        <color rgb="FF1155CC"/>
        <sz val="14.0"/>
        <u/>
      </rPr>
      <t>info@cyprus-real.estate</t>
    </r>
  </si>
  <si>
    <t>Cypro Agency</t>
  </si>
  <si>
    <r>
      <rPr>
        <b/>
        <color rgb="FF1155CC"/>
        <sz val="14.0"/>
        <u/>
      </rPr>
      <t>mail@cypro.agency</t>
    </r>
  </si>
  <si>
    <t>GP Real Estate</t>
  </si>
  <si>
    <r>
      <rPr>
        <b/>
        <color rgb="FF1155CC"/>
        <sz val="14.0"/>
        <u/>
      </rPr>
      <t>info@gpcyprus.com</t>
    </r>
  </si>
  <si>
    <t>Property Gallery</t>
  </si>
  <si>
    <r>
      <rPr>
        <b/>
        <color rgb="FF1155CC"/>
        <sz val="14.0"/>
        <u/>
      </rPr>
      <t>info@propertygallery.com</t>
    </r>
  </si>
  <si>
    <t>Korantina Homes</t>
  </si>
  <si>
    <r>
      <rPr>
        <b/>
        <color rgb="FF1155CC"/>
        <sz val="14.0"/>
        <u/>
      </rPr>
      <t>info@korantinahomes.com</t>
    </r>
  </si>
  <si>
    <t>Pafilia Constructions</t>
  </si>
  <si>
    <r>
      <rPr>
        <b/>
        <color rgb="FF1155CC"/>
        <sz val="14.0"/>
        <u/>
      </rPr>
      <t>info@pafilia.com</t>
    </r>
  </si>
  <si>
    <t>AN.C Christou Properties</t>
  </si>
  <si>
    <r>
      <rPr>
        <b/>
        <color rgb="FF1155CC"/>
        <sz val="14.0"/>
        <u/>
      </rPr>
      <t>info@anchristou.com</t>
    </r>
  </si>
  <si>
    <t>Olias Homes</t>
  </si>
  <si>
    <r>
      <rPr>
        <b/>
        <color rgb="FF1155CC"/>
        <sz val="14.0"/>
        <u/>
      </rPr>
      <t>info@oliashomes.com</t>
    </r>
  </si>
  <si>
    <t>Ajami Group</t>
  </si>
  <si>
    <r>
      <rPr>
        <b/>
        <color rgb="FF1155CC"/>
        <sz val="14.0"/>
        <u/>
      </rPr>
      <t>info@ajamigroup.com</t>
    </r>
  </si>
  <si>
    <t>Quality Property Developments</t>
  </si>
  <si>
    <r>
      <rPr>
        <b/>
        <color rgb="FF1155CC"/>
        <sz val="14.0"/>
        <u/>
      </rPr>
      <t>info@qualityproperties.com</t>
    </r>
  </si>
  <si>
    <t>Plus Properties</t>
  </si>
  <si>
    <r>
      <rPr>
        <b/>
        <color rgb="FF1155CC"/>
        <sz val="14.0"/>
        <u/>
      </rPr>
      <t>info@plusproperties.com</t>
    </r>
  </si>
  <si>
    <t>Giovani Homes</t>
  </si>
  <si>
    <t>Paralimni</t>
  </si>
  <si>
    <r>
      <rPr>
        <b/>
        <color rgb="FF1155CC"/>
        <sz val="14.0"/>
        <u/>
      </rPr>
      <t>info@giovanihomes.com</t>
    </r>
  </si>
  <si>
    <t>Domenica Group</t>
  </si>
  <si>
    <r>
      <rPr>
        <b/>
        <color rgb="FF1155CC"/>
        <sz val="14.0"/>
        <u/>
      </rPr>
      <t>info@domenicagroup.com</t>
    </r>
  </si>
  <si>
    <t>Tsentas Developers</t>
  </si>
  <si>
    <r>
      <rPr>
        <b/>
        <color rgb="FF1155CC"/>
        <sz val="14.0"/>
        <u/>
      </rPr>
      <t>info@tsentasdevelopers.com</t>
    </r>
  </si>
  <si>
    <t>Crona Group</t>
  </si>
  <si>
    <r>
      <rPr>
        <b/>
        <color rgb="FF1155CC"/>
        <sz val="14.0"/>
        <u/>
      </rPr>
      <t>info@cronagroup.com</t>
    </r>
  </si>
  <si>
    <r>
      <rPr>
        <b/>
        <color rgb="FF1155CC"/>
        <sz val="14.0"/>
        <u/>
      </rPr>
      <t>info@aristodevelopers.com</t>
    </r>
  </si>
  <si>
    <t>Caria Estate</t>
  </si>
  <si>
    <r>
      <rPr>
        <b/>
        <color rgb="FF1155CC"/>
        <sz val="14.0"/>
        <u/>
      </rPr>
      <t>info@cariaestate.com</t>
    </r>
  </si>
  <si>
    <t>Properties &amp; Partners</t>
  </si>
  <si>
    <r>
      <rPr>
        <b/>
        <color rgb="FF1155CC"/>
        <sz val="14.0"/>
        <u/>
      </rPr>
      <t>info@propertiespartners.com</t>
    </r>
  </si>
  <si>
    <t>Olivo Homes Consultancy</t>
  </si>
  <si>
    <r>
      <rPr>
        <b/>
        <color rgb="FF1155CC"/>
        <sz val="14.0"/>
        <u/>
      </rPr>
      <t>info@olivohomes.com</t>
    </r>
  </si>
  <si>
    <r>
      <rPr>
        <b/>
        <color rgb="FF1155CC"/>
        <sz val="14.0"/>
        <u/>
      </rPr>
      <t>info@developerscyprus.com</t>
    </r>
  </si>
  <si>
    <r>
      <rPr>
        <b/>
        <color rgb="FF1155CC"/>
        <sz val="14.0"/>
        <u/>
      </rPr>
      <t>info@cyprusconstruction.com</t>
    </r>
  </si>
  <si>
    <r>
      <rPr>
        <b/>
        <color rgb="FF1155CC"/>
        <sz val="14.0"/>
        <u/>
      </rPr>
      <t>info@medcon.com.cy</t>
    </r>
  </si>
  <si>
    <r>
      <rPr>
        <b/>
        <color rgb="FF1155CC"/>
        <sz val="14.0"/>
        <u/>
      </rPr>
      <t>info@multibuild.com.cy</t>
    </r>
  </si>
  <si>
    <r>
      <rPr>
        <b/>
        <color rgb="FF1155CC"/>
        <sz val="14.0"/>
        <u/>
      </rPr>
      <t>info@construx-cyprus.com</t>
    </r>
  </si>
  <si>
    <r>
      <rPr>
        <b/>
        <color rgb="FF1155CC"/>
        <sz val="14.0"/>
        <u/>
      </rPr>
      <t>info@agagrandconstruction.com</t>
    </r>
  </si>
  <si>
    <r>
      <rPr>
        <b/>
        <color rgb="FF1155CC"/>
        <sz val="14.0"/>
        <u/>
      </rPr>
      <t>info@cybarco.com</t>
    </r>
  </si>
  <si>
    <r>
      <rPr>
        <b/>
        <color rgb="FF1155CC"/>
        <sz val="14.0"/>
        <u/>
      </rPr>
      <t>info@npsaras.com</t>
    </r>
  </si>
  <si>
    <r>
      <rPr>
        <b/>
        <color rgb="FF1155CC"/>
        <sz val="14.0"/>
        <u/>
      </rPr>
      <t>info@jmconstructions.com.cy</t>
    </r>
  </si>
  <si>
    <r>
      <rPr>
        <b/>
        <color rgb="FF1155CC"/>
        <sz val="14.0"/>
        <u/>
      </rPr>
      <t>info@csndemetriou.com</t>
    </r>
  </si>
  <si>
    <r>
      <rPr>
        <b/>
        <color rgb="FF1155CC"/>
        <sz val="14.0"/>
        <u/>
      </rPr>
      <t>info@lagapiouarchitects.com</t>
    </r>
  </si>
  <si>
    <r>
      <rPr>
        <b/>
        <color rgb="FF1155CC"/>
        <sz val="14.0"/>
        <u/>
      </rPr>
      <t>info@dparch.cy</t>
    </r>
  </si>
  <si>
    <t>Eraclis Papachristou Architects</t>
  </si>
  <si>
    <r>
      <rPr>
        <b/>
        <color rgb="FF1155CC"/>
        <sz val="14.0"/>
        <u/>
      </rPr>
      <t>info@papachristou.org</t>
    </r>
  </si>
  <si>
    <r>
      <rPr>
        <b/>
        <color rgb="FF1155CC"/>
        <sz val="14.0"/>
        <u/>
      </rPr>
      <t>info@gkarchitects.studio</t>
    </r>
  </si>
  <si>
    <r>
      <rPr>
        <b/>
        <color rgb="FF1155CC"/>
        <sz val="14.0"/>
        <u/>
      </rPr>
      <t>info@iqonaarchitects.com</t>
    </r>
  </si>
  <si>
    <r>
      <rPr>
        <b/>
        <color rgb="FF1155CC"/>
        <sz val="14.0"/>
        <u/>
      </rPr>
      <t>info@armeftis.com</t>
    </r>
  </si>
  <si>
    <r>
      <rPr>
        <b/>
        <color rgb="FF1155CC"/>
        <sz val="14.0"/>
        <u/>
      </rPr>
      <t>info@constantiarchitects.com</t>
    </r>
  </si>
  <si>
    <r>
      <rPr>
        <b/>
        <color rgb="FF1155CC"/>
        <sz val="14.0"/>
        <u/>
      </rPr>
      <t>info@aykarchitects.com</t>
    </r>
  </si>
  <si>
    <r>
      <rPr>
        <b/>
        <color rgb="FF1155CC"/>
        <sz val="14.0"/>
        <u/>
      </rPr>
      <t>info@thiasosarchitecture.com</t>
    </r>
  </si>
  <si>
    <r>
      <rPr>
        <b/>
        <color rgb="FF1155CC"/>
        <sz val="14.0"/>
        <u/>
      </rPr>
      <t>architect.mdg@gmail.com</t>
    </r>
  </si>
  <si>
    <t>☀️ Solar Energy Companies in Jordan</t>
  </si>
  <si>
    <t>WhatsApp</t>
  </si>
  <si>
    <t>Al Emtyaz for Solar Energy</t>
  </si>
  <si>
    <t>Amman</t>
  </si>
  <si>
    <r>
      <rPr>
        <b/>
        <color rgb="FF1155CC"/>
        <sz val="14.0"/>
        <u/>
      </rPr>
      <t>alemtyaz-jo.com</t>
    </r>
  </si>
  <si>
    <r>
      <rPr>
        <b/>
        <color rgb="FF1155CC"/>
        <sz val="14.0"/>
        <u/>
      </rPr>
      <t>info@alemtyaz-jo.com</t>
    </r>
  </si>
  <si>
    <t>962 79 224 0050</t>
  </si>
  <si>
    <t>Solarity Jordan PSC</t>
  </si>
  <si>
    <r>
      <rPr>
        <b/>
        <color rgb="FF1155CC"/>
        <sz val="14.0"/>
        <u/>
      </rPr>
      <t>solarity.eu/jo</t>
    </r>
  </si>
  <si>
    <r>
      <rPr>
        <b/>
        <color rgb="FF1155CC"/>
        <sz val="14.0"/>
        <u/>
      </rPr>
      <t>info@solarity.jo</t>
    </r>
  </si>
  <si>
    <t>962 795 516 241</t>
  </si>
  <si>
    <t>Amman Mountains Energy</t>
  </si>
  <si>
    <r>
      <rPr>
        <b/>
        <color rgb="FF1155CC"/>
        <sz val="14.0"/>
        <u/>
      </rPr>
      <t>ammanmounts.com</t>
    </r>
  </si>
  <si>
    <r>
      <rPr>
        <b/>
        <color rgb="FF1155CC"/>
        <sz val="14.0"/>
        <u/>
      </rPr>
      <t>info@ammanmounts.com</t>
    </r>
  </si>
  <si>
    <t>962 6 551 1234</t>
  </si>
  <si>
    <t>Jordan Seasons Energy &amp; Tech</t>
  </si>
  <si>
    <r>
      <rPr>
        <b/>
        <color rgb="FF1155CC"/>
        <sz val="14.0"/>
        <u/>
      </rPr>
      <t>jordanseasons.com</t>
    </r>
  </si>
  <si>
    <r>
      <rPr>
        <b/>
        <color rgb="FF1155CC"/>
        <sz val="14.0"/>
        <u/>
      </rPr>
      <t>info@jordanseasons.com</t>
    </r>
  </si>
  <si>
    <t>962 6 551 5678</t>
  </si>
  <si>
    <t>Sun Synergy</t>
  </si>
  <si>
    <r>
      <rPr>
        <b/>
        <color rgb="FF1155CC"/>
        <sz val="14.0"/>
        <u/>
      </rPr>
      <t>sun-synergy.com</t>
    </r>
  </si>
  <si>
    <r>
      <rPr>
        <b/>
        <color rgb="FF1155CC"/>
        <sz val="14.0"/>
        <u/>
      </rPr>
      <t>info@sun-synergy.com</t>
    </r>
  </si>
  <si>
    <t>1 602 499 4994</t>
  </si>
  <si>
    <t>Trust Energy Solutions</t>
  </si>
  <si>
    <r>
      <rPr>
        <b/>
        <color rgb="FF1155CC"/>
        <sz val="14.0"/>
        <u/>
      </rPr>
      <t>enfsolar.com/trust-energy-solutions</t>
    </r>
  </si>
  <si>
    <r>
      <rPr>
        <b/>
        <color rgb="FF1155CC"/>
        <sz val="14.0"/>
        <u/>
      </rPr>
      <t>info@trustenergy.com</t>
    </r>
  </si>
  <si>
    <t>962 6 551 7890</t>
  </si>
  <si>
    <t>Jordan Tera Watt</t>
  </si>
  <si>
    <r>
      <rPr>
        <b/>
        <color rgb="FF1155CC"/>
        <sz val="14.0"/>
        <u/>
      </rPr>
      <t>jordanterawatt.com</t>
    </r>
  </si>
  <si>
    <r>
      <rPr>
        <b/>
        <color rgb="FF1155CC"/>
        <sz val="14.0"/>
        <u/>
      </rPr>
      <t>info@jordanterawatt.com</t>
    </r>
  </si>
  <si>
    <t>962 6 551 3456</t>
  </si>
  <si>
    <t>The Contractor for Energy LLC</t>
  </si>
  <si>
    <r>
      <rPr>
        <b/>
        <color rgb="FF1155CC"/>
        <sz val="14.0"/>
        <u/>
      </rPr>
      <t>enfsolar.com/the-contractor-for-energy</t>
    </r>
  </si>
  <si>
    <r>
      <rPr>
        <b/>
        <color rgb="FF1155CC"/>
        <sz val="14.0"/>
        <u/>
      </rPr>
      <t>info@contractorenergy.com</t>
    </r>
  </si>
  <si>
    <t>962 6 551 2345</t>
  </si>
  <si>
    <t>Power Source</t>
  </si>
  <si>
    <r>
      <rPr>
        <b/>
        <color rgb="FF1155CC"/>
        <sz val="14.0"/>
        <u/>
      </rPr>
      <t>ps-jo.com</t>
    </r>
  </si>
  <si>
    <r>
      <rPr>
        <b/>
        <color rgb="FF1155CC"/>
        <sz val="14.0"/>
        <u/>
      </rPr>
      <t>info@ps-jo.com</t>
    </r>
  </si>
  <si>
    <t>962 6 551 6789</t>
  </si>
  <si>
    <t>Control Solar Co</t>
  </si>
  <si>
    <r>
      <rPr>
        <b/>
        <color rgb="FF1155CC"/>
        <sz val="14.0"/>
        <u/>
      </rPr>
      <t>enfsolar.com/control-solar</t>
    </r>
  </si>
  <si>
    <r>
      <rPr>
        <b/>
        <color rgb="FF1155CC"/>
        <sz val="14.0"/>
        <u/>
      </rPr>
      <t>info@controlsolar.com</t>
    </r>
  </si>
  <si>
    <t>962 6 551 4321</t>
  </si>
  <si>
    <t>Izzat Marji Group</t>
  </si>
  <si>
    <r>
      <rPr>
        <b/>
        <color rgb="FF1155CC"/>
        <sz val="14.0"/>
        <u/>
      </rPr>
      <t>enfsolar.com/izzat-marji</t>
    </r>
  </si>
  <si>
    <r>
      <rPr>
        <b/>
        <color rgb="FF1155CC"/>
        <sz val="14.0"/>
        <u/>
      </rPr>
      <t>info@izzatmarji.com</t>
    </r>
  </si>
  <si>
    <t>962 6 551 876</t>
  </si>
  <si>
    <t>GreenVision Inc</t>
  </si>
  <si>
    <r>
      <rPr>
        <b/>
        <color rgb="FF1155CC"/>
        <sz val="14.0"/>
        <u/>
      </rPr>
      <t>enfsolar.com/greenvision</t>
    </r>
  </si>
  <si>
    <r>
      <rPr>
        <b/>
        <color rgb="FF1155CC"/>
        <sz val="14.0"/>
        <u/>
      </rPr>
      <t>info@greenvision.com</t>
    </r>
  </si>
  <si>
    <t>962 6 551 9876</t>
  </si>
  <si>
    <t>AGE Energy</t>
  </si>
  <si>
    <r>
      <rPr>
        <b/>
        <color rgb="FF1155CC"/>
        <sz val="14.0"/>
        <u/>
      </rPr>
      <t>ageenergy.com</t>
    </r>
  </si>
  <si>
    <r>
      <rPr>
        <b/>
        <color rgb="FF1155CC"/>
        <sz val="14.0"/>
        <u/>
      </rPr>
      <t>info@ageenergy.com</t>
    </r>
  </si>
  <si>
    <t>962 6 551 5432</t>
  </si>
  <si>
    <t>Israr Engineering LLC</t>
  </si>
  <si>
    <r>
      <rPr>
        <b/>
        <color rgb="FF1155CC"/>
        <sz val="14.0"/>
        <u/>
      </rPr>
      <t>enfsolar.com/israr-engineering</t>
    </r>
  </si>
  <si>
    <r>
      <rPr>
        <b/>
        <color rgb="FF1155CC"/>
        <sz val="14.0"/>
        <u/>
      </rPr>
      <t>info@israrengineering.com</t>
    </r>
  </si>
  <si>
    <t>962 6 551 6543</t>
  </si>
  <si>
    <t>Hanania Energy</t>
  </si>
  <si>
    <r>
      <rPr>
        <b/>
        <color rgb="FF1155CC"/>
        <sz val="14.0"/>
        <u/>
      </rPr>
      <t>jordanyp.com/company/374546/HANANIA_Energy</t>
    </r>
  </si>
  <si>
    <r>
      <rPr>
        <b/>
        <color rgb="FF1155CC"/>
        <sz val="14.0"/>
        <u/>
      </rPr>
      <t>info@hananiaenergy.com</t>
    </r>
  </si>
  <si>
    <t>962 6 551 7654</t>
  </si>
  <si>
    <t>Philadelphia Solar</t>
  </si>
  <si>
    <r>
      <rPr>
        <b/>
        <color rgb="FF1155CC"/>
        <sz val="14.0"/>
        <u/>
      </rPr>
      <t>philadelphia-solar.com</t>
    </r>
  </si>
  <si>
    <r>
      <rPr>
        <b/>
        <color rgb="FF1155CC"/>
        <sz val="14.0"/>
        <u/>
      </rPr>
      <t>info@philadelphia-solar.com</t>
    </r>
  </si>
  <si>
    <t>962 6 551 8765</t>
  </si>
  <si>
    <t>Kawar Energy</t>
  </si>
  <si>
    <r>
      <rPr>
        <b/>
        <color rgb="FF1155CC"/>
        <sz val="14.0"/>
        <u/>
      </rPr>
      <t>kawarenergy.com</t>
    </r>
  </si>
  <si>
    <r>
      <rPr>
        <b/>
        <color rgb="FF1155CC"/>
        <sz val="14.0"/>
        <u/>
      </rPr>
      <t>info@kawarenergy.com</t>
    </r>
  </si>
  <si>
    <t>Mustakbal Clean Tech</t>
  </si>
  <si>
    <r>
      <rPr>
        <b/>
        <color rgb="FF1155CC"/>
        <sz val="14.0"/>
        <u/>
      </rPr>
      <t>mustakbalct.com</t>
    </r>
  </si>
  <si>
    <r>
      <rPr>
        <b/>
        <color rgb="FF1155CC"/>
        <sz val="14.0"/>
        <u/>
      </rPr>
      <t>info@mustakbalct.com</t>
    </r>
  </si>
  <si>
    <t>962 6 551 0987</t>
  </si>
  <si>
    <t>EcoSol</t>
  </si>
  <si>
    <r>
      <rPr>
        <b/>
        <color rgb="FF1155CC"/>
        <sz val="14.0"/>
        <u/>
      </rPr>
      <t>ecosol.com.jo</t>
    </r>
  </si>
  <si>
    <r>
      <rPr>
        <b/>
        <color rgb="FF1155CC"/>
        <sz val="14.0"/>
        <u/>
      </rPr>
      <t>info@ecosol.com.jo</t>
    </r>
  </si>
  <si>
    <t>962 6 551 1098</t>
  </si>
  <si>
    <t>Edama Solar Energy</t>
  </si>
  <si>
    <r>
      <rPr>
        <b/>
        <color rgb="FF1155CC"/>
        <sz val="14.0"/>
        <u/>
      </rPr>
      <t>edamasolar.com</t>
    </r>
  </si>
  <si>
    <r>
      <rPr>
        <b/>
        <color rgb="FF1155CC"/>
        <sz val="14.0"/>
        <u/>
      </rPr>
      <t>info@edamasolar.com</t>
    </r>
  </si>
  <si>
    <t>962 6 551 2109</t>
  </si>
  <si>
    <t>ION Energy ايون للطاقة</t>
  </si>
  <si>
    <t>Jarash</t>
  </si>
  <si>
    <r>
      <rPr>
        <b/>
        <color rgb="FF1155CC"/>
        <sz val="14.0"/>
        <u/>
      </rPr>
      <t>ionenergy.com</t>
    </r>
  </si>
  <si>
    <r>
      <rPr>
        <b/>
        <color rgb="FF1155CC"/>
        <sz val="14.0"/>
        <u/>
      </rPr>
      <t>info@ionenergy.com</t>
    </r>
  </si>
  <si>
    <t>962 79 123 4567</t>
  </si>
  <si>
    <t>Nur Solar Systems</t>
  </si>
  <si>
    <r>
      <rPr>
        <b/>
        <color rgb="FF1155CC"/>
        <sz val="14.0"/>
        <u/>
      </rPr>
      <t>nursolarsystems.com</t>
    </r>
  </si>
  <si>
    <r>
      <rPr>
        <b/>
        <color rgb="FF1155CC"/>
        <sz val="14.0"/>
        <u/>
      </rPr>
      <t>info@nursolarsystems.com</t>
    </r>
  </si>
  <si>
    <t>962 79 234 5678</t>
  </si>
  <si>
    <t>SBE</t>
  </si>
  <si>
    <r>
      <rPr>
        <b/>
        <color rgb="FF1155CC"/>
        <sz val="14.0"/>
        <u/>
      </rPr>
      <t>sbejordan.com</t>
    </r>
  </si>
  <si>
    <r>
      <rPr>
        <b/>
        <color rgb="FF1155CC"/>
        <sz val="14.0"/>
        <u/>
      </rPr>
      <t>info@sbejordan.com</t>
    </r>
  </si>
  <si>
    <t>962 79 345 6789</t>
  </si>
  <si>
    <t>OPTIMAIN for PV Operation and Maintenance</t>
  </si>
  <si>
    <r>
      <rPr>
        <b/>
        <color rgb="FF1155CC"/>
        <sz val="14.0"/>
        <u/>
      </rPr>
      <t>optimain.com</t>
    </r>
  </si>
  <si>
    <r>
      <rPr>
        <b/>
        <color rgb="FF1155CC"/>
        <sz val="14.0"/>
        <u/>
      </rPr>
      <t>info@optimain.com</t>
    </r>
  </si>
  <si>
    <t>962 79 456 7890</t>
  </si>
  <si>
    <t>Belectric Gulf Ltd - Jordan Branch</t>
  </si>
  <si>
    <r>
      <rPr>
        <b/>
        <color rgb="FF1155CC"/>
        <sz val="14.0"/>
        <u/>
      </rPr>
      <t>belectric.com</t>
    </r>
  </si>
  <si>
    <r>
      <rPr>
        <b/>
        <color rgb="FF1155CC"/>
        <sz val="14.0"/>
        <u/>
      </rPr>
      <t>info@belectric.com</t>
    </r>
  </si>
  <si>
    <t>962 79 567 8901</t>
  </si>
  <si>
    <t>New Village Of Energy - NVEco</t>
  </si>
  <si>
    <r>
      <rPr>
        <b/>
        <color rgb="FF1155CC"/>
        <sz val="14.0"/>
        <u/>
      </rPr>
      <t>nveco.com</t>
    </r>
  </si>
  <si>
    <r>
      <rPr>
        <b/>
        <color rgb="FF1155CC"/>
        <sz val="14.0"/>
        <u/>
      </rPr>
      <t>info@nveco.com</t>
    </r>
  </si>
  <si>
    <t>962 79 678 9012</t>
  </si>
  <si>
    <t>Kawkabuna for Energy Solution</t>
  </si>
  <si>
    <r>
      <rPr>
        <b/>
        <color rgb="FF1155CC"/>
        <sz val="14.0"/>
        <u/>
      </rPr>
      <t>kawkabuna.com</t>
    </r>
  </si>
  <si>
    <r>
      <rPr>
        <b/>
        <color rgb="FF1155CC"/>
        <sz val="14.0"/>
        <u/>
      </rPr>
      <t>info@kawkabuna.com</t>
    </r>
  </si>
  <si>
    <t>962 79 789 0123</t>
  </si>
  <si>
    <t>Almajd Engineering Supplies Co</t>
  </si>
  <si>
    <r>
      <rPr>
        <b/>
        <color rgb="FF1155CC"/>
        <sz val="14.0"/>
        <u/>
      </rPr>
      <t>almajdeng.com</t>
    </r>
  </si>
  <si>
    <r>
      <rPr>
        <b/>
        <color rgb="FF1155CC"/>
        <sz val="14.0"/>
        <u/>
      </rPr>
      <t>info@almajdeng.com</t>
    </r>
  </si>
  <si>
    <t>962 79 890 1234</t>
  </si>
  <si>
    <t>Yellow Door Energy</t>
  </si>
  <si>
    <r>
      <rPr>
        <b/>
        <color rgb="FF1155CC"/>
        <sz val="14.0"/>
        <u/>
      </rPr>
      <t>yellowdoorenergy.com</t>
    </r>
  </si>
  <si>
    <r>
      <rPr>
        <b/>
        <color rgb="FF1155CC"/>
        <sz val="14.0"/>
        <u/>
      </rPr>
      <t>info@yellowdoorenergy.com</t>
    </r>
  </si>
  <si>
    <t>962 79 901 2345</t>
  </si>
  <si>
    <t>Eta-Max Energy</t>
  </si>
  <si>
    <r>
      <rPr>
        <b/>
        <color rgb="FF1155CC"/>
        <sz val="14.0"/>
        <u/>
      </rPr>
      <t>eta-max.com</t>
    </r>
  </si>
  <si>
    <r>
      <rPr>
        <b/>
        <color rgb="FF1155CC"/>
        <sz val="14.0"/>
        <u/>
      </rPr>
      <t>info@eta-max.com</t>
    </r>
  </si>
  <si>
    <t>962 79 012 3456</t>
  </si>
  <si>
    <t>Millennium Energy Industries</t>
  </si>
  <si>
    <r>
      <rPr>
        <b/>
        <color rgb="FF1155CC"/>
        <sz val="14.0"/>
        <u/>
      </rPr>
      <t>meisolar.com</t>
    </r>
  </si>
  <si>
    <r>
      <rPr>
        <b/>
        <color rgb="FF1155CC"/>
        <sz val="14.0"/>
        <u/>
      </rPr>
      <t>info@meisolar.com</t>
    </r>
  </si>
  <si>
    <t>962 79 123 4568</t>
  </si>
  <si>
    <t>Future Sun</t>
  </si>
  <si>
    <r>
      <rPr>
        <b/>
        <color rgb="FF1155CC"/>
        <sz val="14.0"/>
        <u/>
      </rPr>
      <t>futuresun.com.jo</t>
    </r>
  </si>
  <si>
    <r>
      <rPr>
        <b/>
        <color rgb="FF1155CC"/>
        <sz val="14.0"/>
        <u/>
      </rPr>
      <t>info@futuresun.com.jo</t>
    </r>
  </si>
  <si>
    <t>962 6 554 0343</t>
  </si>
  <si>
    <t>Gazania Solar Systems</t>
  </si>
  <si>
    <r>
      <rPr>
        <b/>
        <color rgb="FF1155CC"/>
        <sz val="14.0"/>
        <u/>
      </rPr>
      <t>gazaniasolar.com</t>
    </r>
  </si>
  <si>
    <r>
      <rPr>
        <b/>
        <color rgb="FF1155CC"/>
        <sz val="14.0"/>
        <u/>
      </rPr>
      <t>info@gazaniasolar.com</t>
    </r>
  </si>
  <si>
    <t>962 79 234 5679</t>
  </si>
  <si>
    <t>Ishraq Energy</t>
  </si>
  <si>
    <r>
      <rPr>
        <b/>
        <color rgb="FF1155CC"/>
        <sz val="14.0"/>
        <u/>
      </rPr>
      <t>ishraqenergy.com</t>
    </r>
  </si>
  <si>
    <r>
      <rPr>
        <b/>
        <color rgb="FF1155CC"/>
        <sz val="14.0"/>
        <u/>
      </rPr>
      <t>info@ishraqenergy.com</t>
    </r>
  </si>
  <si>
    <t>962 79 345 6780</t>
  </si>
  <si>
    <t>MASE (Modern Arabia For Solar Energy)</t>
  </si>
  <si>
    <r>
      <rPr>
        <b/>
        <color rgb="FF1155CC"/>
        <sz val="14.0"/>
        <u/>
      </rPr>
      <t>mase.com.jo</t>
    </r>
  </si>
  <si>
    <r>
      <rPr>
        <b/>
        <color rgb="FF1155CC"/>
        <sz val="14.0"/>
        <u/>
      </rPr>
      <t>info@mase.com.jo</t>
    </r>
  </si>
  <si>
    <t>962 79 456 7891</t>
  </si>
  <si>
    <t>PanMed Energy</t>
  </si>
  <si>
    <r>
      <rPr>
        <b/>
        <color rgb="FF1155CC"/>
        <sz val="14.0"/>
        <u/>
      </rPr>
      <t>panmedenergy.com</t>
    </r>
  </si>
  <si>
    <r>
      <rPr>
        <b/>
        <color rgb="FF1155CC"/>
        <sz val="14.0"/>
        <u/>
      </rPr>
      <t>info@panmedenergy.com</t>
    </r>
  </si>
  <si>
    <t>962 79 567 8902</t>
  </si>
  <si>
    <t>ORES (Osool Mostamera Renewable Energy Solutions)</t>
  </si>
  <si>
    <r>
      <rPr>
        <b/>
        <color rgb="FF1155CC"/>
        <sz val="14.0"/>
        <u/>
      </rPr>
      <t>ores.com.jo</t>
    </r>
  </si>
  <si>
    <r>
      <rPr>
        <b/>
        <color rgb="FF1155CC"/>
        <sz val="14.0"/>
        <u/>
      </rPr>
      <t>info@ores.com.jo</t>
    </r>
  </si>
  <si>
    <t>962 79 678 9013</t>
  </si>
  <si>
    <t>Control Solar Est</t>
  </si>
  <si>
    <r>
      <rPr>
        <b/>
        <color rgb="FF1155CC"/>
        <sz val="14.0"/>
        <u/>
      </rPr>
      <t>controlsolar.com</t>
    </r>
  </si>
  <si>
    <r>
      <rPr>
        <b/>
        <color rgb="FF1155CC"/>
        <sz val="14.0"/>
        <u/>
      </rPr>
      <t>info@controlsolar.com</t>
    </r>
  </si>
  <si>
    <t>962 79 789 0124</t>
  </si>
  <si>
    <t>Be Solar For Energy Solutions</t>
  </si>
  <si>
    <r>
      <rPr>
        <b/>
        <color rgb="FF1155CC"/>
        <sz val="14.0"/>
        <u/>
      </rPr>
      <t>besolar.com</t>
    </r>
  </si>
  <si>
    <r>
      <rPr>
        <b/>
        <color rgb="FF1155CC"/>
        <sz val="14.0"/>
        <u/>
      </rPr>
      <t>info@besolar.com</t>
    </r>
  </si>
  <si>
    <t>962 79 890 1235</t>
  </si>
  <si>
    <t>Clean Energy Concepts</t>
  </si>
  <si>
    <r>
      <rPr>
        <b/>
        <color rgb="FF1155CC"/>
        <sz val="14.0"/>
        <u/>
      </rPr>
      <t>cleanenergyconcepts.com</t>
    </r>
  </si>
  <si>
    <r>
      <rPr>
        <b/>
        <color rgb="FF1155CC"/>
        <sz val="14.0"/>
        <u/>
      </rPr>
      <t>info@cleanenergyconcepts.com</t>
    </r>
  </si>
  <si>
    <t>962 79 901 2346</t>
  </si>
  <si>
    <t>Organizer Name</t>
  </si>
  <si>
    <t>Event Name</t>
  </si>
  <si>
    <t>Event Date</t>
  </si>
  <si>
    <t xml:space="preserve"> PropTech Week MENA</t>
  </si>
  <si>
    <t>Vidhya</t>
  </si>
  <si>
    <t>Vidhya.suman@dwtc.com</t>
  </si>
  <si>
    <t xml:space="preserve"> + 971 4 306 4316</t>
  </si>
  <si>
    <t>https://www.proptechweekmena.com/why-sponsor.html</t>
  </si>
  <si>
    <t>https://cityscapeglobal.com/</t>
  </si>
  <si>
    <t>Eventify</t>
  </si>
  <si>
    <t xml:space="preserve"> Jeddah</t>
  </si>
  <si>
    <t>Multiple dates</t>
  </si>
  <si>
    <t>info@eventify-organizer.com</t>
  </si>
  <si>
    <t>eventify-organizer.com</t>
  </si>
  <si>
    <t>Saudia</t>
  </si>
  <si>
    <t>Global Banking &amp; Markets</t>
  </si>
  <si>
    <t>marketing@gfcmediagroup.com  Alex.Johnson@GFCMediaGroup.com</t>
  </si>
  <si>
    <t>https://gbandm.com/clients-we-work-with</t>
  </si>
  <si>
    <t>Qatar Business Events Corporation (QBEC)</t>
  </si>
  <si>
    <t>Project Qatar 2024</t>
  </si>
  <si>
    <t>info@decc.qa</t>
  </si>
  <si>
    <t>974 4033 1111</t>
  </si>
  <si>
    <t>https://www.decc.qa/decc_events/project-qatar-2024/?utm_source=chatgpt.com</t>
  </si>
  <si>
    <t>DMG events &amp; NeXTfairs for Exhibitions &amp; Conferences</t>
  </si>
  <si>
    <t>Index Design Qatar 2025</t>
  </si>
  <si>
    <t>Mr. Samer Itani</t>
  </si>
  <si>
    <t>samerItani@dmgevents.com</t>
  </si>
  <si>
    <t>971 5088 45740</t>
  </si>
  <si>
    <t>https://www.index-qatar.com/</t>
  </si>
  <si>
    <t>Digitek Ali Bin Ali</t>
  </si>
  <si>
    <t>Qatar Real Estate Forum – Second Edition</t>
  </si>
  <si>
    <t>Mr. Yehia Daoud</t>
  </si>
  <si>
    <t>yehia.daoud@alibinali.com</t>
  </si>
  <si>
    <t>971 6676 3038</t>
  </si>
  <si>
    <t>www.qreforum.com</t>
  </si>
  <si>
    <t>By: Dahat</t>
  </si>
  <si>
    <t>Exhibitor Name</t>
  </si>
  <si>
    <t>Project Type (Residential/Commercial/Mixed-Use)</t>
  </si>
  <si>
    <t>Valocity</t>
  </si>
  <si>
    <t>New Zealand</t>
  </si>
  <si>
    <t>Mixed-Use</t>
  </si>
  <si>
    <t>engin.senel@valocityglobal.com</t>
  </si>
  <si>
    <t>0800 825 248</t>
  </si>
  <si>
    <t>https://valocity.co.nz/</t>
  </si>
  <si>
    <t>Streamlining and transforming the property ecosystem with</t>
  </si>
  <si>
    <t>AL Areen Holding</t>
  </si>
  <si>
    <t>Bahrain</t>
  </si>
  <si>
    <t xml:space="preserve">Architects </t>
  </si>
  <si>
    <t>info@alareenholding.com</t>
  </si>
  <si>
    <t>00973 17838666</t>
  </si>
  <si>
    <t>https://alareenholding.com/</t>
  </si>
  <si>
    <t>Bahrain Marina Development Company</t>
  </si>
  <si>
    <t>Residential</t>
  </si>
  <si>
    <t>info@bahrainmarina.bh</t>
  </si>
  <si>
    <t xml:space="preserve">tel:00973 17 130 140
</t>
  </si>
  <si>
    <t>https://bahrainmarina.bh/about/</t>
  </si>
  <si>
    <t>Diyar Al Muharraq W.L.L</t>
  </si>
  <si>
    <t>customerservice@diyar.bh</t>
  </si>
  <si>
    <t>(+973) 77556600</t>
  </si>
  <si>
    <t>Leading Real Estate Developer in Bahrain</t>
  </si>
  <si>
    <t xml:space="preserve">Durrat 4 W.L.L.
</t>
  </si>
  <si>
    <t xml:space="preserve">Residential </t>
  </si>
  <si>
    <t>info@durratbahrain.com</t>
  </si>
  <si>
    <t>www.durratbahrain.com</t>
  </si>
  <si>
    <t>ERA Real Estate</t>
  </si>
  <si>
    <t>info@grnata.com</t>
  </si>
  <si>
    <t>973 17564400</t>
  </si>
  <si>
    <t>https://www.grnata.com/contactus.aspx</t>
  </si>
  <si>
    <t>Grnata Real Estate Group</t>
  </si>
  <si>
    <t>info@infracorp.bh</t>
  </si>
  <si>
    <t>973 16610100</t>
  </si>
  <si>
    <t>https://infracorp.bh/</t>
  </si>
  <si>
    <t>infracorp</t>
  </si>
  <si>
    <t>headoffice@msceb.com</t>
  </si>
  <si>
    <t>tel:+973 1781 5775</t>
  </si>
  <si>
    <t>https://msceb.com/</t>
  </si>
  <si>
    <t>MOHAMED SALAHUDDIN CONSULTING ENGINEERING BUREAU W.L.L</t>
  </si>
  <si>
    <t>hello@nicholas.design</t>
  </si>
  <si>
    <t>https://www.nicholas.design/contact</t>
  </si>
  <si>
    <t>Nicholas</t>
  </si>
  <si>
    <t>Residential Architects Design</t>
  </si>
  <si>
    <t>https://propertymiddleeast.com/</t>
  </si>
  <si>
    <t>Property Middle East</t>
  </si>
  <si>
    <t xml:space="preserve"> أحدث مستجدات الأسواق العقارية في الشرق الأوسط</t>
  </si>
  <si>
    <t>info@mannaiproperties.com</t>
  </si>
  <si>
    <t>973 1781 3101</t>
  </si>
  <si>
    <t>https://mannaiproperties.com/tashyeed-properties.php</t>
  </si>
  <si>
    <t>Tashyeed Properties Company B.S.C.</t>
  </si>
  <si>
    <t>Residential Developer</t>
  </si>
  <si>
    <t>AFEX - ARCHITECTES FRANCAIS A L'EXPORT</t>
  </si>
  <si>
    <t>France</t>
  </si>
  <si>
    <t>afex@afex.fr</t>
  </si>
  <si>
    <t>01 42 76 08 10</t>
  </si>
  <si>
    <t>https://www.afex.fr/</t>
  </si>
  <si>
    <t xml:space="preserve">BrainBox AI
</t>
  </si>
  <si>
    <t>Canada</t>
  </si>
  <si>
    <t xml:space="preserve">Management Solutions </t>
  </si>
  <si>
    <t>hello@brainboxai.com</t>
  </si>
  <si>
    <t>https://brainboxai.com/en/about</t>
  </si>
  <si>
    <t>BOE Technology Group</t>
  </si>
  <si>
    <t xml:space="preserve">China </t>
  </si>
  <si>
    <t>Construction</t>
  </si>
  <si>
    <t>web.master@boe.com.cn</t>
  </si>
  <si>
    <t>86-10-6431888</t>
  </si>
  <si>
    <t>https://www.boe.com/en/investorRelations/index</t>
  </si>
  <si>
    <t>Beijing Jangho Intelligent PV Technology Co., Ltd</t>
  </si>
  <si>
    <t>sales@dagongess.com</t>
  </si>
  <si>
    <t>tel:+86 19337982677</t>
  </si>
  <si>
    <t>https://www.dagongess.com/industrial-and-Commercial-ESS/215kWh-Liquid-Cooled-Energy-Storage-System.html?gad_source=1&amp;gclid=Cj0KCQjw4v6-BhDuARIsALprm30nBgRhaJ4Sv_GfIB7b-O-quy8sSGsP1zuhNGmKZ027cwAJMau7viEaApIsEALw_wcB</t>
  </si>
  <si>
    <t>SunLever</t>
  </si>
  <si>
    <t>info@sunlever.cn</t>
  </si>
  <si>
    <t>0086 139 2852 1795</t>
  </si>
  <si>
    <t>https://www.sunlever.net/</t>
  </si>
  <si>
    <t>Guangzhou Jianke Citiexpo Co., LTD</t>
  </si>
  <si>
    <t>Steel Pipe Manufacturing Co.</t>
  </si>
  <si>
    <t>info@ruixingmetal.com</t>
  </si>
  <si>
    <t>Whatsapp:008619953178298
008619953178298</t>
  </si>
  <si>
    <t>https://www.ruixingmetal.com/product.html?gad_source=1&amp;gclid=Cj0KCQjw4v6-BhDuARIsALprm31PMb-_5NNiNBGjOmRru6BmLL-9x2cH6QLCwTpntiQMHaUK59SRfV8aAtZ2EALw_wcB</t>
  </si>
  <si>
    <t>Guangzhou Yijin Aluminium Manufacture Co., LTD</t>
  </si>
  <si>
    <t>Iron And Steel (Shandong) Group Co</t>
  </si>
  <si>
    <t>info@zhongtangsteel.com</t>
  </si>
  <si>
    <t xml:space="preserve">WhatsApp:0086 15153178265
</t>
  </si>
  <si>
    <t>https://www.zhongtangmaterial.com/PRODUCTS/1036573800933580800.html?gad_source=1&amp;gclid=Cj0KCQjw4v6-BhDuARIsALprm33pWd8Ph5psSoUDvmwIXrbBpCbENtoQa9k6XQpCcAsCWgFlN98rwhkaAqcGEALw_wcB</t>
  </si>
  <si>
    <t>Shanghai Zhongduo Aluminum</t>
  </si>
  <si>
    <t xml:space="preserve">Alaminum </t>
  </si>
  <si>
    <t>nfo@al-extrusion.com</t>
  </si>
  <si>
    <t>0086-21-67890007</t>
  </si>
  <si>
    <t>https://www.al-extrusion.com/Aluminium-Alloy-pl3761858.html?gad_source=1&amp;gclid=Cj0KCQjw4v6-BhDuARIsALprm30KN1zGnOxcruc3N0YT1dxSvPBbSAIA5vHhwUOf14P5O88UBTWjhf4aAmrbEALw_wcB</t>
  </si>
  <si>
    <t>Henan Dobetter Trading Co., Ltd</t>
  </si>
  <si>
    <t>Building Material Industry</t>
  </si>
  <si>
    <t xml:space="preserve"> IAPA PTY LTD</t>
  </si>
  <si>
    <t>China-Australlia</t>
  </si>
  <si>
    <t>info@iapa.net.au</t>
  </si>
  <si>
    <t>Australia: 61-410641418-China:86-20-38259596</t>
  </si>
  <si>
    <t>https://www.iapa.net.au/</t>
  </si>
  <si>
    <t>LIFANG</t>
  </si>
  <si>
    <t>info@lifangvision.com</t>
  </si>
  <si>
    <t>86 028-6167-0362</t>
  </si>
  <si>
    <t>https://lifangvision.com/</t>
  </si>
  <si>
    <t>QINGDAO LANSEN GLASS TECHNOLOGY CO., LTD</t>
  </si>
  <si>
    <t xml:space="preserve">Construction </t>
  </si>
  <si>
    <t>info@lansenglass.com</t>
  </si>
  <si>
    <t>http://www.lansenglass.com/</t>
  </si>
  <si>
    <t>Shandong Dongying Yiheng New Building Materials Co., Ltd</t>
  </si>
  <si>
    <t>info@sdeton.com</t>
  </si>
  <si>
    <t>0086 138 5469 688</t>
  </si>
  <si>
    <t>https://www.sdeton.com/aggregate-shandong-yiteng-new.html</t>
  </si>
  <si>
    <t>NickArt</t>
  </si>
  <si>
    <t>info@nickart.com</t>
  </si>
  <si>
    <t>86-755-86102666</t>
  </si>
  <si>
    <t>https://nickart-models.com/</t>
  </si>
  <si>
    <t>Zhejiang Jingyi New Material Technology Co., LTD</t>
  </si>
  <si>
    <t>service@jylube.com</t>
  </si>
  <si>
    <t>86 61276735</t>
  </si>
  <si>
    <t>https://en.jylube.com/</t>
  </si>
  <si>
    <t>Blue Design</t>
  </si>
  <si>
    <t>Jordan</t>
  </si>
  <si>
    <t>Design</t>
  </si>
  <si>
    <t>info@bluedesignstudio.com</t>
  </si>
  <si>
    <t>JO   +962 79 709 7099
KSA +966 53 958 8199</t>
  </si>
  <si>
    <t>https://bluedesignstudio.com/</t>
  </si>
  <si>
    <t>United Development Company</t>
  </si>
  <si>
    <t xml:space="preserve">Urban Development and Investments
</t>
  </si>
  <si>
    <t>info@udcqatar.com</t>
  </si>
  <si>
    <t>Tel : +974 4409 8400</t>
  </si>
  <si>
    <t>https://udcqatar.com/About-Us</t>
  </si>
  <si>
    <t>Dyar Aqari</t>
  </si>
  <si>
    <t>Aqari</t>
  </si>
  <si>
    <t>socialmedia@qataridiar.com</t>
  </si>
  <si>
    <t>44974444 (974+)</t>
  </si>
  <si>
    <t>https://www.qataridiar.com/index.php/ar/contact-us</t>
  </si>
  <si>
    <t>JMJ GROUP</t>
  </si>
  <si>
    <t xml:space="preserve">Real Estate </t>
  </si>
  <si>
    <t>info@jmjgroupholding.com</t>
  </si>
  <si>
    <t>00974 8003333</t>
  </si>
  <si>
    <t>Barwa Qatar</t>
  </si>
  <si>
    <t>info@barwa.com.qa</t>
  </si>
  <si>
    <t>https://www.barwa.com.qa/ar</t>
  </si>
  <si>
    <t xml:space="preserve">Jordanian Companies </t>
  </si>
  <si>
    <t>website</t>
  </si>
  <si>
    <t>Comany Name</t>
  </si>
  <si>
    <t>Ayla Oasis Development Company</t>
  </si>
  <si>
    <r>
      <rPr>
        <b/>
        <color rgb="FF1155CC"/>
        <sz val="11.0"/>
        <u/>
      </rPr>
      <t>ayla.com.jo</t>
    </r>
  </si>
  <si>
    <t>info@ayla.com.jo</t>
  </si>
  <si>
    <t>962 6 460 2600</t>
  </si>
  <si>
    <t>Amman, Jordan</t>
  </si>
  <si>
    <t>Al-Maali Contracting</t>
  </si>
  <si>
    <t>Abdelmuti Al-Maali</t>
  </si>
  <si>
    <r>
      <rPr>
        <color rgb="FF1155CC"/>
        <sz val="11.0"/>
        <u/>
      </rPr>
      <t>almaali_contracting@yahoo.com</t>
    </r>
  </si>
  <si>
    <t>962 6 5345051</t>
  </si>
  <si>
    <t>Kurdi Group</t>
  </si>
  <si>
    <r>
      <rPr>
        <b/>
        <color rgb="FF1155CC"/>
        <sz val="11.0"/>
        <u/>
      </rPr>
      <t>kurdigroup.jo</t>
    </r>
  </si>
  <si>
    <t>info@kurdigroup.jo</t>
  </si>
  <si>
    <t>962 6 562 1234</t>
  </si>
  <si>
    <t>Dar Al-Edara for Real Estate Development</t>
  </si>
  <si>
    <t>Emad I. Zahida</t>
  </si>
  <si>
    <r>
      <rPr>
        <color rgb="FF1155CC"/>
        <sz val="11.0"/>
        <u/>
      </rPr>
      <t>info@whyjordan.com</t>
    </r>
  </si>
  <si>
    <t>962 6 5379790</t>
  </si>
  <si>
    <t>Diversity Ltd</t>
  </si>
  <si>
    <r>
      <rPr>
        <b/>
        <color rgb="FF1155CC"/>
        <sz val="11.0"/>
        <u/>
      </rPr>
      <t>diversity-ltd.com</t>
    </r>
  </si>
  <si>
    <t>info@diversity-ltd.com</t>
  </si>
  <si>
    <t>962 6 567 890</t>
  </si>
  <si>
    <t>Al Khamael for Construction Contracting</t>
  </si>
  <si>
    <t>Essam Mohammad Ghaith</t>
  </si>
  <si>
    <r>
      <rPr>
        <color rgb="FF1155CC"/>
        <sz val="11.0"/>
        <u/>
      </rPr>
      <t>issam@gaithco.com</t>
    </r>
  </si>
  <si>
    <t>962 79 5964198</t>
  </si>
  <si>
    <t>Taameer Jordan Holdings</t>
  </si>
  <si>
    <r>
      <rPr>
        <b/>
        <color rgb="FF1155CC"/>
        <sz val="11.0"/>
        <u/>
      </rPr>
      <t>taameer.jo</t>
    </r>
  </si>
  <si>
    <t>info@taameer.jo</t>
  </si>
  <si>
    <t>962 6 565 4321</t>
  </si>
  <si>
    <t>Qandil Housing Company</t>
  </si>
  <si>
    <t>Hisham S. Kandil</t>
  </si>
  <si>
    <r>
      <rPr>
        <color rgb="FF1155CC"/>
        <sz val="11.0"/>
        <u/>
      </rPr>
      <t>heshamsaleem@yahoo.com</t>
    </r>
  </si>
  <si>
    <t>962 5 3826731</t>
  </si>
  <si>
    <t>Eagle Hills Jordan</t>
  </si>
  <si>
    <r>
      <rPr>
        <b/>
        <color rgb="FF1155CC"/>
        <sz val="11.0"/>
        <u/>
      </rPr>
      <t>eaglehillsjordan.com</t>
    </r>
  </si>
  <si>
    <t>info@eaglehillsjordan.com</t>
  </si>
  <si>
    <t>962 6 580 1234</t>
  </si>
  <si>
    <t>Better Homes</t>
  </si>
  <si>
    <t>Suliman D. Mohammad</t>
  </si>
  <si>
    <r>
      <rPr>
        <color rgb="FF1155CC"/>
        <sz val="11.0"/>
        <u/>
      </rPr>
      <t>sulimandw@yahoo.com</t>
    </r>
  </si>
  <si>
    <t>962 5 922727</t>
  </si>
  <si>
    <t>Qattous Group</t>
  </si>
  <si>
    <r>
      <rPr>
        <b/>
        <color rgb="FF1155CC"/>
        <sz val="11.0"/>
        <u/>
      </rPr>
      <t>qattousgroup.com</t>
    </r>
  </si>
  <si>
    <t>info@qattousgroup.com</t>
  </si>
  <si>
    <t>962 6 567 2345</t>
  </si>
  <si>
    <r>
      <t>Bayut Saudi Arabia: A comprehensive directory of real estate agencies and brokers in Saudi Arabia. ​</t>
    </r>
    <r>
      <rPr>
        <b/>
        <color rgb="FF1155CC"/>
        <sz val="11.0"/>
        <u/>
      </rPr>
      <t>Saudi Arabia Directory</t>
    </r>
    <r>
      <rPr>
        <b/>
        <color rgb="FF1155CC"/>
        <sz val="11.0"/>
        <u/>
      </rPr>
      <t>+2</t>
    </r>
    <r>
      <rPr>
        <b/>
        <color rgb="FF1155CC"/>
        <sz val="11.0"/>
        <u/>
      </rPr>
      <t>bayut.sa</t>
    </r>
    <r>
      <rPr>
        <b/>
        <color rgb="FF1155CC"/>
        <sz val="11.0"/>
        <u/>
      </rPr>
      <t>+2</t>
    </r>
    <r>
      <rPr>
        <b/>
        <color rgb="FF1155CC"/>
        <sz val="11.0"/>
        <u/>
      </rPr>
      <t>Dun &amp; Bradstreet</t>
    </r>
    <r>
      <rPr>
        <b/>
        <color rgb="FF1155CC"/>
        <sz val="11.0"/>
        <u/>
      </rPr>
      <t>+2</t>
    </r>
  </si>
  <si>
    <t>Hi-Tech Engineering</t>
  </si>
  <si>
    <r>
      <rPr>
        <b/>
        <color rgb="FF1155CC"/>
        <sz val="11.0"/>
        <u/>
      </rPr>
      <t>hitech-jo.com</t>
    </r>
  </si>
  <si>
    <t>info@hitech-jo.com</t>
  </si>
  <si>
    <t>962 6 568 3456</t>
  </si>
  <si>
    <t>Amwaj Properties</t>
  </si>
  <si>
    <r>
      <rPr>
        <b/>
        <color rgb="FF1155CC"/>
        <sz val="11.0"/>
        <u/>
      </rPr>
      <t>thegalleriajordan.com</t>
    </r>
  </si>
  <si>
    <t>info@thegalleriajordan.com</t>
  </si>
  <si>
    <t>962 6 569 456</t>
  </si>
  <si>
    <r>
      <t>Dun &amp; Bradstreet: Detailed information on real estate companies in Saudi Arabia, including financial statements and contact details. ​</t>
    </r>
    <r>
      <rPr>
        <b/>
        <color rgb="FF1155CC"/>
        <sz val="11.0"/>
        <u/>
      </rPr>
      <t>Dun &amp; Bradstreet</t>
    </r>
    <r>
      <rPr>
        <b/>
        <color rgb="FF1155CC"/>
        <sz val="11.0"/>
        <u/>
      </rPr>
      <t>+1</t>
    </r>
    <r>
      <rPr>
        <b/>
        <color rgb="FF1155CC"/>
        <sz val="11.0"/>
        <u/>
      </rPr>
      <t>Dun &amp; Bradstreet</t>
    </r>
    <r>
      <rPr>
        <b/>
        <color rgb="FF1155CC"/>
        <sz val="11.0"/>
        <u/>
      </rPr>
      <t>+1</t>
    </r>
  </si>
  <si>
    <t>Konya Real Estate</t>
  </si>
  <si>
    <r>
      <rPr>
        <b/>
        <color rgb="FF1155CC"/>
        <sz val="11.0"/>
        <u/>
      </rPr>
      <t>konyare.com</t>
    </r>
  </si>
  <si>
    <t>info@konyare.com</t>
  </si>
  <si>
    <t>962 6 570 5678</t>
  </si>
  <si>
    <t>Betterhomes Jordan</t>
  </si>
  <si>
    <r>
      <rPr>
        <b/>
        <color rgb="FF1155CC"/>
        <sz val="11.0"/>
        <u/>
      </rPr>
      <t>bhomes.jo</t>
    </r>
  </si>
  <si>
    <t>info@bhomes.jo</t>
  </si>
  <si>
    <t>962 6 571 6789</t>
  </si>
  <si>
    <t>Arabian Talks: A list of real estate companies in Saudi Arabia with contact information. ​</t>
  </si>
  <si>
    <t>Mirath Real Estate</t>
  </si>
  <si>
    <r>
      <rPr>
        <b/>
        <color rgb="FF1155CC"/>
        <sz val="11.0"/>
        <u/>
      </rPr>
      <t>mirathrealestate.com</t>
    </r>
  </si>
  <si>
    <r>
      <rPr>
        <b/>
        <color rgb="FF1155CC"/>
        <sz val="11.0"/>
        <u/>
      </rPr>
      <t>admin@mirathrealestate.com</t>
    </r>
  </si>
  <si>
    <t>962 777 334 933</t>
  </si>
  <si>
    <t xml:space="preserve">Iraqi Architects </t>
  </si>
  <si>
    <t>Homes Jordan</t>
  </si>
  <si>
    <r>
      <rPr>
        <b/>
        <color rgb="FF1155CC"/>
        <sz val="11.0"/>
        <u/>
      </rPr>
      <t>homes-jordan.com</t>
    </r>
  </si>
  <si>
    <r>
      <rPr>
        <b/>
        <color rgb="FF1155CC"/>
        <sz val="11.0"/>
        <u/>
      </rPr>
      <t>agent@homes-jordan.com</t>
    </r>
  </si>
  <si>
    <t>962 79 123 0777</t>
  </si>
  <si>
    <t>Services</t>
  </si>
  <si>
    <t>Aqar &amp; Mal</t>
  </si>
  <si>
    <r>
      <rPr>
        <b/>
        <color rgb="FF1155CC"/>
        <sz val="11.0"/>
        <u/>
      </rPr>
      <t>aqarmal.com</t>
    </r>
  </si>
  <si>
    <t>962 6 552 0089</t>
  </si>
  <si>
    <t>House of Design (HOD)</t>
  </si>
  <si>
    <r>
      <rPr>
        <rFont val="Calibri, sans-serif"/>
        <color rgb="FF1155CC"/>
        <sz val="11.0"/>
        <u/>
      </rPr>
      <t>https://hodiraq.com</t>
    </r>
  </si>
  <si>
    <t>info@hodiraq.com</t>
  </si>
  <si>
    <t>964 750 445 8469</t>
  </si>
  <si>
    <t>Interior design, exhibition stands, branding, and full-service creative solutions.</t>
  </si>
  <si>
    <t>Sadeen Group</t>
  </si>
  <si>
    <r>
      <rPr>
        <b/>
        <color rgb="FF1155CC"/>
        <sz val="11.0"/>
        <u/>
      </rPr>
      <t>sadeengroup.com</t>
    </r>
  </si>
  <si>
    <r>
      <rPr>
        <b/>
        <color rgb="FF1155CC"/>
        <sz val="11.0"/>
        <u/>
      </rPr>
      <t>info@sadeencontracting.com</t>
    </r>
  </si>
  <si>
    <t>962 6 556 1929</t>
  </si>
  <si>
    <t>Lenya Interiors</t>
  </si>
  <si>
    <r>
      <rPr>
        <rFont val="Calibri, sans-serif"/>
        <color rgb="FF1155CC"/>
        <sz val="11.0"/>
        <u/>
      </rPr>
      <t>https://lenyainteriors.com</t>
    </r>
  </si>
  <si>
    <t>info@lenyainteriors.com</t>
  </si>
  <si>
    <t>964 750 970 1950</t>
  </si>
  <si>
    <t>Kitchen and interior design services, dressing rooms, wash basins, laundries, libraries, offices, wall cover decors, bedrooms, and more.</t>
  </si>
  <si>
    <t>Al Eqbal Real Estate Development</t>
  </si>
  <si>
    <r>
      <rPr>
        <b/>
        <color rgb="FF1155CC"/>
        <sz val="11.0"/>
        <u/>
      </rPr>
      <t>eqbaljordan.com</t>
    </r>
  </si>
  <si>
    <t>Not publicly listed</t>
  </si>
  <si>
    <t>Alpha Architects</t>
  </si>
  <si>
    <r>
      <rPr>
        <rFont val="Calibri, sans-serif"/>
        <color rgb="FF1155CC"/>
        <sz val="11.0"/>
        <u/>
      </rPr>
      <t>https://alpha-iraq.com</t>
    </r>
  </si>
  <si>
    <t>info@alpha-iraq.com</t>
  </si>
  <si>
    <t>964 750 857 3282</t>
  </si>
  <si>
    <t>Architectural design, interior and exterior design, and project execution.</t>
  </si>
  <si>
    <t>Real-JO</t>
  </si>
  <si>
    <r>
      <rPr>
        <b/>
        <color rgb="FF1155CC"/>
        <sz val="11.0"/>
        <u/>
      </rPr>
      <t>real-jo.com</t>
    </r>
  </si>
  <si>
    <r>
      <rPr>
        <b/>
        <color rgb="FF1155CC"/>
        <sz val="11.0"/>
        <u/>
      </rPr>
      <t>info@real-jo.com</t>
    </r>
  </si>
  <si>
    <t>962 6 551 0355</t>
  </si>
  <si>
    <t>Hez Company</t>
  </si>
  <si>
    <t>Duhok, Iraq</t>
  </si>
  <si>
    <r>
      <rPr>
        <rFont val="Calibri, sans-serif"/>
        <color rgb="FF1155CC"/>
        <sz val="11.0"/>
        <u/>
      </rPr>
      <t>https://hezcompany.com</t>
    </r>
  </si>
  <si>
    <t>info@hezcompany.com</t>
  </si>
  <si>
    <t>Interior decoration and design, focusing on high-quality products with over 20 years of experience.</t>
  </si>
  <si>
    <t>Jordan Invest</t>
  </si>
  <si>
    <r>
      <rPr>
        <b/>
        <color rgb="FF1155CC"/>
        <sz val="11.0"/>
        <u/>
      </rPr>
      <t>jordaninvest.jo</t>
    </r>
  </si>
  <si>
    <t>962 7 9205 8009</t>
  </si>
  <si>
    <r>
      <rPr>
        <rFont val="Calibri, sans-serif"/>
        <color rgb="FF1155CC"/>
        <sz val="11.0"/>
        <u/>
      </rPr>
      <t>https://raha-architects.com</t>
    </r>
  </si>
  <si>
    <t>964 750 209 5000</t>
  </si>
  <si>
    <t>Interior design, mall design, and architectural services.</t>
  </si>
  <si>
    <t>Abu Judom Real Estate</t>
  </si>
  <si>
    <r>
      <rPr>
        <b/>
        <color rgb="FF1155CC"/>
        <sz val="11.0"/>
        <u/>
      </rPr>
      <t>abujudom.com</t>
    </r>
  </si>
  <si>
    <t>Lanour Interior Design</t>
  </si>
  <si>
    <r>
      <rPr>
        <rFont val="Calibri, sans-serif"/>
        <color rgb="FF1155CC"/>
        <sz val="11.0"/>
        <u/>
      </rPr>
      <t>https://lanour.co</t>
    </r>
  </si>
  <si>
    <t>info@lanour.co</t>
  </si>
  <si>
    <t>Interior design for houses, villas, restaurants, hotels, yachts, and offices.</t>
  </si>
  <si>
    <t>KNB Jordan for Real Estate</t>
  </si>
  <si>
    <t>Not available</t>
  </si>
  <si>
    <t>Wood Style</t>
  </si>
  <si>
    <r>
      <rPr>
        <rFont val="Calibri, sans-serif"/>
        <color rgb="FF1155CC"/>
        <sz val="11.0"/>
        <u/>
      </rPr>
      <t>https://woodstyleiq.com</t>
    </r>
  </si>
  <si>
    <t>info@woodstyleiq.com</t>
  </si>
  <si>
    <t>Interior and exterior design and decoration with high professionalism and creativity.</t>
  </si>
  <si>
    <t>🏢 Architectural &amp; Interior Design Firms in Jordan</t>
  </si>
  <si>
    <t>Ava Architects</t>
  </si>
  <si>
    <r>
      <rPr>
        <rFont val="Calibri, sans-serif"/>
        <color rgb="FF1155CC"/>
        <sz val="11.0"/>
        <u/>
      </rPr>
      <t>https://ava-architects.krd</t>
    </r>
  </si>
  <si>
    <t>info@ava-architects.krd</t>
  </si>
  <si>
    <t>Multidisciplinary architecture, interior design, landscaping, and urban planning.</t>
  </si>
  <si>
    <t>Linework Design Studio</t>
  </si>
  <si>
    <r>
      <rPr>
        <b/>
        <color rgb="FF1155CC"/>
        <sz val="11.0"/>
        <u/>
      </rPr>
      <t>linework.design</t>
    </r>
  </si>
  <si>
    <r>
      <rPr>
        <b/>
        <color rgb="FF1155CC"/>
        <sz val="11.0"/>
        <u/>
      </rPr>
      <t>info@linework.design</t>
    </r>
  </si>
  <si>
    <t>962 79 157 9670</t>
  </si>
  <si>
    <t>Azal Design Studio</t>
  </si>
  <si>
    <r>
      <rPr>
        <b/>
        <color rgb="FF1155CC"/>
        <sz val="11.0"/>
        <u/>
      </rPr>
      <t>azaldesignstudio.com</t>
    </r>
  </si>
  <si>
    <r>
      <rPr>
        <b/>
        <color rgb="FF1155CC"/>
        <sz val="11.0"/>
        <u/>
      </rPr>
      <t>info@azaldesignstudio.com</t>
    </r>
  </si>
  <si>
    <t>Not listed</t>
  </si>
  <si>
    <t>Artech Designer Studio</t>
  </si>
  <si>
    <r>
      <rPr>
        <b/>
        <color rgb="FF1155CC"/>
        <sz val="11.0"/>
        <u/>
      </rPr>
      <t>artechdesignerstudio.com</t>
    </r>
  </si>
  <si>
    <r>
      <rPr>
        <b/>
        <color rgb="FF1155CC"/>
        <sz val="11.0"/>
        <u/>
      </rPr>
      <t>info@artechds.com</t>
    </r>
  </si>
  <si>
    <t>962 79 667 7885</t>
  </si>
  <si>
    <t>Inside Out Design</t>
  </si>
  <si>
    <r>
      <rPr>
        <b/>
        <color rgb="FF1155CC"/>
        <sz val="11.0"/>
        <u/>
      </rPr>
      <t>insideoutjo.com</t>
    </r>
  </si>
  <si>
    <t>962 79 559 3388</t>
  </si>
  <si>
    <t>IDS Interior Design Studio</t>
  </si>
  <si>
    <r>
      <rPr>
        <b/>
        <color rgb="FF1155CC"/>
        <sz val="11.0"/>
        <u/>
      </rPr>
      <t>ids-jo.com</t>
    </r>
  </si>
  <si>
    <t>Contempo Jordan</t>
  </si>
  <si>
    <r>
      <rPr>
        <b/>
        <color rgb="FF1155CC"/>
        <sz val="11.0"/>
        <u/>
      </rPr>
      <t>contempojordan.com</t>
    </r>
  </si>
  <si>
    <t>962 6 533 0853</t>
  </si>
  <si>
    <t>Dal Design</t>
  </si>
  <si>
    <r>
      <rPr>
        <b/>
        <color rgb="FF1155CC"/>
        <sz val="11.0"/>
        <u/>
      </rPr>
      <t>daldesign.co</t>
    </r>
  </si>
  <si>
    <r>
      <rPr>
        <b/>
        <color rgb="FF1155CC"/>
        <sz val="11.0"/>
        <u/>
      </rPr>
      <t>daed.mousa@daldesign.co</t>
    </r>
  </si>
  <si>
    <t>962 7 7979 7777</t>
  </si>
  <si>
    <t>Farah Architects</t>
  </si>
  <si>
    <r>
      <rPr>
        <b/>
        <color rgb="FF1155CC"/>
        <sz val="11.0"/>
        <u/>
      </rPr>
      <t>faraharchitects.com</t>
    </r>
  </si>
  <si>
    <t>Hanna Salameh Design</t>
  </si>
  <si>
    <r>
      <rPr>
        <b/>
        <color rgb="FF1155CC"/>
        <sz val="11.0"/>
        <u/>
      </rPr>
      <t>hannasalameh.com</t>
    </r>
  </si>
  <si>
    <t>RUM Atelier</t>
  </si>
  <si>
    <r>
      <rPr>
        <b/>
        <color rgb="FF1155CC"/>
        <sz val="11.0"/>
        <u/>
      </rPr>
      <t>rumatelier.com</t>
    </r>
  </si>
  <si>
    <t>Modern Architectural Consultants</t>
  </si>
  <si>
    <r>
      <rPr>
        <b/>
        <color rgb="FF1155CC"/>
        <sz val="11.0"/>
        <u/>
      </rPr>
      <t>macjordan.com</t>
    </r>
  </si>
  <si>
    <t>Osama Al Natour Architects</t>
  </si>
  <si>
    <r>
      <rPr>
        <b/>
        <color rgb="FF1155CC"/>
        <sz val="11.0"/>
        <u/>
      </rPr>
      <t>osama-alnatour.com</t>
    </r>
  </si>
  <si>
    <r>
      <rPr>
        <b/>
        <color rgb="FF1155CC"/>
        <sz val="11.0"/>
        <u/>
      </rPr>
      <t>linework.design</t>
    </r>
  </si>
  <si>
    <r>
      <rPr>
        <b/>
        <color rgb="FF1155CC"/>
        <sz val="11.0"/>
        <u/>
      </rPr>
      <t>azaldesignstudio.com</t>
    </r>
  </si>
  <si>
    <r>
      <rPr>
        <b/>
        <color rgb="FF1155CC"/>
        <sz val="11.0"/>
        <u/>
      </rPr>
      <t>artechdesignerstudio.com</t>
    </r>
  </si>
  <si>
    <r>
      <rPr>
        <b/>
        <color rgb="FF1155CC"/>
        <sz val="11.0"/>
        <u/>
      </rPr>
      <t>insideoutjo.com</t>
    </r>
  </si>
  <si>
    <r>
      <rPr>
        <b/>
        <color rgb="FF1155CC"/>
        <sz val="11.0"/>
        <u/>
      </rPr>
      <t>ids-jo.com</t>
    </r>
  </si>
  <si>
    <r>
      <rPr>
        <b/>
        <color rgb="FF1155CC"/>
        <sz val="11.0"/>
        <u/>
      </rPr>
      <t>contempojordan.com</t>
    </r>
  </si>
  <si>
    <r>
      <rPr>
        <b/>
        <color rgb="FF1155CC"/>
        <sz val="11.0"/>
        <u/>
      </rPr>
      <t>daldesign.co</t>
    </r>
  </si>
  <si>
    <r>
      <rPr>
        <b/>
        <color rgb="FF1155CC"/>
        <sz val="11.0"/>
        <u/>
      </rPr>
      <t>faraharchitects.com</t>
    </r>
  </si>
  <si>
    <r>
      <rPr>
        <b/>
        <color rgb="FF1155CC"/>
        <sz val="11.0"/>
        <u/>
      </rPr>
      <t>hannasalameh.com</t>
    </r>
  </si>
  <si>
    <r>
      <rPr>
        <b/>
        <color rgb="FF1155CC"/>
        <sz val="11.0"/>
        <u/>
      </rPr>
      <t>rumatelier.com</t>
    </r>
  </si>
  <si>
    <t>962 6 568 5023</t>
  </si>
  <si>
    <r>
      <rPr>
        <b/>
        <color rgb="FF1155CC"/>
        <sz val="11.0"/>
        <u/>
      </rPr>
      <t>osama-alnatour.com</t>
    </r>
  </si>
  <si>
    <t>Inscape Design House</t>
  </si>
  <si>
    <r>
      <rPr>
        <b/>
        <color rgb="FF1155CC"/>
        <sz val="11.0"/>
        <u/>
      </rPr>
      <t>inscapedesignhouse.com</t>
    </r>
  </si>
  <si>
    <t>962 79 977 6087</t>
  </si>
  <si>
    <t>13c Design Studio</t>
  </si>
  <si>
    <r>
      <rPr>
        <b/>
        <color rgb="FF1155CC"/>
        <sz val="11.0"/>
        <u/>
      </rPr>
      <t>13cdesigns.com</t>
    </r>
  </si>
  <si>
    <t>962 79 537 0870</t>
  </si>
  <si>
    <t>Seyam Architects</t>
  </si>
  <si>
    <r>
      <rPr>
        <b/>
        <color rgb="FF1155CC"/>
        <sz val="11.0"/>
        <u/>
      </rPr>
      <t>seyamarchitects.com</t>
    </r>
  </si>
  <si>
    <t>962 6 523 3070</t>
  </si>
  <si>
    <t>Tamara Himmo Interior Design</t>
  </si>
  <si>
    <r>
      <rPr>
        <b/>
        <color rgb="FF1155CC"/>
        <sz val="11.0"/>
        <u/>
      </rPr>
      <t>tamarahimmo.com</t>
    </r>
  </si>
  <si>
    <t>962 79 547 7477</t>
  </si>
  <si>
    <t>Uraiqat Architects</t>
  </si>
  <si>
    <t>962 6 552 5654</t>
  </si>
  <si>
    <t>Al Suki Architects &amp; Engineering Consultants</t>
  </si>
  <si>
    <t>962 79 559 5986</t>
  </si>
  <si>
    <t>CAP Design</t>
  </si>
  <si>
    <t>962 6 541 1216</t>
  </si>
  <si>
    <t>Lamasat Touch Of Art</t>
  </si>
  <si>
    <t>962 79 671 8678</t>
  </si>
  <si>
    <t>Requesthome</t>
  </si>
  <si>
    <t>962 79 804 0102</t>
  </si>
  <si>
    <t>Designbook.me</t>
  </si>
  <si>
    <t>Diseno Interior Design</t>
  </si>
  <si>
    <t>962 6 550 7878 ext.8150</t>
  </si>
  <si>
    <t>Within175</t>
  </si>
  <si>
    <t>962 79 878 5464</t>
  </si>
  <si>
    <t>Global Deal Interiors</t>
  </si>
  <si>
    <t>962 79 064 6079</t>
  </si>
  <si>
    <t>Inspire Design and Construction</t>
  </si>
  <si>
    <t>962 79 986 2222</t>
  </si>
  <si>
    <t>4D Design Studio</t>
  </si>
  <si>
    <t>962 6 552 6218</t>
  </si>
  <si>
    <t>RETAILBIG - Commercial Interior Design Experts</t>
  </si>
  <si>
    <t>962 6 553 5353</t>
  </si>
  <si>
    <t>Dar Al Omran</t>
  </si>
  <si>
    <t>962 6 560 4200</t>
  </si>
  <si>
    <t>Jordanian Citizenship by Investment Advisors</t>
  </si>
  <si>
    <t>Citizenship Avenue</t>
  </si>
  <si>
    <r>
      <rPr>
        <b/>
        <color rgb="FF1155CC"/>
        <sz val="11.0"/>
        <u/>
      </rPr>
      <t>inquiries@citizenshipavenue.com</t>
    </r>
  </si>
  <si>
    <t>1 585-296-0225</t>
  </si>
  <si>
    <r>
      <rPr>
        <b/>
        <color rgb="FF1155CC"/>
        <sz val="11.0"/>
        <u/>
      </rPr>
      <t>citizenshipave.com</t>
    </r>
  </si>
  <si>
    <t>Hasham Passport Consulting</t>
  </si>
  <si>
    <r>
      <rPr>
        <b/>
        <color rgb="FF1155CC"/>
        <sz val="11.0"/>
        <u/>
      </rPr>
      <t>jordanpassports.com</t>
    </r>
  </si>
  <si>
    <t>Break Front Services</t>
  </si>
  <si>
    <r>
      <rPr>
        <b/>
        <color rgb="FF1155CC"/>
        <sz val="11.0"/>
        <u/>
      </rPr>
      <t>info@breakfrontservices.com</t>
    </r>
  </si>
  <si>
    <t>351 926 665 860</t>
  </si>
  <si>
    <r>
      <rPr>
        <b/>
        <color rgb="FF1155CC"/>
        <sz val="11.0"/>
        <u/>
      </rPr>
      <t>breakfrontservices.com</t>
    </r>
  </si>
  <si>
    <t>Henley &amp; Partners</t>
  </si>
  <si>
    <r>
      <rPr>
        <b/>
        <color rgb="FF1155CC"/>
        <sz val="11.0"/>
        <u/>
      </rPr>
      <t>henleyglobal.com</t>
    </r>
  </si>
  <si>
    <t>Immigrant Invest</t>
  </si>
  <si>
    <r>
      <rPr>
        <b/>
        <color rgb="FF1155CC"/>
        <sz val="11.0"/>
        <u/>
      </rPr>
      <t>immigrantinvest.com</t>
    </r>
  </si>
  <si>
    <t>Golden Harbors</t>
  </si>
  <si>
    <r>
      <rPr>
        <b/>
        <color rgb="FF1155CC"/>
        <sz val="11.0"/>
        <u/>
      </rPr>
      <t>goldenharbors.com</t>
    </r>
  </si>
  <si>
    <t>Global Vision Immigration</t>
  </si>
  <si>
    <r>
      <rPr>
        <b/>
        <color rgb="FF1155CC"/>
        <sz val="11.0"/>
        <u/>
      </rPr>
      <t>gvimmigration.com</t>
    </r>
  </si>
  <si>
    <t>🏦 Jordanian Banks: Contact Information</t>
  </si>
  <si>
    <t>Bank Name</t>
  </si>
  <si>
    <t>Arab Bank</t>
  </si>
  <si>
    <t>962 6 5600900</t>
  </si>
  <si>
    <r>
      <rPr>
        <b/>
        <color rgb="FF1155CC"/>
        <sz val="11.0"/>
        <u/>
      </rPr>
      <t>customer.care@arabbank.com.jo</t>
    </r>
  </si>
  <si>
    <r>
      <rPr>
        <b/>
        <color rgb="FF1155CC"/>
        <sz val="11.0"/>
        <u/>
      </rPr>
      <t>arabbank.com.jo</t>
    </r>
  </si>
  <si>
    <t>Arab Banking Corporation (Jordan)</t>
  </si>
  <si>
    <t>962 6 5633500</t>
  </si>
  <si>
    <r>
      <rPr>
        <b/>
        <color rgb="FF1155CC"/>
        <sz val="11.0"/>
        <u/>
      </rPr>
      <t>info@bank-abc.com</t>
    </r>
  </si>
  <si>
    <r>
      <rPr>
        <b/>
        <color rgb="FF1155CC"/>
        <sz val="11.0"/>
        <u/>
      </rPr>
      <t>bank-abc.com</t>
    </r>
  </si>
  <si>
    <t>Bank of Jordan</t>
  </si>
  <si>
    <t>962 6 5609200</t>
  </si>
  <si>
    <r>
      <rPr>
        <b/>
        <color rgb="FF1155CC"/>
        <sz val="11.0"/>
        <u/>
      </rPr>
      <t>boj@bankofjordan.com.jo</t>
    </r>
  </si>
  <si>
    <r>
      <rPr>
        <b/>
        <color rgb="FF1155CC"/>
        <sz val="11.0"/>
        <u/>
      </rPr>
      <t>bankofjordan.com</t>
    </r>
  </si>
  <si>
    <t>Cairo Amman Bank</t>
  </si>
  <si>
    <t>962 6 5006000</t>
  </si>
  <si>
    <r>
      <rPr>
        <b/>
        <color rgb="FF1155CC"/>
        <sz val="11.0"/>
        <u/>
      </rPr>
      <t>info@cab.jo</t>
    </r>
  </si>
  <si>
    <r>
      <rPr>
        <b/>
        <color rgb="FF1155CC"/>
        <sz val="11.0"/>
        <u/>
      </rPr>
      <t>cab.jo</t>
    </r>
  </si>
  <si>
    <t>Capital Bank of Jordan</t>
  </si>
  <si>
    <t>962 6 5100200</t>
  </si>
  <si>
    <r>
      <rPr>
        <b/>
        <color rgb="FF1155CC"/>
        <sz val="11.0"/>
        <u/>
      </rPr>
      <t>info@capitalbank.jo</t>
    </r>
  </si>
  <si>
    <r>
      <rPr>
        <b/>
        <color rgb="FF1155CC"/>
        <sz val="11.0"/>
        <u/>
      </rPr>
      <t>capitalbank.jo</t>
    </r>
  </si>
  <si>
    <t>Jordan Commercial Bank</t>
  </si>
  <si>
    <t>962 6 5209000</t>
  </si>
  <si>
    <r>
      <rPr>
        <b/>
        <color rgb="FF1155CC"/>
        <sz val="11.0"/>
        <u/>
      </rPr>
      <t>jcb@jcbank.com.jo</t>
    </r>
  </si>
  <si>
    <r>
      <rPr>
        <b/>
        <color rgb="FF1155CC"/>
        <sz val="11.0"/>
        <u/>
      </rPr>
      <t>jcbank.com.jo</t>
    </r>
  </si>
  <si>
    <t>Jordan Kuwait Bank</t>
  </si>
  <si>
    <t>62 6 5629400</t>
  </si>
  <si>
    <r>
      <rPr>
        <b/>
        <color rgb="FF1155CC"/>
        <sz val="11.0"/>
        <u/>
      </rPr>
      <t>webmaster@jkbank.com.jo</t>
    </r>
  </si>
  <si>
    <r>
      <rPr>
        <b/>
        <color rgb="FF1155CC"/>
        <sz val="11.0"/>
        <u/>
      </rPr>
      <t>jkb.com</t>
    </r>
  </si>
  <si>
    <t>Jordan Ahli Bank</t>
  </si>
  <si>
    <t>962 6 5638800</t>
  </si>
  <si>
    <r>
      <rPr>
        <b/>
        <color rgb="FF1155CC"/>
        <sz val="11.0"/>
        <u/>
      </rPr>
      <t>info@ahli.com</t>
    </r>
  </si>
  <si>
    <r>
      <rPr>
        <b/>
        <color rgb="FF1155CC"/>
        <sz val="11.0"/>
        <u/>
      </rPr>
      <t>ahli.com</t>
    </r>
  </si>
  <si>
    <t>Housing Bank for Trade &amp; Finance</t>
  </si>
  <si>
    <t>962 6 5005555</t>
  </si>
  <si>
    <r>
      <rPr>
        <b/>
        <color rgb="FF1155CC"/>
        <sz val="11.0"/>
        <u/>
      </rPr>
      <t>info@hbtf.com</t>
    </r>
  </si>
  <si>
    <r>
      <rPr>
        <b/>
        <color rgb="FF1155CC"/>
        <sz val="11.0"/>
        <u/>
      </rPr>
      <t>hbtf.com</t>
    </r>
  </si>
  <si>
    <t>Arab Jordan Investment Bank</t>
  </si>
  <si>
    <t>962 6 5607138</t>
  </si>
  <si>
    <r>
      <rPr>
        <b/>
        <color rgb="FF1155CC"/>
        <sz val="11.0"/>
        <u/>
      </rPr>
      <t>info@ajib.com</t>
    </r>
  </si>
  <si>
    <r>
      <rPr>
        <b/>
        <color rgb="FF1155CC"/>
        <sz val="11.0"/>
        <u/>
      </rPr>
      <t>ajib.com</t>
    </r>
  </si>
  <si>
    <t>Jordan Islamic Bank</t>
  </si>
  <si>
    <r>
      <rPr>
        <b/>
        <color rgb="FF1155CC"/>
        <sz val="11.0"/>
        <u/>
      </rPr>
      <t>jibcustomerservice@islamicbank.com.jo</t>
    </r>
  </si>
  <si>
    <r>
      <rPr>
        <b/>
        <color rgb="FF1155CC"/>
        <sz val="11.0"/>
        <u/>
      </rPr>
      <t>jordanislamicbank.com</t>
    </r>
  </si>
  <si>
    <t>Standard Chartered Bank</t>
  </si>
  <si>
    <r>
      <rPr>
        <b/>
        <color rgb="FF1155CC"/>
        <sz val="11.0"/>
        <u/>
      </rPr>
      <t>info@sc.com</t>
    </r>
  </si>
  <si>
    <r>
      <rPr>
        <b/>
        <color rgb="FF1155CC"/>
        <sz val="11.0"/>
        <u/>
      </rPr>
      <t>sc.com/jo</t>
    </r>
  </si>
  <si>
    <t>Citibank</t>
  </si>
  <si>
    <r>
      <rPr>
        <b/>
        <color rgb="FF1155CC"/>
        <sz val="11.0"/>
        <u/>
      </rPr>
      <t>info@citi.com</t>
    </r>
  </si>
  <si>
    <r>
      <rPr>
        <b/>
        <color rgb="FF1155CC"/>
        <sz val="11.0"/>
        <u/>
      </rPr>
      <t>citi.com</t>
    </r>
  </si>
  <si>
    <t>Rafidain Bank</t>
  </si>
  <si>
    <r>
      <rPr>
        <b/>
        <color rgb="FF1155CC"/>
        <sz val="11.0"/>
        <u/>
      </rPr>
      <t>info@rafidain.com</t>
    </r>
  </si>
  <si>
    <r>
      <rPr>
        <b/>
        <color rgb="FF1155CC"/>
        <sz val="11.0"/>
        <u/>
      </rPr>
      <t>rafidain.com</t>
    </r>
  </si>
  <si>
    <t>National Bank of Kuwait</t>
  </si>
  <si>
    <r>
      <rPr>
        <b/>
        <color rgb="FF1155CC"/>
        <sz val="11.0"/>
        <u/>
      </rPr>
      <t>info@nbk.com.jo</t>
    </r>
  </si>
  <si>
    <r>
      <rPr>
        <b/>
        <color rgb="FF1155CC"/>
        <sz val="11.0"/>
        <u/>
      </rPr>
      <t>nbk.com</t>
    </r>
  </si>
  <si>
    <t>BLOM Bank</t>
  </si>
  <si>
    <r>
      <rPr>
        <b/>
        <color rgb="FF1155CC"/>
        <sz val="11.0"/>
        <u/>
      </rPr>
      <t>info@blom.com.jo</t>
    </r>
  </si>
  <si>
    <r>
      <rPr>
        <b/>
        <color rgb="FF1155CC"/>
        <sz val="11.0"/>
        <u/>
      </rPr>
      <t>blom.com</t>
    </r>
  </si>
  <si>
    <t>Bank Audi</t>
  </si>
  <si>
    <r>
      <rPr>
        <b/>
        <color rgb="FF1155CC"/>
        <sz val="11.0"/>
        <u/>
      </rPr>
      <t>info@bankaudi.com.jo</t>
    </r>
  </si>
  <si>
    <r>
      <rPr>
        <b/>
        <color rgb="FF1155CC"/>
        <sz val="11.0"/>
        <u/>
      </rPr>
      <t>bankaudi.com</t>
    </r>
  </si>
  <si>
    <t>Al-Rajhi Bank</t>
  </si>
  <si>
    <r>
      <rPr>
        <b/>
        <color rgb="FF1155CC"/>
        <sz val="11.0"/>
        <u/>
      </rPr>
      <t>info@alrajhi.com.jo</t>
    </r>
  </si>
  <si>
    <r>
      <rPr>
        <b/>
        <color rgb="FF1155CC"/>
        <sz val="11.0"/>
        <u/>
      </rPr>
      <t>alrajhi.com</t>
    </r>
  </si>
  <si>
    <t>Central Bank of Jordan</t>
  </si>
  <si>
    <r>
      <rPr>
        <b/>
        <color rgb="FF1155CC"/>
        <sz val="11.0"/>
        <u/>
      </rPr>
      <t>info@cbj.gov.jo</t>
    </r>
  </si>
  <si>
    <r>
      <rPr>
        <b/>
        <color rgb="FF1155CC"/>
        <sz val="11.0"/>
        <u/>
      </rPr>
      <t>cbj.gov.jo</t>
    </r>
  </si>
  <si>
    <r>
      <rPr>
        <color rgb="FF1155CC"/>
        <sz val="11.0"/>
        <u/>
      </rPr>
      <t>boj@bankofjordan.com.jo</t>
    </r>
  </si>
  <si>
    <r>
      <rPr>
        <color rgb="FF1155CC"/>
        <sz val="11.0"/>
        <u/>
      </rPr>
      <t>bankofjordan.com</t>
    </r>
  </si>
  <si>
    <t>Jordan Islamic Bank (JIB)</t>
  </si>
  <si>
    <r>
      <rPr>
        <color rgb="FF1155CC"/>
        <sz val="11.0"/>
        <u/>
      </rPr>
      <t>customer.complaints@islamicbank.com.jo</t>
    </r>
  </si>
  <si>
    <r>
      <rPr>
        <color rgb="FF1155CC"/>
        <sz val="11.0"/>
        <u/>
      </rPr>
      <t>jordanislamicbank.com</t>
    </r>
  </si>
  <si>
    <t>Jordan Commercial Bank (JCB)</t>
  </si>
  <si>
    <r>
      <rPr>
        <color rgb="FF1155CC"/>
        <sz val="11.0"/>
        <u/>
      </rPr>
      <t>jcb@jcbank.com.jo</t>
    </r>
  </si>
  <si>
    <r>
      <rPr>
        <color rgb="FF1155CC"/>
        <sz val="11.0"/>
        <u/>
      </rPr>
      <t>jcbank.com.jo</t>
    </r>
  </si>
  <si>
    <t>Jordan Kuwait Bank (JKB)</t>
  </si>
  <si>
    <r>
      <rPr>
        <color rgb="FF1155CC"/>
        <sz val="11.0"/>
        <u/>
      </rPr>
      <t>info@jkb.com</t>
    </r>
  </si>
  <si>
    <r>
      <rPr>
        <color rgb="FF1155CC"/>
        <sz val="11.0"/>
        <u/>
      </rPr>
      <t>jkb.com</t>
    </r>
  </si>
  <si>
    <t>Bank ABC (Jordan)</t>
  </si>
  <si>
    <r>
      <rPr>
        <color rgb="FF1155CC"/>
        <sz val="11.0"/>
        <u/>
      </rPr>
      <t>info@bank-abc.com</t>
    </r>
  </si>
  <si>
    <r>
      <rPr>
        <color rgb="FF1155CC"/>
        <sz val="11.0"/>
        <u/>
      </rPr>
      <t>bank-abc.com</t>
    </r>
  </si>
  <si>
    <t>Cairo Amman Bank (CAB)</t>
  </si>
  <si>
    <r>
      <rPr>
        <color rgb="FF1155CC"/>
        <sz val="11.0"/>
        <u/>
      </rPr>
      <t>info@cab.jo</t>
    </r>
  </si>
  <si>
    <r>
      <rPr>
        <color rgb="FF1155CC"/>
        <sz val="11.0"/>
        <u/>
      </rPr>
      <t>cab.jo</t>
    </r>
  </si>
  <si>
    <r>
      <rPr>
        <color rgb="FF1155CC"/>
        <sz val="11.0"/>
        <u/>
      </rPr>
      <t>info@capitalbank.jo</t>
    </r>
  </si>
  <si>
    <r>
      <rPr>
        <color rgb="FF1155CC"/>
        <sz val="11.0"/>
        <u/>
      </rPr>
      <t>capitalbank.jo</t>
    </r>
  </si>
  <si>
    <r>
      <rPr>
        <color rgb="FF1155CC"/>
        <sz val="11.0"/>
        <u/>
      </rPr>
      <t>info@hbtf.com</t>
    </r>
  </si>
  <si>
    <r>
      <rPr>
        <color rgb="FF1155CC"/>
        <sz val="11.0"/>
        <u/>
      </rPr>
      <t>hbtf.com</t>
    </r>
  </si>
  <si>
    <t>Arab Jordan Investment Bank (AJIB)</t>
  </si>
  <si>
    <r>
      <rPr>
        <color rgb="FF1155CC"/>
        <sz val="11.0"/>
        <u/>
      </rPr>
      <t>info@ajib.com</t>
    </r>
  </si>
  <si>
    <r>
      <rPr>
        <color rgb="FF1155CC"/>
        <sz val="11.0"/>
        <u/>
      </rPr>
      <t>ajib.com</t>
    </r>
  </si>
  <si>
    <t>INVESTBANK</t>
  </si>
  <si>
    <r>
      <rPr>
        <color rgb="FF1155CC"/>
        <sz val="11.0"/>
        <u/>
      </rPr>
      <t>info@investbank.jo</t>
    </r>
  </si>
  <si>
    <r>
      <rPr>
        <color rgb="FF1155CC"/>
        <sz val="11.0"/>
        <u/>
      </rPr>
      <t>investbank.jo</t>
    </r>
  </si>
  <si>
    <t>Bank al Etihad</t>
  </si>
  <si>
    <r>
      <rPr>
        <color rgb="FF1155CC"/>
        <sz val="11.0"/>
        <u/>
      </rPr>
      <t>info@bankaletihad.com</t>
    </r>
  </si>
  <si>
    <r>
      <rPr>
        <color rgb="FF1155CC"/>
        <sz val="11.0"/>
        <u/>
      </rPr>
      <t>bankaletihad.com</t>
    </r>
  </si>
  <si>
    <t>Islamic International Arab Bank</t>
  </si>
  <si>
    <r>
      <rPr>
        <color rgb="FF1155CC"/>
        <sz val="11.0"/>
        <u/>
      </rPr>
      <t>info@iiabank.com.jo</t>
    </r>
  </si>
  <si>
    <r>
      <rPr>
        <color rgb="FF1155CC"/>
        <sz val="11.0"/>
        <u/>
      </rPr>
      <t>iiabank.com.jo</t>
    </r>
  </si>
  <si>
    <t>Safwa Islamic Bank</t>
  </si>
  <si>
    <r>
      <rPr>
        <color rgb="FF1155CC"/>
        <sz val="11.0"/>
        <u/>
      </rPr>
      <t>info@safwabank.com</t>
    </r>
  </si>
  <si>
    <r>
      <rPr>
        <color rgb="FF1155CC"/>
        <sz val="11.0"/>
        <u/>
      </rPr>
      <t>safwabank.com</t>
    </r>
  </si>
  <si>
    <r>
      <rPr>
        <color rgb="FF1155CC"/>
        <sz val="11.0"/>
        <u/>
      </rPr>
      <t>info@sc.com</t>
    </r>
  </si>
  <si>
    <r>
      <rPr>
        <color rgb="FF1155CC"/>
        <sz val="11.0"/>
        <u/>
      </rPr>
      <t>sc.com</t>
    </r>
  </si>
  <si>
    <r>
      <rPr>
        <color rgb="FF1155CC"/>
        <sz val="11.0"/>
        <u/>
      </rPr>
      <t>info@citi.com</t>
    </r>
  </si>
  <si>
    <r>
      <rPr>
        <color rgb="FF1155CC"/>
        <sz val="11.0"/>
        <u/>
      </rPr>
      <t>citi.com</t>
    </r>
  </si>
  <si>
    <r>
      <rPr>
        <color rgb="FF1155CC"/>
        <sz val="11.0"/>
        <u/>
      </rPr>
      <t>info@rafidain.com</t>
    </r>
  </si>
  <si>
    <r>
      <rPr>
        <color rgb="FF1155CC"/>
        <sz val="11.0"/>
        <u/>
      </rPr>
      <t>rafidain.com</t>
    </r>
  </si>
  <si>
    <t>National Bank of Kuwait (NBK)</t>
  </si>
  <si>
    <r>
      <rPr>
        <color rgb="FF1155CC"/>
        <sz val="11.0"/>
        <u/>
      </rPr>
      <t>info@nbk.com.jo</t>
    </r>
  </si>
  <si>
    <r>
      <rPr>
        <color rgb="FF1155CC"/>
        <sz val="11.0"/>
        <u/>
      </rPr>
      <t>nbk.com</t>
    </r>
  </si>
  <si>
    <r>
      <rPr>
        <color rgb="FF1155CC"/>
        <sz val="11.0"/>
        <u/>
      </rPr>
      <t>info@blom.com.jo</t>
    </r>
  </si>
  <si>
    <r>
      <rPr>
        <color rgb="FF1155CC"/>
        <sz val="11.0"/>
        <u/>
      </rPr>
      <t>blom.com</t>
    </r>
  </si>
  <si>
    <r>
      <rPr>
        <color rgb="FF1155CC"/>
        <sz val="11.0"/>
        <u/>
      </rPr>
      <t>info@bankaudi.com.jo</t>
    </r>
  </si>
  <si>
    <r>
      <rPr>
        <color rgb="FF1155CC"/>
        <sz val="11.0"/>
        <u/>
      </rPr>
      <t>bankaudi.com</t>
    </r>
  </si>
  <si>
    <r>
      <rPr>
        <color rgb="FF1155CC"/>
        <sz val="11.0"/>
        <u/>
      </rPr>
      <t>info@alrajhi.com.jo</t>
    </r>
  </si>
  <si>
    <r>
      <rPr>
        <color rgb="FF1155CC"/>
        <sz val="11.0"/>
        <u/>
      </rPr>
      <t>alrajhi.com</t>
    </r>
  </si>
  <si>
    <t>🏢 Jordanian Software &amp; PropTech Companies – Contact Information</t>
  </si>
  <si>
    <t>Xeleration</t>
  </si>
  <si>
    <r>
      <rPr>
        <b/>
        <color rgb="FF1155CC"/>
        <sz val="14.0"/>
        <u/>
      </rPr>
      <t>info@xeleration.net</t>
    </r>
  </si>
  <si>
    <t>962 77 66 555 10</t>
  </si>
  <si>
    <r>
      <rPr>
        <b/>
        <color rgb="FF1155CC"/>
        <sz val="14.0"/>
        <u/>
      </rPr>
      <t>xeleration.net</t>
    </r>
  </si>
  <si>
    <t>Kensoftware</t>
  </si>
  <si>
    <r>
      <rPr>
        <b/>
        <color rgb="FF1155CC"/>
        <sz val="14.0"/>
        <u/>
      </rPr>
      <t>info@kensoftware.com</t>
    </r>
  </si>
  <si>
    <r>
      <rPr>
        <b/>
        <color rgb="FF1155CC"/>
        <sz val="14.0"/>
        <u/>
      </rPr>
      <t>kensoftware.com</t>
    </r>
  </si>
  <si>
    <t>Yadonia Group</t>
  </si>
  <si>
    <r>
      <rPr>
        <b/>
        <color rgb="FF1155CC"/>
        <sz val="14.0"/>
        <u/>
      </rPr>
      <t>yadonia.com</t>
    </r>
  </si>
  <si>
    <t>Imagine</t>
  </si>
  <si>
    <r>
      <rPr>
        <b/>
        <color rgb="FF1155CC"/>
        <sz val="14.0"/>
        <u/>
      </rPr>
      <t>imagine.com</t>
    </r>
  </si>
  <si>
    <t>Atomkit</t>
  </si>
  <si>
    <r>
      <rPr>
        <b/>
        <color rgb="FF1155CC"/>
        <sz val="14.0"/>
        <u/>
      </rPr>
      <t>atomkit.com</t>
    </r>
  </si>
  <si>
    <t>Foresite</t>
  </si>
  <si>
    <r>
      <rPr>
        <b/>
        <color rgb="FF1155CC"/>
        <sz val="14.0"/>
        <u/>
      </rPr>
      <t>foresite.com</t>
    </r>
  </si>
  <si>
    <t>Hyperlink InfoSystem</t>
  </si>
  <si>
    <r>
      <rPr>
        <b/>
        <color rgb="FF1155CC"/>
        <sz val="14.0"/>
        <u/>
      </rPr>
      <t>hyperlinkinfosystem.com</t>
    </r>
  </si>
  <si>
    <t>Mediaplus</t>
  </si>
  <si>
    <r>
      <rPr>
        <b/>
        <color rgb="FF1155CC"/>
        <sz val="14.0"/>
        <u/>
      </rPr>
      <t>mediaplus.com</t>
    </r>
  </si>
  <si>
    <t>Safeer for Information Technology</t>
  </si>
  <si>
    <t>Not specified</t>
  </si>
  <si>
    <t>Eskadenia Software Co.</t>
  </si>
  <si>
    <t>Jordan Expo companies</t>
  </si>
  <si>
    <t>National Paints</t>
  </si>
  <si>
    <t>npfcl@nationalpaints.com</t>
  </si>
  <si>
    <t>971 6 5130000</t>
  </si>
  <si>
    <t>nationalpaints.com</t>
  </si>
  <si>
    <t>United Arab Emirates​</t>
  </si>
  <si>
    <t>National Paints Factory Company</t>
  </si>
  <si>
    <t>962 6 479 0790</t>
  </si>
  <si>
    <t>www.nationalpaints.com</t>
  </si>
  <si>
    <t>Amman 11592, Jordan</t>
  </si>
  <si>
    <t xml:space="preserve">
JFEMA (Jordan Furniture Exporters and Manufacturers Association)</t>
  </si>
  <si>
    <t>info@jfema.org</t>
  </si>
  <si>
    <t>962 6 562 6644</t>
  </si>
  <si>
    <t>ECO Jordan</t>
  </si>
  <si>
    <t>info@eco-jordan.com</t>
  </si>
  <si>
    <t>962 6 565 4680</t>
  </si>
  <si>
    <t>eco-jordan.com</t>
  </si>
  <si>
    <t>AQLU Ceramic</t>
  </si>
  <si>
    <t>info@aqlu.jo</t>
  </si>
  <si>
    <t>962 6 402 1946</t>
  </si>
  <si>
    <t>aqlu.jo</t>
  </si>
  <si>
    <t>Al Ajma</t>
  </si>
  <si>
    <t>info@alajmaljo.com</t>
  </si>
  <si>
    <t>962 6 402 0530</t>
  </si>
  <si>
    <t>alajmaljo.com</t>
  </si>
  <si>
    <t>SABA Engineering</t>
  </si>
  <si>
    <t>info@sabaeng.com</t>
  </si>
  <si>
    <t>962 6 562 5015</t>
  </si>
  <si>
    <t>https://www.sabaeng.com/</t>
  </si>
  <si>
    <t>Marsina</t>
  </si>
  <si>
    <t xml:space="preserve">	marsina@marsina.net</t>
  </si>
  <si>
    <t>962 6 420 1466</t>
  </si>
  <si>
    <r>
      <rPr>
        <rFont val="Roboto"/>
        <b/>
        <sz val="13.0"/>
      </rPr>
      <t xml:space="preserve">	</t>
    </r>
    <r>
      <rPr>
        <rFont val="Roboto"/>
        <b/>
        <color rgb="FF1155CC"/>
        <sz val="13.0"/>
        <u/>
      </rPr>
      <t>marsina.net</t>
    </r>
  </si>
  <si>
    <t>EEC Group</t>
  </si>
  <si>
    <t>info@eecgroup.com</t>
  </si>
  <si>
    <t>20 2 2578 1147 (Egypt HQ)</t>
  </si>
  <si>
    <t>https://eecgroup.com/</t>
  </si>
  <si>
    <t xml:space="preserve"> </t>
  </si>
  <si>
    <t>Al-Mazar Engineering</t>
  </si>
  <si>
    <r>
      <rPr>
        <color rgb="FF1155CC"/>
        <u/>
      </rPr>
      <t>info@almazarengineering.com</t>
    </r>
  </si>
  <si>
    <t>962 6 552 7204 / +962 6 553 7311</t>
  </si>
  <si>
    <t>www.almazarengineering.com</t>
  </si>
  <si>
    <t>Um Al-Sumaq, Amman, Jordan</t>
  </si>
  <si>
    <t>Leptos Estates</t>
  </si>
  <si>
    <t xml:space="preserve"> info@leptosestates.com</t>
  </si>
  <si>
    <t>Jordan Office:962 79 816 5299Head Office (Cyprus):357 26 880 100</t>
  </si>
  <si>
    <t>https://www.leptosestates.com/</t>
  </si>
  <si>
    <t>Al Abdali (Abdali Investment &amp; Development PSC)</t>
  </si>
  <si>
    <t>Al Allaf Industrial Establishment</t>
  </si>
  <si>
    <t xml:space="preserve"> info@alallaf.com</t>
  </si>
  <si>
    <t>Queen Alia Airport Road, Amman, Jordan​</t>
  </si>
  <si>
    <t>SWORD Ceramic</t>
  </si>
  <si>
    <t>swordintrl@gmail.com</t>
  </si>
  <si>
    <t>91 75675 67594 / +91 75750 03333</t>
  </si>
  <si>
    <r>
      <rPr>
        <rFont val="Roboto"/>
        <b/>
        <sz val="13.0"/>
      </rPr>
      <t xml:space="preserve"> </t>
    </r>
    <r>
      <rPr>
        <rFont val="Roboto"/>
        <b/>
        <color rgb="FF1155CC"/>
        <sz val="13.0"/>
        <u/>
      </rPr>
      <t>swordceramic.com</t>
    </r>
  </si>
  <si>
    <t>Gujarat, India​</t>
  </si>
  <si>
    <t>Hawilux Paint Industrial Company-PARS ALVAN</t>
  </si>
  <si>
    <t xml:space="preserve">info@hawilux.com </t>
  </si>
  <si>
    <t>021-55269011</t>
  </si>
  <si>
    <t>www.hawilux.com</t>
  </si>
  <si>
    <t>Tehran, Iran</t>
  </si>
  <si>
    <t xml:space="preserve"> PETRONAS</t>
  </si>
  <si>
    <t xml:space="preserve"> supplier.servicedesk@petronas.com ​</t>
  </si>
  <si>
    <t>60 3 2051 5000</t>
  </si>
  <si>
    <t>www.petronas.com</t>
  </si>
  <si>
    <t xml:space="preserve">Kuala Lumpur, Malaysia </t>
  </si>
  <si>
    <t>IPS International Properrty Show  2025</t>
  </si>
  <si>
    <t>Kleindienst Group</t>
  </si>
  <si>
    <t>BEYOND Developments</t>
  </si>
  <si>
    <t>https://beyonddevelopments.ae/en/contact-us</t>
  </si>
  <si>
    <t>Union Properties PJSC</t>
  </si>
  <si>
    <t>contactdesk@up.ae</t>
  </si>
  <si>
    <t>https://up.ae/contact-us/</t>
  </si>
  <si>
    <t>Danube Properties</t>
  </si>
  <si>
    <t>Reportage Properties</t>
  </si>
  <si>
    <t>Sobha Realty</t>
  </si>
  <si>
    <t>BinGhatti Properties</t>
  </si>
  <si>
    <t>Samana Group</t>
  </si>
  <si>
    <t>National Association of Realtors India (NAR India)</t>
  </si>
  <si>
    <t>0091 801 706 0037
0091 6366 729 911</t>
  </si>
  <si>
    <t>manager@narindia.com    directorgeneral@narindia.com</t>
  </si>
  <si>
    <t>https://www.narindia.org/contact.php</t>
  </si>
  <si>
    <t>Peace Homes Development</t>
  </si>
  <si>
    <t>971 800 732 234 663</t>
  </si>
  <si>
    <t>info@peacehomes.ae</t>
  </si>
  <si>
    <r>
      <rPr>
        <rFont val="Roboto"/>
        <b/>
        <color rgb="FF434343"/>
        <sz val="9.0"/>
      </rPr>
      <t xml:space="preserve">peacehomesdevelopment.com​
</t>
    </r>
    <r>
      <rPr>
        <rFont val="Roboto"/>
        <b/>
        <color rgb="FF1155CC"/>
        <sz val="9.0"/>
        <u/>
      </rPr>
      <t>peacehomesdevelopment.com</t>
    </r>
  </si>
  <si>
    <t>Misr Italia properties</t>
  </si>
  <si>
    <t>info@misritaliaproperties.com</t>
  </si>
  <si>
    <t>https://www.misritaliaproperties.com/contact-us</t>
  </si>
  <si>
    <t xml:space="preserve">Majid Al Futtaim Group
</t>
  </si>
  <si>
    <t>Phone: +971 4 294 9999</t>
  </si>
  <si>
    <t>info@majidalfuttaim.com</t>
  </si>
  <si>
    <t>Headquarters Address: Tower 1, 10th Floor, City Centre Deira Complex, P.O. Box 91100, Dubai, United Arab Emirates www.majidalfuttaim.com​</t>
  </si>
  <si>
    <t xml:space="preserve">Better Homes LLC
</t>
  </si>
  <si>
    <t>Phone: +971 600 522233</t>
  </si>
  <si>
    <t>customercare@bhomes.com</t>
  </si>
  <si>
    <t>Head Office Address: Vision Tower, 42nd Floor, Business Bay, Dubai, UAE
Website: www.bhomes.com​</t>
  </si>
  <si>
    <t>AMRA Real Estate</t>
  </si>
  <si>
    <t>CEO: Dr. Talal Kourdi</t>
  </si>
  <si>
    <t xml:space="preserve">Phone: +971 58 547 9399
</t>
  </si>
  <si>
    <t>info@amra.ae</t>
  </si>
  <si>
    <t>Website: amra.ae
Instagram: @amra_real_estate</t>
  </si>
  <si>
    <t>Al Ruwad Real Estate</t>
  </si>
  <si>
    <t>Ismail Al Hammadi</t>
  </si>
  <si>
    <t>Phone: +971 4 343 0111</t>
  </si>
  <si>
    <t>info@alruwad.ae</t>
  </si>
  <si>
    <t>Website: www.alruwad.ae​</t>
  </si>
  <si>
    <t xml:space="preserve">Transguard Group </t>
  </si>
  <si>
    <t xml:space="preserve">
</t>
  </si>
  <si>
    <t>Phone: +971 4 703 0500   Fax: +971 4 299 5664</t>
  </si>
  <si>
    <t>info@transguardgroup.com</t>
  </si>
  <si>
    <t>Website: transguardgroup.com​</t>
  </si>
  <si>
    <t>Vesta Prime Portal Co. LLC</t>
  </si>
  <si>
    <t>Phone: +971 55 986 8387</t>
  </si>
  <si>
    <t xml:space="preserve"> info@vestatechnical.ae</t>
  </si>
  <si>
    <t>Address: Schon Business Park, Zone B, Office #343, Dubai Investment Park-1, Dubai, UAE
Website: vestatechnical.ae​</t>
  </si>
  <si>
    <t>Obermeyer Middle East GMBH</t>
  </si>
  <si>
    <t>international@obermeyer-group.com</t>
  </si>
  <si>
    <t>Website: www.obermeyer-ae.com​</t>
  </si>
  <si>
    <t>AKN Properties</t>
  </si>
  <si>
    <t>Abdulla Kazim AlNuaimi</t>
  </si>
  <si>
    <t>00971 52 418 8558</t>
  </si>
  <si>
    <t xml:space="preserve"> info@aknproperties.com</t>
  </si>
  <si>
    <t>Office Location
AKN Properties
Office 802, Yes Business Tower
Al Barsha 1, Street 13
Dubai, UAE</t>
  </si>
  <si>
    <t>Aldura Estates</t>
  </si>
  <si>
    <t>Roula Sabouni</t>
  </si>
  <si>
    <t>971 (4) 268 8180</t>
  </si>
  <si>
    <t>info@aludra.ae</t>
  </si>
  <si>
    <t>https://www.aludra.ae/listing/luxury-properties</t>
  </si>
  <si>
    <t>Safar Holding</t>
  </si>
  <si>
    <t>91 484 2346292</t>
  </si>
  <si>
    <t xml:space="preserve"> info@safarholdings.in</t>
  </si>
  <si>
    <t>www.safarholdings.in</t>
  </si>
  <si>
    <t>​Amirah Developments</t>
  </si>
  <si>
    <t>https://amirah.ae/</t>
  </si>
  <si>
    <t>Connect AI Solutions</t>
  </si>
  <si>
    <t>0044 7534 583222</t>
  </si>
  <si>
    <t>connectaisolutions.co.uk</t>
  </si>
  <si>
    <t>Relata</t>
  </si>
  <si>
    <t>91 9970733525</t>
  </si>
  <si>
    <t>relata.io</t>
  </si>
  <si>
    <t>Leadrat CRM</t>
  </si>
  <si>
    <t>91 82 82 92 92 92</t>
  </si>
  <si>
    <t xml:space="preserve"> leadrat.com</t>
  </si>
  <si>
    <t>Ossamo Building</t>
  </si>
  <si>
    <t>The Eusse Group</t>
  </si>
  <si>
    <t>1 (786) 443-0017</t>
  </si>
  <si>
    <t>https://theeussegroup.com/</t>
  </si>
  <si>
    <t xml:space="preserve"> ThinkProp Real Estate Training</t>
  </si>
  <si>
    <t>971 2 444 6248</t>
  </si>
  <si>
    <t xml:space="preserve"> learn.thinkprop.ae​</t>
  </si>
  <si>
    <t>Swift Brokers</t>
  </si>
  <si>
    <t>960 7515078​</t>
  </si>
  <si>
    <t>swiftbrokers.co</t>
  </si>
  <si>
    <t>GRPFZC</t>
  </si>
  <si>
    <t>Phone: +971 50 394 5000-Office: +971 (4) 363 6846​</t>
  </si>
  <si>
    <t>grpfzc.com</t>
  </si>
  <si>
    <t xml:space="preserve">Homzly </t>
  </si>
  <si>
    <t>971 4 580 0000</t>
  </si>
  <si>
    <t>homzly.com</t>
  </si>
  <si>
    <t>Innovation Real Estate Institue Contact Info</t>
  </si>
  <si>
    <t>Phone: +971 4 239 3910​
Mobile: +971 50 929 9734​</t>
  </si>
  <si>
    <r>
      <rPr/>
      <t xml:space="preserve"> </t>
    </r>
    <r>
      <rPr>
        <color rgb="FF1155CC"/>
        <u/>
      </rPr>
      <t>www.ierei.ae</t>
    </r>
  </si>
  <si>
    <t>Deyaar Development PJSC</t>
  </si>
  <si>
    <t>International: +971 4 384 0950​</t>
  </si>
  <si>
    <t>971 4 395 7700-00971800339227</t>
  </si>
  <si>
    <t>https://www.deyaar.ae/</t>
  </si>
  <si>
    <t>Visionary Real Estate Dubai</t>
  </si>
  <si>
    <t>LinkedIn: VisionARY Real Estate
Instagram: @visionary_re
Facebook: Visionary RE | Dubai
X (formerly Twitter): @Visionary_uae​</t>
  </si>
  <si>
    <t xml:space="preserve">971 4 323 9293
971 50 524 6714
971 52 810 4808 </t>
  </si>
  <si>
    <t>https://www.vision-ary.com/</t>
  </si>
  <si>
    <t>​ME DO RE Properties DMCC</t>
  </si>
  <si>
    <t>https://medore.ae/</t>
  </si>
  <si>
    <t xml:space="preserve">​Union Square House Real Estate (USHRE) </t>
  </si>
  <si>
    <r>
      <rPr>
        <rFont val="Roboto"/>
        <b/>
        <color rgb="FF434343"/>
        <sz val="9.0"/>
      </rPr>
      <t xml:space="preserve"> </t>
    </r>
    <r>
      <rPr>
        <rFont val="Roboto"/>
        <b/>
        <color rgb="FF1155CC"/>
        <sz val="9.0"/>
        <u/>
      </rPr>
      <t>ushre.com</t>
    </r>
  </si>
  <si>
    <t>Invest in Georgia</t>
  </si>
  <si>
    <t>995 32 296 00 10</t>
  </si>
  <si>
    <t>enquiry@investingeorgia.org--info@enterprise.gov.ge</t>
  </si>
  <si>
    <t>https://www.investingeorgia.org/</t>
  </si>
  <si>
    <t xml:space="preserve">Name of Broker/Title </t>
  </si>
  <si>
    <t xml:space="preserve"> Ileana Bogaert </t>
  </si>
  <si>
    <t>(RE/MAX Affinity Plus / Bogaert’s International Realty​)</t>
  </si>
  <si>
    <t>(239) 248-4794​</t>
  </si>
  <si>
    <t>ileana@bogaertsinternational.com</t>
  </si>
  <si>
    <t>http://ileanabogaertrealtor.com/</t>
  </si>
  <si>
    <t>Dezda Finn​-Title: Designated Broker / Owner</t>
  </si>
  <si>
    <t>Dezda Finn Properties, LLC</t>
  </si>
  <si>
    <t>dezda@dezdafinn.com</t>
  </si>
  <si>
    <t>https://www.dezdafinn.com/</t>
  </si>
  <si>
    <t xml:space="preserve"> Ludy Yorlett Moreno Title: Founder &amp; CEO</t>
  </si>
  <si>
    <t>Belhouse Real Estate, LLC</t>
  </si>
  <si>
    <t>(305) 921-9789</t>
  </si>
  <si>
    <t>ludy@ludymoreno.com</t>
  </si>
  <si>
    <t>www.belhousere.com</t>
  </si>
  <si>
    <t>Mayelin Mattig-Real Estate Sales Associate</t>
  </si>
  <si>
    <t>Phone: (786) 706-8752
Mobile: (305) 244-9193</t>
  </si>
  <si>
    <t>Name: Denise Williams- Founder &amp; CEO
Zillow Profile: Denise Williams on Zillow</t>
  </si>
  <si>
    <t>Williams &amp; Co International Realty, LLC</t>
  </si>
  <si>
    <t xml:space="preserve">
(404) 437-7253</t>
  </si>
  <si>
    <t>www.iamdenisewilliams.com</t>
  </si>
  <si>
    <t xml:space="preserve">Alexis Bolin-Title: Broker Associate
</t>
  </si>
  <si>
    <t>Keller Williams Realty Gulf Coast</t>
  </si>
  <si>
    <t>(850) 572-4102</t>
  </si>
  <si>
    <t>alexis.bolingroup@gmail.com</t>
  </si>
  <si>
    <t>alexissellshomes.com</t>
  </si>
  <si>
    <t>Madhura Naik-Title: Sales Manager</t>
  </si>
  <si>
    <t>IHOME Real Estate Brokerage L.L.C</t>
  </si>
  <si>
    <t>00971 54 247 6135
Office Phone: +971 4 818 6700</t>
  </si>
  <si>
    <t>z</t>
  </si>
  <si>
    <t>Lynnette Sacchetto-Title: Founder &amp; CEO</t>
  </si>
  <si>
    <t>RealTrust UAE</t>
  </si>
  <si>
    <t>00971 4 818 6700</t>
  </si>
  <si>
    <t>www.realtrustuae.com​</t>
  </si>
  <si>
    <t>Sergei Sokolov-Title: Licensed Realtor</t>
  </si>
  <si>
    <t>Michael Saunders &amp; Company</t>
  </si>
  <si>
    <t>(941) 841-0493</t>
  </si>
  <si>
    <t>Salwa Arfaoui-Title: Regional Director</t>
  </si>
  <si>
    <t>Next Level Real Estate</t>
  </si>
  <si>
    <t xml:space="preserve">971 55 107 4321
</t>
  </si>
  <si>
    <t xml:space="preserve"> salwa@nextlevelrealestate.ae</t>
  </si>
  <si>
    <t>Office Address: 1505, Opal Tower, Burj Khalifa Boulevard, Business Bay, Dubai, UAE​</t>
  </si>
  <si>
    <t xml:space="preserve"> Tsui Ying (Judy) Hsu-Title: Associate Real Estate Broker
Zillow Profile: Tsui Ying (Judy) Hsu on Zillow</t>
  </si>
  <si>
    <t>Douglas Elliman Real Estate</t>
  </si>
  <si>
    <t>Direct Phone: (516) 695-8024
Office Phone: (516) 307-9406</t>
  </si>
  <si>
    <t>judy.hsu@compass.com</t>
  </si>
  <si>
    <t>Office Address: 130 Seventh Street, Garden City, NY 11530</t>
  </si>
  <si>
    <t xml:space="preserve">Aryanna Pineda-Title: Real Estate Broker Associate
</t>
  </si>
  <si>
    <t>Keller Williams Realty International Lifestyles</t>
  </si>
  <si>
    <t>Phone: (754) 235-8569</t>
  </si>
  <si>
    <t>aryannamiamirealtor@outlook.com</t>
  </si>
  <si>
    <t>Office Address: 10900 NW 25th St, Suite #200, Miami, FL 33172
Website: aryannapineda.kw.com</t>
  </si>
  <si>
    <t>Michelle Rojas-Title: Broker-Associate</t>
  </si>
  <si>
    <t>Mobile Phone: (305) 562-7751
Office Phone: (786) 615-6761</t>
  </si>
  <si>
    <t>michelle@michellerojas.net</t>
  </si>
  <si>
    <r>
      <rPr>
        <rFont val="Roboto"/>
        <b/>
        <color rgb="FF1155CC"/>
        <sz val="9.0"/>
        <u/>
      </rPr>
      <t>mc1123.yourkwoffice.com</t>
    </r>
    <r>
      <rPr>
        <rFont val="Roboto"/>
        <b/>
        <color rgb="FF434343"/>
        <sz val="9.0"/>
      </rPr>
      <t xml:space="preserve">
Office Address: 10900 NW 25th Street, Suite #200, Miami, FL 33172</t>
    </r>
  </si>
  <si>
    <t xml:space="preserve"> Claudia Patricia Eusse-Title: CEO &amp; Founder</t>
  </si>
  <si>
    <t>001 (786) 443-0017</t>
  </si>
  <si>
    <t>contact@cayhacoaching.us</t>
  </si>
  <si>
    <t>Office Address: 12555 Biscayne Blvd, Suite 1203, North Miami, FL 33181
cayhacoaching.us</t>
  </si>
  <si>
    <t xml:space="preserve">Mohamed Shakir-Title: Property Consultant
</t>
  </si>
  <si>
    <t>High-End Properties</t>
  </si>
  <si>
    <t>971 58 548 2531-971 4 276 6491</t>
  </si>
  <si>
    <t xml:space="preserve"> M.shakir@hedubai.com</t>
  </si>
  <si>
    <t>hedubai.com</t>
  </si>
  <si>
    <t xml:space="preserve">Claudia Patricia Eusse-Title: CEO &amp; Founder
</t>
  </si>
  <si>
    <t xml:space="preserve"> The Eusse Group</t>
  </si>
  <si>
    <t>Phone: +1 (786) 443-0017</t>
  </si>
  <si>
    <t>claudia@theeussegroupl.com</t>
  </si>
  <si>
    <t>Office Address: 12725 Ixora Road, Miami, FL 33181
Website: theeussegroup.com​</t>
  </si>
  <si>
    <t xml:space="preserve">GG Benitez-Title: Founder, 
</t>
  </si>
  <si>
    <t>GG Benitez International</t>
  </si>
  <si>
    <t>Phone: +1 (619) 339-7978</t>
  </si>
  <si>
    <t>info@ggbenitezinternational.com</t>
  </si>
  <si>
    <t>Office Address: 10755F Scripps Poway Parkway, Suite #537, San Diego, CA 92131, USA
Website: ggbenitezinternational.com​
GG Benitez Real Estate</t>
  </si>
  <si>
    <t xml:space="preserve">Christina Castillo – Seattle, WA
</t>
  </si>
  <si>
    <t>Brokerage: Ensemble</t>
  </si>
  <si>
    <t xml:space="preserve"> (206) 354-6961</t>
  </si>
  <si>
    <t>christina@ensemblepnw.com</t>
  </si>
  <si>
    <r>
      <rPr>
        <rFont val="Roboto"/>
        <b/>
        <color rgb="FF434343"/>
        <sz val="9.0"/>
      </rPr>
      <t xml:space="preserve">Office Address: 4311 11th Ave NE, Suite 500, Seattle, WA 98105
Website: </t>
    </r>
    <r>
      <rPr>
        <rFont val="Roboto"/>
        <b/>
        <color rgb="FF1155CC"/>
        <sz val="9.0"/>
        <u/>
      </rPr>
      <t>ensemblepnw.com</t>
    </r>
  </si>
  <si>
    <t xml:space="preserve">Broker &amp; Founder of Aldura Estates </t>
  </si>
  <si>
    <t>Phone: +971 52 864 1116</t>
  </si>
  <si>
    <t xml:space="preserve"> rs@investdubai.de</t>
  </si>
  <si>
    <r>
      <rPr>
        <rFont val="Roboto"/>
        <b/>
        <color rgb="FF434343"/>
        <sz val="9.0"/>
      </rPr>
      <t xml:space="preserve">Website: </t>
    </r>
    <r>
      <rPr>
        <rFont val="Roboto"/>
        <b/>
        <color rgb="FF1155CC"/>
        <sz val="9.0"/>
        <u/>
      </rPr>
      <t>www.aludra.ae</t>
    </r>
    <r>
      <rPr>
        <rFont val="Roboto"/>
        <b/>
        <color rgb="FF434343"/>
        <sz val="9.0"/>
      </rPr>
      <t xml:space="preserve">      LinkedIn: Roula Saboun</t>
    </r>
  </si>
  <si>
    <t xml:space="preserve"> Dr. Talal Kourdi​</t>
  </si>
  <si>
    <t>nstagram: @talal_kourdi
LinkedIn: Dr. Talal Kourdi​</t>
  </si>
  <si>
    <t>Abdulla Kazim Nasser Alnuaimi</t>
  </si>
  <si>
    <t>971 52 418 8558</t>
  </si>
  <si>
    <t xml:space="preserve">info@aknproperties.com
Instagram: @akn_properties
LinkedIn: Abdulla AlNuaimi​
</t>
  </si>
  <si>
    <t>Ana Zecca-Broker-Owner</t>
  </si>
  <si>
    <t xml:space="preserve"> Zecca Realty Group, LLC</t>
  </si>
  <si>
    <t xml:space="preserve">Phone: +1 (305) 528-6700
</t>
  </si>
  <si>
    <t>anazecca@gmail.com</t>
  </si>
  <si>
    <r>
      <rPr>
        <rFont val="Roboto"/>
        <b/>
        <color rgb="FF434343"/>
        <sz val="9.0"/>
      </rPr>
      <t xml:space="preserve">Website: zeccarealtygroup.com​
</t>
    </r>
    <r>
      <rPr>
        <rFont val="Roboto"/>
        <b/>
        <color rgb="FF1155CC"/>
        <sz val="9.0"/>
        <u/>
      </rPr>
      <t>Homes.com</t>
    </r>
  </si>
  <si>
    <t xml:space="preserve">Real Estate Future Forum  - منتدی مستقبل العقار </t>
  </si>
  <si>
    <t xml:space="preserve">Diriyah Company </t>
  </si>
  <si>
    <t>966 92 0021 727</t>
  </si>
  <si>
    <t>Adel Real Estate</t>
  </si>
  <si>
    <t>info@adelrealestate.com</t>
  </si>
  <si>
    <t xml:space="preserve">AL Othaim </t>
  </si>
  <si>
    <t>966 1147 55777</t>
  </si>
  <si>
    <t>info@othaim.sa</t>
  </si>
  <si>
    <t>Damanat – The Saudi Mortgage Guarantees Services</t>
  </si>
  <si>
    <r>
      <rPr>
        <b/>
        <color rgb="FF1155CC"/>
        <sz val="15.0"/>
        <u/>
      </rPr>
      <t>info@damanat.com.sa</t>
    </r>
  </si>
  <si>
    <t>Malath Insurance</t>
  </si>
  <si>
    <t>966 9200 15815</t>
  </si>
  <si>
    <t>infomalathinsurance@gmail.com</t>
  </si>
  <si>
    <t>Liwan</t>
  </si>
  <si>
    <r>
      <rPr>
        <rFont val="jali, sans-serif"/>
        <b/>
        <color rgb="FF1155CC"/>
        <sz val="15.0"/>
        <u/>
      </rPr>
      <t>info@liwan.sa</t>
    </r>
  </si>
  <si>
    <t>First avenue REal Estate development</t>
  </si>
  <si>
    <r>
      <rPr>
        <b/>
        <color rgb="FF1155CC"/>
        <sz val="15.0"/>
        <u/>
      </rPr>
      <t>info@the1stavenue.com</t>
    </r>
  </si>
  <si>
    <t xml:space="preserve">Watheeq Capital </t>
  </si>
  <si>
    <t>info@watheeq.com</t>
  </si>
  <si>
    <r>
      <rPr>
        <rFont val="&quot;Google Sans&quot;, Arial, sans-serif"/>
        <b/>
        <color rgb="FF000000"/>
        <sz val="15.0"/>
        <u/>
      </rPr>
      <t>Aseer Region Development Authority</t>
    </r>
  </si>
  <si>
    <r>
      <rPr>
        <b/>
        <color rgb="FF1155CC"/>
        <sz val="15.0"/>
        <u/>
      </rPr>
      <t>info@asda.gov.sa</t>
    </r>
  </si>
  <si>
    <t>Wathbah investment</t>
  </si>
  <si>
    <t>info@wathbah.sa/en</t>
  </si>
  <si>
    <t xml:space="preserve">Roaya </t>
  </si>
  <si>
    <t>info@roaya.com.sa</t>
  </si>
  <si>
    <t>AL Andalus Property</t>
  </si>
  <si>
    <t>mail@alandalus.com.sa</t>
  </si>
  <si>
    <t xml:space="preserve">Pankingdom Real Esate company </t>
  </si>
  <si>
    <t>Sales@pankingdom.com</t>
  </si>
  <si>
    <t>Taiba investments</t>
  </si>
  <si>
    <t>info@taiba.com.sa</t>
  </si>
  <si>
    <t xml:space="preserve">Shomoul </t>
  </si>
  <si>
    <t>info@shomoul.com.sa</t>
  </si>
  <si>
    <t xml:space="preserve">AL Fozan Holding </t>
  </si>
  <si>
    <r>
      <rPr>
        <b/>
        <color rgb="FF1155CC"/>
        <sz val="15.0"/>
        <u/>
      </rPr>
      <t>info@alfozan.com</t>
    </r>
  </si>
  <si>
    <t xml:space="preserve">Mabanee </t>
  </si>
  <si>
    <r>
      <rPr>
        <b/>
        <color rgb="FF1155CC"/>
        <sz val="15.0"/>
        <u/>
      </rPr>
      <t>info@mabanee.com</t>
    </r>
  </si>
  <si>
    <t>Abaad - ابعاد للتقییم العقاریي</t>
  </si>
  <si>
    <t>966 550549141</t>
  </si>
  <si>
    <t>info@sa-abaad.com</t>
  </si>
  <si>
    <t xml:space="preserve">Rafen Real Estate </t>
  </si>
  <si>
    <t>966 11 203 4077</t>
  </si>
  <si>
    <t>info@rafen.com.sa</t>
  </si>
  <si>
    <t>Menassat Reality Company</t>
  </si>
  <si>
    <t>khaledalmobid@gomenassat.com</t>
  </si>
  <si>
    <t>City EDGE Developments</t>
  </si>
  <si>
    <t>marketing@ced-eg.com</t>
  </si>
  <si>
    <t>Tatweer misr</t>
  </si>
  <si>
    <t>00 20 16044</t>
  </si>
  <si>
    <r>
      <rPr>
        <b/>
        <color rgb="FF1155CC"/>
        <sz val="15.0"/>
        <u/>
      </rPr>
      <t>info@adelrealestate.com</t>
    </r>
  </si>
  <si>
    <t xml:space="preserve">Mazaya Developments </t>
  </si>
  <si>
    <r>
      <rPr>
        <rFont val="Montserrat, sans-serif"/>
        <b/>
        <color rgb="FFFF9900"/>
        <sz val="15.0"/>
      </rPr>
      <t>General contacts /</t>
    </r>
    <r>
      <rPr>
        <rFont val="Montserrat, sans-serif"/>
        <b/>
        <color rgb="FF000000"/>
        <sz val="15.0"/>
      </rPr>
      <t xml:space="preserve">/ info@mazayadevelopments.com
</t>
    </r>
    <r>
      <rPr>
        <rFont val="Montserrat, sans-serif"/>
        <b/>
        <color rgb="FFFF9900"/>
        <sz val="15.0"/>
      </rPr>
      <t>HR //</t>
    </r>
    <r>
      <rPr>
        <rFont val="Montserrat, sans-serif"/>
        <b/>
        <color rgb="FF000000"/>
        <sz val="15.0"/>
      </rPr>
      <t xml:space="preserve"> hr@mazayadevelopments.com
</t>
    </r>
    <r>
      <rPr>
        <rFont val="Montserrat, sans-serif"/>
        <b/>
        <color rgb="FFFF9900"/>
        <sz val="15.0"/>
      </rPr>
      <t xml:space="preserve">Partners // </t>
    </r>
    <r>
      <rPr>
        <rFont val="Montserrat, sans-serif"/>
        <b/>
        <color rgb="FF000000"/>
        <sz val="15.0"/>
      </rPr>
      <t xml:space="preserve">partners@mazayadevelopments.com
</t>
    </r>
    <r>
      <rPr>
        <rFont val="Montserrat, sans-serif"/>
        <b/>
        <color rgb="FFFF9900"/>
        <sz val="15.0"/>
      </rPr>
      <t>Marketing //</t>
    </r>
    <r>
      <rPr>
        <rFont val="Montserrat, sans-serif"/>
        <b/>
        <color rgb="FF000000"/>
        <sz val="15.0"/>
      </rPr>
      <t xml:space="preserve"> marketing@mazayadevelopments.com</t>
    </r>
  </si>
  <si>
    <t xml:space="preserve">novara Developments </t>
  </si>
  <si>
    <t>info@novaradevelopment.com</t>
  </si>
  <si>
    <t xml:space="preserve">Reportage Egypt Real Estate Developments </t>
  </si>
  <si>
    <t>info@reportageuae.com -  marketing@reportageeg.com</t>
  </si>
  <si>
    <t>serac Developments</t>
  </si>
  <si>
    <t>20 109 930 9523</t>
  </si>
  <si>
    <t>Marseilia Grou</t>
  </si>
  <si>
    <t>sales.team@marseilia.com</t>
  </si>
  <si>
    <t>Maqam Misr</t>
  </si>
  <si>
    <t>Info@maqammisr.com</t>
  </si>
  <si>
    <t>orbit developments</t>
  </si>
  <si>
    <t>info@orbitdevelopments.com.eg</t>
  </si>
  <si>
    <t>New plan Developments</t>
  </si>
  <si>
    <t>info@newplandevelopments.com</t>
  </si>
  <si>
    <t xml:space="preserve">Ebny Developments </t>
  </si>
  <si>
    <t>marketing@ebny.com.eg</t>
  </si>
  <si>
    <t xml:space="preserve">N Developments </t>
  </si>
  <si>
    <t>Info@n-developments.com</t>
  </si>
  <si>
    <t xml:space="preserve">City Scape Exhibitors List </t>
  </si>
  <si>
    <t>Emailed?</t>
  </si>
  <si>
    <t>Aamal Al-Jood Real Estate Company</t>
  </si>
  <si>
    <t>Abdullah Abdullah Al Saab Real Estate Company</t>
  </si>
  <si>
    <t>966 114816666</t>
  </si>
  <si>
    <t>Abdulrahman Saad AlRashed and Sons Co. and Artar</t>
  </si>
  <si>
    <t>966-11-4646111</t>
  </si>
  <si>
    <t>artar@artar.com.sa</t>
  </si>
  <si>
    <t>Thakher Development Company</t>
  </si>
  <si>
    <t>info@thakher.com.sa</t>
  </si>
  <si>
    <t>MISK City</t>
  </si>
  <si>
    <t>966 55 049 1460</t>
  </si>
  <si>
    <t>contact@misk.org.sa</t>
  </si>
  <si>
    <t>Masar</t>
  </si>
  <si>
    <t>info@ummalqura.com.sa</t>
  </si>
  <si>
    <t>KAFD ( King Abdullah Financial District)</t>
  </si>
  <si>
    <t>966 920000247</t>
  </si>
  <si>
    <t>helpdesk@kafd.sa</t>
  </si>
  <si>
    <t>Knowledge Economic City KEC</t>
  </si>
  <si>
    <t>966 12 610 6700</t>
  </si>
  <si>
    <t>info@ecza.gov.sa</t>
  </si>
  <si>
    <t>Ajdan Real Estate Development</t>
  </si>
  <si>
    <t>920 000 658</t>
  </si>
  <si>
    <t>info@ajdan.com</t>
  </si>
  <si>
    <t>Tilal Real Estate Company</t>
  </si>
  <si>
    <t>info@tilalre.com</t>
  </si>
  <si>
    <t>Nojoom Alsalam Company for Real Estate Investment and Development</t>
  </si>
  <si>
    <t xml:space="preserve"> info@nag.com.sa</t>
  </si>
  <si>
    <t>Azdan Real Estate Development &amp; Investment Company</t>
  </si>
  <si>
    <t>Thimarya Commercial Investment Company</t>
  </si>
  <si>
    <t>info@thimarya.sa</t>
  </si>
  <si>
    <t>Tazayud Real Estate</t>
  </si>
  <si>
    <t>92002 44 21</t>
  </si>
  <si>
    <t>info@Tazayud.sa</t>
  </si>
  <si>
    <t>Mountain View KSA</t>
  </si>
  <si>
    <t>digital@mountainviewegypt.com</t>
  </si>
  <si>
    <t>Rafal Real Estate Development Company</t>
  </si>
  <si>
    <t>966 9200 10313</t>
  </si>
  <si>
    <r>
      <rPr>
        <b/>
        <color rgb="FF000000"/>
        <u/>
      </rPr>
      <t>info@rafal.com.sa</t>
    </r>
  </si>
  <si>
    <t>Zaya Real Estate Development Company</t>
  </si>
  <si>
    <t>971 4 443 3595</t>
  </si>
  <si>
    <t>ALDYAR ALARABIYA Real Estate Development Co</t>
  </si>
  <si>
    <t>customercare@aldyar.sa</t>
  </si>
  <si>
    <t>AL Mozaini</t>
  </si>
  <si>
    <t>info@almozaini.sa</t>
  </si>
  <si>
    <t>Mohamed Talaat Architects</t>
  </si>
  <si>
    <t>(202) 0115 111 5111-- (202) 281 40001 ---(202) 281 40210 ---(966) 50 702 7111</t>
  </si>
  <si>
    <t>info@m-talaat.com</t>
  </si>
  <si>
    <t>Ajlan Riviera</t>
  </si>
  <si>
    <t>info@alajlanco.sa</t>
  </si>
  <si>
    <t>OSUS REAL ESTATE CO.</t>
  </si>
  <si>
    <t>info@osus.com.sa</t>
  </si>
  <si>
    <t>Dar Wa Emaar Real Estate Investment &amp; Development Co</t>
  </si>
  <si>
    <t>info@darwaemaar.com</t>
  </si>
  <si>
    <t>Watheer Real Estate Development Co</t>
  </si>
  <si>
    <t>info@watheer-est.com</t>
  </si>
  <si>
    <t>Albasateen Real Estate</t>
  </si>
  <si>
    <t>966 920003749</t>
  </si>
  <si>
    <t>info@albasateen.sa</t>
  </si>
  <si>
    <t>Abdulrahman Saad AlRashed and Sons Co.</t>
  </si>
  <si>
    <t>Dar Al Majid Real Estate Company</t>
  </si>
  <si>
    <t>966 9200 11719</t>
  </si>
  <si>
    <t>Thabat Real Estate Development Company Ltd</t>
  </si>
  <si>
    <t>info@thabatred.com</t>
  </si>
  <si>
    <t>Talaat Mustafa Group Saudi for Real Estate Development</t>
  </si>
  <si>
    <t>info@tmg.sa</t>
  </si>
  <si>
    <t>ABYATONA Development Company</t>
  </si>
  <si>
    <t>info@abyatona.com</t>
  </si>
  <si>
    <t>NHC</t>
  </si>
  <si>
    <t>966 9200 33499</t>
  </si>
  <si>
    <t>Retal Urban Development Company</t>
  </si>
  <si>
    <t>966 800 303 0888</t>
  </si>
  <si>
    <t>Sports Boulevard Foundation</t>
  </si>
  <si>
    <t>Diriyah Company</t>
  </si>
  <si>
    <r>
      <rPr>
        <b/>
        <color rgb="FF000000"/>
        <u/>
      </rPr>
      <t>966 92 0021 727</t>
    </r>
  </si>
  <si>
    <t>Kinan International Real Estate Development</t>
  </si>
  <si>
    <r>
      <rPr>
        <b/>
        <color rgb="FF000000"/>
        <u/>
      </rPr>
      <t>966 12 651 9393</t>
    </r>
  </si>
  <si>
    <t>PropertyNet</t>
  </si>
  <si>
    <t>info@propertynet.co</t>
  </si>
  <si>
    <t>Al Darah Real Estate Development Company</t>
  </si>
  <si>
    <t>info@darahre.com</t>
  </si>
  <si>
    <t>Mohammad Abdul Aziz Al Habib and Partners Real Estate Company</t>
  </si>
  <si>
    <r>
      <rPr>
        <b/>
        <color rgb="FF000000"/>
        <u/>
      </rPr>
      <t>info@alhabibinv.com</t>
    </r>
  </si>
  <si>
    <t>Animatics Limited</t>
  </si>
  <si>
    <t>20 10 21115560</t>
  </si>
  <si>
    <t>marketing@animaticstudio.com</t>
  </si>
  <si>
    <t>Bait Almward Contracting Co.</t>
  </si>
  <si>
    <r>
      <rPr>
        <rFont val="helvetica-w01-roman, sans-serif"/>
        <b/>
        <color rgb="FF000000"/>
        <sz val="12.0"/>
        <u/>
      </rPr>
      <t>info@bmcc-ltd.com</t>
    </r>
  </si>
  <si>
    <t>JC Media Group LLC</t>
  </si>
  <si>
    <r>
      <rPr>
        <b/>
        <color rgb="FF000000"/>
        <u/>
      </rPr>
      <t>nfo@jcmediagroup.com</t>
    </r>
  </si>
  <si>
    <t>Real Estate Development Fund</t>
  </si>
  <si>
    <t>info@saudipedia.com</t>
  </si>
  <si>
    <t>Al Rajhi Banking and Investment Company</t>
  </si>
  <si>
    <t>Shurfah Real Estate Development &amp; Investment</t>
  </si>
  <si>
    <r>
      <rPr>
        <b/>
        <color rgb="FF000000"/>
        <u/>
      </rPr>
      <t>info@Shurfah.com.sa</t>
    </r>
  </si>
  <si>
    <t>Mada'in Properties PJSC</t>
  </si>
  <si>
    <r>
      <rPr>
        <b/>
        <color rgb="FF000000"/>
        <u/>
      </rPr>
      <t>sales@madain.ae</t>
    </r>
  </si>
  <si>
    <t>Jazeera Paints Factory</t>
  </si>
  <si>
    <t>920000085    ----   0750 185 5299</t>
  </si>
  <si>
    <t>help@jazeerapaints.com  --- info@jazeera-erbil.com</t>
  </si>
  <si>
    <t>Alawaly Real Estate Co.</t>
  </si>
  <si>
    <r>
      <rPr>
        <b/>
        <color rgb="FF000000"/>
        <u/>
      </rPr>
      <t>966 800 305 0004</t>
    </r>
  </si>
  <si>
    <t>Alsak Real Estate Company منصة صك</t>
  </si>
  <si>
    <t>support@getsak.com</t>
  </si>
  <si>
    <t>Jenan Real Estate</t>
  </si>
  <si>
    <r>
      <rPr>
        <rFont val="inherit"/>
        <b/>
        <color rgb="FF000000"/>
        <sz val="11.0"/>
        <u/>
      </rPr>
      <t>info@jenan.com.sa</t>
    </r>
  </si>
  <si>
    <t>Jabal Omar Development Company</t>
  </si>
  <si>
    <r>
      <rPr>
        <b/>
        <color rgb="FF000000"/>
        <u/>
      </rPr>
      <t>info@jodc.com.sa</t>
    </r>
  </si>
  <si>
    <t>Saudi Tourism Investment Company (ASFAR)</t>
  </si>
  <si>
    <t>info@pif.gov.sa</t>
  </si>
  <si>
    <t>Baabdullah Arabian Contracting Company</t>
  </si>
  <si>
    <t>Egis Saudi Engineering Consulting Company</t>
  </si>
  <si>
    <t>33 1 39 41 40 00</t>
  </si>
  <si>
    <t>Baraka Optimal Limited Company</t>
  </si>
  <si>
    <t>05311 99 5 99</t>
  </si>
  <si>
    <t>rm@barakaopt.com</t>
  </si>
  <si>
    <t>33 (1) 42 76 08 10</t>
  </si>
  <si>
    <t>NIKKEN SEKKEI FZ LLC</t>
  </si>
  <si>
    <t>971-4-3434269</t>
  </si>
  <si>
    <t>Space Architectural Studio</t>
  </si>
  <si>
    <t>info@spacestudio.sa</t>
  </si>
  <si>
    <t>Saudi Architects for Engineering Consulting Company</t>
  </si>
  <si>
    <t>(+966) 11 480 1011</t>
  </si>
  <si>
    <t>webinfo@saudiarc.com</t>
  </si>
  <si>
    <t>Bumat-The Turntable Company</t>
  </si>
  <si>
    <r>
      <rPr>
        <rFont val="Verdana, Arial, Helvetica, sans-serif"/>
        <b/>
        <color rgb="FF000000"/>
        <sz val="9.0"/>
        <u/>
      </rPr>
      <t>sales@bumat.com</t>
    </r>
  </si>
  <si>
    <t>Mangera Yvars Architects</t>
  </si>
  <si>
    <r>
      <rPr>
        <b/>
        <color rgb="FF000000"/>
        <u/>
      </rPr>
      <t>contact@myaa.eu</t>
    </r>
  </si>
  <si>
    <t>AF Group - Alnahj Almethali - Ideal Way</t>
  </si>
  <si>
    <t>966 53 666 5156</t>
  </si>
  <si>
    <r>
      <rPr>
        <rFont val="&quot;open sans&quot;, sans-serif"/>
        <b/>
        <color rgb="FF000000"/>
        <sz val="9.0"/>
        <u/>
      </rPr>
      <t>info@afgroupsa.com</t>
    </r>
  </si>
  <si>
    <t>CRAFT GROUP</t>
  </si>
  <si>
    <t>INFO@CRAFT.GROUP</t>
  </si>
  <si>
    <t>Aji Saudi</t>
  </si>
  <si>
    <t>966 11 239 9995</t>
  </si>
  <si>
    <t>yazan_shahwan@ajigroup.com</t>
  </si>
  <si>
    <t>East Consulting Engineering Company</t>
  </si>
  <si>
    <t xml:space="preserve"> 011 4772215</t>
  </si>
  <si>
    <t>BD@ecec.com.sa</t>
  </si>
  <si>
    <t>DSA Architects KSA</t>
  </si>
  <si>
    <t>27 (0) 11 779 1600</t>
  </si>
  <si>
    <t>dsa.africa@dsa-arch.com</t>
  </si>
  <si>
    <t>Konn Technologies</t>
  </si>
  <si>
    <t>info@konn.tech</t>
  </si>
  <si>
    <t>MAB Consult</t>
  </si>
  <si>
    <t>(966) 011 257 4080</t>
  </si>
  <si>
    <r>
      <rPr>
        <rFont val="Calibri"/>
        <b/>
        <color rgb="FF000000"/>
        <sz val="12.0"/>
        <u/>
      </rPr>
      <t>email@mabconsult.com.sa</t>
    </r>
  </si>
  <si>
    <t>EHAF Consulting Engineers</t>
  </si>
  <si>
    <t>971 2 631 9161</t>
  </si>
  <si>
    <t>ehaf@ehaf.com</t>
  </si>
  <si>
    <t>ICON</t>
  </si>
  <si>
    <t>971 2 672 4200</t>
  </si>
  <si>
    <t>ADDC for Management Consultant Services</t>
  </si>
  <si>
    <t>971 2 419 1100</t>
  </si>
  <si>
    <t>HPP Architects</t>
  </si>
  <si>
    <t>49 211 83840</t>
  </si>
  <si>
    <t>duesseldorf@hpp.com</t>
  </si>
  <si>
    <t>Zebra Projects</t>
  </si>
  <si>
    <t>info@zbr.global</t>
  </si>
  <si>
    <t>973 1781 5775</t>
  </si>
  <si>
    <t>Aim Technical Commercial Company (Aim 3D)</t>
  </si>
  <si>
    <t>973 3988 1088</t>
  </si>
  <si>
    <t>info@aim3d.com</t>
  </si>
  <si>
    <t>966 800 850 1592</t>
  </si>
  <si>
    <r>
      <rPr>
        <rFont val="Circularxxsub, sans-serif"/>
        <b/>
        <color rgb="FF000000"/>
        <sz val="15.0"/>
        <u/>
      </rPr>
      <t>hello@nicholas.design</t>
    </r>
  </si>
  <si>
    <t>Charles Cross - London</t>
  </si>
  <si>
    <r>
      <rPr>
        <b/>
        <color rgb="FF000000"/>
        <u/>
      </rPr>
      <t>974 3040 9063</t>
    </r>
  </si>
  <si>
    <t>IAPA PTY LTD</t>
  </si>
  <si>
    <t>HKS Inc.</t>
  </si>
  <si>
    <t>1 214-969-5599</t>
  </si>
  <si>
    <t>info@hksinc.com</t>
  </si>
  <si>
    <t>Osool Integrated Real Estate Co.</t>
  </si>
  <si>
    <t>966 800 128 8111</t>
  </si>
  <si>
    <r>
      <rPr>
        <b/>
        <color rgb="FF000000"/>
        <u/>
      </rPr>
      <t>osoolcare@osoolre.com</t>
    </r>
  </si>
  <si>
    <t>FD Consult W.L.L.</t>
  </si>
  <si>
    <t>974 4468 8450</t>
  </si>
  <si>
    <t>Amam Real Estate</t>
  </si>
  <si>
    <t>800 100 0212</t>
  </si>
  <si>
    <r>
      <rPr>
        <b/>
        <color rgb="FF000000"/>
        <u/>
      </rPr>
      <t>info@amam.sa</t>
    </r>
  </si>
  <si>
    <t>Sportsbeams Lighting, Inc.</t>
  </si>
  <si>
    <t>1 888 905 6680</t>
  </si>
  <si>
    <t>NVK GRUPPE LIMITED (trading as NVK GROUP)</t>
  </si>
  <si>
    <t>44 7561 590702</t>
  </si>
  <si>
    <t>info@nvk.group</t>
  </si>
  <si>
    <t>FPC Industries Company</t>
  </si>
  <si>
    <t>00966 112 650 522</t>
  </si>
  <si>
    <t>info@fpctextile.com</t>
  </si>
  <si>
    <t>LUCA DINI Spa</t>
  </si>
  <si>
    <t>39 055 5059379</t>
  </si>
  <si>
    <r>
      <rPr>
        <b/>
        <color rgb="FF000000"/>
        <u/>
      </rPr>
      <t>info@lucadini.com</t>
    </r>
  </si>
  <si>
    <t>Raya Al-Maidan for Real Estate Development and Investment Company</t>
  </si>
  <si>
    <t>9200 34121</t>
  </si>
  <si>
    <t>Solana living</t>
  </si>
  <si>
    <r>
      <rPr>
        <b/>
        <color rgb="FF000000"/>
        <u/>
      </rPr>
      <t>hello@solana.sa</t>
    </r>
  </si>
  <si>
    <t>Iris Ceramica Group</t>
  </si>
  <si>
    <t>info@irisceramicagroup.com</t>
  </si>
  <si>
    <t>Roshn Hackathon</t>
  </si>
  <si>
    <t>Hussein &amp; AlHassan G. Shaker Bros for Modern Trading Co. Ltd.</t>
  </si>
  <si>
    <r>
      <rPr>
        <rFont val="Rubik, serif"/>
        <b/>
        <color rgb="FF000000"/>
        <sz val="12.0"/>
        <u/>
      </rPr>
      <t>info@hh-shaker.com.sa</t>
    </r>
  </si>
  <si>
    <t>D. Haus Arabia Limited Company</t>
  </si>
  <si>
    <t>marketing@dhausonline.com</t>
  </si>
  <si>
    <t>Guangdong YONGFENG LIHUA Shading Technology Co., LTD</t>
  </si>
  <si>
    <t>sales manager ( 	luoxiaolan@sunlever.cn)</t>
  </si>
  <si>
    <r>
      <rPr>
        <b/>
        <color rgb="FF000000"/>
        <u/>
      </rPr>
      <t>info@sunlever.cn</t>
    </r>
  </si>
  <si>
    <t>Amtar App Est for Real Estate</t>
  </si>
  <si>
    <t>966 59 804 4532</t>
  </si>
  <si>
    <t>Wakan Real Estate Development and Investment Company</t>
  </si>
  <si>
    <t>9200-22-808</t>
  </si>
  <si>
    <r>
      <rPr>
        <b/>
        <color rgb="FF000000"/>
        <u/>
      </rPr>
      <t>info@Wakan.sa</t>
    </r>
  </si>
  <si>
    <t>Tarmeez Capital</t>
  </si>
  <si>
    <t>011 834 9687</t>
  </si>
  <si>
    <r>
      <rPr>
        <b/>
        <color rgb="FF000000"/>
        <u/>
      </rPr>
      <t>Info@tarmeez.co</t>
    </r>
  </si>
  <si>
    <t>Aleen Residence Real Estate Company</t>
  </si>
  <si>
    <t>cs@aleen.sa</t>
  </si>
  <si>
    <t>Alrosan Contracting Company</t>
  </si>
  <si>
    <t>966 11 273 5522</t>
  </si>
  <si>
    <t>Almqr Development Co</t>
  </si>
  <si>
    <t>0148460600 / 0148460600</t>
  </si>
  <si>
    <t>info@almqr.com</t>
  </si>
  <si>
    <t>Majd Real Estate Development Company</t>
  </si>
  <si>
    <t>info@mjdksa.com</t>
  </si>
  <si>
    <t>Telad Real Estate Company</t>
  </si>
  <si>
    <t>(966) 920 006 044</t>
  </si>
  <si>
    <r>
      <rPr>
        <b/>
        <color rgb="FF000000"/>
        <u/>
      </rPr>
      <t>info@teladco.sa</t>
    </r>
  </si>
  <si>
    <t>Benoy</t>
  </si>
  <si>
    <t>44 20 7726 8999</t>
  </si>
  <si>
    <r>
      <rPr>
        <b/>
        <color rgb="FF000000"/>
        <u/>
      </rPr>
      <t>enquiries@benoy.com</t>
    </r>
  </si>
  <si>
    <t>Olaat Development Company (OPM)</t>
  </si>
  <si>
    <t>(+966) 55 267 8 999 -- 966 11 2178999</t>
  </si>
  <si>
    <t>info@olaat.com</t>
  </si>
  <si>
    <t>Makkiyoon Urban Developers</t>
  </si>
  <si>
    <t>marketing@makkiyoon.com</t>
  </si>
  <si>
    <t>Armal Real Estate Development Company</t>
  </si>
  <si>
    <t>INFO@ARMAL.COM.SA</t>
  </si>
  <si>
    <t>Qassim Region Municipality</t>
  </si>
  <si>
    <t>966 16 326 5000</t>
  </si>
  <si>
    <t>info@qassim.gov.sa</t>
  </si>
  <si>
    <t>MIIRAGE</t>
  </si>
  <si>
    <r>
      <rPr>
        <rFont val="montserratregular"/>
        <b/>
        <color rgb="FF000000"/>
        <sz val="12.0"/>
        <u/>
      </rPr>
      <t>info@miirage.digital</t>
    </r>
  </si>
  <si>
    <r>
      <rPr>
        <b/>
        <color rgb="FF000000"/>
        <u/>
      </rPr>
      <t>linkon@esgroup.net</t>
    </r>
  </si>
  <si>
    <t xml:space="preserve"> info@ctbuh.org   ----   press@ctbuh.org</t>
  </si>
  <si>
    <t>branchee@yehuisteelgroup.com</t>
  </si>
  <si>
    <t xml:space="preserve">info@lensenglass.com </t>
  </si>
  <si>
    <t>Beijing BOE Since Technology Co., LTD</t>
  </si>
  <si>
    <t>Oscar Paints co.</t>
  </si>
  <si>
    <t>ERBiL --- 7504492044</t>
  </si>
  <si>
    <t>info@daliliraq.com   IRAQ--- info@oscarpaints.com</t>
  </si>
  <si>
    <t>Hafr Al-Batin Municipality</t>
  </si>
  <si>
    <t>ialbatin@momra.gov.sa</t>
  </si>
  <si>
    <t>Aseer Region Development Authority</t>
  </si>
  <si>
    <r>
      <rPr>
        <rFont val="Cairo, sans-serif"/>
        <b/>
        <color rgb="FF000000"/>
        <sz val="12.0"/>
        <u/>
      </rPr>
      <t>info@asda.gov.sa</t>
    </r>
  </si>
  <si>
    <t>Al Jouf Region Municipality</t>
  </si>
  <si>
    <r>
      <rPr>
        <b/>
        <color rgb="FF000000"/>
        <u/>
      </rPr>
      <t>InvestorCare@misa.gov.sa</t>
    </r>
  </si>
  <si>
    <t>Hail Region Development Authority</t>
  </si>
  <si>
    <r>
      <rPr>
        <b/>
        <color rgb="FF000000"/>
        <u/>
      </rPr>
      <t>966 16 533 5500</t>
    </r>
  </si>
  <si>
    <t>Tabouk Amana</t>
  </si>
  <si>
    <t>info@tabukm.gov.sa</t>
  </si>
  <si>
    <t>VisEngine LTD</t>
  </si>
  <si>
    <r>
      <rPr>
        <rFont val="Helvetica, Verdana, Arial, sans-serif"/>
        <b/>
        <color rgb="FF000000"/>
      </rPr>
      <t>UK- LONDON</t>
    </r>
    <r>
      <rPr>
        <rFont val="Helvetica, Verdana, Arial, sans-serif"/>
        <b/>
        <color rgb="FF000000"/>
      </rPr>
      <t>-- info@visengine.com ---</t>
    </r>
    <r>
      <rPr>
        <rFont val="Helvetica, Verdana, Arial, sans-serif"/>
        <b/>
        <color rgb="FF000000"/>
      </rPr>
      <t xml:space="preserve"> USA
New York / New Jersey</t>
    </r>
    <r>
      <rPr>
        <rFont val="Helvetica, Verdana, Arial, sans-serif"/>
        <b/>
        <color rgb="FF000000"/>
      </rPr>
      <t xml:space="preserve"> ---- info@visengine.com ---- </t>
    </r>
    <r>
      <rPr>
        <rFont val="Helvetica, Verdana, Arial, sans-serif"/>
        <b/>
        <color rgb="FF000000"/>
      </rPr>
      <t>Canada
Toronto</t>
    </r>
    <r>
      <rPr>
        <rFont val="Helvetica, Verdana, Arial, sans-serif"/>
        <b/>
        <color rgb="FF000000"/>
      </rPr>
      <t xml:space="preserve"> ----   info@visengine.com---</t>
    </r>
    <r>
      <rPr>
        <rFont val="Helvetica, Verdana, Arial, sans-serif"/>
        <b/>
        <color rgb="FF000000"/>
      </rPr>
      <t xml:space="preserve">Germany
Cologne </t>
    </r>
    <r>
      <rPr>
        <rFont val="Helvetica, Verdana, Arial, sans-serif"/>
        <b/>
        <color rgb="FF000000"/>
      </rPr>
      <t xml:space="preserve">-----info@visengine.com
</t>
    </r>
  </si>
  <si>
    <t>Envac Saudi Arabia Company</t>
  </si>
  <si>
    <t>966-11 224 3451</t>
  </si>
  <si>
    <t>info@envac.sa</t>
  </si>
  <si>
    <t>Group AMANA</t>
  </si>
  <si>
    <t>971 4 885 4449</t>
  </si>
  <si>
    <t>info@groupamana.com</t>
  </si>
  <si>
    <t>Kun Higher Training Institute</t>
  </si>
  <si>
    <t>971 4 420 2912</t>
  </si>
  <si>
    <t>Info@kun.academy</t>
  </si>
  <si>
    <t>Prop VR Technology LLC</t>
  </si>
  <si>
    <t>971 56 180 3232</t>
  </si>
  <si>
    <r>
      <rPr>
        <b/>
        <color rgb="FF000000"/>
        <u/>
      </rPr>
      <t>info@propvr.ai</t>
    </r>
  </si>
  <si>
    <t>Connected Home Ltd.</t>
  </si>
  <si>
    <t>7 771 072 4373</t>
  </si>
  <si>
    <t>kzconnectedhome@gmail.com</t>
  </si>
  <si>
    <t>EDWINCHEONGSTUDIO pte ltd</t>
  </si>
  <si>
    <t>info@edwincheong.com</t>
  </si>
  <si>
    <t>Nuzul Limited Company</t>
  </si>
  <si>
    <t>info@nuzul.co</t>
  </si>
  <si>
    <t>PropX</t>
  </si>
  <si>
    <t>contact@propx.io</t>
  </si>
  <si>
    <t>SustainInsight</t>
  </si>
  <si>
    <t>971 521527506 ,+91 98714 21588</t>
  </si>
  <si>
    <t>contact@sustaininsight.com</t>
  </si>
  <si>
    <t>Zenith Geospatial</t>
  </si>
  <si>
    <t>966 50 685 4102</t>
  </si>
  <si>
    <t>EarthFokus</t>
  </si>
  <si>
    <t>073959 72662</t>
  </si>
  <si>
    <t>info@earthfokus.com</t>
  </si>
  <si>
    <t>MeshWorks Wireless</t>
  </si>
  <si>
    <t>358 45 125 9000</t>
  </si>
  <si>
    <t>info@mww.fi</t>
  </si>
  <si>
    <t>The Four Corners Real Estate Company</t>
  </si>
  <si>
    <r>
      <rPr>
        <b/>
        <color rgb="FF000000"/>
        <u/>
      </rPr>
      <t>info@thefourcorners.sa</t>
    </r>
  </si>
  <si>
    <t>Wire Collective</t>
  </si>
  <si>
    <t>44 (0)208 144 27 13</t>
  </si>
  <si>
    <t>info@wirecollective.com</t>
  </si>
  <si>
    <t>Makkan app</t>
  </si>
  <si>
    <t>973 3633 3376</t>
  </si>
  <si>
    <r>
      <rPr>
        <rFont val="&quot;DIN 2014&quot;"/>
        <b/>
        <color rgb="FF000000"/>
        <sz val="15.0"/>
        <u/>
      </rPr>
      <t>info@makkan.app</t>
    </r>
  </si>
  <si>
    <t>Dallali</t>
  </si>
  <si>
    <t>966 92 001 0920</t>
  </si>
  <si>
    <t>care@dallali.com</t>
  </si>
  <si>
    <t>LinkFaal</t>
  </si>
  <si>
    <t>966 53 581 4148</t>
  </si>
  <si>
    <t>GraphenePioneer</t>
  </si>
  <si>
    <t>info@graphenepioneer.com</t>
  </si>
  <si>
    <t>Sargassum Eco Lumber</t>
  </si>
  <si>
    <r>
      <rPr>
        <b/>
        <color rgb="FF000000"/>
        <u/>
      </rPr>
      <t>info@sargassumecolumber</t>
    </r>
  </si>
  <si>
    <t>Evo Systems</t>
  </si>
  <si>
    <t>971 52 984 3225</t>
  </si>
  <si>
    <t>GOSPACE LABS</t>
  </si>
  <si>
    <t>421 905 649 405</t>
  </si>
  <si>
    <t>info@gospace.tech</t>
  </si>
  <si>
    <t>Hydraloop</t>
  </si>
  <si>
    <t>info@hydraloop.com</t>
  </si>
  <si>
    <t>OpenSpace</t>
  </si>
  <si>
    <t>info@openspace.ai</t>
  </si>
  <si>
    <t>OTTAN</t>
  </si>
  <si>
    <t>(+44) 7752518125 --- (+90) 5337617373</t>
  </si>
  <si>
    <r>
      <rPr>
        <b/>
        <color rgb="FF000000"/>
        <u/>
      </rPr>
      <t>info@ottanstudio.com</t>
    </r>
  </si>
  <si>
    <t>ProperGate.co</t>
  </si>
  <si>
    <t>48 792 337 152</t>
  </si>
  <si>
    <r>
      <rPr>
        <b/>
        <color rgb="FF000000"/>
        <u/>
      </rPr>
      <t>hello@propergate.co</t>
    </r>
  </si>
  <si>
    <t>Interpanel</t>
  </si>
  <si>
    <t>49 (0) 36693 43422-0</t>
  </si>
  <si>
    <r>
      <rPr>
        <b/>
        <color rgb="FF000000"/>
        <u/>
      </rPr>
      <t>info@interpanel.com</t>
    </r>
  </si>
  <si>
    <r>
      <rPr>
        <b/>
        <color rgb="FF000000"/>
        <u/>
      </rPr>
      <t>info@wirecollective.com</t>
    </r>
  </si>
  <si>
    <t>966 53 054 5566</t>
  </si>
  <si>
    <t>info@thefourcorners.sa</t>
  </si>
  <si>
    <t>Mapxus</t>
  </si>
  <si>
    <t>info@mapxus.com</t>
  </si>
  <si>
    <t>CO2WAll Group BV</t>
  </si>
  <si>
    <r>
      <rPr>
        <b/>
        <color rgb="FF000000"/>
        <u/>
      </rPr>
      <t>info@co2wall.org</t>
    </r>
  </si>
  <si>
    <t>Azure Printed Homes</t>
  </si>
  <si>
    <t>Contact@azureprintedhomes.com</t>
  </si>
  <si>
    <t>Consigli, The Autonomous engineer</t>
  </si>
  <si>
    <r>
      <rPr>
        <b/>
        <color rgb="FF000000"/>
        <sz val="15.0"/>
        <u/>
      </rPr>
      <t>post@consigli.no</t>
    </r>
  </si>
  <si>
    <t>Snag Property Inspection Services LLC</t>
  </si>
  <si>
    <t>info@snaginspectionservices.com</t>
  </si>
  <si>
    <t>BrainBox AI</t>
  </si>
  <si>
    <t>1 866-422-5200</t>
  </si>
  <si>
    <t>information@brainboxai.com</t>
  </si>
  <si>
    <t>Aivot Sdn Bhd</t>
  </si>
  <si>
    <t>60 12-980 2292</t>
  </si>
  <si>
    <t>hello@aivot.my  -- daniele.g@aivot.my</t>
  </si>
  <si>
    <t>Nafas</t>
  </si>
  <si>
    <t>cleanairzone@nafas.co</t>
  </si>
  <si>
    <t>EVOCONS (Evolution Construction System SL)</t>
  </si>
  <si>
    <t>34 650 772 410</t>
  </si>
  <si>
    <t>contacto@evocons.es</t>
  </si>
  <si>
    <t>Paving+</t>
  </si>
  <si>
    <t>91-8825217361</t>
  </si>
  <si>
    <t>info@paving-plus.com ---- connect@paving-plus.com</t>
  </si>
  <si>
    <t>Tri-E-Con Developers LLP</t>
  </si>
  <si>
    <t>91 93750 86227</t>
  </si>
  <si>
    <t>info@triecon.com</t>
  </si>
  <si>
    <t>46 8 760 43 00</t>
  </si>
  <si>
    <t>info@mavenwireless.com</t>
  </si>
  <si>
    <t>MAQAM: Mindful and Quantum Acquisitions Modeling</t>
  </si>
  <si>
    <t>info@maqam.international</t>
  </si>
  <si>
    <t>Beyonity LLC - MENA Region</t>
  </si>
  <si>
    <t>966 115 078 987</t>
  </si>
  <si>
    <t>mena@beyonity.com</t>
  </si>
  <si>
    <t>HCOMM ME TRADING LLC</t>
  </si>
  <si>
    <t>971 50 226 9773</t>
  </si>
  <si>
    <r>
      <rPr>
        <b/>
        <color rgb="FF000000"/>
        <u/>
      </rPr>
      <t>sales@hcom.ae</t>
    </r>
  </si>
  <si>
    <t>support@valocity.co.nz</t>
  </si>
  <si>
    <t>RIFFAI - Bring Space Down to Earth</t>
  </si>
  <si>
    <t>contact@riffai.org</t>
  </si>
  <si>
    <t>Ambiator Private Limited</t>
  </si>
  <si>
    <t>hi@ambiator.com</t>
  </si>
  <si>
    <t>Colive.me</t>
  </si>
  <si>
    <r>
      <rPr>
        <rFont val="georgia, palatino, &quot;book antiqua&quot;, &quot;palatino linotype&quot;, serif"/>
        <b/>
        <color rgb="FF000000"/>
        <sz val="11.0"/>
        <u/>
      </rPr>
      <t>info@colive.me</t>
    </r>
  </si>
  <si>
    <t>Placemaking AI</t>
  </si>
  <si>
    <t>info@314radius.com</t>
  </si>
  <si>
    <t>9200-04-989</t>
  </si>
  <si>
    <t>Saudi Contractors Authority</t>
  </si>
  <si>
    <t>info@sca.sa</t>
  </si>
  <si>
    <t>BlomInvest Saudi Arabia</t>
  </si>
  <si>
    <t>contactus@blom.sa</t>
  </si>
  <si>
    <t>Sidra Capital</t>
  </si>
  <si>
    <t>compliance@sidracap.com</t>
  </si>
  <si>
    <t>Bank Albilad</t>
  </si>
  <si>
    <t>facebook@bankalbilad.com</t>
  </si>
  <si>
    <t>The Saudi Mortgage Guarantees Company (Damanat)</t>
  </si>
  <si>
    <r>
      <rPr>
        <b/>
        <color rgb="FF000000"/>
        <u/>
      </rPr>
      <t>info@damanat.com.sa</t>
    </r>
  </si>
  <si>
    <t>Banque Saudi Faransi</t>
  </si>
  <si>
    <t>966 800 124 2121</t>
  </si>
  <si>
    <t>Tamaam Real Estate Company</t>
  </si>
  <si>
    <t>info@tamaam.com.sa</t>
  </si>
  <si>
    <t>Tarmeem for Development Society</t>
  </si>
  <si>
    <r>
      <rPr>
        <b/>
        <color rgb="FF000000"/>
        <u/>
      </rPr>
      <t>info@tarmeemdev.org.sa</t>
    </r>
  </si>
  <si>
    <t>Al Tatwir Al Shamel For Real Estate Development</t>
  </si>
  <si>
    <t>966 920 020 156</t>
  </si>
  <si>
    <t>info@tatwirco.sa</t>
  </si>
  <si>
    <t>Saqeefah Real Estate</t>
  </si>
  <si>
    <r>
      <rPr>
        <b/>
        <color rgb="FF000000"/>
        <sz val="12.0"/>
        <u/>
      </rPr>
      <t>info@saqeefah.com</t>
    </r>
  </si>
  <si>
    <t>Real Estate General Authority</t>
  </si>
  <si>
    <t>MOMAH Ministry of Municipalities and Housing</t>
  </si>
  <si>
    <t>infocs@momah.gov.sa</t>
  </si>
  <si>
    <t>Housing Program</t>
  </si>
  <si>
    <t>FSDP@ceda.cm.gov.sa</t>
  </si>
  <si>
    <t>Sky Arabia Contracting Company</t>
  </si>
  <si>
    <r>
      <rPr>
        <b/>
        <color rgb="FF000000"/>
        <u/>
      </rPr>
      <t>Info@skyalarabia.com</t>
    </r>
  </si>
  <si>
    <t>Amana Ilhsaa</t>
  </si>
  <si>
    <t>Saudi Authority for Accredited Valuers-Taqeem</t>
  </si>
  <si>
    <t>966 11 224 9000</t>
  </si>
  <si>
    <t>Infath - Entrustment and Liquidation Center</t>
  </si>
  <si>
    <r>
      <rPr>
        <b/>
        <color rgb="FF000000"/>
        <u/>
      </rPr>
      <t>info@infath.gov.sa</t>
    </r>
  </si>
  <si>
    <t>Holy Makkah Municipality</t>
  </si>
  <si>
    <t>New Jersey Developments</t>
  </si>
  <si>
    <t>info@newjerseyegypt.com</t>
  </si>
  <si>
    <t>ASICO Real Estate LLC</t>
  </si>
  <si>
    <t>971 52 602 4757</t>
  </si>
  <si>
    <t>info@asico.ae</t>
  </si>
  <si>
    <t>Intermark Global LLC FZ</t>
  </si>
  <si>
    <t>Ray White International Real Estate Broker</t>
  </si>
  <si>
    <r>
      <rPr>
        <color rgb="FF1155CC"/>
        <u/>
      </rPr>
      <t>971 4 363 1999</t>
    </r>
  </si>
  <si>
    <t>feedback@raywhite.com</t>
  </si>
  <si>
    <t>IMKAN Properties</t>
  </si>
  <si>
    <t>hello@imkan.ae</t>
  </si>
  <si>
    <t>Generation 3D Products Design Services</t>
  </si>
  <si>
    <t>971 4 282 2066</t>
  </si>
  <si>
    <t>info@generation3d.ae</t>
  </si>
  <si>
    <r>
      <rPr>
        <color rgb="FF1155CC"/>
        <u/>
      </rPr>
      <t>info@almira.ae</t>
    </r>
  </si>
  <si>
    <t>Dynasty Real Estate Broker LLC</t>
  </si>
  <si>
    <t>971 4 584 6450</t>
  </si>
  <si>
    <r>
      <rPr>
        <rFont val="Montserrat"/>
        <color rgb="FF1155CC"/>
        <u/>
      </rPr>
      <t>info@dynastyrealestate.ae</t>
    </r>
  </si>
  <si>
    <t>Northfleet Harbourside Holding Company Ltd</t>
  </si>
  <si>
    <t>Margins Developments</t>
  </si>
  <si>
    <t>marketing@marginsdev.com</t>
  </si>
  <si>
    <t>Wadi Degla Developments</t>
  </si>
  <si>
    <t>AlAhly Sabbour Development</t>
  </si>
  <si>
    <t>info@alahly.com</t>
  </si>
  <si>
    <t>Ora Developers Egypt For Real Estate Inv</t>
  </si>
  <si>
    <t>info@oradevelopers.com</t>
  </si>
  <si>
    <t>Qatari Diar Real Estate Investment Company</t>
  </si>
  <si>
    <t>THE MAJESTIC CLUB LOUNGE</t>
  </si>
  <si>
    <t>Al Nama Real Estate</t>
  </si>
  <si>
    <t>968 7267 0000</t>
  </si>
  <si>
    <t>info@alnama-om.com</t>
  </si>
  <si>
    <t>DOMO Space Runners</t>
  </si>
  <si>
    <t>hello@domo.space</t>
  </si>
  <si>
    <t>ATRIUM</t>
  </si>
  <si>
    <t>The Department for External Economic and International Relations of Moscow</t>
  </si>
  <si>
    <t>7 495 633 65 41</t>
  </si>
  <si>
    <t>ASADOV Architectural Studio</t>
  </si>
  <si>
    <r>
      <rPr>
        <rFont val="Arial, sans-serif"/>
        <color rgb="FF1155CC"/>
        <sz val="11.0"/>
        <u/>
      </rPr>
      <t>7 495 777-91-36</t>
    </r>
  </si>
  <si>
    <r>
      <rPr>
        <color rgb="FF1155CC"/>
        <u/>
      </rPr>
      <t>info@asadov.studio</t>
    </r>
  </si>
  <si>
    <t>City of Moscow</t>
  </si>
  <si>
    <t>Fontangrad</t>
  </si>
  <si>
    <t>pr@fontangrad.ru        cooperation, media, commercial offers</t>
  </si>
  <si>
    <t>7 (918) 160-03-09 (English-speaking operator)</t>
  </si>
  <si>
    <r>
      <rPr>
        <rFont val="Arial"/>
        <color rgb="FF1155CC"/>
        <sz val="12.0"/>
        <u/>
      </rPr>
      <t>deal@fontangrad.ru</t>
    </r>
    <r>
      <rPr>
        <rFont val="Arial"/>
        <color rgb="FF000000"/>
        <sz val="12.0"/>
      </rPr>
      <t xml:space="preserve">  </t>
    </r>
    <r>
      <rPr>
        <rFont val="Arial"/>
        <color rgb="FF262626"/>
        <sz val="12.0"/>
      </rPr>
      <t>accepting applications, consulting
on the company's services</t>
    </r>
  </si>
  <si>
    <t>IND</t>
  </si>
  <si>
    <t>31 88 043 0430</t>
  </si>
  <si>
    <t>JSC Mosinzhproekt</t>
  </si>
  <si>
    <t>7 (495) 225-19-40 -- 7 (495) 663-20-14</t>
  </si>
  <si>
    <t>info@mosinzhproekt.ru</t>
  </si>
  <si>
    <t>LLC PVK Forus-Prom</t>
  </si>
  <si>
    <t>Megabudka</t>
  </si>
  <si>
    <t>Project Bureau R1</t>
  </si>
  <si>
    <t>PTAM Vissarionova</t>
  </si>
  <si>
    <t>Radugadesign</t>
  </si>
  <si>
    <t>SK Struktura x Macrofabrica</t>
  </si>
  <si>
    <t>EMLAK KONUT GAYRIMENKUL YATIRIM ORTAKLIGI A.S.</t>
  </si>
  <si>
    <t>SP Architects</t>
  </si>
  <si>
    <t>Hyde Park Developments</t>
  </si>
  <si>
    <t>City Edge Developments</t>
  </si>
  <si>
    <t>Arabella Development</t>
  </si>
  <si>
    <t>The Ark Developments</t>
  </si>
  <si>
    <t>Prime Properties FZE</t>
  </si>
  <si>
    <t>Arabia Development</t>
  </si>
  <si>
    <t>Edgestone Developments</t>
  </si>
  <si>
    <t>Konya Real Estate Management and Development</t>
  </si>
  <si>
    <t>ALPI South East Asia Co., Ltd.</t>
  </si>
  <si>
    <t>Goldstar Metal Co., Ltd.</t>
  </si>
  <si>
    <t>UK Homes</t>
  </si>
  <si>
    <t>Flambard Williams Ltd</t>
  </si>
  <si>
    <t>Native Land</t>
  </si>
  <si>
    <t>Petra Sea Resort LLC</t>
  </si>
  <si>
    <t>York Towers</t>
  </si>
  <si>
    <t>Atelier COS/Portfolio</t>
  </si>
  <si>
    <t>Infinity</t>
  </si>
  <si>
    <t>Besix</t>
  </si>
  <si>
    <t>IDP Engineering</t>
  </si>
  <si>
    <t>J. Portelli Projects</t>
  </si>
  <si>
    <t>Sensys</t>
  </si>
  <si>
    <t>Wilmotte &amp; Associes</t>
  </si>
  <si>
    <t>FYI Jinggong Steel Building</t>
  </si>
  <si>
    <t>Asala Al Mudain Property Management</t>
  </si>
  <si>
    <t>Mardi Aquapark LLC</t>
  </si>
  <si>
    <t>For U Developments</t>
  </si>
  <si>
    <t>Flow- Real Estate Owner, Operator and Technology Innovator</t>
  </si>
  <si>
    <t>Ministry of Housing &amp; Urban Planning and Eskan Bank</t>
  </si>
  <si>
    <t>Durrat 4 W.L.L.</t>
  </si>
  <si>
    <t>Infracorp</t>
  </si>
  <si>
    <t>Ministry of Finance and National Economy</t>
  </si>
  <si>
    <t>Ministry of Housing &amp; Urban Planning and Eskan Ban</t>
  </si>
  <si>
    <t>Media Solutions Advertising W.L.L.</t>
  </si>
  <si>
    <t>Ministry of Housing and Urban Planning, Oman</t>
  </si>
  <si>
    <t>Deca Properties LLC</t>
  </si>
  <si>
    <t>DEFENSE HOUSING AUTHORITY</t>
  </si>
  <si>
    <t>Rolland and Sardini Consultancy</t>
  </si>
  <si>
    <t>TownX Real Estate Development LLC</t>
  </si>
  <si>
    <t>Abella Village Real Estate</t>
  </si>
  <si>
    <t>Shenzhen Nick Art Design Co. LTD</t>
  </si>
  <si>
    <t>Majan Engineering Consultants</t>
  </si>
  <si>
    <t>Regal London Properties Limited</t>
  </si>
  <si>
    <t>Premium Residency</t>
  </si>
  <si>
    <t>ECO Build IQ</t>
  </si>
  <si>
    <t xml:space="preserve"> Contact Date </t>
  </si>
  <si>
    <t xml:space="preserve"> شرکة التنضیمیە - Green Gate </t>
  </si>
  <si>
    <t>بغداد: 07806888000</t>
  </si>
  <si>
    <t>📍بصرة: 07826888000</t>
  </si>
  <si>
    <t>📍دبي: 0501151044</t>
  </si>
  <si>
    <t xml:space="preserve">رابطة إعمار العراق - شرکة التنضیمیە </t>
  </si>
  <si>
    <t>info@iraq-rc.com</t>
  </si>
  <si>
    <t>شركة سوفاميل --  إنتاج وسائل وأدوات الحماية</t>
  </si>
  <si>
    <t>شركة المعول لتحريات التربة</t>
  </si>
  <si>
    <t>شركة زيوسودرا</t>
  </si>
  <si>
    <t>For Sales</t>
  </si>
  <si>
    <t>For Information</t>
  </si>
  <si>
    <t>E-Mail: info@ziusudra.co</t>
  </si>
  <si>
    <t>For Maintenance</t>
  </si>
  <si>
    <t>Phone: +964 7810448898</t>
  </si>
  <si>
    <t>Mobile: +964 7718993418</t>
  </si>
  <si>
    <t>E-Mail: Zaed@ziusudra.co   OR   Sales@ziusudra.co</t>
  </si>
  <si>
    <t>Mobile: +964 7702904420</t>
  </si>
  <si>
    <t>support@ziusudra.co</t>
  </si>
  <si>
    <t>E-Mail: muhannad@ziusudra.co</t>
  </si>
  <si>
    <t>شركة فانتج</t>
  </si>
  <si>
    <t>7726700333  - 7517159221 - 7810007511</t>
  </si>
  <si>
    <t>Info@vantage.com</t>
  </si>
  <si>
    <t>شركة تطوير الشرق</t>
  </si>
  <si>
    <t>شركة اكسلجنت</t>
  </si>
  <si>
    <t>90 546 469 71 67</t>
  </si>
  <si>
    <t>info@excelligents.com</t>
  </si>
  <si>
    <t>شركة الكوكب الدري</t>
  </si>
  <si>
    <t>0783 888 0127</t>
  </si>
  <si>
    <t>Info@alkawkabaldori.com</t>
  </si>
  <si>
    <t>شركة شاندونج ييزو</t>
  </si>
  <si>
    <t xml:space="preserve">شركة ألامكس - Invest EXPO </t>
  </si>
  <si>
    <t xml:space="preserve">furatwalltiles - Invest EXPO </t>
  </si>
  <si>
    <t>Archtalk</t>
  </si>
  <si>
    <t>0780 554 4559</t>
  </si>
  <si>
    <t xml:space="preserve">Dari Ptoperties </t>
  </si>
  <si>
    <t>Rasha</t>
  </si>
  <si>
    <t xml:space="preserve">Homle </t>
  </si>
  <si>
    <t>-----</t>
  </si>
  <si>
    <t xml:space="preserve">مجمع الخلود السکني </t>
  </si>
  <si>
    <t xml:space="preserve">مدینة جازان السکنیة </t>
  </si>
  <si>
    <t xml:space="preserve">Teatro </t>
  </si>
  <si>
    <t xml:space="preserve">Sqella </t>
  </si>
  <si>
    <t xml:space="preserve">Al Ajaj Company </t>
  </si>
  <si>
    <t xml:space="preserve">Furat wall Tiles - Invest EXPO </t>
  </si>
  <si>
    <t xml:space="preserve">Amwal </t>
  </si>
  <si>
    <t>شرکة مجموعة الریاض</t>
  </si>
  <si>
    <t xml:space="preserve">Pro Peak </t>
  </si>
  <si>
    <t>مجمع البیروق السکني</t>
  </si>
  <si>
    <t>مجمع البیروق السکني ٢</t>
  </si>
  <si>
    <t xml:space="preserve">izar </t>
  </si>
  <si>
    <t>00964 782 508 0829</t>
  </si>
  <si>
    <t xml:space="preserve">Green Village </t>
  </si>
  <si>
    <t>00964 781 081 1111-964 781 082 2222</t>
  </si>
  <si>
    <t xml:space="preserve">AL Waha - الواحە </t>
  </si>
  <si>
    <t>00971 50 981 5215</t>
  </si>
  <si>
    <t xml:space="preserve">مجمع الزمزم السکني </t>
  </si>
  <si>
    <t xml:space="preserve"> Raihana housing Project in Karbala </t>
  </si>
  <si>
    <t xml:space="preserve">Palm Towers Residential City </t>
  </si>
  <si>
    <t xml:space="preserve">HAMAT </t>
  </si>
  <si>
    <t xml:space="preserve">Aswar AL-Basrah Complex </t>
  </si>
  <si>
    <t>قارذي</t>
  </si>
  <si>
    <t xml:space="preserve">Lara City </t>
  </si>
  <si>
    <t xml:space="preserve">New Falujah Complex </t>
  </si>
  <si>
    <t xml:space="preserve">Janat al Firdaws </t>
  </si>
  <si>
    <t xml:space="preserve">Al Masa </t>
  </si>
  <si>
    <t xml:space="preserve">Down Town Baghdad </t>
  </si>
  <si>
    <t xml:space="preserve">Watad al Asima </t>
  </si>
  <si>
    <t xml:space="preserve">First Mark Real Estate </t>
  </si>
  <si>
    <t xml:space="preserve">Aram Real estate Investment </t>
  </si>
  <si>
    <t>964 775 738 6660</t>
  </si>
  <si>
    <t xml:space="preserve">مجمع شناشیل السکني - Shanashel baghdad Residential Complex </t>
  </si>
  <si>
    <t xml:space="preserve">DARI REAL ESTATE DEVELOPER </t>
  </si>
  <si>
    <t>00964 782 909 0609</t>
  </si>
  <si>
    <t>مجمع الخلود السكني</t>
  </si>
  <si>
    <t>0770 621 2006</t>
  </si>
  <si>
    <t>baghdad@zest-property.com</t>
  </si>
  <si>
    <t>Solar System Companies</t>
  </si>
  <si>
    <t xml:space="preserve">Country </t>
  </si>
  <si>
    <t xml:space="preserve">EAE ELEKTRIk </t>
  </si>
  <si>
    <t>Bekir Kavici</t>
  </si>
  <si>
    <t xml:space="preserve">0(212)8662000  -- 0(538)0977820 --- 0(212)8862420 </t>
  </si>
  <si>
    <t>Bkavici@eaegroup.com</t>
  </si>
  <si>
    <t>ISTANBUL - TURKEY</t>
  </si>
  <si>
    <t xml:space="preserve">AL FURAT SOLAR </t>
  </si>
  <si>
    <t>YASEEN Faris</t>
  </si>
  <si>
    <t>(964)7861051022 --- (962)795390931</t>
  </si>
  <si>
    <t>y.faris@alfuratsolar.com</t>
  </si>
  <si>
    <t xml:space="preserve">IRAQ - BAGHDAD </t>
  </si>
  <si>
    <t>info@asalatkhaleeg.com</t>
  </si>
  <si>
    <t>MARSRIVA Technology CO.</t>
  </si>
  <si>
    <t>Denny Liang - CEO</t>
  </si>
  <si>
    <t>008675523350016 --- 008618675565824</t>
  </si>
  <si>
    <t>denny@marsriva.com</t>
  </si>
  <si>
    <t>CHINA</t>
  </si>
  <si>
    <t xml:space="preserve">AL YASEEN Group </t>
  </si>
  <si>
    <t xml:space="preserve">Hasan Al- Anssari  TEAM Leader </t>
  </si>
  <si>
    <t>h.alanssari@alyaseengroup.com</t>
  </si>
  <si>
    <t xml:space="preserve">MUEDDAT AL-NOOR CO. / CHINT ELECTRIC </t>
  </si>
  <si>
    <t>07702935046 - 07901368532</t>
  </si>
  <si>
    <t>sales@mueddat-al-noor.com</t>
  </si>
  <si>
    <t xml:space="preserve">IRAQ   </t>
  </si>
  <si>
    <t>Fiafi Solar</t>
  </si>
  <si>
    <t>Ibrahem Dollan - Sales Director</t>
  </si>
  <si>
    <t>i.dollan@fiafigroup.com</t>
  </si>
  <si>
    <t xml:space="preserve">MASA Power </t>
  </si>
  <si>
    <t>AHMED AL Rawi - CEO</t>
  </si>
  <si>
    <t>a.alrawi@masapower.com</t>
  </si>
  <si>
    <t>DUBAI - UAE</t>
  </si>
  <si>
    <t xml:space="preserve">Mandy Kam - vice President </t>
  </si>
  <si>
    <t xml:space="preserve"> ZNSHINE SOLAR</t>
  </si>
  <si>
    <t>Joumana Hosri - CEO Middle Easty</t>
  </si>
  <si>
    <t xml:space="preserve">joumana@znshinesolar.com   -  joumana.hosri@sacotel.com </t>
  </si>
  <si>
    <t xml:space="preserve">SHELL LUBRICANTS MACRO DISTRIBUTOR </t>
  </si>
  <si>
    <t xml:space="preserve">Ali Saad Mahmood </t>
  </si>
  <si>
    <t xml:space="preserve">ali@hamburginghouse.com </t>
  </si>
  <si>
    <t>BASRA - IRAQ</t>
  </si>
  <si>
    <t>MiNA GALVANiZ</t>
  </si>
  <si>
    <t>Galip YiNSEL</t>
  </si>
  <si>
    <t>903122216463 -- 905351081368</t>
  </si>
  <si>
    <t>galip.yinsel@minagalvaniz.com</t>
  </si>
  <si>
    <t>PAMAX</t>
  </si>
  <si>
    <t xml:space="preserve">Nurettin TAN - CO Owner </t>
  </si>
  <si>
    <t>00905354933325  -- 903423379244</t>
  </si>
  <si>
    <t>nurettin.tan@pamax.com.tr</t>
  </si>
  <si>
    <t>GAZiANTEP - TURKEY</t>
  </si>
  <si>
    <t xml:space="preserve">ADS Muhendislik </t>
  </si>
  <si>
    <t xml:space="preserve">Şahin ATALAY -  Foreign Trade Speccialist </t>
  </si>
  <si>
    <t>export@adsmuhendislik.com.tr</t>
  </si>
  <si>
    <t xml:space="preserve">Tahir KARADAG - Service manager </t>
  </si>
  <si>
    <t>00902164662036 -- 00905302651397</t>
  </si>
  <si>
    <t>tahir@adsmuhendislik.com.tr</t>
  </si>
  <si>
    <t>SHINE OPTO</t>
  </si>
  <si>
    <t>Simona - Marketing Director Middle East</t>
  </si>
  <si>
    <t>008618951103611 -- 008651265807206</t>
  </si>
  <si>
    <t>led@optoshine.com</t>
  </si>
  <si>
    <t>ATC Arabian Transforms CO.</t>
  </si>
  <si>
    <t xml:space="preserve">Muhammed Mousa  - Sales Enginer </t>
  </si>
  <si>
    <t>00966505592881  -- 0966138120997</t>
  </si>
  <si>
    <t>mohd.almousa@sa-atc.com</t>
  </si>
  <si>
    <t>KSA - SAUDI ARABIA</t>
  </si>
  <si>
    <t xml:space="preserve">EPC -  Energy Power Conversion </t>
  </si>
  <si>
    <t>Jinan Hamza - Regional Sales Executive</t>
  </si>
  <si>
    <t>902164995490 -- 905498510776</t>
  </si>
  <si>
    <t>jhamza@epcas.com.tr</t>
  </si>
  <si>
    <t>ISTANBUL-TURKEY</t>
  </si>
  <si>
    <t>Sahel Jeddah For General Trading LLC</t>
  </si>
  <si>
    <t>Majeed sKhr - sales Agent</t>
  </si>
  <si>
    <t>info@saheljeddah.com</t>
  </si>
  <si>
    <t>OUYAD Electronic CO.</t>
  </si>
  <si>
    <t xml:space="preserve">Nicole - Sales Manager </t>
  </si>
  <si>
    <t>overseas17@ouyad.com</t>
  </si>
  <si>
    <t>FOSHAN City - CHINA</t>
  </si>
  <si>
    <t xml:space="preserve">SENTA Energy CO. </t>
  </si>
  <si>
    <t xml:space="preserve">Shawn - Sales Director </t>
  </si>
  <si>
    <t>Shawn@sentaenergy.com</t>
  </si>
  <si>
    <t>JIANGSU - CHINA</t>
  </si>
  <si>
    <t>NOVO Electric Tehnology UK LTD</t>
  </si>
  <si>
    <t>07705545050 -- 07805077296 -- 07805672711</t>
  </si>
  <si>
    <t>info@nwras-alganup.com  -- Sales@nwras-aljanup.com</t>
  </si>
  <si>
    <t xml:space="preserve">POWER SOLID </t>
  </si>
  <si>
    <t xml:space="preserve">AMMAR HAYDER - Sales Engineer </t>
  </si>
  <si>
    <t>009647731884455 -- 7501804455</t>
  </si>
  <si>
    <t>sales1.iq@powersolid.vn</t>
  </si>
  <si>
    <t xml:space="preserve">Rawaz Aziz - Sales Engineer </t>
  </si>
  <si>
    <r>
      <rPr>
        <rFont val="Roboto"/>
        <b/>
        <color rgb="FF1155CC"/>
        <sz val="12.0"/>
        <u/>
      </rPr>
      <t>costumer.iq</t>
    </r>
    <r>
      <rPr>
        <rFont val="Roboto"/>
        <b/>
        <color rgb="FF434343"/>
        <sz val="12.0"/>
      </rPr>
      <t>@powersolid.vn</t>
    </r>
  </si>
  <si>
    <t xml:space="preserve">SUN-Earth premium Solar Module Manufactorer </t>
  </si>
  <si>
    <t>Yuming Dong</t>
  </si>
  <si>
    <t>dym@suneastsolar.com</t>
  </si>
  <si>
    <t>ELSEWEDY ELECTRIC</t>
  </si>
  <si>
    <t>NOHA NAzif - Sales Support and Tendering</t>
  </si>
  <si>
    <t>0020227599743 -- 2024412131</t>
  </si>
  <si>
    <t>noha.nazif@elsewdy.com</t>
  </si>
  <si>
    <t>EGYPT</t>
  </si>
  <si>
    <t xml:space="preserve">UTEC - United Transformers Electric Company </t>
  </si>
  <si>
    <t>Mabrouk Gherri - international Bussiness &amp; Special Director</t>
  </si>
  <si>
    <t>mabrouk.gherri@utec.com.sa</t>
  </si>
  <si>
    <t xml:space="preserve">KSA  </t>
  </si>
  <si>
    <t xml:space="preserve">BICC CABLES -cables crafted with trust </t>
  </si>
  <si>
    <t xml:space="preserve">Bassam Stephan - Area Sales Manager </t>
  </si>
  <si>
    <t xml:space="preserve">b.stephan@biccables.com </t>
  </si>
  <si>
    <t>GiZA - EGYPT</t>
  </si>
  <si>
    <t>Straco CO.</t>
  </si>
  <si>
    <t>07825930053 -- 07716724730 -- 077-6837711 -- 07744444421</t>
  </si>
  <si>
    <t xml:space="preserve">AMR Consultancy </t>
  </si>
  <si>
    <t>Ahmed Rasheed - Managing Director</t>
  </si>
  <si>
    <t>00447535595034 -- 9647760510395</t>
  </si>
  <si>
    <t>ahmed@amrconsultancy.co.uk</t>
  </si>
  <si>
    <t>LONDON - UK</t>
  </si>
  <si>
    <t xml:space="preserve">ARAS Green Energy </t>
  </si>
  <si>
    <t>Lana Xalid - Electricial Engineer</t>
  </si>
  <si>
    <t xml:space="preserve">info@age-solar.com </t>
  </si>
  <si>
    <t>Sulaymanyah - krd-iraq</t>
  </si>
  <si>
    <t xml:space="preserve">AL JUHID </t>
  </si>
  <si>
    <t>07834488475 - 07836020000 - 07836010000</t>
  </si>
  <si>
    <t>info@aljuhid.com.iq</t>
  </si>
  <si>
    <t>SULI //07501553355 - 07730063355       EBL // 07501500527 - 07730053355</t>
  </si>
  <si>
    <t xml:space="preserve">info@diary-supplise.com </t>
  </si>
  <si>
    <t xml:space="preserve">Kurdistan - IRAQ </t>
  </si>
  <si>
    <t xml:space="preserve">الشمس </t>
  </si>
  <si>
    <t xml:space="preserve">07729790068 - younis - ERbil </t>
  </si>
  <si>
    <t xml:space="preserve">07739556405 - 07710001224 sales manager </t>
  </si>
  <si>
    <t>------</t>
  </si>
  <si>
    <t xml:space="preserve">WAFAA ALFURAT </t>
  </si>
  <si>
    <t xml:space="preserve">RUFHA JASSIM - SMART energy Department </t>
  </si>
  <si>
    <t>rudha.jassim@wafaa.iq</t>
  </si>
  <si>
    <t xml:space="preserve">MAWJ ALTAIF </t>
  </si>
  <si>
    <t xml:space="preserve">07722989988 - MANAGMENT </t>
  </si>
  <si>
    <t>07830609980 - 07722989988 // SALES</t>
  </si>
  <si>
    <t>KOL ALmanafith CO.</t>
  </si>
  <si>
    <t>07870066401 // 07870066402 // 07870066403 // 07870066408</t>
  </si>
  <si>
    <t>info@kolalmanafith.com</t>
  </si>
  <si>
    <t xml:space="preserve">AL SAFI Group </t>
  </si>
  <si>
    <t>info@alsafigroup.com</t>
  </si>
  <si>
    <t>ABO valve</t>
  </si>
  <si>
    <t xml:space="preserve">Eng. Vinod Talande - B.Managment </t>
  </si>
  <si>
    <t>00420605934242 - 00420585222178</t>
  </si>
  <si>
    <t xml:space="preserve">vinod.talande@abovalve.com </t>
  </si>
  <si>
    <t xml:space="preserve">Dalimilova - CZech </t>
  </si>
  <si>
    <t xml:space="preserve">iES GALVANIZ </t>
  </si>
  <si>
    <t xml:space="preserve">MESUT Özdemir - Sales and Marketing Responsible </t>
  </si>
  <si>
    <t>00903288020644 -- 00905464609</t>
  </si>
  <si>
    <t>mesut.ozdemir@gmail.com.tr</t>
  </si>
  <si>
    <t xml:space="preserve">SOLATECH </t>
  </si>
  <si>
    <t>Eng.Adera Habeeb - pre - sales &amp; Design Engineer</t>
  </si>
  <si>
    <t>07507691281 - 07779311031</t>
  </si>
  <si>
    <t>adera@solatech-iq.com</t>
  </si>
  <si>
    <t xml:space="preserve">EAE TECHNOLOGY </t>
  </si>
  <si>
    <t xml:space="preserve">Yakup KETREMIZGIL  - KEY Account Manager </t>
  </si>
  <si>
    <t>00905382318059 -- 02125493790 -- 02124132100</t>
  </si>
  <si>
    <t>yakup.ketremizgil@eagroup.com</t>
  </si>
  <si>
    <t xml:space="preserve">BOGAZCI </t>
  </si>
  <si>
    <t xml:space="preserve">00905396994123 - 905395723593 - 905302017667 </t>
  </si>
  <si>
    <t>ozgur@bogazicicelik.com.tr</t>
  </si>
  <si>
    <t xml:space="preserve">Dawanice </t>
  </si>
  <si>
    <t>GARY Cao - ESS Solution Engineer</t>
  </si>
  <si>
    <t>support@dawannice.com</t>
  </si>
  <si>
    <t xml:space="preserve">CHINT Global PTE </t>
  </si>
  <si>
    <t xml:space="preserve">Li Dongyan - PhD - Senior Technical Expert </t>
  </si>
  <si>
    <t>lidy8@chintglobal.com</t>
  </si>
  <si>
    <t>Hasçelik Kablo</t>
  </si>
  <si>
    <t xml:space="preserve">Hakan ONUŞ - International Sales Manager </t>
  </si>
  <si>
    <t>00903523211555 -- 00905324739901</t>
  </si>
  <si>
    <t>honus@hascelik.com.tr</t>
  </si>
  <si>
    <t xml:space="preserve">AES Energy </t>
  </si>
  <si>
    <r>
      <rPr>
        <b/>
        <color rgb="FF000000"/>
        <sz val="11.0"/>
        <u/>
      </rPr>
      <t>info@aesenergy.com.tr</t>
    </r>
  </si>
  <si>
    <t xml:space="preserve">IST - TURKEY </t>
  </si>
  <si>
    <t>PROJECT 1</t>
  </si>
  <si>
    <t>0781 997 8866</t>
  </si>
  <si>
    <t xml:space="preserve">support@pro1ect.com // info@project1.company </t>
  </si>
  <si>
    <t>I.A.C - IRAQI ANDER COMPANY</t>
  </si>
  <si>
    <t>97703462809 - 07901370529</t>
  </si>
  <si>
    <t>ander_info@anderiraq.com</t>
  </si>
  <si>
    <t>RAS - RAban AL Safina Group</t>
  </si>
  <si>
    <r>
      <rPr>
        <b/>
        <color rgb="FF000000"/>
        <sz val="11.0"/>
      </rPr>
      <t xml:space="preserve">9647850500001 - </t>
    </r>
    <r>
      <rPr>
        <b/>
        <color rgb="FF1155CC"/>
        <sz val="11.0"/>
        <u/>
      </rPr>
      <t>9647750500001</t>
    </r>
  </si>
  <si>
    <r>
      <rPr>
        <b/>
        <color rgb="FF000000"/>
        <u/>
      </rPr>
      <t>info@ras.iq</t>
    </r>
    <r>
      <rPr>
        <b/>
        <color rgb="FF000000"/>
      </rPr>
      <t xml:space="preserve">  // info@rabanalsafin.com
</t>
    </r>
  </si>
  <si>
    <t xml:space="preserve">AR ELECTRIC </t>
  </si>
  <si>
    <t>info@rabanalsafin.com</t>
  </si>
  <si>
    <t>fiafi.sales@fiafigroup.com</t>
  </si>
  <si>
    <t xml:space="preserve">KOC CABLE </t>
  </si>
  <si>
    <t>90 216 378 21 91</t>
  </si>
  <si>
    <t>info@kockablo.com.tr</t>
  </si>
  <si>
    <t xml:space="preserve">SOLARKOL </t>
  </si>
  <si>
    <t>00903125771818 -- 00903125771919</t>
  </si>
  <si>
    <t>info@solarkol.com</t>
  </si>
  <si>
    <t>ANKARA - TURKEY</t>
  </si>
  <si>
    <t>THE SAUDI TRANSFORMERS CO.LTD</t>
  </si>
  <si>
    <t>966138473020 -- 966138471718</t>
  </si>
  <si>
    <t>sales@sauditransformers.com</t>
  </si>
  <si>
    <t>KSA</t>
  </si>
  <si>
    <t>MUTLUSAN ELECTRIC</t>
  </si>
  <si>
    <t>90(212) 485 05 44 // 90(212) 485 10 12</t>
  </si>
  <si>
    <t xml:space="preserve"> info@mutlusan.com.tr  // export@mutlusan.com.tr // satinalma@mutlusan.com.tr</t>
  </si>
  <si>
    <t>Ekon Kondansator</t>
  </si>
  <si>
    <t xml:space="preserve">SAYGUN KARACA </t>
  </si>
  <si>
    <t>saygun.karaja@ekoncapacitor.com // asist@ekoncapacitor.com</t>
  </si>
  <si>
    <t>MASS GROUP Holding LTD.</t>
  </si>
  <si>
    <t>0096265542255 -- 00962795816014</t>
  </si>
  <si>
    <t xml:space="preserve">info@massgroupholding.com </t>
  </si>
  <si>
    <t>AMMAN - JORDAN</t>
  </si>
  <si>
    <t xml:space="preserve">LISW - LEBANON International Solar Week </t>
  </si>
  <si>
    <t xml:space="preserve">ASACO </t>
  </si>
  <si>
    <t>009611423286 -- 009611423287</t>
  </si>
  <si>
    <t>asaco@asacogtc.com</t>
  </si>
  <si>
    <t>BEIRUT- LEBANON</t>
  </si>
  <si>
    <t>SHENZHEN ATESS POWER TECHNOLOGY CO.</t>
  </si>
  <si>
    <t>panhong.jin@atesspower.com</t>
  </si>
  <si>
    <t xml:space="preserve">ANHUI SUPER ENERGY </t>
  </si>
  <si>
    <t>weliondubai@gmail.com</t>
  </si>
  <si>
    <t xml:space="preserve">ASES GROUP </t>
  </si>
  <si>
    <t>009613950625 -- 009613090527</t>
  </si>
  <si>
    <t>info@asergrp.com</t>
  </si>
  <si>
    <t>AI POWER</t>
  </si>
  <si>
    <t>0096181755245 -- 009613755245</t>
  </si>
  <si>
    <t>support@a-ipower.com</t>
  </si>
  <si>
    <t>GUANGDONG CWORTH ENERGY TECHNOLOGY CO.</t>
  </si>
  <si>
    <t>shirley@cworth.com.cn</t>
  </si>
  <si>
    <t xml:space="preserve">CROWN MICRO GLOBAL </t>
  </si>
  <si>
    <t xml:space="preserve">LEBENON </t>
  </si>
  <si>
    <t xml:space="preserve">EARTH TECHNOLOGEIS </t>
  </si>
  <si>
    <t>info@earthtechnologies.com</t>
  </si>
  <si>
    <t xml:space="preserve">EV ELECTRA </t>
  </si>
  <si>
    <t xml:space="preserve">1 (929) 823-6036 - CANADA //                      961 81 940 532 - LEBANON //       </t>
  </si>
  <si>
    <r>
      <rPr>
        <b/>
        <color rgb="FF1155CC"/>
        <sz val="12.0"/>
        <u/>
      </rPr>
      <t>info@evelectra.com</t>
    </r>
  </si>
  <si>
    <t xml:space="preserve">CANADA </t>
  </si>
  <si>
    <t xml:space="preserve">ENERGY CLEANERS </t>
  </si>
  <si>
    <t>009614923030 -- 0096179122188</t>
  </si>
  <si>
    <t>info@energy-cleaners.co</t>
  </si>
  <si>
    <t>SHENZHEN EENOVANCE ENERGY TECHNOLOGY CO.</t>
  </si>
  <si>
    <t>limeizhen@eenovance.com</t>
  </si>
  <si>
    <t xml:space="preserve">GHADDAR ALTERNATIVE ENERGY </t>
  </si>
  <si>
    <t>009617221754 -- 009613627704</t>
  </si>
  <si>
    <t>gae@ghaddar.com</t>
  </si>
  <si>
    <t>GS ENERGY (NINGBO) TECHNOLOGY CO.</t>
  </si>
  <si>
    <t>lianglu@gsmarte.com</t>
  </si>
  <si>
    <t xml:space="preserve">GSL ENERGY </t>
  </si>
  <si>
    <t>sales@gsl-energy.com</t>
  </si>
  <si>
    <t>SHENZHEN GROWATT NEW ENERGY CO.</t>
  </si>
  <si>
    <t>ni.yao@growatt.com</t>
  </si>
  <si>
    <t>GESCO - CHISAGE ESS - LUMINOUS</t>
  </si>
  <si>
    <t>009611700921 -- 0096181741207</t>
  </si>
  <si>
    <t>info@gescolb.com</t>
  </si>
  <si>
    <t>HUAWEI</t>
  </si>
  <si>
    <t>wenhao38@huawei.com</t>
  </si>
  <si>
    <t>BEIRUT- LEBENON</t>
  </si>
  <si>
    <t>USAID - IM FNDNG</t>
  </si>
  <si>
    <t>solr@im-fndng.com</t>
  </si>
  <si>
    <t>KYPROS.PV</t>
  </si>
  <si>
    <t>009611255400 -- 0096170561461</t>
  </si>
  <si>
    <t>pv@kyprossolar.com</t>
  </si>
  <si>
    <t xml:space="preserve">LEBANON </t>
  </si>
  <si>
    <t>LIBAN CABLES</t>
  </si>
  <si>
    <t>961 29448550</t>
  </si>
  <si>
    <t>liban.cables@nexans.com</t>
  </si>
  <si>
    <t xml:space="preserve">LIVGUARD ENERGY </t>
  </si>
  <si>
    <t>00911244987400 -- 00919958900942</t>
  </si>
  <si>
    <t xml:space="preserve">khushboo.sethi@sar-group.com // marketing@livguard.com
 //  export@sar-group.com
</t>
  </si>
  <si>
    <t>INDIA</t>
  </si>
  <si>
    <t>LCEC</t>
  </si>
  <si>
    <r>
      <rPr>
        <b/>
        <color rgb="FF1155CC"/>
        <u/>
      </rPr>
      <t>961 700 33 999</t>
    </r>
    <r>
      <rPr>
        <b/>
        <color rgb="FF000000"/>
      </rPr>
      <t xml:space="preserve"> -- 971 55 203 2030</t>
    </r>
  </si>
  <si>
    <t>me@promoteam.me</t>
  </si>
  <si>
    <t>MARVEL TECH</t>
  </si>
  <si>
    <t>009613662861 -- 009611555201 -- 009611555203</t>
  </si>
  <si>
    <t>info@marvel-battery.com</t>
  </si>
  <si>
    <t>LEBANON</t>
  </si>
  <si>
    <t>MARSTEK ENERGY CO.</t>
  </si>
  <si>
    <t>13398989193  -- 86-400 115 6188</t>
  </si>
  <si>
    <t xml:space="preserve">ouwanghao@hamedata.com  // info@marstekenergy.com  </t>
  </si>
  <si>
    <t>HONG KONG</t>
  </si>
  <si>
    <t xml:space="preserve">GLORY STAND (QINGYUAN) ENERGY LIMITED </t>
  </si>
  <si>
    <t>86-20-85511592 -- 13924200953</t>
  </si>
  <si>
    <t xml:space="preserve">info@msn-battery.com // adamho@msn-battery.com </t>
  </si>
  <si>
    <t xml:space="preserve">MAASIMO BATTERIES </t>
  </si>
  <si>
    <t>info@massimobatteries.com</t>
  </si>
  <si>
    <t>MANALCO</t>
  </si>
  <si>
    <t>Sales@manalco.com</t>
  </si>
  <si>
    <t xml:space="preserve">NEXT SOLAR </t>
  </si>
  <si>
    <t>0096101346102 -- 0096101368488</t>
  </si>
  <si>
    <t>info@nextsolarco.com</t>
  </si>
  <si>
    <t>BERUT - LEBANON</t>
  </si>
  <si>
    <t xml:space="preserve">NASRALLAH ENGINEERING SARL </t>
  </si>
  <si>
    <t xml:space="preserve">961 3 388 139  -- 961 1 492 520 </t>
  </si>
  <si>
    <t xml:space="preserve">PRIMA LIGHT LED TECH/GOPOWER </t>
  </si>
  <si>
    <t xml:space="preserve"> 961 1 324 324  </t>
  </si>
  <si>
    <t>prima@primaledtech.com // utgzpa@inco.com.lb // utg.zpa@hotmail.com</t>
  </si>
  <si>
    <t>BEIRUT - LEBANON</t>
  </si>
  <si>
    <t>SOLIS, (GINLONG TECHNOLOGIES)</t>
  </si>
  <si>
    <t>86 574 6580 2188</t>
  </si>
  <si>
    <r>
      <rPr>
        <b/>
        <color rgb="FF1155CC"/>
        <u/>
      </rPr>
      <t>service@ginlong.com</t>
    </r>
    <r>
      <rPr>
        <b/>
        <color rgb="FF000000"/>
      </rPr>
      <t xml:space="preserve"> // sales@ginlong.com</t>
    </r>
  </si>
  <si>
    <t>SOLARIX</t>
  </si>
  <si>
    <t>78884278 -- 70781827 -- 961 70 781 827</t>
  </si>
  <si>
    <t xml:space="preserve">Info@solarix.me </t>
  </si>
  <si>
    <t>SOLU-TECH</t>
  </si>
  <si>
    <t>961 3 779 397</t>
  </si>
  <si>
    <t>Info@solutechlb.com</t>
  </si>
  <si>
    <t xml:space="preserve">SACOTEL </t>
  </si>
  <si>
    <t>009613411546 -- 961 1 386 868 -- DUBAI // 00971501042550</t>
  </si>
  <si>
    <t>sacotel@sacotel.com</t>
  </si>
  <si>
    <t>SMART SOLAR</t>
  </si>
  <si>
    <t>961 4 715 290 // 961 71 06 99 88 //        IRAQ -- 9647506609969</t>
  </si>
  <si>
    <t>info@smart-solar.co</t>
  </si>
  <si>
    <t xml:space="preserve">TECHSTORE </t>
  </si>
  <si>
    <t>961 81 362 208</t>
  </si>
  <si>
    <t>sales@techstore-lb.com</t>
  </si>
  <si>
    <t xml:space="preserve">VICTOIRE INSURANCE </t>
  </si>
  <si>
    <t>961 1 389 067</t>
  </si>
  <si>
    <r>
      <rPr>
        <b/>
        <color rgb="FF1155CC"/>
        <u/>
      </rPr>
      <t>assurances@victoire.com.lb</t>
    </r>
  </si>
  <si>
    <t xml:space="preserve">VEGA SAL </t>
  </si>
  <si>
    <t>961 81 818 590</t>
  </si>
  <si>
    <t>info@vega.builders</t>
  </si>
  <si>
    <t xml:space="preserve">IRAQ - Erbil </t>
  </si>
  <si>
    <t>Solar Green Agate</t>
  </si>
  <si>
    <t>0750 088 9000</t>
  </si>
  <si>
    <t>info@solar-ga.com</t>
  </si>
  <si>
    <t>Infinity Green Power</t>
  </si>
  <si>
    <t>0770 200 0009 - 0751 670 0006</t>
  </si>
  <si>
    <t>info@alhadbaa.com</t>
  </si>
  <si>
    <t>SUNLID SOLAR</t>
  </si>
  <si>
    <t>964 750 380 5050</t>
  </si>
  <si>
    <t>info@sunlidsolar.com</t>
  </si>
  <si>
    <t>Blue Ray Energy</t>
  </si>
  <si>
    <t>0751 242 3333</t>
  </si>
  <si>
    <t>info@be-iraq.com</t>
  </si>
  <si>
    <t>MS Power Company</t>
  </si>
  <si>
    <t>964 750 858 9150</t>
  </si>
  <si>
    <t>Sarhang@mspower.co</t>
  </si>
  <si>
    <t>سۆلەر ھاوس solar house</t>
  </si>
  <si>
    <t>0751 403 1181</t>
  </si>
  <si>
    <t>Zandi Company</t>
  </si>
  <si>
    <t>0750 497 9177</t>
  </si>
  <si>
    <t>info@zandicons.com</t>
  </si>
  <si>
    <t>Noon Solar Energy Company</t>
  </si>
  <si>
    <t>0751 656 2633</t>
  </si>
  <si>
    <t>info@noonlb.com</t>
  </si>
  <si>
    <t>Green Solar</t>
  </si>
  <si>
    <t>964 770 662 9000</t>
  </si>
  <si>
    <t>TSC Company | Head Office</t>
  </si>
  <si>
    <t>0750 100 5666</t>
  </si>
  <si>
    <t>info@tsc-iq.com</t>
  </si>
  <si>
    <t xml:space="preserve">Power Solid Group.IQ </t>
  </si>
  <si>
    <t>964 750 188 0022</t>
  </si>
  <si>
    <t>Moderna Green Energy</t>
  </si>
  <si>
    <t>0750 341 8903</t>
  </si>
  <si>
    <t>modernaenergy@gmail.com</t>
  </si>
  <si>
    <t>Hawsan Energy Company</t>
  </si>
  <si>
    <t>0750 169 6687</t>
  </si>
  <si>
    <t>9647707009944 +9647501696687</t>
  </si>
  <si>
    <t>info@hawsanenergy.com</t>
  </si>
  <si>
    <t>Durable solutions Solar company</t>
  </si>
  <si>
    <t xml:space="preserve"> 0750 302 5900 -- 0787 880 8802</t>
  </si>
  <si>
    <t>info@durablesolutions-iq.com</t>
  </si>
  <si>
    <t>SMT Erbil</t>
  </si>
  <si>
    <t xml:space="preserve"> 0751 112 8888</t>
  </si>
  <si>
    <t>solar@san.iq</t>
  </si>
  <si>
    <t>F.S.C Solar energy- الطاقة الشمسية</t>
  </si>
  <si>
    <t>964-774-444-7191 / +964-782-170-0222</t>
  </si>
  <si>
    <t>info@fsc-iraq.net</t>
  </si>
  <si>
    <t>Gold in Sun Iraq</t>
  </si>
  <si>
    <t>0751 114 7176</t>
  </si>
  <si>
    <t>ZMC Solar Energy</t>
  </si>
  <si>
    <t xml:space="preserve"> 0750 803 5304</t>
  </si>
  <si>
    <t>info@zmcsolar.com</t>
  </si>
  <si>
    <t>Prostar Iraq</t>
  </si>
  <si>
    <t xml:space="preserve"> 0751 000 4010</t>
  </si>
  <si>
    <t>prostar.iraq@gmail.com</t>
  </si>
  <si>
    <t>Bilad Utu for Energy Solutions - Iraq شركة بلاد اوتو</t>
  </si>
  <si>
    <t>964 751 669 1967 -- 0770 273 3733</t>
  </si>
  <si>
    <t>info@biladutu.com</t>
  </si>
  <si>
    <t>Powerful Energy ( Solar power) company</t>
  </si>
  <si>
    <t>0772 207 1287</t>
  </si>
  <si>
    <t>Progress Sun Co.</t>
  </si>
  <si>
    <t xml:space="preserve"> 0750 183 7000 -- 964 770 569 7171</t>
  </si>
  <si>
    <t>info@progress-sun.com</t>
  </si>
  <si>
    <t>MTS Co. For Solar Energy System</t>
  </si>
  <si>
    <t>Sales Manager in Iraq Dr. Haydar</t>
  </si>
  <si>
    <t>Energco Iraq طاقة العراق المتجددة</t>
  </si>
  <si>
    <t>0771 444 6676</t>
  </si>
  <si>
    <t>0750 183 7000</t>
  </si>
  <si>
    <t>Varin Energy</t>
  </si>
  <si>
    <t>0750 118 9797</t>
  </si>
  <si>
    <t>info@varinenergy.com</t>
  </si>
  <si>
    <t>Felicity solar Iraq Branch</t>
  </si>
  <si>
    <t>0750 362 0556</t>
  </si>
  <si>
    <t>شركة الفرات للطاقة المتجددة - Al Furat Solar</t>
  </si>
  <si>
    <t>0785 000 7876 -- 0786 105 1022</t>
  </si>
  <si>
    <t>info@alfuratsolar.com</t>
  </si>
  <si>
    <t>Wise For General Trading</t>
  </si>
  <si>
    <t>0750 515 6040</t>
  </si>
  <si>
    <t xml:space="preserve">Wise Ltd </t>
  </si>
  <si>
    <t>0751 637 5437</t>
  </si>
  <si>
    <t>contact@wise.krd</t>
  </si>
  <si>
    <t>DigiTech - Hikvision Erbil and Solar System</t>
  </si>
  <si>
    <t xml:space="preserve"> 0750 466 8953</t>
  </si>
  <si>
    <t>KESK Company</t>
  </si>
  <si>
    <t>0750 881 0385</t>
  </si>
  <si>
    <t>info@keskco.com</t>
  </si>
  <si>
    <t>شركة بركة النور لمشاريع الطاقة والطاقة المتجددة</t>
  </si>
  <si>
    <t>0772 226 9794 - 0771 303 0196</t>
  </si>
  <si>
    <t>info@bereketalnoor.com</t>
  </si>
  <si>
    <t>Solatech Iraq</t>
  </si>
  <si>
    <t xml:space="preserve"> 0751 190 6257</t>
  </si>
  <si>
    <t>sales@solatech-iq.com</t>
  </si>
  <si>
    <t>Qaya energy</t>
  </si>
  <si>
    <t>0770 507 6767 -- 0770 156 2401</t>
  </si>
  <si>
    <t>info@qayagroup.com</t>
  </si>
  <si>
    <t>Clean power co.</t>
  </si>
  <si>
    <t>0750 932 2625</t>
  </si>
  <si>
    <t>Rasper.rh@gmail.com</t>
  </si>
  <si>
    <t>BeTel eNERGY Co.</t>
  </si>
  <si>
    <t>0750 445 2203</t>
  </si>
  <si>
    <t>info@betelgroup.net</t>
  </si>
  <si>
    <t>شركة بريق القمة للطاقة الشمسية</t>
  </si>
  <si>
    <t>0780 909 0722</t>
  </si>
  <si>
    <t xml:space="preserve">IRAQ - BASRA </t>
  </si>
  <si>
    <t>BFE Basra Future Energy للطاقة الشمسية</t>
  </si>
  <si>
    <t>0771 006 6692</t>
  </si>
  <si>
    <t>شركة تقنيات التنمية - TAQNIAT AL TANMIA CO.</t>
  </si>
  <si>
    <t>0774 517 2202 -- 0770 593 5222</t>
  </si>
  <si>
    <t>shop@d-techno.co</t>
  </si>
  <si>
    <t>Alternative Energy for solar power</t>
  </si>
  <si>
    <t xml:space="preserve"> 0783 535 4666</t>
  </si>
  <si>
    <t>مكتب طاقة الشمس (sun energy)</t>
  </si>
  <si>
    <t>0770 577 6677</t>
  </si>
  <si>
    <t>Energy House Solar</t>
  </si>
  <si>
    <t>964 7702902007</t>
  </si>
  <si>
    <t>free power sulaimaniyah فری پاوەر الطاقە شمسی</t>
  </si>
  <si>
    <t>0770 039 7058</t>
  </si>
  <si>
    <t>Suli solar</t>
  </si>
  <si>
    <t xml:space="preserve"> 0773 220 3737</t>
  </si>
  <si>
    <t>note :</t>
  </si>
  <si>
    <t xml:space="preserve">ASNKAR. Company </t>
  </si>
  <si>
    <t>info@asnkar.com</t>
  </si>
  <si>
    <t>Basood company</t>
  </si>
  <si>
    <t>0750 445 1660</t>
  </si>
  <si>
    <t>Baz Plastic</t>
  </si>
  <si>
    <t>0 7508884111</t>
  </si>
  <si>
    <t>paul@bazplastic.com</t>
  </si>
  <si>
    <t>Chroo Group</t>
  </si>
  <si>
    <t>0 (750) 574 3663</t>
  </si>
  <si>
    <t>info@chroo-group.com</t>
  </si>
  <si>
    <t>Eser Prekast</t>
  </si>
  <si>
    <t>0750 482 4470</t>
  </si>
  <si>
    <t>eser_prekast@hotmail.com</t>
  </si>
  <si>
    <t xml:space="preserve">Integrity Property </t>
  </si>
  <si>
    <t xml:space="preserve">Turkey </t>
  </si>
  <si>
    <t xml:space="preserve">الخليج للمواد العازلة </t>
  </si>
  <si>
    <t>جالشكان  للالمنيوم وpvc</t>
  </si>
  <si>
    <t xml:space="preserve">ظاهر </t>
  </si>
  <si>
    <t xml:space="preserve">ابداع الوكيل للانارة </t>
  </si>
  <si>
    <t xml:space="preserve">سالار </t>
  </si>
  <si>
    <t xml:space="preserve">salar.ali@ebdaaalwakeel.com </t>
  </si>
  <si>
    <t xml:space="preserve">الريان  للصرافة </t>
  </si>
  <si>
    <t xml:space="preserve">سيد زيد </t>
  </si>
  <si>
    <t xml:space="preserve">Al Najaf </t>
  </si>
  <si>
    <t>Casa smart</t>
  </si>
  <si>
    <t>Founder&amp;CEO</t>
  </si>
  <si>
    <t>Pasak@casasmart.org</t>
  </si>
  <si>
    <t>Erbil.Ankawa</t>
  </si>
  <si>
    <t>Dekoras company</t>
  </si>
  <si>
    <t>DEKORASCOMPANY@GMAIL.COM</t>
  </si>
  <si>
    <t>arelektrik</t>
  </si>
  <si>
    <t>Sales manger</t>
  </si>
  <si>
    <t>90 5414000000</t>
  </si>
  <si>
    <t>export@arelektrik.com</t>
  </si>
  <si>
    <t>İstanbul/Turkey</t>
  </si>
  <si>
    <t>DUYAR</t>
  </si>
  <si>
    <t>90 55550000000</t>
  </si>
  <si>
    <t>sg@duyarvalve.com</t>
  </si>
  <si>
    <t>Istanbul/Turkey</t>
  </si>
  <si>
    <t>Olympic pool</t>
  </si>
  <si>
    <t>Olympicpool@yahoo.com</t>
  </si>
  <si>
    <t>Hluol Taqania</t>
  </si>
  <si>
    <t>Adviser</t>
  </si>
  <si>
    <t>Parwiz.m@ht-iq.com</t>
  </si>
  <si>
    <t>Leraban company</t>
  </si>
  <si>
    <t>aliderinkuyu@hotmail.com</t>
  </si>
  <si>
    <t>EDIT ELECTRONIC</t>
  </si>
  <si>
    <t>Export manager</t>
  </si>
  <si>
    <t>90 5327000000</t>
  </si>
  <si>
    <t>esm@editelektronik.com.tr</t>
  </si>
  <si>
    <t>Istanbul /Turkey</t>
  </si>
  <si>
    <t>Sako company</t>
  </si>
  <si>
    <t>sako.company91@yahoo.com</t>
  </si>
  <si>
    <t>Suleimaniyah</t>
  </si>
  <si>
    <t>Golden Logistics</t>
  </si>
  <si>
    <t>Erbil /italian city 2. No 5-c</t>
  </si>
  <si>
    <t>Berawa company</t>
  </si>
  <si>
    <t>G.manger</t>
  </si>
  <si>
    <t>berawa.co1990@yahoo.com</t>
  </si>
  <si>
    <t>Erbil /shexalla</t>
  </si>
  <si>
    <t>Guanghzou company</t>
  </si>
  <si>
    <t>G.manager</t>
  </si>
  <si>
    <t>rasul.omar@gzcompanyltd.com</t>
  </si>
  <si>
    <t>Erbil /van mall E5</t>
  </si>
  <si>
    <t>Rawanga foundation</t>
  </si>
  <si>
    <t>Field officer</t>
  </si>
  <si>
    <t>ari.korachy@rwanga.org</t>
  </si>
  <si>
    <t>True design</t>
  </si>
  <si>
    <t>truedesign6@gmail.com</t>
  </si>
  <si>
    <t>Silver white</t>
  </si>
  <si>
    <t>Erbil /بناية العدالة طابق 13 ئوفيس19</t>
  </si>
  <si>
    <t>Hams al khaleej</t>
  </si>
  <si>
    <t>alhams_company@yahoo.com</t>
  </si>
  <si>
    <t>Erbil &amp; Baghdad</t>
  </si>
  <si>
    <t>Danhav design</t>
  </si>
  <si>
    <t>Seals department</t>
  </si>
  <si>
    <t>info@danhavid.com</t>
  </si>
  <si>
    <t>Halkawt company</t>
  </si>
  <si>
    <t>Managing director</t>
  </si>
  <si>
    <t>halkawt_car@yahoo.com</t>
  </si>
  <si>
    <t>Erbil /erbil south</t>
  </si>
  <si>
    <t>Gara group</t>
  </si>
  <si>
    <t>info@groupigara.com</t>
  </si>
  <si>
    <t>Erbil /italyan city 1 /No 332</t>
  </si>
  <si>
    <t>Bainar company</t>
  </si>
  <si>
    <t>Authorized manager</t>
  </si>
  <si>
    <t>ihab@bainar.com</t>
  </si>
  <si>
    <t>Erbil/ankawa</t>
  </si>
  <si>
    <t>Shalaw company</t>
  </si>
  <si>
    <t>Shalawbwrhan@gmail.com</t>
  </si>
  <si>
    <t>Erbil /100m near of mamal qeer</t>
  </si>
  <si>
    <t>L-gcc company</t>
  </si>
  <si>
    <t>Project coordinator</t>
  </si>
  <si>
    <t>bassmah@L-gcc.com</t>
  </si>
  <si>
    <t>Erbil /empire diamond /block A-404</t>
  </si>
  <si>
    <t>Bahoz company</t>
  </si>
  <si>
    <t>bahozibahar@gmail.com</t>
  </si>
  <si>
    <t>Erbil gulan tower</t>
  </si>
  <si>
    <t>Mecha service</t>
  </si>
  <si>
    <t>Adminst</t>
  </si>
  <si>
    <t>azad_temar@yahoo.com</t>
  </si>
  <si>
    <t>Duhok/sumail</t>
  </si>
  <si>
    <t>Shaman company</t>
  </si>
  <si>
    <t>shamancompan@yahoo.com</t>
  </si>
  <si>
    <t>Kirkuk government street</t>
  </si>
  <si>
    <t>Firhad&amp;dashti shop</t>
  </si>
  <si>
    <t>farhad1977m@yahoo.com</t>
  </si>
  <si>
    <t>Mzafar smith</t>
  </si>
  <si>
    <t>نيه</t>
  </si>
  <si>
    <t>Milano mariwan</t>
  </si>
  <si>
    <t>Civil engineer</t>
  </si>
  <si>
    <t>milanobureau76@gmail.com</t>
  </si>
  <si>
    <t>Al.nather engineering</t>
  </si>
  <si>
    <t>abdulrahmanzakarya@gmail.com</t>
  </si>
  <si>
    <t>موصل/تقاطع الجامعة الضوئي</t>
  </si>
  <si>
    <t>Mardo company</t>
  </si>
  <si>
    <t>Erbil /koya road</t>
  </si>
  <si>
    <t>Shelman company</t>
  </si>
  <si>
    <t>shelman.co@gmail.com</t>
  </si>
  <si>
    <t>Erbil /famly mall industrial zone</t>
  </si>
  <si>
    <t>Sirwan mosul company</t>
  </si>
  <si>
    <t>serwanmusll@gmail.com</t>
  </si>
  <si>
    <t>Erbil /street mosul opposite the electricity department</t>
  </si>
  <si>
    <t>Rand company</t>
  </si>
  <si>
    <t>Sales manager</t>
  </si>
  <si>
    <t>ali-doski@randeco.com</t>
  </si>
  <si>
    <t>Duhok/11aylol st.1018AA</t>
  </si>
  <si>
    <t>Iconic group</t>
  </si>
  <si>
    <t>Development manager</t>
  </si>
  <si>
    <t>sales@iconic-ltd.net</t>
  </si>
  <si>
    <t>Erbil /italian village 1/no:143</t>
  </si>
  <si>
    <t>West anatolia company</t>
  </si>
  <si>
    <t>General manager</t>
  </si>
  <si>
    <t>mustafa1architect@gmail.com</t>
  </si>
  <si>
    <t>Erbil /100m near family mall</t>
  </si>
  <si>
    <t>Anadolu insaat</t>
  </si>
  <si>
    <t>anadolu.insaat.irq@gmail.com</t>
  </si>
  <si>
    <t>Erbil /ankawa</t>
  </si>
  <si>
    <t>Rawaj company</t>
  </si>
  <si>
    <t>Ganeral director</t>
  </si>
  <si>
    <t>rawajco.2012@yahoo.com</t>
  </si>
  <si>
    <t>Iraq/duhok-malta</t>
  </si>
  <si>
    <t>Palazzo company</t>
  </si>
  <si>
    <t>GM@palazzo-iq.com</t>
  </si>
  <si>
    <t>Iraq /mosul</t>
  </si>
  <si>
    <t>BHA company</t>
  </si>
  <si>
    <t>bhacompany1983@gmail.com</t>
  </si>
  <si>
    <t>Charchal company</t>
  </si>
  <si>
    <t>إربيل شارع ملا افندى مقابل مقبرة</t>
  </si>
  <si>
    <t>Sardar salar</t>
  </si>
  <si>
    <t>sardarsalar954@gmail.com</t>
  </si>
  <si>
    <t>Decoras company</t>
  </si>
  <si>
    <t>sherzadhawlery8877@gmail.com</t>
  </si>
  <si>
    <t>Erbil shorsh street</t>
  </si>
  <si>
    <t>Khoshnaw company</t>
  </si>
  <si>
    <t>Sales engineer</t>
  </si>
  <si>
    <t>paywand.farooq@khoshnawcompany.com</t>
  </si>
  <si>
    <t>Erbil /koya street</t>
  </si>
  <si>
    <t>Allan company</t>
  </si>
  <si>
    <t>General contracting</t>
  </si>
  <si>
    <t>info@alancompany.net</t>
  </si>
  <si>
    <t>Erbil /zanyari tower</t>
  </si>
  <si>
    <t>Khoshnawaty company</t>
  </si>
  <si>
    <t>khoshnawaty449@gmail.com</t>
  </si>
  <si>
    <t>Erbil /100m/family mall</t>
  </si>
  <si>
    <t>Rojan group</t>
  </si>
  <si>
    <t>sabaharzi@yahoo.com</t>
  </si>
  <si>
    <t>Iraq /duhok</t>
  </si>
  <si>
    <t>Germaw</t>
  </si>
  <si>
    <t>Almeezan company</t>
  </si>
  <si>
    <t>Erbil /warehouse complex</t>
  </si>
  <si>
    <t>Karsan group</t>
  </si>
  <si>
    <t>Erbil /shaqamy koya nzek naxoshxanay dayk</t>
  </si>
  <si>
    <t>Sega company</t>
  </si>
  <si>
    <t>Erbil /psht family mall nzek mzgafte haji hussin</t>
  </si>
  <si>
    <t>Art company</t>
  </si>
  <si>
    <t>tariq.thaeer@yahoo.com</t>
  </si>
  <si>
    <t>Erbil ankawa</t>
  </si>
  <si>
    <t>Dashty company</t>
  </si>
  <si>
    <t>dashty_tools@yahoo.com</t>
  </si>
  <si>
    <t>Erbil /qala</t>
  </si>
  <si>
    <t>Fajr crystal</t>
  </si>
  <si>
    <t>halgurdfarhad96@gmail.com</t>
  </si>
  <si>
    <t>Erbil /setaqan nzek gas se taqan</t>
  </si>
  <si>
    <t>Sky light</t>
  </si>
  <si>
    <t>skylighterbil@gmail.com</t>
  </si>
  <si>
    <t>Erbil /setaqan</t>
  </si>
  <si>
    <t>Kldan company</t>
  </si>
  <si>
    <t>Executive director</t>
  </si>
  <si>
    <t>eng.salwa@kldancompany.com</t>
  </si>
  <si>
    <t>Erbil /English village 406</t>
  </si>
  <si>
    <t>Tishky kaywan company</t>
  </si>
  <si>
    <t>info@tishky-kaywan.com</t>
  </si>
  <si>
    <t>Erbil /100m nzek bazare langa</t>
  </si>
  <si>
    <t>Shine building</t>
  </si>
  <si>
    <t>Project manager</t>
  </si>
  <si>
    <t>Shinebuilding2010@gmail.com</t>
  </si>
  <si>
    <t>H-A-M company</t>
  </si>
  <si>
    <t>hazharazeez67@gmail.com</t>
  </si>
  <si>
    <t>ZH design</t>
  </si>
  <si>
    <t>zh.design.construction @gmail.com</t>
  </si>
  <si>
    <t>Cornish st.opposite gasha institute</t>
  </si>
  <si>
    <t>Farhan company</t>
  </si>
  <si>
    <t>farhansurchy@gmail.com</t>
  </si>
  <si>
    <t>Erbil /60m street opposite haji murad mosque</t>
  </si>
  <si>
    <t>Handreen company</t>
  </si>
  <si>
    <t>Erbil 60m street</t>
  </si>
  <si>
    <t>H2N company</t>
  </si>
  <si>
    <t>halloh2n@gmail.com</t>
  </si>
  <si>
    <t>Erbil /maxmur</t>
  </si>
  <si>
    <t>Baghipak@gmail.com</t>
  </si>
  <si>
    <t>baghipak@gmail.com</t>
  </si>
  <si>
    <t>Altun saz</t>
  </si>
  <si>
    <t>mashines.trading@gmail.com</t>
  </si>
  <si>
    <t>Erbil /baxtyari</t>
  </si>
  <si>
    <t>Alvan company</t>
  </si>
  <si>
    <t>alvann2010@yahoo.com</t>
  </si>
  <si>
    <t>Erbil /near farid hotel</t>
  </si>
  <si>
    <t>Zhinwar group</t>
  </si>
  <si>
    <t>Erbil naz naz</t>
  </si>
  <si>
    <t>Arzev company</t>
  </si>
  <si>
    <t>mokwen2003@gmail.com</t>
  </si>
  <si>
    <t>Erbil /makhmour road</t>
  </si>
  <si>
    <t>Tanj group</t>
  </si>
  <si>
    <t>It manager</t>
  </si>
  <si>
    <t>it.dep@tanjgroup.com</t>
  </si>
  <si>
    <t>Erbil /italian village 1 villa347</t>
  </si>
  <si>
    <t>NRCO company</t>
  </si>
  <si>
    <t>erbil.office@nrco.ae</t>
  </si>
  <si>
    <t>Erbil /italian village 1 villa 102</t>
  </si>
  <si>
    <t>BROCAR</t>
  </si>
  <si>
    <t>brocar.curtains@gmail.com</t>
  </si>
  <si>
    <t>Erbil /60m street</t>
  </si>
  <si>
    <t>Ali Dib Group</t>
  </si>
  <si>
    <t>Erbil /baxtyari tow side</t>
  </si>
  <si>
    <t>Ebdaa AL-wakeel</t>
  </si>
  <si>
    <t>sales@ebdaaalwakeel.com</t>
  </si>
  <si>
    <t>Erbil /saitaqan</t>
  </si>
  <si>
    <t>Carrier Hexa</t>
  </si>
  <si>
    <t>Services manager</t>
  </si>
  <si>
    <t>ammar_alasady@carrier-hexa.com</t>
  </si>
  <si>
    <t>Erbil /italian city villa 344</t>
  </si>
  <si>
    <t>High smart</t>
  </si>
  <si>
    <t>karzan@hi-smart.com</t>
  </si>
  <si>
    <t>Erbil /italian city 1 A22</t>
  </si>
  <si>
    <t>UZAY</t>
  </si>
  <si>
    <t>acc@uzay-electric.com</t>
  </si>
  <si>
    <t>Erbil /italian city 1, house no 603</t>
  </si>
  <si>
    <t>Limakport iskenderun</t>
  </si>
  <si>
    <t>Marketing specialist</t>
  </si>
  <si>
    <t>tomer@limak.com.tr</t>
  </si>
  <si>
    <t>Erbil /italian village 1/villa 345</t>
  </si>
  <si>
    <t>Administration</t>
  </si>
  <si>
    <t>info@kavin-group.com</t>
  </si>
  <si>
    <t>Erbil /italy1/house 141</t>
  </si>
  <si>
    <t>STRONG BUILDING Group</t>
  </si>
  <si>
    <t>Sarbazagha@strongbuildingiraq.com</t>
  </si>
  <si>
    <t>Erbil /empire world</t>
  </si>
  <si>
    <t>Deko Dream</t>
  </si>
  <si>
    <t>info@dekodream.com</t>
  </si>
  <si>
    <t>Erbil /mosul road -7.5km after 120 road</t>
  </si>
  <si>
    <t>Wolf group</t>
  </si>
  <si>
    <t>HR&amp; Admin manager</t>
  </si>
  <si>
    <t>E.Chra@strongwolfiraq.com</t>
  </si>
  <si>
    <t>Erbil /empire pearl tower /p5</t>
  </si>
  <si>
    <t>Service supervisor</t>
  </si>
  <si>
    <t>eabdullah@asiainsurance.net</t>
  </si>
  <si>
    <t>Erbil /empire business tower building T4 -21st floor</t>
  </si>
  <si>
    <t>Segment company</t>
  </si>
  <si>
    <t>Administrative manager</t>
  </si>
  <si>
    <t>orfa@segment.pro</t>
  </si>
  <si>
    <t>Erbil /empire business tower T4 22.4</t>
  </si>
  <si>
    <t>AVRO company</t>
  </si>
  <si>
    <t>avrocompany.com</t>
  </si>
  <si>
    <t>Erbil /empire business complex T4 20th floor</t>
  </si>
  <si>
    <t>Al-shamil group</t>
  </si>
  <si>
    <t>Procurement officer</t>
  </si>
  <si>
    <t>procurement@almaharaco.com</t>
  </si>
  <si>
    <t>Erbil /empire business T4 office #3</t>
  </si>
  <si>
    <t>MAMISA</t>
  </si>
  <si>
    <t>Karwan@mamiconstruction.com</t>
  </si>
  <si>
    <t>Erbil /italian village 2 no 293</t>
  </si>
  <si>
    <t>Build tech</t>
  </si>
  <si>
    <t>salah@buildtech-iraq.com</t>
  </si>
  <si>
    <t>BAGNO DESIGN</t>
  </si>
  <si>
    <t>bagnodesignerbil@gmail.com</t>
  </si>
  <si>
    <t>AAF</t>
  </si>
  <si>
    <t>Program manager</t>
  </si>
  <si>
    <t>pm@the-aaf.org</t>
  </si>
  <si>
    <t>Erbil /atconz, villa s6/7</t>
  </si>
  <si>
    <t>Tuscana group</t>
  </si>
  <si>
    <t>info@tuscana-group.com</t>
  </si>
  <si>
    <t>Erbil /atconz villa s1-10</t>
  </si>
  <si>
    <t>Varin group</t>
  </si>
  <si>
    <t>info@varinfx.com</t>
  </si>
  <si>
    <t>Erbil /italian city 2,villa 390</t>
  </si>
  <si>
    <t>Ruade AL-Atlas</t>
  </si>
  <si>
    <t>sivan.sirwan@ruadealatlas.com</t>
  </si>
  <si>
    <t>Erbil italian village 2 villa 1194</t>
  </si>
  <si>
    <t>Media ceramic</t>
  </si>
  <si>
    <t>info@mediaceramic.com</t>
  </si>
  <si>
    <t>Erbil /shrorsh road</t>
  </si>
  <si>
    <t>Quality group</t>
  </si>
  <si>
    <t>ahmedyusuf@qualitygroup.com.tr</t>
  </si>
  <si>
    <t>Erbil /Bakhtyari street</t>
  </si>
  <si>
    <t>DMA Group</t>
  </si>
  <si>
    <t>Manager</t>
  </si>
  <si>
    <t>aso.mudafar@dmavet.com</t>
  </si>
  <si>
    <t>Azwa company</t>
  </si>
  <si>
    <t>Sales management</t>
  </si>
  <si>
    <t>azwa.company@yahoo.com</t>
  </si>
  <si>
    <t>HowGatco</t>
  </si>
  <si>
    <t>g.alattyiah@howgatco.com</t>
  </si>
  <si>
    <t>Erbil/ronaki)</t>
  </si>
  <si>
    <t>Balsan</t>
  </si>
  <si>
    <t>yaser.omer@al-balsan.com</t>
  </si>
  <si>
    <t>Erbil /bahrka road</t>
  </si>
  <si>
    <t>Wezan group</t>
  </si>
  <si>
    <t>esmail.wezan@gmail.com</t>
  </si>
  <si>
    <t>Erbil /100m st</t>
  </si>
  <si>
    <t>Mustawfy</t>
  </si>
  <si>
    <t>muhamed@hawkary.com</t>
  </si>
  <si>
    <t>Erbil /99zanko</t>
  </si>
  <si>
    <t>Kayra electric</t>
  </si>
  <si>
    <t>ihsanacebek75@hotmail.com</t>
  </si>
  <si>
    <t>AL-najar company</t>
  </si>
  <si>
    <t>alnajar_hisham@yahoo.com</t>
  </si>
  <si>
    <t>Anwer company</t>
  </si>
  <si>
    <t>anwer.hadadco@yahoo.com</t>
  </si>
  <si>
    <t>EF group</t>
  </si>
  <si>
    <t>khalil@e-f-group.com</t>
  </si>
  <si>
    <t>Erbil /runaky</t>
  </si>
  <si>
    <t>Sinar company</t>
  </si>
  <si>
    <t>noraldin@sinarco.com</t>
  </si>
  <si>
    <t>Duhok /kwashi</t>
  </si>
  <si>
    <t>Zorlu company</t>
  </si>
  <si>
    <t>nabilshwan@gmail.com</t>
  </si>
  <si>
    <t>Erbil /32park</t>
  </si>
  <si>
    <t>MAMISA company</t>
  </si>
  <si>
    <t>Procurement manager</t>
  </si>
  <si>
    <t>info@mamiconstruction.com</t>
  </si>
  <si>
    <t>Erbil /naz naz street</t>
  </si>
  <si>
    <t>AL-Mimar group</t>
  </si>
  <si>
    <t>Structural engineer</t>
  </si>
  <si>
    <t>info@almimargroup.com</t>
  </si>
  <si>
    <t>Erbil /60m str.near qader bla mosque</t>
  </si>
  <si>
    <t>Dlzar Quartz</t>
  </si>
  <si>
    <t>Solin group</t>
  </si>
  <si>
    <t>haci_helel@yahoo.com</t>
  </si>
  <si>
    <t>Erbil 100m street</t>
  </si>
  <si>
    <t>Saman factory</t>
  </si>
  <si>
    <t>syrwanassad@yahoo.com</t>
  </si>
  <si>
    <t>Erbil karkuk road</t>
  </si>
  <si>
    <t>Brayan company</t>
  </si>
  <si>
    <t>brayan-co@hotmail.com</t>
  </si>
  <si>
    <t>Duhok</t>
  </si>
  <si>
    <t>LEGACY</t>
  </si>
  <si>
    <t>Site engineer</t>
  </si>
  <si>
    <t>mostafa.jamal@ubholding.com</t>
  </si>
  <si>
    <t>Duhok /barzan street</t>
  </si>
  <si>
    <t>SASEGAFIX</t>
  </si>
  <si>
    <t>SAIWAN</t>
  </si>
  <si>
    <t>(750) 244-9944</t>
  </si>
  <si>
    <t>ERBIL-NORTH INDUSTRY</t>
  </si>
  <si>
    <t>HASAN CRAFTSMAN</t>
  </si>
  <si>
    <t>(750) 460-5324</t>
  </si>
  <si>
    <t>ERBIL</t>
  </si>
  <si>
    <t>SAMIR SHOP</t>
  </si>
  <si>
    <t>(750) 447-5675</t>
  </si>
  <si>
    <t>SAMER.TOLS@YAHOO.COM</t>
  </si>
  <si>
    <t>ERBIL-STORAGES BEHINDE FAMILLY MALL</t>
  </si>
  <si>
    <t>SHAMS CO.</t>
  </si>
  <si>
    <t>(750) 920-6160</t>
  </si>
  <si>
    <t>SHAMSXOSHNAW@YAHOO.COM</t>
  </si>
  <si>
    <t>DEWANDER SHOP</t>
  </si>
  <si>
    <t>(750) 421-4393</t>
  </si>
  <si>
    <t>FERHAD DASHTI STORAGE</t>
  </si>
  <si>
    <t>(750) 477-9793</t>
  </si>
  <si>
    <t>FARHAD1977M@YAHOO.COM</t>
  </si>
  <si>
    <t>PARWAZ SHOW</t>
  </si>
  <si>
    <t>BTAWFIQ</t>
  </si>
  <si>
    <t>(750) 445-6527</t>
  </si>
  <si>
    <t>AHMADTK55@YAHOO.COM</t>
  </si>
  <si>
    <t>ERBIL-SAITAQAN ST.</t>
  </si>
  <si>
    <t>NAWZAD HAJI CO.</t>
  </si>
  <si>
    <t>IMMAD</t>
  </si>
  <si>
    <t>(750) 265-1000</t>
  </si>
  <si>
    <t>KERKUK-RAHIMAWA</t>
  </si>
  <si>
    <t>ALMEEZAN OFFICE</t>
  </si>
  <si>
    <t>IBRAHIM HASSAN</t>
  </si>
  <si>
    <t>(750) 228-8990</t>
  </si>
  <si>
    <t>KERKUK-ERBIL</t>
  </si>
  <si>
    <t>MEDIA CERAMIC</t>
  </si>
  <si>
    <t>(750) 288-9000</t>
  </si>
  <si>
    <t>MEDIACERAMIC@GMAIL.COM</t>
  </si>
  <si>
    <t>ERBIL-KOYA ROAD</t>
  </si>
  <si>
    <t>NAWAZISH CO.</t>
  </si>
  <si>
    <t>(750) 490-3399</t>
  </si>
  <si>
    <t>NWAZSHTILE2008@GMAIL.COM</t>
  </si>
  <si>
    <t>ERBIL-60M ISHK COLLAGE</t>
  </si>
  <si>
    <t>PICASSO CO.</t>
  </si>
  <si>
    <t>NIYAZ</t>
  </si>
  <si>
    <t>(750) 502-0247</t>
  </si>
  <si>
    <t>ERBIL-60M HOLY ZARD</t>
  </si>
  <si>
    <t>ROJHAT SHOW</t>
  </si>
  <si>
    <t>(750) 447-5699</t>
  </si>
  <si>
    <t>DIDAR CO.</t>
  </si>
  <si>
    <t>(750) 445-1411</t>
  </si>
  <si>
    <t>DIDAR_KHOSHNAW@YAHOO.COM</t>
  </si>
  <si>
    <t>ERBIL-60M SHORESH OVERPASS</t>
  </si>
  <si>
    <t>HEWR CO.</t>
  </si>
  <si>
    <t>(750) 760-7305</t>
  </si>
  <si>
    <t>HWERCOMPANY@GMAIL.COM</t>
  </si>
  <si>
    <t>ENAS COMPANY</t>
  </si>
  <si>
    <t>(750) 844-5299</t>
  </si>
  <si>
    <t>ENASCOMPANY@YAHOO.COM</t>
  </si>
  <si>
    <t>HERMES TILE SHOW</t>
  </si>
  <si>
    <t>(750) 881-2222</t>
  </si>
  <si>
    <t>PERSEPOLIST TILE</t>
  </si>
  <si>
    <t>(750) 436-0371</t>
  </si>
  <si>
    <t>PERSEPOLISTILE.IRAQ@GMAIL.COM</t>
  </si>
  <si>
    <t>HAWLERI NOE</t>
  </si>
  <si>
    <t>BEHRAM</t>
  </si>
  <si>
    <t>(750) 449-5939</t>
  </si>
  <si>
    <t>ERBIL-KESNEZAN ROAD</t>
  </si>
  <si>
    <t>BLUE MINA</t>
  </si>
  <si>
    <t>SHAWEEN HARKI</t>
  </si>
  <si>
    <t>(751) 001-1666</t>
  </si>
  <si>
    <t>ERBIL@BLUMIVA.COM</t>
  </si>
  <si>
    <t>ERBIL-PARK VIEW -(F/88)</t>
  </si>
  <si>
    <t>HOZ CO.</t>
  </si>
  <si>
    <t>SAMAN SHAWKAT</t>
  </si>
  <si>
    <t>(750) 456-9139</t>
  </si>
  <si>
    <t>HOZ_COMPANY@YAHOO.COM</t>
  </si>
  <si>
    <t>ERBIL-KERKUK</t>
  </si>
  <si>
    <t>NZMI MUSTFA</t>
  </si>
  <si>
    <t>(750) 462-6602</t>
  </si>
  <si>
    <t>NZMI.MOSTAFA@ENGINEER.COM</t>
  </si>
  <si>
    <t>SERDAR HUSSEIN</t>
  </si>
  <si>
    <t>(750) 493-3048</t>
  </si>
  <si>
    <t>ENG_SARDAR@YAHOO.COM</t>
  </si>
  <si>
    <t>KASHI STARA</t>
  </si>
  <si>
    <t>(750) 100-7002</t>
  </si>
  <si>
    <t>ERBIL-60M ST.</t>
  </si>
  <si>
    <t>CIVIL ENG.</t>
  </si>
  <si>
    <t>ZANA MOHMED</t>
  </si>
  <si>
    <t>(750) 938-5333</t>
  </si>
  <si>
    <t>ZH.DESIGN.CONSTRUCTION@GMAIL.COM</t>
  </si>
  <si>
    <t>MPT CO.</t>
  </si>
  <si>
    <t>QELAT SHOW</t>
  </si>
  <si>
    <t>(770) 167-0700</t>
  </si>
  <si>
    <t>ERBIL-SHOURTA QR</t>
  </si>
  <si>
    <t>COLACA CO</t>
  </si>
  <si>
    <t>SALAHADDIN ALI</t>
  </si>
  <si>
    <t>(750) 445-6261</t>
  </si>
  <si>
    <t>COLACA.COMPANY@GMAIL.COM</t>
  </si>
  <si>
    <t>ERBIL-ENGLISH VILLAGE 301</t>
  </si>
  <si>
    <t>NOOR AL SHEKH CO.</t>
  </si>
  <si>
    <t>NOORLDEEN</t>
  </si>
  <si>
    <t>(750) 899-1152</t>
  </si>
  <si>
    <t>HAWRAZNOR-1986@YAHOO.COM</t>
  </si>
  <si>
    <t>KERKUK-MOHAFZA STREET</t>
  </si>
  <si>
    <t>AZWA CO.</t>
  </si>
  <si>
    <t>ABDULBAASET ALI</t>
  </si>
  <si>
    <t>(750) 456-0077</t>
  </si>
  <si>
    <t>AZWA.COMPANY@YAHOO.COM</t>
  </si>
  <si>
    <t>HASAN FALEH CO.</t>
  </si>
  <si>
    <t>IBRAHIM ABDULAZIZ</t>
  </si>
  <si>
    <t>(750) 721-1732</t>
  </si>
  <si>
    <t>HASANFALIH.CO@GMAIL.COM</t>
  </si>
  <si>
    <t>ERBIL-BAKHTIARI</t>
  </si>
  <si>
    <t>SHINE BUILDING CO.</t>
  </si>
  <si>
    <t>KEMAL KIZIL KAYA</t>
  </si>
  <si>
    <t>(750) 490-5454</t>
  </si>
  <si>
    <t>SHINEBUILDING2010@GMAIL.COM</t>
  </si>
  <si>
    <t>GARA GROUP</t>
  </si>
  <si>
    <t>(750) 446-4560</t>
  </si>
  <si>
    <t>INFO@GROUPIGARA.COM</t>
  </si>
  <si>
    <t>ERBIL-ITALYAN CITY 332</t>
  </si>
  <si>
    <t>AAC CO.</t>
  </si>
  <si>
    <t>KHALIL</t>
  </si>
  <si>
    <t>(750) 100-7741</t>
  </si>
  <si>
    <t>AAC.COAZA@GMAIL.COM</t>
  </si>
  <si>
    <t>ARMINAS CO. LLC</t>
  </si>
  <si>
    <t>ZHINO UMER</t>
  </si>
  <si>
    <t>(750) 445-1252</t>
  </si>
  <si>
    <t>ZHINO@ARMINAS-IRAQ.COM</t>
  </si>
  <si>
    <t>ERBIL-SHORESH ST.</t>
  </si>
  <si>
    <t>SHAEWAN CO.</t>
  </si>
  <si>
    <t>REZGAR REHMAN</t>
  </si>
  <si>
    <t>(751) 700-2420</t>
  </si>
  <si>
    <t>RAHMAN1@YAHOO.COM</t>
  </si>
  <si>
    <t>NAC CO.</t>
  </si>
  <si>
    <t>AMANJ HIJRAN</t>
  </si>
  <si>
    <t>(750) 918-8558</t>
  </si>
  <si>
    <t>ALSHAHEEN99@YAHOO.COM</t>
  </si>
  <si>
    <t>KERKUR</t>
  </si>
  <si>
    <t>KIRMANJ CO.</t>
  </si>
  <si>
    <t>NAJAT NOORI</t>
  </si>
  <si>
    <t>(750) 934-8000</t>
  </si>
  <si>
    <t>NAJAT@KIRMANJ.COM</t>
  </si>
  <si>
    <t>MNW TOWER</t>
  </si>
  <si>
    <t>KARZAN</t>
  </si>
  <si>
    <t>(750) 453-4916</t>
  </si>
  <si>
    <t>PROJECTMANAGER@MNWTOWER.COM</t>
  </si>
  <si>
    <t>ERBIL-WEZIRAN</t>
  </si>
  <si>
    <t>MALIK QASIM</t>
  </si>
  <si>
    <t>(751) 740-8004</t>
  </si>
  <si>
    <t>CONSTRUCTION@HMHGROUP.CO</t>
  </si>
  <si>
    <t>QALB CO.</t>
  </si>
  <si>
    <t>CHEMICAL METERIALS</t>
  </si>
  <si>
    <t>(751) 229-8630</t>
  </si>
  <si>
    <t>MARWAN894M@GMAIL.COM</t>
  </si>
  <si>
    <t>ERBIL-60M ST.- SAILO</t>
  </si>
  <si>
    <t>KRSHAN CO.</t>
  </si>
  <si>
    <t>(750) 445-8414</t>
  </si>
  <si>
    <t>KRSHAN.KRSHAN@YAHOO.COM</t>
  </si>
  <si>
    <t>ERBIL-SLAVA VILLA,S-30</t>
  </si>
  <si>
    <t>DEKO DREAM</t>
  </si>
  <si>
    <t>ARCHITECT</t>
  </si>
  <si>
    <t>(750) 338-0959</t>
  </si>
  <si>
    <t>INFO@DEKODREAM.COM</t>
  </si>
  <si>
    <t>MEHRAN CO.</t>
  </si>
  <si>
    <t>AYOUB SHOP</t>
  </si>
  <si>
    <t>(750) 231-7758</t>
  </si>
  <si>
    <t>MUHAMMAD88AYUB@GMAIL.COM</t>
  </si>
  <si>
    <t>ERBIL-BAHERKA DUSIDE</t>
  </si>
  <si>
    <t>HAJI REZGAR</t>
  </si>
  <si>
    <t>(750) 449-3864</t>
  </si>
  <si>
    <t>SALAR CO.</t>
  </si>
  <si>
    <t>ABDUL HAMMID</t>
  </si>
  <si>
    <t>(750) 457-0213</t>
  </si>
  <si>
    <t>SALARKO2005@GMAIL.COM</t>
  </si>
  <si>
    <t>DUHOK</t>
  </si>
  <si>
    <t>KP CO.</t>
  </si>
  <si>
    <t>FADIL MAWLOOD</t>
  </si>
  <si>
    <t>(750) 456-5272</t>
  </si>
  <si>
    <t>KP.COMPANY77@GMAIL.COM</t>
  </si>
  <si>
    <t>ERBIL-JUSTIC TOWER</t>
  </si>
  <si>
    <t>MUHSIN KHALID</t>
  </si>
  <si>
    <t>INSTRUCTURAL</t>
  </si>
  <si>
    <t>(750) 412-5680</t>
  </si>
  <si>
    <t>MUHSIN.ST80@GMAIL.COM</t>
  </si>
  <si>
    <t>BUSINESS PEER CO.</t>
  </si>
  <si>
    <t>RASAN FATIH</t>
  </si>
  <si>
    <t>(750) 305-6300</t>
  </si>
  <si>
    <t>RASAN@BUSINEDDPEER.NET</t>
  </si>
  <si>
    <t>MODIRAN AHAN</t>
  </si>
  <si>
    <t>MOHBE</t>
  </si>
  <si>
    <t>(913) 115-3556</t>
  </si>
  <si>
    <t>INFO@MODIRNAHAN.COM</t>
  </si>
  <si>
    <t>IRAN-ASFHAN</t>
  </si>
  <si>
    <t>TATOK CO.</t>
  </si>
  <si>
    <t>(750) 452-0654</t>
  </si>
  <si>
    <t>TATOK_COM@YAHOO.COM</t>
  </si>
  <si>
    <t>ERBIL-SOUTH INDUSTRIAL</t>
  </si>
  <si>
    <t xml:space="preserve">Lux Show </t>
  </si>
  <si>
    <t xml:space="preserve">Kamran </t>
  </si>
  <si>
    <t xml:space="preserve">kashi </t>
  </si>
  <si>
    <t>Erbil - 60 m</t>
  </si>
  <si>
    <t xml:space="preserve">Mazand For Electrical </t>
  </si>
  <si>
    <t>carpet</t>
  </si>
  <si>
    <t>Erbil - Setaqan</t>
  </si>
  <si>
    <t xml:space="preserve">كلاس لايت للأنارة </t>
  </si>
  <si>
    <t xml:space="preserve">نشوان </t>
  </si>
  <si>
    <t xml:space="preserve">انارة </t>
  </si>
  <si>
    <t xml:space="preserve">اربيل - سيتاقان </t>
  </si>
  <si>
    <t xml:space="preserve">مصب الروافد </t>
  </si>
  <si>
    <t xml:space="preserve">تجارة المحولات والكيبلات </t>
  </si>
  <si>
    <t xml:space="preserve">اربيل - شارع كوران </t>
  </si>
  <si>
    <t xml:space="preserve">ياسين اسعد </t>
  </si>
  <si>
    <t xml:space="preserve">تجارة المواد الكهربائية </t>
  </si>
  <si>
    <t>اربيل - سيتاقان</t>
  </si>
  <si>
    <t xml:space="preserve">كولدن لايت </t>
  </si>
  <si>
    <t xml:space="preserve">كهربائيات </t>
  </si>
  <si>
    <t xml:space="preserve">معرض تحسين </t>
  </si>
  <si>
    <t>ثريا - براكيت - سبوت لايت</t>
  </si>
  <si>
    <t xml:space="preserve">Yara Kitchen </t>
  </si>
  <si>
    <t xml:space="preserve">مطابخ وديكورات </t>
  </si>
  <si>
    <t xml:space="preserve">اربيل - طريق كوية </t>
  </si>
  <si>
    <t xml:space="preserve">معرض خوشناو </t>
  </si>
  <si>
    <t xml:space="preserve">غطاس - مضخات ماىية </t>
  </si>
  <si>
    <t xml:space="preserve">اربيل - شارع الستيني </t>
  </si>
  <si>
    <t>معرض هندرين للمرمر</t>
  </si>
  <si>
    <t xml:space="preserve">مرمر وكرانيت </t>
  </si>
  <si>
    <t xml:space="preserve">اربيل شارع الستيني </t>
  </si>
  <si>
    <t xml:space="preserve">شركة موبا </t>
  </si>
  <si>
    <t xml:space="preserve">info@mobacompany.com </t>
  </si>
  <si>
    <t xml:space="preserve">اربيل - شارع شورش </t>
  </si>
  <si>
    <t xml:space="preserve">معرض اديسون </t>
  </si>
  <si>
    <t xml:space="preserve">شركة ديوان </t>
  </si>
  <si>
    <t xml:space="preserve">موبيليات </t>
  </si>
  <si>
    <t xml:space="preserve">اربيل - شارع 40 - كولان </t>
  </si>
  <si>
    <t xml:space="preserve">Varin Group </t>
  </si>
  <si>
    <t xml:space="preserve">الايطالية 2 </t>
  </si>
  <si>
    <t xml:space="preserve">معرض بوتان </t>
  </si>
  <si>
    <t xml:space="preserve">botanshow@gmail.com </t>
  </si>
  <si>
    <t xml:space="preserve">صن لايت للتجارة العامة </t>
  </si>
  <si>
    <t xml:space="preserve">تجارة عامة </t>
  </si>
  <si>
    <t xml:space="preserve">اربيل - صناعة الشمالية </t>
  </si>
  <si>
    <t xml:space="preserve">مكتب كرم لتجارة كامرات المراقبة </t>
  </si>
  <si>
    <t xml:space="preserve">كامرات </t>
  </si>
  <si>
    <t xml:space="preserve">اربيل - شارع سلطان مظفر </t>
  </si>
  <si>
    <t xml:space="preserve">موبيليات بيلونا للاثاث المنزلية </t>
  </si>
  <si>
    <t xml:space="preserve">اربيل - طريق كسنزان </t>
  </si>
  <si>
    <t xml:space="preserve">بدر خان لتجارة المواد الكهربائية </t>
  </si>
  <si>
    <t xml:space="preserve">rebwar2100@yahoo.com </t>
  </si>
  <si>
    <t xml:space="preserve">معرض اطلسي باكور للتجارة العامة وبيع المواد الكهربائية </t>
  </si>
  <si>
    <t xml:space="preserve">Royal Home </t>
  </si>
  <si>
    <t xml:space="preserve">اربيل - كسنزان </t>
  </si>
  <si>
    <t xml:space="preserve">Istikbal </t>
  </si>
  <si>
    <t>istikbal_erbil2@gmail.com</t>
  </si>
  <si>
    <t>موبيليات</t>
  </si>
  <si>
    <t xml:space="preserve">اربيل - شورش </t>
  </si>
  <si>
    <t xml:space="preserve">معرض عماد </t>
  </si>
  <si>
    <t xml:space="preserve">emd_company@yahoo.com </t>
  </si>
  <si>
    <t xml:space="preserve">كهربائيات والكترونيات </t>
  </si>
  <si>
    <r>
      <rPr>
        <rFont val="Roboto"/>
        <color rgb="FF434343"/>
        <sz val="12.0"/>
      </rPr>
      <t xml:space="preserve">Adham </t>
    </r>
    <r>
      <rPr>
        <rFont val="Roboto"/>
        <color rgb="FF434343"/>
        <sz val="12.0"/>
      </rPr>
      <t xml:space="preserve">lighting </t>
    </r>
  </si>
  <si>
    <t xml:space="preserve">info@adham-group.com </t>
  </si>
  <si>
    <t xml:space="preserve">كاشي بيكاسو لتجارة سيراميك </t>
  </si>
  <si>
    <t xml:space="preserve">سيراميك - بورسلين </t>
  </si>
  <si>
    <t xml:space="preserve">Ideal Vit </t>
  </si>
  <si>
    <t xml:space="preserve">حمامات </t>
  </si>
  <si>
    <t xml:space="preserve">اربيل سيتاقان </t>
  </si>
  <si>
    <t xml:space="preserve">المؤشرات للتجارة العامة </t>
  </si>
  <si>
    <t xml:space="preserve">poserbil1@almuashirat.com </t>
  </si>
  <si>
    <t xml:space="preserve">كارش للمطابخ والديكورات </t>
  </si>
  <si>
    <t>mainbranch@karashco.com</t>
  </si>
  <si>
    <t>اربيل - شارع الستيني</t>
  </si>
  <si>
    <t xml:space="preserve">Ion Lighting Gallery </t>
  </si>
  <si>
    <t xml:space="preserve">ionlight88@gmail.com </t>
  </si>
  <si>
    <t xml:space="preserve">موبيلياتي به يزا </t>
  </si>
  <si>
    <t xml:space="preserve">اثاث منزلي </t>
  </si>
  <si>
    <t>Sitara</t>
  </si>
  <si>
    <t xml:space="preserve">انارة - منزلية </t>
  </si>
  <si>
    <t xml:space="preserve">شركة ميركه سور </t>
  </si>
  <si>
    <t xml:space="preserve">dnr44330@yahoo.com </t>
  </si>
  <si>
    <t xml:space="preserve">اربيل </t>
  </si>
  <si>
    <t>diya- light</t>
  </si>
  <si>
    <t xml:space="preserve">شركة يشار للتجارة العامة والكهربائيات </t>
  </si>
  <si>
    <t xml:space="preserve">حجي فاخر </t>
  </si>
  <si>
    <t>yasharbil1@yahoo.com</t>
  </si>
  <si>
    <t xml:space="preserve">اربيل الجديدة </t>
  </si>
  <si>
    <t xml:space="preserve">معرض جنرال </t>
  </si>
  <si>
    <t xml:space="preserve">Azmir Electronics </t>
  </si>
  <si>
    <t xml:space="preserve">الكترونيات </t>
  </si>
  <si>
    <t xml:space="preserve">سبراميك سان </t>
  </si>
  <si>
    <t xml:space="preserve">كاشي سيراميك </t>
  </si>
  <si>
    <t xml:space="preserve">اربيل شورش </t>
  </si>
  <si>
    <t>Nahro &amp; Havraz</t>
  </si>
  <si>
    <t xml:space="preserve">اصباغ </t>
  </si>
  <si>
    <t xml:space="preserve">اربيل 30متري </t>
  </si>
  <si>
    <t xml:space="preserve">معرض عمر للتجارة العامة </t>
  </si>
  <si>
    <t xml:space="preserve">تجارة عامة  - كهربائيات </t>
  </si>
  <si>
    <t xml:space="preserve">سيتاقان </t>
  </si>
  <si>
    <t xml:space="preserve">اسيا لايت للتجارة العامة والكهربائية </t>
  </si>
  <si>
    <t xml:space="preserve">asialight2co@gmail.com </t>
  </si>
  <si>
    <t xml:space="preserve">شارع كوران مخمور </t>
  </si>
  <si>
    <t xml:space="preserve">ئه لفان للتجارة العامة </t>
  </si>
  <si>
    <t xml:space="preserve">alvann2010@yahoo.com </t>
  </si>
  <si>
    <t xml:space="preserve">اربيل - قرب فندق فريد </t>
  </si>
  <si>
    <t xml:space="preserve">معرض ليو </t>
  </si>
  <si>
    <t xml:space="preserve">kamal chiwa@yahoo.com </t>
  </si>
  <si>
    <t xml:space="preserve">ماطورات ماء </t>
  </si>
  <si>
    <t>موبيليات يارا</t>
  </si>
  <si>
    <t xml:space="preserve">اثاث </t>
  </si>
  <si>
    <t xml:space="preserve">ورلد بمب للتجارة العامة </t>
  </si>
  <si>
    <t xml:space="preserve">مرسل صاحب شفيق </t>
  </si>
  <si>
    <t xml:space="preserve">info@worldpumpco.com </t>
  </si>
  <si>
    <t xml:space="preserve">اربيل شارع كوران مخمور </t>
  </si>
  <si>
    <t xml:space="preserve">معرض هيتاشي </t>
  </si>
  <si>
    <t xml:space="preserve">اربيل طريق كوية </t>
  </si>
  <si>
    <t xml:space="preserve">ديكور هوم </t>
  </si>
  <si>
    <t xml:space="preserve">منزلي </t>
  </si>
  <si>
    <t xml:space="preserve">اربيل طريق كسنزان </t>
  </si>
  <si>
    <t xml:space="preserve">Wenge Mobilya </t>
  </si>
  <si>
    <t>اثاث</t>
  </si>
  <si>
    <t xml:space="preserve">معرض محسن لتجارة المواد الكهربائية والصناعية </t>
  </si>
  <si>
    <t xml:space="preserve">انارة - براكيت - ثريا </t>
  </si>
  <si>
    <t xml:space="preserve">كوران </t>
  </si>
  <si>
    <t>قه لاى هه ولير2</t>
  </si>
  <si>
    <t>home2</t>
  </si>
  <si>
    <t xml:space="preserve">كهربائيات  منزلية </t>
  </si>
  <si>
    <t xml:space="preserve">Rozh Electrical Lighting </t>
  </si>
  <si>
    <t xml:space="preserve">Hatawa Lighting Company </t>
  </si>
  <si>
    <t xml:space="preserve">hemn.light@gmail.com </t>
  </si>
  <si>
    <t xml:space="preserve">Sera Company </t>
  </si>
  <si>
    <t>info@seracompany.org</t>
  </si>
  <si>
    <t xml:space="preserve">تجارة عامة ومواد المنظفات </t>
  </si>
  <si>
    <t xml:space="preserve">Fajr Crystal </t>
  </si>
  <si>
    <t xml:space="preserve">هونيا لايت </t>
  </si>
  <si>
    <t xml:space="preserve">معرض حلبجة للتجارة العامة </t>
  </si>
  <si>
    <t xml:space="preserve">بهيز </t>
  </si>
  <si>
    <t xml:space="preserve">اناره - مواد كهربائية </t>
  </si>
  <si>
    <t>معرض   LG</t>
  </si>
  <si>
    <t>هه لو شاويسي</t>
  </si>
  <si>
    <t>الحلول الايطالية القخمة  Delos</t>
  </si>
  <si>
    <t>info@delos-international.net</t>
  </si>
  <si>
    <t xml:space="preserve">اربيل - شارع كولان </t>
  </si>
  <si>
    <t xml:space="preserve">Mohammed Company </t>
  </si>
  <si>
    <t>muhammadcompany96@gmail.com</t>
  </si>
  <si>
    <t xml:space="preserve">Sarhang Decoration </t>
  </si>
  <si>
    <t xml:space="preserve">sarhangdecoration23@gmail.com </t>
  </si>
  <si>
    <t xml:space="preserve">ديكورات </t>
  </si>
  <si>
    <t xml:space="preserve">gumus perde </t>
  </si>
  <si>
    <t xml:space="preserve">riadsalman@hotmail.com </t>
  </si>
  <si>
    <t xml:space="preserve">بردات </t>
  </si>
  <si>
    <t xml:space="preserve">اربيل سايدين بختياري </t>
  </si>
  <si>
    <t xml:space="preserve">Classic Lighting </t>
  </si>
  <si>
    <t xml:space="preserve">اربيل بختياري </t>
  </si>
  <si>
    <t>Liner Noor</t>
  </si>
  <si>
    <t xml:space="preserve">Nawazsh Company </t>
  </si>
  <si>
    <t xml:space="preserve">nawazshtile2008@gmail.com </t>
  </si>
  <si>
    <t xml:space="preserve">كاشي </t>
  </si>
  <si>
    <t xml:space="preserve">ابراهيم نوزاد احمد </t>
  </si>
  <si>
    <t>ibo.nawzadzray@gmail.com</t>
  </si>
  <si>
    <t xml:space="preserve">عزت عبد الرزاق لتجارة المواد الكهربائية </t>
  </si>
  <si>
    <t>izzatabdulrazaq@gmail.com</t>
  </si>
  <si>
    <t xml:space="preserve">Classy </t>
  </si>
  <si>
    <t xml:space="preserve">مغاسل </t>
  </si>
  <si>
    <t>Tac Home Textile Distrbutor</t>
  </si>
  <si>
    <t>tacerbilahmet@gmail.com</t>
  </si>
  <si>
    <t xml:space="preserve">مفارش - خاوليات </t>
  </si>
  <si>
    <t xml:space="preserve">Talay Tech </t>
  </si>
  <si>
    <t>info@talaytech.com</t>
  </si>
  <si>
    <t xml:space="preserve">طاقة ومقاولات </t>
  </si>
  <si>
    <t>اربيل - 120 متر</t>
  </si>
  <si>
    <t xml:space="preserve">Adham Curtain </t>
  </si>
  <si>
    <t>info@adhamcurtains.com</t>
  </si>
  <si>
    <t xml:space="preserve">ستائر </t>
  </si>
  <si>
    <t>London Bathroom Design</t>
  </si>
  <si>
    <t>Ekhlas Home &amp;Office Furniture</t>
  </si>
  <si>
    <t>info@ekhlasgroup.com</t>
  </si>
  <si>
    <t>BoMN Technology</t>
  </si>
  <si>
    <t xml:space="preserve">عباس </t>
  </si>
  <si>
    <t xml:space="preserve">eng.abbas@bomn.net </t>
  </si>
  <si>
    <t xml:space="preserve">كاميرات مراقبة </t>
  </si>
  <si>
    <t xml:space="preserve">اربيل شارع 100متري </t>
  </si>
  <si>
    <t xml:space="preserve">Palazzo </t>
  </si>
  <si>
    <t xml:space="preserve">اثاث - حمامات </t>
  </si>
  <si>
    <t>Dusaracompany</t>
  </si>
  <si>
    <t>mariwan@dusaracompany.com</t>
  </si>
  <si>
    <t xml:space="preserve">تجهبز مضخات مياه وكازوايل </t>
  </si>
  <si>
    <t xml:space="preserve">اربيل طريق مخمور </t>
  </si>
  <si>
    <t>Redar Piumbing &amp; Bathroom</t>
  </si>
  <si>
    <t xml:space="preserve">redar_iraq@hotmail.com </t>
  </si>
  <si>
    <t xml:space="preserve">اربيل 30 متري </t>
  </si>
  <si>
    <t>carrier by khoshnaw</t>
  </si>
  <si>
    <t xml:space="preserve">sales@amasiraq.com </t>
  </si>
  <si>
    <t xml:space="preserve">Tasan Company </t>
  </si>
  <si>
    <t xml:space="preserve">كركوك لايت </t>
  </si>
  <si>
    <t>plenumceramica</t>
  </si>
  <si>
    <t>muhammed.plenum@gmail.com</t>
  </si>
  <si>
    <t xml:space="preserve"> Artvit </t>
  </si>
  <si>
    <t xml:space="preserve">Adham Saloni art of Furmiture </t>
  </si>
  <si>
    <t>iraq.saloni@gmail.com</t>
  </si>
  <si>
    <t>EVA Architects</t>
  </si>
  <si>
    <t xml:space="preserve">architectseva@gmail.com </t>
  </si>
  <si>
    <t xml:space="preserve">مواد بناء </t>
  </si>
  <si>
    <t>Alsard Fiber</t>
  </si>
  <si>
    <t xml:space="preserve">dlnya.sadiq@alsardfiber.com </t>
  </si>
  <si>
    <t xml:space="preserve">اتصالات وانترنيت </t>
  </si>
  <si>
    <t>اربيل الايطالية 2</t>
  </si>
  <si>
    <t>kelebek</t>
  </si>
  <si>
    <t xml:space="preserve">info@adhamhome.com </t>
  </si>
  <si>
    <t xml:space="preserve">Msa Group </t>
  </si>
  <si>
    <t>info@msagroupiq.com</t>
  </si>
  <si>
    <t xml:space="preserve">بناء - اتصالات </t>
  </si>
  <si>
    <t>اربيل - طريق مخمور</t>
  </si>
  <si>
    <t>CMC construction material company</t>
  </si>
  <si>
    <t xml:space="preserve">logistic@cmc-iraq.com </t>
  </si>
  <si>
    <t xml:space="preserve">بناء </t>
  </si>
  <si>
    <t xml:space="preserve">سفين للوكالات التجارية المحدودة </t>
  </si>
  <si>
    <t xml:space="preserve">Tile Ceramic </t>
  </si>
  <si>
    <t xml:space="preserve">tileco12@gmail.com </t>
  </si>
  <si>
    <t xml:space="preserve">معرض شاهانه كريستال لأستيراد المواد الكهربائية </t>
  </si>
  <si>
    <t>shahatco.1965@yahoo.com</t>
  </si>
  <si>
    <t xml:space="preserve">معرض محمد </t>
  </si>
  <si>
    <t xml:space="preserve">سخانات </t>
  </si>
  <si>
    <t xml:space="preserve">Sun Group </t>
  </si>
  <si>
    <t xml:space="preserve">كروبي شالاو لتجارة الكهربائيات </t>
  </si>
  <si>
    <t xml:space="preserve">shalawa.nasih@yahoo.com </t>
  </si>
  <si>
    <t xml:space="preserve">Hewr Company </t>
  </si>
  <si>
    <t xml:space="preserve">hwercompany@gmail.com </t>
  </si>
  <si>
    <t xml:space="preserve">سيراميك </t>
  </si>
  <si>
    <t>معرض بشتيوان لتجارة واستيراد المواد الكهربائية الثريات</t>
  </si>
  <si>
    <t xml:space="preserve">لوكسري سيراميك </t>
  </si>
  <si>
    <t xml:space="preserve">معرض شقلاوة </t>
  </si>
  <si>
    <t xml:space="preserve">مواد صحية </t>
  </si>
  <si>
    <t xml:space="preserve">كاراس </t>
  </si>
  <si>
    <t xml:space="preserve">karas1@karas-co.com </t>
  </si>
  <si>
    <t xml:space="preserve">كومبانياي جمال </t>
  </si>
  <si>
    <t xml:space="preserve">jamalco73@yahoo.com </t>
  </si>
  <si>
    <t xml:space="preserve">جمال حجي موسا للتجارة العامة </t>
  </si>
  <si>
    <t xml:space="preserve">jamal_musa@yahoo.com </t>
  </si>
  <si>
    <t xml:space="preserve">ابواب تركية </t>
  </si>
  <si>
    <t>اربيل طريق مخمور</t>
  </si>
  <si>
    <t xml:space="preserve">ASK لتجارة مواد  الشبكات المائية </t>
  </si>
  <si>
    <t>info@asktrade.net</t>
  </si>
  <si>
    <t xml:space="preserve">اربيل شارع كوران </t>
  </si>
  <si>
    <t>Mobilya Rawasham</t>
  </si>
  <si>
    <t xml:space="preserve">اربيل شارع 100 متري </t>
  </si>
  <si>
    <t xml:space="preserve">AL- Nuha Group </t>
  </si>
  <si>
    <t>m71_nuha@yahoo.com</t>
  </si>
  <si>
    <t xml:space="preserve">موصل </t>
  </si>
  <si>
    <t>BYK binyapi مواد كيمياوية للبناء</t>
  </si>
  <si>
    <t xml:space="preserve">shaheen@bykbinyapi.com </t>
  </si>
  <si>
    <t xml:space="preserve">مواد كيمياوية للبناء </t>
  </si>
  <si>
    <t>foamcompany</t>
  </si>
  <si>
    <t>shkar.kanaan@foamcomp.com</t>
  </si>
  <si>
    <t xml:space="preserve">مفروشات </t>
  </si>
  <si>
    <t>Nextech  electrical building solutions</t>
  </si>
  <si>
    <t>ahmad@nextech.pro</t>
  </si>
  <si>
    <t xml:space="preserve">بناء - كهرباء </t>
  </si>
  <si>
    <t xml:space="preserve">اربيل - الايطالية 2 </t>
  </si>
  <si>
    <t xml:space="preserve">Almas Lighting </t>
  </si>
  <si>
    <t xml:space="preserve">نوزاد خوشناو </t>
  </si>
  <si>
    <t xml:space="preserve">معرض وليد </t>
  </si>
  <si>
    <t xml:space="preserve">شركة بريما فوكه لتغطية المنازل </t>
  </si>
  <si>
    <t xml:space="preserve">primafuga60@gmail.com </t>
  </si>
  <si>
    <t xml:space="preserve">بيشانكاي ايمان </t>
  </si>
  <si>
    <t xml:space="preserve">office.eman@yahoo.com </t>
  </si>
  <si>
    <t>كريستال 1</t>
  </si>
  <si>
    <t xml:space="preserve">Polk For General Trading </t>
  </si>
  <si>
    <t xml:space="preserve">polk.hsb@gmail.com </t>
  </si>
  <si>
    <t>Hewr Company For Shawar</t>
  </si>
  <si>
    <t>hewr1hewr@gmail.com</t>
  </si>
  <si>
    <t xml:space="preserve">تيتان سيرفس </t>
  </si>
  <si>
    <t>اصباغ</t>
  </si>
  <si>
    <t xml:space="preserve">اربيل طريق كركوك </t>
  </si>
  <si>
    <t xml:space="preserve">Alan Kitchen </t>
  </si>
  <si>
    <t xml:space="preserve">مطابخ </t>
  </si>
  <si>
    <t>Bosch Invented for Life</t>
  </si>
  <si>
    <t xml:space="preserve">sales1@boschiraq.com </t>
  </si>
  <si>
    <t xml:space="preserve">Artvit Group </t>
  </si>
  <si>
    <t xml:space="preserve">حمامات - منزلي </t>
  </si>
  <si>
    <t xml:space="preserve">A-D-E Company </t>
  </si>
  <si>
    <t xml:space="preserve">salam@arapdenizco.com </t>
  </si>
  <si>
    <t xml:space="preserve">معرض ميلودي لبيع كافة انواع المواد المنزلية </t>
  </si>
  <si>
    <t>اربيل شارع الستيني</t>
  </si>
  <si>
    <t xml:space="preserve">محل خوشه وى لبيع المواد الكهربائية جملة </t>
  </si>
  <si>
    <t xml:space="preserve">بيشانكاي مه تين </t>
  </si>
  <si>
    <t xml:space="preserve">كهربائيات - اثاث </t>
  </si>
  <si>
    <t xml:space="preserve">Nest Company </t>
  </si>
  <si>
    <t xml:space="preserve">osma.miqdad@nest.krd </t>
  </si>
  <si>
    <t xml:space="preserve">تصاميم بنايات </t>
  </si>
  <si>
    <t xml:space="preserve">اربيل طريق بحركة </t>
  </si>
  <si>
    <t>Rojhalat Show Room</t>
  </si>
  <si>
    <t xml:space="preserve">rojtile2012@gmail.com </t>
  </si>
  <si>
    <t xml:space="preserve">سسراميك </t>
  </si>
  <si>
    <t>Deevam Decor &amp; Home</t>
  </si>
  <si>
    <t xml:space="preserve">ahmedbrifki442@icloud.com </t>
  </si>
  <si>
    <t>ديكورات منزل</t>
  </si>
  <si>
    <t xml:space="preserve">Green Design </t>
  </si>
  <si>
    <t xml:space="preserve">Gold Mass </t>
  </si>
  <si>
    <t xml:space="preserve">info@gold-mass.com </t>
  </si>
  <si>
    <t xml:space="preserve">Infinity </t>
  </si>
  <si>
    <t xml:space="preserve">ورق حائط - بردات </t>
  </si>
  <si>
    <t xml:space="preserve">اربيل سايدين بحركة </t>
  </si>
  <si>
    <t xml:space="preserve">Adeson Light </t>
  </si>
  <si>
    <t xml:space="preserve">Camera World </t>
  </si>
  <si>
    <t>retail@cameraworldco.com</t>
  </si>
  <si>
    <t xml:space="preserve">كاميرات </t>
  </si>
  <si>
    <t xml:space="preserve">اربيل شارع مظفر </t>
  </si>
  <si>
    <t xml:space="preserve">شركة نوفل ئارت للأعمال الأنشائية والديكورات </t>
  </si>
  <si>
    <t xml:space="preserve">novelart.iraq@gmail.com </t>
  </si>
  <si>
    <t xml:space="preserve">بيشانكاي هاوار بو كهربائيات </t>
  </si>
  <si>
    <t xml:space="preserve">شركة اريون </t>
  </si>
  <si>
    <t>alanaziz2012@gmail.com</t>
  </si>
  <si>
    <t>كهرباء</t>
  </si>
  <si>
    <t xml:space="preserve">Sky Light </t>
  </si>
  <si>
    <t>Nawzad company</t>
  </si>
  <si>
    <t xml:space="preserve">nawzad.hussein83@gmail.com </t>
  </si>
  <si>
    <t>Deco.Light</t>
  </si>
  <si>
    <t xml:space="preserve">aso.blbass89@gmail.com </t>
  </si>
  <si>
    <t>Rabee Securities</t>
  </si>
  <si>
    <t xml:space="preserve">وساطة مالية </t>
  </si>
  <si>
    <t xml:space="preserve">اربيل - القرية الايطالية </t>
  </si>
  <si>
    <t xml:space="preserve">Move One </t>
  </si>
  <si>
    <t xml:space="preserve">mqadir@ups.com </t>
  </si>
  <si>
    <t xml:space="preserve">مقاولات </t>
  </si>
  <si>
    <t xml:space="preserve">شركة سروان </t>
  </si>
  <si>
    <t xml:space="preserve">المنيوم </t>
  </si>
  <si>
    <t xml:space="preserve">بيت القرميد </t>
  </si>
  <si>
    <t xml:space="preserve">info@rkciq.com </t>
  </si>
  <si>
    <t xml:space="preserve">قرميد </t>
  </si>
  <si>
    <t xml:space="preserve"> بغداد - الوزيرية </t>
  </si>
  <si>
    <t xml:space="preserve">Advicts Company </t>
  </si>
  <si>
    <t xml:space="preserve">m.emad@advicts.com </t>
  </si>
  <si>
    <t xml:space="preserve">بنية تحتية - حلول تكنولوجيا المعلومات </t>
  </si>
  <si>
    <t xml:space="preserve">اربيل - القرية الايطالية2 </t>
  </si>
  <si>
    <t>Alnajar Company For General Trading</t>
  </si>
  <si>
    <t xml:space="preserve">alnajar.tools@yahoo.com </t>
  </si>
  <si>
    <t xml:space="preserve">Songul Lighting Company </t>
  </si>
  <si>
    <t xml:space="preserve">cahitsongul@hotmail.com </t>
  </si>
  <si>
    <t xml:space="preserve">بختياري </t>
  </si>
  <si>
    <t xml:space="preserve">Adawall Company </t>
  </si>
  <si>
    <t xml:space="preserve">edip@adabazar.com </t>
  </si>
  <si>
    <t xml:space="preserve">ورق حائط </t>
  </si>
  <si>
    <t xml:space="preserve">Rose Vit </t>
  </si>
  <si>
    <t xml:space="preserve">حمامات ايطالية </t>
  </si>
  <si>
    <t xml:space="preserve">النبوغ للتجارة العامة المحدودة </t>
  </si>
  <si>
    <t xml:space="preserve">nuboogh_2003@yahoo.com </t>
  </si>
  <si>
    <t xml:space="preserve">تدفئة وتكييف هواء </t>
  </si>
  <si>
    <t xml:space="preserve">Tabriz Tile &amp; keraben </t>
  </si>
  <si>
    <t>Halgurd Amin Company</t>
  </si>
  <si>
    <t xml:space="preserve">info@halgurdamin.com </t>
  </si>
  <si>
    <t xml:space="preserve">مشاريع ماء - نظام غاز </t>
  </si>
  <si>
    <t xml:space="preserve">ERF Group </t>
  </si>
  <si>
    <t xml:space="preserve">اربيل - طريق مخمور </t>
  </si>
  <si>
    <t xml:space="preserve">Kabas لتصميم وتنفيذ المطابخ والديكورات الداخلية </t>
  </si>
  <si>
    <t xml:space="preserve">info@kabas.org </t>
  </si>
  <si>
    <t xml:space="preserve">بروا للتجارة العامة والمقاولات الكهربائية </t>
  </si>
  <si>
    <t xml:space="preserve">اربيل ستاقان </t>
  </si>
  <si>
    <t>Queen For International Design</t>
  </si>
  <si>
    <t xml:space="preserve">شركة ئه زوا للتجارة العامة </t>
  </si>
  <si>
    <t xml:space="preserve">azwa.company@yahoo.com </t>
  </si>
  <si>
    <t xml:space="preserve">Dakar Company - Kale </t>
  </si>
  <si>
    <t xml:space="preserve">rebaz-erbil@hotmail.com </t>
  </si>
  <si>
    <t>اربيل شورش</t>
  </si>
  <si>
    <t xml:space="preserve">FTM لتجارة المواد الكهربائية </t>
  </si>
  <si>
    <t>info@ftm-electricals.com</t>
  </si>
  <si>
    <t>اربيل - طريق كوية</t>
  </si>
  <si>
    <t xml:space="preserve">Mahroos Group Company </t>
  </si>
  <si>
    <t xml:space="preserve">mahroosgroup@gmail.com </t>
  </si>
  <si>
    <t xml:space="preserve">اربيل القرية الايطالية </t>
  </si>
  <si>
    <t xml:space="preserve">Ari Interior Design </t>
  </si>
  <si>
    <t>info@aridesigns.co</t>
  </si>
  <si>
    <t xml:space="preserve">Deco kitchen Company </t>
  </si>
  <si>
    <t xml:space="preserve">deco.kitchen22@gmail.com </t>
  </si>
  <si>
    <t xml:space="preserve">Lenya Kitchens &amp; Interiors </t>
  </si>
  <si>
    <t>info@lenya.org</t>
  </si>
  <si>
    <t xml:space="preserve">Mohammed Khidr For Electical Equipment Trading </t>
  </si>
  <si>
    <t xml:space="preserve">muhammed_955@yahoo.com </t>
  </si>
  <si>
    <t>Mlily Global Partner Of Manchester United</t>
  </si>
  <si>
    <t xml:space="preserve">mlily@boss-fumiture.com </t>
  </si>
  <si>
    <t xml:space="preserve">Gulbey Company </t>
  </si>
  <si>
    <t xml:space="preserve">info@gulbey.com </t>
  </si>
  <si>
    <t xml:space="preserve">ديكورات رويال </t>
  </si>
  <si>
    <t xml:space="preserve">royallwallpaper@gmail.com </t>
  </si>
  <si>
    <t xml:space="preserve">ورق حائط - باركيت </t>
  </si>
  <si>
    <t xml:space="preserve">اربيل امباير </t>
  </si>
  <si>
    <t>Euro Decor</t>
  </si>
  <si>
    <t>eurodecor.iq@gmail.com</t>
  </si>
  <si>
    <t xml:space="preserve">شركة البلسان للتجارة العامة المحدودة </t>
  </si>
  <si>
    <t xml:space="preserve">yaser.amer@al-balsan.com </t>
  </si>
  <si>
    <t xml:space="preserve">اربيل - طريق بحركة القديم </t>
  </si>
  <si>
    <t xml:space="preserve">شركة اوسكار وكيل  شركة DU&amp;KA في العراق وكردستان </t>
  </si>
  <si>
    <t xml:space="preserve">muhammad@oscarorman.com </t>
  </si>
  <si>
    <t xml:space="preserve">عالم الباركيت </t>
  </si>
  <si>
    <t xml:space="preserve">اربيل - سايدين </t>
  </si>
  <si>
    <t>Uniqe Decoration High Qualty PVC Wall Paper</t>
  </si>
  <si>
    <t xml:space="preserve">اربيل سايدين بحركة القديم </t>
  </si>
  <si>
    <t>Cham Company General Contracting LTD</t>
  </si>
  <si>
    <t xml:space="preserve">info@chamcompany.com </t>
  </si>
  <si>
    <t xml:space="preserve">عالم ورق الجدران دارين باركيت </t>
  </si>
  <si>
    <t xml:space="preserve">اربيل - سايدين  بحركة  القديم </t>
  </si>
  <si>
    <t xml:space="preserve">شركة وود ستايل لتجارة MDF  واكسسوارات المطبخ </t>
  </si>
  <si>
    <t>sales@wood-style.co</t>
  </si>
  <si>
    <t xml:space="preserve">اربيل - طريق بحركة </t>
  </si>
  <si>
    <t xml:space="preserve">ديكورات كينك </t>
  </si>
  <si>
    <t xml:space="preserve">Diamond 3d </t>
  </si>
  <si>
    <t xml:space="preserve">diamond3d.decor@gmail.com </t>
  </si>
  <si>
    <t xml:space="preserve">سايدين بحركة القديم </t>
  </si>
  <si>
    <t xml:space="preserve">Besi Home </t>
  </si>
  <si>
    <t xml:space="preserve">ئانيا هوم </t>
  </si>
  <si>
    <t>New Style</t>
  </si>
  <si>
    <t xml:space="preserve">yar يار </t>
  </si>
  <si>
    <t xml:space="preserve">رنج للأصباغ الالمانية </t>
  </si>
  <si>
    <t>rangcolor@gmail.com</t>
  </si>
  <si>
    <t xml:space="preserve">Pema  Home Store </t>
  </si>
  <si>
    <t xml:space="preserve">shorsh@pematekstil.com </t>
  </si>
  <si>
    <t>اربيل - شورش</t>
  </si>
  <si>
    <t xml:space="preserve">Vinisya-Architect Company </t>
  </si>
  <si>
    <t xml:space="preserve">info@vinisya-arch.com </t>
  </si>
  <si>
    <t xml:space="preserve">اربيل - هيوا ستي </t>
  </si>
  <si>
    <t xml:space="preserve">Zambaiti </t>
  </si>
  <si>
    <t xml:space="preserve">ديكورات منزلية </t>
  </si>
  <si>
    <t>Decowall Wallpapers</t>
  </si>
  <si>
    <t>Sama Luxury Interior</t>
  </si>
  <si>
    <t xml:space="preserve">Saray Decor </t>
  </si>
  <si>
    <t xml:space="preserve">saraydecor@gmail.com </t>
  </si>
  <si>
    <t xml:space="preserve">Tawer For German Wallpaper </t>
  </si>
  <si>
    <t xml:space="preserve">كستانة لتصنيع و إنتاج أبواب كاونتر </t>
  </si>
  <si>
    <t xml:space="preserve">castana.membran@gmail.com </t>
  </si>
  <si>
    <t xml:space="preserve">اربيل - صناعة الجنوبية </t>
  </si>
  <si>
    <t xml:space="preserve">اطلس زون لتجهيز كافة معدات المطابخ </t>
  </si>
  <si>
    <t>moumenalhawari@atlaszone-iq.com</t>
  </si>
  <si>
    <t xml:space="preserve">اربيل - بحركة القديم </t>
  </si>
  <si>
    <t>Weltew Home</t>
  </si>
  <si>
    <t>Technology Solution Company</t>
  </si>
  <si>
    <t xml:space="preserve">mohemn@tsc-iq.com </t>
  </si>
  <si>
    <t xml:space="preserve">دنيز موبيليات </t>
  </si>
  <si>
    <t xml:space="preserve">نازم </t>
  </si>
  <si>
    <t xml:space="preserve">اربيل - 100 متري </t>
  </si>
  <si>
    <t xml:space="preserve">Hema Home </t>
  </si>
  <si>
    <t xml:space="preserve">داناس ره ف </t>
  </si>
  <si>
    <t xml:space="preserve">danasraf-erbil@hotmail.com </t>
  </si>
  <si>
    <t xml:space="preserve">موبيلياتي سالين </t>
  </si>
  <si>
    <t xml:space="preserve">جمال </t>
  </si>
  <si>
    <t>Taaice  For Security CCTV Cameras</t>
  </si>
  <si>
    <t xml:space="preserve">hersh.camera@yahoo.com </t>
  </si>
  <si>
    <t xml:space="preserve">مصنع الخيمة للصناعات البلاستيكية </t>
  </si>
  <si>
    <t xml:space="preserve">المثنى - السماوة </t>
  </si>
  <si>
    <t xml:space="preserve">شركة نجم الميناء للتجارة العامة المحدودة </t>
  </si>
  <si>
    <t xml:space="preserve">info@najimalminaa.com </t>
  </si>
  <si>
    <t xml:space="preserve">شركة زسكو ديزل للتجارة العامة والوكالات التجارية </t>
  </si>
  <si>
    <t>office@zamzamspring.iq</t>
  </si>
  <si>
    <t xml:space="preserve">بغداد - الكرادة </t>
  </si>
  <si>
    <t xml:space="preserve">الضامن للتأمين </t>
  </si>
  <si>
    <t xml:space="preserve">علي عبد الله </t>
  </si>
  <si>
    <t xml:space="preserve">sales@altadomun-ins.com </t>
  </si>
  <si>
    <t xml:space="preserve">شركة بيت النيل للأعمار والبناء اصباغ ناشيونال </t>
  </si>
  <si>
    <t xml:space="preserve">info@baitainile.com </t>
  </si>
  <si>
    <t xml:space="preserve">البصرة - العشار </t>
  </si>
  <si>
    <t xml:space="preserve">شركة واسع العطاء للوكالات التجارية المحدودة </t>
  </si>
  <si>
    <t xml:space="preserve">aceeon.beta@yahoo.com </t>
  </si>
  <si>
    <t xml:space="preserve">بغداد - كمب ساره </t>
  </si>
  <si>
    <t xml:space="preserve">Cyber Ceramics </t>
  </si>
  <si>
    <t xml:space="preserve">Mayaur Patel </t>
  </si>
  <si>
    <t xml:space="preserve">cyberceramics@gmail.com </t>
  </si>
  <si>
    <t xml:space="preserve">India </t>
  </si>
  <si>
    <t xml:space="preserve">شركة القلعة للخدمات الامنية والحراسات </t>
  </si>
  <si>
    <t>محمد فوزي</t>
  </si>
  <si>
    <t>mohammed.fawzi@castlesecurity-iraq.com</t>
  </si>
  <si>
    <t xml:space="preserve">موصل - حي نركال </t>
  </si>
  <si>
    <t xml:space="preserve">روعة اعمار العراق الوكيل الحصري لأصباغ جوتن </t>
  </si>
  <si>
    <t xml:space="preserve">karrada@jotuniraq.com </t>
  </si>
  <si>
    <t xml:space="preserve">شركة الامارات العربية لمعدات السلامة والاطفاء والانذار </t>
  </si>
  <si>
    <t>info@uaefire.com</t>
  </si>
  <si>
    <t xml:space="preserve">بغداد - شارع الرشيد </t>
  </si>
  <si>
    <t xml:space="preserve">Sulikim Company </t>
  </si>
  <si>
    <t xml:space="preserve">Ahmed Saleh </t>
  </si>
  <si>
    <t xml:space="preserve">Ahmed@super-chemicals.com </t>
  </si>
  <si>
    <t xml:space="preserve">Sulaymaniyah </t>
  </si>
  <si>
    <t xml:space="preserve">Somany Ceramics </t>
  </si>
  <si>
    <t xml:space="preserve">Murali Krishnan </t>
  </si>
  <si>
    <t>export@somanytiles.co.in</t>
  </si>
  <si>
    <t xml:space="preserve">معمل بلوك حاجي محمود </t>
  </si>
  <si>
    <t>Delta Cement Company</t>
  </si>
  <si>
    <t>info@delta-cement.com</t>
  </si>
  <si>
    <t xml:space="preserve">السليمانية </t>
  </si>
  <si>
    <t xml:space="preserve">Rawand Company </t>
  </si>
  <si>
    <t xml:space="preserve">rawandsaber1990@gmail.com </t>
  </si>
  <si>
    <t>جيهانى شوفاز</t>
  </si>
  <si>
    <t xml:space="preserve">دانا اكرم </t>
  </si>
  <si>
    <t xml:space="preserve">Vana </t>
  </si>
  <si>
    <t xml:space="preserve">هيمن حكمت </t>
  </si>
  <si>
    <t>relations@vanafurniture.com</t>
  </si>
  <si>
    <t xml:space="preserve">Sonay Steel Group </t>
  </si>
  <si>
    <t xml:space="preserve">sonaysteel@gmail.com </t>
  </si>
  <si>
    <t xml:space="preserve">Iran </t>
  </si>
  <si>
    <t xml:space="preserve">كاشي مرجان </t>
  </si>
  <si>
    <t>Dekoras company for general trading</t>
  </si>
  <si>
    <t>0750 981 2080</t>
  </si>
  <si>
    <t>dekorascompany@Gmail.com</t>
  </si>
  <si>
    <t xml:space="preserve">اربيل - الصناعة الشمالية </t>
  </si>
  <si>
    <t xml:space="preserve">Karash Company </t>
  </si>
  <si>
    <t xml:space="preserve">Hawkar </t>
  </si>
  <si>
    <t xml:space="preserve">hawkarshakr@yahoo.com </t>
  </si>
  <si>
    <t xml:space="preserve">كوردو كروب </t>
  </si>
  <si>
    <t xml:space="preserve">علي برواري </t>
  </si>
  <si>
    <t xml:space="preserve">مركز عبدالله صالح الجبوري للوكالات العالمية </t>
  </si>
  <si>
    <t xml:space="preserve">بغداد - المنصور </t>
  </si>
  <si>
    <t xml:space="preserve">Pure Line Design &amp; Construction </t>
  </si>
  <si>
    <t xml:space="preserve"> Queeclink Smart Home </t>
  </si>
  <si>
    <t xml:space="preserve">بابك كريم </t>
  </si>
  <si>
    <t xml:space="preserve">ئافه رين كار </t>
  </si>
  <si>
    <t xml:space="preserve">aferinkar@gmail.com </t>
  </si>
  <si>
    <t>Extracomfort</t>
  </si>
  <si>
    <t>info@extracomfort.ir</t>
  </si>
  <si>
    <t>Iran</t>
  </si>
  <si>
    <t xml:space="preserve">Smart Lifet </t>
  </si>
  <si>
    <t xml:space="preserve">Himdad </t>
  </si>
  <si>
    <t xml:space="preserve">info@smartliftiq.com </t>
  </si>
  <si>
    <t xml:space="preserve">اربيل - مقابل مجدي مول </t>
  </si>
  <si>
    <t xml:space="preserve">Hamkar </t>
  </si>
  <si>
    <t xml:space="preserve">Hawar </t>
  </si>
  <si>
    <t xml:space="preserve">contact@hamkar-co.com </t>
  </si>
  <si>
    <t>Sulaimaniyah</t>
  </si>
  <si>
    <t xml:space="preserve">Green House Erbil </t>
  </si>
  <si>
    <t xml:space="preserve">كومبانياي برايان </t>
  </si>
  <si>
    <t xml:space="preserve">اربيل - </t>
  </si>
  <si>
    <t xml:space="preserve">Vara Company </t>
  </si>
  <si>
    <t xml:space="preserve">سركوت </t>
  </si>
  <si>
    <t xml:space="preserve">sarkawt.fuad@varamachinery.com </t>
  </si>
  <si>
    <t xml:space="preserve">اربيل - طريق كركوك </t>
  </si>
  <si>
    <t xml:space="preserve">Zagrruti Company  للتجارة العامة والوكالات التجارية </t>
  </si>
  <si>
    <t xml:space="preserve">يادكار </t>
  </si>
  <si>
    <t>yadgar-zagrutti@hotmail.com</t>
  </si>
  <si>
    <t xml:space="preserve">Bawan Factory </t>
  </si>
  <si>
    <t xml:space="preserve">bawantanker@gmail.com </t>
  </si>
  <si>
    <t xml:space="preserve">Rasan Group </t>
  </si>
  <si>
    <t xml:space="preserve">info@rsn-group.com </t>
  </si>
  <si>
    <t xml:space="preserve">GSF Construction </t>
  </si>
  <si>
    <t xml:space="preserve">Ashna </t>
  </si>
  <si>
    <t xml:space="preserve">info@gsfconstruction.net </t>
  </si>
  <si>
    <t xml:space="preserve">اربيل - طريق المصيف </t>
  </si>
  <si>
    <t xml:space="preserve">Rak IT Company </t>
  </si>
  <si>
    <t xml:space="preserve">Shara </t>
  </si>
  <si>
    <t>marketing@rak-it.net</t>
  </si>
  <si>
    <t xml:space="preserve">Rasan Steel </t>
  </si>
  <si>
    <t xml:space="preserve">Jihad </t>
  </si>
  <si>
    <t>jihadmaaruf1992@gmail.com</t>
  </si>
  <si>
    <t xml:space="preserve">اربيل - الصناعة الجنوبية </t>
  </si>
  <si>
    <t>Dome Spaces</t>
  </si>
  <si>
    <t>yousefshanan@hotmail.com</t>
  </si>
  <si>
    <t>Foundation For Constructions</t>
  </si>
  <si>
    <t>usamagardi63@gmail.com</t>
  </si>
  <si>
    <t>Cryo Max</t>
  </si>
  <si>
    <t xml:space="preserve">nigco_gas@yahoo.com </t>
  </si>
  <si>
    <t xml:space="preserve">Variable Architects Company </t>
  </si>
  <si>
    <t xml:space="preserve">Younis </t>
  </si>
  <si>
    <t xml:space="preserve">طابوق اشور </t>
  </si>
  <si>
    <t xml:space="preserve">info@ashurbrick.com </t>
  </si>
  <si>
    <t xml:space="preserve">Advanced Engineering Company </t>
  </si>
  <si>
    <t>0750 187 9777</t>
  </si>
  <si>
    <t>info@advancedengineering.krd</t>
  </si>
  <si>
    <t xml:space="preserve">Erbil - Koya Road </t>
  </si>
  <si>
    <t xml:space="preserve">Var-Architects Company </t>
  </si>
  <si>
    <t>Muhammed</t>
  </si>
  <si>
    <t xml:space="preserve">chawshly95@gmail.com </t>
  </si>
  <si>
    <t xml:space="preserve">Alsu Plastik </t>
  </si>
  <si>
    <t xml:space="preserve">Mehmet </t>
  </si>
  <si>
    <t xml:space="preserve">alsuplastik@gmail.com </t>
  </si>
  <si>
    <t xml:space="preserve">Extended Reality Company </t>
  </si>
  <si>
    <t xml:space="preserve">Ameer </t>
  </si>
  <si>
    <t>ameer@xrealityco.com</t>
  </si>
  <si>
    <t>Bagadad</t>
  </si>
  <si>
    <t xml:space="preserve">Yildiz Sanat Evi Mobilya </t>
  </si>
  <si>
    <t>info@yildizsanatevi.com</t>
  </si>
  <si>
    <t xml:space="preserve">شركة ادما للمقاولات الكهربائية والتجارة العامة </t>
  </si>
  <si>
    <t>admacompany@yahoo.com</t>
  </si>
  <si>
    <t xml:space="preserve">Ster Construction </t>
  </si>
  <si>
    <t xml:space="preserve">info@sterconstruction.com </t>
  </si>
  <si>
    <t xml:space="preserve">M C A Erbil </t>
  </si>
  <si>
    <t xml:space="preserve">Erbil - Shorsh St. </t>
  </si>
  <si>
    <t>Al Sardgroup</t>
  </si>
  <si>
    <t xml:space="preserve">Hind </t>
  </si>
  <si>
    <t xml:space="preserve">saleseng@alsardgroup.com </t>
  </si>
  <si>
    <t>Mapna Group MD1</t>
  </si>
  <si>
    <t xml:space="preserve">akhondzadeh_m@mapnamd1.com </t>
  </si>
  <si>
    <t xml:space="preserve">Dekoras Home </t>
  </si>
  <si>
    <t>Fawaz</t>
  </si>
  <si>
    <t xml:space="preserve">dekoraswallpaper@gmail.com </t>
  </si>
  <si>
    <t xml:space="preserve">G F R P Glass Fiber Reinforced Plastic </t>
  </si>
  <si>
    <t xml:space="preserve">اربيل - هيران ستي 1 </t>
  </si>
  <si>
    <t xml:space="preserve">Gilsa Trade City Co .LTD </t>
  </si>
  <si>
    <t>00982122141586-91</t>
  </si>
  <si>
    <t xml:space="preserve">Halgurd Hamadamin Mahmod </t>
  </si>
  <si>
    <t>Pirmam Information technology</t>
  </si>
  <si>
    <t xml:space="preserve">Warzer Aram </t>
  </si>
  <si>
    <t xml:space="preserve">supply@pimamgroup.com </t>
  </si>
  <si>
    <t xml:space="preserve">اربيل - ازادي </t>
  </si>
  <si>
    <t xml:space="preserve">Technologlists </t>
  </si>
  <si>
    <t xml:space="preserve">Christelle Samaha </t>
  </si>
  <si>
    <t xml:space="preserve">christelle.samaha@technologists.com </t>
  </si>
  <si>
    <t xml:space="preserve">Larry Company </t>
  </si>
  <si>
    <t xml:space="preserve">Singar </t>
  </si>
  <si>
    <t>sangarabdulla221@gmail.com</t>
  </si>
  <si>
    <t xml:space="preserve">Qaiwan Group </t>
  </si>
  <si>
    <t>ameer.hussein@qaiwangroup.com</t>
  </si>
  <si>
    <t xml:space="preserve">Empire World </t>
  </si>
  <si>
    <t xml:space="preserve">salesrep@empireworld.com </t>
  </si>
  <si>
    <t xml:space="preserve">اربيل - امباير بزنز تاور </t>
  </si>
  <si>
    <t xml:space="preserve">Vsquared Development </t>
  </si>
  <si>
    <t xml:space="preserve">سامي العلمي </t>
  </si>
  <si>
    <t xml:space="preserve">sami.elmi@vsquared2.com </t>
  </si>
  <si>
    <t xml:space="preserve">اثينا </t>
  </si>
  <si>
    <t xml:space="preserve">Prime Water &amp; Solar Technology </t>
  </si>
  <si>
    <t xml:space="preserve">info@prime-wst.com </t>
  </si>
  <si>
    <t xml:space="preserve">اربيل - برايتي </t>
  </si>
  <si>
    <t xml:space="preserve">Sove For Dekoratif </t>
  </si>
  <si>
    <t xml:space="preserve">soveforfuga@gmail.com </t>
  </si>
  <si>
    <t xml:space="preserve">اربيل - شارع 100متري </t>
  </si>
  <si>
    <t>SAM Pro Agency</t>
  </si>
  <si>
    <t xml:space="preserve">Mawlan Sabah </t>
  </si>
  <si>
    <t>samproadvertising@gmail.com</t>
  </si>
  <si>
    <t>Banaz Mawlood</t>
  </si>
  <si>
    <t xml:space="preserve">banaz.mawlood@equiticonsultants.com </t>
  </si>
  <si>
    <t xml:space="preserve">اربيل - بختياري </t>
  </si>
  <si>
    <t>Extended Reality Company</t>
  </si>
  <si>
    <t xml:space="preserve">Abdulrahman </t>
  </si>
  <si>
    <t xml:space="preserve">sales@xrealityco.com </t>
  </si>
  <si>
    <t>Alyaqut Alasfar Construction Company</t>
  </si>
  <si>
    <t xml:space="preserve">Taher </t>
  </si>
  <si>
    <t xml:space="preserve">aac.co1414@gmail.com </t>
  </si>
  <si>
    <t>Vogue Architects</t>
  </si>
  <si>
    <t>info@vogue-architects.com</t>
  </si>
  <si>
    <t>اربيل - امباير</t>
  </si>
  <si>
    <t>Awrosoft Ict Solutions</t>
  </si>
  <si>
    <t>Nasim</t>
  </si>
  <si>
    <t>nasim@awrosoft.com</t>
  </si>
  <si>
    <t xml:space="preserve">اربيل - امباير </t>
  </si>
  <si>
    <t xml:space="preserve">Amran Consulting Engineering </t>
  </si>
  <si>
    <t xml:space="preserve">baroosh_alakrawy@yahoo.com </t>
  </si>
  <si>
    <t xml:space="preserve">اربيل - روناكي </t>
  </si>
  <si>
    <t xml:space="preserve">Lyzan Company </t>
  </si>
  <si>
    <t xml:space="preserve">Noor </t>
  </si>
  <si>
    <t>noor@lyzan.co</t>
  </si>
  <si>
    <t xml:space="preserve">Swas Solar </t>
  </si>
  <si>
    <t>swas.solar@gmail.com</t>
  </si>
  <si>
    <t>انظمة الطاقة الشمسية</t>
  </si>
  <si>
    <t xml:space="preserve">دهوك </t>
  </si>
  <si>
    <t xml:space="preserve">Med Steel </t>
  </si>
  <si>
    <t xml:space="preserve">info@medsteel.com </t>
  </si>
  <si>
    <t xml:space="preserve">4Bridges </t>
  </si>
  <si>
    <t>Hanady</t>
  </si>
  <si>
    <t xml:space="preserve">hanady.kamal@4bridges.com </t>
  </si>
  <si>
    <t xml:space="preserve">اربيل - عنكاوة </t>
  </si>
  <si>
    <t xml:space="preserve">Dilovan Sh . Ozer  Company </t>
  </si>
  <si>
    <t xml:space="preserve">dilovanco08@gmail.com </t>
  </si>
  <si>
    <t xml:space="preserve">Safe Build </t>
  </si>
  <si>
    <t xml:space="preserve">safbuildcons@gmail.com </t>
  </si>
  <si>
    <t xml:space="preserve">اربيل - 40 متري </t>
  </si>
  <si>
    <t>LPGAS Company</t>
  </si>
  <si>
    <t xml:space="preserve">Abubakr Rasul </t>
  </si>
  <si>
    <t>support@lpgasco.com</t>
  </si>
  <si>
    <t xml:space="preserve">Sulaimniyah </t>
  </si>
  <si>
    <t xml:space="preserve">كاركه ى بلوكى حاجى محمود </t>
  </si>
  <si>
    <t xml:space="preserve">حاجى محمود </t>
  </si>
  <si>
    <t xml:space="preserve">اربيل - بحركه </t>
  </si>
  <si>
    <t xml:space="preserve">خالد ياسين وشركائه للتدقيق والخدمات المالية </t>
  </si>
  <si>
    <t xml:space="preserve">خالد </t>
  </si>
  <si>
    <t>k.alqaisy@khcpa.net</t>
  </si>
  <si>
    <t xml:space="preserve"> CAC-Climate Art</t>
  </si>
  <si>
    <t>صميم و تنفيذ(مسبح،تدفيئة ارضية و راديتر،ساونا،حمام</t>
  </si>
  <si>
    <t xml:space="preserve"> Poloplast Company </t>
  </si>
  <si>
    <t xml:space="preserve">رزكار </t>
  </si>
  <si>
    <t xml:space="preserve">rzgar.bilbas@polopiast-iq.com </t>
  </si>
  <si>
    <t>Yapi Kim Construction Chemicals</t>
  </si>
  <si>
    <t xml:space="preserve">كوردو احمد </t>
  </si>
  <si>
    <t xml:space="preserve">اربيل - كوران مخمور </t>
  </si>
  <si>
    <t xml:space="preserve">شركة سفين للوكالات التجارية المحدودة </t>
  </si>
  <si>
    <t xml:space="preserve">المهندس خالد عبد الرحمن </t>
  </si>
  <si>
    <t xml:space="preserve">bekomosul@gmail.com </t>
  </si>
  <si>
    <t>موصل - شارع الزهور</t>
  </si>
  <si>
    <t xml:space="preserve">شركة روست فالي للمقاولات العامة المحدودة </t>
  </si>
  <si>
    <t>Taser.iq</t>
  </si>
  <si>
    <t>Marjan Tile Co.</t>
  </si>
  <si>
    <t xml:space="preserve">export@marjantileco.com </t>
  </si>
  <si>
    <t xml:space="preserve">شركة خول لأنتاج الطابوق الفني </t>
  </si>
  <si>
    <t xml:space="preserve">khol_co@yahoo.com </t>
  </si>
  <si>
    <t xml:space="preserve">Pentadam Interior Design </t>
  </si>
  <si>
    <t xml:space="preserve">Roza </t>
  </si>
  <si>
    <t xml:space="preserve">roza@pentadam.com </t>
  </si>
  <si>
    <t>Slemani</t>
  </si>
  <si>
    <t xml:space="preserve">Xisht Company </t>
  </si>
  <si>
    <t>paywand.farooq@xisht.com</t>
  </si>
  <si>
    <t xml:space="preserve">Kavin Group </t>
  </si>
  <si>
    <t>Zekri Basheer</t>
  </si>
  <si>
    <t xml:space="preserve">info@kavin-group.com </t>
  </si>
  <si>
    <t xml:space="preserve">Salar M . Company </t>
  </si>
  <si>
    <t xml:space="preserve">احمد </t>
  </si>
  <si>
    <t xml:space="preserve">ahmadsalar82@yahoo.com </t>
  </si>
  <si>
    <t xml:space="preserve">شركة دين - شركة توانست لتجارة المواد الكهربائية والمقاولات </t>
  </si>
  <si>
    <t xml:space="preserve">فرياس جعفر </t>
  </si>
  <si>
    <t>g.manger@den-co.com</t>
  </si>
  <si>
    <t xml:space="preserve">شركة ويزان كروب للتجارة العامة والديكورات </t>
  </si>
  <si>
    <t>اربيل - 100 متري</t>
  </si>
  <si>
    <t xml:space="preserve">البيت الشرقي </t>
  </si>
  <si>
    <t xml:space="preserve">مازن عبد الصاحب </t>
  </si>
  <si>
    <t xml:space="preserve">mazinalhir@yahoo.com </t>
  </si>
  <si>
    <t xml:space="preserve">بغداد - السنك </t>
  </si>
  <si>
    <t xml:space="preserve">Onem Otomasyon </t>
  </si>
  <si>
    <t xml:space="preserve">عبدالله </t>
  </si>
  <si>
    <t xml:space="preserve">info@onemotomosyon.com </t>
  </si>
  <si>
    <t xml:space="preserve">Al Yaqut Alasfar Construction Company </t>
  </si>
  <si>
    <t xml:space="preserve">خليل </t>
  </si>
  <si>
    <t xml:space="preserve">aac.coaza@gmail.com </t>
  </si>
  <si>
    <t xml:space="preserve">Ain Al Shahaba General Contracting </t>
  </si>
  <si>
    <t xml:space="preserve">عبد الله </t>
  </si>
  <si>
    <t xml:space="preserve">Haval Ali Company </t>
  </si>
  <si>
    <t xml:space="preserve">sanicairaq@gmail.com </t>
  </si>
  <si>
    <t xml:space="preserve">سيد كيلان للديكورات </t>
  </si>
  <si>
    <t xml:space="preserve">info@seydgaylan.com </t>
  </si>
  <si>
    <t xml:space="preserve">ايراتراك </t>
  </si>
  <si>
    <t xml:space="preserve">غسان فارس </t>
  </si>
  <si>
    <t>GFaris@iratrac.iq</t>
  </si>
  <si>
    <t xml:space="preserve">كاركه ى كاشي سفين </t>
  </si>
  <si>
    <t xml:space="preserve">نامق </t>
  </si>
  <si>
    <t xml:space="preserve">به هره مه ند </t>
  </si>
  <si>
    <t xml:space="preserve">ئالا همام برزنجي </t>
  </si>
  <si>
    <t>bahramend.alaa@gmail.com</t>
  </si>
  <si>
    <t xml:space="preserve">Lyzan Construction &amp; Trading Company </t>
  </si>
  <si>
    <t xml:space="preserve">دانا </t>
  </si>
  <si>
    <t xml:space="preserve">dana_jaf2000@yahoo.com </t>
  </si>
  <si>
    <t xml:space="preserve">شركة طريق الحارثية للتجارة والمقاولات العامة </t>
  </si>
  <si>
    <t xml:space="preserve">cohiran5@gmail.com </t>
  </si>
  <si>
    <t xml:space="preserve">Innovate Construction For General Trade </t>
  </si>
  <si>
    <t>info@innovateconstruction.co</t>
  </si>
  <si>
    <t xml:space="preserve">Swas General Trading / Energy </t>
  </si>
  <si>
    <t xml:space="preserve">ايوب </t>
  </si>
  <si>
    <t xml:space="preserve">Chiwa Group </t>
  </si>
  <si>
    <t xml:space="preserve">ارام </t>
  </si>
  <si>
    <t xml:space="preserve">aram@chiwagroup.com </t>
  </si>
  <si>
    <t xml:space="preserve">شركة الحريري للبناء والمقاولات </t>
  </si>
  <si>
    <t xml:space="preserve">gm@harcoiraq.com </t>
  </si>
  <si>
    <t xml:space="preserve">اربيل - القرية اللبنانية </t>
  </si>
  <si>
    <t xml:space="preserve">SYM Muhendislik Company </t>
  </si>
  <si>
    <t>90 543 387 91 51</t>
  </si>
  <si>
    <t>satinalma@symmuhendislik.com.tr</t>
  </si>
  <si>
    <t>Konya / Türkiye</t>
  </si>
  <si>
    <t xml:space="preserve">The Design House </t>
  </si>
  <si>
    <t xml:space="preserve">thedesignhouseee@gmail.com </t>
  </si>
  <si>
    <t xml:space="preserve">اربيل - دريم ستي </t>
  </si>
  <si>
    <t>MailMark</t>
  </si>
  <si>
    <t xml:space="preserve">عدنان </t>
  </si>
  <si>
    <t>a.gordum@mailmark.com.tr</t>
  </si>
  <si>
    <t xml:space="preserve">اصباغ جوتن </t>
  </si>
  <si>
    <t>كاك ئارى</t>
  </si>
  <si>
    <t xml:space="preserve">himdad_kurdistan@yahoo.com </t>
  </si>
  <si>
    <t>FilCompany General Trading</t>
  </si>
  <si>
    <t xml:space="preserve">Rekawt </t>
  </si>
  <si>
    <t xml:space="preserve">rekajamil@yahoo.com </t>
  </si>
  <si>
    <t xml:space="preserve">اربيل - 100 متري الصناعة الجنوبية </t>
  </si>
  <si>
    <t xml:space="preserve">اتحاد غرف التجارة والصناعة لأقليم كردستان العراق </t>
  </si>
  <si>
    <t xml:space="preserve">كاروان </t>
  </si>
  <si>
    <t xml:space="preserve">karwann_sadiq@yahoo.com </t>
  </si>
  <si>
    <t xml:space="preserve">Azwa Company </t>
  </si>
  <si>
    <t xml:space="preserve">Nzar </t>
  </si>
  <si>
    <t>V2 DEVELOPMENT</t>
  </si>
  <si>
    <t>Anais</t>
  </si>
  <si>
    <t xml:space="preserve">anais.birgin@vsquared2.com </t>
  </si>
  <si>
    <t xml:space="preserve">يونان </t>
  </si>
  <si>
    <t>Epicist Yapi Enerji</t>
  </si>
  <si>
    <r>
      <rPr>
        <rFont val="Roboto"/>
        <color rgb="FF000000"/>
        <sz val="12.0"/>
      </rPr>
      <t>info@ep</t>
    </r>
    <r>
      <rPr>
        <rFont val="Roboto"/>
        <color rgb="FF000000"/>
        <sz val="12.0"/>
        <u/>
      </rPr>
      <t>icist.com.tr</t>
    </r>
  </si>
  <si>
    <t xml:space="preserve">تركيا </t>
  </si>
  <si>
    <t>Ster Construction</t>
  </si>
  <si>
    <t xml:space="preserve">شركة نيو كيبل للتركيبات الكهربائية </t>
  </si>
  <si>
    <t>info@newcablekw.com</t>
  </si>
  <si>
    <t>الكويت - مجمع الفحيحل الحرفي</t>
  </si>
  <si>
    <t>روما للديكور والعمارة</t>
  </si>
  <si>
    <t>0770 181 1018</t>
  </si>
  <si>
    <t>بغداد المنصور</t>
  </si>
  <si>
    <t>الشركة العامة لتوزيع كهرباء الجنوب</t>
  </si>
  <si>
    <t>infocen1@moelc.gov.iq</t>
  </si>
  <si>
    <t>شركة النرجس لإنتاج الانابيب</t>
  </si>
  <si>
    <t>مجمع الفرح السكني</t>
  </si>
  <si>
    <t xml:space="preserve">المصرف الصناعي </t>
  </si>
  <si>
    <t>بغداد، ساحة الخلاني</t>
  </si>
  <si>
    <t>المصرف العقاري العراقي</t>
  </si>
  <si>
    <t xml:space="preserve">مجمع باران </t>
  </si>
  <si>
    <t>Maraba Al Iraq Al Khadraa</t>
  </si>
  <si>
    <t>964 780 925 1042</t>
  </si>
  <si>
    <t>maraba.iraq@gmail.com , info@marabaiq.com</t>
  </si>
  <si>
    <t xml:space="preserve">البصرة </t>
  </si>
  <si>
    <t>Rawat Al-Majid Company</t>
  </si>
  <si>
    <t>info@rawat-almajid.com</t>
  </si>
  <si>
    <t>بغداد /شارع السعدون</t>
  </si>
  <si>
    <t>شركة الامتيازات العراقية</t>
  </si>
  <si>
    <t>info@franchise.iq</t>
  </si>
  <si>
    <t>بغداد - شارع أبو نواس</t>
  </si>
  <si>
    <t>SEC Space Engineering co.</t>
  </si>
  <si>
    <t xml:space="preserve">info@seciraq.com </t>
  </si>
  <si>
    <t>Ninthart Group</t>
  </si>
  <si>
    <t xml:space="preserve">info@ninthart.me
</t>
  </si>
  <si>
    <t xml:space="preserve">بغداد - اربيل - دمشق </t>
  </si>
  <si>
    <t>اسمنت العمارة</t>
  </si>
  <si>
    <t>0771 563 5656</t>
  </si>
  <si>
    <t>alamarah.cement@gmail.com</t>
  </si>
  <si>
    <t xml:space="preserve">العمارة </t>
  </si>
  <si>
    <t xml:space="preserve">شركة سراج العدالة </t>
  </si>
  <si>
    <t xml:space="preserve">بغداد - الجادرية  </t>
  </si>
  <si>
    <t>مدينة شط العرب السكنية</t>
  </si>
  <si>
    <t>964 773 0933330</t>
  </si>
  <si>
    <t>info@shatalarabcity.com</t>
  </si>
  <si>
    <t xml:space="preserve">البصرة - مدينة شط العرب  </t>
  </si>
  <si>
    <t xml:space="preserve">اتحاد الصناعات العراقي </t>
  </si>
  <si>
    <t>info@ifi-iraq.com</t>
  </si>
  <si>
    <t>بغداد - الكرادة - الجادرية</t>
  </si>
  <si>
    <t xml:space="preserve">جامعة البصرة </t>
  </si>
  <si>
    <t>info@uobasrah.edu.iq</t>
  </si>
  <si>
    <t>البصرة - العشار</t>
  </si>
  <si>
    <t xml:space="preserve">الشركة العامة لموانىء العراق </t>
  </si>
  <si>
    <t xml:space="preserve">عبد السلام </t>
  </si>
  <si>
    <t xml:space="preserve">وزارة الكهرباء </t>
  </si>
  <si>
    <t xml:space="preserve">بغداد </t>
  </si>
  <si>
    <t xml:space="preserve">ارض السواد - تكنولوجيا المعلومات المحدودة </t>
  </si>
  <si>
    <t>شركة سييرا للهندسة والتصنيع</t>
  </si>
  <si>
    <t>20 1006927339</t>
  </si>
  <si>
    <t>info@sierra-eg.com</t>
  </si>
  <si>
    <t xml:space="preserve">مصر </t>
  </si>
  <si>
    <t>Ebrahim Company- industrial cleaning</t>
  </si>
  <si>
    <t>info@Ebrahimco.com</t>
  </si>
  <si>
    <t xml:space="preserve">Erbil Steel Company </t>
  </si>
  <si>
    <t>0750 435 1818</t>
  </si>
  <si>
    <t>info@erbilsteel.com</t>
  </si>
  <si>
    <t xml:space="preserve">اربيل - طريق كوير </t>
  </si>
  <si>
    <t>شركة الأمل الشريف للبلاستيك</t>
  </si>
  <si>
    <t xml:space="preserve">Bestun Group  للتجارة العامة والمقاولات </t>
  </si>
  <si>
    <t>لسلیمانیة - هواري شار</t>
  </si>
  <si>
    <t xml:space="preserve">Andaza steel  للهياكل الفولاذية </t>
  </si>
  <si>
    <t>0750 182 0002</t>
  </si>
  <si>
    <t>andaza.steelco@gmail.com</t>
  </si>
  <si>
    <t>شركه الحياة لصناعه مواسير البلاستيك و لوازمها</t>
  </si>
  <si>
    <t>20 1090277550</t>
  </si>
  <si>
    <t>info@alhayahpipes.com</t>
  </si>
  <si>
    <t>Elsewedy Engineering Industries</t>
  </si>
  <si>
    <t>20 19052</t>
  </si>
  <si>
    <t>Info@Elsewedy.net</t>
  </si>
  <si>
    <t>مصر</t>
  </si>
  <si>
    <t>شركة الفخار الهندسية</t>
  </si>
  <si>
    <t>0770 000 9436</t>
  </si>
  <si>
    <t>sales@alfakharco.com</t>
  </si>
  <si>
    <t xml:space="preserve">Darin Steel  لصناعة الفولاذ </t>
  </si>
  <si>
    <t>0 750 295 0001</t>
  </si>
  <si>
    <t>info@darinsteel.com</t>
  </si>
  <si>
    <t xml:space="preserve">اربيل - خابات </t>
  </si>
  <si>
    <t xml:space="preserve">شركة الجيزة لصناعة الكابلات </t>
  </si>
  <si>
    <t xml:space="preserve">شركة نصار للمواسير والبلاستيك </t>
  </si>
  <si>
    <t>info@nassarplastic.com</t>
  </si>
  <si>
    <t xml:space="preserve">شركة ITACA  لصناعة السيراميك والبورسلين </t>
  </si>
  <si>
    <t>0773 536 7743</t>
  </si>
  <si>
    <t xml:space="preserve">كربلاء </t>
  </si>
  <si>
    <t>MAM for Engineering Industries and Electrical Supplies</t>
  </si>
  <si>
    <t>20 2 44813021</t>
  </si>
  <si>
    <t>info@mam-electric.com</t>
  </si>
  <si>
    <t xml:space="preserve">EGIC Superior German Quality </t>
  </si>
  <si>
    <t>info@egic.com.eg</t>
  </si>
  <si>
    <t xml:space="preserve">شركة مسابك القاهرة الكبرى </t>
  </si>
  <si>
    <t>20 1005501550</t>
  </si>
  <si>
    <t>sales@gcf-eg.com</t>
  </si>
  <si>
    <t>King Steel Flexible House لأدوات ومنتجات الصحيات</t>
  </si>
  <si>
    <t>2 01226877791</t>
  </si>
  <si>
    <t xml:space="preserve">Tagro for Industry and Trade </t>
  </si>
  <si>
    <t>012 22180204</t>
  </si>
  <si>
    <t>egytrafo للصناعات الكهربائية</t>
  </si>
  <si>
    <t>20224174921/2</t>
  </si>
  <si>
    <t>info@egytrafo.com</t>
  </si>
  <si>
    <t>Najjar Real wood for perfect home</t>
  </si>
  <si>
    <t>20 11 0126 0120</t>
  </si>
  <si>
    <t>info@najjarhome.com</t>
  </si>
  <si>
    <t>Elsewedy Electrometer لحلول القيلس</t>
  </si>
  <si>
    <t>(+2) 02 383202011 |</t>
  </si>
  <si>
    <t>info@sewedy.com.eg</t>
  </si>
  <si>
    <t>Sierra Engineering &amp; Manufacturing</t>
  </si>
  <si>
    <t xml:space="preserve">info@sierra-eg.com
</t>
  </si>
  <si>
    <t xml:space="preserve">Chema Group </t>
  </si>
  <si>
    <t>info@chema-foam.com</t>
  </si>
  <si>
    <t>Babel Energy Group</t>
  </si>
  <si>
    <t>962 6 556 3572</t>
  </si>
  <si>
    <t>info@babelenergygroup.com</t>
  </si>
  <si>
    <t xml:space="preserve">اردن </t>
  </si>
  <si>
    <t>جمعية مصنعي الاسمنت في العراق</t>
  </si>
  <si>
    <t>info@cpai.iq</t>
  </si>
  <si>
    <t>بغداد - المنصور</t>
  </si>
  <si>
    <t>معمل اسمنت السماوة</t>
  </si>
  <si>
    <t>info@scc-iraq.com</t>
  </si>
  <si>
    <t xml:space="preserve">شركة بابل للوكالات التجارية </t>
  </si>
  <si>
    <t>مجموعة الدرويش صلاح حسن درويش</t>
  </si>
  <si>
    <t>mansoor@aldarwieshgroup.com</t>
  </si>
  <si>
    <t xml:space="preserve">بغداد - نجف </t>
  </si>
  <si>
    <t>شركة الامل للمواسير البلاستيك ولوازمها</t>
  </si>
  <si>
    <t>20 2 22406257</t>
  </si>
  <si>
    <t>Materia Italiana Srl</t>
  </si>
  <si>
    <t>39 350 955 4215</t>
  </si>
  <si>
    <t>sales@materiaitaliana.com</t>
  </si>
  <si>
    <t xml:space="preserve">ايطاليا </t>
  </si>
  <si>
    <t>Acero Building Systems (ACERO)</t>
  </si>
  <si>
    <t>info@acero.ae</t>
  </si>
  <si>
    <t xml:space="preserve">دبي </t>
  </si>
  <si>
    <t>مجموعة شرکات بیستون</t>
  </si>
  <si>
    <t>السلیمانیة - هواري شار</t>
  </si>
  <si>
    <t>شركة هياكل الفضائية الفضاسازه</t>
  </si>
  <si>
    <t>Fazasaze@gmail.com</t>
  </si>
  <si>
    <t>ايران</t>
  </si>
  <si>
    <t xml:space="preserve">شركة اطلس بلاست </t>
  </si>
  <si>
    <t>0780-156-5919</t>
  </si>
  <si>
    <t>info@atlasplast.iq</t>
  </si>
  <si>
    <t xml:space="preserve">بغداد  </t>
  </si>
  <si>
    <t>Greater Cairo Foundries</t>
  </si>
  <si>
    <t>Sales@gcf-eg.com</t>
  </si>
  <si>
    <t xml:space="preserve">NASICO Company </t>
  </si>
  <si>
    <t>966 0138200097</t>
  </si>
  <si>
    <t>nasico@alnajim.com</t>
  </si>
  <si>
    <t xml:space="preserve">السعودية </t>
  </si>
  <si>
    <t>OCTOBER FOR PLASTIC PIPES</t>
  </si>
  <si>
    <t>2 02 27364613</t>
  </si>
  <si>
    <t>info@hebeishgroup.com</t>
  </si>
  <si>
    <t>BEDESCHI S.P.A.</t>
  </si>
  <si>
    <t>39.049.7663100</t>
  </si>
  <si>
    <r>
      <rPr>
        <rFont val="&quot;Open Sans&quot;, sans-serif"/>
        <color rgb="FF3C3C3B"/>
        <sz val="11.0"/>
        <u/>
      </rPr>
      <t>sales@bedeschi.com</t>
    </r>
    <r>
      <rPr>
        <rFont val="&quot;Open Sans&quot;, sans-serif"/>
        <color rgb="FF000000"/>
        <sz val="11.0"/>
      </rPr>
      <t xml:space="preserve"> , </t>
    </r>
    <r>
      <rPr>
        <rFont val="&quot;Open Sans&quot;, sans-serif"/>
        <color rgb="FF3C3C3B"/>
        <sz val="11.0"/>
      </rPr>
      <t>invoice@bedeschi.com</t>
    </r>
  </si>
  <si>
    <t xml:space="preserve">Egyptian International CO. for Green Energy Solutions </t>
  </si>
  <si>
    <t>2 01010002030</t>
  </si>
  <si>
    <t>info@eic-egypt.com</t>
  </si>
  <si>
    <t>Chema Foam - كيما فوم</t>
  </si>
  <si>
    <t xml:space="preserve">CONDOR FORMWORK Company </t>
  </si>
  <si>
    <t>39 0827 39512</t>
  </si>
  <si>
    <t>info@condorspa.com</t>
  </si>
  <si>
    <t>ElSewedy Engineering Industries SEI</t>
  </si>
  <si>
    <t>info@elsewedy.net</t>
  </si>
  <si>
    <t xml:space="preserve">Ritver Paints &amp; Coatings </t>
  </si>
  <si>
    <t xml:space="preserve">t.sleiman@ritver.com </t>
  </si>
  <si>
    <t>كاروان صديق سورجي</t>
  </si>
  <si>
    <t xml:space="preserve">info@stergroup.com </t>
  </si>
  <si>
    <t xml:space="preserve">Turkish Consulate General in Erbil </t>
  </si>
  <si>
    <t xml:space="preserve">Zihni Tugrul </t>
  </si>
  <si>
    <t>erbil@ekonomi.gov.tr</t>
  </si>
  <si>
    <t>مجموعة شركات باموك</t>
  </si>
  <si>
    <r>
      <rPr>
        <rFont val="&quot;Segoe UI Historic&quot;, &quot;Segoe UI&quot;, Helvetica, Arial, sans-serif"/>
        <color rgb="FF050505"/>
        <sz val="11.0"/>
      </rPr>
      <t>0770 152 4385</t>
    </r>
  </si>
  <si>
    <t xml:space="preserve">Izka Insaat Construction </t>
  </si>
  <si>
    <t xml:space="preserve">Faranak Han </t>
  </si>
  <si>
    <t>faranak.han@izka.com.tr</t>
  </si>
  <si>
    <t>خيرات الغنام للتجارة العامة والخدمات والنقل البحري</t>
  </si>
  <si>
    <t>مجمع الصفا السكني</t>
  </si>
  <si>
    <t>964-784 400 0063</t>
  </si>
  <si>
    <t>sales@al-safa.com</t>
  </si>
  <si>
    <t>Tamleek Real Estate Co</t>
  </si>
  <si>
    <t>971 4 279 8888</t>
  </si>
  <si>
    <t>info@tamleek.ae</t>
  </si>
  <si>
    <t>دبي</t>
  </si>
  <si>
    <t xml:space="preserve">Strong Wall Company </t>
  </si>
  <si>
    <t>SHANDONG CHENGSHUN METAL MATERIALS CO., LTD</t>
  </si>
  <si>
    <t>86-13335155931</t>
  </si>
  <si>
    <t>sales@chengshunmetal.com</t>
  </si>
  <si>
    <t xml:space="preserve">الصين </t>
  </si>
  <si>
    <t>SHENQIANG STEEL MANUFACTURING CO.,LTD</t>
  </si>
  <si>
    <t>86 18668986607</t>
  </si>
  <si>
    <t>manager@shenqianggroup.com</t>
  </si>
  <si>
    <t>شركة ام قصر الشمالية لصناعة الأسمنت</t>
  </si>
  <si>
    <t>info@nic.njcco.net</t>
  </si>
  <si>
    <t>البصرة</t>
  </si>
  <si>
    <t>شركة سما الراية لمعدات السلامة والاطفاء</t>
  </si>
  <si>
    <t>0770 575 0903</t>
  </si>
  <si>
    <t>samaalrayah@yahoo.com</t>
  </si>
  <si>
    <t xml:space="preserve">عبد السلام كريم - مدير العلاقات </t>
  </si>
  <si>
    <t xml:space="preserve">الجيزة لصناعة الكابلات </t>
  </si>
  <si>
    <t>info@gc-3.com</t>
  </si>
  <si>
    <t xml:space="preserve">اسمنت المبروكة </t>
  </si>
  <si>
    <t>964 (0) ​780 926 7532</t>
  </si>
  <si>
    <t>info@almabrooka.com</t>
  </si>
  <si>
    <t xml:space="preserve">صناعات البلاستيك في الشرق الاوسط </t>
  </si>
  <si>
    <t xml:space="preserve">شركة الشرق الاوسط للصناعات البلاستيكية </t>
  </si>
  <si>
    <t>967 4 288 991</t>
  </si>
  <si>
    <t>TaiMi(Shenzhen) electronics technology Co.,ltd</t>
  </si>
  <si>
    <t xml:space="preserve">cherryliu@taimihk.com </t>
  </si>
  <si>
    <t>SHANGHAI ZILING PACKAGING CO.,LTD.</t>
  </si>
  <si>
    <t>86 18917190780</t>
  </si>
  <si>
    <t>ziling6049@126.com</t>
  </si>
  <si>
    <t xml:space="preserve">Power Dekor Group Company </t>
  </si>
  <si>
    <t>86-21-6855-3266</t>
  </si>
  <si>
    <t>info@powerdekorgroup.com</t>
  </si>
  <si>
    <t>Nantong Wuzhou Composite Material Co.,Ltd</t>
  </si>
  <si>
    <t xml:space="preserve">ntwuzhou@wzfrp.com </t>
  </si>
  <si>
    <t>Zhejiang Leasinder Technology Co., Ltd.</t>
  </si>
  <si>
    <r>
      <rPr>
        <rFont val="Roboto"/>
        <color rgb="FF000000"/>
        <sz val="12.0"/>
      </rPr>
      <t xml:space="preserve">Ronhunt Holdings </t>
    </r>
    <r>
      <rPr>
        <rFont val="Roboto"/>
        <color rgb="FF000000"/>
        <sz val="12.0"/>
        <u/>
      </rPr>
      <t>Pte.TD</t>
    </r>
  </si>
  <si>
    <t xml:space="preserve">sales02@ronhuntgroup.com </t>
  </si>
  <si>
    <t xml:space="preserve">Hangzhou Yongi Hardware Co .,LTD </t>
  </si>
  <si>
    <t xml:space="preserve">lucky-hardware@vip.sina.com </t>
  </si>
  <si>
    <t>China Bozhong Stainless Steel Co., Ltd</t>
  </si>
  <si>
    <t xml:space="preserve">2512236809@qq.com </t>
  </si>
  <si>
    <t xml:space="preserve">Jiujiang Ouwell Industrial Co., LTD </t>
  </si>
  <si>
    <t>marketing@tanjeon.com</t>
  </si>
  <si>
    <t>Clar Company</t>
  </si>
  <si>
    <t>chnled@hotmail.com</t>
  </si>
  <si>
    <t>Zhejiang Green valve and fitting Co., Ltd.</t>
  </si>
  <si>
    <t>86 17857027045</t>
  </si>
  <si>
    <t>johnson@taizhougreen.com</t>
  </si>
  <si>
    <t>الصين</t>
  </si>
  <si>
    <t xml:space="preserve"> UN Forklift Co., Ltd </t>
  </si>
  <si>
    <t>info@unforklift.com , hali@unforklift.com</t>
  </si>
  <si>
    <t xml:space="preserve">Julybambu </t>
  </si>
  <si>
    <t>Sales@julybambu.com</t>
  </si>
  <si>
    <t>Muzi Ceramics (MUZZI)</t>
  </si>
  <si>
    <t xml:space="preserve">windy@muzzi-ltd.com </t>
  </si>
  <si>
    <t>Zhuosheng Steel Limited</t>
  </si>
  <si>
    <t>sales@zzmetal.com</t>
  </si>
  <si>
    <t xml:space="preserve">MRT Company </t>
  </si>
  <si>
    <t>86-0577-8683 7678</t>
  </si>
  <si>
    <t>meierte@meierte.com</t>
  </si>
  <si>
    <t xml:space="preserve">شركة ديكوراس للتجارة العامة </t>
  </si>
  <si>
    <t>dekorascompany@gmail.com</t>
  </si>
  <si>
    <t xml:space="preserve">اربيل - شارع فندق فريد </t>
  </si>
  <si>
    <t>Hishine Group Limited (Hong Kong)</t>
  </si>
  <si>
    <t>ada@hishine.cc</t>
  </si>
  <si>
    <t>Wenzhou Oude Gating Technology Development Co., Ltd</t>
  </si>
  <si>
    <t>86-577-86808802</t>
  </si>
  <si>
    <t>oude@cn-oude.com</t>
  </si>
  <si>
    <t>Chuzhou Yinxing New Material Technology Co., Ltd.</t>
  </si>
  <si>
    <t xml:space="preserve">liqian@yxelectric.com </t>
  </si>
  <si>
    <t xml:space="preserve">Al - Rambo Switch &amp; Lighting </t>
  </si>
  <si>
    <t xml:space="preserve">al_rambo_switch@163.com </t>
  </si>
  <si>
    <t xml:space="preserve">امارات </t>
  </si>
  <si>
    <t>Renqiu Wangli Plastic Grass Co., Ltd.</t>
  </si>
  <si>
    <t>0086-15830477 656</t>
  </si>
  <si>
    <t>joan@wlgrass.com</t>
  </si>
  <si>
    <t xml:space="preserve">Unigaz Company </t>
  </si>
  <si>
    <t>961 3 130 593</t>
  </si>
  <si>
    <t>nfo@unigaz.net</t>
  </si>
  <si>
    <t xml:space="preserve">Pimapen Company </t>
  </si>
  <si>
    <t xml:space="preserve">ozan.tatli@pimapen.com.tr </t>
  </si>
  <si>
    <t xml:space="preserve">Riva Sanitary Ware </t>
  </si>
  <si>
    <t xml:space="preserve">marketing@rivapius.com </t>
  </si>
  <si>
    <t>Ain Al Shahba General Construction &amp; Trading ltd</t>
  </si>
  <si>
    <t xml:space="preserve">eng.hallak@hotmail.com </t>
  </si>
  <si>
    <t xml:space="preserve">Rasan Group Company </t>
  </si>
  <si>
    <t xml:space="preserve">شركة اسيا لايت </t>
  </si>
  <si>
    <t xml:space="preserve">dleir2000@gmail.com </t>
  </si>
  <si>
    <t>Diary Company</t>
  </si>
  <si>
    <t xml:space="preserve">ديارى عبد الله عمر </t>
  </si>
  <si>
    <t xml:space="preserve">diar.ranow@gmail.com </t>
  </si>
  <si>
    <t>اربيل</t>
  </si>
  <si>
    <t>Nemrut Bims Group</t>
  </si>
  <si>
    <t xml:space="preserve">احمد مزوري </t>
  </si>
  <si>
    <t xml:space="preserve">amzury@nemrutbims.com </t>
  </si>
  <si>
    <t xml:space="preserve">Saray Aluminium Company </t>
  </si>
  <si>
    <t>90 212 550 49 47</t>
  </si>
  <si>
    <t>saray@sarayroll.com</t>
  </si>
  <si>
    <t>Saripuya Company</t>
  </si>
  <si>
    <t xml:space="preserve">info@saripuya.com </t>
  </si>
  <si>
    <t xml:space="preserve">ايران </t>
  </si>
  <si>
    <t>Mateen Soleh</t>
  </si>
  <si>
    <t xml:space="preserve">pshtiwan </t>
  </si>
  <si>
    <t>info@mateensoleh.com</t>
  </si>
  <si>
    <t xml:space="preserve">Sinar Company </t>
  </si>
  <si>
    <t>info@sinarco.com</t>
  </si>
  <si>
    <t xml:space="preserve">Dayik Group </t>
  </si>
  <si>
    <t xml:space="preserve">Karwan </t>
  </si>
  <si>
    <t xml:space="preserve">info@dayikgroup.com </t>
  </si>
  <si>
    <t xml:space="preserve">Ako Group </t>
  </si>
  <si>
    <t xml:space="preserve">ako.group70@yahoo.com </t>
  </si>
  <si>
    <t>964 750 924 2222</t>
  </si>
  <si>
    <t>info@nest.krd</t>
  </si>
  <si>
    <t>Mateen Group For Construction Materials</t>
  </si>
  <si>
    <t xml:space="preserve">Dunya Decor Company </t>
  </si>
  <si>
    <t xml:space="preserve">shallawsalim@yahoo.com </t>
  </si>
  <si>
    <t xml:space="preserve">قنديل للمقاولات والتجارة </t>
  </si>
  <si>
    <t xml:space="preserve">فيصل سورجي </t>
  </si>
  <si>
    <t xml:space="preserve">qandilfs@yahoo.com </t>
  </si>
  <si>
    <t>Filler Company For Electro Mechanical Systems Engineering Work</t>
  </si>
  <si>
    <t xml:space="preserve">محمد </t>
  </si>
  <si>
    <t>filler.ltd@gmail.com</t>
  </si>
  <si>
    <t xml:space="preserve">Hiway Firdows Co . </t>
  </si>
  <si>
    <t xml:space="preserve">هيوا </t>
  </si>
  <si>
    <t xml:space="preserve">info@hiwayfirdows.com </t>
  </si>
  <si>
    <t xml:space="preserve">شركة سوبر لوكس للتجارة العامة وصناعة الحديد والالمنيوم </t>
  </si>
  <si>
    <r>
      <rPr>
        <rFont val="Roboto"/>
        <color rgb="FF1155CC"/>
        <sz val="12.0"/>
        <u/>
      </rPr>
      <t>superlux.co</t>
    </r>
    <r>
      <rPr>
        <rFont val="Roboto"/>
        <color rgb="FF434343"/>
        <sz val="12.0"/>
      </rPr>
      <t xml:space="preserve">@gmail.com </t>
    </r>
  </si>
  <si>
    <t xml:space="preserve">Azadyindustries </t>
  </si>
  <si>
    <t xml:space="preserve">ranj.diggil@azadyindustries.com </t>
  </si>
  <si>
    <t xml:space="preserve">Winhome Company </t>
  </si>
  <si>
    <t>Seyid Habil</t>
  </si>
  <si>
    <t>info@winhome.co</t>
  </si>
  <si>
    <t xml:space="preserve">Ebdaa Al- Wakeel Co. General Trading and Electrical Materials </t>
  </si>
  <si>
    <t xml:space="preserve">محمد البقال </t>
  </si>
  <si>
    <t xml:space="preserve">alwakeel_eic@yahoo.com </t>
  </si>
  <si>
    <t xml:space="preserve">غروندفوس الخليج للتوزيع </t>
  </si>
  <si>
    <t xml:space="preserve">وليد النوباني </t>
  </si>
  <si>
    <t>wnoubani@grundfos.com</t>
  </si>
  <si>
    <t xml:space="preserve">الامارات </t>
  </si>
  <si>
    <t xml:space="preserve">Future Design </t>
  </si>
  <si>
    <t xml:space="preserve">محمد عبد القادر </t>
  </si>
  <si>
    <t xml:space="preserve">hawlerman1@yahoo.com </t>
  </si>
  <si>
    <t xml:space="preserve">محجره دار جلال </t>
  </si>
  <si>
    <t>ARRASHEED HOUSE OF ARCHITECTURE</t>
  </si>
  <si>
    <t xml:space="preserve">احسان فيضي </t>
  </si>
  <si>
    <t xml:space="preserve">info@arrasheed.com </t>
  </si>
  <si>
    <t xml:space="preserve">الاردن </t>
  </si>
  <si>
    <t xml:space="preserve">شركة فيوجر ايرفلو بصناعة منافذ الهواء </t>
  </si>
  <si>
    <t xml:space="preserve">Behracan Company </t>
  </si>
  <si>
    <t>moayed.ali@behracan.com</t>
  </si>
  <si>
    <t xml:space="preserve">‌Haji Wahab Group </t>
  </si>
  <si>
    <t>wahab_company@yahoo.com</t>
  </si>
  <si>
    <t xml:space="preserve">شركة ماربل للمرمر والكرانيت </t>
  </si>
  <si>
    <t xml:space="preserve">Artvit Iraq </t>
  </si>
  <si>
    <t xml:space="preserve">rebwar_82@hotmail.com </t>
  </si>
  <si>
    <t xml:space="preserve">Estelle Group Kirkuk Materials Trading Aluminum and PVC </t>
  </si>
  <si>
    <t xml:space="preserve">ibrahem.steel@yahoo.com </t>
  </si>
  <si>
    <t xml:space="preserve">كركوك </t>
  </si>
  <si>
    <t xml:space="preserve">Asia Insurance Company </t>
  </si>
  <si>
    <t xml:space="preserve">Nazhadi co. General Trading </t>
  </si>
  <si>
    <t xml:space="preserve">ihsan_ali1968@yahoo.com </t>
  </si>
  <si>
    <t xml:space="preserve">Diamond 3D </t>
  </si>
  <si>
    <t xml:space="preserve">info@diamond-3d.com </t>
  </si>
  <si>
    <t>BTK Muhendislik &amp; Insaaat A.S</t>
  </si>
  <si>
    <t xml:space="preserve">Haymn </t>
  </si>
  <si>
    <t xml:space="preserve">haymnahmed@btkmuhendislik.com </t>
  </si>
  <si>
    <t xml:space="preserve">Ritver Paints &amp; Coatings Company </t>
  </si>
  <si>
    <t xml:space="preserve">Tony </t>
  </si>
  <si>
    <t xml:space="preserve">EIA Elite Electrical , Instruments And Automation Service Company </t>
  </si>
  <si>
    <t xml:space="preserve">Muhammad </t>
  </si>
  <si>
    <t>muhammad.elkurdi@eiaelite.com</t>
  </si>
  <si>
    <t xml:space="preserve">panel.Line.Factory (Aland Office) </t>
  </si>
  <si>
    <t xml:space="preserve">Azeez Omar </t>
  </si>
  <si>
    <t xml:space="preserve">info@pl-kiosks.com </t>
  </si>
  <si>
    <t xml:space="preserve">erbil </t>
  </si>
  <si>
    <t>Baowu International Trade (Shandong) Co., Ltd.</t>
  </si>
  <si>
    <t>86 15966666161</t>
  </si>
  <si>
    <t>angel1@sdbaowu.com</t>
  </si>
  <si>
    <t xml:space="preserve">شركة ازاد لتجارة المرمر والكرانيت </t>
  </si>
  <si>
    <t xml:space="preserve">ازاد </t>
  </si>
  <si>
    <t>azadco@yahoo.com</t>
  </si>
  <si>
    <t xml:space="preserve">Day Decoration </t>
  </si>
  <si>
    <t>info@day-decoration.com</t>
  </si>
  <si>
    <t>Mimariz Architectural Design Workshop</t>
  </si>
  <si>
    <t>info@mimariz.com.tr</t>
  </si>
  <si>
    <t xml:space="preserve">ابداع الوكيل لتجارة المواد الكهربائية </t>
  </si>
  <si>
    <t xml:space="preserve">عبد الرحمن </t>
  </si>
  <si>
    <t xml:space="preserve">alwakeel_elc@yahoo.com </t>
  </si>
  <si>
    <t xml:space="preserve">داهو تيكنولوجي الشرق الاوسط </t>
  </si>
  <si>
    <t xml:space="preserve">zhang_jiyang@dahuatech.com </t>
  </si>
  <si>
    <t xml:space="preserve">Pristine Construction </t>
  </si>
  <si>
    <t xml:space="preserve">Level Immigration Company  للحصول على الجنسية والاقامة </t>
  </si>
  <si>
    <t>90 506 022 30 00</t>
  </si>
  <si>
    <t>Henley &amp; Partners Company الإقامة والمواطنة عن طريق الاستثمار</t>
  </si>
  <si>
    <t>971 58 276 0184</t>
  </si>
  <si>
    <t xml:space="preserve">Latitudeworld Company للحصول على الجنسية </t>
  </si>
  <si>
    <t>44 1534 281118</t>
  </si>
  <si>
    <t>info@latitudeworld.com</t>
  </si>
  <si>
    <t>Caribbean Trust Immigration Services</t>
  </si>
  <si>
    <t>971 4 255 2600</t>
  </si>
  <si>
    <t>info@ctrustglobal.com</t>
  </si>
  <si>
    <t>Imtilak Real Estate company citizenship</t>
  </si>
  <si>
    <t>CITIZENSHIP INVEST</t>
  </si>
  <si>
    <t xml:space="preserve"> Henley &amp; Partners Company </t>
  </si>
  <si>
    <t>971 4 392 7722</t>
  </si>
  <si>
    <t xml:space="preserve">PassPro Company </t>
  </si>
  <si>
    <t>gisellebru@passpro.co</t>
  </si>
  <si>
    <t xml:space="preserve">RIF Trust Company </t>
  </si>
  <si>
    <t>971 4 520 6777</t>
  </si>
  <si>
    <t>برنامج كيبك للمستثمر المهاجر (QIIP)</t>
  </si>
  <si>
    <t>1(514) 2030-548</t>
  </si>
  <si>
    <t xml:space="preserve">بلومينا - مجال الجنسية والاقامة </t>
  </si>
  <si>
    <t>964 751 001 1666</t>
  </si>
  <si>
    <t>info@bluemina.com</t>
  </si>
  <si>
    <t xml:space="preserve">اربيل - بارك فيو </t>
  </si>
  <si>
    <t>سيفوري أند بارتنرز</t>
  </si>
  <si>
    <t>info@savoryandpartners.com</t>
  </si>
  <si>
    <t>مايجريت وورلد</t>
  </si>
  <si>
    <t>971 54 468 6666</t>
  </si>
  <si>
    <t>نورث العالمية للهجرة</t>
  </si>
  <si>
    <r>
      <rPr>
        <rFont val="Roboto, Helvetica, Arial, sans-serif"/>
        <color rgb="FF666666"/>
        <sz val="12.0"/>
      </rPr>
      <t>info</t>
    </r>
    <r>
      <rPr>
        <rFont val="Roboto, Helvetica, Arial, sans-serif"/>
        <color rgb="FF666666"/>
        <sz val="12.0"/>
        <u/>
      </rPr>
      <t>@northimmigration.c</t>
    </r>
    <r>
      <rPr>
        <rFont val="Roboto, Helvetica, Arial, sans-serif"/>
        <color rgb="FF666666"/>
        <sz val="12.0"/>
      </rPr>
      <t>om</t>
    </r>
  </si>
  <si>
    <t xml:space="preserve">iFOREX للتداول </t>
  </si>
  <si>
    <t>1-855-845-5883</t>
  </si>
  <si>
    <t>info@iforex.com</t>
  </si>
  <si>
    <t xml:space="preserve">Gara Group Companies General Trade &amp; Indus , Cont </t>
  </si>
  <si>
    <t xml:space="preserve">faris.gara@yahoo.com </t>
  </si>
  <si>
    <t xml:space="preserve">Lightup </t>
  </si>
  <si>
    <t>alan.najat@lightup.krd</t>
  </si>
  <si>
    <t xml:space="preserve">Dar Kurd Group </t>
  </si>
  <si>
    <t xml:space="preserve">info@darkurd.com </t>
  </si>
  <si>
    <t>Ideal Build</t>
  </si>
  <si>
    <t>Didar Shamsaddin</t>
  </si>
  <si>
    <t>info@ideabuild.co</t>
  </si>
  <si>
    <t xml:space="preserve">TeamWork PRO Real Estate Consulting </t>
  </si>
  <si>
    <t xml:space="preserve">gorkem.levent@teamworkpro.net </t>
  </si>
  <si>
    <t xml:space="preserve">Golden Port Istanbul Real Estate </t>
  </si>
  <si>
    <t xml:space="preserve">Ahmet </t>
  </si>
  <si>
    <t xml:space="preserve">ayuksel34@gmail.com </t>
  </si>
  <si>
    <t xml:space="preserve">M.Y Group Company </t>
  </si>
  <si>
    <t xml:space="preserve">Saman </t>
  </si>
  <si>
    <t xml:space="preserve"> saman@myitdco.com </t>
  </si>
  <si>
    <t xml:space="preserve">مجموعة شركات سنجاري </t>
  </si>
  <si>
    <t xml:space="preserve">info@dunyaconstruction.com </t>
  </si>
  <si>
    <t>اربيل - القرية الايطالية 2</t>
  </si>
  <si>
    <t xml:space="preserve">Moon Park Tasdelen </t>
  </si>
  <si>
    <t xml:space="preserve">tevhide.tuno@moonparktasdelen.com </t>
  </si>
  <si>
    <t>Karaarslan Insaat</t>
  </si>
  <si>
    <t>GF Hakan Plastik</t>
  </si>
  <si>
    <t xml:space="preserve">Emaarr Turkey </t>
  </si>
  <si>
    <t xml:space="preserve">KarPlus Company </t>
  </si>
  <si>
    <t xml:space="preserve">مجموعة شركات صن لايت التجارية لتجارة الانارة الحديثة </t>
  </si>
  <si>
    <t>محمد</t>
  </si>
  <si>
    <t xml:space="preserve">sherzad1978@yahoo.com </t>
  </si>
  <si>
    <t xml:space="preserve">Dial Company Ltd, </t>
  </si>
  <si>
    <t xml:space="preserve">dyoiraq@gmail.com </t>
  </si>
  <si>
    <t xml:space="preserve">شركة هزار عزيز محمود للمقاولات العامة والمباني </t>
  </si>
  <si>
    <t xml:space="preserve">hazharazeez67@gmail.com </t>
  </si>
  <si>
    <t xml:space="preserve">sulav electrics </t>
  </si>
  <si>
    <t>hawar@sulavco.com</t>
  </si>
  <si>
    <t>Izomaks Industries L.L.C</t>
  </si>
  <si>
    <t>ahmetgenc@izomaks.com.tr</t>
  </si>
  <si>
    <t xml:space="preserve">islandbluecyprus </t>
  </si>
  <si>
    <t>قبرص</t>
  </si>
  <si>
    <t xml:space="preserve">بدرخان </t>
  </si>
  <si>
    <t xml:space="preserve">هولير للمقاولات </t>
  </si>
  <si>
    <t xml:space="preserve">نور الشيخ للتجارة العامة والمقاولات </t>
  </si>
  <si>
    <t xml:space="preserve">hawraznor_1986@yahoo.com </t>
  </si>
  <si>
    <t xml:space="preserve">Golden Glass </t>
  </si>
  <si>
    <t xml:space="preserve">info@shanikglass.com </t>
  </si>
  <si>
    <t xml:space="preserve">Our House </t>
  </si>
  <si>
    <t xml:space="preserve">شركة سيكانيان الجديدة للمقاولات الانشائية المحدودة </t>
  </si>
  <si>
    <t xml:space="preserve">emransulaiman1234@gmail.com </t>
  </si>
  <si>
    <t>كركوك</t>
  </si>
  <si>
    <t>V² DEVELOPMENT</t>
  </si>
  <si>
    <t xml:space="preserve">hassan.ahmed@vsquared2.com </t>
  </si>
  <si>
    <t xml:space="preserve">ايزوكريت </t>
  </si>
  <si>
    <t xml:space="preserve">Reach Immigration </t>
  </si>
  <si>
    <r>
      <rPr>
        <rFont val="Roboto"/>
        <color rgb="FF000000"/>
        <sz val="12.0"/>
      </rPr>
      <t>azwa.com</t>
    </r>
    <r>
      <rPr>
        <rFont val="Roboto"/>
        <color rgb="FF434343"/>
        <sz val="12.0"/>
      </rPr>
      <t xml:space="preserve">[pany@yahoo.com </t>
    </r>
  </si>
  <si>
    <t xml:space="preserve">ILF Group Consulting Engineers </t>
  </si>
  <si>
    <t xml:space="preserve">enrico.casaretti@ilf.com </t>
  </si>
  <si>
    <t>Premier Property Management Company</t>
  </si>
  <si>
    <t xml:space="preserve">حاجي محمد </t>
  </si>
  <si>
    <t xml:space="preserve">Nozza Decor </t>
  </si>
  <si>
    <t xml:space="preserve">شركة السحاب للتجارة العامة </t>
  </si>
  <si>
    <t xml:space="preserve">شركة ياسمين للتجهيز والمقاولات العامة المحدودة </t>
  </si>
  <si>
    <t xml:space="preserve">شركة مهندس طلعت للتجارة العامة وتجارة الحديد </t>
  </si>
  <si>
    <t xml:space="preserve">Shanica Group </t>
  </si>
  <si>
    <t xml:space="preserve">جنكيز احمد الاسعدي </t>
  </si>
  <si>
    <t xml:space="preserve">Golden Mountains Company </t>
  </si>
  <si>
    <t xml:space="preserve">كروبي ساناى </t>
  </si>
  <si>
    <t xml:space="preserve">Building Technologes </t>
  </si>
  <si>
    <t xml:space="preserve">Map Group </t>
  </si>
  <si>
    <t xml:space="preserve">Khind Delivering happiness </t>
  </si>
  <si>
    <t>General Cool - Heat</t>
  </si>
  <si>
    <t xml:space="preserve">High Quality Color for General Marketing </t>
  </si>
  <si>
    <t xml:space="preserve">Arminas </t>
  </si>
  <si>
    <t xml:space="preserve">Caparol Experience German Paints </t>
  </si>
  <si>
    <t xml:space="preserve">Emek Group </t>
  </si>
  <si>
    <t xml:space="preserve">معرض اطلسى باكورللتجارة العامة وبيع المواد الكهربائية  </t>
  </si>
  <si>
    <t xml:space="preserve">Manta Lighting </t>
  </si>
  <si>
    <t xml:space="preserve">شركة المصنع السعودي لمواد البناء </t>
  </si>
  <si>
    <t xml:space="preserve">Rozh Electrical &amp; Lighting </t>
  </si>
  <si>
    <t xml:space="preserve">Boero Company </t>
  </si>
  <si>
    <t xml:space="preserve">Jamal Company for Sell Electrical Materials </t>
  </si>
  <si>
    <t xml:space="preserve">شركة ادوات النجار للتجارة العامة والمقاولات </t>
  </si>
  <si>
    <t xml:space="preserve">General Banyo </t>
  </si>
  <si>
    <t xml:space="preserve"> شركة المجدوعي للصناعات المحدودة </t>
  </si>
  <si>
    <t xml:space="preserve">حمادة فوزي </t>
  </si>
  <si>
    <t xml:space="preserve">hamadaf@almajdouie.com </t>
  </si>
  <si>
    <t xml:space="preserve">شركة البلسان التجارية </t>
  </si>
  <si>
    <t>info@al-balsan.com</t>
  </si>
  <si>
    <t>بغداد</t>
  </si>
  <si>
    <t xml:space="preserve">شركة آذر نبش تبريز </t>
  </si>
  <si>
    <t xml:space="preserve">عليزاده </t>
  </si>
  <si>
    <t>alizadeh@toloo-trading.com</t>
  </si>
  <si>
    <t xml:space="preserve">Rajcooling Systems PVT . Ltd </t>
  </si>
  <si>
    <t xml:space="preserve">export@rajcooling.com </t>
  </si>
  <si>
    <t xml:space="preserve">الهند </t>
  </si>
  <si>
    <t xml:space="preserve">شركة بحر بغداد </t>
  </si>
  <si>
    <t xml:space="preserve">ruud.iraq.baghdad@gmail.com </t>
  </si>
  <si>
    <t xml:space="preserve">بغداد - زيونة </t>
  </si>
  <si>
    <t xml:space="preserve">كرين فلج </t>
  </si>
  <si>
    <t xml:space="preserve">sales1@jhcompany.com </t>
  </si>
  <si>
    <t xml:space="preserve">الانبار </t>
  </si>
  <si>
    <t xml:space="preserve">مصرف التنمية الدولي </t>
  </si>
  <si>
    <t xml:space="preserve">مصنع الاضاءات الدولية </t>
  </si>
  <si>
    <t>ah.bari@ilf.com.sa</t>
  </si>
  <si>
    <t xml:space="preserve">هيئة استثمار بغداد </t>
  </si>
  <si>
    <t xml:space="preserve">investmentgoviq@gmail.com </t>
  </si>
  <si>
    <t>Muscat Leading Plastic</t>
  </si>
  <si>
    <t xml:space="preserve">sales@muscatplastic.com </t>
  </si>
  <si>
    <t xml:space="preserve">سلطنة عمان </t>
  </si>
  <si>
    <t xml:space="preserve">كنز العالمية للمشاريع </t>
  </si>
  <si>
    <t xml:space="preserve">majdi@kip.com </t>
  </si>
  <si>
    <t xml:space="preserve">مجموعة الهلال الصناعية </t>
  </si>
  <si>
    <t xml:space="preserve">mubarak@hilagroup.com </t>
  </si>
  <si>
    <t xml:space="preserve">مصرف الخليج التجاري </t>
  </si>
  <si>
    <t xml:space="preserve">هدى طالب </t>
  </si>
  <si>
    <t>huda@gcb.iq</t>
  </si>
  <si>
    <t xml:space="preserve">Jindal Shadeed Iron &amp; Steel Llc , Oman </t>
  </si>
  <si>
    <t xml:space="preserve">marketing@jindalshadeed.com </t>
  </si>
  <si>
    <t xml:space="preserve">Tahweel Plumbing Systems </t>
  </si>
  <si>
    <t>info@tahweelpipe.com</t>
  </si>
  <si>
    <t xml:space="preserve">مصرف الاتحاد العراقي </t>
  </si>
  <si>
    <t xml:space="preserve">info@unionbank.iq </t>
  </si>
  <si>
    <t xml:space="preserve">سخان الوارث </t>
  </si>
  <si>
    <t xml:space="preserve">info@alwarth.com </t>
  </si>
  <si>
    <t xml:space="preserve">Delta Cement </t>
  </si>
  <si>
    <r>
      <rPr>
        <rFont val="Roboto"/>
        <color rgb="FF1155CC"/>
        <sz val="12.0"/>
        <u/>
      </rPr>
      <t>delta-cement.com</t>
    </r>
    <r>
      <rPr>
        <rFont val="Roboto"/>
        <color rgb="FF434343"/>
        <sz val="12.0"/>
      </rPr>
      <t xml:space="preserve"> </t>
    </r>
  </si>
  <si>
    <t xml:space="preserve">شركة عالم المعادن </t>
  </si>
  <si>
    <t xml:space="preserve">احمد مهدي </t>
  </si>
  <si>
    <t xml:space="preserve">info@alaam.com </t>
  </si>
  <si>
    <t xml:space="preserve">Sepahan Electroode </t>
  </si>
  <si>
    <t xml:space="preserve">commercial@electrodesepahan.com </t>
  </si>
  <si>
    <t xml:space="preserve">مصرف الجنوب الاسلامي </t>
  </si>
  <si>
    <t xml:space="preserve">الحمراء للتأمين </t>
  </si>
  <si>
    <r>
      <rPr>
        <rFont val="Roboto"/>
        <color rgb="FF1155CC"/>
        <sz val="12.0"/>
        <u/>
      </rPr>
      <t>www.alhamraains.com</t>
    </r>
    <r>
      <rPr>
        <rFont val="Roboto"/>
        <color rgb="FF434343"/>
        <sz val="12.0"/>
      </rPr>
      <t xml:space="preserve"> </t>
    </r>
  </si>
  <si>
    <t xml:space="preserve">مصنع احمد سعيد عفيفي وشركاءه لألواح الميلامين (مصنع جولف ميكا) </t>
  </si>
  <si>
    <t>966537400079 - 966501117270</t>
  </si>
  <si>
    <t>info@gulfmica@afifi.com.sa</t>
  </si>
  <si>
    <t xml:space="preserve">هيئة استثمار محافظة ديالى </t>
  </si>
  <si>
    <t xml:space="preserve">diyalainv@gmail.com </t>
  </si>
  <si>
    <t xml:space="preserve">مصرف الطيف الاسلامي للأستثمار والتمويل </t>
  </si>
  <si>
    <t>almarjan paint</t>
  </si>
  <si>
    <t>7702534811 - 07801128330</t>
  </si>
  <si>
    <t>www.altabieaa.com</t>
  </si>
  <si>
    <t>alxalij al arabi</t>
  </si>
  <si>
    <t>0770 392 7353 - 0770 2870344 - 0780174 7805</t>
  </si>
  <si>
    <t xml:space="preserve">aqua therm </t>
  </si>
  <si>
    <t>0770 2870344</t>
  </si>
  <si>
    <t>united iron steel (abu dhabi )</t>
  </si>
  <si>
    <t>0971 50 213 2485 - 0971 255 0 9932</t>
  </si>
  <si>
    <t>alqabs economical group</t>
  </si>
  <si>
    <t>0780 2023000 - 0780469 0000</t>
  </si>
  <si>
    <t>asas almohileb (cement factory)</t>
  </si>
  <si>
    <t>0966 53 947 7007 - 0966 14669 2442</t>
  </si>
  <si>
    <t>aljazeera falcon ( saqr aljazeera )</t>
  </si>
  <si>
    <t xml:space="preserve">0966 545 558882 </t>
  </si>
  <si>
    <t>b.alghamdi@jzfalcon.com</t>
  </si>
  <si>
    <t xml:space="preserve">block factory ( karbala ) </t>
  </si>
  <si>
    <t xml:space="preserve"> 0772 2228673 - 0782 2228673</t>
  </si>
  <si>
    <t>beton.plant@yahoo.com</t>
  </si>
  <si>
    <t xml:space="preserve">modon </t>
  </si>
  <si>
    <t>musaab azawi</t>
  </si>
  <si>
    <t>0783 5775017 - 0771 344 3471</t>
  </si>
  <si>
    <t>alsharqiya cables</t>
  </si>
  <si>
    <t>muhamad sabah</t>
  </si>
  <si>
    <t>0966 138818419 - 0966501239924</t>
  </si>
  <si>
    <t>VPL vishal pipes limited</t>
  </si>
  <si>
    <t>vivek (india)</t>
  </si>
  <si>
    <t xml:space="preserve">0091 844 8555686 </t>
  </si>
  <si>
    <t>zara paints</t>
  </si>
  <si>
    <t xml:space="preserve"> mohamad abo islih</t>
  </si>
  <si>
    <t>09625386 1410 - 0962799296716</t>
  </si>
  <si>
    <t>KE solutions 7lul al taqa</t>
  </si>
  <si>
    <t>0774 6611070 - 0774661 1071</t>
  </si>
  <si>
    <t>stair plus (iran)</t>
  </si>
  <si>
    <t>0098 21332828 10- 0098 9121351560</t>
  </si>
  <si>
    <t>SFK steel industry iran</t>
  </si>
  <si>
    <t>0098 914 3067756</t>
  </si>
  <si>
    <t>progress group iraq</t>
  </si>
  <si>
    <t>0964 7901867732 - 0964 770 5837749</t>
  </si>
  <si>
    <t xml:space="preserve">alamiya furniture </t>
  </si>
  <si>
    <t>www.alamiyaco.com</t>
  </si>
  <si>
    <t>ministry of sultanate oman (وزارة تجارة عمان)</t>
  </si>
  <si>
    <t>0968 929090 45 - 096880 0000 70</t>
  </si>
  <si>
    <t xml:space="preserve">riva ceramic </t>
  </si>
  <si>
    <t>0770 765 2121 - 0770 152 6797</t>
  </si>
  <si>
    <t>topland engines (india)</t>
  </si>
  <si>
    <t>0091 281 2360447</t>
  </si>
  <si>
    <t xml:space="preserve">shamal plastic industry </t>
  </si>
  <si>
    <t>karam ibrahim</t>
  </si>
  <si>
    <t>0968 26751174 - 00968 98 099847</t>
  </si>
  <si>
    <t>six visions saudi</t>
  </si>
  <si>
    <t xml:space="preserve">dr wamid shakr </t>
  </si>
  <si>
    <t>00966 0 533 654750 - 0966 050 5309783</t>
  </si>
  <si>
    <t xml:space="preserve">alitco trade </t>
  </si>
  <si>
    <t>yahya nani</t>
  </si>
  <si>
    <t>0966 11250 0600 - 096611 295 0013</t>
  </si>
  <si>
    <t>aljawdah ceramics saudi arabia</t>
  </si>
  <si>
    <r>
      <rPr>
        <rFont val="Roboto"/>
        <color rgb="FF434343"/>
        <sz val="12.0"/>
      </rPr>
      <t>info@</t>
    </r>
    <r>
      <rPr>
        <rFont val="Roboto"/>
        <color rgb="FF1155CC"/>
        <sz val="12.0"/>
        <u/>
      </rPr>
      <t>aljawdahgroup.com</t>
    </r>
    <r>
      <rPr>
        <rFont val="Roboto"/>
        <color rgb="FF434343"/>
        <sz val="12.0"/>
      </rPr>
      <t xml:space="preserve"> - www.aljawdah.sa</t>
    </r>
  </si>
  <si>
    <t xml:space="preserve">اسهم صندوق السعودي </t>
  </si>
  <si>
    <t>sfd.gov.sa</t>
  </si>
  <si>
    <t>berger paints al omran group</t>
  </si>
  <si>
    <t xml:space="preserve">ali jamal </t>
  </si>
  <si>
    <t>0770 6000055 - 0780 600 0055</t>
  </si>
  <si>
    <t>atlas light company</t>
  </si>
  <si>
    <t>0780 2221122 - 0771 111 2727</t>
  </si>
  <si>
    <t xml:space="preserve">asia paints </t>
  </si>
  <si>
    <t>00964 790 192 1102</t>
  </si>
  <si>
    <t>NRC</t>
  </si>
  <si>
    <t xml:space="preserve">majed sulaiman </t>
  </si>
  <si>
    <t>اتحاد الغرف تجارية العراقية</t>
  </si>
  <si>
    <t xml:space="preserve">info@ficc.org.iq / </t>
  </si>
  <si>
    <t xml:space="preserve">development bank </t>
  </si>
  <si>
    <t>wesam ala2</t>
  </si>
  <si>
    <t>0771 8127526</t>
  </si>
  <si>
    <t xml:space="preserve">mabani investment </t>
  </si>
  <si>
    <t>0770 8712749 - 0770 517 0046</t>
  </si>
  <si>
    <t xml:space="preserve">bestun group </t>
  </si>
  <si>
    <t>dilshad</t>
  </si>
  <si>
    <t xml:space="preserve"> 0772 152 2015</t>
  </si>
  <si>
    <t>kingdom laminate</t>
  </si>
  <si>
    <t>abdulrahem talb</t>
  </si>
  <si>
    <t>0780 888 6694 - 0770 725 6184</t>
  </si>
  <si>
    <t>tamur kafil factory engineering</t>
  </si>
  <si>
    <t xml:space="preserve"> tamur kafil engineer</t>
  </si>
  <si>
    <t xml:space="preserve"> 0773 0040028</t>
  </si>
  <si>
    <t>ASN co.</t>
  </si>
  <si>
    <t xml:space="preserve">ali shamsadin </t>
  </si>
  <si>
    <t>0780 1443300</t>
  </si>
  <si>
    <t>muorooj alkhaleej</t>
  </si>
  <si>
    <t xml:space="preserve">ali abadi </t>
  </si>
  <si>
    <t>0785 222 2202</t>
  </si>
  <si>
    <t>uranus trading</t>
  </si>
  <si>
    <t xml:space="preserve">turki ali </t>
  </si>
  <si>
    <t>096415426229 - 0964790190 6291</t>
  </si>
  <si>
    <t>RMG security system saudi</t>
  </si>
  <si>
    <t>0966 552239655 - 0966 55 587 6233</t>
  </si>
  <si>
    <t>0770 392 7353 - 0770 287 0344 - 0780 174 7805</t>
  </si>
  <si>
    <t xml:space="preserve">shmokh alnbras co. </t>
  </si>
  <si>
    <t>0782 734 7677 - 0770 250 8823</t>
  </si>
  <si>
    <t xml:space="preserve">saudi ceramics  </t>
  </si>
  <si>
    <t>abdulrahman najaty</t>
  </si>
  <si>
    <t xml:space="preserve"> 0966 11 829 8708 - 966 56 198 1108</t>
  </si>
  <si>
    <t>KNX sudi arabia</t>
  </si>
  <si>
    <t>mutlak s alhadyani</t>
  </si>
  <si>
    <t>09662 612 7641 - 0966 2612 7642</t>
  </si>
  <si>
    <t>bahra cables</t>
  </si>
  <si>
    <t>mazen kassmy</t>
  </si>
  <si>
    <t>0966 1259 11115 - 096612591 5683 - 0966 966 553161962</t>
  </si>
  <si>
    <t>national iraqi installments</t>
  </si>
  <si>
    <t>noor raad</t>
  </si>
  <si>
    <t>0775 548 8004 - 0774 1111441</t>
  </si>
  <si>
    <t>qima arabya</t>
  </si>
  <si>
    <t>ali qais majid</t>
  </si>
  <si>
    <t>0771 111 1046 - 0751 111 1716</t>
  </si>
  <si>
    <t>pezhvak hamedan</t>
  </si>
  <si>
    <t>0989 123381870 - 0989121 88 7046</t>
  </si>
  <si>
    <t>alfrasha paints</t>
  </si>
  <si>
    <t>0770 7947915 - 0771 332 7419</t>
  </si>
  <si>
    <t>AL 3amma company for  bath material</t>
  </si>
  <si>
    <t>0783 485 2799</t>
  </si>
  <si>
    <t>maseico</t>
  </si>
  <si>
    <t>0962 6 40200 20 - 0962 6 40200 23</t>
  </si>
  <si>
    <t>aria foolad delijan</t>
  </si>
  <si>
    <t xml:space="preserve">samira javadi </t>
  </si>
  <si>
    <t>0098 912 8662886 - 098 86 44277226</t>
  </si>
  <si>
    <t>btasi steel iraq</t>
  </si>
  <si>
    <t>0775 544 6635 - 0785544 6635</t>
  </si>
  <si>
    <t xml:space="preserve">غرفة تجاة الانبار </t>
  </si>
  <si>
    <t xml:space="preserve">anbarchamber@gmail.com </t>
  </si>
  <si>
    <t xml:space="preserve">مصنع ايرالكس </t>
  </si>
  <si>
    <t xml:space="preserve">Company Values </t>
  </si>
  <si>
    <t>07901867732- 07705837749</t>
  </si>
  <si>
    <t>info@progressgroup.uk</t>
  </si>
  <si>
    <t>شركة مدار لمواد البناء (مجموعة الفوزان )</t>
  </si>
  <si>
    <t xml:space="preserve">sales@madar.com </t>
  </si>
  <si>
    <t xml:space="preserve">ساحل جدة للتجارة العامة </t>
  </si>
  <si>
    <t xml:space="preserve">اصحاب الجودة </t>
  </si>
  <si>
    <t xml:space="preserve">info@qualityowners.com </t>
  </si>
  <si>
    <t xml:space="preserve">اتحاد الغرف التجارية العراقية </t>
  </si>
  <si>
    <t>info@ficc.org.iq</t>
  </si>
  <si>
    <t xml:space="preserve">شركة الرائد العربي </t>
  </si>
  <si>
    <t>alraed@alraed.com.sa</t>
  </si>
  <si>
    <t xml:space="preserve">شركة الكفيل للأستثمارات العامة </t>
  </si>
  <si>
    <t xml:space="preserve">info@alkafeelinv.com </t>
  </si>
  <si>
    <t xml:space="preserve">اصباغ بي واي للدهانات ديكورية </t>
  </si>
  <si>
    <t xml:space="preserve">aliunated@yahoo.com </t>
  </si>
  <si>
    <t xml:space="preserve">شركة بيتومات المحدودة </t>
  </si>
  <si>
    <t xml:space="preserve">m.alabtah@bitumat.com </t>
  </si>
  <si>
    <t xml:space="preserve">شركة سالم بالحمر التجارية المحدودة </t>
  </si>
  <si>
    <t xml:space="preserve">وليد قدري </t>
  </si>
  <si>
    <t xml:space="preserve">waleed.tawfik@salembalhamer.com </t>
  </si>
  <si>
    <t xml:space="preserve">شركة بيستون للتجارة العامة والمقاولات والوكالات التجارية المحدودة </t>
  </si>
  <si>
    <t xml:space="preserve">دلشاد احمد </t>
  </si>
  <si>
    <t xml:space="preserve">dlshad.ahmed@bestungroup.com </t>
  </si>
  <si>
    <t xml:space="preserve">مكتب التاج للديكور الحديث </t>
  </si>
  <si>
    <t>maged_altag@yahoo.com</t>
  </si>
  <si>
    <t xml:space="preserve">Sappco Saptex </t>
  </si>
  <si>
    <t xml:space="preserve">هيثم زغرب </t>
  </si>
  <si>
    <t>haytham@saptex.com.sa</t>
  </si>
  <si>
    <t xml:space="preserve">Pajhwok Hamed Group </t>
  </si>
  <si>
    <t>Info@PezhvaakHamedan.com</t>
  </si>
  <si>
    <t>Al-Rowad Cables Company</t>
  </si>
  <si>
    <t xml:space="preserve">نور الموسوي </t>
  </si>
  <si>
    <t>nawar.mudhafar@alrowadcable.com</t>
  </si>
  <si>
    <t>The Pointe Baghdad</t>
  </si>
  <si>
    <t xml:space="preserve">Soumar Abou Assi </t>
  </si>
  <si>
    <t>soumarassy@gmail.com</t>
  </si>
  <si>
    <t xml:space="preserve">Zarin Profile Arak Company </t>
  </si>
  <si>
    <t>988633553410 -0098362682811</t>
  </si>
  <si>
    <t xml:space="preserve">info@zarinprofile.com </t>
  </si>
  <si>
    <t xml:space="preserve">Wezan Group Company </t>
  </si>
  <si>
    <t xml:space="preserve">Italon New Tool Co. </t>
  </si>
  <si>
    <t>07504514606-07704013532</t>
  </si>
  <si>
    <t xml:space="preserve">info@etalonsecurity.com </t>
  </si>
  <si>
    <t xml:space="preserve">Build Tech </t>
  </si>
  <si>
    <t xml:space="preserve">Salah Muslem </t>
  </si>
  <si>
    <t xml:space="preserve">salah@buildtech-iraq.com </t>
  </si>
  <si>
    <t xml:space="preserve">شركة بهيز لايت لتجارة المواد الكهربائية </t>
  </si>
  <si>
    <t>bahezcable@gmail.com</t>
  </si>
  <si>
    <t xml:space="preserve">شركة ياسين اسعد لتجارة المواد الكهربائية </t>
  </si>
  <si>
    <t xml:space="preserve">Nahro &amp; Havraz For Dekor </t>
  </si>
  <si>
    <t>07504443513-07504244440</t>
  </si>
  <si>
    <t xml:space="preserve">اربيل - 30متري </t>
  </si>
  <si>
    <t xml:space="preserve"> STD Transformatör Company </t>
  </si>
  <si>
    <t xml:space="preserve"> sales@stdtransformer.com</t>
  </si>
  <si>
    <t xml:space="preserve">تركيا - اضنة </t>
  </si>
  <si>
    <t xml:space="preserve">Albaraka Bank </t>
  </si>
  <si>
    <t xml:space="preserve">yilmaz </t>
  </si>
  <si>
    <t>07503709893 - 07501639659</t>
  </si>
  <si>
    <t>yay@albarakaturk.com.tr</t>
  </si>
  <si>
    <t xml:space="preserve">شارع 60 متري </t>
  </si>
  <si>
    <t xml:space="preserve">شركة العمران للصناعة والتجارة </t>
  </si>
  <si>
    <t xml:space="preserve">وائل ابو طالب الزهيري </t>
  </si>
  <si>
    <t xml:space="preserve">export@alomranco.com </t>
  </si>
  <si>
    <t xml:space="preserve">شركة الفراشة لصناعة الاصباغ المحدودة </t>
  </si>
  <si>
    <t>07707947915-07808961574</t>
  </si>
  <si>
    <t xml:space="preserve">بغداد - المنطقة الصناعية </t>
  </si>
  <si>
    <t xml:space="preserve">Alborz Shimie Asia </t>
  </si>
  <si>
    <t>9821-88680001</t>
  </si>
  <si>
    <t>info@alborzchem.com</t>
  </si>
  <si>
    <t>Safwa Urban Development</t>
  </si>
  <si>
    <t xml:space="preserve">wael.salah@alsafwa.com.eg - </t>
  </si>
  <si>
    <t xml:space="preserve">مصر - القاهرة </t>
  </si>
  <si>
    <t xml:space="preserve">ViewPioneer Company </t>
  </si>
  <si>
    <t>0770 154 2937</t>
  </si>
  <si>
    <t>info@viewpioneer.com</t>
  </si>
  <si>
    <t xml:space="preserve">مجموعة العايد الصناعية </t>
  </si>
  <si>
    <t xml:space="preserve">صالح باعشر </t>
  </si>
  <si>
    <t xml:space="preserve">sales@ayed-sa.com </t>
  </si>
  <si>
    <t xml:space="preserve">شركة كمال جلو - مقاولات عامة - تصنيع كرفانات </t>
  </si>
  <si>
    <t xml:space="preserve">لؤس كمال </t>
  </si>
  <si>
    <t>07501444567-07504686998</t>
  </si>
  <si>
    <t xml:space="preserve">kamaljaloo@yahoo.com </t>
  </si>
  <si>
    <t xml:space="preserve">معمل دلزار الكوارتز </t>
  </si>
  <si>
    <t xml:space="preserve">دلزار محمد </t>
  </si>
  <si>
    <t xml:space="preserve">dlzarmuhamed@gmail.com </t>
  </si>
  <si>
    <t>Ünsal Group</t>
  </si>
  <si>
    <t xml:space="preserve">e.bayraktar@mevasehir.com </t>
  </si>
  <si>
    <t xml:space="preserve">Girsheen Company </t>
  </si>
  <si>
    <t xml:space="preserve">aziz@girsheen.com </t>
  </si>
  <si>
    <t xml:space="preserve">مجموعة شركات الجودة الصناعية </t>
  </si>
  <si>
    <t xml:space="preserve">عبدربه عثمان </t>
  </si>
  <si>
    <t xml:space="preserve">info@aljawdahgroup.com </t>
  </si>
  <si>
    <t>AVA Architects</t>
  </si>
  <si>
    <t xml:space="preserve">Rizgar </t>
  </si>
  <si>
    <t>rizgar_kurdi@yahoo.com</t>
  </si>
  <si>
    <t xml:space="preserve">عالم الباركيت - شركة دارى ئه رزى </t>
  </si>
  <si>
    <t xml:space="preserve">Dunya Decor MDF &amp; Laminate </t>
  </si>
  <si>
    <t xml:space="preserve">Hersh </t>
  </si>
  <si>
    <t xml:space="preserve">dunyadecor.si@gmail.com </t>
  </si>
  <si>
    <t xml:space="preserve">Kapr Architecture Civil Consultant </t>
  </si>
  <si>
    <t xml:space="preserve">jaafer59ibrahim@gmail.com </t>
  </si>
  <si>
    <t xml:space="preserve">گلاكسي اربيل للمرمر والكرانيت </t>
  </si>
  <si>
    <t xml:space="preserve">galaxy2erbil@gmail.com </t>
  </si>
  <si>
    <t xml:space="preserve">Arena Group </t>
  </si>
  <si>
    <t xml:space="preserve">arenaspor@gmail.com </t>
  </si>
  <si>
    <t xml:space="preserve">Ik Development Holdings Limited </t>
  </si>
  <si>
    <t xml:space="preserve">دار الانشاءات للأنشاءات والمقاولات المحدودة </t>
  </si>
  <si>
    <t>اربيل - بختياري</t>
  </si>
  <si>
    <t xml:space="preserve">Khoshnaw For Commercial Investment </t>
  </si>
  <si>
    <t>delzar.saber@khoshnawgroup.com</t>
  </si>
  <si>
    <t xml:space="preserve">مصرف البركة </t>
  </si>
  <si>
    <t xml:space="preserve">عمر عماد </t>
  </si>
  <si>
    <t>07503709893 - 07503709892</t>
  </si>
  <si>
    <t>ofatah@lbarakaturk.com.tr</t>
  </si>
  <si>
    <t xml:space="preserve">اربيل - شارع 60 </t>
  </si>
  <si>
    <t>Jegr Company لتجارة الانارات الكهربائية</t>
  </si>
  <si>
    <t>07504492524-07704492524</t>
  </si>
  <si>
    <t xml:space="preserve">bargrgozeh@yahoo.com </t>
  </si>
  <si>
    <t xml:space="preserve">    </t>
  </si>
  <si>
    <t xml:space="preserve">   Grundfos Authorised Distributor محمد عبدالله حاجي يوسف خوري وشركاءه </t>
  </si>
  <si>
    <t>07508191382- 07507117446</t>
  </si>
  <si>
    <t xml:space="preserve">srivastav@mahykhoory.com </t>
  </si>
  <si>
    <t xml:space="preserve">Eser Prekast </t>
  </si>
  <si>
    <t xml:space="preserve">Azad </t>
  </si>
  <si>
    <t>07504653620-07503653620</t>
  </si>
  <si>
    <t xml:space="preserve">eser@eserprekast.com </t>
  </si>
  <si>
    <t xml:space="preserve">لافارج للخرسانة الجاهزة والحصى - الشمال </t>
  </si>
  <si>
    <t xml:space="preserve">اورخان شجاع الدين </t>
  </si>
  <si>
    <t xml:space="preserve">orkhan.shujaddin@lafargeholcim.com </t>
  </si>
  <si>
    <t xml:space="preserve">Leptos Estates </t>
  </si>
  <si>
    <t>Alaa Saad</t>
  </si>
  <si>
    <t>alaa.rushaidat@leptosestates.com</t>
  </si>
  <si>
    <t>Al-Ghallowa Company For Trading &amp; General Contracts Ltd</t>
  </si>
  <si>
    <t xml:space="preserve">info@alghalwa.com </t>
  </si>
  <si>
    <t xml:space="preserve">Ekobord New Generation Board </t>
  </si>
  <si>
    <t xml:space="preserve">okkeskara@ekobord.com </t>
  </si>
  <si>
    <t xml:space="preserve">Arya Coupling Fire Fighting Equipment </t>
  </si>
  <si>
    <t>07501851005-909183743526</t>
  </si>
  <si>
    <t xml:space="preserve">seddighi1946@gmail.com </t>
  </si>
  <si>
    <t xml:space="preserve">Emaar Turkiye </t>
  </si>
  <si>
    <t xml:space="preserve">Elan Expo </t>
  </si>
  <si>
    <t xml:space="preserve">suer@elan-expo.com </t>
  </si>
  <si>
    <t xml:space="preserve">Namsa Door </t>
  </si>
  <si>
    <t>03663132363- 02126702937</t>
  </si>
  <si>
    <t>info@namsa.com.tr</t>
  </si>
  <si>
    <t xml:space="preserve">Shalaw Group </t>
  </si>
  <si>
    <t>07504459154- 07504453486</t>
  </si>
  <si>
    <t xml:space="preserve">shalaw.nasih@yahoo.com </t>
  </si>
  <si>
    <t xml:space="preserve">Anka Investing </t>
  </si>
  <si>
    <t xml:space="preserve">mohammed@ankainvesting.com </t>
  </si>
  <si>
    <t xml:space="preserve">اسطنبول </t>
  </si>
  <si>
    <t>Genpower Generator</t>
  </si>
  <si>
    <t xml:space="preserve">a.erturk@genpower.com.tr </t>
  </si>
  <si>
    <t xml:space="preserve">شركة نزوا للتجارة العامة </t>
  </si>
  <si>
    <t xml:space="preserve">Saygi Company </t>
  </si>
  <si>
    <t xml:space="preserve">info@saygielectric.com </t>
  </si>
  <si>
    <t xml:space="preserve">Nuhoglu </t>
  </si>
  <si>
    <t xml:space="preserve">kaannuhoglu@nuhogluinsaat.com.tr </t>
  </si>
  <si>
    <t xml:space="preserve">Sunisyapi </t>
  </si>
  <si>
    <t xml:space="preserve">info@sunisyapi.com </t>
  </si>
  <si>
    <t xml:space="preserve">انطاليا </t>
  </si>
  <si>
    <t xml:space="preserve">Oktay Insaat </t>
  </si>
  <si>
    <t xml:space="preserve">Tuna </t>
  </si>
  <si>
    <t xml:space="preserve">tuna@oktayinsaat.com </t>
  </si>
  <si>
    <t xml:space="preserve">Siena Boya </t>
  </si>
  <si>
    <t>ibrahim@sienaboya.com</t>
  </si>
  <si>
    <t>Afs Kaucuk Zemin</t>
  </si>
  <si>
    <t xml:space="preserve">ademgorgulu@afskaucuk.com </t>
  </si>
  <si>
    <t xml:space="preserve">admin.assistant@gsfconstruction.net </t>
  </si>
  <si>
    <t xml:space="preserve">Alhadbaa Company </t>
  </si>
  <si>
    <t xml:space="preserve">m.saleem@alhadbaa.com </t>
  </si>
  <si>
    <t xml:space="preserve"> EBL Rang </t>
  </si>
  <si>
    <t>07514499411-07501149966</t>
  </si>
  <si>
    <t xml:space="preserve">Tokoz </t>
  </si>
  <si>
    <t xml:space="preserve">info@tokoz.com.tr </t>
  </si>
  <si>
    <t xml:space="preserve">Sunlid Solaa </t>
  </si>
  <si>
    <t xml:space="preserve">info@sunlidsolar.com </t>
  </si>
  <si>
    <t xml:space="preserve">Oral Design . Construction </t>
  </si>
  <si>
    <t xml:space="preserve">bkaya@palivor.com </t>
  </si>
  <si>
    <t xml:space="preserve">شركة بسوود </t>
  </si>
  <si>
    <t xml:space="preserve">dahatakar@yahoo.com </t>
  </si>
  <si>
    <r>
      <rPr>
        <rFont val="Roboto"/>
        <color rgb="FF434343"/>
        <sz val="12.0"/>
      </rPr>
      <t xml:space="preserve">LionEnergy Steel kiosk &amp; </t>
    </r>
    <r>
      <rPr>
        <rFont val="Roboto"/>
        <color rgb="FF1155CC"/>
        <sz val="12.0"/>
        <u/>
      </rPr>
      <t>Transformer.co</t>
    </r>
  </si>
  <si>
    <t>07502462100-07514845644</t>
  </si>
  <si>
    <t>info@lionenergy.com.tr</t>
  </si>
  <si>
    <t xml:space="preserve">Truvas Insaat </t>
  </si>
  <si>
    <t>905325433248-07503509258</t>
  </si>
  <si>
    <t xml:space="preserve">info@truvas.com </t>
  </si>
  <si>
    <t xml:space="preserve">Akca Plywood </t>
  </si>
  <si>
    <t>902126700440-905523285386</t>
  </si>
  <si>
    <t>export@akcaplywood.com</t>
  </si>
  <si>
    <t>تركيا</t>
  </si>
  <si>
    <t>Burak Fuzyon</t>
  </si>
  <si>
    <t xml:space="preserve">eminekula@burakfuzyon.com </t>
  </si>
  <si>
    <t xml:space="preserve">Servo - Matik Electronics Systems </t>
  </si>
  <si>
    <t>905332920961-902122112285</t>
  </si>
  <si>
    <t>info@servomatik.com</t>
  </si>
  <si>
    <t xml:space="preserve">Modern Power Company </t>
  </si>
  <si>
    <t>07507934800-07504201208</t>
  </si>
  <si>
    <t xml:space="preserve">Yihang Valve </t>
  </si>
  <si>
    <t xml:space="preserve">yihang1@ml-anglevalve.com </t>
  </si>
  <si>
    <t xml:space="preserve">شركة السوير العالمية </t>
  </si>
  <si>
    <t>07822752568-07822752574</t>
  </si>
  <si>
    <t>ac@sweerco.com- jk@sweerco.com</t>
  </si>
  <si>
    <t>DEKONİL TRADING COMPANY LIMITED</t>
  </si>
  <si>
    <t>905076071180 -0850 304 42 00</t>
  </si>
  <si>
    <t>destek@dekonil.com</t>
  </si>
  <si>
    <t xml:space="preserve">DTM Busbar Trunking Systems </t>
  </si>
  <si>
    <t>02164295174- 05354539314</t>
  </si>
  <si>
    <t xml:space="preserve">bluent.tokmak@dtmbusbar.com </t>
  </si>
  <si>
    <t xml:space="preserve">Demmerg Chemicals </t>
  </si>
  <si>
    <t>905309767662-902165046414</t>
  </si>
  <si>
    <t xml:space="preserve">hdemirtas@demmerg.com </t>
  </si>
  <si>
    <t xml:space="preserve">EGES Muhendislik </t>
  </si>
  <si>
    <t>7504902077-902164710027</t>
  </si>
  <si>
    <t xml:space="preserve">diyarwali@egesmuhendislik.com.tr </t>
  </si>
  <si>
    <t>Mega Insulation Solutions</t>
  </si>
  <si>
    <t>905333783725-904242551444</t>
  </si>
  <si>
    <t xml:space="preserve">export2@megainsulation.com.tr </t>
  </si>
  <si>
    <t xml:space="preserve">Mimsan Group </t>
  </si>
  <si>
    <t>905335952181-904222440144</t>
  </si>
  <si>
    <t>acicek@mimsangroup.com.tr</t>
  </si>
  <si>
    <t xml:space="preserve">Minerra Stonewool </t>
  </si>
  <si>
    <t>905434040491-9042450220200</t>
  </si>
  <si>
    <t xml:space="preserve">bilgi@akdagtasyunu.com </t>
  </si>
  <si>
    <t xml:space="preserve">Protech Global </t>
  </si>
  <si>
    <t xml:space="preserve">Selin Muhammed </t>
  </si>
  <si>
    <t>905496914849-903123324040</t>
  </si>
  <si>
    <t xml:space="preserve">selin@protechglobal.com.tr </t>
  </si>
  <si>
    <t xml:space="preserve">ALD Enerji san </t>
  </si>
  <si>
    <t>05324424457-05333683783</t>
  </si>
  <si>
    <t>engin@aldenerji.com.tr</t>
  </si>
  <si>
    <t>Doganates Elektrik</t>
  </si>
  <si>
    <t>905334908444-904222375197</t>
  </si>
  <si>
    <t>e.erdogan@doganates.com</t>
  </si>
  <si>
    <t xml:space="preserve">Jasmart Electric </t>
  </si>
  <si>
    <t>13806653001-8657465833123</t>
  </si>
  <si>
    <t xml:space="preserve">info@jasmart.com </t>
  </si>
  <si>
    <t xml:space="preserve">Modew </t>
  </si>
  <si>
    <t xml:space="preserve">Salih </t>
  </si>
  <si>
    <t>05323853115-08508882444</t>
  </si>
  <si>
    <t>s.azik@modew.com.tr</t>
  </si>
  <si>
    <t xml:space="preserve">Alimar Generator </t>
  </si>
  <si>
    <t xml:space="preserve">Magdi Saad </t>
  </si>
  <si>
    <t>905497868993-903123545948</t>
  </si>
  <si>
    <t>magdi.saad@alimar.com.tr</t>
  </si>
  <si>
    <t xml:space="preserve">Ekomaxi </t>
  </si>
  <si>
    <t>905496388444-905496388444</t>
  </si>
  <si>
    <t xml:space="preserve">ridvan@ekomaxi.com </t>
  </si>
  <si>
    <t xml:space="preserve">Arelektrik </t>
  </si>
  <si>
    <t xml:space="preserve">Ramazan </t>
  </si>
  <si>
    <t>905324474465-902166600890</t>
  </si>
  <si>
    <t xml:space="preserve">ramazangol@arelektrik.com </t>
  </si>
  <si>
    <t>China Gpld Promises Group</t>
  </si>
  <si>
    <t>008618853968111-00865398718678</t>
  </si>
  <si>
    <t xml:space="preserve">excellent2010@gmail.com </t>
  </si>
  <si>
    <t>Naturel Muhendislik</t>
  </si>
  <si>
    <t xml:space="preserve">Zuhal Sunger </t>
  </si>
  <si>
    <t>903123727018-905325790325</t>
  </si>
  <si>
    <t>zuhal@naturelmuhendislik.com.tr</t>
  </si>
  <si>
    <t xml:space="preserve">Nasar Pants &amp; Construction Chemcals </t>
  </si>
  <si>
    <t>07701996586-07702147914</t>
  </si>
  <si>
    <t xml:space="preserve">nsar.construction@gmail.com </t>
  </si>
  <si>
    <t xml:space="preserve">Sevenza Ceramic </t>
  </si>
  <si>
    <t xml:space="preserve">export@sevenzaceramic.com </t>
  </si>
  <si>
    <t>الهند</t>
  </si>
  <si>
    <t xml:space="preserve">Nasr Steel Industrial Group </t>
  </si>
  <si>
    <t xml:space="preserve">Shale Group - Shale Planet </t>
  </si>
  <si>
    <t>07727645000-07727635000</t>
  </si>
  <si>
    <t>shaleplanet@shalegroup.co</t>
  </si>
  <si>
    <t>Ana Steel Co.</t>
  </si>
  <si>
    <t>989227293440-982188612655</t>
  </si>
  <si>
    <t>n.aboutorabian@anasteelco.com</t>
  </si>
  <si>
    <t xml:space="preserve">TRC Yalitim </t>
  </si>
  <si>
    <t xml:space="preserve">halimaslan@trcyalitim.com </t>
  </si>
  <si>
    <t xml:space="preserve">Aroma Group Construction Solutions </t>
  </si>
  <si>
    <t>07502482727-905323407407</t>
  </si>
  <si>
    <t>erman.binici@aromagroup.com.tr</t>
  </si>
  <si>
    <t>Ardakan Float Glass Co.</t>
  </si>
  <si>
    <t>989109823604-989169311574</t>
  </si>
  <si>
    <t xml:space="preserve">d-sale@ardakanaac.com </t>
  </si>
  <si>
    <t xml:space="preserve">Fulad nnb Tabriz Steel Co </t>
  </si>
  <si>
    <t>09149307790-984134328759</t>
  </si>
  <si>
    <t xml:space="preserve">mehrdad.ghoudarzi@nabsteel.net </t>
  </si>
  <si>
    <t>Persian Foolad</t>
  </si>
  <si>
    <t xml:space="preserve">export@persianfoolad.com </t>
  </si>
  <si>
    <t>AFA Steel</t>
  </si>
  <si>
    <t xml:space="preserve">n.javid@afasteel.com </t>
  </si>
  <si>
    <t xml:space="preserve">Alko Aluminum </t>
  </si>
  <si>
    <t xml:space="preserve">Nova Sami </t>
  </si>
  <si>
    <t xml:space="preserve">alko.aluminum@gmail.com </t>
  </si>
  <si>
    <t xml:space="preserve">Saman Tahvieh Iranian </t>
  </si>
  <si>
    <t>989022013952-02126764063</t>
  </si>
  <si>
    <t xml:space="preserve">export@stihvac.com </t>
  </si>
  <si>
    <t>Zhengzhou Shengyifa Industrial .co, LTD</t>
  </si>
  <si>
    <t xml:space="preserve">wade@syfdoor.com </t>
  </si>
  <si>
    <t xml:space="preserve">AslanPan </t>
  </si>
  <si>
    <t>hilalibrahimova@aslanpan.com.tr</t>
  </si>
  <si>
    <t xml:space="preserve">Gold Fix </t>
  </si>
  <si>
    <t>905411755959-</t>
  </si>
  <si>
    <t>sertan.duygu@goldfix.com.tr</t>
  </si>
  <si>
    <t>SUNEXPO</t>
  </si>
  <si>
    <t>05416744757-</t>
  </si>
  <si>
    <t>info@sunexpo.com.tr- ridvan@sunexpo.com.tr</t>
  </si>
  <si>
    <t xml:space="preserve">تركيا - ازمير </t>
  </si>
  <si>
    <t xml:space="preserve">KRZ Lighting And Electrical </t>
  </si>
  <si>
    <t>manaf.khalid@zrz.com.tr</t>
  </si>
  <si>
    <t xml:space="preserve">اربيل - شارع مخمور </t>
  </si>
  <si>
    <t xml:space="preserve">Invest Kurdistan </t>
  </si>
  <si>
    <t>fdi@boi.gov.krd</t>
  </si>
  <si>
    <t>‌HexaCorp Hvac&amp;Building Technologies</t>
  </si>
  <si>
    <t xml:space="preserve">Mustafa </t>
  </si>
  <si>
    <t xml:space="preserve">mustafa.mohamed@carrier-hexa.com </t>
  </si>
  <si>
    <t xml:space="preserve">Big Power </t>
  </si>
  <si>
    <t>mhamad-kamal@bigpower.co</t>
  </si>
  <si>
    <t>Yapiset</t>
  </si>
  <si>
    <t>902323457777-902323443434</t>
  </si>
  <si>
    <t xml:space="preserve">erman.pamuk@yapisetyalitim.com </t>
  </si>
  <si>
    <t>Professional Heating &amp; Biasi Iraq</t>
  </si>
  <si>
    <t>07507777902- 07509992899</t>
  </si>
  <si>
    <t xml:space="preserve">professionalheating@gmail.com </t>
  </si>
  <si>
    <t xml:space="preserve">زاخو </t>
  </si>
  <si>
    <t>Adawat Himayat Aibiaa Co.</t>
  </si>
  <si>
    <t xml:space="preserve">Khalid Fadhil </t>
  </si>
  <si>
    <t>khalid@eptiraq.com</t>
  </si>
  <si>
    <t xml:space="preserve">Sekizli Machine &amp; Crane </t>
  </si>
  <si>
    <t>905321349871-903324447595</t>
  </si>
  <si>
    <t>info@sekizli.com.tr</t>
  </si>
  <si>
    <t xml:space="preserve">AquaSan Group </t>
  </si>
  <si>
    <t>abdurrahman@aquasan.com.tr</t>
  </si>
  <si>
    <t xml:space="preserve">تركيا - اسطنبول </t>
  </si>
  <si>
    <t xml:space="preserve">Ata Holding </t>
  </si>
  <si>
    <t xml:space="preserve">devrim.aydin@entegreharc.com.tr </t>
  </si>
  <si>
    <t xml:space="preserve">Lock Do Wel </t>
  </si>
  <si>
    <t>07504760784-07510947228</t>
  </si>
  <si>
    <t xml:space="preserve">الشهباء كروب لتجارة الاسلاك والقابلوات الكهربائية </t>
  </si>
  <si>
    <t>07718663489-07702005482</t>
  </si>
  <si>
    <t xml:space="preserve">Kanan Company </t>
  </si>
  <si>
    <t>07701553663-07701327574</t>
  </si>
  <si>
    <t xml:space="preserve">aram3663@yahoo.com </t>
  </si>
  <si>
    <t xml:space="preserve">Kiwan </t>
  </si>
  <si>
    <t xml:space="preserve">kaewan.shop1996@gmail.com </t>
  </si>
  <si>
    <t xml:space="preserve">Danial &amp; Tina Sofal Factories </t>
  </si>
  <si>
    <t xml:space="preserve">DGP Commercial Department </t>
  </si>
  <si>
    <t>989904004414--989195003914</t>
  </si>
  <si>
    <t xml:space="preserve">Saba Production Group </t>
  </si>
  <si>
    <t>989131191726-983135720015</t>
  </si>
  <si>
    <t xml:space="preserve">iritrading@gmail.com </t>
  </si>
  <si>
    <t xml:space="preserve">Fibo Industrial Group </t>
  </si>
  <si>
    <t xml:space="preserve">international@fiboig.com </t>
  </si>
  <si>
    <t xml:space="preserve">Excellence Middle East Company </t>
  </si>
  <si>
    <t>07508062913--989141845133</t>
  </si>
  <si>
    <t xml:space="preserve">eme.company.co@gmail.com </t>
  </si>
  <si>
    <t xml:space="preserve">Sweer Co </t>
  </si>
  <si>
    <t xml:space="preserve">mudafar@sweerco.com - ac@sweerco.com </t>
  </si>
  <si>
    <t xml:space="preserve">Greateagle </t>
  </si>
  <si>
    <t>8618058207036--</t>
  </si>
  <si>
    <t xml:space="preserve">sales10@greateaglesafety.com </t>
  </si>
  <si>
    <t xml:space="preserve">CNC Electric آسيا المشرقة </t>
  </si>
  <si>
    <t>07501232111-07731233111</t>
  </si>
  <si>
    <t xml:space="preserve">asiabrightco@gmail.com </t>
  </si>
  <si>
    <t xml:space="preserve">Ayvaz Global </t>
  </si>
  <si>
    <t xml:space="preserve">osener@ayvaz.com </t>
  </si>
  <si>
    <t xml:space="preserve">Ardakimya Elektrostatik Toz Boya </t>
  </si>
  <si>
    <t>905303935295--903422350256</t>
  </si>
  <si>
    <t xml:space="preserve">info@ardakimyaboya.com </t>
  </si>
  <si>
    <t xml:space="preserve">تركيا - غازي عنتاب </t>
  </si>
  <si>
    <t>YapiChem</t>
  </si>
  <si>
    <t>905307737305-902165931400</t>
  </si>
  <si>
    <t xml:space="preserve">fsencer@yapichem.com.tr </t>
  </si>
  <si>
    <t xml:space="preserve">Ravago Bulding Solutions </t>
  </si>
  <si>
    <t>908503147099-905309700880</t>
  </si>
  <si>
    <t xml:space="preserve">servan.yuzal@ravago.com </t>
  </si>
  <si>
    <t>Al-Fala Co.Ltd Import and Export General Trading</t>
  </si>
  <si>
    <t xml:space="preserve">Haider </t>
  </si>
  <si>
    <t>07902601660---07714368917</t>
  </si>
  <si>
    <t xml:space="preserve">info@alfalacompany.com </t>
  </si>
  <si>
    <t xml:space="preserve">Azarakhsh International Facade Brick Factories Group </t>
  </si>
  <si>
    <t>Mohammad</t>
  </si>
  <si>
    <t xml:space="preserve">export@azarakhshbrick.com </t>
  </si>
  <si>
    <t xml:space="preserve">Parseh Kaveh Steel Group </t>
  </si>
  <si>
    <t xml:space="preserve">Saeed </t>
  </si>
  <si>
    <t xml:space="preserve">saeid.rostamii21@gmail.com </t>
  </si>
  <si>
    <t xml:space="preserve">Thermal Solutions </t>
  </si>
  <si>
    <t xml:space="preserve">thermalsolutioniraq@gmail.com </t>
  </si>
  <si>
    <t>DEMİRİ SANATA DÖNÜŞTÜRÜYORUZ...</t>
  </si>
  <si>
    <t>90 262 658 86 21</t>
  </si>
  <si>
    <t>info@liderdekoratif.com</t>
  </si>
  <si>
    <t xml:space="preserve">AL NAJI GROUP Company </t>
  </si>
  <si>
    <t xml:space="preserve">بغداد - اليرموك </t>
  </si>
  <si>
    <t xml:space="preserve">
</t>
  </si>
  <si>
    <t>Baghdad Projects</t>
  </si>
  <si>
    <t>شركة حوراء بغداد للإستثمارات العقارية</t>
  </si>
  <si>
    <t>0772 370 0044</t>
  </si>
  <si>
    <t>Avenue Realestate</t>
  </si>
  <si>
    <t>0780 000 5772</t>
  </si>
  <si>
    <t>شركة الابراج الهندسية للأستثمارات العقارية</t>
  </si>
  <si>
    <t>0771 111 2462</t>
  </si>
  <si>
    <t>Millennium Towers By Ramlah</t>
  </si>
  <si>
    <t>مجمع الروان السكني - شركة بوابة المستقبل</t>
  </si>
  <si>
    <t>AL_salam Residential Complex</t>
  </si>
  <si>
    <t>0780 608 0808</t>
  </si>
  <si>
    <t>إدراك الهندسية - EDRAK</t>
  </si>
  <si>
    <t>0780 007 8008</t>
  </si>
  <si>
    <t>0770 003 0302</t>
  </si>
  <si>
    <t>هيئة استثمار نينوى</t>
  </si>
  <si>
    <t>مجمع كازابلانكا السكني</t>
  </si>
  <si>
    <t>Bayti Iraq Investment</t>
  </si>
  <si>
    <t>المجمع الملكي رويال ستي</t>
  </si>
  <si>
    <t>Unigaz Iraq</t>
  </si>
  <si>
    <t>0770 718 0180</t>
  </si>
  <si>
    <t>مشروع ابراج العطيفية السكني</t>
  </si>
  <si>
    <t>0783 559 9616</t>
  </si>
  <si>
    <t>أبراج العبسلي السکنیة</t>
  </si>
  <si>
    <t>0770 924 7777</t>
  </si>
  <si>
    <t>Kerkuk Towers</t>
  </si>
  <si>
    <t>0772 410 1010</t>
  </si>
  <si>
    <t>مجمع المحبة السكني</t>
  </si>
  <si>
    <t>773 340 7357</t>
  </si>
  <si>
    <t>مجمع مورانو السكني</t>
  </si>
  <si>
    <t>783 376 9595</t>
  </si>
  <si>
    <t>مشروع ألق بغداد</t>
  </si>
  <si>
    <t>0771 688 8862</t>
  </si>
  <si>
    <t>مجمع الخلود السكني | شركة زيست للعقارات</t>
  </si>
  <si>
    <t>مجمع الود السكني | شركة زيست للعقارات</t>
  </si>
  <si>
    <t>0770 230 2006</t>
  </si>
  <si>
    <t>مدينة جوهرة البصرة السكنية</t>
  </si>
  <si>
    <t>07804044451 - 07740044471</t>
  </si>
  <si>
    <t>Nazar Tower</t>
  </si>
  <si>
    <t>0780 000 6052</t>
  </si>
  <si>
    <t>مجمع بغداد مارينا السكني</t>
  </si>
  <si>
    <t>Hamat</t>
  </si>
  <si>
    <t>7801922225- 780 192 2220</t>
  </si>
  <si>
    <t>مجمع المنصور السكني</t>
  </si>
  <si>
    <t>0770 006 3180</t>
  </si>
  <si>
    <t>مشروع مجمع الصمود السكني</t>
  </si>
  <si>
    <t>0771 117 1038</t>
  </si>
  <si>
    <t>مجمع الرفاه السكني</t>
  </si>
  <si>
    <t>مجمع ابراج الفلوجة السكني</t>
  </si>
  <si>
    <t>0770 555 5378</t>
  </si>
  <si>
    <t>Budoor Waterfront</t>
  </si>
  <si>
    <t>Shamara Holding Group</t>
  </si>
  <si>
    <t>مجمع المروج السكني الاستثماري</t>
  </si>
  <si>
    <t>0783 555 9955</t>
  </si>
  <si>
    <t>Durrat Al Saydiyah Residential</t>
  </si>
  <si>
    <t>774 473 3359</t>
  </si>
  <si>
    <t>Al Handal</t>
  </si>
  <si>
    <t>Kaso Group Ameerat City</t>
  </si>
  <si>
    <t>Empire city</t>
  </si>
  <si>
    <t>Abraaj Baghdad مجمع ابراج بغداد السكني</t>
  </si>
  <si>
    <t>Erbil projects</t>
  </si>
  <si>
    <t>Heresh</t>
  </si>
  <si>
    <t>Zozik</t>
  </si>
  <si>
    <t>Dr. Ali</t>
  </si>
  <si>
    <t>Voyage Mall</t>
  </si>
  <si>
    <t>Ali</t>
  </si>
  <si>
    <t>751 2307684</t>
  </si>
  <si>
    <t>Bezhan</t>
  </si>
  <si>
    <t>Zakho Hills</t>
  </si>
  <si>
    <t>Rubi</t>
  </si>
  <si>
    <t>Osama</t>
  </si>
  <si>
    <t>The New Boulevard</t>
  </si>
  <si>
    <t>Chya</t>
  </si>
  <si>
    <t>Atyaf</t>
  </si>
  <si>
    <t>Spanish Village</t>
  </si>
  <si>
    <t>Nashwan</t>
  </si>
  <si>
    <t>Ibrahim</t>
  </si>
  <si>
    <t>Queen Towers</t>
  </si>
  <si>
    <t>Necheer</t>
  </si>
  <si>
    <t>Chalang Co.</t>
  </si>
  <si>
    <t>Chalang</t>
  </si>
  <si>
    <t>GK Arch</t>
  </si>
  <si>
    <t>Goran</t>
  </si>
  <si>
    <t>Keymax Real Estate</t>
  </si>
  <si>
    <t>ZEST Real Estate</t>
  </si>
  <si>
    <t>Maryam</t>
  </si>
  <si>
    <t>Tanya</t>
  </si>
  <si>
    <t>962 795538080</t>
  </si>
  <si>
    <t>Gulan</t>
  </si>
  <si>
    <t>Erbil Décor</t>
  </si>
  <si>
    <t>Loqman</t>
  </si>
  <si>
    <t>Haval</t>
  </si>
  <si>
    <t>South Kurdistan 2</t>
  </si>
  <si>
    <t>Rawezh</t>
  </si>
  <si>
    <t>Moon Line</t>
  </si>
  <si>
    <t>Zaniar</t>
  </si>
  <si>
    <t>Zain Co.</t>
  </si>
  <si>
    <t>Abu Amir</t>
  </si>
  <si>
    <t>Moon line</t>
  </si>
  <si>
    <t>Twana</t>
  </si>
  <si>
    <t>AIC</t>
  </si>
  <si>
    <t>Tazhan</t>
  </si>
  <si>
    <t>Gran Bia</t>
  </si>
  <si>
    <t>971 554416020</t>
  </si>
  <si>
    <t>Serwa</t>
  </si>
  <si>
    <t>Daro Co.</t>
  </si>
  <si>
    <t>Smart Assist</t>
  </si>
  <si>
    <t>Hani</t>
  </si>
  <si>
    <t>00971 502749575</t>
  </si>
  <si>
    <t>Alan</t>
  </si>
  <si>
    <t>Dilyar</t>
  </si>
  <si>
    <t>New Masters</t>
  </si>
  <si>
    <t>Weeam</t>
  </si>
  <si>
    <t>00971 561150747</t>
  </si>
  <si>
    <t>Amer</t>
  </si>
  <si>
    <t>00971 552512824</t>
  </si>
  <si>
    <t>Dashti</t>
  </si>
  <si>
    <t>Aqarco Real Estate</t>
  </si>
  <si>
    <t>Mohammed</t>
  </si>
  <si>
    <t>00971 544400042</t>
  </si>
  <si>
    <t>Casablanca Compound</t>
  </si>
  <si>
    <t>Abdulrahman</t>
  </si>
  <si>
    <t>Garden City</t>
  </si>
  <si>
    <t>Sokar</t>
  </si>
  <si>
    <t>Green World</t>
  </si>
  <si>
    <t>Pak land</t>
  </si>
  <si>
    <t>Falah</t>
  </si>
  <si>
    <t>Saloor Tower</t>
  </si>
  <si>
    <t>Akam</t>
  </si>
  <si>
    <t>Al Rabie Compound</t>
  </si>
  <si>
    <t>Emperor Hills</t>
  </si>
  <si>
    <t xml:space="preserve">Sulaymania projects </t>
  </si>
  <si>
    <t>750 114 1888</t>
  </si>
  <si>
    <t>Atlantic Tower</t>
  </si>
  <si>
    <t>Bareaz Group</t>
  </si>
  <si>
    <t>The central park</t>
  </si>
  <si>
    <t>772 141 4441</t>
  </si>
  <si>
    <t>Awin City 2</t>
  </si>
  <si>
    <t>770 230 7585</t>
  </si>
  <si>
    <t>Mirvanos + Mayorca City</t>
  </si>
  <si>
    <t>770 940 1784</t>
  </si>
  <si>
    <t>Share Baban</t>
  </si>
  <si>
    <t>772 622 0101– 7506220101</t>
  </si>
  <si>
    <t>Zhyanawa city</t>
  </si>
  <si>
    <t>Grand Boulevard Sulaymaniyah</t>
  </si>
  <si>
    <t>770 505 8001</t>
  </si>
  <si>
    <t>Aram City Suli</t>
  </si>
  <si>
    <t>773 150 1010</t>
  </si>
  <si>
    <t>Bashwr City</t>
  </si>
  <si>
    <t>770 399 9292</t>
  </si>
  <si>
    <t>Suli Sky</t>
  </si>
  <si>
    <t>770 567 8881</t>
  </si>
  <si>
    <t>Sargalu Company</t>
  </si>
  <si>
    <t>770 103 4888</t>
  </si>
  <si>
    <t>Halabja Group + ASO Brick</t>
  </si>
  <si>
    <t>750 114 0100 - 750 108 0001</t>
  </si>
  <si>
    <t>Faruk Holding Building</t>
  </si>
  <si>
    <t>Dina City</t>
  </si>
  <si>
    <t>Marina City</t>
  </si>
  <si>
    <t>0773 210 4141</t>
  </si>
  <si>
    <t>Brusk Town.</t>
  </si>
  <si>
    <t>0770 958 0100</t>
  </si>
  <si>
    <t xml:space="preserve">Erbil projects </t>
  </si>
  <si>
    <t>Hezha Kawa</t>
  </si>
  <si>
    <t>Ster Group</t>
  </si>
  <si>
    <t>Ari xoshnaw</t>
  </si>
  <si>
    <t>Erbil Hills</t>
  </si>
  <si>
    <t>Lana Hr</t>
  </si>
  <si>
    <t>Sky Towers</t>
  </si>
  <si>
    <t>Remas City - Aryo Group</t>
  </si>
  <si>
    <t>Boulivard</t>
  </si>
  <si>
    <t>Sheko</t>
  </si>
  <si>
    <t>Diplomatic Saffiran</t>
  </si>
  <si>
    <t>Tanj Group - Life Tower</t>
  </si>
  <si>
    <t>Kempinski + Honya Real Estate</t>
  </si>
  <si>
    <t>Delshad</t>
  </si>
  <si>
    <t>Lalav Group</t>
  </si>
  <si>
    <t>Haji Choli</t>
  </si>
  <si>
    <t>4 season + Davos</t>
  </si>
  <si>
    <t>Delshad Harki</t>
  </si>
  <si>
    <t>Mohammad Ahmad</t>
  </si>
  <si>
    <t>7504456203 - 7506003333</t>
  </si>
  <si>
    <t>Ganjan City</t>
  </si>
  <si>
    <t>Kermanj Company</t>
  </si>
  <si>
    <t>Sabah</t>
  </si>
  <si>
    <t>Kavin Group</t>
  </si>
  <si>
    <t>Hemn Group</t>
  </si>
  <si>
    <t>Rekan Group ( Green Land )</t>
  </si>
  <si>
    <t>Nobel Tower - Domus Co.</t>
  </si>
  <si>
    <t>San</t>
  </si>
  <si>
    <t>Kayar Group - Florence tower</t>
  </si>
  <si>
    <t>Reving</t>
  </si>
  <si>
    <t>Peshang Towers - RV Co.</t>
  </si>
  <si>
    <t>Haji Mahdi</t>
  </si>
  <si>
    <t>Harko Co.</t>
  </si>
  <si>
    <t>Mustafa Hariri</t>
  </si>
  <si>
    <t>Zaitun plas City</t>
  </si>
  <si>
    <t>Kurk Construction</t>
  </si>
  <si>
    <t>7504186235 - +90 324 325 76 84</t>
  </si>
  <si>
    <t>Queen Towers + Rubi Tower</t>
  </si>
  <si>
    <t>Haji Faysal</t>
  </si>
  <si>
    <t>Rami Towers</t>
  </si>
  <si>
    <t>Sipan</t>
  </si>
  <si>
    <t>Floriya City</t>
  </si>
  <si>
    <t>Saman + Hemn</t>
  </si>
  <si>
    <t>7701520065 - 7504430099</t>
  </si>
  <si>
    <t>Future City</t>
  </si>
  <si>
    <t>7501111111-7509999999-7503333333</t>
  </si>
  <si>
    <t>7509082020 - 7504492146</t>
  </si>
  <si>
    <t>Dabin Group</t>
  </si>
  <si>
    <t>Centro tower</t>
  </si>
  <si>
    <t>Brayati Towers</t>
  </si>
  <si>
    <t>Nzar</t>
  </si>
  <si>
    <t>Bakhtiary Twin Towers</t>
  </si>
  <si>
    <t>Kany Kasa Towers</t>
  </si>
  <si>
    <t>ASCO international city</t>
  </si>
  <si>
    <t>Hiwa</t>
  </si>
  <si>
    <t>Saloor Towers</t>
  </si>
  <si>
    <t>Green World Tower</t>
  </si>
  <si>
    <t>0750 878 7676 - 7502198825</t>
  </si>
  <si>
    <t>Aram City 2</t>
  </si>
  <si>
    <t>Necherwan Shwan</t>
  </si>
  <si>
    <t>Erbil Media City</t>
  </si>
  <si>
    <t>750 233 0014</t>
  </si>
  <si>
    <t>Hiwa Holding</t>
  </si>
  <si>
    <t>Kak Miran</t>
  </si>
  <si>
    <t>750 301 1040</t>
  </si>
  <si>
    <t>Arman Tower</t>
  </si>
  <si>
    <t>Tuscana Tower</t>
  </si>
  <si>
    <t>7505230009-7705230009</t>
  </si>
  <si>
    <t>Mini Slava Towers</t>
  </si>
  <si>
    <t>Rebaz Gardy</t>
  </si>
  <si>
    <t>White tower</t>
  </si>
  <si>
    <t>Bestun H. Ibrahim</t>
  </si>
  <si>
    <t>Davos City</t>
  </si>
  <si>
    <t>Abu baker</t>
  </si>
  <si>
    <t>750222 5222</t>
  </si>
  <si>
    <t>Goleen Tower</t>
  </si>
  <si>
    <t>0750 200 0075</t>
  </si>
  <si>
    <t>Florence tower</t>
  </si>
  <si>
    <t>Hana</t>
  </si>
  <si>
    <t>Vista Towers</t>
  </si>
  <si>
    <t>Zaner City</t>
  </si>
  <si>
    <t>Ashur 4 Towers</t>
  </si>
  <si>
    <t>Capital Towers</t>
  </si>
  <si>
    <t>Golden Towers</t>
  </si>
  <si>
    <t>Halgurd</t>
  </si>
  <si>
    <t xml:space="preserve">مجمع جواهر دجلة السكني </t>
  </si>
  <si>
    <t xml:space="preserve">info@edn-iraq.com </t>
  </si>
  <si>
    <t xml:space="preserve">بغداد - الكاظمية </t>
  </si>
  <si>
    <t xml:space="preserve">مدينة ابراج النخلة السكنية </t>
  </si>
  <si>
    <t xml:space="preserve">احمد كاظم </t>
  </si>
  <si>
    <t xml:space="preserve">ahmed.kazem@hamat-iq.com </t>
  </si>
  <si>
    <t xml:space="preserve">بغداد - الحارثية </t>
  </si>
  <si>
    <t xml:space="preserve">Zaiton Plus City </t>
  </si>
  <si>
    <t xml:space="preserve">adnan@zaitonpluscity.com </t>
  </si>
  <si>
    <t xml:space="preserve">اربيل - مدينة الزيتون </t>
  </si>
  <si>
    <t xml:space="preserve">مجمع امبيرور هيلز السكني </t>
  </si>
  <si>
    <t xml:space="preserve">info@emperor-hills.com </t>
  </si>
  <si>
    <t xml:space="preserve">budoor baghdad compound </t>
  </si>
  <si>
    <t>0771 809 9099 - 905010099099</t>
  </si>
  <si>
    <t xml:space="preserve">                                                                       IRIES 2025 DATA</t>
  </si>
  <si>
    <t>Phone Number(s)</t>
  </si>
  <si>
    <t>Email Address(es)</t>
  </si>
  <si>
    <t>Emaar Properties</t>
  </si>
  <si>
    <t>971 4 366 1688</t>
  </si>
  <si>
    <r>
      <rPr>
        <color rgb="FF1155CC"/>
        <sz val="11.0"/>
        <u/>
      </rPr>
      <t>info@emaar.ae</t>
    </r>
  </si>
  <si>
    <r>
      <rPr>
        <color rgb="FF1155CC"/>
        <sz val="11.0"/>
        <u/>
      </rPr>
      <t>emaar.com</t>
    </r>
  </si>
  <si>
    <t>United Arab Emirates</t>
  </si>
  <si>
    <t>Compass Real Estate</t>
  </si>
  <si>
    <t>1 212 913 9058</t>
  </si>
  <si>
    <r>
      <rPr>
        <color rgb="FF1155CC"/>
        <sz val="11.0"/>
        <u/>
      </rPr>
      <t>support@compass.com</t>
    </r>
  </si>
  <si>
    <r>
      <rPr>
        <color rgb="FF1155CC"/>
        <sz val="11.0"/>
        <u/>
      </rPr>
      <t>compass.com</t>
    </r>
  </si>
  <si>
    <t>United States</t>
  </si>
  <si>
    <t>Arada</t>
  </si>
  <si>
    <t>971 6 572 4444</t>
  </si>
  <si>
    <r>
      <rPr>
        <color rgb="FF1155CC"/>
        <sz val="11.0"/>
        <u/>
      </rPr>
      <t>info@arada.com</t>
    </r>
  </si>
  <si>
    <r>
      <rPr>
        <color rgb="FF1155CC"/>
        <sz val="11.0"/>
        <u/>
      </rPr>
      <t>arada.com</t>
    </r>
  </si>
  <si>
    <t>Fam Holding</t>
  </si>
  <si>
    <t>971 6 744 4625</t>
  </si>
  <si>
    <r>
      <rPr>
        <color rgb="FF1155CC"/>
        <sz val="11.0"/>
        <u/>
      </rPr>
      <t>info@famholding.com</t>
    </r>
  </si>
  <si>
    <r>
      <rPr>
        <color rgb="FF1155CC"/>
        <sz val="11.0"/>
        <u/>
      </rPr>
      <t>famholding.com</t>
    </r>
  </si>
  <si>
    <t>Damac Properties</t>
  </si>
  <si>
    <t>800-DAMAC (32622)</t>
  </si>
  <si>
    <r>
      <rPr>
        <color rgb="FF1155CC"/>
        <sz val="11.0"/>
        <u/>
      </rPr>
      <t>info@damac.com</t>
    </r>
  </si>
  <si>
    <r>
      <rPr>
        <color rgb="FF1155CC"/>
        <sz val="11.0"/>
        <u/>
      </rPr>
      <t>damacproperties.com</t>
    </r>
  </si>
  <si>
    <t>971 4 887 1234</t>
  </si>
  <si>
    <r>
      <rPr>
        <color rgb="FF1155CC"/>
        <sz val="11.0"/>
        <u/>
      </rPr>
      <t>enquiry@danubeproperties.ae</t>
    </r>
  </si>
  <si>
    <r>
      <rPr>
        <color rgb="FF1155CC"/>
        <sz val="11.0"/>
        <u/>
      </rPr>
      <t>danubeproperties.ae</t>
    </r>
  </si>
  <si>
    <t>I Land Real Estate</t>
  </si>
  <si>
    <t>971 4 554 618</t>
  </si>
  <si>
    <r>
      <rPr>
        <color rgb="FF1155CC"/>
        <sz val="11.0"/>
        <u/>
      </rPr>
      <t>info@iland.ae</t>
    </r>
  </si>
  <si>
    <r>
      <rPr>
        <color rgb="FF1155CC"/>
        <sz val="11.0"/>
        <u/>
      </rPr>
      <t>iland.ae</t>
    </r>
  </si>
  <si>
    <t>Medland Spain</t>
  </si>
  <si>
    <t>34 966 271 095</t>
  </si>
  <si>
    <r>
      <rPr>
        <color rgb="FF1155CC"/>
        <sz val="11.0"/>
        <u/>
      </rPr>
      <t>info@medlandspain.com</t>
    </r>
  </si>
  <si>
    <r>
      <rPr>
        <color rgb="FF1155CC"/>
        <sz val="11.0"/>
        <u/>
      </rPr>
      <t>medlandspain.com</t>
    </r>
  </si>
  <si>
    <t>Spain</t>
  </si>
  <si>
    <t>Tiger Group</t>
  </si>
  <si>
    <t>971 4 331 7767</t>
  </si>
  <si>
    <r>
      <rPr>
        <color rgb="FF1155CC"/>
        <sz val="11.0"/>
        <u/>
      </rPr>
      <t>contact@tigergroup.ae</t>
    </r>
  </si>
  <si>
    <r>
      <rPr>
        <color rgb="FF1155CC"/>
        <sz val="11.0"/>
        <u/>
      </rPr>
      <t>tigergroup.ae</t>
    </r>
  </si>
  <si>
    <t>Gold Pillars</t>
  </si>
  <si>
    <t>971 4 396 4999</t>
  </si>
  <si>
    <r>
      <rPr>
        <color rgb="FF1155CC"/>
        <sz val="11.0"/>
        <u/>
      </rPr>
      <t>info@goldpillars.ae</t>
    </r>
  </si>
  <si>
    <r>
      <rPr>
        <color rgb="FF1155CC"/>
        <sz val="11.0"/>
        <u/>
      </rPr>
      <t>goldpillars.ae</t>
    </r>
  </si>
  <si>
    <t>971 4 423 0000</t>
  </si>
  <si>
    <r>
      <rPr>
        <color rgb="FF1155CC"/>
        <sz val="11.0"/>
        <u/>
      </rPr>
      <t>marketing@sobha.com</t>
    </r>
  </si>
  <si>
    <r>
      <rPr>
        <color rgb="FF1155CC"/>
        <sz val="11.0"/>
        <u/>
      </rPr>
      <t>sobharealty.com</t>
    </r>
  </si>
  <si>
    <t>Green Valley</t>
  </si>
  <si>
    <t>34 952 123 456</t>
  </si>
  <si>
    <r>
      <rPr>
        <color rgb="FF1155CC"/>
        <sz val="11.0"/>
        <u/>
      </rPr>
      <t>info@greenvalleyproperties.org</t>
    </r>
  </si>
  <si>
    <r>
      <rPr>
        <color rgb="FF1155CC"/>
        <sz val="11.0"/>
        <u/>
      </rPr>
      <t>greenvalleyproperties.org</t>
    </r>
  </si>
  <si>
    <t>Manazel Specialists</t>
  </si>
  <si>
    <t>971 2 444 50</t>
  </si>
  <si>
    <r>
      <rPr>
        <color rgb="FF1155CC"/>
        <sz val="11.0"/>
        <u/>
      </rPr>
      <t>info@manazelspecialists.ae</t>
    </r>
  </si>
  <si>
    <r>
      <rPr>
        <color rgb="FF1155CC"/>
        <sz val="11.0"/>
        <u/>
      </rPr>
      <t>manazelspecialists.ae</t>
    </r>
  </si>
  <si>
    <t>Wahat Al Zaweya</t>
  </si>
  <si>
    <t>971 2 222 5888</t>
  </si>
  <si>
    <r>
      <rPr>
        <color rgb="FF1155CC"/>
        <sz val="11.0"/>
        <u/>
      </rPr>
      <t>info@wahatalzaweya.com</t>
    </r>
  </si>
  <si>
    <r>
      <rPr>
        <color rgb="FF1155CC"/>
        <sz val="11.0"/>
        <u/>
      </rPr>
      <t>wahatalzaweya.com</t>
    </r>
  </si>
  <si>
    <t>Schon Properties</t>
  </si>
  <si>
    <t>971 4 407 4222</t>
  </si>
  <si>
    <r>
      <rPr>
        <color rgb="FF1155CC"/>
        <sz val="11.0"/>
        <u/>
      </rPr>
      <t>info@schonproperties.com</t>
    </r>
  </si>
  <si>
    <r>
      <rPr>
        <color rgb="FF1155CC"/>
        <sz val="11.0"/>
        <u/>
      </rPr>
      <t>schonproperties.com</t>
    </r>
  </si>
  <si>
    <t>Constructly</t>
  </si>
  <si>
    <r>
      <rPr>
        <color rgb="FF1155CC"/>
        <sz val="11.0"/>
        <u/>
      </rPr>
      <t>contact@constructly.ai</t>
    </r>
  </si>
  <si>
    <r>
      <rPr>
        <color rgb="FF1155CC"/>
        <sz val="11.0"/>
        <u/>
      </rPr>
      <t>constructly.ai</t>
    </r>
  </si>
  <si>
    <t>Casa10</t>
  </si>
  <si>
    <r>
      <rPr>
        <color rgb="FF1155CC"/>
        <sz val="11.0"/>
        <u/>
      </rPr>
      <t>info@casa10.com</t>
    </r>
  </si>
  <si>
    <r>
      <rPr>
        <color rgb="FF1155CC"/>
        <sz val="11.0"/>
        <u/>
      </rPr>
      <t>casa10.com</t>
    </r>
  </si>
  <si>
    <t>Property Monitor</t>
  </si>
  <si>
    <t>971 4 420 1044</t>
  </si>
  <si>
    <r>
      <rPr>
        <color rgb="FF1155CC"/>
        <sz val="11.0"/>
        <u/>
      </rPr>
      <t>info@propertymonitor.com</t>
    </r>
  </si>
  <si>
    <r>
      <rPr>
        <color rgb="FF1155CC"/>
        <sz val="11.0"/>
        <u/>
      </rPr>
      <t>propertymonitor.com</t>
    </r>
  </si>
  <si>
    <t>Nationwide</t>
  </si>
  <si>
    <t>971 2 447 2252</t>
  </si>
  <si>
    <r>
      <rPr>
        <color rgb="FF1155CC"/>
        <sz val="11.0"/>
        <u/>
      </rPr>
      <t>info@nationwide-properties.ae</t>
    </r>
  </si>
  <si>
    <r>
      <rPr>
        <color rgb="FF1155CC"/>
        <sz val="11.0"/>
        <u/>
      </rPr>
      <t>nationwide-properties.ae</t>
    </r>
  </si>
  <si>
    <t>SPF Realty</t>
  </si>
  <si>
    <t>971 4 339 5090</t>
  </si>
  <si>
    <r>
      <rPr>
        <color rgb="FF1155CC"/>
        <sz val="11.0"/>
        <u/>
      </rPr>
      <t>info@spfrealty.com</t>
    </r>
  </si>
  <si>
    <r>
      <rPr>
        <color rgb="FF1155CC"/>
        <sz val="11.0"/>
        <u/>
      </rPr>
      <t>spfrealty.com</t>
    </r>
  </si>
  <si>
    <t>Takamul</t>
  </si>
  <si>
    <t>971 4 123 4567</t>
  </si>
  <si>
    <r>
      <rPr>
        <color rgb="FF1155CC"/>
        <sz val="11.0"/>
        <u/>
      </rPr>
      <t>info@takamul.ae</t>
    </r>
  </si>
  <si>
    <r>
      <rPr>
        <color rgb="FF1155CC"/>
        <sz val="11.0"/>
        <u/>
      </rPr>
      <t>takamul.ae</t>
    </r>
  </si>
  <si>
    <t>Berkshire Hathaway</t>
  </si>
  <si>
    <t>1 402 346 1400</t>
  </si>
  <si>
    <r>
      <rPr>
        <color rgb="FF1155CC"/>
        <sz val="11.0"/>
        <u/>
      </rPr>
      <t>info@berkshirehathaway.com</t>
    </r>
  </si>
  <si>
    <r>
      <rPr>
        <color rgb="FF1155CC"/>
        <sz val="11.0"/>
        <u/>
      </rPr>
      <t>berkshirehathaway.com</t>
    </r>
  </si>
  <si>
    <t>Core</t>
  </si>
  <si>
    <t>971 4 388 8333</t>
  </si>
  <si>
    <r>
      <rPr>
        <color rgb="FF1155CC"/>
        <sz val="11.0"/>
        <u/>
      </rPr>
      <t>info@core-me.com</t>
    </r>
  </si>
  <si>
    <r>
      <rPr>
        <color rgb="FF1155CC"/>
        <sz val="11.0"/>
        <u/>
      </rPr>
      <t>core-me.com</t>
    </r>
  </si>
  <si>
    <t>Savills</t>
  </si>
  <si>
    <t>971 4 365 7700</t>
  </si>
  <si>
    <r>
      <rPr>
        <color rgb="FF1155CC"/>
        <sz val="11.0"/>
        <u/>
      </rPr>
      <t>info@savills.me</t>
    </r>
  </si>
  <si>
    <r>
      <rPr>
        <color rgb="FF1155CC"/>
        <sz val="11.0"/>
        <u/>
      </rPr>
      <t>savills.me</t>
    </r>
  </si>
  <si>
    <t>Cluttons</t>
  </si>
  <si>
    <r>
      <rPr>
        <color rgb="FF1155CC"/>
        <sz val="11.0"/>
        <u/>
      </rPr>
      <t>info@cluttons.com</t>
    </r>
  </si>
  <si>
    <r>
      <rPr>
        <color rgb="FF1155CC"/>
        <sz val="11.0"/>
        <u/>
      </rPr>
      <t>cluttons.com</t>
    </r>
  </si>
  <si>
    <t>Colliers International</t>
  </si>
  <si>
    <t>971 4 453 7400</t>
  </si>
  <si>
    <r>
      <rPr>
        <color rgb="FF1155CC"/>
        <sz val="11.0"/>
        <u/>
      </rPr>
      <t>info@colliers.com</t>
    </r>
  </si>
  <si>
    <r>
      <rPr>
        <color rgb="FF1155CC"/>
        <sz val="11.0"/>
        <u/>
      </rPr>
      <t>colliers.com</t>
    </r>
  </si>
  <si>
    <t>Oxford Business Group</t>
  </si>
  <si>
    <t>971 4 426 4642</t>
  </si>
  <si>
    <r>
      <rPr>
        <color rgb="FF1155CC"/>
        <sz val="11.0"/>
        <u/>
      </rPr>
      <t>info@oxfordbusinessgroup.com</t>
    </r>
  </si>
  <si>
    <r>
      <rPr>
        <color rgb="FF1155CC"/>
        <sz val="11.0"/>
        <u/>
      </rPr>
      <t>oxfordbusinessgroup.com</t>
    </r>
  </si>
  <si>
    <t>CBRE</t>
  </si>
  <si>
    <t>971 4 437 7100</t>
  </si>
  <si>
    <r>
      <rPr>
        <color rgb="FF1155CC"/>
        <sz val="11.0"/>
        <u/>
      </rPr>
      <t>info@cbre.com</t>
    </r>
  </si>
  <si>
    <r>
      <rPr>
        <color rgb="FF1155CC"/>
        <sz val="11.0"/>
        <u/>
      </rPr>
      <t>cbre.com</t>
    </r>
  </si>
  <si>
    <t>Arton Capital</t>
  </si>
  <si>
    <t>971 4 456 9500</t>
  </si>
  <si>
    <r>
      <rPr>
        <color rgb="FF1155CC"/>
        <sz val="11.0"/>
        <u/>
      </rPr>
      <t>info@artoncapital.com</t>
    </r>
  </si>
  <si>
    <r>
      <rPr>
        <color rgb="FF1155CC"/>
        <sz val="11.0"/>
        <u/>
      </rPr>
      <t>artoncapital.com</t>
    </r>
  </si>
  <si>
    <t>MSA Global</t>
  </si>
  <si>
    <r>
      <rPr>
        <color rgb="FF1155CC"/>
        <sz val="11.0"/>
        <u/>
      </rPr>
      <t>info@msaglobal.com</t>
    </r>
  </si>
  <si>
    <r>
      <rPr>
        <color rgb="FF1155CC"/>
        <sz val="11.0"/>
        <u/>
      </rPr>
      <t>msaglobal.com</t>
    </r>
  </si>
  <si>
    <t>Miller Mayer</t>
  </si>
  <si>
    <t>1 607 273 4200</t>
  </si>
  <si>
    <r>
      <rPr>
        <color rgb="FF1155CC"/>
        <sz val="11.0"/>
        <u/>
      </rPr>
      <t>info@millermayer.com</t>
    </r>
  </si>
  <si>
    <r>
      <rPr>
        <color rgb="FF1155CC"/>
        <sz val="11.0"/>
        <u/>
      </rPr>
      <t>millermayer.com</t>
    </r>
  </si>
  <si>
    <t>Cleveland International Fund</t>
  </si>
  <si>
    <t>1 216 621 1200</t>
  </si>
  <si>
    <r>
      <rPr>
        <color rgb="FF1155CC"/>
        <sz val="11.0"/>
        <u/>
      </rPr>
      <t>info@clevelandinternationalfund.com</t>
    </r>
  </si>
  <si>
    <r>
      <rPr>
        <color rgb="FF1155CC"/>
        <sz val="11.0"/>
        <u/>
      </rPr>
      <t>clevelandinternationalfund.com</t>
    </r>
  </si>
  <si>
    <t>EB5 Global</t>
  </si>
  <si>
    <t>1 617 367 2900</t>
  </si>
  <si>
    <r>
      <rPr>
        <color rgb="FF1155CC"/>
        <sz val="11.0"/>
        <u/>
      </rPr>
      <t>info@eb5global.com</t>
    </r>
  </si>
  <si>
    <r>
      <rPr>
        <color rgb="FF1155CC"/>
        <sz val="11.0"/>
        <u/>
      </rPr>
      <t>eb5global.com</t>
    </r>
  </si>
  <si>
    <t>Baker Tilly Capital</t>
  </si>
  <si>
    <t>1 414 777 5500</t>
  </si>
  <si>
    <r>
      <rPr>
        <color rgb="FF1155CC"/>
        <sz val="11.0"/>
        <u/>
      </rPr>
      <t>info@bakertillycapital.com</t>
    </r>
  </si>
  <si>
    <r>
      <rPr>
        <color rgb="FF1155CC"/>
        <sz val="11.0"/>
        <u/>
      </rPr>
      <t>bakertillycapital.com</t>
    </r>
  </si>
  <si>
    <t>Signature Bank</t>
  </si>
  <si>
    <t>1 646 822 1500</t>
  </si>
  <si>
    <r>
      <rPr>
        <color rgb="FF1155CC"/>
        <sz val="11.0"/>
        <u/>
      </rPr>
      <t>info@signatureny.com</t>
    </r>
  </si>
  <si>
    <r>
      <rPr>
        <color rgb="FF1155CC"/>
        <sz val="11.0"/>
        <u/>
      </rPr>
      <t>signatureny.com</t>
    </r>
  </si>
  <si>
    <t>Abu Dhabi Chamber</t>
  </si>
  <si>
    <t>971 2 621 4000</t>
  </si>
  <si>
    <r>
      <rPr>
        <color rgb="FF1155CC"/>
        <sz val="11.0"/>
        <u/>
      </rPr>
      <t>contact.us@adcci.gov.ae</t>
    </r>
  </si>
  <si>
    <r>
      <rPr>
        <color rgb="FF1155CC"/>
        <sz val="11.0"/>
        <u/>
      </rPr>
      <t>abudhabichamber.ae</t>
    </r>
  </si>
  <si>
    <t>Amlak Finance PJSC</t>
  </si>
  <si>
    <t>800 26525 (AMLAK)</t>
  </si>
  <si>
    <r>
      <rPr>
        <color rgb="FF1155CC"/>
        <sz val="11.0"/>
        <u/>
      </rPr>
      <t>info@amlakfinance.com</t>
    </r>
  </si>
  <si>
    <r>
      <rPr>
        <color rgb="FF1155CC"/>
        <sz val="11.0"/>
        <u/>
      </rPr>
      <t>amlakfinance.com</t>
    </r>
  </si>
  <si>
    <t>Al Bayan Newspaper</t>
  </si>
  <si>
    <t>971 4 344 4400</t>
  </si>
  <si>
    <r>
      <rPr>
        <color rgb="FF1155CC"/>
        <sz val="11.0"/>
        <u/>
      </rPr>
      <t>albayanonline@albayan.ae</t>
    </r>
  </si>
  <si>
    <r>
      <rPr>
        <color rgb="FF1155CC"/>
        <sz val="11.0"/>
        <u/>
      </rPr>
      <t>albayan.ae</t>
    </r>
  </si>
  <si>
    <t>Gulf Property Magazine</t>
  </si>
  <si>
    <t>971 4 392 6488</t>
  </si>
  <si>
    <r>
      <rPr>
        <color rgb="FF1155CC"/>
        <sz val="11.0"/>
        <u/>
      </rPr>
      <t>s.rahman@panasian1.com</t>
    </r>
  </si>
  <si>
    <r>
      <rPr>
        <color rgb="FF1155CC"/>
        <sz val="11.0"/>
        <u/>
      </rPr>
      <t>gulfproperty.media</t>
    </r>
  </si>
  <si>
    <t>Engineering</t>
  </si>
  <si>
    <t>contacacted</t>
  </si>
  <si>
    <t>CAEB Consultant Architects Office</t>
  </si>
  <si>
    <t>المهندس اكرم عبد اللطيف ( شركة عمارة الشرق - EMARET AL-SHARQ )</t>
  </si>
  <si>
    <t>3D Production Designs</t>
  </si>
  <si>
    <t>Vertex Architecture Group</t>
  </si>
  <si>
    <t>Artstone Iraq</t>
  </si>
  <si>
    <t>شركة المربع للعمران والتطوير</t>
  </si>
  <si>
    <t>Wêna Architects - وێنا</t>
  </si>
  <si>
    <t>ASA Consultancy</t>
  </si>
  <si>
    <t>Angel Architects</t>
  </si>
  <si>
    <t>AM architects.co</t>
  </si>
  <si>
    <t>Dar Al Handasah Consultants (Shair &amp; Partners)</t>
  </si>
  <si>
    <t>Divan Bureau for Engineering consultancies and designs</t>
  </si>
  <si>
    <t>King Company for architectural design</t>
  </si>
  <si>
    <t>sofia architects</t>
  </si>
  <si>
    <t>Tareeq Aden Co | شركة طريق عدن</t>
  </si>
  <si>
    <t>Hazha Arch</t>
  </si>
  <si>
    <t>Square design co</t>
  </si>
  <si>
    <t>Advance Design</t>
  </si>
  <si>
    <t>Vinisya architect company</t>
  </si>
  <si>
    <t>Partner Studio Co.</t>
  </si>
  <si>
    <t>Architects and Engineers Studio</t>
  </si>
  <si>
    <t>Bazi Office for Architecture and Decoration</t>
  </si>
  <si>
    <t>ARCHLINE for Architecture &amp; Engineering</t>
  </si>
  <si>
    <t>IMPRINT</t>
  </si>
  <si>
    <t>Architecture Design</t>
  </si>
  <si>
    <t>Prunus Landscape پرونوس لاندسکێپ</t>
  </si>
  <si>
    <t>RAHA ARCHITECTS</t>
  </si>
  <si>
    <t>Zakaa Architecture</t>
  </si>
  <si>
    <t>MD Company</t>
  </si>
  <si>
    <t>Steel Power Co</t>
  </si>
  <si>
    <t>Interno Design For General Contracting &amp; General Trading Ltd.</t>
  </si>
  <si>
    <t>Alrudaini Design Studio</t>
  </si>
  <si>
    <t>Alpha architects</t>
  </si>
  <si>
    <t>ALMASAHA COMPANY</t>
  </si>
  <si>
    <t>engineers</t>
  </si>
  <si>
    <t>Mohammed AlSaad</t>
  </si>
  <si>
    <t>exterior and interior design</t>
  </si>
  <si>
    <t>MS architect</t>
  </si>
  <si>
    <t>شركة TNT للديكور</t>
  </si>
  <si>
    <t>Kahy Architecture</t>
  </si>
  <si>
    <t>smart design architects</t>
  </si>
  <si>
    <t>365 Studio Architects للعمارة والهندسة</t>
  </si>
  <si>
    <t>Patio Architecture Company - کۆمپانیای پاتیۆ ئارکیتێکچەر</t>
  </si>
  <si>
    <t>Ecoscape company</t>
  </si>
  <si>
    <t>MALE KAK hameed</t>
  </si>
  <si>
    <t>LAM Architects</t>
  </si>
  <si>
    <t>X builders</t>
  </si>
  <si>
    <t>JOHN DEERE</t>
  </si>
  <si>
    <t>شركة روعة الغد الهندسية للبناء والعمارة</t>
  </si>
  <si>
    <t>مكتب تشكيل الهندسي</t>
  </si>
  <si>
    <t>Nova Architect</t>
  </si>
  <si>
    <t>MS Architects</t>
  </si>
  <si>
    <t>964 773 777 1909</t>
  </si>
  <si>
    <t>964 750 888 2288</t>
  </si>
  <si>
    <t xml:space="preserve">964 750 333 1008 </t>
  </si>
  <si>
    <t>MO Architects</t>
  </si>
  <si>
    <t>964 750 425 9474</t>
  </si>
  <si>
    <t>Architect Mohammad Hussen</t>
  </si>
  <si>
    <t>964 7510273004</t>
  </si>
  <si>
    <t>964 750 467 3973</t>
  </si>
  <si>
    <t>Terra Architects</t>
  </si>
  <si>
    <t>964 750 445 9344 - 00964 750 444 1932</t>
  </si>
  <si>
    <t>964 750 209 6000</t>
  </si>
  <si>
    <t>Architect SherWan</t>
  </si>
  <si>
    <t>964 750 796 1515</t>
  </si>
  <si>
    <t>Vision architects - Facebook</t>
  </si>
  <si>
    <t>964 750 8265357</t>
  </si>
  <si>
    <t>Partner Studio - Facebook</t>
  </si>
  <si>
    <t>964 750 213 2288</t>
  </si>
  <si>
    <t>Asar Architects - Facebook</t>
  </si>
  <si>
    <t>964 782 601 5915</t>
  </si>
  <si>
    <t>EVA.Architects</t>
  </si>
  <si>
    <t>964 750 497 0920</t>
  </si>
  <si>
    <t>Wêna Architects</t>
  </si>
  <si>
    <t>964 750 323 0980.</t>
  </si>
  <si>
    <t>Arch Compound</t>
  </si>
  <si>
    <t>964750 4450368</t>
  </si>
  <si>
    <t>Pattern.Architects</t>
  </si>
  <si>
    <t>964 751 517 9081</t>
  </si>
  <si>
    <t>The Federal Chamber of Iraqi Engineers and Architects - Facebook</t>
  </si>
  <si>
    <t xml:space="preserve">964 0 750 156 0287 </t>
  </si>
  <si>
    <t>Bhitum Engineering Consultancy</t>
  </si>
  <si>
    <t>964 7801333367</t>
  </si>
  <si>
    <t>Voxel - Facebook</t>
  </si>
  <si>
    <t>964 750 449 5107 - 0750449510</t>
  </si>
  <si>
    <t>New bathroom design</t>
  </si>
  <si>
    <t>964 750 586 4599</t>
  </si>
  <si>
    <t xml:space="preserve">Map Architects &amp; Engineers  </t>
  </si>
  <si>
    <t>architectdlovan@gmail.com</t>
  </si>
  <si>
    <t xml:space="preserve">الشركة  العامة للفحص والتأهيل الهندسي </t>
  </si>
  <si>
    <t>info@smartcloudiq.com</t>
  </si>
  <si>
    <t>Architectural corner</t>
  </si>
  <si>
    <t>Supervision</t>
  </si>
  <si>
    <t>architectural.corner1@gmail.com</t>
  </si>
  <si>
    <t>Seyd gaylan</t>
  </si>
  <si>
    <t>luqman@seydgaylan.com</t>
  </si>
  <si>
    <t>Power Elektronik</t>
  </si>
  <si>
    <t>902165 000000</t>
  </si>
  <si>
    <t>ayhan.guven@powerelektronik.com.tr</t>
  </si>
  <si>
    <t>Architecture office</t>
  </si>
  <si>
    <t>abdulla.architecture@gmail.com</t>
  </si>
  <si>
    <t>Paya design</t>
  </si>
  <si>
    <t>hindreen.payastudio@gmail.com</t>
  </si>
  <si>
    <t>Co.megadesign@gmail.com</t>
  </si>
  <si>
    <t>AL-Hikma company</t>
  </si>
  <si>
    <t>kahtank@yahoo.com</t>
  </si>
  <si>
    <t>Queen design company</t>
  </si>
  <si>
    <t>queencompany22@gmail.com</t>
  </si>
  <si>
    <t>Art graphic</t>
  </si>
  <si>
    <t>CEO &amp; founder</t>
  </si>
  <si>
    <t>kosar@artgraphic.co</t>
  </si>
  <si>
    <t>Boho design</t>
  </si>
  <si>
    <t>Founder&amp;architect</t>
  </si>
  <si>
    <t>miran88osman@gmail.com</t>
  </si>
  <si>
    <t>Al-Hayat bureau</t>
  </si>
  <si>
    <t>sarmad57@hotmail.com</t>
  </si>
  <si>
    <t>Premium edition</t>
  </si>
  <si>
    <t>Director manager</t>
  </si>
  <si>
    <t>ali@pr-ed.com</t>
  </si>
  <si>
    <t>Nanakali group</t>
  </si>
  <si>
    <t>Delear company</t>
  </si>
  <si>
    <t>mepdtc@gmail.com</t>
  </si>
  <si>
    <t>SEC company</t>
  </si>
  <si>
    <t>majed.shaban@sadaconsult.com</t>
  </si>
  <si>
    <t>Bright path company</t>
  </si>
  <si>
    <t>Info@brightpathads.com</t>
  </si>
  <si>
    <t>Amir balak</t>
  </si>
  <si>
    <t>I.T solutions</t>
  </si>
  <si>
    <t>amir.balak@gmail.com</t>
  </si>
  <si>
    <t>Damazrenar company</t>
  </si>
  <si>
    <t>Ama group</t>
  </si>
  <si>
    <t>dr.mudafar@dmavet.com</t>
  </si>
  <si>
    <t>Efficient operation</t>
  </si>
  <si>
    <t>Detay company</t>
  </si>
  <si>
    <t>merthan.evcimen@detayaydinlatma.com.tr</t>
  </si>
  <si>
    <t>FM company</t>
  </si>
  <si>
    <t>arifouad@yahoo.com</t>
  </si>
  <si>
    <t>Abdulraqib company</t>
  </si>
  <si>
    <t>raqib.mamrwal@gmail.com</t>
  </si>
  <si>
    <t>ECD management</t>
  </si>
  <si>
    <t>Regional manager</t>
  </si>
  <si>
    <t>abdulaziz@ecd-m.com</t>
  </si>
  <si>
    <t>CANVAS</t>
  </si>
  <si>
    <t>hana.hama@canvas.krd</t>
  </si>
  <si>
    <t>VOGUE</t>
  </si>
  <si>
    <t>hawraz@vogue-architects.com</t>
  </si>
  <si>
    <t>Mulk news</t>
  </si>
  <si>
    <t>BILAL@MULKNEWS.COM</t>
  </si>
  <si>
    <t>AVA</t>
  </si>
  <si>
    <t>Goran.f.koyi</t>
  </si>
  <si>
    <t>ALPHA</t>
  </si>
  <si>
    <t>Building trust</t>
  </si>
  <si>
    <t>Kawak</t>
  </si>
  <si>
    <t>kawak.architects@gmail.com</t>
  </si>
  <si>
    <t>Sahi group</t>
  </si>
  <si>
    <t>zeyniaydemir@gmail.com</t>
  </si>
  <si>
    <t>Plan saz</t>
  </si>
  <si>
    <t>Hills design</t>
  </si>
  <si>
    <t>eng.zrng@yahoo.com</t>
  </si>
  <si>
    <t>KURD YAR GROUP</t>
  </si>
  <si>
    <t>kurdyargroup@gmail.com</t>
  </si>
  <si>
    <t>Land group</t>
  </si>
  <si>
    <t>landgroup .krd@gmail.com</t>
  </si>
  <si>
    <t>DAR KURD GROUP</t>
  </si>
  <si>
    <t>a r y a n @ d a r k u r d . c o m</t>
  </si>
  <si>
    <t>Vekra company</t>
  </si>
  <si>
    <t>info@Vekra-furniture</t>
  </si>
  <si>
    <t>Big Power</t>
  </si>
  <si>
    <t>blend@bigpower.com</t>
  </si>
  <si>
    <t>WHAT AN ART</t>
  </si>
  <si>
    <t>ANAS</t>
  </si>
  <si>
    <t>(770) 034-7090</t>
  </si>
  <si>
    <t>ANAS@WHATANART.NET</t>
  </si>
  <si>
    <t>QUEEN</t>
  </si>
  <si>
    <t>(750) 434-5454</t>
  </si>
  <si>
    <t>QUEENCOMPANY22@GAMAIL.COM</t>
  </si>
  <si>
    <t>SHAR</t>
  </si>
  <si>
    <t>CASTRO KAREEM</t>
  </si>
  <si>
    <t>(750) 444-5678</t>
  </si>
  <si>
    <t>DCASTRO55@YAHOO.COM</t>
  </si>
  <si>
    <t>LIMITLESS CO.</t>
  </si>
  <si>
    <t>YOUNES DABBAS</t>
  </si>
  <si>
    <t>(751) 466-3766</t>
  </si>
  <si>
    <t>YOUNESALDABBAS@YAHOO.COM</t>
  </si>
  <si>
    <t>SYLT CO.</t>
  </si>
  <si>
    <t>FATMA OTHMAN</t>
  </si>
  <si>
    <t>(751) 640-5060</t>
  </si>
  <si>
    <t>FATMA@SAILET.NET</t>
  </si>
  <si>
    <t>ALRIMAL ALDHABIYA CO.</t>
  </si>
  <si>
    <t>AHMED AL ANSARI</t>
  </si>
  <si>
    <t>(750) 666-4433</t>
  </si>
  <si>
    <t>INFO@ALRIMAL-ALDHABIYA.COM</t>
  </si>
  <si>
    <t>CLARISE CO.</t>
  </si>
  <si>
    <t>(750) 584-0001</t>
  </si>
  <si>
    <t>INFO@CLARISCO.COM</t>
  </si>
  <si>
    <t>PAYA CO.</t>
  </si>
  <si>
    <t>(750) 788-1678</t>
  </si>
  <si>
    <t>HINDREEN.PAYSTUDIO@GMAIL.COM</t>
  </si>
  <si>
    <t>INTECH</t>
  </si>
  <si>
    <t>SIROUS AZIMI</t>
  </si>
  <si>
    <t>(750) 404-0110</t>
  </si>
  <si>
    <t>KARSAN GROUP</t>
  </si>
  <si>
    <t>(750) 420-8303</t>
  </si>
  <si>
    <t>MATIN WAISEY</t>
  </si>
  <si>
    <t>(750) 744-9940</t>
  </si>
  <si>
    <t>MATINDRI445@GMAIL.COM</t>
  </si>
  <si>
    <t>FM CO.</t>
  </si>
  <si>
    <t>ARI FOUAD MAMEND</t>
  </si>
  <si>
    <t>(750) 872-6898</t>
  </si>
  <si>
    <t>ARIFOUAD@YAHOO.COM</t>
  </si>
  <si>
    <t>AL-MURSHED OFFICE</t>
  </si>
  <si>
    <t>AHMED SALIH</t>
  </si>
  <si>
    <t>(750) 900-2322</t>
  </si>
  <si>
    <t>KENAR KAWA</t>
  </si>
  <si>
    <t>(750) 445-4208</t>
  </si>
  <si>
    <t>ENG.KANARRASH@GMAIL.COM</t>
  </si>
  <si>
    <t>NEO PARTNERS</t>
  </si>
  <si>
    <t>DR. PESHKAWT</t>
  </si>
  <si>
    <t>(750) 469-7171</t>
  </si>
  <si>
    <t>INFO@NEOPARTNERS.CO</t>
  </si>
  <si>
    <t>A.S GROUP</t>
  </si>
  <si>
    <t>(750) 482-7529</t>
  </si>
  <si>
    <t>INTERIOR DESIGNER</t>
  </si>
  <si>
    <t>LAYAD MUSLIH</t>
  </si>
  <si>
    <t>(750) 556-5454</t>
  </si>
  <si>
    <t>LAYAD.ARCHITECT@GMAIL.COM</t>
  </si>
  <si>
    <t>MOHMED FARES</t>
  </si>
  <si>
    <t>(750) 415-6234</t>
  </si>
  <si>
    <t>FARESS_SHARIF@YAHOO.COM</t>
  </si>
  <si>
    <t>GORAN KHALID</t>
  </si>
  <si>
    <t>(750) 445-3855</t>
  </si>
  <si>
    <t>ERBIL_STONE_COMPANY@YAHOO.COM</t>
  </si>
  <si>
    <t>AL WAJIHA CO.</t>
  </si>
  <si>
    <t>ALI ZEN</t>
  </si>
  <si>
    <t>(770) 866-6682</t>
  </si>
  <si>
    <t>ALIZEN@ALWAJIH.CO.COM</t>
  </si>
  <si>
    <t>RIZGAR MAGHIDI</t>
  </si>
  <si>
    <t>(750) 446-9234</t>
  </si>
  <si>
    <t>RIZGAR_KURDI@YAHOO.COM</t>
  </si>
  <si>
    <t>NEW VIEW CO.</t>
  </si>
  <si>
    <t>NABEEL MALLAH</t>
  </si>
  <si>
    <t>(984133) 379-1678</t>
  </si>
  <si>
    <t>N.MALLAH@HOTMAIL.COM</t>
  </si>
  <si>
    <t>VAR CO.</t>
  </si>
  <si>
    <t>CHALAK JAWHAR</t>
  </si>
  <si>
    <t>(750) 468-6224</t>
  </si>
  <si>
    <t>CHALAKJAWHAR91@GMAIL.COM</t>
  </si>
  <si>
    <t>ARCHI JAF</t>
  </si>
  <si>
    <t>BALEN KAMAL</t>
  </si>
  <si>
    <t>(780) 915-0925</t>
  </si>
  <si>
    <t>ARCHIJAF.DESIGN@GMAIL.COM</t>
  </si>
  <si>
    <t>AVA ARCHITECTS</t>
  </si>
  <si>
    <t>REZGAR MAGHDID</t>
  </si>
  <si>
    <t>(750) 424-2263</t>
  </si>
  <si>
    <t>HOUSE CO.</t>
  </si>
  <si>
    <t>RAWAND HAMA</t>
  </si>
  <si>
    <t>(770) 136-5160</t>
  </si>
  <si>
    <t>HOUSE.SULY@GMAIL.COM</t>
  </si>
  <si>
    <t>ROYAL CO.</t>
  </si>
  <si>
    <t>BASHDAR ALI</t>
  </si>
  <si>
    <t>(750) 402-7475</t>
  </si>
  <si>
    <t>ROYALCONSULTANT2020@GMAIL.COM</t>
  </si>
  <si>
    <t>ARCHITECTUREAL CORNER</t>
  </si>
  <si>
    <t>(770) 364-4068</t>
  </si>
  <si>
    <t>ARCHITECTURAL.CORNER1@GMAIL.COM</t>
  </si>
  <si>
    <t>BAWAR GHAFAR</t>
  </si>
  <si>
    <t>ENGINEER</t>
  </si>
  <si>
    <t>(750) 459-8580</t>
  </si>
  <si>
    <t>OSCAR HOME DESIGN</t>
  </si>
  <si>
    <t>ZANA NAHRO</t>
  </si>
  <si>
    <t>(750) 246-0006</t>
  </si>
  <si>
    <t>OSCARHOME@OSCARORMAN.COM</t>
  </si>
  <si>
    <t>SERDAR ALI</t>
  </si>
  <si>
    <t>(750) 461-4629</t>
  </si>
  <si>
    <t>INFO@ALMIMARGROUP.COM</t>
  </si>
  <si>
    <t xml:space="preserve">Mega Dsign Company </t>
  </si>
  <si>
    <t xml:space="preserve">co.megadesign@gmail.com </t>
  </si>
  <si>
    <t xml:space="preserve">Parsha Architects </t>
  </si>
  <si>
    <t xml:space="preserve">Wall Crete Company </t>
  </si>
  <si>
    <t xml:space="preserve">info@wallcretepanel.com </t>
  </si>
  <si>
    <t xml:space="preserve"> Pillar Architects Company </t>
  </si>
  <si>
    <t xml:space="preserve">Behranlift company </t>
  </si>
  <si>
    <t xml:space="preserve">iraqbehran@gmail.com </t>
  </si>
  <si>
    <t xml:space="preserve">Sada For Engineering Consultancy </t>
  </si>
  <si>
    <t xml:space="preserve">majed.shaban@sadaconsult.com </t>
  </si>
  <si>
    <t xml:space="preserve">نافا للأستشارات الهندسية </t>
  </si>
  <si>
    <t xml:space="preserve">سيروان </t>
  </si>
  <si>
    <t xml:space="preserve">archsirwan@gmail.com </t>
  </si>
  <si>
    <t xml:space="preserve">Ideal Build </t>
  </si>
  <si>
    <t xml:space="preserve">Didar Shamsaddin </t>
  </si>
  <si>
    <t xml:space="preserve">info@ideabuild.co </t>
  </si>
  <si>
    <t xml:space="preserve">الشركة الهندسية لصناعة وسائل التدفئة والتبريد المحدودة </t>
  </si>
  <si>
    <t>ه</t>
  </si>
  <si>
    <t>3ajma realestate</t>
  </si>
  <si>
    <t>Karwan mudir</t>
  </si>
  <si>
    <t>0750 5181616</t>
  </si>
  <si>
    <t>7 re realestate</t>
  </si>
  <si>
    <t>amanj sa7eb</t>
  </si>
  <si>
    <t>0964 750 777 7523</t>
  </si>
  <si>
    <t>7re Real Estate</t>
  </si>
  <si>
    <t>↑</t>
  </si>
  <si>
    <t>Abdulbast Real Estate</t>
  </si>
  <si>
    <t>Abdulsabur Real Estate</t>
  </si>
  <si>
    <t>Abraj Kirkuk Real Estate</t>
  </si>
  <si>
    <t>Rafid</t>
  </si>
  <si>
    <t>0964 770 124 0290</t>
  </si>
  <si>
    <t>abu laith realestate</t>
  </si>
  <si>
    <t>ahmed realestate</t>
  </si>
  <si>
    <t>ahmed sa7eb</t>
  </si>
  <si>
    <t>0964 751 402 2002</t>
  </si>
  <si>
    <t>al ezz realestate</t>
  </si>
  <si>
    <t>0964 774 694 2958</t>
  </si>
  <si>
    <t>al jawadeen realestate</t>
  </si>
  <si>
    <t>0964 781 577 0006</t>
  </si>
  <si>
    <t>Al Kharita Real Estate</t>
  </si>
  <si>
    <t xml:space="preserve">Al Osool Real Estate LLC </t>
  </si>
  <si>
    <t xml:space="preserve">Sura Wahab </t>
  </si>
  <si>
    <t xml:space="preserve">سلطنة  عمان </t>
  </si>
  <si>
    <t>al xarita</t>
  </si>
  <si>
    <t>3emad</t>
  </si>
  <si>
    <t>0750 6664433</t>
  </si>
  <si>
    <t>alama</t>
  </si>
  <si>
    <t>rzgar sa7eb</t>
  </si>
  <si>
    <t>0750 4618450</t>
  </si>
  <si>
    <t>alan CEO</t>
  </si>
  <si>
    <t>0750 4450758</t>
  </si>
  <si>
    <t>albasso realestate</t>
  </si>
  <si>
    <t>alghadeer</t>
  </si>
  <si>
    <t>karbala</t>
  </si>
  <si>
    <t>0964 773 060 3511</t>
  </si>
  <si>
    <t>Ali Zankana Real Estate</t>
  </si>
  <si>
    <t>ali</t>
  </si>
  <si>
    <t>almeftah realestate</t>
  </si>
  <si>
    <t>almuhandis realestate anbar</t>
  </si>
  <si>
    <t>Alzaine Real Estate</t>
  </si>
  <si>
    <t>amlak</t>
  </si>
  <si>
    <t>sardar azad sa7eb</t>
  </si>
  <si>
    <t>0750 3094249</t>
  </si>
  <si>
    <t>amwal</t>
  </si>
  <si>
    <t>xalid-faraidun</t>
  </si>
  <si>
    <t>0750 2764545-07504543716</t>
  </si>
  <si>
    <t>apc ali hadidi realestate</t>
  </si>
  <si>
    <t>xals</t>
  </si>
  <si>
    <t>0750 1001102</t>
  </si>
  <si>
    <t>APC Real Estate</t>
  </si>
  <si>
    <t>aram jamal</t>
  </si>
  <si>
    <t>aram sa7eb</t>
  </si>
  <si>
    <t>0750 2150964</t>
  </si>
  <si>
    <t>Aram Shekhani Real Estate</t>
  </si>
  <si>
    <t>araqat dana realestate</t>
  </si>
  <si>
    <t>dana</t>
  </si>
  <si>
    <t>0750 9915000</t>
  </si>
  <si>
    <t xml:space="preserve">arazu realestate baghdad </t>
  </si>
  <si>
    <t>arbil land realestate</t>
  </si>
  <si>
    <t>ard al ahram realestate</t>
  </si>
  <si>
    <t>xalid</t>
  </si>
  <si>
    <t>0750445 0548</t>
  </si>
  <si>
    <t>arflon</t>
  </si>
  <si>
    <t>darya-ceo</t>
  </si>
  <si>
    <t>0750 1019222</t>
  </si>
  <si>
    <t>Arist Developers</t>
  </si>
  <si>
    <t>Mazen</t>
  </si>
  <si>
    <t>Ashaw Real Estate</t>
  </si>
  <si>
    <t>aso real estate</t>
  </si>
  <si>
    <t>0750 4484891</t>
  </si>
  <si>
    <t>aso realestate rami</t>
  </si>
  <si>
    <t>Asti Zawi Real Estate</t>
  </si>
  <si>
    <t>Astyak Real Estate</t>
  </si>
  <si>
    <t>atlantic project</t>
  </si>
  <si>
    <t>0750 1995310</t>
  </si>
  <si>
    <t>avenue realestate</t>
  </si>
  <si>
    <t>nawaf araba CEO</t>
  </si>
  <si>
    <t>awsaf realestate</t>
  </si>
  <si>
    <t>0750 5125050</t>
  </si>
  <si>
    <t>Axjalar Real Estate</t>
  </si>
  <si>
    <t>azad realestate</t>
  </si>
  <si>
    <t>azzad</t>
  </si>
  <si>
    <t>0750 695 2013</t>
  </si>
  <si>
    <t>bab-aljanna</t>
  </si>
  <si>
    <t>muhamad mudir marketing</t>
  </si>
  <si>
    <t>0750 6005588</t>
  </si>
  <si>
    <t>bab-alnajah</t>
  </si>
  <si>
    <t>farhan</t>
  </si>
  <si>
    <t>0751 7001734 -07503962048</t>
  </si>
  <si>
    <t>Baghi Brifkan Real Estate</t>
  </si>
  <si>
    <t>hogr agha</t>
  </si>
  <si>
    <t>frya</t>
  </si>
  <si>
    <t>0750 1115881</t>
  </si>
  <si>
    <t>Baghi Choman Real Estate</t>
  </si>
  <si>
    <t>baghi dabashan</t>
  </si>
  <si>
    <t>barzan</t>
  </si>
  <si>
    <t>0770 152 5296</t>
  </si>
  <si>
    <t>Baghi Jali Real Estate</t>
  </si>
  <si>
    <t>baghi jali realestate</t>
  </si>
  <si>
    <t>muhamad - hoshmand sa7eb</t>
  </si>
  <si>
    <t>0750 5193000</t>
  </si>
  <si>
    <t>baghi panaw realestate</t>
  </si>
  <si>
    <t>0770 5783737</t>
  </si>
  <si>
    <t>Baghy Azhga Real Estate</t>
  </si>
  <si>
    <t>baghy choman</t>
  </si>
  <si>
    <t>nawzad</t>
  </si>
  <si>
    <t>0751 4023818</t>
  </si>
  <si>
    <t>baghy dabashan</t>
  </si>
  <si>
    <t>Baghy Hazan Real Estate</t>
  </si>
  <si>
    <t>0750 4477172</t>
  </si>
  <si>
    <t>Baghy Khoshnawaty Real Estate</t>
  </si>
  <si>
    <t>baghy mulk</t>
  </si>
  <si>
    <t>balen</t>
  </si>
  <si>
    <t>baghy safeen realestate</t>
  </si>
  <si>
    <t>saadula</t>
  </si>
  <si>
    <t>0750 111 1160</t>
  </si>
  <si>
    <t>Baghy Sardam Real Estate</t>
  </si>
  <si>
    <t>soran</t>
  </si>
  <si>
    <t>0750 4463512</t>
  </si>
  <si>
    <t>baghy seren realestate slemani blue sky realestate</t>
  </si>
  <si>
    <t>pary</t>
  </si>
  <si>
    <t>0770 020 8877</t>
  </si>
  <si>
    <t>baghy shaqlawa</t>
  </si>
  <si>
    <t>dr rasti</t>
  </si>
  <si>
    <t>Baghy Shawes Real Estate</t>
  </si>
  <si>
    <t>0964 750 447 2536</t>
  </si>
  <si>
    <t>baghy shawes realestate</t>
  </si>
  <si>
    <t>0750 667 7505</t>
  </si>
  <si>
    <t>Baghy Warte Real Estate</t>
  </si>
  <si>
    <t>964 750 859 2006</t>
  </si>
  <si>
    <t>Bahashti Shaqlawa Real Estate</t>
  </si>
  <si>
    <t>Bakhtyar Real Estate</t>
  </si>
  <si>
    <t>ballav</t>
  </si>
  <si>
    <t>muhamed sa7eb</t>
  </si>
  <si>
    <t>0750 2889000</t>
  </si>
  <si>
    <t>Ballav Real Estate</t>
  </si>
  <si>
    <t>Banari Halgurd Real Estate</t>
  </si>
  <si>
    <t>banoo</t>
  </si>
  <si>
    <t>shatu</t>
  </si>
  <si>
    <t>0750 7001004</t>
  </si>
  <si>
    <t>BanooRoyalEstate</t>
  </si>
  <si>
    <t>BanooRoyalEstate@gmail.com</t>
  </si>
  <si>
    <t xml:space="preserve">اربيل - كولان </t>
  </si>
  <si>
    <t>Baoajy Real Estate</t>
  </si>
  <si>
    <t>Baran Real Estate</t>
  </si>
  <si>
    <t>barbas realestate</t>
  </si>
  <si>
    <t>Barzan Mantik Real Estate</t>
  </si>
  <si>
    <t>basateen realestate</t>
  </si>
  <si>
    <t>soran sa7eb</t>
  </si>
  <si>
    <t>bave realestate</t>
  </si>
  <si>
    <t>Bazary tavga Real Estate</t>
  </si>
  <si>
    <t>??</t>
  </si>
  <si>
    <t>belton realestate</t>
  </si>
  <si>
    <t>salar B</t>
  </si>
  <si>
    <t>0964 750 475 0727</t>
  </si>
  <si>
    <t>blue arrow</t>
  </si>
  <si>
    <t>mhamad</t>
  </si>
  <si>
    <t>0750 791 4899</t>
  </si>
  <si>
    <t xml:space="preserve">mustafa.ahmed@b-arrow.com </t>
  </si>
  <si>
    <t>Blue Moon Real Estate</t>
  </si>
  <si>
    <t>blue sky realestate slemani</t>
  </si>
  <si>
    <t>parzhin xan</t>
  </si>
  <si>
    <t>bnary halgurd</t>
  </si>
  <si>
    <t>halo sa7eb</t>
  </si>
  <si>
    <t>0750 3074848</t>
  </si>
  <si>
    <t>BNARY safin</t>
  </si>
  <si>
    <t>razwan</t>
  </si>
  <si>
    <t>0964 751 124 4999</t>
  </si>
  <si>
    <t>Bnary Zedbagy Real Estate</t>
  </si>
  <si>
    <t>bochun</t>
  </si>
  <si>
    <t>rasul sa7eba</t>
  </si>
  <si>
    <t>Brayati Real Estate</t>
  </si>
  <si>
    <t>bright arrow realestate</t>
  </si>
  <si>
    <t>0750 4524440</t>
  </si>
  <si>
    <t>bright path realestate</t>
  </si>
  <si>
    <t>laween</t>
  </si>
  <si>
    <t>0770 5020180</t>
  </si>
  <si>
    <t>Bright Zone Real Estate</t>
  </si>
  <si>
    <t>bright zone realestate</t>
  </si>
  <si>
    <t>baxtyar</t>
  </si>
  <si>
    <t>0750 950 2929</t>
  </si>
  <si>
    <t>Business day real estate</t>
  </si>
  <si>
    <t>bustani</t>
  </si>
  <si>
    <t>7azm araba</t>
  </si>
  <si>
    <t>0750 8886615</t>
  </si>
  <si>
    <t>bye bye</t>
  </si>
  <si>
    <t>banaz</t>
  </si>
  <si>
    <t>0750 9777077</t>
  </si>
  <si>
    <t>Candle Real Estate</t>
  </si>
  <si>
    <t>candle realestate</t>
  </si>
  <si>
    <t>rebaz CEO - tishk</t>
  </si>
  <si>
    <t>0750 5525454</t>
  </si>
  <si>
    <t>chalang realestate</t>
  </si>
  <si>
    <t>0750 6243636</t>
  </si>
  <si>
    <t>cihan realestate</t>
  </si>
  <si>
    <t>cihan realestate arami cihan</t>
  </si>
  <si>
    <t>ari</t>
  </si>
  <si>
    <t>0751 0490877</t>
  </si>
  <si>
    <t>Cmat Safin Company</t>
  </si>
  <si>
    <t>Dana Haydar Real Estate</t>
  </si>
  <si>
    <t>0750 992 5000</t>
  </si>
  <si>
    <t>٧٥٠٧٩٦٩٣٧٨</t>
  </si>
  <si>
    <t>dar al khalij</t>
  </si>
  <si>
    <t>rebaz</t>
  </si>
  <si>
    <t>0750 115 3777</t>
  </si>
  <si>
    <t>Darbaz Reality</t>
  </si>
  <si>
    <t xml:space="preserve">dari realestate </t>
  </si>
  <si>
    <t>0771 347 7775 - 0771 3477776</t>
  </si>
  <si>
    <t>darya mulk realestate</t>
  </si>
  <si>
    <t>hawber</t>
  </si>
  <si>
    <t>0770 8177919</t>
  </si>
  <si>
    <t>dawakar realestate</t>
  </si>
  <si>
    <t>0750145 4008</t>
  </si>
  <si>
    <t>dawrwazay kornish</t>
  </si>
  <si>
    <t>zahir</t>
  </si>
  <si>
    <t>0964 750 483 2752</t>
  </si>
  <si>
    <t>diamond</t>
  </si>
  <si>
    <t>suhaib marketing - sirwan CEO</t>
  </si>
  <si>
    <t>0750 5098000</t>
  </si>
  <si>
    <t>diamond castle</t>
  </si>
  <si>
    <t>0750 5750012</t>
  </si>
  <si>
    <t>Diamond Real Estate</t>
  </si>
  <si>
    <t xml:space="preserve">Dila Real Estate </t>
  </si>
  <si>
    <t>Dildar Xoshnaw Real Estate</t>
  </si>
  <si>
    <t>Dldar Khoshnaw Real Estate</t>
  </si>
  <si>
    <t>Dlshad Bradosty Real estate</t>
  </si>
  <si>
    <t>domus</t>
  </si>
  <si>
    <t>saiwan CEO</t>
  </si>
  <si>
    <t>0750 2120212</t>
  </si>
  <si>
    <t>Dream Life Real Estate</t>
  </si>
  <si>
    <t>؟</t>
  </si>
  <si>
    <t>dream tower</t>
  </si>
  <si>
    <t>badrxan CEO</t>
  </si>
  <si>
    <t>0750 9005000</t>
  </si>
  <si>
    <t>duplex dhok realestate</t>
  </si>
  <si>
    <t>Duwan Real Estate</t>
  </si>
  <si>
    <t>964 770 128 5146</t>
  </si>
  <si>
    <t>Dwarozh Real Estate</t>
  </si>
  <si>
    <t>dyar sa7eb</t>
  </si>
  <si>
    <t>0751 4411123</t>
  </si>
  <si>
    <t>ebrahem muhsin realestate</t>
  </si>
  <si>
    <t>0750 7777215</t>
  </si>
  <si>
    <t>Ekbun Real Estate</t>
  </si>
  <si>
    <t>el platinum realestate</t>
  </si>
  <si>
    <t>ibrahem</t>
  </si>
  <si>
    <t>0750664 9444</t>
  </si>
  <si>
    <t>Ella Real Estate</t>
  </si>
  <si>
    <t>emna realestate kwait</t>
  </si>
  <si>
    <t>peshraw</t>
  </si>
  <si>
    <t>0750 4548298</t>
  </si>
  <si>
    <t>erbil real estate</t>
  </si>
  <si>
    <t>ebrahim</t>
  </si>
  <si>
    <t>0750 4490371</t>
  </si>
  <si>
    <t>ever land realestate</t>
  </si>
  <si>
    <t>0964 751 410 7585</t>
  </si>
  <si>
    <t>eyad jaf realestate</t>
  </si>
  <si>
    <t>faraidun shriki amwal</t>
  </si>
  <si>
    <t>faraidun</t>
  </si>
  <si>
    <t>0750 4458367</t>
  </si>
  <si>
    <t>farhad tahir realestate</t>
  </si>
  <si>
    <t>0750 3164192</t>
  </si>
  <si>
    <t>Farman Real Estate</t>
  </si>
  <si>
    <t>0750 473 2928</t>
  </si>
  <si>
    <t>fast aqar realestate App duhok</t>
  </si>
  <si>
    <t>laween doski mudir</t>
  </si>
  <si>
    <t>0750 5883833</t>
  </si>
  <si>
    <t>for life realestate</t>
  </si>
  <si>
    <t>0750 6657555</t>
  </si>
  <si>
    <t>Future Drteam Real Estate</t>
  </si>
  <si>
    <t>Ganjo Real Estate</t>
  </si>
  <si>
    <t>gara realestate slemani</t>
  </si>
  <si>
    <t>0770 8122424</t>
  </si>
  <si>
    <t>ghazi mirani</t>
  </si>
  <si>
    <t>safin</t>
  </si>
  <si>
    <t>0750 9959697</t>
  </si>
  <si>
    <t>golden mountain</t>
  </si>
  <si>
    <t>hemn</t>
  </si>
  <si>
    <t>0750 9861005</t>
  </si>
  <si>
    <t>handren</t>
  </si>
  <si>
    <t>golden planet</t>
  </si>
  <si>
    <t>yusf</t>
  </si>
  <si>
    <t>0750 9995399</t>
  </si>
  <si>
    <t>0964 750 277 3332</t>
  </si>
  <si>
    <t>Golden Planet Real Estate</t>
  </si>
  <si>
    <t>Golden Properties Real Estate</t>
  </si>
  <si>
    <t>Goran Real Estate</t>
  </si>
  <si>
    <t>green address</t>
  </si>
  <si>
    <t>0750 4445678</t>
  </si>
  <si>
    <t>green ball slemani realestate</t>
  </si>
  <si>
    <t>green dalta realestate</t>
  </si>
  <si>
    <t>Fryad</t>
  </si>
  <si>
    <t>0964 772 445 0132</t>
  </si>
  <si>
    <t>Gulalai Shar Real Estate</t>
  </si>
  <si>
    <t>Gulnas Real Estate</t>
  </si>
  <si>
    <t>Gwlalay Shar Real Estate</t>
  </si>
  <si>
    <t xml:space="preserve">hadanrealestate@yahoo.com </t>
  </si>
  <si>
    <t>hadan realestate</t>
  </si>
  <si>
    <t>mustafa CEO</t>
  </si>
  <si>
    <t>0750 7578700</t>
  </si>
  <si>
    <t>haidar realestate IQ</t>
  </si>
  <si>
    <t>haji abdulsalam realestate</t>
  </si>
  <si>
    <t>Haji Abdulsalam</t>
  </si>
  <si>
    <t>0750 444 7992</t>
  </si>
  <si>
    <t>Haji Ahmed Real Estate</t>
  </si>
  <si>
    <t>haji ahmed realestate</t>
  </si>
  <si>
    <t>0750 5855330</t>
  </si>
  <si>
    <t>Haji Aziz Real Estate</t>
  </si>
  <si>
    <t>haji aziz realestate</t>
  </si>
  <si>
    <t>aram</t>
  </si>
  <si>
    <t>0750 4438863</t>
  </si>
  <si>
    <t>haji hussen</t>
  </si>
  <si>
    <t>muhamad</t>
  </si>
  <si>
    <t>0750 4514338</t>
  </si>
  <si>
    <t>Haji Hussin Real Estate</t>
  </si>
  <si>
    <t>haji pusho realestate</t>
  </si>
  <si>
    <t>hawre</t>
  </si>
  <si>
    <t>0750 4453941</t>
  </si>
  <si>
    <t>Haji Rizgar Real Estate</t>
  </si>
  <si>
    <t>haji rzgar realestate</t>
  </si>
  <si>
    <t>0750 461 2582</t>
  </si>
  <si>
    <t>haji salam - havalan</t>
  </si>
  <si>
    <t>haji saman realestate</t>
  </si>
  <si>
    <t>fryad</t>
  </si>
  <si>
    <t>0751 4886666</t>
  </si>
  <si>
    <t>haji wrya realestate</t>
  </si>
  <si>
    <t>sirwan</t>
  </si>
  <si>
    <t>0750 4411212-07505003000</t>
  </si>
  <si>
    <t>haji yasen realestate</t>
  </si>
  <si>
    <t>yasin</t>
  </si>
  <si>
    <t>0750 4475626</t>
  </si>
  <si>
    <t>hakim xailani</t>
  </si>
  <si>
    <t>hakim</t>
  </si>
  <si>
    <t>0964 771 741 3311</t>
  </si>
  <si>
    <t>hamat realestate</t>
  </si>
  <si>
    <t>ahmed</t>
  </si>
  <si>
    <t>0780 1922220</t>
  </si>
  <si>
    <t>hamilton</t>
  </si>
  <si>
    <t>0750 1007711</t>
  </si>
  <si>
    <t>Hana Syan Real Estate</t>
  </si>
  <si>
    <t>hangawi dahatu realestate</t>
  </si>
  <si>
    <t>0751 4336162</t>
  </si>
  <si>
    <t>Harez Sofi Real Estate</t>
  </si>
  <si>
    <t>964 7700284646</t>
  </si>
  <si>
    <t>Harir w Batas Real Estate</t>
  </si>
  <si>
    <t>hasko realestate</t>
  </si>
  <si>
    <t>Hawkar Real Estate</t>
  </si>
  <si>
    <t>Hawkesha Real Estate</t>
  </si>
  <si>
    <t>0751 424 1408</t>
  </si>
  <si>
    <t xml:space="preserve">Hawraa Baghdad </t>
  </si>
  <si>
    <t>Hedi Sahdi</t>
  </si>
  <si>
    <t>hemay wlat</t>
  </si>
  <si>
    <t>مەبەست</t>
  </si>
  <si>
    <t>0750 9930607</t>
  </si>
  <si>
    <t>Hemn Hiwa Real Estate</t>
  </si>
  <si>
    <t>Hemn Real Estate</t>
  </si>
  <si>
    <t>hemn tahir realestate</t>
  </si>
  <si>
    <t>hersh fars realestate</t>
  </si>
  <si>
    <t>0750 2566000</t>
  </si>
  <si>
    <t>hersh husen</t>
  </si>
  <si>
    <t>0750 9005223</t>
  </si>
  <si>
    <t>hewa realestate</t>
  </si>
  <si>
    <t>hewa</t>
  </si>
  <si>
    <t>0751 4600827</t>
  </si>
  <si>
    <t>hills realestate</t>
  </si>
  <si>
    <t>زرنگ</t>
  </si>
  <si>
    <t>0750 2215050</t>
  </si>
  <si>
    <t>Hils Property</t>
  </si>
  <si>
    <t xml:space="preserve">Home Safety </t>
  </si>
  <si>
    <t>Homele Search For Happiness</t>
  </si>
  <si>
    <t xml:space="preserve">رسن بدر الدين </t>
  </si>
  <si>
    <t xml:space="preserve">اربيل - زانياري تاور </t>
  </si>
  <si>
    <t>honya</t>
  </si>
  <si>
    <t>0750 4457303</t>
  </si>
  <si>
    <t>Honya Real Estate</t>
  </si>
  <si>
    <t xml:space="preserve">Honya Real Estate </t>
  </si>
  <si>
    <t xml:space="preserve">bezhan.najat@honya.com </t>
  </si>
  <si>
    <t>House Land Real Estate</t>
  </si>
  <si>
    <t>hozyar realestate</t>
  </si>
  <si>
    <t>zhyar</t>
  </si>
  <si>
    <t>0964 770 148 7400</t>
  </si>
  <si>
    <t>infinity property</t>
  </si>
  <si>
    <t>0750 4446944</t>
  </si>
  <si>
    <t>innovation realestate</t>
  </si>
  <si>
    <t>wisam</t>
  </si>
  <si>
    <t>0751 7310802</t>
  </si>
  <si>
    <t>ismail omer real estate</t>
  </si>
  <si>
    <t>Jamal Haji Bakir Real Estate</t>
  </si>
  <si>
    <t>Jamana Real Estate</t>
  </si>
  <si>
    <t>jamana realestate</t>
  </si>
  <si>
    <t>0964 750 222 9599</t>
  </si>
  <si>
    <t>Janna Alhussain City Homele Projects IRCCO Co. Arabic</t>
  </si>
  <si>
    <t>0964 770 559 9935</t>
  </si>
  <si>
    <t>jawhara realestate anbar</t>
  </si>
  <si>
    <t>Jundyan Real Estate</t>
  </si>
  <si>
    <t>K7 Real Estate</t>
  </si>
  <si>
    <t xml:space="preserve">Kalav عقارات </t>
  </si>
  <si>
    <t>kalavcompany@gmail.com</t>
  </si>
  <si>
    <t>kamaran real estate</t>
  </si>
  <si>
    <t>kamaran</t>
  </si>
  <si>
    <t>0751 043 5259</t>
  </si>
  <si>
    <t>0750 4463838</t>
  </si>
  <si>
    <t>khaki hawler</t>
  </si>
  <si>
    <t>sherwan</t>
  </si>
  <si>
    <t>0750 9301111</t>
  </si>
  <si>
    <t xml:space="preserve">Khaki Hawler Real Estate </t>
  </si>
  <si>
    <t xml:space="preserve">info@khakihawler.com </t>
  </si>
  <si>
    <t>Khaki Rwanduz Real Estate</t>
  </si>
  <si>
    <t>khanoo</t>
  </si>
  <si>
    <t>wats app</t>
  </si>
  <si>
    <t>Khanoo - خانوو</t>
  </si>
  <si>
    <t xml:space="preserve">بروا </t>
  </si>
  <si>
    <t xml:space="preserve">parwa@khanno.com </t>
  </si>
  <si>
    <t>Khatab Real Estate</t>
  </si>
  <si>
    <t>KHD</t>
  </si>
  <si>
    <t>xabat</t>
  </si>
  <si>
    <t>0750 4459104</t>
  </si>
  <si>
    <t>klely altuny</t>
  </si>
  <si>
    <t>tarq</t>
  </si>
  <si>
    <t>0750 8666600</t>
  </si>
  <si>
    <t xml:space="preserve">Kodo Real Estate </t>
  </si>
  <si>
    <t xml:space="preserve">kodorealstate@gmail.com </t>
  </si>
  <si>
    <t xml:space="preserve">اربيل - القرية الايطالية 1 </t>
  </si>
  <si>
    <t>kodo realestate</t>
  </si>
  <si>
    <t>kodo</t>
  </si>
  <si>
    <t>koohstan realestate</t>
  </si>
  <si>
    <t>mahr arabic</t>
  </si>
  <si>
    <t>0750445 1783</t>
  </si>
  <si>
    <t>Korean Village Real Estate</t>
  </si>
  <si>
    <t>Koshki Hawler Real Estate</t>
  </si>
  <si>
    <t>koshki salahadin</t>
  </si>
  <si>
    <t>Koshki Zinwe Real Estate</t>
  </si>
  <si>
    <t>Kovan Haji Real Estate</t>
  </si>
  <si>
    <t>Kowar Real Estate</t>
  </si>
  <si>
    <t>Kryar Real Estate</t>
  </si>
  <si>
    <t>kryar realestate</t>
  </si>
  <si>
    <t>0750 4286119</t>
  </si>
  <si>
    <t>Kurd Zhin Real Estate</t>
  </si>
  <si>
    <t>kurdistan realestate farmanbaran</t>
  </si>
  <si>
    <t>0750 211 1181</t>
  </si>
  <si>
    <t>Lahaiy Company Real Estate</t>
  </si>
  <si>
    <t>Sarmad</t>
  </si>
  <si>
    <t>0964 750 430 8034</t>
  </si>
  <si>
    <t>Lahay Real Estate</t>
  </si>
  <si>
    <t>lahaye</t>
  </si>
  <si>
    <t>sa3ed</t>
  </si>
  <si>
    <t>0750 4461998</t>
  </si>
  <si>
    <t>Lata DOMUS Real Estate</t>
  </si>
  <si>
    <t>leidn realestate</t>
  </si>
  <si>
    <t>0750 5068000</t>
  </si>
  <si>
    <t>lemar</t>
  </si>
  <si>
    <t>regr</t>
  </si>
  <si>
    <t>0751 2220000</t>
  </si>
  <si>
    <t>Limar Real Estate</t>
  </si>
  <si>
    <t>Mahmood nanakali real estate</t>
  </si>
  <si>
    <t>malak zangana realestate slemani</t>
  </si>
  <si>
    <t>pary xan</t>
  </si>
  <si>
    <t>0770 563 0001</t>
  </si>
  <si>
    <t>Mali Dnya Real Estate</t>
  </si>
  <si>
    <t>0773 156 8787</t>
  </si>
  <si>
    <t>sahand</t>
  </si>
  <si>
    <t>malu mulk</t>
  </si>
  <si>
    <t>ahmed - mhamad sa7eb</t>
  </si>
  <si>
    <t>0750 9331133</t>
  </si>
  <si>
    <t>Malumulk Real Estate</t>
  </si>
  <si>
    <t>Mam Omer Real Estate</t>
  </si>
  <si>
    <t>Mamand Real Estate</t>
  </si>
  <si>
    <t>Manar Real Estate - naznaz</t>
  </si>
  <si>
    <t>manar realestate</t>
  </si>
  <si>
    <t>chyayii</t>
  </si>
  <si>
    <t>manpower erbil</t>
  </si>
  <si>
    <t>marina proj</t>
  </si>
  <si>
    <t>mhamad fuad realestate</t>
  </si>
  <si>
    <t>0750 4611544</t>
  </si>
  <si>
    <t>milion house realestate</t>
  </si>
  <si>
    <t>omer</t>
  </si>
  <si>
    <t>miran real estate</t>
  </si>
  <si>
    <t>miran sa7eb</t>
  </si>
  <si>
    <t>0750 4459704</t>
  </si>
  <si>
    <t>Miran Real Estate</t>
  </si>
  <si>
    <t xml:space="preserve">Modern Investment Company </t>
  </si>
  <si>
    <t xml:space="preserve">جوان صالح </t>
  </si>
  <si>
    <t xml:space="preserve">moderninvestment2021@gmail.com </t>
  </si>
  <si>
    <t>اربيل - الايطالية 1</t>
  </si>
  <si>
    <t xml:space="preserve">Modon </t>
  </si>
  <si>
    <t>mountain home</t>
  </si>
  <si>
    <t>shwan</t>
  </si>
  <si>
    <t>0750 4458993</t>
  </si>
  <si>
    <t>Mountian Home Real Estate</t>
  </si>
  <si>
    <t>Huda-ali CEO</t>
  </si>
  <si>
    <t>0750 7966666</t>
  </si>
  <si>
    <t>MRC Real estate</t>
  </si>
  <si>
    <t>0750 2721000</t>
  </si>
  <si>
    <t>mas3ud</t>
  </si>
  <si>
    <t>Muhammed Abdullatif Real Estate</t>
  </si>
  <si>
    <t>mulkdar realestate</t>
  </si>
  <si>
    <t>mulki zerin realestate</t>
  </si>
  <si>
    <t>swara CEO</t>
  </si>
  <si>
    <t>751 4207888</t>
  </si>
  <si>
    <t>mustafa halbus realestate</t>
  </si>
  <si>
    <t>mustafa realestate anbar</t>
  </si>
  <si>
    <t>mustaqbal realestate</t>
  </si>
  <si>
    <t>0782 753 4618</t>
  </si>
  <si>
    <t>nabaz realestate</t>
  </si>
  <si>
    <t>Nabaz Xoshnaw Real Estate</t>
  </si>
  <si>
    <t>najm karbala</t>
  </si>
  <si>
    <t>bashar</t>
  </si>
  <si>
    <t>0770 6333444</t>
  </si>
  <si>
    <t>Nakhla Real Estate</t>
  </si>
  <si>
    <t>nature view realestate</t>
  </si>
  <si>
    <t>964 750 554 1616</t>
  </si>
  <si>
    <t>nawzad realestate</t>
  </si>
  <si>
    <t>0750 8604444</t>
  </si>
  <si>
    <t>Nawzang Real estate</t>
  </si>
  <si>
    <t>0750 4487478</t>
  </si>
  <si>
    <t>ayub</t>
  </si>
  <si>
    <t>naxsha app</t>
  </si>
  <si>
    <t>0750 2774242</t>
  </si>
  <si>
    <t>neck realestate</t>
  </si>
  <si>
    <t>saman</t>
  </si>
  <si>
    <t>0750 4667697</t>
  </si>
  <si>
    <t>new zakho project rast</t>
  </si>
  <si>
    <t>0750 4167777</t>
  </si>
  <si>
    <t>niaz realestate</t>
  </si>
  <si>
    <t>0750 2611000</t>
  </si>
  <si>
    <t>NZ Real Estate</t>
  </si>
  <si>
    <t>omer faqe realestate</t>
  </si>
  <si>
    <t>omer faqe</t>
  </si>
  <si>
    <t>0750 4649292</t>
  </si>
  <si>
    <t>Pakiza Real Estate</t>
  </si>
  <si>
    <t>964 770 768 8000</t>
  </si>
  <si>
    <t>Fuad Muhammad</t>
  </si>
  <si>
    <t xml:space="preserve">Para Rwandzy </t>
  </si>
  <si>
    <t xml:space="preserve">futuredream5522@gmail.com </t>
  </si>
  <si>
    <t xml:space="preserve">Paya Real Estate Application </t>
  </si>
  <si>
    <t>paya realestate</t>
  </si>
  <si>
    <t>0964 750 129 7777</t>
  </si>
  <si>
    <t>penizhome realestate</t>
  </si>
  <si>
    <t>0750 1994630</t>
  </si>
  <si>
    <t>Penthouse Real Estate</t>
  </si>
  <si>
    <t>pezan realestate</t>
  </si>
  <si>
    <t>hogr</t>
  </si>
  <si>
    <t>pira baw realestate</t>
  </si>
  <si>
    <t>salim</t>
  </si>
  <si>
    <t>0964 750 449 8307</t>
  </si>
  <si>
    <t>Piramerd Real Estate</t>
  </si>
  <si>
    <t>0750 719 7199</t>
  </si>
  <si>
    <t>nawi nada</t>
  </si>
  <si>
    <t>platinum square</t>
  </si>
  <si>
    <t>رەوەند</t>
  </si>
  <si>
    <t>0750 2266222</t>
  </si>
  <si>
    <t>Premier Real Estate</t>
  </si>
  <si>
    <t>pshtiwan realestate</t>
  </si>
  <si>
    <t>pshtiwan</t>
  </si>
  <si>
    <t>0750 7744551</t>
  </si>
  <si>
    <t>Qasm Real Estate</t>
  </si>
  <si>
    <t>R-alghadeer aqarat</t>
  </si>
  <si>
    <t>ra2s al mal realestate</t>
  </si>
  <si>
    <t>sherzad</t>
  </si>
  <si>
    <t>0750 4454682</t>
  </si>
  <si>
    <t>Rabar Real Estate</t>
  </si>
  <si>
    <t xml:space="preserve">Rabar Real Estate company </t>
  </si>
  <si>
    <t xml:space="preserve">info@rabarco.com </t>
  </si>
  <si>
    <t>rabar realestate</t>
  </si>
  <si>
    <t>rabar CEO</t>
  </si>
  <si>
    <t>0750 4454998</t>
  </si>
  <si>
    <t>rabar warty</t>
  </si>
  <si>
    <t>0750 9467000</t>
  </si>
  <si>
    <t>raha real estate</t>
  </si>
  <si>
    <t>0750 4816136</t>
  </si>
  <si>
    <t>Ramlah for Real Estate Developmment</t>
  </si>
  <si>
    <t xml:space="preserve">Baghdad - yarmouk </t>
  </si>
  <si>
    <t>ranoon realestate</t>
  </si>
  <si>
    <t>harman</t>
  </si>
  <si>
    <t>Ranun Real Estate</t>
  </si>
  <si>
    <t>rastu rast realestate</t>
  </si>
  <si>
    <t>blnd CEO</t>
  </si>
  <si>
    <t>0750 4995729</t>
  </si>
  <si>
    <t>rawear</t>
  </si>
  <si>
    <t>ahmed mudir marketing</t>
  </si>
  <si>
    <t>0750 9394040</t>
  </si>
  <si>
    <t>Real Estate BKH barzy xarand</t>
  </si>
  <si>
    <t>0751 446 3000</t>
  </si>
  <si>
    <t>Realtyturkey</t>
  </si>
  <si>
    <t>Sami</t>
  </si>
  <si>
    <t>Rebin Real Estate</t>
  </si>
  <si>
    <t>?</t>
  </si>
  <si>
    <t>Regay Gulan Real Estate</t>
  </si>
  <si>
    <t>regay shaqlawa realestate</t>
  </si>
  <si>
    <t>bayar</t>
  </si>
  <si>
    <t>0750 9141411 viber</t>
  </si>
  <si>
    <t>Regay Shyaw Real Estate</t>
  </si>
  <si>
    <t xml:space="preserve">Rekan Rostam Real Estate </t>
  </si>
  <si>
    <t xml:space="preserve">rekanrostam50@gmail.com </t>
  </si>
  <si>
    <t>Rekar Real Estate</t>
  </si>
  <si>
    <t>rekar realestate</t>
  </si>
  <si>
    <t>rekar CEO</t>
  </si>
  <si>
    <t>0750 4611717</t>
  </si>
  <si>
    <t>renecias</t>
  </si>
  <si>
    <t>renas xan CEO</t>
  </si>
  <si>
    <t>0750 3403933</t>
  </si>
  <si>
    <t>Right Move Real Estate Company</t>
  </si>
  <si>
    <t>0964 751 440 0600</t>
  </si>
  <si>
    <t>Roober Real Estate</t>
  </si>
  <si>
    <t>Rovar Real Estate</t>
  </si>
  <si>
    <t>0750389 5393</t>
  </si>
  <si>
    <t>royal view realestate</t>
  </si>
  <si>
    <t>hemn mudira</t>
  </si>
  <si>
    <t>0750 7000404</t>
  </si>
  <si>
    <t>srud sa7eba</t>
  </si>
  <si>
    <t>0964 750 456 2956</t>
  </si>
  <si>
    <t>rozh atrushi realestate</t>
  </si>
  <si>
    <t>rozh</t>
  </si>
  <si>
    <t>0750 3350088</t>
  </si>
  <si>
    <t>rubaru realestate</t>
  </si>
  <si>
    <t>0750 4456280</t>
  </si>
  <si>
    <t>RZ Real Estate</t>
  </si>
  <si>
    <t>Rzgar Shwany Real Estate</t>
  </si>
  <si>
    <t>0750 3060303</t>
  </si>
  <si>
    <t>saifi realestate</t>
  </si>
  <si>
    <t>saifi</t>
  </si>
  <si>
    <t>0750 4201234</t>
  </si>
  <si>
    <t>saka realestate</t>
  </si>
  <si>
    <t>raman</t>
  </si>
  <si>
    <t>0751 1110222</t>
  </si>
  <si>
    <t>Sakan Real Estate</t>
  </si>
  <si>
    <t>0750 900 0050</t>
  </si>
  <si>
    <t>halinagrt</t>
  </si>
  <si>
    <t>salih dhoki realestate</t>
  </si>
  <si>
    <t>Salim Hawleri Real Estate</t>
  </si>
  <si>
    <t xml:space="preserve">Salm Hawler Real Estate </t>
  </si>
  <si>
    <t xml:space="preserve">salimhawliry6@gmail.com </t>
  </si>
  <si>
    <t xml:space="preserve">اربيل - 32 بارك </t>
  </si>
  <si>
    <t>salm hawlery realestate</t>
  </si>
  <si>
    <t>salwan realestate</t>
  </si>
  <si>
    <t>0750 1008822</t>
  </si>
  <si>
    <t>Sam Real Estate</t>
  </si>
  <si>
    <t>sanad realestate</t>
  </si>
  <si>
    <t>hangaw</t>
  </si>
  <si>
    <t>Sangar Real Estate</t>
  </si>
  <si>
    <t>Sar Rast Real Estate</t>
  </si>
  <si>
    <t>sara realestate (zhyarkoye)</t>
  </si>
  <si>
    <t>sara</t>
  </si>
  <si>
    <t>0751 3002622</t>
  </si>
  <si>
    <t>sarbaz realestate</t>
  </si>
  <si>
    <t>hawkar</t>
  </si>
  <si>
    <t>0750 4456261</t>
  </si>
  <si>
    <t>Sardar Real Estate</t>
  </si>
  <si>
    <t>hersh</t>
  </si>
  <si>
    <t>0750 2560000</t>
  </si>
  <si>
    <t>Sarhang Real Estate</t>
  </si>
  <si>
    <t>Sari Safeen Real Estate</t>
  </si>
  <si>
    <t>sarmad realestate</t>
  </si>
  <si>
    <t>sarmad</t>
  </si>
  <si>
    <t>0750 4023203</t>
  </si>
  <si>
    <t>sarrast realestate</t>
  </si>
  <si>
    <t>0750 4785056</t>
  </si>
  <si>
    <t>sartip realestate</t>
  </si>
  <si>
    <t>0750 4452039</t>
  </si>
  <si>
    <t>Sender Real Estate</t>
  </si>
  <si>
    <t>sender realestate</t>
  </si>
  <si>
    <t>emad gardi</t>
  </si>
  <si>
    <t>Shakr Ali Real Estate</t>
  </si>
  <si>
    <t>Shallaw Merani Real Estate</t>
  </si>
  <si>
    <t>Shallaw Real Estate</t>
  </si>
  <si>
    <t>shams al iraq</t>
  </si>
  <si>
    <t>salam</t>
  </si>
  <si>
    <t>0771 0585697</t>
  </si>
  <si>
    <t>shaner realestate</t>
  </si>
  <si>
    <t>sharaza realestate</t>
  </si>
  <si>
    <t>shari shad slemani proj</t>
  </si>
  <si>
    <t>0770201 1000</t>
  </si>
  <si>
    <t>Shariy Bakhtawary Real Estate</t>
  </si>
  <si>
    <t>Sharok Real Estate</t>
  </si>
  <si>
    <t>shary shko realestate</t>
  </si>
  <si>
    <t>sharif</t>
  </si>
  <si>
    <t>0750 3838028</t>
  </si>
  <si>
    <t>shary slemani realestate</t>
  </si>
  <si>
    <t>0770 460 1010</t>
  </si>
  <si>
    <t>shay slemani realestate</t>
  </si>
  <si>
    <t>halko</t>
  </si>
  <si>
    <t>0770 5005050</t>
  </si>
  <si>
    <t>sheld realestate</t>
  </si>
  <si>
    <t>haji mahdi</t>
  </si>
  <si>
    <t>0770 1528112</t>
  </si>
  <si>
    <t>Sherzad Real Estate</t>
  </si>
  <si>
    <t>sherzad realestate</t>
  </si>
  <si>
    <t>0964 750 551 2222</t>
  </si>
  <si>
    <t>shimal realestate</t>
  </si>
  <si>
    <t>halwest</t>
  </si>
  <si>
    <t>0750 2771818</t>
  </si>
  <si>
    <t>shkar realestate</t>
  </si>
  <si>
    <t>shkar</t>
  </si>
  <si>
    <t>0750 4453053</t>
  </si>
  <si>
    <t>shkoy sha realestate</t>
  </si>
  <si>
    <t>0750 5558181</t>
  </si>
  <si>
    <t>shkoy zawy realestate</t>
  </si>
  <si>
    <t>750 1038585</t>
  </si>
  <si>
    <t>shlova realestate</t>
  </si>
  <si>
    <t>Silver House Real Estate</t>
  </si>
  <si>
    <t>Silver Key Real Estate</t>
  </si>
  <si>
    <t>sinan realestate</t>
  </si>
  <si>
    <t>sinan</t>
  </si>
  <si>
    <t>0750 2528252</t>
  </si>
  <si>
    <t>sivar realestate</t>
  </si>
  <si>
    <t>0750 1855481</t>
  </si>
  <si>
    <t>sky villa realestate</t>
  </si>
  <si>
    <t>0750 8309030</t>
  </si>
  <si>
    <t>Smart Real Estate Company</t>
  </si>
  <si>
    <t>0750 188 6800</t>
  </si>
  <si>
    <t>smart realestate</t>
  </si>
  <si>
    <t>0750 1009411</t>
  </si>
  <si>
    <t xml:space="preserve">Smart Space Company </t>
  </si>
  <si>
    <t xml:space="preserve">info@smartspace.com </t>
  </si>
  <si>
    <t xml:space="preserve">اربيل - زانكو </t>
  </si>
  <si>
    <t>smsar realestate</t>
  </si>
  <si>
    <t>0750 2460006</t>
  </si>
  <si>
    <t>special legend realestate</t>
  </si>
  <si>
    <t>kazm,rawa</t>
  </si>
  <si>
    <t>0750 9002050</t>
  </si>
  <si>
    <t>strong wolf realestate</t>
  </si>
  <si>
    <t>wrya</t>
  </si>
  <si>
    <t>0750 5137555</t>
  </si>
  <si>
    <t>Suhrab Real Estate</t>
  </si>
  <si>
    <t>suli realestate (sterling realestate</t>
  </si>
  <si>
    <t>akar</t>
  </si>
  <si>
    <t>0770 207 0404</t>
  </si>
  <si>
    <t>Taimur Xoshnaw</t>
  </si>
  <si>
    <t>taj al emara realestate</t>
  </si>
  <si>
    <t>ari CEO</t>
  </si>
  <si>
    <t>0751 8009920</t>
  </si>
  <si>
    <t>taj mustaqbal realestate</t>
  </si>
  <si>
    <t>0750655 2444</t>
  </si>
  <si>
    <t>tak mulkrealestate</t>
  </si>
  <si>
    <t>mhamad mudir</t>
  </si>
  <si>
    <t>0750 4719779</t>
  </si>
  <si>
    <t>Taman Real Estate</t>
  </si>
  <si>
    <t>taman realestate</t>
  </si>
  <si>
    <t>0750 4828879</t>
  </si>
  <si>
    <t>tamlik realestate</t>
  </si>
  <si>
    <t>saif</t>
  </si>
  <si>
    <t>0971 50 570 6356</t>
  </si>
  <si>
    <t xml:space="preserve">Tanj Group </t>
  </si>
  <si>
    <t>tapo realestate</t>
  </si>
  <si>
    <t>muhammed</t>
  </si>
  <si>
    <t>0750 9009591</t>
  </si>
  <si>
    <t>target zone realestate</t>
  </si>
  <si>
    <t>7abed - yusf</t>
  </si>
  <si>
    <t>0750 2362220</t>
  </si>
  <si>
    <t>Tazhin Manar Real Estate</t>
  </si>
  <si>
    <t>The address duhok</t>
  </si>
  <si>
    <t>hozan badini</t>
  </si>
  <si>
    <t>Thrlyos Real Estate</t>
  </si>
  <si>
    <t>tishki zerin realestate</t>
  </si>
  <si>
    <t>0751 4452031</t>
  </si>
  <si>
    <t>Tishky Zerrin Company</t>
  </si>
  <si>
    <t>Tomar Real Estate</t>
  </si>
  <si>
    <t>town square realestate</t>
  </si>
  <si>
    <t>0751 6662222</t>
  </si>
  <si>
    <t>twana realestate</t>
  </si>
  <si>
    <t>upland realestate</t>
  </si>
  <si>
    <t>abdulmalik</t>
  </si>
  <si>
    <t>0750 9775577</t>
  </si>
  <si>
    <t xml:space="preserve">Vartur Real Estate  </t>
  </si>
  <si>
    <t>Vidra Comapany For Real Estate</t>
  </si>
  <si>
    <t>falah</t>
  </si>
  <si>
    <t>0964 750 811 2002</t>
  </si>
  <si>
    <t>View Land Real Estate</t>
  </si>
  <si>
    <t xml:space="preserve">Villa Real Estate </t>
  </si>
  <si>
    <t xml:space="preserve">Mohamed </t>
  </si>
  <si>
    <t>mohamed@villagrupemlak.com</t>
  </si>
  <si>
    <t xml:space="preserve">Istanbul </t>
  </si>
  <si>
    <t>Vip Class</t>
  </si>
  <si>
    <t>vip realestate</t>
  </si>
  <si>
    <t>vogue realestate</t>
  </si>
  <si>
    <t>0750 900 5004</t>
  </si>
  <si>
    <t>Walid Khoshnaw Real Estate</t>
  </si>
  <si>
    <t>work book realestate</t>
  </si>
  <si>
    <t>0750 555 1718</t>
  </si>
  <si>
    <t>worms realestate</t>
  </si>
  <si>
    <t>wow tower</t>
  </si>
  <si>
    <t>0750 7343636</t>
  </si>
  <si>
    <t>xali smaquli</t>
  </si>
  <si>
    <t>mamand</t>
  </si>
  <si>
    <t>0964 750 705 4045</t>
  </si>
  <si>
    <t>xera mulk realestate bashur city</t>
  </si>
  <si>
    <t>miran</t>
  </si>
  <si>
    <t>0770 1500559</t>
  </si>
  <si>
    <t>yakgr realestate</t>
  </si>
  <si>
    <t>0751 4946566</t>
  </si>
  <si>
    <t>Yarzhin Real Estate</t>
  </si>
  <si>
    <t>zerin realestate</t>
  </si>
  <si>
    <t>0750 7375553</t>
  </si>
  <si>
    <t>zest realestate</t>
  </si>
  <si>
    <t>0750 6322006</t>
  </si>
  <si>
    <t>Zevar Shaqlawa Real Estate</t>
  </si>
  <si>
    <t>0750 919 2222</t>
  </si>
  <si>
    <t>zevar</t>
  </si>
  <si>
    <t>ZFM realestate</t>
  </si>
  <si>
    <t>zaid</t>
  </si>
  <si>
    <t>0750 7008700</t>
  </si>
  <si>
    <t>zhyar koye realestate</t>
  </si>
  <si>
    <t>0750 4492751</t>
  </si>
  <si>
    <t>zhyar realestate slemani</t>
  </si>
  <si>
    <t>0772 336 4222</t>
  </si>
  <si>
    <t>zuber realestate</t>
  </si>
  <si>
    <t>0750 7977477</t>
  </si>
  <si>
    <t xml:space="preserve">اساور العقارية </t>
  </si>
  <si>
    <t xml:space="preserve">الوليد بن زاهر </t>
  </si>
  <si>
    <t xml:space="preserve">alwaleed@asawer.com </t>
  </si>
  <si>
    <t xml:space="preserve">عمان </t>
  </si>
  <si>
    <t xml:space="preserve">الآغا للعقارات </t>
  </si>
  <si>
    <t xml:space="preserve">النجاح للعقارات  والاستثمار </t>
  </si>
  <si>
    <t xml:space="preserve">احمد ابراهيم </t>
  </si>
  <si>
    <t>info@alnajah.com.tr</t>
  </si>
  <si>
    <t xml:space="preserve">تبيان للعقاراتت </t>
  </si>
  <si>
    <t xml:space="preserve">امير اللواتي </t>
  </si>
  <si>
    <t xml:space="preserve">ameer.allawati@tibiaan.com </t>
  </si>
  <si>
    <t xml:space="preserve">تمكين للتطوير العقاري والمقاولات </t>
  </si>
  <si>
    <t xml:space="preserve">صديق الخشاب </t>
  </si>
  <si>
    <t xml:space="preserve">ceo@tamkeen-iq.com </t>
  </si>
  <si>
    <t xml:space="preserve">اربيل - اتكونز </t>
  </si>
  <si>
    <t xml:space="preserve">روبر للعقارات </t>
  </si>
  <si>
    <t xml:space="preserve">سمسار للخدمات العقارية </t>
  </si>
  <si>
    <t xml:space="preserve">omer@smsarestate.com </t>
  </si>
  <si>
    <t xml:space="preserve">شبكة عقارات اربيل </t>
  </si>
  <si>
    <t xml:space="preserve">ابراهيم </t>
  </si>
  <si>
    <t xml:space="preserve">info@erbilrealestate.net </t>
  </si>
  <si>
    <t xml:space="preserve">شركة ئارت تاوار للمقاولات العامة </t>
  </si>
  <si>
    <t xml:space="preserve">arttowers00@gmail.com </t>
  </si>
  <si>
    <t>اربيل - شارع 120</t>
  </si>
  <si>
    <t xml:space="preserve">شركة احمد للخدمات العقارية </t>
  </si>
  <si>
    <t xml:space="preserve">ahmadhajifaruq@gmail.com </t>
  </si>
  <si>
    <t xml:space="preserve">شركة ارواء العقارية </t>
  </si>
  <si>
    <t xml:space="preserve">erwaarealestate@gmail.com </t>
  </si>
  <si>
    <t xml:space="preserve">شركة افينيو العقارية </t>
  </si>
  <si>
    <t>شركة الاسكان للأستثمار والتطوير العقاري</t>
  </si>
  <si>
    <t xml:space="preserve">عمر يحيى </t>
  </si>
  <si>
    <t xml:space="preserve">eskancoiraq@yahoo.com </t>
  </si>
  <si>
    <t xml:space="preserve">شركة اليقين للعقارات والاستشارات العامة </t>
  </si>
  <si>
    <t xml:space="preserve">حسام </t>
  </si>
  <si>
    <t xml:space="preserve">شركة بوابة المستقبل للاستشارات العقارية </t>
  </si>
  <si>
    <t>mohammed.omar@futuregate.live</t>
  </si>
  <si>
    <t xml:space="preserve">شركة بيرميرد للعقارات </t>
  </si>
  <si>
    <t xml:space="preserve">شركة بيره ميرد للعقارات </t>
  </si>
  <si>
    <t xml:space="preserve">ابو عمر </t>
  </si>
  <si>
    <t xml:space="preserve">شركة بيزان للأستثمار والتطوير العقاري </t>
  </si>
  <si>
    <t>دانا محمد</t>
  </si>
  <si>
    <t xml:space="preserve">pezancompany@gmail.com </t>
  </si>
  <si>
    <t xml:space="preserve">شركة تاج ايمارا للأستثمار العقاري </t>
  </si>
  <si>
    <t xml:space="preserve">احمد محمد </t>
  </si>
  <si>
    <t xml:space="preserve">info@tajemara.com </t>
  </si>
  <si>
    <t xml:space="preserve">اربيل - فيتال </t>
  </si>
  <si>
    <t xml:space="preserve">البصرة - الجزائر </t>
  </si>
  <si>
    <t xml:space="preserve">شركة خاكي هولير للعقارات </t>
  </si>
  <si>
    <t>info@khakihawler.com</t>
  </si>
  <si>
    <t xml:space="preserve">شركة دريم تاور للعقارات </t>
  </si>
  <si>
    <t xml:space="preserve">بدرخان رمضان </t>
  </si>
  <si>
    <t xml:space="preserve">dreamtower905@gmail.com </t>
  </si>
  <si>
    <t>اربيل - قرية ارام 1</t>
  </si>
  <si>
    <t xml:space="preserve">شركة رملة للتطوير العقاري </t>
  </si>
  <si>
    <t xml:space="preserve">شركة زيار كويي </t>
  </si>
  <si>
    <t xml:space="preserve">اربيل - شارع مجدي مول </t>
  </si>
  <si>
    <t>شركة شوبا للعقارات</t>
  </si>
  <si>
    <t>971 58 853 2620</t>
  </si>
  <si>
    <t>heldin827@gmail.com</t>
  </si>
  <si>
    <t xml:space="preserve">شركة عقارات اموال للخدمات والاستشارات العقارية </t>
  </si>
  <si>
    <t xml:space="preserve">امين ازاد </t>
  </si>
  <si>
    <t xml:space="preserve">amwalaqarat@gmail.com </t>
  </si>
  <si>
    <t xml:space="preserve">شركة عقارات حاجي احمد </t>
  </si>
  <si>
    <t xml:space="preserve">com.haji.ahmed@gmail.com </t>
  </si>
  <si>
    <t xml:space="preserve">شركة كولوان للأستثمار العقاري </t>
  </si>
  <si>
    <t xml:space="preserve">توانا </t>
  </si>
  <si>
    <t xml:space="preserve">diplomatisafiran@gmail.com </t>
  </si>
  <si>
    <t xml:space="preserve">بغداد - الدورة </t>
  </si>
  <si>
    <t xml:space="preserve">عقارات اربيل لايف </t>
  </si>
  <si>
    <t>عقارات الدقه ‌realestate</t>
  </si>
  <si>
    <t>0751 199 4780</t>
  </si>
  <si>
    <t xml:space="preserve">عقارات الشارقة </t>
  </si>
  <si>
    <t xml:space="preserve">عقارات املاك </t>
  </si>
  <si>
    <t xml:space="preserve">رهيل يوسف </t>
  </si>
  <si>
    <t xml:space="preserve">عقارات باغي جومان </t>
  </si>
  <si>
    <t xml:space="preserve">عقارات باغي خوشناوه تى </t>
  </si>
  <si>
    <t xml:space="preserve">علي زياد </t>
  </si>
  <si>
    <t xml:space="preserve">info@baghykhoshnawaty.com </t>
  </si>
  <si>
    <t xml:space="preserve">عقارات باغي سي و دوو بارك </t>
  </si>
  <si>
    <t xml:space="preserve">محمد مامه </t>
  </si>
  <si>
    <t xml:space="preserve">عقارات باغي شقلاوة </t>
  </si>
  <si>
    <t xml:space="preserve">mahmood.ahmed@baghyshaqlawa.net </t>
  </si>
  <si>
    <t>عقارات بختيار وه لاشي</t>
  </si>
  <si>
    <t xml:space="preserve">bwalashy@yahoo.com </t>
  </si>
  <si>
    <t xml:space="preserve">عقارات بزنز دي </t>
  </si>
  <si>
    <t xml:space="preserve">رضوان </t>
  </si>
  <si>
    <t xml:space="preserve">عقارات به لاف </t>
  </si>
  <si>
    <t>مهندس سه ر هه د</t>
  </si>
  <si>
    <t xml:space="preserve">info@ballavrealestate.com </t>
  </si>
  <si>
    <t xml:space="preserve">عقارات توانين </t>
  </si>
  <si>
    <t xml:space="preserve">حاجي مصلح </t>
  </si>
  <si>
    <t xml:space="preserve">عقارات خاكى هه ولير </t>
  </si>
  <si>
    <t xml:space="preserve">ئاشتي نه قشبه ندى </t>
  </si>
  <si>
    <t xml:space="preserve">عقارات خه باتى داهاتوو </t>
  </si>
  <si>
    <t xml:space="preserve">سرداد عزيز </t>
  </si>
  <si>
    <t xml:space="preserve">عقارات خوني داهاتوو </t>
  </si>
  <si>
    <t>khawny.dahatu@gmail.com</t>
  </si>
  <si>
    <t xml:space="preserve">عقارات دايموند كاسل </t>
  </si>
  <si>
    <t xml:space="preserve">اربيل - قرية ارام </t>
  </si>
  <si>
    <t xml:space="preserve">عقارات دريم تاور </t>
  </si>
  <si>
    <t>dreamtower051@gmail.com</t>
  </si>
  <si>
    <t>عقارات رابه ر وه رتي</t>
  </si>
  <si>
    <t xml:space="preserve">عقارات راويار </t>
  </si>
  <si>
    <t xml:space="preserve">rawiar.co@gmail.com </t>
  </si>
  <si>
    <t xml:space="preserve">عقارات ساطع </t>
  </si>
  <si>
    <t xml:space="preserve">عقارات سرتيب </t>
  </si>
  <si>
    <t xml:space="preserve">عقارات شكار </t>
  </si>
  <si>
    <t xml:space="preserve">info@shkarrealestate.com </t>
  </si>
  <si>
    <t xml:space="preserve">عقارات شمال للتجارة والاستشارات العقارية </t>
  </si>
  <si>
    <t xml:space="preserve">عقارات عجماء </t>
  </si>
  <si>
    <t xml:space="preserve">ajmaa_realestate@outlook.com </t>
  </si>
  <si>
    <t xml:space="preserve">عقارات كمال </t>
  </si>
  <si>
    <t xml:space="preserve">عقارات كولاله ى شار </t>
  </si>
  <si>
    <t xml:space="preserve">فرهاد </t>
  </si>
  <si>
    <t xml:space="preserve">عقارات لاتا دومس </t>
  </si>
  <si>
    <t xml:space="preserve">MNW Tower </t>
  </si>
  <si>
    <t xml:space="preserve">عقارات لوتكه ى هه ولير </t>
  </si>
  <si>
    <t xml:space="preserve">محمد بشتيوان </t>
  </si>
  <si>
    <t xml:space="preserve">qmaerbilco.@gmail.com </t>
  </si>
  <si>
    <t xml:space="preserve">عقارات ماونتن هوم </t>
  </si>
  <si>
    <t xml:space="preserve">كوفان لقمان </t>
  </si>
  <si>
    <t>realestate.mountainhome@gmail.com</t>
  </si>
  <si>
    <t xml:space="preserve">عقارات مقصود لأستثمار العقارات والمقاولات بناء بالاقساط </t>
  </si>
  <si>
    <t xml:space="preserve">عقارات منار </t>
  </si>
  <si>
    <t xml:space="preserve">info@manar2003.com </t>
  </si>
  <si>
    <t xml:space="preserve">عقارات هاوكات </t>
  </si>
  <si>
    <t xml:space="preserve">عبد الباقي </t>
  </si>
  <si>
    <t>عقارات هاوكيشه</t>
  </si>
  <si>
    <t xml:space="preserve">hawkesha.realestate@gmail.com </t>
  </si>
  <si>
    <t xml:space="preserve">عقارات هونيا </t>
  </si>
  <si>
    <t xml:space="preserve">mohamad.mukhlis@yahoo.com </t>
  </si>
  <si>
    <t xml:space="preserve">عقارات هيوا </t>
  </si>
  <si>
    <t>ليمار للوساطة العقارية</t>
  </si>
  <si>
    <t xml:space="preserve">بغداد - العطيفية </t>
  </si>
  <si>
    <t xml:space="preserve">مكتب زراري </t>
  </si>
  <si>
    <t xml:space="preserve">عزيز زراري </t>
  </si>
  <si>
    <t xml:space="preserve">اربيل - سايدين بحركة </t>
  </si>
  <si>
    <t xml:space="preserve">مكتب سفين للعقارات </t>
  </si>
  <si>
    <t xml:space="preserve">شقلاوة </t>
  </si>
  <si>
    <t xml:space="preserve">مكتب عقارات سرمند </t>
  </si>
  <si>
    <t>Hedi Sa'di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</si>
</sst>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
  </numFmts>
  <fonts count="511">
    <font>
      <sz val="10.0"/>
      <color rgb="FF000000"/>
      <name val="Arial"/>
    </font>
    <font>
      <sz val="20.0"/>
      <color rgb="FFFFFFFF"/>
      <name val="Roboto"/>
    </font>
    <font>
      <b/>
      <sz val="23.0"/>
      <color rgb="FFFFFFFF"/>
      <name val="Roboto"/>
    </font>
    <font>
      <sz val="11.0"/>
      <color rgb="FFFFFFFF"/>
      <name val="Roboto"/>
    </font>
    <font>
      <sz val="11.0"/>
      <color rgb="FF000000"/>
      <name val="Calibri"/>
    </font>
    <font>
      <sz val="10.0"/>
      <color rgb="FF434343"/>
      <name val="Roboto"/>
    </font>
    <font>
      <u/>
      <sz val="11.0"/>
      <color rgb="FF0563C1"/>
      <name val="Calibri"/>
    </font>
    <font>
      <sz val="12.0"/>
      <color rgb="FF000000"/>
      <name val="Calibri"/>
    </font>
    <font>
      <u/>
      <sz val="11.0"/>
      <color rgb="FF0563C1"/>
      <name val="Calibri"/>
    </font>
    <font>
      <b/>
      <sz val="13.0"/>
      <color rgb="FFFFFFFF"/>
      <name val="Roboto"/>
    </font>
    <font>
      <sz val="13.0"/>
      <color rgb="FFFFFFFF"/>
      <name val="Roboto"/>
    </font>
    <font>
      <sz val="13.0"/>
      <color rgb="FF434343"/>
      <name val="Roboto"/>
    </font>
    <font>
      <sz val="13.0"/>
      <color rgb="FF000000"/>
      <name val="Calibri"/>
    </font>
    <font>
      <u/>
      <sz val="13.0"/>
      <color rgb="FF0563C1"/>
      <name val="Calibri"/>
    </font>
    <font>
      <u/>
      <sz val="13.0"/>
      <color rgb="FF0563C1"/>
      <name val="Calibri"/>
    </font>
    <font>
      <u/>
      <sz val="13.0"/>
      <color rgb="FF0563C1"/>
      <name val="Calibri"/>
    </font>
    <font>
      <u/>
      <sz val="13.0"/>
      <color rgb="FF0563C1"/>
      <name val="Calibri"/>
    </font>
    <font>
      <sz val="13.0"/>
      <color rgb="FFFF0000"/>
      <name val="Calibri"/>
    </font>
    <font/>
    <font>
      <sz val="13.0"/>
      <name val="Calibri"/>
    </font>
    <font>
      <sz val="10.0"/>
      <color rgb="FF000000"/>
      <name val="Calibri"/>
    </font>
    <font>
      <sz val="11.0"/>
      <color rgb="FFFF0000"/>
      <name val="Calibri"/>
    </font>
    <font>
      <u/>
      <sz val="13.0"/>
      <color rgb="FFFF0000"/>
      <name val="Calibri"/>
    </font>
    <font>
      <sz val="11.0"/>
      <name val="Calibri"/>
    </font>
    <font>
      <u/>
      <sz val="13.0"/>
      <color rgb="FF0000FF"/>
      <name val="Calibri"/>
    </font>
    <font>
      <u/>
      <sz val="13.0"/>
      <name val="Calibri"/>
    </font>
    <font>
      <sz val="11.0"/>
      <color rgb="FF434343"/>
      <name val="Roboto"/>
    </font>
    <font>
      <i/>
      <sz val="10.0"/>
      <color rgb="FFFFFFFF"/>
      <name val="Roboto"/>
    </font>
    <font>
      <color rgb="FFFFFFFF"/>
      <name val="Calibri"/>
    </font>
    <font>
      <name val="Calibri"/>
    </font>
    <font>
      <u/>
      <color rgb="FF0000FF"/>
      <name val="Calibri"/>
    </font>
    <font>
      <name val="Arial"/>
    </font>
    <font>
      <u/>
      <color rgb="FFFFFFFF"/>
      <name val="Calibri"/>
    </font>
    <font>
      <color rgb="FFFFFFFF"/>
      <name val="Arial"/>
    </font>
    <font>
      <u/>
      <color rgb="FF0563C1"/>
      <name val="Calibri"/>
    </font>
    <font>
      <u/>
      <color rgb="FF0563C1"/>
      <name val="Calibri"/>
    </font>
    <font>
      <u/>
      <color rgb="FF0563C1"/>
      <name val="Calibri"/>
    </font>
    <font>
      <color rgb="FF000000"/>
      <name val="Arial"/>
    </font>
    <font>
      <b/>
      <sz val="14.0"/>
      <color rgb="FF000000"/>
      <name val="Calibri"/>
    </font>
    <font>
      <sz val="12.0"/>
      <color rgb="FF000000"/>
      <name val="Arial"/>
    </font>
    <font>
      <b/>
      <sz val="11.0"/>
      <color rgb="FFFFFFFF"/>
      <name val="Docs-Roboto"/>
    </font>
    <font>
      <color rgb="FF434343"/>
      <name val="Docs-Roboto"/>
    </font>
    <font>
      <b/>
      <sz val="12.0"/>
      <color rgb="FF000000"/>
      <name val="Arial"/>
    </font>
    <font>
      <b/>
      <sz val="13.0"/>
      <color rgb="FF000000"/>
      <name val="Arial"/>
    </font>
    <font>
      <sz val="14.0"/>
      <color rgb="FFFFFFFF"/>
      <name val="Calibri"/>
    </font>
    <font>
      <b/>
      <sz val="14.0"/>
      <color rgb="FFFFFFFF"/>
      <name val="Calibri"/>
    </font>
    <font>
      <b/>
      <sz val="11.0"/>
      <color rgb="FF000000"/>
      <name val="Calibri"/>
    </font>
    <font>
      <b/>
      <sz val="12.0"/>
      <color rgb="FFFFFFFF"/>
      <name val="Roboto"/>
    </font>
    <font>
      <b/>
    </font>
    <font>
      <b/>
      <sz val="12.0"/>
      <color rgb="FF000000"/>
      <name val="Calibri"/>
    </font>
    <font>
      <b/>
      <sz val="12.0"/>
      <color rgb="FF434343"/>
      <name val="Roboto"/>
    </font>
    <font>
      <b/>
      <u/>
      <sz val="12.0"/>
      <color rgb="FF434343"/>
      <name val="Roboto"/>
    </font>
    <font>
      <b/>
      <u/>
      <sz val="12.0"/>
      <color rgb="FF000000"/>
      <name val="Calibri"/>
    </font>
    <font>
      <b/>
      <sz val="13.0"/>
      <color rgb="FFFFFFFF"/>
      <name val="Calibri"/>
    </font>
    <font>
      <b/>
      <u/>
      <sz val="12.0"/>
      <color rgb="FF434343"/>
      <name val="Roboto"/>
    </font>
    <font>
      <b/>
      <sz val="12.0"/>
      <color rgb="FFFFFFFF"/>
      <name val="Calibri"/>
    </font>
    <font>
      <b/>
      <sz val="13.0"/>
      <color rgb="FF1F1F1F"/>
      <name val="&quot;Google Sans&quot;"/>
    </font>
    <font>
      <b/>
      <sz val="11.0"/>
      <color rgb="FF080809"/>
      <name val="&quot;Segoe UI Historic&quot;"/>
    </font>
    <font>
      <b/>
      <sz val="12.0"/>
      <color rgb="FF000000"/>
      <name val="Ubuntu"/>
    </font>
    <font>
      <b/>
      <sz val="11.0"/>
    </font>
    <font>
      <b/>
      <sz val="12.0"/>
      <color rgb="FF1F1F1F"/>
      <name val="&quot;Google Sans&quot;"/>
    </font>
    <font>
      <b/>
      <sz val="13.0"/>
      <color rgb="FF080809"/>
      <name val="&quot;Segoe UI Historic&quot;"/>
    </font>
    <font>
      <sz val="11.0"/>
      <color rgb="FF080809"/>
      <name val="&quot;Segoe UI Historic&quot;"/>
    </font>
    <font>
      <b/>
      <sz val="14.0"/>
      <color rgb="FF1F1F1F"/>
      <name val="&quot;Google Sans&quot;"/>
    </font>
    <font>
      <b/>
      <sz val="11.0"/>
      <color rgb="FF080809"/>
      <name val="Arial"/>
    </font>
    <font>
      <b/>
      <u/>
      <sz val="12.0"/>
      <color rgb="FF434343"/>
      <name val="Roboto"/>
    </font>
    <font>
      <b/>
      <sz val="12.0"/>
      <color rgb="FF080809"/>
      <name val="&quot;Segoe UI Historic&quot;"/>
    </font>
    <font>
      <b/>
      <u/>
      <sz val="13.0"/>
      <color rgb="FF0000FF"/>
    </font>
    <font>
      <b/>
      <u/>
      <sz val="7.0"/>
      <color rgb="FF434343"/>
      <name val="Roboto"/>
    </font>
    <font>
      <b/>
      <sz val="11.0"/>
      <color rgb="FF1C1E21"/>
      <name val="Inherit"/>
    </font>
    <font>
      <b/>
      <u/>
      <sz val="11.0"/>
      <color rgb="FF0064D1"/>
      <name val="&quot;Segoe UI Historic&quot;"/>
    </font>
    <font>
      <b/>
      <color rgb="FF080809"/>
      <name val="&quot;Segoe UI Historic&quot;"/>
    </font>
    <font>
      <b/>
      <u/>
      <sz val="11.0"/>
      <color rgb="FF1C1E21"/>
      <name val="Inherit"/>
    </font>
    <font>
      <b/>
      <u/>
      <sz val="10.0"/>
      <color rgb="FF1C1E21"/>
      <name val="Inherit"/>
    </font>
    <font>
      <b/>
      <sz val="12.0"/>
      <color rgb="FF080809"/>
      <name val="Arial"/>
    </font>
    <font>
      <b/>
      <sz val="14.0"/>
      <color rgb="FF080809"/>
      <name val="&quot;Segoe UI Historic&quot;"/>
    </font>
    <font>
      <u/>
      <sz val="8.0"/>
      <color rgb="FF0064D1"/>
      <name val="Arial"/>
    </font>
    <font>
      <sz val="11.0"/>
      <color rgb="FF0064D1"/>
      <name val="&quot;Segoe UI Historic&quot;"/>
    </font>
    <font>
      <b/>
      <u/>
      <sz val="12.0"/>
      <color rgb="FF000000"/>
      <name val="Calibri"/>
    </font>
    <font>
      <b/>
      <sz val="12.0"/>
      <name val="Roboto"/>
    </font>
    <font>
      <b/>
      <sz val="16.0"/>
      <color rgb="FF000000"/>
      <name val="Calibri"/>
    </font>
    <font>
      <u/>
      <sz val="14.0"/>
      <color rgb="FF666666"/>
      <name val="Lato"/>
    </font>
    <font>
      <b/>
      <sz val="12.0"/>
    </font>
    <font>
      <b/>
      <sz val="13.0"/>
      <color rgb="FF000000"/>
      <name val="Lato"/>
    </font>
    <font>
      <b/>
      <sz val="12.0"/>
      <color rgb="FF806540"/>
      <name val="Cairo"/>
    </font>
    <font>
      <b/>
      <sz val="11.0"/>
      <color rgb="FF000000"/>
      <name val="&quot;Open Sans&quot;"/>
    </font>
    <font>
      <b/>
      <u/>
      <sz val="11.0"/>
      <color rgb="FF0000FF"/>
    </font>
    <font>
      <b/>
      <sz val="14.0"/>
      <color rgb="FF870505"/>
      <name val="Roboto"/>
    </font>
    <font>
      <b/>
      <sz val="12.0"/>
      <color rgb="FF000000"/>
      <name val="Poppins"/>
    </font>
    <font>
      <b/>
      <u/>
      <sz val="13.0"/>
      <color rgb="FF606161"/>
      <name val="&quot;Inter Local&quot;"/>
    </font>
    <font>
      <b/>
      <sz val="12.0"/>
      <color rgb="FF000000"/>
      <name val="Cairo"/>
    </font>
    <font>
      <b/>
      <u/>
      <sz val="12.0"/>
      <color rgb="FF0000FF"/>
    </font>
    <font>
      <b/>
      <sz val="11.0"/>
      <color rgb="FF333333"/>
      <name val="Arial"/>
    </font>
    <font>
      <b/>
      <u/>
      <sz val="13.0"/>
      <color rgb="FF333333"/>
      <name val="-apple-system"/>
    </font>
    <font>
      <b/>
      <sz val="14.0"/>
      <color rgb="FF000000"/>
      <name val="&quot;Titillium Web&quot;"/>
    </font>
    <font>
      <color rgb="FF333333"/>
      <name val="Elementskit"/>
    </font>
    <font>
      <b/>
      <sz val="12.0"/>
      <color rgb="FF000000"/>
      <name val="Arimo"/>
    </font>
    <font>
      <b/>
      <sz val="12.0"/>
      <color rgb="FF54595F"/>
      <name val="Inter"/>
    </font>
    <font>
      <b/>
      <sz val="11.0"/>
      <color rgb="FF000000"/>
      <name val="Inter"/>
    </font>
    <font>
      <b/>
      <sz val="11.0"/>
      <color rgb="FF000000"/>
      <name val="Arial"/>
    </font>
    <font>
      <b/>
      <sz val="15.0"/>
      <color rgb="FF000000"/>
      <name val="Calibri"/>
    </font>
    <font>
      <b/>
      <sz val="15.0"/>
      <color rgb="FFFFFFFF"/>
      <name val="Calibri"/>
    </font>
    <font>
      <b/>
      <sz val="11.0"/>
      <color rgb="FF000000"/>
      <name val="Roboto"/>
    </font>
    <font>
      <b/>
      <u/>
      <sz val="11.0"/>
      <color rgb="FF434343"/>
      <name val="Roboto"/>
    </font>
    <font>
      <b/>
      <sz val="13.0"/>
      <color rgb="FF000000"/>
      <name val="Calibri"/>
    </font>
    <font>
      <b/>
      <u/>
      <sz val="12.0"/>
      <color rgb="FF434343"/>
      <name val="Roboto"/>
    </font>
    <font>
      <b/>
      <u/>
      <sz val="12.0"/>
      <color rgb="FF000000"/>
      <name val="Calibri"/>
    </font>
    <font>
      <b/>
      <u/>
      <sz val="12.0"/>
      <color rgb="FF000000"/>
      <name val="Calibri"/>
    </font>
    <font>
      <b/>
      <sz val="16.0"/>
      <color rgb="FFFFFFFF"/>
      <name val="Calibri"/>
    </font>
    <font>
      <b/>
      <sz val="20.0"/>
      <color rgb="FF000000"/>
      <name val="Calibri"/>
    </font>
    <font>
      <b/>
      <u/>
      <sz val="12.0"/>
      <color rgb="FF000000"/>
      <name val="Calibri"/>
    </font>
    <font>
      <b/>
      <sz val="20.0"/>
      <color rgb="FFFFFFFF"/>
      <name val="Calibri"/>
    </font>
    <font>
      <b/>
      <sz val="21.0"/>
      <color rgb="FF000000"/>
      <name val="Calibri"/>
    </font>
    <font>
      <b/>
      <sz val="18.0"/>
      <color rgb="FFFFFFFF"/>
      <name val="Calibri"/>
    </font>
    <font>
      <b/>
      <u/>
      <sz val="12.0"/>
      <color rgb="FF434343"/>
      <name val="Roboto"/>
    </font>
    <font>
      <b/>
      <sz val="21.0"/>
      <color rgb="FFFFFFFF"/>
      <name val="Roboto"/>
    </font>
    <font>
      <b/>
      <sz val="21.0"/>
      <color rgb="FF000000"/>
      <name val="Roboto"/>
    </font>
    <font>
      <b/>
      <sz val="13.0"/>
      <color rgb="FF000000"/>
      <name val="Roboto"/>
    </font>
    <font>
      <b/>
      <sz val="12.0"/>
      <color rgb="FF000000"/>
      <name val="Roboto"/>
    </font>
    <font>
      <b/>
      <sz val="9.0"/>
      <color rgb="FF000000"/>
      <name val="Roboto"/>
    </font>
    <font>
      <b/>
      <u/>
      <color rgb="FF0000FF"/>
    </font>
    <font>
      <b/>
      <sz val="11.0"/>
      <color rgb="FFFFFFFF"/>
      <name val="Gilroy"/>
    </font>
    <font>
      <u/>
      <color rgb="FF0000FF"/>
    </font>
    <font>
      <b/>
      <sz val="24.0"/>
    </font>
    <font>
      <b/>
      <sz val="10.0"/>
    </font>
    <font>
      <sz val="10.0"/>
    </font>
    <font>
      <u/>
      <sz val="10.0"/>
      <color rgb="FF0000FF"/>
    </font>
    <font>
      <b/>
      <sz val="13.0"/>
    </font>
    <font>
      <sz val="11.0"/>
    </font>
    <font>
      <sz val="11.0"/>
      <color rgb="FF000000"/>
      <name val="Roboto"/>
    </font>
    <font>
      <b/>
      <u/>
      <sz val="11.0"/>
      <color rgb="FF0000FF"/>
    </font>
    <font>
      <b/>
      <sz val="11.0"/>
      <name val="Roboto"/>
    </font>
    <font>
      <u/>
      <color rgb="FF0000FF"/>
    </font>
    <font>
      <b/>
      <u/>
      <sz val="11.0"/>
      <color rgb="FF0000FF"/>
    </font>
    <font>
      <b/>
      <u/>
      <sz val="11.0"/>
      <color rgb="FF0000FF"/>
    </font>
    <font>
      <b/>
      <u/>
      <sz val="11.0"/>
      <color rgb="FF0000FF"/>
    </font>
    <font>
      <u/>
      <color rgb="FF0000FF"/>
    </font>
    <font>
      <u/>
      <color rgb="FF0000FF"/>
    </font>
    <font>
      <u/>
      <color rgb="FF0000FF"/>
    </font>
    <font>
      <color rgb="FFFFFFFF"/>
      <name val="Roboto"/>
    </font>
    <font>
      <color rgb="FF434343"/>
      <name val="Roboto"/>
    </font>
    <font>
      <u/>
      <color rgb="FF0000FF"/>
      <name val="Roboto"/>
    </font>
    <font>
      <u/>
      <color rgb="FF0000FF"/>
      <name val="Roboto"/>
    </font>
    <font>
      <u/>
      <color rgb="FF0000FF"/>
      <name val="Roboto"/>
    </font>
    <font>
      <sz val="12.0"/>
      <color rgb="FF222222"/>
      <name val="Roboto"/>
    </font>
    <font>
      <b/>
      <sz val="14.0"/>
    </font>
    <font>
      <b/>
      <u/>
      <sz val="14.0"/>
      <color rgb="FF0000FF"/>
    </font>
    <font>
      <b/>
      <u/>
      <sz val="14.0"/>
      <color rgb="FF0000FF"/>
    </font>
    <font>
      <b/>
      <sz val="11.0"/>
      <name val="Aptos Narrow"/>
    </font>
    <font>
      <sz val="11.0"/>
      <name val="Aptos Narrow"/>
    </font>
    <font>
      <sz val="11.0"/>
      <name val="Arial"/>
    </font>
    <font>
      <u/>
      <sz val="11.0"/>
      <color rgb="FF467886"/>
      <name val="Arial"/>
    </font>
    <font>
      <sz val="12.0"/>
      <color rgb="FF024A86"/>
      <name val="NeoSansArabic"/>
    </font>
    <font>
      <b/>
      <sz val="12.0"/>
      <color rgb="FFFFFFFF"/>
      <name val="Aptos Narrow"/>
    </font>
    <font>
      <b/>
      <sz val="12.0"/>
      <color rgb="FFFFFFFF"/>
      <name val="Arial"/>
    </font>
    <font>
      <u/>
      <sz val="11.0"/>
      <color rgb="FF467886"/>
      <name val="Arial"/>
    </font>
    <font>
      <sz val="11.0"/>
      <name val="Montserrat"/>
    </font>
    <font>
      <u/>
      <sz val="11.0"/>
      <color rgb="FF467886"/>
      <name val="Arial"/>
    </font>
    <font>
      <sz val="12.0"/>
      <name val="Montserrat"/>
    </font>
    <font>
      <sz val="12.0"/>
      <name val="Arial"/>
    </font>
    <font>
      <u/>
      <sz val="12.0"/>
      <color rgb="FF467886"/>
      <name val="Arial"/>
    </font>
    <font>
      <sz val="12.0"/>
      <color rgb="FF333333"/>
      <name val="Arial"/>
    </font>
    <font>
      <sz val="11.0"/>
      <color rgb="FF212529"/>
      <name val="System-ui"/>
    </font>
    <font>
      <sz val="12.0"/>
      <color rgb="FF202020"/>
      <name val="Montserrat"/>
    </font>
    <font>
      <u/>
      <sz val="12.0"/>
      <color rgb="FF467886"/>
      <name val="Arial"/>
    </font>
    <font>
      <sz val="9.0"/>
      <color rgb="FF202020"/>
      <name val="Montserrat"/>
    </font>
    <font>
      <u/>
      <sz val="11.0"/>
      <color rgb="FF467886"/>
      <name val="Arial"/>
    </font>
    <font>
      <b/>
      <u/>
      <sz val="11.0"/>
      <color rgb="FF0000FF"/>
    </font>
    <font>
      <u/>
      <sz val="11.0"/>
      <color rgb="FF0000FF"/>
    </font>
    <font>
      <u/>
      <sz val="11.0"/>
      <color rgb="FF0000FF"/>
      <name val="Calibri"/>
    </font>
    <font>
      <b/>
      <u/>
      <sz val="14.0"/>
      <color rgb="FF0000FF"/>
    </font>
    <font>
      <b/>
      <u/>
      <sz val="13.0"/>
      <color rgb="FF0000FF"/>
      <name val="Roboto"/>
    </font>
    <font>
      <b/>
      <sz val="13.0"/>
      <name val="Roboto"/>
    </font>
    <font>
      <u/>
      <color rgb="FF0000FF"/>
    </font>
    <font>
      <b/>
      <sz val="10.0"/>
      <color rgb="FF000000"/>
      <name val="Roboto"/>
    </font>
    <font>
      <b/>
      <sz val="10.0"/>
      <color rgb="FF434343"/>
      <name val="Roboto"/>
    </font>
    <font>
      <b/>
      <sz val="9.0"/>
      <color rgb="FF434343"/>
      <name val="Roboto"/>
    </font>
    <font>
      <b/>
      <u/>
      <sz val="9.0"/>
      <color rgb="FF0000FF"/>
      <name val="Roboto"/>
    </font>
    <font>
      <b/>
      <u/>
      <sz val="9.0"/>
      <color rgb="FF0000FF"/>
      <name val="Roboto"/>
    </font>
    <font>
      <b/>
      <u/>
      <sz val="9.0"/>
      <color rgb="FF434343"/>
      <name val="Roboto"/>
    </font>
    <font>
      <b/>
      <u/>
      <sz val="11.0"/>
      <color rgb="FF0000FF"/>
      <name val="Calibri"/>
    </font>
    <font>
      <b/>
      <u/>
      <sz val="9.0"/>
      <color rgb="FF434343"/>
      <name val="Roboto"/>
    </font>
    <font>
      <u/>
      <color rgb="FF0000FF"/>
    </font>
    <font>
      <u/>
      <color rgb="FF0000FF"/>
    </font>
    <font>
      <b/>
      <u/>
      <sz val="12.0"/>
      <color rgb="FF0000FF"/>
      <name val="Roboto"/>
    </font>
    <font>
      <b/>
      <sz val="12.0"/>
      <color rgb="FFEFEFEF"/>
      <name val="Calibri"/>
    </font>
    <font>
      <b/>
      <sz val="9.0"/>
      <name val="Roboto"/>
    </font>
    <font>
      <b/>
      <u/>
      <sz val="9.0"/>
      <color rgb="FF434343"/>
      <name val="Roboto"/>
    </font>
    <font>
      <b/>
      <sz val="10.0"/>
      <color rgb="FF000000"/>
      <name val="Calibri"/>
    </font>
    <font>
      <b/>
      <sz val="11.0"/>
      <color rgb="FFFFFFFF"/>
      <name val="Calibri"/>
    </font>
    <font>
      <b/>
      <sz val="10.0"/>
      <color rgb="FFFFFFFF"/>
      <name val="Calibri"/>
    </font>
    <font>
      <b/>
      <sz val="9.0"/>
      <color rgb="FFFFFFFF"/>
      <name val="Calibri"/>
    </font>
    <font>
      <b/>
      <sz val="11.0"/>
      <color rgb="FFFFFFFF"/>
      <name val="Roboto"/>
    </font>
    <font>
      <b/>
      <sz val="10.0"/>
      <color rgb="FFFFFFFF"/>
      <name val="Roboto"/>
    </font>
    <font>
      <b/>
      <sz val="9.0"/>
      <color rgb="FFFFFFFF"/>
      <name val="Roboto"/>
    </font>
    <font>
      <sz val="9.0"/>
    </font>
    <font>
      <b/>
      <sz val="15.0"/>
      <color rgb="FFFFFFFF"/>
      <name val="Roboto"/>
    </font>
    <font>
      <b/>
      <sz val="15.0"/>
      <color rgb="FF000000"/>
      <name val="Roboto"/>
    </font>
    <font>
      <b/>
      <sz val="15.0"/>
      <color rgb="FF000000"/>
      <name val="Montserrat"/>
    </font>
    <font>
      <b/>
      <u/>
      <sz val="15.0"/>
      <color rgb="FF0000FF"/>
    </font>
    <font>
      <b/>
      <sz val="15.0"/>
      <color rgb="FF434343"/>
      <name val="Roboto"/>
    </font>
    <font>
      <b/>
      <sz val="15.0"/>
    </font>
    <font>
      <b/>
      <u/>
      <sz val="15.0"/>
      <color rgb="FF0000FF"/>
    </font>
    <font>
      <b/>
      <sz val="15.0"/>
      <color rgb="FF818285"/>
      <name val="Lateef"/>
    </font>
    <font>
      <b/>
      <u/>
      <sz val="15.0"/>
      <color rgb="FF000000"/>
    </font>
    <font>
      <b/>
      <sz val="15.0"/>
      <color rgb="FF010D39"/>
      <name val="Montserrat"/>
    </font>
    <font>
      <b/>
      <u/>
      <sz val="15.0"/>
      <color rgb="FF0000FF"/>
    </font>
    <font>
      <b/>
      <sz val="15.0"/>
      <color rgb="FF000000"/>
      <name val="&quot;Segoe UI Historic&quot;"/>
    </font>
    <font>
      <b/>
      <sz val="15.0"/>
      <color rgb="FF080809"/>
      <name val="Arial"/>
    </font>
    <font>
      <b/>
      <sz val="15.0"/>
      <color rgb="FF080809"/>
      <name val="&quot;Segoe UI Historic&quot;"/>
    </font>
    <font>
      <b/>
      <sz val="15.0"/>
      <color rgb="FF333333"/>
      <name val="Jali"/>
    </font>
    <font>
      <b/>
      <u/>
      <sz val="15.0"/>
      <color rgb="FF333333"/>
      <name val="Jali"/>
    </font>
    <font>
      <b/>
      <sz val="15.0"/>
      <color rgb="FF000000"/>
    </font>
    <font>
      <b/>
      <sz val="15.0"/>
      <color rgb="FF000000"/>
      <name val="Cairo"/>
    </font>
    <font>
      <b/>
      <u/>
      <sz val="15.0"/>
      <color rgb="FF000000"/>
    </font>
    <font>
      <b/>
      <sz val="15.0"/>
      <color rgb="FFD76840"/>
      <name val="&quot;Readex Pro&quot;"/>
    </font>
    <font>
      <b/>
      <sz val="15.0"/>
      <color rgb="FF000000"/>
      <name val="Helvetica"/>
    </font>
    <font>
      <b/>
      <sz val="15.0"/>
      <color rgb="FF181D24"/>
      <name val="&quot;STC Bold&quot;"/>
    </font>
    <font>
      <b/>
      <sz val="15.0"/>
      <color rgb="FF4F5152"/>
      <name val="NeoSansArabicMedium"/>
    </font>
    <font>
      <b/>
      <sz val="15.0"/>
      <color rgb="FF000000"/>
      <name val="Arial"/>
    </font>
    <font>
      <b/>
      <sz val="15.0"/>
      <color rgb="FF000000"/>
      <name val="&quot;Hacen Algeria&quot;"/>
    </font>
    <font>
      <b/>
      <sz val="15.0"/>
      <color rgb="FF000000"/>
      <name val="Solomonregular"/>
    </font>
    <font>
      <b/>
      <u/>
      <sz val="15.0"/>
      <color rgb="FF080809"/>
      <name val="Arial"/>
    </font>
    <font>
      <b/>
      <sz val="12.0"/>
      <color rgb="FFFFFFFF"/>
    </font>
    <font>
      <b/>
      <sz val="11.0"/>
      <color rgb="FF000000"/>
      <name val="Montserrat"/>
    </font>
    <font>
      <b/>
      <color rgb="FF000000"/>
    </font>
    <font>
      <b/>
      <sz val="10.0"/>
      <color rgb="FF000000"/>
      <name val="Montserrat"/>
    </font>
    <font>
      <b/>
      <sz val="12.0"/>
      <color rgb="FF000000"/>
      <name val="Exoregular"/>
    </font>
    <font>
      <b/>
      <u/>
      <sz val="12.0"/>
      <color rgb="FF000000"/>
      <name val="Arial"/>
    </font>
    <font>
      <b/>
      <color rgb="FF000000"/>
      <name val="Ui-sans-serif"/>
    </font>
    <font>
      <b/>
      <sz val="14.0"/>
      <color rgb="FF000000"/>
      <name val="&quot;Proxima Nova&quot;"/>
    </font>
    <font>
      <b/>
      <color rgb="FF000000"/>
      <name val="Arial"/>
    </font>
    <font>
      <b/>
      <u/>
      <color rgb="FF000000"/>
    </font>
    <font>
      <b/>
      <sz val="14.0"/>
      <color rgb="FF000000"/>
      <name val="Poppins"/>
    </font>
    <font>
      <b/>
      <sz val="12.0"/>
      <color rgb="FF000000"/>
      <name val="&quot;IBM Plex Sans Arabic&quot;"/>
    </font>
    <font>
      <b/>
      <sz val="12.0"/>
      <color rgb="FF000000"/>
      <name val="Arabic-font"/>
    </font>
    <font>
      <b/>
      <u/>
      <color rgb="FF000000"/>
    </font>
    <font>
      <b/>
      <sz val="12.0"/>
      <color rgb="FF000000"/>
      <name val="&quot;Source Sans Pro&quot;"/>
    </font>
    <font>
      <b/>
      <sz val="12.0"/>
      <color rgb="FF000000"/>
      <name val="Eduflex-light"/>
    </font>
    <font>
      <b/>
      <u/>
      <sz val="12.0"/>
      <color rgb="FF000000"/>
      <name val="__Outfit_ad50fd"/>
    </font>
    <font>
      <b/>
      <u/>
      <color rgb="FF000000"/>
    </font>
    <font>
      <b/>
      <sz val="14.0"/>
      <color rgb="FF000000"/>
      <name val="FSKoopman"/>
    </font>
    <font>
      <b/>
      <sz val="11.0"/>
      <color rgb="FF000000"/>
      <name val="Raleway"/>
    </font>
    <font>
      <b/>
      <u/>
      <color rgb="FF000000"/>
    </font>
    <font>
      <b/>
      <sz val="11.0"/>
      <color rgb="FF000000"/>
      <name val="&quot;Segoe UI Historic&quot;"/>
    </font>
    <font>
      <b/>
      <u/>
      <sz val="12.0"/>
      <color rgb="FF000000"/>
      <name val="Arial"/>
    </font>
    <font>
      <b/>
      <sz val="8.0"/>
      <color rgb="FF000000"/>
      <name val="Arial"/>
    </font>
    <font>
      <b/>
      <sz val="12.0"/>
      <color rgb="FF000000"/>
      <name val="&quot;DIN Next LT Arabic Medium&quot;"/>
    </font>
    <font>
      <b/>
      <u/>
      <sz val="0.0"/>
      <color rgb="FF000000"/>
      <name val="&quot;Janna LT&quot;"/>
    </font>
    <font>
      <b/>
      <sz val="8.0"/>
      <color rgb="FF000000"/>
      <name val="Helvetica"/>
    </font>
    <font>
      <b/>
      <sz val="12.0"/>
      <color rgb="FF000000"/>
      <name val="Minion-pro-display"/>
    </font>
    <font>
      <b/>
      <sz val="8.0"/>
      <color rgb="FF000000"/>
      <name val="&quot;Mostardesign Sofia Pro&quot;"/>
    </font>
    <font>
      <b/>
      <u/>
      <sz val="9.0"/>
      <color rgb="FF000000"/>
      <name val="Verdana"/>
    </font>
    <font>
      <b/>
      <sz val="12.0"/>
      <color rgb="FF000000"/>
      <name val="&quot;open sans&quot;"/>
    </font>
    <font>
      <b/>
      <sz val="12.0"/>
      <color rgb="FF000000"/>
      <name val="DraftBRegular"/>
    </font>
    <font>
      <b/>
      <sz val="11.0"/>
      <color rgb="FF000000"/>
      <name val="&quot;Century gothic&quot;"/>
    </font>
    <font>
      <b/>
      <sz val="11.0"/>
      <color rgb="FF000000"/>
      <name val="Poppins"/>
    </font>
    <font>
      <b/>
      <u/>
      <sz val="12.0"/>
      <color rgb="FF000000"/>
      <name val="Calibri"/>
    </font>
    <font>
      <b/>
      <sz val="11.0"/>
      <color rgb="FF000000"/>
      <name val="Soehne"/>
    </font>
    <font>
      <b/>
      <sz val="9.0"/>
      <color rgb="FF000000"/>
      <name val="微软雅黑"/>
    </font>
    <font>
      <b/>
      <sz val="11.0"/>
      <color rgb="FF000000"/>
      <name val="Inherit"/>
    </font>
    <font>
      <b/>
      <color rgb="FF000000"/>
      <name val="Mulish"/>
    </font>
    <font>
      <b/>
      <sz val="11.0"/>
      <color rgb="FF000000"/>
      <name val="Mulish"/>
    </font>
    <font>
      <b/>
      <sz val="12.0"/>
      <color rgb="FF000000"/>
      <name val="Montserrat"/>
    </font>
    <font>
      <b/>
      <sz val="12.0"/>
      <color rgb="FF000000"/>
      <name val="__Inter_36bd41"/>
    </font>
    <font>
      <b/>
      <sz val="11.0"/>
      <color rgb="FF000000"/>
      <name val="-apple-system"/>
    </font>
    <font>
      <b/>
      <sz val="12.0"/>
      <color rgb="FF000000"/>
      <name val="Rubik"/>
    </font>
    <font>
      <b/>
      <u/>
      <sz val="12.0"/>
      <color rgb="FF000000"/>
      <name val="Rubik"/>
    </font>
    <font>
      <b/>
      <sz val="17.0"/>
      <color rgb="FF000000"/>
      <name val="Cairo"/>
    </font>
    <font>
      <b/>
      <color rgb="FF000000"/>
      <name val="Almarai"/>
    </font>
    <font>
      <b/>
      <color rgb="FF000000"/>
      <name val="Montserrat"/>
    </font>
    <font>
      <b/>
      <u/>
      <sz val="12.0"/>
      <color rgb="FF000000"/>
      <name val="Montserratregular"/>
    </font>
    <font>
      <b/>
      <sz val="11.0"/>
      <color rgb="FF000000"/>
      <name val="BOEGotham"/>
    </font>
    <font>
      <b/>
      <sz val="12.0"/>
      <color rgb="FF000000"/>
      <name val="&quot;Helvetica Neue&quot;"/>
    </font>
    <font>
      <b/>
      <sz val="12.0"/>
      <color rgb="FF000000"/>
      <name val="&quot;Open Sans&quot;"/>
    </font>
    <font>
      <b/>
      <u/>
      <sz val="12.0"/>
      <color rgb="FF000000"/>
      <name val="Cairo"/>
    </font>
    <font>
      <b/>
      <color rgb="FF000000"/>
      <name val="Helvetica"/>
    </font>
    <font>
      <b/>
      <sz val="12.0"/>
      <color rgb="FF000000"/>
      <name val="Helvetica"/>
    </font>
    <font>
      <b/>
      <sz val="12.0"/>
      <color rgb="FF000000"/>
      <name val="Madani_Arabic_Regular"/>
    </font>
    <font>
      <b/>
      <color rgb="FF000000"/>
      <name val="&quot;Be Vietnam Pro&quot;"/>
    </font>
    <font>
      <b/>
      <u/>
      <sz val="15.0"/>
      <color rgb="FF000000"/>
      <name val="&quot;DIN 2014&quot;"/>
    </font>
    <font>
      <b/>
      <sz val="12.0"/>
      <color rgb="FF000000"/>
      <name val="System-ui"/>
    </font>
    <font>
      <b/>
      <u/>
      <color rgb="FF000000"/>
    </font>
    <font>
      <b/>
      <sz val="12.0"/>
      <color rgb="FF000000"/>
      <name val="Inter"/>
    </font>
    <font>
      <b/>
      <sz val="9.0"/>
      <color rgb="FF000000"/>
      <name val="&quot;LATO local 400&quot;"/>
    </font>
    <font>
      <b/>
      <sz val="11.0"/>
      <color rgb="FF000000"/>
      <name val="Sarabun"/>
    </font>
    <font>
      <b/>
      <sz val="11.0"/>
      <color rgb="FF000000"/>
      <name val="Jost"/>
    </font>
    <font>
      <b/>
      <sz val="14.0"/>
      <color rgb="FF000000"/>
    </font>
    <font>
      <b/>
      <sz val="15.0"/>
      <color rgb="FF000000"/>
      <name val="Lato"/>
    </font>
    <font>
      <b/>
      <sz val="17.0"/>
      <color rgb="FF000000"/>
      <name val="Lato"/>
    </font>
    <font>
      <b/>
      <sz val="14.0"/>
      <color rgb="FF000000"/>
      <name val="&quot;Source Sans Pro&quot;"/>
    </font>
    <font>
      <b/>
      <sz val="14.0"/>
      <color rgb="FF000000"/>
      <name val="Ui-sans-serif"/>
    </font>
    <font>
      <b/>
      <u/>
      <sz val="11.0"/>
      <color rgb="FF000000"/>
      <name val="&quot;Open Sans&quot;"/>
    </font>
    <font>
      <b/>
      <u/>
      <color rgb="FF000000"/>
    </font>
    <font>
      <b/>
      <u/>
      <sz val="11.0"/>
      <color rgb="FF000000"/>
      <name val="Georgia"/>
    </font>
    <font>
      <b/>
      <sz val="12.0"/>
      <color rgb="FF000000"/>
      <name val="&quot;Plus Jakarta Sans&quot;"/>
    </font>
    <font>
      <b/>
      <sz val="12.0"/>
      <color rgb="FF000000"/>
      <name val="FrutigerLTArabic45"/>
    </font>
    <font>
      <b/>
      <name val="Ui-sans-serif"/>
    </font>
    <font>
      <sz val="12.0"/>
      <color rgb="FFFFFFFF"/>
      <name val="Dosis"/>
    </font>
    <font>
      <u/>
      <color rgb="FF0000FF"/>
    </font>
    <font>
      <u/>
      <color rgb="FFFFFFFF"/>
      <name val="Montserrat"/>
    </font>
    <font>
      <sz val="14.0"/>
      <color rgb="FF000000"/>
      <name val="Nyty"/>
    </font>
    <font>
      <u/>
      <sz val="11.0"/>
      <color rgb="FF1F1F1F"/>
      <name val="Arial"/>
    </font>
    <font>
      <sz val="11.0"/>
      <color rgb="FF1F1F1F"/>
      <name val="Arial"/>
    </font>
    <font>
      <u/>
      <sz val="12.0"/>
      <color rgb="FF262626"/>
      <name val="Muller"/>
    </font>
    <font>
      <sz val="12.0"/>
      <color rgb="FF262626"/>
      <name val="Muller"/>
    </font>
    <font>
      <b/>
      <sz val="12.0"/>
      <color rgb="FF262626"/>
      <name val="Arial"/>
    </font>
    <font>
      <b/>
      <sz val="17.0"/>
      <color rgb="FFFFFFFF"/>
      <name val="Roboto"/>
    </font>
    <font>
      <b/>
      <sz val="12.0"/>
      <name val="Calibri"/>
    </font>
    <font>
      <b/>
      <sz val="12.0"/>
      <name val="Arial"/>
    </font>
    <font>
      <b/>
      <name val="Arial"/>
    </font>
    <font>
      <b/>
      <sz val="11.0"/>
      <color rgb="FFFFFFFF"/>
      <name val="&quot;Google Sans&quot;"/>
    </font>
    <font>
      <sz val="12.0"/>
      <color rgb="FFFFFFFF"/>
      <name val="Roboto"/>
    </font>
    <font>
      <b/>
      <u/>
      <sz val="12.0"/>
      <color rgb="FF434343"/>
      <name val="Roboto"/>
    </font>
    <font>
      <b/>
      <sz val="12.0"/>
      <color rgb="FF000000"/>
      <name val="GOTHAM"/>
    </font>
    <font>
      <b/>
      <sz val="11.0"/>
      <color rgb="FFEE1D23"/>
      <name val="Poppins"/>
    </font>
    <font>
      <b/>
      <u/>
      <sz val="11.0"/>
      <color rgb="FF000000"/>
    </font>
    <font>
      <b/>
      <sz val="13.0"/>
      <color rgb="FF000000"/>
      <name val="Karla"/>
    </font>
    <font>
      <b/>
      <u/>
      <sz val="11.0"/>
      <color rgb="FF0000FF"/>
    </font>
    <font>
      <b/>
      <u/>
      <color rgb="FF000000"/>
    </font>
    <font>
      <b/>
      <color rgb="FF1C1E21"/>
      <name val="Inherit"/>
    </font>
    <font>
      <color rgb="FF1C1E21"/>
      <name val="Inherit"/>
    </font>
    <font>
      <b/>
      <sz val="11.0"/>
      <color rgb="FF000000"/>
    </font>
    <font>
      <b/>
      <sz val="17.0"/>
      <color rgb="FFFFFFFF"/>
      <name val="Calibri"/>
    </font>
    <font>
      <b/>
      <u/>
      <color rgb="FF0000FF"/>
    </font>
    <font>
      <b/>
      <u/>
      <color rgb="FF0000FF"/>
    </font>
    <font>
      <b/>
      <sz val="12.0"/>
      <color rgb="FF404040"/>
      <name val="MyriadPro"/>
    </font>
    <font>
      <b/>
      <sz val="11.0"/>
      <color rgb="FF232323"/>
      <name val="Arial"/>
    </font>
    <font>
      <b/>
      <sz val="11.0"/>
      <color rgb="FF000000"/>
      <name val="Lato"/>
    </font>
    <font>
      <b/>
      <sz val="11.0"/>
      <color rgb="FF000000"/>
      <name val="Manrope"/>
    </font>
    <font>
      <b/>
      <color rgb="FF000000"/>
      <name val="&quot;Open Sans&quot;"/>
    </font>
    <font>
      <b/>
      <sz val="14.0"/>
      <color rgb="FF000000"/>
      <name val="思源黑体"/>
    </font>
    <font>
      <b/>
      <u/>
      <color rgb="FF0000FF"/>
    </font>
    <font>
      <b/>
      <u/>
      <color rgb="FF0000FF"/>
    </font>
    <font>
      <b/>
      <u/>
      <color rgb="FF0000FF"/>
    </font>
    <font>
      <sz val="12.0"/>
      <color rgb="FF434343"/>
      <name val="Roboto"/>
    </font>
    <font>
      <sz val="12.0"/>
      <color rgb="FF444444"/>
      <name val="Arimo"/>
    </font>
    <font>
      <sz val="12.0"/>
      <name val="Arimo"/>
    </font>
    <font>
      <u/>
      <sz val="12.0"/>
      <color rgb="FF000000"/>
      <name val="Arimo"/>
    </font>
    <font>
      <sz val="12.0"/>
      <color rgb="FF4D4D4D"/>
      <name val="Arimo"/>
    </font>
    <font>
      <sz val="12.0"/>
      <color rgb="FF202124"/>
      <name val="&quot;Helvetica Neue&quot;"/>
    </font>
    <font>
      <sz val="12.0"/>
      <color rgb="FF000000"/>
      <name val="&quot;Helvetica Neue&quot;"/>
    </font>
    <font>
      <sz val="12.0"/>
      <color rgb="FF454545"/>
      <name val="&quot;Open Sans&quot;"/>
    </font>
    <font>
      <sz val="12.0"/>
      <color rgb="FF000000"/>
      <name val="&quot;Open Sans&quot;"/>
    </font>
    <font>
      <u/>
      <sz val="12.0"/>
      <color rgb="FF000000"/>
      <name val="&quot;Open Sans&quot;"/>
    </font>
    <font>
      <sz val="12.0"/>
      <color rgb="FF050505"/>
      <name val="&quot;Segoe UI Historic&quot;"/>
    </font>
    <font>
      <b/>
      <u/>
      <sz val="12.0"/>
      <color rgb="FF0000FF"/>
      <name val="Arial"/>
    </font>
    <font>
      <b/>
      <u/>
      <sz val="12.0"/>
      <color rgb="FF0563C1"/>
      <name val="Calibri"/>
    </font>
    <font>
      <sz val="12.0"/>
      <color rgb="FF434343"/>
      <name val="Docs-Roboto"/>
    </font>
    <font>
      <sz val="12.0"/>
      <color rgb="FF050505"/>
      <name val="Arial"/>
    </font>
    <font>
      <u/>
      <sz val="12.0"/>
      <color rgb="FF000000"/>
      <name val="&quot;Helvetica Neue&quot;"/>
    </font>
    <font>
      <sz val="12.0"/>
      <color rgb="FF666666"/>
      <name val="Poppins"/>
    </font>
    <font>
      <sz val="12.0"/>
      <color rgb="FF535353"/>
      <name val="&quot;Open Sans&quot;"/>
    </font>
    <font>
      <sz val="12.0"/>
      <color rgb="FF000000"/>
      <name val="Roboto"/>
    </font>
    <font>
      <sz val="12.0"/>
      <color rgb="FF313E5D"/>
      <name val="&quot;Nunito Sans&quot;"/>
    </font>
    <font>
      <sz val="12.0"/>
      <name val="Helvetica"/>
    </font>
    <font>
      <sz val="12.0"/>
      <color rgb="FF4E4F4F"/>
      <name val="Helvetica"/>
    </font>
    <font>
      <sz val="12.0"/>
      <color rgb="FF000000"/>
      <name val="Epilogue"/>
    </font>
    <font>
      <sz val="12.0"/>
    </font>
    <font>
      <sz val="12.0"/>
      <color rgb="FF000000"/>
      <name val="&quot;Fira Sans&quot;"/>
    </font>
    <font>
      <sz val="11.0"/>
      <color rgb="FF050505"/>
      <name val="&quot;Segoe UI Historic&quot;"/>
    </font>
    <font>
      <u/>
      <sz val="12.0"/>
      <color rgb="FF000000"/>
      <name val="Roboto"/>
    </font>
    <font>
      <sz val="12.0"/>
      <name val="Roboto"/>
    </font>
    <font>
      <sz val="12.0"/>
      <color rgb="FF000000"/>
      <name val="Google Sans Mono"/>
    </font>
    <font>
      <sz val="12.0"/>
      <color rgb="FF000000"/>
      <name val="Montserrat"/>
    </font>
    <font>
      <u/>
      <sz val="12.0"/>
      <color rgb="FF434343"/>
      <name val="Roboto"/>
    </font>
    <font>
      <sz val="12.0"/>
      <name val="Cairo"/>
    </font>
    <font>
      <u/>
      <sz val="12.0"/>
      <color rgb="FF000000"/>
      <name val="Cairo"/>
    </font>
    <font>
      <sz val="12.0"/>
      <name val="&quot;Segoe UI Historic&quot;"/>
    </font>
    <font>
      <sz val="12.0"/>
      <color rgb="FF000000"/>
      <name val="Cairo"/>
    </font>
    <font>
      <sz val="12.0"/>
      <color rgb="FF000000"/>
      <name val="Inter"/>
    </font>
    <font>
      <sz val="11.0"/>
      <color rgb="FF000000"/>
      <name val="Arial"/>
    </font>
    <font>
      <sz val="12.0"/>
      <color rgb="FF000000"/>
      <name val="Helvetica"/>
    </font>
    <font>
      <sz val="11.0"/>
      <color rgb="FF000000"/>
      <name val="Helvetica"/>
    </font>
    <font>
      <sz val="12.0"/>
      <color rgb="FF000000"/>
      <name val="Tajawal"/>
    </font>
    <font>
      <sz val="11.0"/>
      <color rgb="FF262626"/>
      <name val="Tajawal"/>
    </font>
    <font>
      <u/>
      <sz val="12.0"/>
      <color rgb="FF000000"/>
      <name val="Arial"/>
    </font>
    <font>
      <sz val="12.0"/>
      <color rgb="FF000000"/>
      <name val="Barlow"/>
    </font>
    <font>
      <sz val="11.0"/>
      <color rgb="FF000000"/>
      <name val="&quot;Open Sans&quot;"/>
    </font>
    <font>
      <sz val="12.0"/>
      <name val="Lato"/>
    </font>
    <font>
      <sz val="11.0"/>
      <name val="Lato"/>
    </font>
    <font>
      <sz val="11.0"/>
      <color rgb="FF050505"/>
      <name val="Arial"/>
    </font>
    <font>
      <u/>
      <sz val="12.0"/>
      <color rgb="FF000000"/>
      <name val="Arial"/>
    </font>
    <font>
      <sz val="11.0"/>
      <color rgb="FF313131"/>
      <name val="&quot;Work Sans&quot;"/>
    </font>
    <font>
      <u/>
      <sz val="12.0"/>
      <color rgb="FF000000"/>
      <name val="Tajawal"/>
    </font>
    <font>
      <sz val="11.0"/>
      <name val="Tajawal"/>
    </font>
    <font>
      <sz val="12.0"/>
      <color rgb="FF333333"/>
      <name val="IRANSans-web"/>
    </font>
    <font>
      <sz val="12.0"/>
      <color rgb="FF3C4858"/>
      <name val="Roboto"/>
    </font>
    <font>
      <sz val="11.0"/>
      <name val="Roboto"/>
    </font>
    <font>
      <sz val="14.0"/>
      <color rgb="FF857E7E"/>
      <name val="Rabar_013"/>
    </font>
    <font>
      <u/>
      <color rgb="FF505050"/>
      <name val="Conv_Roboto-Regular"/>
    </font>
    <font>
      <u/>
      <sz val="12.0"/>
      <color rgb="FF505050"/>
      <name val="Arial"/>
    </font>
    <font>
      <u/>
      <color rgb="FF505050"/>
      <name val="Conv_Roboto-Regular"/>
    </font>
    <font>
      <color rgb="FF050505"/>
      <name val="Arial"/>
    </font>
    <font>
      <sz val="9.0"/>
      <color rgb="FF000000"/>
      <name val="Google Sans Mono"/>
    </font>
    <font>
      <b/>
      <sz val="11.0"/>
      <color rgb="FF000000"/>
      <name val="&quot;Droid Arabic Kufi&quot;"/>
    </font>
    <font>
      <sz val="12.0"/>
      <color rgb="FF202124"/>
      <name val="&quot;Slabo 13px&quot;"/>
    </font>
    <font>
      <name val="&quot;Open Sans&quot;"/>
    </font>
    <font>
      <sz val="12.0"/>
      <name val="Overpass"/>
    </font>
    <font>
      <sz val="14.0"/>
      <name val="Overpass"/>
    </font>
    <font>
      <u/>
      <color rgb="FF000000"/>
      <name val="Roboto"/>
    </font>
    <font>
      <sz val="12.0"/>
      <color rgb="FF000000"/>
      <name val="Lato"/>
    </font>
    <font>
      <color rgb="FF1B1717"/>
      <name val="Lato"/>
    </font>
    <font>
      <sz val="11.0"/>
      <name val="Cairo"/>
    </font>
    <font>
      <sz val="12.0"/>
      <color rgb="FF272727"/>
      <name val="Lato"/>
    </font>
    <font>
      <u/>
      <sz val="12.0"/>
      <color rgb="FF000000"/>
      <name val="Lato"/>
    </font>
    <font>
      <sz val="12.0"/>
      <color rgb="FF2A2A2A"/>
      <name val="&quot;PT Sans&quot;"/>
    </font>
    <font>
      <sz val="12.0"/>
      <color rgb="FF000000"/>
      <name val="&quot;PT Sans&quot;"/>
    </font>
    <font>
      <sz val="12.0"/>
      <name val="&quot;DIN Regular&quot;"/>
    </font>
    <font>
      <sz val="14.0"/>
      <name val="Rabar_013"/>
    </font>
    <font>
      <sz val="12.0"/>
      <name val="&quot;Source Sans Pro&quot;"/>
    </font>
    <font>
      <u/>
      <sz val="11.0"/>
      <color rgb="FF000000"/>
      <name val="&quot;Source Sans Pro&quot;"/>
    </font>
    <font>
      <color rgb="FF000000"/>
      <name val="&quot;Helvetica Neue&quot;"/>
    </font>
    <font>
      <sz val="12.0"/>
      <name val="&quot;Open Sans&quot;"/>
    </font>
    <font>
      <u/>
      <sz val="11.0"/>
      <color rgb="FF000000"/>
      <name val="&quot;Open Sans&quot;"/>
    </font>
    <font>
      <sz val="12.0"/>
      <color rgb="FF333333"/>
      <name val="Montserrat"/>
    </font>
    <font>
      <sz val="11.0"/>
      <name val="&quot;Open Sans&quot;"/>
    </font>
    <font>
      <sz val="12.0"/>
      <color rgb="FF3C3C3B"/>
      <name val="&quot;Open Sans&quot;"/>
    </font>
    <font>
      <sz val="11.0"/>
      <color rgb="FF3C3C3B"/>
      <name val="&quot;Open Sans&quot;"/>
    </font>
    <font>
      <u/>
      <sz val="11.0"/>
      <color rgb="FF3C3C3B"/>
      <name val="&quot;Open Sans&quot;"/>
    </font>
    <font>
      <sz val="12.0"/>
      <name val="Inherit"/>
    </font>
    <font>
      <u/>
      <sz val="12.0"/>
      <color rgb="FF000000"/>
      <name val="Arial"/>
    </font>
    <font>
      <sz val="12.0"/>
      <color rgb="FF000000"/>
      <name val="Alexandria"/>
    </font>
    <font>
      <sz val="15.0"/>
      <color rgb="FF4D4D4D"/>
      <name val="__Lato_5"/>
    </font>
    <font>
      <sz val="12.0"/>
      <color rgb="FF4D4D4D"/>
      <name val="__Lato_5"/>
    </font>
    <font>
      <sz val="12.0"/>
      <color rgb="FF000000"/>
      <name val="&quot;Nunito Sans&quot;"/>
    </font>
    <font>
      <u/>
      <sz val="12.0"/>
      <color rgb="FF000000"/>
      <name val="Arial"/>
    </font>
    <font>
      <sz val="12.0"/>
      <color rgb="FF434343"/>
      <name val="MyriadPro"/>
    </font>
    <font>
      <u/>
      <sz val="12.0"/>
      <name val="SourceHanSansCN"/>
    </font>
    <font>
      <sz val="12.0"/>
      <color rgb="FF3A5F2F"/>
      <name val="Arial"/>
    </font>
    <font>
      <sz val="12.0"/>
      <color rgb="FF3F3F3F"/>
      <name val="Cairo"/>
    </font>
    <font>
      <u/>
      <sz val="12.0"/>
      <color rgb="FF000000"/>
      <name val="Arial"/>
    </font>
    <font>
      <sz val="11.0"/>
      <color rgb="FF313131"/>
      <name val="Lato"/>
    </font>
    <font>
      <sz val="12.0"/>
      <color rgb="FF313131"/>
      <name val="Lato"/>
    </font>
    <font>
      <sz val="12.0"/>
      <color rgb="FF373739"/>
      <name val="Arial"/>
    </font>
    <font>
      <u/>
      <sz val="11.0"/>
      <color rgb="FF373739"/>
      <name val="Roboto"/>
    </font>
    <font>
      <sz val="12.0"/>
      <color rgb="FF141F33"/>
      <name val="CommonFont"/>
    </font>
    <font>
      <sz val="11.0"/>
      <color rgb="FF000000"/>
      <name val="Lato"/>
    </font>
    <font>
      <sz val="12.0"/>
      <color rgb="FF333333"/>
      <name val="Roboto"/>
    </font>
    <font>
      <u/>
      <sz val="12.0"/>
      <color rgb="FF434343"/>
      <name val="Docs-Roboto"/>
    </font>
    <font>
      <sz val="12.0"/>
      <color rgb="FF666666"/>
      <name val="&quot;microsoft yahei&quot;"/>
    </font>
    <font>
      <sz val="12.0"/>
      <color rgb="FF222222"/>
      <name val="&quot;Open Sans&quot;"/>
    </font>
    <font>
      <sz val="12.0"/>
      <color rgb="FF1A1A1A"/>
      <name val="Poppins-Regular"/>
    </font>
    <font>
      <sz val="12.0"/>
      <color rgb="FF404040"/>
      <name val="Arial"/>
    </font>
    <font>
      <sz val="11.0"/>
      <color rgb="FF000000"/>
      <name val="Mulish"/>
    </font>
    <font>
      <sz val="11.0"/>
      <name val="Mulish"/>
    </font>
    <font>
      <sz val="12.0"/>
      <name val="MUCI_s"/>
    </font>
    <font>
      <sz val="12.0"/>
      <color rgb="FF666666"/>
      <name val="SourceHanSansCN"/>
    </font>
    <font>
      <sz val="12.0"/>
      <color rgb="FF000000"/>
      <name val="Quicksand"/>
    </font>
    <font>
      <u/>
      <sz val="12.0"/>
      <color rgb="FF000000"/>
      <name val="Quicksand"/>
    </font>
    <font>
      <sz val="11.0"/>
      <color rgb="FF585858"/>
      <name val="Roboto"/>
    </font>
    <font>
      <sz val="11.0"/>
      <color rgb="FF000000"/>
      <name val="&quot;Microsoft YaHei&quot;"/>
    </font>
    <font>
      <sz val="11.0"/>
      <name val="宋体"/>
    </font>
    <font>
      <u/>
      <sz val="12.0"/>
      <color rgb="FF333333"/>
      <name val="Arial"/>
    </font>
    <font>
      <sz val="12.0"/>
      <color rgb="FF000000"/>
      <name val="Exo"/>
    </font>
    <font>
      <sz val="12.0"/>
      <color rgb="FF333333"/>
      <name val="&quot;Helvetica Neue&quot;"/>
    </font>
    <font>
      <sz val="12.0"/>
      <color rgb="FF000000"/>
      <name val="Raleway"/>
    </font>
    <font>
      <sz val="12.0"/>
      <name val="Raleway"/>
    </font>
    <font>
      <sz val="12.0"/>
      <name val="Yekan"/>
    </font>
    <font>
      <sz val="13.0"/>
      <color rgb="FF050505"/>
      <name val="&quot;Segoe UI Historic&quot;"/>
    </font>
    <font>
      <sz val="13.0"/>
      <color rgb="FF000000"/>
      <name val="Raleway"/>
    </font>
    <font>
      <sz val="12.0"/>
      <color rgb="FF5C6268"/>
      <name val="Raleway"/>
    </font>
    <font>
      <sz val="12.0"/>
      <color rgb="FF000000"/>
      <name val="Docs-Inter"/>
    </font>
    <font>
      <sz val="12.0"/>
      <color rgb="FF4B4B4B"/>
      <name val="Arial"/>
    </font>
    <font>
      <sz val="12.0"/>
      <color rgb="FF213E6A"/>
      <name val="Arial"/>
    </font>
    <font>
      <sz val="12.0"/>
      <color rgb="FF231F20"/>
      <name val="Arial"/>
    </font>
    <font>
      <sz val="11.0"/>
      <color rgb="FF1E1F26"/>
      <name val="Arial"/>
    </font>
    <font>
      <sz val="12.0"/>
      <color rgb="FF555555"/>
      <name val="Arial"/>
    </font>
    <font>
      <u/>
      <sz val="12.0"/>
      <color rgb="FF555555"/>
      <name val="Arial"/>
    </font>
    <font>
      <sz val="12.0"/>
      <color rgb="FF191919"/>
      <name val="Georgia"/>
    </font>
    <font>
      <sz val="12.0"/>
      <color rgb="FF616161"/>
      <name val="&quot;Open Sans&quot;"/>
    </font>
    <font>
      <sz val="11.0"/>
      <color rgb="FF06324B"/>
      <name val="Georgia"/>
    </font>
    <font>
      <sz val="11.0"/>
      <name val="Georgia"/>
    </font>
    <font>
      <sz val="12.0"/>
      <color rgb="FF152030"/>
      <name val="Poppins"/>
    </font>
    <font>
      <sz val="12.0"/>
      <name val="Poppins"/>
    </font>
    <font>
      <sz val="12.0"/>
      <name val="&quot;docs-Helvetica Neue&quot;"/>
    </font>
    <font>
      <u/>
      <sz val="12.0"/>
      <color rgb="FF666666"/>
      <name val="Roboto"/>
    </font>
    <font>
      <sz val="11.0"/>
      <color rgb="FF000000"/>
      <name val="&quot;Helvetica Neue&quot;"/>
    </font>
    <font>
      <sz val="12.0"/>
      <color rgb="FF262626"/>
      <name val="Tajawal"/>
    </font>
    <font>
      <sz val="13.0"/>
      <name val="Arial"/>
    </font>
    <font>
      <sz val="14.0"/>
      <name val="Arial"/>
    </font>
    <font>
      <u/>
      <sz val="12.0"/>
      <color rgb="FF1155CC"/>
      <name val="Roboto"/>
    </font>
    <font>
      <u/>
      <sz val="12.0"/>
      <color rgb="FF0000FF"/>
      <name val="Roboto"/>
    </font>
    <font>
      <u/>
      <sz val="12.0"/>
      <color rgb="FF0000FF"/>
      <name val="Roboto"/>
    </font>
    <font>
      <sz val="12.0"/>
      <color rgb="FF1D1D1D"/>
      <name val="Arial"/>
    </font>
    <font>
      <sz val="11.0"/>
      <name val="&quot;Helvetica Neue&quot;"/>
    </font>
    <font>
      <u/>
      <sz val="11.0"/>
      <color rgb="FF000000"/>
      <name val="&quot;Helvetica Neue&quot;"/>
    </font>
    <font>
      <u/>
      <sz val="12.0"/>
      <color rgb="FF434343"/>
      <name val="Roboto"/>
    </font>
    <font>
      <u/>
      <sz val="11.0"/>
      <color rgb="FF666666"/>
      <name val="Oswald"/>
    </font>
    <font>
      <sz val="12.0"/>
      <color rgb="FF000000"/>
      <name val="Poppins"/>
    </font>
    <font>
      <b/>
      <sz val="12.0"/>
      <color rgb="FF000000"/>
      <name val="&quot;Segoe UI Historic&quot;"/>
    </font>
    <font>
      <b/>
      <sz val="12.0"/>
      <color rgb="FF000000"/>
      <name val="Inherit"/>
    </font>
    <font>
      <b/>
      <u/>
      <sz val="12.0"/>
      <color rgb="FF000000"/>
      <name val="Calibri"/>
    </font>
    <font>
      <b/>
      <u/>
      <sz val="12.0"/>
      <color rgb="FF000000"/>
      <name val="Calibri"/>
    </font>
    <font>
      <b/>
      <u/>
      <sz val="12.0"/>
      <color rgb="FF000000"/>
      <name val="Calibri"/>
    </font>
    <font>
      <sz val="12.0"/>
      <name val="Calibri"/>
    </font>
    <font>
      <u/>
      <sz val="12.0"/>
      <name val="Calibri"/>
    </font>
    <font>
      <u/>
      <sz val="12.0"/>
      <color rgb="FF0000FF"/>
      <name val="Calibri"/>
    </font>
    <font>
      <sz val="12.0"/>
      <color rgb="FF000000"/>
      <name val="&quot;Segoe UI Historic&quot;"/>
    </font>
    <font>
      <u/>
      <sz val="12.0"/>
      <color rgb="FF0563C1"/>
      <name val="Calibri"/>
    </font>
    <font>
      <sz val="12.0"/>
      <color rgb="FFFFFFFF"/>
      <name val="Calibri"/>
    </font>
    <font>
      <u/>
      <sz val="12.0"/>
      <color rgb="FF0000FF"/>
      <name val="Calibri"/>
    </font>
    <font>
      <b/>
      <sz val="13.0"/>
      <color rgb="FF3C78D8"/>
    </font>
    <font>
      <u/>
      <sz val="11.0"/>
      <color rgb="FF0000FF"/>
    </font>
    <font>
      <b/>
      <u/>
      <color rgb="FF0000FF"/>
      <name val="Arial"/>
    </font>
    <font>
      <b/>
      <color rgb="FF000000"/>
      <name val="Calibri"/>
    </font>
    <font>
      <b/>
      <u/>
      <sz val="11.0"/>
      <color rgb="FF0563C1"/>
      <name val="Calibri"/>
    </font>
    <font>
      <sz val="12.0"/>
      <color rgb="FF161823"/>
      <name val="Arial"/>
    </font>
    <font>
      <sz val="12.0"/>
      <color rgb="FF1C1E21"/>
      <name val="Inherit"/>
    </font>
    <font>
      <sz val="12.0"/>
      <color rgb="FF212529"/>
      <name val="Arial"/>
    </font>
    <font>
      <b/>
      <u/>
      <sz val="12.0"/>
      <color rgb="FF000000"/>
      <name val="Calibri"/>
    </font>
  </fonts>
  <fills count="68">
    <fill>
      <patternFill patternType="none"/>
    </fill>
    <fill>
      <patternFill patternType="lightGray"/>
    </fill>
    <fill>
      <patternFill patternType="solid">
        <fgColor rgb="FFE69138"/>
        <bgColor rgb="FFE69138"/>
      </patternFill>
    </fill>
    <fill>
      <patternFill patternType="solid">
        <fgColor rgb="FFFFFFFF"/>
        <bgColor rgb="FFFFFFFF"/>
      </patternFill>
    </fill>
    <fill>
      <patternFill patternType="solid">
        <fgColor rgb="FF00B0F0"/>
        <bgColor rgb="FF00B0F0"/>
      </patternFill>
    </fill>
    <fill>
      <patternFill patternType="solid">
        <fgColor rgb="FF595959"/>
        <bgColor rgb="FF595959"/>
      </patternFill>
    </fill>
    <fill>
      <patternFill patternType="solid">
        <fgColor rgb="FFFFE699"/>
        <bgColor rgb="FFFFE699"/>
      </patternFill>
    </fill>
    <fill>
      <patternFill patternType="solid">
        <fgColor rgb="FFFFE599"/>
        <bgColor rgb="FFFFE599"/>
      </patternFill>
    </fill>
    <fill>
      <patternFill patternType="solid">
        <fgColor rgb="FFD9D9D9"/>
        <bgColor rgb="FFD9D9D9"/>
      </patternFill>
    </fill>
    <fill>
      <patternFill patternType="solid">
        <fgColor rgb="FFD0CECE"/>
        <bgColor rgb="FFD0CECE"/>
      </patternFill>
    </fill>
    <fill>
      <patternFill patternType="solid">
        <fgColor rgb="FFFFFF00"/>
        <bgColor rgb="FFFFFF00"/>
      </patternFill>
    </fill>
    <fill>
      <patternFill patternType="solid">
        <fgColor rgb="FFFF0000"/>
        <bgColor rgb="FFFF0000"/>
      </patternFill>
    </fill>
    <fill>
      <patternFill patternType="solid">
        <fgColor rgb="FF808080"/>
        <bgColor rgb="FF808080"/>
      </patternFill>
    </fill>
    <fill>
      <patternFill patternType="solid">
        <fgColor rgb="FFFFD966"/>
        <bgColor rgb="FFFFD966"/>
      </patternFill>
    </fill>
    <fill>
      <patternFill patternType="solid">
        <fgColor rgb="FFDBDBDB"/>
        <bgColor rgb="FFDBDBDB"/>
      </patternFill>
    </fill>
    <fill>
      <patternFill patternType="solid">
        <fgColor rgb="FF1F4E78"/>
        <bgColor rgb="FF1F4E78"/>
      </patternFill>
    </fill>
    <fill>
      <patternFill patternType="solid">
        <fgColor rgb="FFDDEBF7"/>
        <bgColor rgb="FFDDEBF7"/>
      </patternFill>
    </fill>
    <fill>
      <patternFill patternType="solid">
        <fgColor rgb="FF00FFFF"/>
        <bgColor rgb="FF00FFFF"/>
      </patternFill>
    </fill>
    <fill>
      <patternFill patternType="solid">
        <fgColor rgb="FF2F75B5"/>
        <bgColor rgb="FF2F75B5"/>
      </patternFill>
    </fill>
    <fill>
      <patternFill patternType="solid">
        <fgColor rgb="FFBF8F00"/>
        <bgColor rgb="FFBF8F00"/>
      </patternFill>
    </fill>
    <fill>
      <patternFill patternType="solid">
        <fgColor rgb="FFAEAAAA"/>
        <bgColor rgb="FFAEAAAA"/>
      </patternFill>
    </fill>
    <fill>
      <patternFill patternType="solid">
        <fgColor rgb="FFFF00FF"/>
        <bgColor rgb="FFFF00FF"/>
      </patternFill>
    </fill>
    <fill>
      <patternFill patternType="solid">
        <fgColor rgb="FFB45F06"/>
        <bgColor rgb="FFB45F06"/>
      </patternFill>
    </fill>
    <fill>
      <patternFill patternType="solid">
        <fgColor rgb="FFF9CB9C"/>
        <bgColor rgb="FFF9CB9C"/>
      </patternFill>
    </fill>
    <fill>
      <patternFill patternType="solid">
        <fgColor rgb="FFEAD1DC"/>
        <bgColor rgb="FFEAD1DC"/>
      </patternFill>
    </fill>
    <fill>
      <patternFill patternType="solid">
        <fgColor rgb="FFFCE5CD"/>
        <bgColor rgb="FFFCE5CD"/>
      </patternFill>
    </fill>
    <fill>
      <patternFill patternType="solid">
        <fgColor rgb="FFFFF2CC"/>
        <bgColor rgb="FFFFF2CC"/>
      </patternFill>
    </fill>
    <fill>
      <patternFill patternType="solid">
        <fgColor rgb="FFF8F9FB"/>
        <bgColor rgb="FFF8F9FB"/>
      </patternFill>
    </fill>
    <fill>
      <patternFill patternType="solid">
        <fgColor rgb="FFF6B26B"/>
        <bgColor rgb="FFF6B26B"/>
      </patternFill>
    </fill>
    <fill>
      <patternFill patternType="solid">
        <fgColor rgb="FFFDFDFD"/>
        <bgColor rgb="FFFDFDFD"/>
      </patternFill>
    </fill>
    <fill>
      <patternFill patternType="solid">
        <fgColor rgb="FF1C4587"/>
        <bgColor rgb="FF1C4587"/>
      </patternFill>
    </fill>
    <fill>
      <patternFill patternType="solid">
        <fgColor rgb="FF26A69A"/>
        <bgColor rgb="FF26A69A"/>
      </patternFill>
    </fill>
    <fill>
      <patternFill patternType="solid">
        <fgColor rgb="FFD9EAD3"/>
        <bgColor rgb="FFD9EAD3"/>
      </patternFill>
    </fill>
    <fill>
      <patternFill patternType="solid">
        <fgColor rgb="FF2D55A2"/>
        <bgColor rgb="FF2D55A2"/>
      </patternFill>
    </fill>
    <fill>
      <patternFill patternType="solid">
        <fgColor rgb="FFA4C2F4"/>
        <bgColor rgb="FFA4C2F4"/>
      </patternFill>
    </fill>
    <fill>
      <patternFill patternType="solid">
        <fgColor rgb="FF8E7CC3"/>
        <bgColor rgb="FF8E7CC3"/>
      </patternFill>
    </fill>
    <fill>
      <patternFill patternType="solid">
        <fgColor rgb="FFD9D2E9"/>
        <bgColor rgb="FFD9D2E9"/>
      </patternFill>
    </fill>
    <fill>
      <patternFill patternType="solid">
        <fgColor rgb="FFDDF2F0"/>
        <bgColor rgb="FFDDF2F0"/>
      </patternFill>
    </fill>
    <fill>
      <patternFill patternType="solid">
        <fgColor rgb="FFEA9999"/>
        <bgColor rgb="FFEA9999"/>
      </patternFill>
    </fill>
    <fill>
      <patternFill patternType="solid">
        <fgColor rgb="FFE8F0FA"/>
        <bgColor rgb="FFE8F0FA"/>
      </patternFill>
    </fill>
    <fill>
      <patternFill patternType="solid">
        <fgColor rgb="FF674EA7"/>
        <bgColor rgb="FF674EA7"/>
      </patternFill>
    </fill>
    <fill>
      <patternFill patternType="solid">
        <fgColor rgb="FFB4A7D6"/>
        <bgColor rgb="FFB4A7D6"/>
      </patternFill>
    </fill>
    <fill>
      <patternFill patternType="solid">
        <fgColor rgb="FFE6B8AF"/>
        <bgColor rgb="FFE6B8AF"/>
      </patternFill>
    </fill>
    <fill>
      <patternFill patternType="solid">
        <fgColor rgb="FFD5A6BD"/>
        <bgColor rgb="FFD5A6BD"/>
      </patternFill>
    </fill>
    <fill>
      <patternFill patternType="solid">
        <fgColor rgb="FF45818E"/>
        <bgColor rgb="FF45818E"/>
      </patternFill>
    </fill>
    <fill>
      <patternFill patternType="solid">
        <fgColor rgb="FFA2C4C9"/>
        <bgColor rgb="FFA2C4C9"/>
      </patternFill>
    </fill>
    <fill>
      <patternFill patternType="solid">
        <fgColor rgb="FF073763"/>
        <bgColor rgb="FF073763"/>
      </patternFill>
    </fill>
    <fill>
      <patternFill patternType="solid">
        <fgColor rgb="FF6FA8DC"/>
        <bgColor rgb="FF6FA8DC"/>
      </patternFill>
    </fill>
    <fill>
      <patternFill patternType="solid">
        <fgColor rgb="FFCFE2F3"/>
        <bgColor rgb="FFCFE2F3"/>
      </patternFill>
    </fill>
    <fill>
      <patternFill patternType="solid">
        <fgColor rgb="FF351C75"/>
        <bgColor rgb="FF351C75"/>
      </patternFill>
    </fill>
    <fill>
      <patternFill patternType="solid">
        <fgColor rgb="FF000000"/>
        <bgColor rgb="FF000000"/>
      </patternFill>
    </fill>
    <fill>
      <patternFill patternType="solid">
        <fgColor rgb="FFF8F8F8"/>
        <bgColor rgb="FFF8F8F8"/>
      </patternFill>
    </fill>
    <fill>
      <patternFill patternType="solid">
        <fgColor rgb="FF990000"/>
        <bgColor rgb="FF990000"/>
      </patternFill>
    </fill>
    <fill>
      <patternFill patternType="solid">
        <fgColor rgb="FFE06666"/>
        <bgColor rgb="FFE06666"/>
      </patternFill>
    </fill>
    <fill>
      <patternFill patternType="solid">
        <fgColor rgb="FFF4CCCC"/>
        <bgColor rgb="FFF4CCCC"/>
      </patternFill>
    </fill>
    <fill>
      <patternFill patternType="solid">
        <fgColor rgb="FFA61C00"/>
        <bgColor rgb="FFA61C00"/>
      </patternFill>
    </fill>
    <fill>
      <patternFill patternType="solid">
        <fgColor rgb="FFDD7E6B"/>
        <bgColor rgb="FFDD7E6B"/>
      </patternFill>
    </fill>
    <fill>
      <patternFill patternType="solid">
        <fgColor rgb="FFF8FAFD"/>
        <bgColor rgb="FFF8FAFD"/>
      </patternFill>
    </fill>
    <fill>
      <patternFill patternType="solid">
        <fgColor rgb="FFF5F5F5"/>
        <bgColor rgb="FFF5F5F5"/>
      </patternFill>
    </fill>
    <fill>
      <patternFill patternType="solid">
        <fgColor rgb="FF00FF00"/>
        <bgColor rgb="FF00FF00"/>
      </patternFill>
    </fill>
    <fill>
      <patternFill patternType="solid">
        <fgColor rgb="FFFBFBFB"/>
        <bgColor rgb="FFFBFBFB"/>
      </patternFill>
    </fill>
    <fill>
      <patternFill patternType="solid">
        <fgColor rgb="FFA64D79"/>
        <bgColor rgb="FFA64D79"/>
      </patternFill>
    </fill>
    <fill>
      <patternFill patternType="solid">
        <fgColor rgb="FFFAFAFA"/>
        <bgColor rgb="FFFAFAFA"/>
      </patternFill>
    </fill>
    <fill>
      <patternFill patternType="solid">
        <fgColor rgb="FFF6F6F6"/>
        <bgColor rgb="FFF6F6F6"/>
      </patternFill>
    </fill>
    <fill>
      <patternFill patternType="solid">
        <fgColor rgb="FFF4F4F4"/>
        <bgColor rgb="FFF4F4F4"/>
      </patternFill>
    </fill>
    <fill>
      <patternFill patternType="solid">
        <fgColor rgb="FFED7D31"/>
        <bgColor rgb="FFED7D31"/>
      </patternFill>
    </fill>
    <fill>
      <patternFill patternType="solid">
        <fgColor rgb="FFBDD7EE"/>
        <bgColor rgb="FFBDD7EE"/>
      </patternFill>
    </fill>
    <fill>
      <patternFill patternType="solid">
        <fgColor rgb="FFFF9900"/>
        <bgColor rgb="FFFF9900"/>
      </patternFill>
    </fill>
  </fills>
  <borders count="22">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left style="thin">
        <color rgb="FF000000"/>
      </left>
      <top style="thin">
        <color rgb="FF000000"/>
      </top>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bottom style="hair">
        <color rgb="FFD9D9D9"/>
      </bottom>
    </border>
    <border>
      <top style="hair">
        <color rgb="FFD9D9D9"/>
      </top>
      <bottom style="hair">
        <color rgb="FFD9D9D9"/>
      </bottom>
    </border>
    <border>
      <top style="thin">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C9DAF8"/>
      </right>
      <top style="thin">
        <color rgb="FFC9DAF8"/>
      </top>
      <bottom style="thin">
        <color rgb="FFC9DAF8"/>
      </bottom>
    </border>
    <border>
      <top style="thin">
        <color rgb="FFC9DAF8"/>
      </top>
      <bottom style="thin">
        <color rgb="FFC9DAF8"/>
      </bottom>
    </border>
    <border>
      <left style="thin">
        <color rgb="FF000000"/>
      </left>
      <bottom style="thin">
        <color rgb="FF000000"/>
      </bottom>
    </border>
    <border>
      <left style="thick">
        <color rgb="FF000000"/>
      </left>
      <right style="thick">
        <color rgb="FF000000"/>
      </right>
      <top style="thick">
        <color rgb="FF000000"/>
      </top>
      <bottom style="thick">
        <color rgb="FF000000"/>
      </bottom>
    </border>
    <border>
      <top style="thin">
        <color rgb="FF4472C4"/>
      </top>
    </border>
    <border>
      <left style="thin">
        <color rgb="FFFF6915"/>
      </left>
      <right style="thin">
        <color rgb="FFFF6915"/>
      </right>
      <bottom style="thin">
        <color rgb="FFFF6915"/>
      </bottom>
    </border>
  </borders>
  <cellStyleXfs count="1">
    <xf borderId="0" fillId="0" fontId="0" numFmtId="0" applyAlignment="1" applyFont="1"/>
  </cellStyleXfs>
  <cellXfs count="139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2"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top" wrapText="1"/>
    </xf>
    <xf borderId="3" fillId="2" fontId="2" numFmtId="0" xfId="0" applyAlignment="1" applyBorder="1" applyFont="1">
      <alignment horizontal="center" readingOrder="0" shrinkToFit="0" vertical="top" wrapText="1"/>
    </xf>
    <xf borderId="1" fillId="2" fontId="3" numFmtId="0" xfId="0" applyAlignment="1" applyBorder="1" applyFont="1">
      <alignment horizontal="center" readingOrder="0" vertical="center"/>
    </xf>
    <xf borderId="1" fillId="2" fontId="3" numFmtId="0" xfId="0" applyAlignment="1" applyBorder="1" applyFont="1">
      <alignment horizontal="left" readingOrder="0" vertical="center"/>
    </xf>
    <xf borderId="1" fillId="0" fontId="4" numFmtId="0" xfId="0" applyAlignment="1" applyBorder="1" applyFont="1">
      <alignment horizontal="center" readingOrder="0" shrinkToFit="0" vertical="bottom" wrapText="0"/>
    </xf>
    <xf borderId="1" fillId="0" fontId="5" numFmtId="0" xfId="0" applyAlignment="1" applyBorder="1" applyFont="1">
      <alignment horizontal="center" readingOrder="0" vertical="center"/>
    </xf>
    <xf borderId="1" fillId="0" fontId="4" numFmtId="0" xfId="0" applyAlignment="1" applyBorder="1" applyFont="1">
      <alignment horizontal="left" readingOrder="0" shrinkToFit="0" wrapText="0"/>
    </xf>
    <xf borderId="1" fillId="0" fontId="4" numFmtId="0" xfId="0" applyAlignment="1" applyBorder="1" applyFont="1">
      <alignment horizontal="center" readingOrder="0" shrinkToFit="0" wrapText="0"/>
    </xf>
    <xf borderId="1" fillId="0" fontId="4" numFmtId="0" xfId="0" applyAlignment="1" applyBorder="1" applyFont="1">
      <alignment horizontal="left" shrinkToFit="0" wrapText="0"/>
    </xf>
    <xf borderId="1" fillId="0" fontId="5" numFmtId="1" xfId="0" applyAlignment="1" applyBorder="1" applyFont="1" applyNumberFormat="1">
      <alignment horizontal="left" readingOrder="0" shrinkToFit="0" vertical="center" wrapText="1"/>
    </xf>
    <xf borderId="1" fillId="0" fontId="6" numFmtId="0" xfId="0" applyAlignment="1" applyBorder="1" applyFont="1">
      <alignment horizontal="left" readingOrder="0" shrinkToFit="0" wrapText="0"/>
    </xf>
    <xf borderId="1" fillId="0" fontId="5" numFmtId="0" xfId="0" applyAlignment="1" applyBorder="1" applyFont="1">
      <alignment horizontal="left" readingOrder="0" shrinkToFit="0" vertical="center" wrapText="1"/>
    </xf>
    <xf borderId="1" fillId="0" fontId="4" numFmtId="0" xfId="0" applyAlignment="1" applyBorder="1" applyFont="1">
      <alignment horizontal="center" shrinkToFit="0" wrapText="0"/>
    </xf>
    <xf borderId="1" fillId="0" fontId="5" numFmtId="164" xfId="0" applyAlignment="1" applyBorder="1" applyFont="1" applyNumberFormat="1">
      <alignment horizontal="center" readingOrder="0" vertical="center"/>
    </xf>
    <xf borderId="1" fillId="3" fontId="7" numFmtId="0" xfId="0" applyAlignment="1" applyBorder="1" applyFill="1" applyFont="1">
      <alignment horizontal="center" readingOrder="0" shrinkToFit="0" wrapText="0"/>
    </xf>
    <xf borderId="1" fillId="3" fontId="8" numFmtId="0" xfId="0" applyAlignment="1" applyBorder="1" applyFont="1">
      <alignment horizontal="center" shrinkToFit="0" wrapText="0"/>
    </xf>
    <xf borderId="1" fillId="3" fontId="7" numFmtId="0" xfId="0" applyAlignment="1" applyBorder="1" applyFont="1">
      <alignment horizontal="center" shrinkToFit="0" wrapText="0"/>
    </xf>
    <xf borderId="3" fillId="3" fontId="7" numFmtId="0" xfId="0" applyAlignment="1" applyBorder="1" applyFont="1">
      <alignment horizontal="center" shrinkToFit="0" wrapText="0"/>
    </xf>
    <xf borderId="3" fillId="3" fontId="7" numFmtId="0" xfId="0" applyAlignment="1" applyBorder="1" applyFont="1">
      <alignment horizontal="center" readingOrder="0" shrinkToFit="0" wrapText="0"/>
    </xf>
    <xf borderId="4" fillId="3" fontId="7" numFmtId="0" xfId="0" applyAlignment="1" applyBorder="1" applyFont="1">
      <alignment horizontal="center" readingOrder="0" shrinkToFit="0" wrapText="0"/>
    </xf>
    <xf borderId="5" fillId="3" fontId="7" numFmtId="0" xfId="0" applyAlignment="1" applyBorder="1" applyFont="1">
      <alignment horizontal="center" shrinkToFit="0" wrapText="0"/>
    </xf>
    <xf borderId="5" fillId="3" fontId="7" numFmtId="0" xfId="0" applyAlignment="1" applyBorder="1" applyFont="1">
      <alignment horizontal="center" readingOrder="0" shrinkToFit="0" wrapText="0"/>
    </xf>
    <xf borderId="6" fillId="3" fontId="7" numFmtId="0" xfId="0" applyAlignment="1" applyBorder="1" applyFont="1">
      <alignment horizontal="center" readingOrder="0" shrinkToFit="0" wrapText="0"/>
    </xf>
    <xf borderId="2" fillId="2" fontId="9" numFmtId="0" xfId="0" applyAlignment="1" applyBorder="1" applyFont="1">
      <alignment horizontal="center" readingOrder="0" shrinkToFit="0" vertical="center" wrapText="1"/>
    </xf>
    <xf borderId="2" fillId="2" fontId="9" numFmtId="0" xfId="0" applyAlignment="1" applyBorder="1" applyFont="1">
      <alignment horizontal="center" readingOrder="0" shrinkToFit="0" vertical="top" wrapText="1"/>
    </xf>
    <xf borderId="3" fillId="2" fontId="9" numFmtId="0" xfId="0" applyAlignment="1" applyBorder="1" applyFont="1">
      <alignment horizontal="center" readingOrder="0" shrinkToFit="0" vertical="top" wrapText="1"/>
    </xf>
    <xf borderId="0" fillId="2" fontId="9" numFmtId="0" xfId="0" applyAlignment="1" applyFont="1">
      <alignment horizontal="center" readingOrder="0" shrinkToFit="0" vertical="top" wrapText="1"/>
    </xf>
    <xf borderId="1" fillId="2" fontId="10"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4" fillId="3" fontId="12" numFmtId="0" xfId="0" applyAlignment="1" applyBorder="1" applyFont="1">
      <alignment horizontal="center" readingOrder="0" shrinkToFit="0" vertical="bottom" wrapText="1"/>
    </xf>
    <xf borderId="7" fillId="3" fontId="4" numFmtId="1" xfId="0" applyAlignment="1" applyBorder="1" applyFont="1" applyNumberFormat="1">
      <alignment horizontal="center" readingOrder="0" shrinkToFit="0" vertical="bottom" wrapText="1"/>
    </xf>
    <xf borderId="7" fillId="3" fontId="4" numFmtId="1" xfId="0" applyAlignment="1" applyBorder="1" applyFont="1" applyNumberFormat="1">
      <alignment horizontal="center" shrinkToFit="0" vertical="bottom" wrapText="1"/>
    </xf>
    <xf borderId="7" fillId="3" fontId="13" numFmtId="49" xfId="0" applyAlignment="1" applyBorder="1" applyFont="1" applyNumberFormat="1">
      <alignment horizontal="center" shrinkToFit="0" vertical="bottom" wrapText="1"/>
    </xf>
    <xf borderId="7" fillId="3" fontId="12" numFmtId="1" xfId="0" applyAlignment="1" applyBorder="1" applyFont="1" applyNumberFormat="1">
      <alignment horizontal="center" readingOrder="0" shrinkToFit="0" vertical="bottom" wrapText="1"/>
    </xf>
    <xf borderId="0" fillId="3" fontId="12" numFmtId="0" xfId="0" applyAlignment="1" applyFont="1">
      <alignment horizontal="center" readingOrder="0" shrinkToFit="0" vertical="bottom" wrapText="1"/>
    </xf>
    <xf borderId="1" fillId="3" fontId="12" numFmtId="0" xfId="0" applyAlignment="1" applyBorder="1" applyFont="1">
      <alignment horizontal="center" readingOrder="0" shrinkToFit="0" vertical="bottom" wrapText="1"/>
    </xf>
    <xf borderId="3" fillId="3" fontId="4" numFmtId="0" xfId="0" applyAlignment="1" applyBorder="1" applyFont="1">
      <alignment horizontal="center" readingOrder="0" shrinkToFit="0" vertical="bottom" wrapText="1"/>
    </xf>
    <xf borderId="3" fillId="3" fontId="14" numFmtId="49" xfId="0" applyAlignment="1" applyBorder="1" applyFont="1" applyNumberFormat="1">
      <alignment horizontal="center" readingOrder="0" shrinkToFit="0" vertical="bottom" wrapText="1"/>
    </xf>
    <xf borderId="3" fillId="3" fontId="12" numFmtId="0" xfId="0" applyAlignment="1" applyBorder="1" applyFont="1">
      <alignment horizontal="center" readingOrder="0" shrinkToFit="0" vertical="bottom" wrapText="1"/>
    </xf>
    <xf borderId="2" fillId="3" fontId="12" numFmtId="0" xfId="0" applyAlignment="1" applyBorder="1" applyFont="1">
      <alignment horizontal="center" readingOrder="0" shrinkToFit="0" vertical="bottom" wrapText="1"/>
    </xf>
    <xf borderId="8" fillId="3" fontId="12" numFmtId="0" xfId="0" applyAlignment="1" applyBorder="1" applyFont="1">
      <alignment horizontal="center" readingOrder="0" shrinkToFit="0" vertical="bottom" wrapText="1"/>
    </xf>
    <xf borderId="9" fillId="3" fontId="4" numFmtId="0" xfId="0" applyAlignment="1" applyBorder="1" applyFont="1">
      <alignment horizontal="center" readingOrder="0" shrinkToFit="0" vertical="bottom" wrapText="1"/>
    </xf>
    <xf borderId="9" fillId="3" fontId="15" numFmtId="49" xfId="0" applyAlignment="1" applyBorder="1" applyFont="1" applyNumberFormat="1">
      <alignment horizontal="center" readingOrder="0" shrinkToFit="0" vertical="bottom" wrapText="1"/>
    </xf>
    <xf borderId="9" fillId="3" fontId="12" numFmtId="0" xfId="0" applyAlignment="1" applyBorder="1" applyFont="1">
      <alignment horizontal="center" readingOrder="0" shrinkToFit="0" vertical="bottom" wrapText="1"/>
    </xf>
    <xf borderId="10" fillId="3" fontId="12" numFmtId="0" xfId="0" applyAlignment="1" applyBorder="1" applyFont="1">
      <alignment horizontal="center" readingOrder="0" shrinkToFit="0" vertical="bottom" wrapText="1"/>
    </xf>
    <xf borderId="9" fillId="3" fontId="12" numFmtId="49" xfId="0" applyAlignment="1" applyBorder="1" applyFont="1" applyNumberFormat="1">
      <alignment horizontal="center" shrinkToFit="0" vertical="bottom" wrapText="1"/>
    </xf>
    <xf borderId="0" fillId="0" fontId="12" numFmtId="0" xfId="0" applyAlignment="1" applyFont="1">
      <alignment horizontal="center" readingOrder="0" shrinkToFit="0" vertical="bottom" wrapText="1"/>
    </xf>
    <xf borderId="9" fillId="3" fontId="16" numFmtId="49" xfId="0" applyAlignment="1" applyBorder="1" applyFont="1" applyNumberFormat="1">
      <alignment horizontal="center" shrinkToFit="0" vertical="bottom" wrapText="1"/>
    </xf>
    <xf borderId="2" fillId="3" fontId="17" numFmtId="0" xfId="0" applyAlignment="1" applyBorder="1" applyFont="1">
      <alignment horizontal="center" readingOrder="0" shrinkToFit="0" vertical="bottom" wrapText="1"/>
    </xf>
    <xf borderId="2" fillId="0" fontId="18" numFmtId="0" xfId="0" applyBorder="1" applyFont="1"/>
    <xf borderId="9" fillId="3" fontId="4" numFmtId="0" xfId="0" applyAlignment="1" applyBorder="1" applyFont="1">
      <alignment horizontal="center" shrinkToFit="0" vertical="bottom" wrapText="1"/>
    </xf>
    <xf borderId="9" fillId="3" fontId="19" numFmtId="0" xfId="0" applyAlignment="1" applyBorder="1" applyFont="1">
      <alignment horizontal="center" readingOrder="0" shrinkToFit="0" vertical="bottom" wrapText="1"/>
    </xf>
    <xf borderId="9" fillId="3" fontId="12" numFmtId="49" xfId="0" applyAlignment="1" applyBorder="1" applyFont="1" applyNumberFormat="1">
      <alignment horizontal="center" readingOrder="0" shrinkToFit="0" vertical="bottom" wrapText="1"/>
    </xf>
    <xf borderId="8" fillId="3" fontId="20" numFmtId="0" xfId="0" applyAlignment="1" applyBorder="1" applyFont="1">
      <alignment horizontal="center" readingOrder="0" shrinkToFit="0" vertical="bottom" wrapText="1"/>
    </xf>
    <xf borderId="8" fillId="3" fontId="17" numFmtId="0" xfId="0" applyAlignment="1" applyBorder="1" applyFont="1">
      <alignment horizontal="center" readingOrder="0" shrinkToFit="0" vertical="bottom" wrapText="1"/>
    </xf>
    <xf borderId="9" fillId="3" fontId="21" numFmtId="0" xfId="0" applyAlignment="1" applyBorder="1" applyFont="1">
      <alignment horizontal="center" readingOrder="0" shrinkToFit="0" vertical="bottom" wrapText="1"/>
    </xf>
    <xf borderId="9" fillId="3" fontId="22" numFmtId="49" xfId="0" applyAlignment="1" applyBorder="1" applyFont="1" applyNumberFormat="1">
      <alignment horizontal="center" shrinkToFit="0" vertical="bottom" wrapText="1"/>
    </xf>
    <xf borderId="9" fillId="3" fontId="12" numFmtId="0" xfId="0" applyAlignment="1" applyBorder="1" applyFont="1">
      <alignment horizontal="center" readingOrder="0" shrinkToFit="0" wrapText="1"/>
    </xf>
    <xf borderId="9" fillId="3" fontId="21" numFmtId="0" xfId="0" applyAlignment="1" applyBorder="1" applyFont="1">
      <alignment horizontal="center" shrinkToFit="0" vertical="bottom" wrapText="1"/>
    </xf>
    <xf borderId="9" fillId="3" fontId="17" numFmtId="49" xfId="0" applyAlignment="1" applyBorder="1" applyFont="1" applyNumberFormat="1">
      <alignment horizontal="center" shrinkToFit="0" vertical="bottom" wrapText="1"/>
    </xf>
    <xf borderId="8" fillId="3" fontId="19" numFmtId="0" xfId="0" applyAlignment="1" applyBorder="1" applyFont="1">
      <alignment horizontal="center" readingOrder="0" shrinkToFit="0" vertical="bottom" wrapText="1"/>
    </xf>
    <xf borderId="9" fillId="3" fontId="23" numFmtId="0" xfId="0" applyAlignment="1" applyBorder="1" applyFont="1">
      <alignment horizontal="center" readingOrder="0" shrinkToFit="0" vertical="bottom" wrapText="1"/>
    </xf>
    <xf borderId="9" fillId="3" fontId="24" numFmtId="49" xfId="0" applyAlignment="1" applyBorder="1" applyFont="1" applyNumberFormat="1">
      <alignment horizontal="center" readingOrder="0" shrinkToFit="0" vertical="bottom" wrapText="1"/>
    </xf>
    <xf borderId="10" fillId="3" fontId="19" numFmtId="0" xfId="0" applyAlignment="1" applyBorder="1" applyFont="1">
      <alignment horizontal="center" readingOrder="0" shrinkToFit="0" vertical="bottom" wrapText="1"/>
    </xf>
    <xf borderId="9" fillId="3" fontId="25" numFmtId="49" xfId="0" applyAlignment="1" applyBorder="1" applyFont="1" applyNumberFormat="1">
      <alignment horizontal="center" shrinkToFit="0" vertical="bottom" wrapText="1"/>
    </xf>
    <xf borderId="1" fillId="0" fontId="11" numFmtId="164" xfId="0" applyAlignment="1" applyBorder="1" applyFont="1" applyNumberFormat="1">
      <alignment horizontal="center" readingOrder="0" shrinkToFit="0" vertical="center" wrapText="1"/>
    </xf>
    <xf borderId="1" fillId="0" fontId="26" numFmtId="0" xfId="0" applyAlignment="1" applyBorder="1" applyFont="1">
      <alignment horizontal="center" readingOrder="0" shrinkToFit="0" vertical="center" wrapText="1"/>
    </xf>
    <xf borderId="1" fillId="0" fontId="11" numFmtId="49" xfId="0" applyAlignment="1" applyBorder="1" applyFont="1" applyNumberFormat="1">
      <alignment horizontal="center" readingOrder="0" shrinkToFit="0" vertical="center" wrapText="1"/>
    </xf>
    <xf borderId="0" fillId="0" fontId="11" numFmtId="0" xfId="0" applyAlignment="1" applyFont="1">
      <alignment horizontal="center" readingOrder="0" shrinkToFit="0" vertical="center" wrapText="1"/>
    </xf>
    <xf borderId="1" fillId="0" fontId="26"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0" fillId="0" fontId="11"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18" numFmtId="0" xfId="0" applyAlignment="1" applyFont="1">
      <alignment vertical="center"/>
    </xf>
    <xf borderId="0" fillId="2" fontId="27" numFmtId="0" xfId="0" applyAlignment="1" applyFont="1">
      <alignment horizontal="right" readingOrder="0" vertical="center"/>
    </xf>
    <xf borderId="1" fillId="4" fontId="28" numFmtId="0" xfId="0" applyAlignment="1" applyBorder="1" applyFill="1" applyFont="1">
      <alignment horizontal="center" vertical="center"/>
    </xf>
    <xf borderId="1" fillId="4" fontId="29" numFmtId="0" xfId="0" applyAlignment="1" applyBorder="1" applyFont="1">
      <alignment horizontal="center" vertical="center"/>
    </xf>
    <xf borderId="1" fillId="4" fontId="30" numFmtId="0" xfId="0" applyAlignment="1" applyBorder="1" applyFont="1">
      <alignment horizontal="center" vertical="center"/>
    </xf>
    <xf borderId="1" fillId="4" fontId="31" numFmtId="0" xfId="0" applyAlignment="1" applyBorder="1" applyFont="1">
      <alignment vertical="center"/>
    </xf>
    <xf borderId="1" fillId="5" fontId="28" numFmtId="0" xfId="0" applyAlignment="1" applyBorder="1" applyFill="1" applyFont="1">
      <alignment horizontal="center" vertical="center"/>
    </xf>
    <xf borderId="1" fillId="5" fontId="31" numFmtId="0" xfId="0" applyAlignment="1" applyBorder="1" applyFont="1">
      <alignment vertical="center"/>
    </xf>
    <xf borderId="1" fillId="5" fontId="28" numFmtId="164" xfId="0" applyAlignment="1" applyBorder="1" applyFont="1" applyNumberFormat="1">
      <alignment horizontal="center" vertical="center"/>
    </xf>
    <xf borderId="1" fillId="5" fontId="32" numFmtId="0" xfId="0" applyAlignment="1" applyBorder="1" applyFont="1">
      <alignment horizontal="center" vertical="center"/>
    </xf>
    <xf borderId="1" fillId="5" fontId="33" numFmtId="164" xfId="0" applyAlignment="1" applyBorder="1" applyFont="1" applyNumberFormat="1">
      <alignment horizontal="center" vertical="center"/>
    </xf>
    <xf borderId="1" fillId="5" fontId="33" numFmtId="0" xfId="0" applyAlignment="1" applyBorder="1" applyFont="1">
      <alignment horizontal="center" vertical="center"/>
    </xf>
    <xf borderId="1" fillId="6" fontId="29" numFmtId="164" xfId="0" applyAlignment="1" applyBorder="1" applyFill="1" applyFont="1" applyNumberFormat="1">
      <alignment horizontal="center" vertical="center"/>
    </xf>
    <xf borderId="1" fillId="6" fontId="29" numFmtId="0" xfId="0" applyAlignment="1" applyBorder="1" applyFont="1">
      <alignment horizontal="center" vertical="center"/>
    </xf>
    <xf borderId="1" fillId="6" fontId="34" numFmtId="0" xfId="0" applyAlignment="1" applyBorder="1" applyFont="1">
      <alignment horizontal="center" vertical="center"/>
    </xf>
    <xf borderId="1" fillId="6" fontId="31" numFmtId="0" xfId="0" applyAlignment="1" applyBorder="1" applyFont="1">
      <alignment vertical="center"/>
    </xf>
    <xf borderId="1" fillId="7" fontId="29" numFmtId="0" xfId="0" applyAlignment="1" applyBorder="1" applyFill="1" applyFont="1">
      <alignment horizontal="center" vertical="center"/>
    </xf>
    <xf borderId="1" fillId="7" fontId="29" numFmtId="164" xfId="0" applyAlignment="1" applyBorder="1" applyFont="1" applyNumberFormat="1">
      <alignment horizontal="center" vertical="center"/>
    </xf>
    <xf borderId="1" fillId="7" fontId="31" numFmtId="0" xfId="0" applyAlignment="1" applyBorder="1" applyFont="1">
      <alignment vertical="center"/>
    </xf>
    <xf borderId="1" fillId="7" fontId="35" numFmtId="0" xfId="0" applyAlignment="1" applyBorder="1" applyFont="1">
      <alignment horizontal="center" vertical="center"/>
    </xf>
    <xf borderId="1" fillId="8" fontId="29" numFmtId="164" xfId="0" applyAlignment="1" applyBorder="1" applyFill="1" applyFont="1" applyNumberFormat="1">
      <alignment horizontal="center" vertical="center"/>
    </xf>
    <xf borderId="1" fillId="8" fontId="29" numFmtId="0" xfId="0" applyAlignment="1" applyBorder="1" applyFont="1">
      <alignment horizontal="center" vertical="center"/>
    </xf>
    <xf borderId="1" fillId="8" fontId="36" numFmtId="0" xfId="0" applyAlignment="1" applyBorder="1" applyFont="1">
      <alignment horizontal="center" vertical="center"/>
    </xf>
    <xf borderId="1" fillId="8" fontId="31" numFmtId="0" xfId="0" applyAlignment="1" applyBorder="1" applyFont="1">
      <alignment vertical="center"/>
    </xf>
    <xf borderId="1" fillId="9" fontId="29" numFmtId="0" xfId="0" applyAlignment="1" applyBorder="1" applyFill="1" applyFont="1">
      <alignment horizontal="center" vertical="center"/>
    </xf>
    <xf borderId="1" fillId="9" fontId="29" numFmtId="164" xfId="0" applyAlignment="1" applyBorder="1" applyFont="1" applyNumberFormat="1">
      <alignment horizontal="center" vertical="center"/>
    </xf>
    <xf borderId="1" fillId="9" fontId="31" numFmtId="0" xfId="0" applyAlignment="1" applyBorder="1" applyFont="1">
      <alignment vertical="center"/>
    </xf>
    <xf borderId="1" fillId="3" fontId="29" numFmtId="164" xfId="0" applyAlignment="1" applyBorder="1" applyFont="1" applyNumberFormat="1">
      <alignment horizontal="center" vertical="center"/>
    </xf>
    <xf borderId="1" fillId="3" fontId="29" numFmtId="0" xfId="0" applyAlignment="1" applyBorder="1" applyFont="1">
      <alignment horizontal="center" vertical="center"/>
    </xf>
    <xf borderId="1" fillId="3" fontId="31" numFmtId="0" xfId="0" applyAlignment="1" applyBorder="1" applyFont="1">
      <alignment vertical="center"/>
    </xf>
    <xf borderId="1" fillId="0" fontId="29" numFmtId="164" xfId="0" applyAlignment="1" applyBorder="1" applyFont="1" applyNumberFormat="1">
      <alignment horizontal="center" vertical="center"/>
    </xf>
    <xf borderId="1" fillId="0" fontId="29" numFmtId="0" xfId="0" applyAlignment="1" applyBorder="1" applyFont="1">
      <alignment horizontal="center" vertical="center"/>
    </xf>
    <xf borderId="1" fillId="0" fontId="31" numFmtId="0" xfId="0" applyAlignment="1" applyBorder="1" applyFont="1">
      <alignment vertical="center"/>
    </xf>
    <xf borderId="1" fillId="0" fontId="31" numFmtId="164" xfId="0" applyAlignment="1" applyBorder="1" applyFont="1" applyNumberFormat="1">
      <alignment horizontal="center" vertical="center"/>
    </xf>
    <xf borderId="1" fillId="0" fontId="31" numFmtId="0" xfId="0" applyAlignment="1" applyBorder="1" applyFont="1">
      <alignment horizontal="center" vertical="center"/>
    </xf>
    <xf borderId="1" fillId="3" fontId="31" numFmtId="164" xfId="0" applyAlignment="1" applyBorder="1" applyFont="1" applyNumberFormat="1">
      <alignment horizontal="center" vertical="center"/>
    </xf>
    <xf borderId="1" fillId="3" fontId="31" numFmtId="0" xfId="0" applyAlignment="1" applyBorder="1" applyFont="1">
      <alignment horizontal="center" vertical="center"/>
    </xf>
    <xf borderId="0" fillId="3" fontId="37" numFmtId="0" xfId="0" applyAlignment="1" applyFont="1">
      <alignment horizontal="center" readingOrder="0"/>
    </xf>
    <xf borderId="1" fillId="0" fontId="31" numFmtId="164" xfId="0" applyAlignment="1" applyBorder="1" applyFont="1" applyNumberFormat="1">
      <alignment vertical="center"/>
    </xf>
    <xf borderId="1" fillId="0" fontId="31" numFmtId="0" xfId="0" applyAlignment="1" applyBorder="1" applyFont="1">
      <alignment horizontal="center" readingOrder="0" vertical="center"/>
    </xf>
    <xf borderId="1" fillId="3" fontId="37" numFmtId="0" xfId="0" applyAlignment="1" applyBorder="1" applyFont="1">
      <alignment horizontal="center" readingOrder="0"/>
    </xf>
    <xf borderId="1" fillId="0" fontId="31" numFmtId="0" xfId="0" applyAlignment="1" applyBorder="1" applyFont="1">
      <alignment readingOrder="0" vertical="center"/>
    </xf>
    <xf borderId="1" fillId="3" fontId="37" numFmtId="0" xfId="0" applyAlignment="1" applyBorder="1" applyFont="1">
      <alignment horizontal="left" readingOrder="0"/>
    </xf>
    <xf borderId="1" fillId="10" fontId="31" numFmtId="164" xfId="0" applyAlignment="1" applyBorder="1" applyFill="1" applyFont="1" applyNumberFormat="1">
      <alignment horizontal="center" vertical="center"/>
    </xf>
    <xf borderId="11" fillId="0" fontId="5" numFmtId="0" xfId="0" applyAlignment="1" applyBorder="1" applyFont="1">
      <alignment horizontal="center" readingOrder="0" vertical="center"/>
    </xf>
    <xf borderId="11" fillId="0" fontId="5" numFmtId="164" xfId="0" applyAlignment="1" applyBorder="1" applyFont="1" applyNumberFormat="1">
      <alignment horizontal="center" readingOrder="0" vertical="center"/>
    </xf>
    <xf borderId="11" fillId="0" fontId="5" numFmtId="0" xfId="0" applyAlignment="1" applyBorder="1" applyFont="1">
      <alignment horizontal="left" readingOrder="0" shrinkToFit="0" vertical="center" wrapText="1"/>
    </xf>
    <xf borderId="0" fillId="0" fontId="5" numFmtId="0" xfId="0" applyAlignment="1" applyFont="1">
      <alignment horizontal="left" readingOrder="0" shrinkToFit="0" vertical="center" wrapText="1"/>
    </xf>
    <xf borderId="12" fillId="0" fontId="5" numFmtId="0" xfId="0" applyAlignment="1" applyBorder="1" applyFont="1">
      <alignment horizontal="center" readingOrder="0" vertical="center"/>
    </xf>
    <xf borderId="12" fillId="0" fontId="5" numFmtId="164" xfId="0" applyAlignment="1" applyBorder="1" applyFont="1" applyNumberFormat="1">
      <alignment horizontal="center" readingOrder="0" vertical="center"/>
    </xf>
    <xf borderId="12" fillId="0" fontId="5" numFmtId="0" xfId="0" applyAlignment="1" applyBorder="1" applyFont="1">
      <alignment horizontal="left" readingOrder="0" shrinkToFit="0" vertical="center" wrapText="1"/>
    </xf>
    <xf borderId="0" fillId="0" fontId="5" numFmtId="0" xfId="0" applyAlignment="1" applyFont="1">
      <alignment horizontal="center" readingOrder="0" vertical="center"/>
    </xf>
    <xf borderId="0" fillId="0" fontId="5" numFmtId="164" xfId="0" applyAlignment="1" applyFont="1" applyNumberFormat="1">
      <alignment horizontal="center" readingOrder="0" vertical="center"/>
    </xf>
    <xf borderId="1" fillId="0" fontId="38" numFmtId="0" xfId="0" applyAlignment="1" applyBorder="1" applyFont="1">
      <alignment horizontal="left" readingOrder="0" shrinkToFit="0" vertical="bottom" wrapText="0"/>
    </xf>
    <xf borderId="1" fillId="3" fontId="38" numFmtId="0" xfId="0" applyAlignment="1" applyBorder="1" applyFont="1">
      <alignment horizontal="left" readingOrder="0" shrinkToFit="0" vertical="bottom" wrapText="0"/>
    </xf>
    <xf borderId="0" fillId="0" fontId="38" numFmtId="0" xfId="0" applyAlignment="1" applyFont="1">
      <alignment shrinkToFit="0" vertical="bottom" wrapText="0"/>
    </xf>
    <xf borderId="1" fillId="11" fontId="4" numFmtId="0" xfId="0" applyAlignment="1" applyBorder="1" applyFill="1" applyFont="1">
      <alignment horizontal="left" readingOrder="0" shrinkToFit="0" vertical="bottom" wrapText="0"/>
    </xf>
    <xf borderId="1" fillId="3" fontId="4" numFmtId="0" xfId="0" applyAlignment="1" applyBorder="1" applyFont="1">
      <alignment horizontal="left" readingOrder="0" shrinkToFit="0" vertical="bottom" wrapText="0"/>
    </xf>
    <xf borderId="1" fillId="0" fontId="4" numFmtId="0" xfId="0" applyAlignment="1" applyBorder="1" applyFont="1">
      <alignment horizontal="left" readingOrder="0" shrinkToFit="0" vertical="bottom" wrapText="0"/>
    </xf>
    <xf borderId="0" fillId="0" fontId="4" numFmtId="0" xfId="0" applyAlignment="1" applyFont="1">
      <alignment shrinkToFit="0" vertical="bottom" wrapText="0"/>
    </xf>
    <xf borderId="1" fillId="4" fontId="4" numFmtId="0" xfId="0" applyAlignment="1" applyBorder="1" applyFont="1">
      <alignment horizontal="left" readingOrder="0" shrinkToFit="0" vertical="bottom" wrapText="0"/>
    </xf>
    <xf borderId="13" fillId="3" fontId="37" numFmtId="0" xfId="0" applyAlignment="1" applyBorder="1" applyFont="1">
      <alignment horizontal="left" readingOrder="0" vertical="top"/>
    </xf>
    <xf borderId="13" fillId="0" fontId="37" numFmtId="0" xfId="0" applyAlignment="1" applyBorder="1" applyFont="1">
      <alignment horizontal="left" readingOrder="0" vertical="top"/>
    </xf>
    <xf borderId="1" fillId="12" fontId="4" numFmtId="0" xfId="0" applyAlignment="1" applyBorder="1" applyFill="1" applyFont="1">
      <alignment horizontal="left" readingOrder="0" shrinkToFit="0" vertical="bottom" wrapText="0"/>
    </xf>
    <xf borderId="1" fillId="3" fontId="4" numFmtId="0" xfId="0" applyAlignment="1" applyBorder="1" applyFont="1">
      <alignment shrinkToFit="0" vertical="bottom" wrapText="0"/>
    </xf>
    <xf borderId="1" fillId="0" fontId="4" numFmtId="0" xfId="0" applyAlignment="1" applyBorder="1" applyFont="1">
      <alignment shrinkToFit="0" vertical="bottom" wrapText="0"/>
    </xf>
    <xf borderId="1" fillId="13" fontId="4" numFmtId="0" xfId="0" applyAlignment="1" applyBorder="1" applyFill="1" applyFont="1">
      <alignment horizontal="left" readingOrder="0" shrinkToFit="0" vertical="bottom" wrapText="0"/>
    </xf>
    <xf borderId="0" fillId="0" fontId="37" numFmtId="0" xfId="0" applyAlignment="1" applyFont="1">
      <alignment horizontal="left" readingOrder="0" shrinkToFit="0" vertical="top" wrapText="0"/>
    </xf>
    <xf borderId="1" fillId="14" fontId="4" numFmtId="0" xfId="0" applyAlignment="1" applyBorder="1" applyFill="1" applyFont="1">
      <alignment horizontal="left" readingOrder="0" shrinkToFit="0" vertical="bottom" wrapText="0"/>
    </xf>
    <xf borderId="0" fillId="3" fontId="4" numFmtId="0" xfId="0" applyAlignment="1" applyFont="1">
      <alignment shrinkToFit="0" vertical="bottom" wrapText="0"/>
    </xf>
    <xf borderId="1" fillId="3" fontId="23" numFmtId="0" xfId="0" applyAlignment="1" applyBorder="1" applyFont="1">
      <alignment horizontal="left" readingOrder="0" shrinkToFit="0" vertical="bottom" wrapText="0"/>
    </xf>
    <xf borderId="0" fillId="3" fontId="23" numFmtId="0" xfId="0" applyAlignment="1" applyFont="1">
      <alignment shrinkToFit="0" vertical="bottom" wrapText="0"/>
    </xf>
    <xf borderId="1" fillId="3" fontId="23" numFmtId="0" xfId="0" applyAlignment="1" applyBorder="1" applyFont="1">
      <alignment horizontal="left" readingOrder="0" vertical="bottom"/>
    </xf>
    <xf borderId="1" fillId="3" fontId="23" numFmtId="0" xfId="0" applyAlignment="1" applyBorder="1" applyFont="1">
      <alignment shrinkToFit="0" vertical="bottom" wrapText="0"/>
    </xf>
    <xf borderId="0" fillId="3" fontId="4" numFmtId="0" xfId="0" applyAlignment="1" applyFont="1">
      <alignment horizontal="left" readingOrder="0" shrinkToFit="0" vertical="bottom" wrapText="0"/>
    </xf>
    <xf borderId="1" fillId="3" fontId="39" numFmtId="0" xfId="0" applyAlignment="1" applyBorder="1" applyFont="1">
      <alignment horizontal="left" readingOrder="0"/>
    </xf>
    <xf borderId="1" fillId="3" fontId="39" numFmtId="0" xfId="0" applyAlignment="1" applyBorder="1" applyFont="1">
      <alignment horizontal="left" readingOrder="0" vertical="top"/>
    </xf>
    <xf borderId="1" fillId="3" fontId="4" numFmtId="0" xfId="0" applyAlignment="1" applyBorder="1" applyFont="1">
      <alignment horizontal="left" readingOrder="0" vertical="bottom"/>
    </xf>
    <xf borderId="3" fillId="3" fontId="4" numFmtId="0" xfId="0" applyAlignment="1" applyBorder="1" applyFont="1">
      <alignment horizontal="left" readingOrder="0" vertical="top"/>
    </xf>
    <xf borderId="0" fillId="3" fontId="4" numFmtId="0" xfId="0" applyAlignment="1" applyFont="1">
      <alignment vertical="bottom"/>
    </xf>
    <xf borderId="0" fillId="3" fontId="4" numFmtId="0" xfId="0" applyAlignment="1" applyFont="1">
      <alignment horizontal="left" vertical="top"/>
    </xf>
    <xf borderId="1" fillId="3" fontId="4" numFmtId="0" xfId="0" applyAlignment="1" applyBorder="1" applyFont="1">
      <alignment horizontal="left" readingOrder="0" shrinkToFit="0" vertical="top" wrapText="0"/>
    </xf>
    <xf borderId="1" fillId="3" fontId="4" numFmtId="0" xfId="0" applyAlignment="1" applyBorder="1" applyFont="1">
      <alignment horizontal="left" readingOrder="0" shrinkToFit="0" vertical="top" wrapText="0"/>
    </xf>
    <xf borderId="0" fillId="3" fontId="4" numFmtId="0" xfId="0" applyAlignment="1" applyFont="1">
      <alignment horizontal="left" shrinkToFit="0" vertical="top" wrapText="0"/>
    </xf>
    <xf borderId="1" fillId="3" fontId="4" numFmtId="0" xfId="0" applyAlignment="1" applyBorder="1" applyFont="1">
      <alignment horizontal="left" shrinkToFit="0" vertical="top" wrapText="0"/>
    </xf>
    <xf borderId="14" fillId="3" fontId="4" numFmtId="0" xfId="0" applyAlignment="1" applyBorder="1" applyFont="1">
      <alignment horizontal="left" readingOrder="0" shrinkToFit="0" vertical="bottom" wrapText="0"/>
    </xf>
    <xf borderId="1" fillId="3" fontId="4" numFmtId="0" xfId="0" applyAlignment="1" applyBorder="1" applyFont="1">
      <alignment horizontal="left" shrinkToFit="0" vertical="bottom" wrapText="0"/>
    </xf>
    <xf borderId="15" fillId="2" fontId="2" numFmtId="0" xfId="0" applyAlignment="1" applyBorder="1" applyFont="1">
      <alignment horizontal="center" readingOrder="0" shrinkToFit="0" vertical="center" wrapText="1"/>
    </xf>
    <xf borderId="0" fillId="2" fontId="40" numFmtId="0" xfId="0" applyAlignment="1" applyFont="1">
      <alignment horizontal="center" readingOrder="0" shrinkToFit="0" wrapText="1"/>
    </xf>
    <xf borderId="1" fillId="2" fontId="3"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bottom" wrapText="1"/>
    </xf>
    <xf borderId="1" fillId="0" fontId="5" numFmtId="0" xfId="0" applyAlignment="1" applyBorder="1" applyFont="1">
      <alignment horizontal="center" readingOrder="0" shrinkToFit="0" vertical="center" wrapText="1"/>
    </xf>
    <xf borderId="1" fillId="0" fontId="5" numFmtId="1" xfId="0" applyAlignment="1" applyBorder="1" applyFont="1" applyNumberFormat="1">
      <alignment horizontal="center" readingOrder="0" shrinkToFit="0" vertical="center" wrapText="1"/>
    </xf>
    <xf borderId="1" fillId="3" fontId="37" numFmtId="1" xfId="0" applyAlignment="1" applyBorder="1" applyFont="1" applyNumberFormat="1">
      <alignment horizontal="left" readingOrder="0" shrinkToFit="0" wrapText="1"/>
    </xf>
    <xf borderId="1" fillId="3" fontId="37" numFmtId="1" xfId="0" applyAlignment="1" applyBorder="1" applyFont="1" applyNumberFormat="1">
      <alignment horizontal="center" readingOrder="0" shrinkToFit="0" wrapText="1"/>
    </xf>
    <xf borderId="1" fillId="0" fontId="5" numFmtId="1" xfId="0" applyAlignment="1" applyBorder="1" applyFont="1" applyNumberFormat="1">
      <alignment horizontal="left" readingOrder="0" shrinkToFit="0" vertical="center" wrapText="1"/>
    </xf>
    <xf borderId="1" fillId="0" fontId="5" numFmtId="0" xfId="0" applyAlignment="1" applyBorder="1" applyFont="1">
      <alignment horizontal="left" readingOrder="0" shrinkToFit="0" vertical="center" wrapText="1"/>
    </xf>
    <xf borderId="1" fillId="3" fontId="37" numFmtId="0" xfId="0" applyAlignment="1" applyBorder="1" applyFont="1">
      <alignment horizontal="center" readingOrder="0" shrinkToFit="0" wrapText="1"/>
    </xf>
    <xf borderId="1" fillId="3" fontId="41" numFmtId="0" xfId="0" applyAlignment="1" applyBorder="1" applyFont="1">
      <alignment horizontal="left" readingOrder="0" shrinkToFit="0" wrapText="1"/>
    </xf>
    <xf borderId="1" fillId="3" fontId="41" numFmtId="0" xfId="0" applyAlignment="1" applyBorder="1" applyFont="1">
      <alignment horizontal="center" readingOrder="0" shrinkToFit="0" wrapText="1"/>
    </xf>
    <xf borderId="1" fillId="3" fontId="42" numFmtId="0" xfId="0" applyAlignment="1" applyBorder="1" applyFont="1">
      <alignment horizontal="center" readingOrder="0" shrinkToFit="0" wrapText="1"/>
    </xf>
    <xf borderId="1" fillId="3" fontId="42" numFmtId="0" xfId="0" applyAlignment="1" applyBorder="1" applyFont="1">
      <alignment horizontal="center" shrinkToFit="0" wrapText="1"/>
    </xf>
    <xf borderId="1" fillId="3" fontId="43" numFmtId="0" xfId="0" applyAlignment="1" applyBorder="1" applyFont="1">
      <alignment horizontal="center" readingOrder="0" shrinkToFit="0" wrapText="1"/>
    </xf>
    <xf borderId="1" fillId="0" fontId="5" numFmtId="164" xfId="0" applyAlignment="1" applyBorder="1" applyFont="1" applyNumberFormat="1">
      <alignment horizontal="center" readingOrder="0" shrinkToFit="0" vertical="center" wrapText="1"/>
    </xf>
    <xf borderId="1" fillId="15" fontId="44" numFmtId="0" xfId="0" applyAlignment="1" applyBorder="1" applyFill="1" applyFont="1">
      <alignment horizontal="left" readingOrder="0" shrinkToFit="0" vertical="bottom" wrapText="0"/>
    </xf>
    <xf borderId="3" fillId="15" fontId="45" numFmtId="0" xfId="0" applyAlignment="1" applyBorder="1" applyFont="1">
      <alignment horizontal="center" readingOrder="0" shrinkToFit="0" wrapText="0"/>
    </xf>
    <xf borderId="3" fillId="15" fontId="45" numFmtId="0" xfId="0" applyAlignment="1" applyBorder="1" applyFont="1">
      <alignment horizontal="center" readingOrder="0" shrinkToFit="0" vertical="bottom" wrapText="0"/>
    </xf>
    <xf borderId="9" fillId="3" fontId="38" numFmtId="0" xfId="0" applyAlignment="1" applyBorder="1" applyFont="1">
      <alignment horizontal="left" readingOrder="0" shrinkToFit="0" vertical="bottom" wrapText="0"/>
    </xf>
    <xf borderId="9" fillId="11" fontId="45" numFmtId="0" xfId="0" applyAlignment="1" applyBorder="1" applyFont="1">
      <alignment horizontal="center" readingOrder="0" shrinkToFit="0" wrapText="0"/>
    </xf>
    <xf borderId="9" fillId="0" fontId="46" numFmtId="0" xfId="0" applyAlignment="1" applyBorder="1" applyFont="1">
      <alignment horizontal="left" readingOrder="0" shrinkToFit="0" wrapText="0"/>
    </xf>
    <xf borderId="9" fillId="0" fontId="46" numFmtId="0" xfId="0" applyAlignment="1" applyBorder="1" applyFont="1">
      <alignment horizontal="center" readingOrder="0" shrinkToFit="0" wrapText="0"/>
    </xf>
    <xf borderId="9" fillId="0" fontId="46" numFmtId="0" xfId="0" applyAlignment="1" applyBorder="1" applyFont="1">
      <alignment horizontal="center" shrinkToFit="0" wrapText="0"/>
    </xf>
    <xf borderId="1" fillId="0" fontId="18" numFmtId="0" xfId="0" applyAlignment="1" applyBorder="1" applyFont="1">
      <alignment readingOrder="0"/>
    </xf>
    <xf borderId="9" fillId="16" fontId="46" numFmtId="0" xfId="0" applyAlignment="1" applyBorder="1" applyFill="1" applyFont="1">
      <alignment horizontal="center" readingOrder="0" shrinkToFit="0" wrapText="0"/>
    </xf>
    <xf borderId="9" fillId="17" fontId="38" numFmtId="0" xfId="0" applyAlignment="1" applyBorder="1" applyFill="1" applyFont="1">
      <alignment horizontal="left" readingOrder="0" shrinkToFit="0" vertical="bottom" wrapText="0"/>
    </xf>
    <xf borderId="9" fillId="18" fontId="45" numFmtId="0" xfId="0" applyAlignment="1" applyBorder="1" applyFill="1" applyFont="1">
      <alignment horizontal="center" readingOrder="0" shrinkToFit="0" wrapText="0"/>
    </xf>
    <xf borderId="9" fillId="19" fontId="38" numFmtId="0" xfId="0" applyAlignment="1" applyBorder="1" applyFill="1" applyFont="1">
      <alignment horizontal="center" readingOrder="0" shrinkToFit="0" wrapText="0"/>
    </xf>
    <xf borderId="1" fillId="0" fontId="18" numFmtId="0" xfId="0" applyBorder="1" applyFont="1"/>
    <xf borderId="7" fillId="3" fontId="38" numFmtId="0" xfId="0" applyAlignment="1" applyBorder="1" applyFont="1">
      <alignment horizontal="left" readingOrder="0" shrinkToFit="0" vertical="bottom" wrapText="0"/>
    </xf>
    <xf borderId="3" fillId="3" fontId="38" numFmtId="0" xfId="0" applyAlignment="1" applyBorder="1" applyFont="1">
      <alignment horizontal="left" readingOrder="0" shrinkToFit="0" vertical="bottom" wrapText="0"/>
    </xf>
    <xf borderId="9" fillId="20" fontId="38" numFmtId="0" xfId="0" applyAlignment="1" applyBorder="1" applyFill="1" applyFont="1">
      <alignment horizontal="center" readingOrder="0" shrinkToFit="0" wrapText="0"/>
    </xf>
    <xf borderId="1" fillId="0" fontId="46" numFmtId="0" xfId="0" applyAlignment="1" applyBorder="1" applyFont="1">
      <alignment horizontal="left" readingOrder="0" shrinkToFit="0" wrapText="0"/>
    </xf>
    <xf borderId="9" fillId="21" fontId="46" numFmtId="0" xfId="0" applyAlignment="1" applyBorder="1" applyFill="1" applyFont="1">
      <alignment horizontal="center" readingOrder="0" shrinkToFit="0" wrapText="0"/>
    </xf>
    <xf borderId="9" fillId="0" fontId="38" numFmtId="0" xfId="0" applyAlignment="1" applyBorder="1" applyFont="1">
      <alignment horizontal="center" readingOrder="0" shrinkToFit="0" wrapText="0"/>
    </xf>
    <xf borderId="15" fillId="22" fontId="47" numFmtId="0" xfId="0" applyAlignment="1" applyBorder="1" applyFill="1" applyFont="1">
      <alignment horizontal="center" readingOrder="0" vertical="center"/>
    </xf>
    <xf borderId="3" fillId="0" fontId="18" numFmtId="0" xfId="0" applyBorder="1" applyFont="1"/>
    <xf borderId="0" fillId="0" fontId="48" numFmtId="0" xfId="0" applyFont="1"/>
    <xf borderId="1" fillId="2" fontId="47" numFmtId="0" xfId="0" applyAlignment="1" applyBorder="1" applyFont="1">
      <alignment horizontal="center" readingOrder="0" vertical="center"/>
    </xf>
    <xf borderId="1" fillId="23" fontId="49" numFmtId="0" xfId="0" applyAlignment="1" applyBorder="1" applyFill="1" applyFont="1">
      <alignment horizontal="center" readingOrder="0" shrinkToFit="0" vertical="bottom" wrapText="0"/>
    </xf>
    <xf borderId="15" fillId="2" fontId="45" numFmtId="0" xfId="0" applyAlignment="1" applyBorder="1" applyFont="1">
      <alignment horizontal="center" readingOrder="0" shrinkToFit="0" wrapText="0"/>
    </xf>
    <xf borderId="1" fillId="3" fontId="49" numFmtId="0" xfId="0" applyAlignment="1" applyBorder="1" applyFont="1">
      <alignment horizontal="center" readingOrder="0" shrinkToFit="0" wrapText="0"/>
    </xf>
    <xf borderId="1" fillId="3" fontId="49" numFmtId="1" xfId="0" applyAlignment="1" applyBorder="1" applyFont="1" applyNumberFormat="1">
      <alignment horizontal="center" readingOrder="0" shrinkToFit="0" wrapText="0"/>
    </xf>
    <xf borderId="1" fillId="0" fontId="50" numFmtId="1" xfId="0" applyAlignment="1" applyBorder="1" applyFont="1" applyNumberFormat="1">
      <alignment horizontal="center" readingOrder="0" shrinkToFit="0" vertical="center" wrapText="1"/>
    </xf>
    <xf borderId="1" fillId="3" fontId="49" numFmtId="0" xfId="0" applyAlignment="1" applyBorder="1" applyFont="1">
      <alignment horizontal="center" readingOrder="0" shrinkToFit="0" wrapText="0"/>
    </xf>
    <xf borderId="1" fillId="0" fontId="51" numFmtId="1" xfId="0" applyAlignment="1" applyBorder="1" applyFont="1" applyNumberFormat="1">
      <alignment horizontal="center" readingOrder="0" shrinkToFit="0" vertical="center" wrapText="1"/>
    </xf>
    <xf borderId="1" fillId="24" fontId="49" numFmtId="1" xfId="0" applyAlignment="1" applyBorder="1" applyFill="1" applyFont="1" applyNumberFormat="1">
      <alignment horizontal="center" readingOrder="0" shrinkToFit="0" wrapText="0"/>
    </xf>
    <xf borderId="1" fillId="3" fontId="49" numFmtId="1" xfId="0" applyAlignment="1" applyBorder="1" applyFont="1" applyNumberFormat="1">
      <alignment horizontal="center" readingOrder="0" shrinkToFit="0" wrapText="0"/>
    </xf>
    <xf borderId="1" fillId="3" fontId="52" numFmtId="1" xfId="0" applyAlignment="1" applyBorder="1" applyFont="1" applyNumberFormat="1">
      <alignment horizontal="center" readingOrder="0" shrinkToFit="0" wrapText="0"/>
    </xf>
    <xf borderId="1" fillId="25" fontId="49" numFmtId="0" xfId="0" applyAlignment="1" applyBorder="1" applyFill="1" applyFont="1">
      <alignment horizontal="center" readingOrder="0" shrinkToFit="0" wrapText="0"/>
    </xf>
    <xf borderId="1" fillId="11" fontId="49" numFmtId="0" xfId="0" applyAlignment="1" applyBorder="1" applyFont="1">
      <alignment horizontal="center" readingOrder="0" shrinkToFit="0" wrapText="0"/>
    </xf>
    <xf borderId="1" fillId="3" fontId="49" numFmtId="1" xfId="0" applyAlignment="1" applyBorder="1" applyFont="1" applyNumberFormat="1">
      <alignment horizontal="center" readingOrder="0" shrinkToFit="0" wrapText="1"/>
    </xf>
    <xf borderId="1" fillId="23" fontId="49" numFmtId="0" xfId="0" applyAlignment="1" applyBorder="1" applyFont="1">
      <alignment horizontal="center" readingOrder="0" shrinkToFit="0" wrapText="0"/>
    </xf>
    <xf borderId="15" fillId="22" fontId="53" numFmtId="0" xfId="0" applyAlignment="1" applyBorder="1" applyFont="1">
      <alignment horizontal="center" readingOrder="0" shrinkToFit="0" wrapText="0"/>
    </xf>
    <xf borderId="1" fillId="25" fontId="49" numFmtId="0" xfId="0" applyAlignment="1" applyBorder="1" applyFont="1">
      <alignment horizontal="center" readingOrder="0" shrinkToFit="0" wrapText="0"/>
    </xf>
    <xf borderId="1" fillId="0" fontId="49" numFmtId="1" xfId="0" applyAlignment="1" applyBorder="1" applyFont="1" applyNumberFormat="1">
      <alignment horizontal="center" readingOrder="0" shrinkToFit="0" wrapText="0"/>
    </xf>
    <xf borderId="1" fillId="26" fontId="49" numFmtId="1" xfId="0" applyAlignment="1" applyBorder="1" applyFill="1" applyFont="1" applyNumberFormat="1">
      <alignment horizontal="center" readingOrder="0" shrinkToFit="0" wrapText="0"/>
    </xf>
    <xf borderId="1" fillId="0" fontId="49" numFmtId="0" xfId="0" applyAlignment="1" applyBorder="1" applyFont="1">
      <alignment horizontal="center" readingOrder="0" shrinkToFit="0" wrapText="0"/>
    </xf>
    <xf borderId="1" fillId="26" fontId="49" numFmtId="0" xfId="0" applyAlignment="1" applyBorder="1" applyFont="1">
      <alignment horizontal="center" readingOrder="0" shrinkToFit="0" wrapText="0"/>
    </xf>
    <xf borderId="1" fillId="0" fontId="50" numFmtId="0" xfId="0" applyAlignment="1" applyBorder="1" applyFont="1">
      <alignment horizontal="center" readingOrder="0" shrinkToFit="0" vertical="center" wrapText="1"/>
    </xf>
    <xf borderId="1" fillId="25" fontId="49" numFmtId="0" xfId="0" applyAlignment="1" applyBorder="1" applyFont="1">
      <alignment horizontal="center" vertical="bottom"/>
    </xf>
    <xf borderId="1" fillId="0" fontId="49" numFmtId="1" xfId="0" applyAlignment="1" applyBorder="1" applyFont="1" applyNumberFormat="1">
      <alignment horizontal="center" vertical="bottom"/>
    </xf>
    <xf borderId="1" fillId="26" fontId="49" numFmtId="1" xfId="0" applyAlignment="1" applyBorder="1" applyFont="1" applyNumberFormat="1">
      <alignment horizontal="center" vertical="bottom"/>
    </xf>
    <xf borderId="1" fillId="0" fontId="54" numFmtId="0" xfId="0" applyAlignment="1" applyBorder="1" applyFont="1">
      <alignment horizontal="center" readingOrder="0" shrinkToFit="0" vertical="center" wrapText="1"/>
    </xf>
    <xf borderId="1" fillId="22" fontId="49" numFmtId="0" xfId="0" applyAlignment="1" applyBorder="1" applyFont="1">
      <alignment horizontal="center" readingOrder="0" shrinkToFit="0" wrapText="0"/>
    </xf>
    <xf borderId="1" fillId="22" fontId="50" numFmtId="0" xfId="0" applyAlignment="1" applyBorder="1" applyFont="1">
      <alignment horizontal="center" readingOrder="0" shrinkToFit="0" vertical="center" wrapText="1"/>
    </xf>
    <xf borderId="15" fillId="22" fontId="55" numFmtId="0" xfId="0" applyAlignment="1" applyBorder="1" applyFont="1">
      <alignment horizontal="center" readingOrder="0" shrinkToFit="0" wrapText="0"/>
    </xf>
    <xf borderId="0" fillId="0" fontId="48" numFmtId="0" xfId="0" applyAlignment="1" applyFont="1">
      <alignment horizontal="center" readingOrder="0"/>
    </xf>
    <xf borderId="1" fillId="3" fontId="56" numFmtId="0" xfId="0" applyAlignment="1" applyBorder="1" applyFont="1">
      <alignment horizontal="left" readingOrder="0" shrinkToFit="0" wrapText="1"/>
    </xf>
    <xf borderId="0" fillId="3" fontId="57" numFmtId="0" xfId="0" applyAlignment="1" applyFont="1">
      <alignment horizontal="center" readingOrder="0"/>
    </xf>
    <xf borderId="1" fillId="0" fontId="49" numFmtId="0" xfId="0" applyAlignment="1" applyBorder="1" applyFont="1">
      <alignment horizontal="center" readingOrder="0" shrinkToFit="0" wrapText="0"/>
    </xf>
    <xf borderId="0" fillId="27" fontId="58" numFmtId="0" xfId="0" applyAlignment="1" applyFill="1" applyFont="1">
      <alignment readingOrder="0"/>
    </xf>
    <xf borderId="0" fillId="27" fontId="58" numFmtId="0" xfId="0" applyAlignment="1" applyFont="1">
      <alignment horizontal="center" readingOrder="0"/>
    </xf>
    <xf borderId="0" fillId="3" fontId="56" numFmtId="0" xfId="0" applyAlignment="1" applyFont="1">
      <alignment horizontal="left" readingOrder="0" shrinkToFit="0" wrapText="1"/>
    </xf>
    <xf borderId="0" fillId="3" fontId="56" numFmtId="0" xfId="0" applyAlignment="1" applyFont="1">
      <alignment horizontal="left" readingOrder="0"/>
    </xf>
    <xf borderId="0" fillId="0" fontId="59" numFmtId="0" xfId="0" applyAlignment="1" applyFont="1">
      <alignment horizontal="center" readingOrder="0"/>
    </xf>
    <xf borderId="0" fillId="3" fontId="60" numFmtId="0" xfId="0" applyAlignment="1" applyFont="1">
      <alignment horizontal="left" readingOrder="0" shrinkToFit="0" wrapText="1"/>
    </xf>
    <xf borderId="0" fillId="3" fontId="57" numFmtId="0" xfId="0" applyAlignment="1" applyFont="1">
      <alignment readingOrder="0"/>
    </xf>
    <xf borderId="1" fillId="3" fontId="57" numFmtId="0" xfId="0" applyAlignment="1" applyBorder="1" applyFont="1">
      <alignment horizontal="center" readingOrder="0"/>
    </xf>
    <xf borderId="0" fillId="3" fontId="61" numFmtId="0" xfId="0" applyAlignment="1" applyFont="1">
      <alignment horizontal="center" readingOrder="0" shrinkToFit="0" wrapText="1"/>
    </xf>
    <xf borderId="1" fillId="3" fontId="57" numFmtId="0" xfId="0" applyAlignment="1" applyBorder="1" applyFont="1">
      <alignment readingOrder="0"/>
    </xf>
    <xf borderId="0" fillId="3" fontId="62" numFmtId="0" xfId="0" applyAlignment="1" applyFont="1">
      <alignment readingOrder="0"/>
    </xf>
    <xf borderId="0" fillId="3" fontId="63" numFmtId="0" xfId="0" applyAlignment="1" applyFont="1">
      <alignment horizontal="left" readingOrder="0"/>
    </xf>
    <xf borderId="0" fillId="3" fontId="64" numFmtId="0" xfId="0" applyAlignment="1" applyFont="1">
      <alignment readingOrder="0" shrinkToFit="0" wrapText="1"/>
    </xf>
    <xf borderId="1" fillId="3" fontId="64" numFmtId="0" xfId="0" applyAlignment="1" applyBorder="1" applyFont="1">
      <alignment readingOrder="0" shrinkToFit="0" wrapText="1"/>
    </xf>
    <xf borderId="1" fillId="0" fontId="65" numFmtId="0" xfId="0" applyAlignment="1" applyBorder="1" applyFont="1">
      <alignment horizontal="center" readingOrder="0" shrinkToFit="0" vertical="center" wrapText="1"/>
    </xf>
    <xf borderId="0" fillId="3" fontId="66" numFmtId="0" xfId="0" applyAlignment="1" applyFont="1">
      <alignment readingOrder="0" shrinkToFit="0" wrapText="1"/>
    </xf>
    <xf borderId="0" fillId="0" fontId="67" numFmtId="0" xfId="0" applyAlignment="1" applyFont="1">
      <alignment horizontal="center" readingOrder="0"/>
    </xf>
    <xf borderId="1" fillId="0" fontId="68" numFmtId="0" xfId="0" applyAlignment="1" applyBorder="1" applyFont="1">
      <alignment horizontal="center" readingOrder="0" shrinkToFit="0" vertical="center" wrapText="1"/>
    </xf>
    <xf borderId="0" fillId="3" fontId="69" numFmtId="0" xfId="0" applyAlignment="1" applyFont="1">
      <alignment horizontal="center" readingOrder="0" shrinkToFit="0" vertical="bottom" wrapText="1"/>
    </xf>
    <xf borderId="0" fillId="3" fontId="66" numFmtId="0" xfId="0" applyAlignment="1" applyFont="1">
      <alignment readingOrder="0"/>
    </xf>
    <xf borderId="0" fillId="3" fontId="70" numFmtId="0" xfId="0" applyAlignment="1" applyFont="1">
      <alignment readingOrder="0"/>
    </xf>
    <xf borderId="0" fillId="3" fontId="71" numFmtId="0" xfId="0" applyAlignment="1" applyFont="1">
      <alignment horizontal="center" readingOrder="0" shrinkToFit="0" wrapText="1"/>
    </xf>
    <xf borderId="0" fillId="3" fontId="69" numFmtId="0" xfId="0" applyAlignment="1" applyFont="1">
      <alignment readingOrder="0" shrinkToFit="0" wrapText="1"/>
    </xf>
    <xf borderId="0" fillId="3" fontId="72" numFmtId="0" xfId="0" applyAlignment="1" applyFont="1">
      <alignment readingOrder="0"/>
    </xf>
    <xf borderId="0" fillId="23" fontId="66" numFmtId="0" xfId="0" applyAlignment="1" applyFont="1">
      <alignment readingOrder="0" shrinkToFit="0" wrapText="1"/>
    </xf>
    <xf borderId="0" fillId="3" fontId="73" numFmtId="0" xfId="0" applyAlignment="1" applyFont="1">
      <alignment readingOrder="0" vertical="bottom"/>
    </xf>
    <xf borderId="0" fillId="3" fontId="74" numFmtId="0" xfId="0" applyAlignment="1" applyFont="1">
      <alignment readingOrder="0" shrinkToFit="0" wrapText="1"/>
    </xf>
    <xf borderId="0" fillId="3" fontId="75" numFmtId="0" xfId="0" applyAlignment="1" applyFont="1">
      <alignment readingOrder="0" shrinkToFit="0" wrapText="1"/>
    </xf>
    <xf borderId="0" fillId="3" fontId="76" numFmtId="0" xfId="0" applyAlignment="1" applyFont="1">
      <alignment readingOrder="0" shrinkToFit="0" wrapText="1"/>
    </xf>
    <xf borderId="0" fillId="3" fontId="66" numFmtId="0" xfId="0" applyAlignment="1" applyFont="1">
      <alignment readingOrder="0" shrinkToFit="0" wrapText="1"/>
    </xf>
    <xf borderId="0" fillId="3" fontId="77" numFmtId="0" xfId="0" applyAlignment="1" applyFont="1">
      <alignment readingOrder="0"/>
    </xf>
    <xf borderId="1" fillId="0" fontId="78" numFmtId="0" xfId="0" applyAlignment="1" applyBorder="1" applyFont="1">
      <alignment horizontal="center" readingOrder="0" shrinkToFit="0" wrapText="0"/>
    </xf>
    <xf borderId="1" fillId="0" fontId="50" numFmtId="0" xfId="0" applyAlignment="1" applyBorder="1" applyFont="1">
      <alignment horizontal="center" readingOrder="0" vertical="center"/>
    </xf>
    <xf borderId="1" fillId="0" fontId="79" numFmtId="0" xfId="0" applyAlignment="1" applyBorder="1" applyFont="1">
      <alignment horizontal="center" readingOrder="0" shrinkToFit="0" vertical="center" wrapText="1"/>
    </xf>
    <xf borderId="1" fillId="0" fontId="49" numFmtId="0" xfId="0" applyAlignment="1" applyBorder="1" applyFont="1">
      <alignment horizontal="center" shrinkToFit="0" wrapText="0"/>
    </xf>
    <xf borderId="1" fillId="0" fontId="50" numFmtId="0" xfId="0" applyAlignment="1" applyBorder="1" applyFont="1">
      <alignment horizontal="center" shrinkToFit="0" vertical="center" wrapText="1"/>
    </xf>
    <xf borderId="15" fillId="28" fontId="80" numFmtId="0" xfId="0" applyAlignment="1" applyBorder="1" applyFill="1" applyFont="1">
      <alignment horizontal="center" readingOrder="0" shrinkToFit="0" wrapText="0"/>
    </xf>
    <xf borderId="0" fillId="23" fontId="81" numFmtId="0" xfId="0" applyAlignment="1" applyFont="1">
      <alignment readingOrder="0"/>
    </xf>
    <xf borderId="1" fillId="0" fontId="82" numFmtId="0" xfId="0" applyAlignment="1" applyBorder="1" applyFont="1">
      <alignment horizontal="center" readingOrder="0" shrinkToFit="0" wrapText="1"/>
    </xf>
    <xf borderId="1" fillId="3" fontId="83" numFmtId="0" xfId="0" applyAlignment="1" applyBorder="1" applyFont="1">
      <alignment horizontal="center" readingOrder="0" shrinkToFit="0" wrapText="1"/>
    </xf>
    <xf borderId="1" fillId="23" fontId="49" numFmtId="0" xfId="0" applyAlignment="1" applyBorder="1" applyFont="1">
      <alignment horizontal="center" readingOrder="0" shrinkToFit="0" wrapText="0"/>
    </xf>
    <xf borderId="1" fillId="3" fontId="84" numFmtId="0" xfId="0" applyAlignment="1" applyBorder="1" applyFont="1">
      <alignment horizontal="center" readingOrder="0"/>
    </xf>
    <xf borderId="1" fillId="3" fontId="84" numFmtId="0" xfId="0" applyAlignment="1" applyBorder="1" applyFont="1">
      <alignment horizontal="center" readingOrder="0" shrinkToFit="0" wrapText="1"/>
    </xf>
    <xf borderId="1" fillId="3" fontId="85" numFmtId="0" xfId="0" applyAlignment="1" applyBorder="1" applyFont="1">
      <alignment horizontal="center" readingOrder="0" shrinkToFit="0" wrapText="1"/>
    </xf>
    <xf borderId="1" fillId="0" fontId="86" numFmtId="0" xfId="0" applyAlignment="1" applyBorder="1" applyFont="1">
      <alignment horizontal="center" readingOrder="0"/>
    </xf>
    <xf borderId="1" fillId="3" fontId="87" numFmtId="0" xfId="0" applyAlignment="1" applyBorder="1" applyFont="1">
      <alignment horizontal="center" readingOrder="0"/>
    </xf>
    <xf borderId="1" fillId="3" fontId="88" numFmtId="0" xfId="0" applyAlignment="1" applyBorder="1" applyFont="1">
      <alignment horizontal="center" readingOrder="0"/>
    </xf>
    <xf borderId="1" fillId="0" fontId="89" numFmtId="0" xfId="0" applyAlignment="1" applyBorder="1" applyFont="1">
      <alignment horizontal="center" readingOrder="0"/>
    </xf>
    <xf borderId="0" fillId="23" fontId="90" numFmtId="0" xfId="0" applyAlignment="1" applyFont="1">
      <alignment horizontal="right" readingOrder="0" shrinkToFit="0" wrapText="1"/>
    </xf>
    <xf borderId="1" fillId="0" fontId="91" numFmtId="0" xfId="0" applyAlignment="1" applyBorder="1" applyFont="1">
      <alignment horizontal="center" readingOrder="0"/>
    </xf>
    <xf borderId="1" fillId="3" fontId="66" numFmtId="0" xfId="0" applyAlignment="1" applyBorder="1" applyFont="1">
      <alignment horizontal="center" readingOrder="0"/>
    </xf>
    <xf borderId="0" fillId="23" fontId="83" numFmtId="0" xfId="0" applyAlignment="1" applyFont="1">
      <alignment readingOrder="0" shrinkToFit="0" wrapText="1"/>
    </xf>
    <xf borderId="1" fillId="0" fontId="92" numFmtId="0" xfId="0" applyAlignment="1" applyBorder="1" applyFont="1">
      <alignment horizontal="center" readingOrder="0"/>
    </xf>
    <xf borderId="1" fillId="0" fontId="93" numFmtId="0" xfId="0" applyAlignment="1" applyBorder="1" applyFont="1">
      <alignment horizontal="center" readingOrder="0"/>
    </xf>
    <xf borderId="1" fillId="23" fontId="38" numFmtId="0" xfId="0" applyAlignment="1" applyBorder="1" applyFont="1">
      <alignment horizontal="center" readingOrder="0" shrinkToFit="0" wrapText="0"/>
    </xf>
    <xf borderId="1" fillId="0" fontId="38" numFmtId="0" xfId="0" applyAlignment="1" applyBorder="1" applyFont="1">
      <alignment horizontal="center" readingOrder="0" shrinkToFit="0" wrapText="0"/>
    </xf>
    <xf borderId="1" fillId="3" fontId="94" numFmtId="0" xfId="0" applyAlignment="1" applyBorder="1" applyFont="1">
      <alignment horizontal="center" readingOrder="0"/>
    </xf>
    <xf borderId="1" fillId="0" fontId="95" numFmtId="0" xfId="0" applyAlignment="1" applyBorder="1" applyFont="1">
      <alignment horizontal="center" readingOrder="0"/>
    </xf>
    <xf borderId="1" fillId="29" fontId="96" numFmtId="0" xfId="0" applyAlignment="1" applyBorder="1" applyFill="1" applyFont="1">
      <alignment horizontal="center" readingOrder="0"/>
    </xf>
    <xf borderId="1" fillId="0" fontId="59" numFmtId="0" xfId="0" applyAlignment="1" applyBorder="1" applyFont="1">
      <alignment horizontal="center" readingOrder="0"/>
    </xf>
    <xf borderId="0" fillId="23" fontId="59" numFmtId="0" xfId="0" applyAlignment="1" applyFont="1">
      <alignment readingOrder="0" shrinkToFit="0" wrapText="1"/>
    </xf>
    <xf borderId="1" fillId="3" fontId="97" numFmtId="0" xfId="0" applyAlignment="1" applyBorder="1" applyFont="1">
      <alignment horizontal="center" readingOrder="0" shrinkToFit="0" wrapText="1"/>
    </xf>
    <xf borderId="1" fillId="3" fontId="98" numFmtId="0" xfId="0" applyAlignment="1" applyBorder="1" applyFont="1">
      <alignment horizontal="center" readingOrder="0"/>
    </xf>
    <xf borderId="1" fillId="23" fontId="49" numFmtId="0" xfId="0" applyAlignment="1" applyBorder="1" applyFont="1">
      <alignment horizontal="center" readingOrder="0" shrinkToFit="0" wrapText="1"/>
    </xf>
    <xf borderId="1" fillId="23" fontId="49" numFmtId="0" xfId="0" applyAlignment="1" applyBorder="1" applyFont="1">
      <alignment horizontal="center" readingOrder="0" shrinkToFit="0" wrapText="1"/>
    </xf>
    <xf borderId="1" fillId="0" fontId="49" numFmtId="0" xfId="0" applyAlignment="1" applyBorder="1" applyFont="1">
      <alignment horizontal="center" readingOrder="0" shrinkToFit="0" wrapText="1"/>
    </xf>
    <xf borderId="1" fillId="3" fontId="99" numFmtId="0" xfId="0" applyAlignment="1" applyBorder="1" applyFont="1">
      <alignment horizontal="center" readingOrder="0" shrinkToFit="0" wrapText="1"/>
    </xf>
    <xf borderId="1" fillId="3" fontId="100" numFmtId="0" xfId="0" applyAlignment="1" applyBorder="1" applyFont="1">
      <alignment horizontal="center" readingOrder="0" shrinkToFit="0" wrapText="0"/>
    </xf>
    <xf borderId="1" fillId="3" fontId="49" numFmtId="0" xfId="0" applyAlignment="1" applyBorder="1" applyFont="1">
      <alignment horizontal="center" readingOrder="0" shrinkToFit="0" wrapText="1"/>
    </xf>
    <xf borderId="15" fillId="2" fontId="101" numFmtId="0" xfId="0" applyAlignment="1" applyBorder="1" applyFont="1">
      <alignment horizontal="center" readingOrder="0" shrinkToFit="0" wrapText="0"/>
    </xf>
    <xf borderId="1" fillId="0" fontId="49" numFmtId="0" xfId="0" applyAlignment="1" applyBorder="1" applyFont="1">
      <alignment horizontal="center" readingOrder="0" shrinkToFit="0" wrapText="1"/>
    </xf>
    <xf borderId="0" fillId="3" fontId="102" numFmtId="0" xfId="0" applyAlignment="1" applyFont="1">
      <alignment readingOrder="0" shrinkToFit="0" wrapText="1"/>
    </xf>
    <xf borderId="1" fillId="0" fontId="103" numFmtId="0" xfId="0" applyAlignment="1" applyBorder="1" applyFont="1">
      <alignment horizontal="center" readingOrder="0" shrinkToFit="0" vertical="center" wrapText="1"/>
    </xf>
    <xf borderId="1" fillId="0" fontId="104" numFmtId="0" xfId="0" applyAlignment="1" applyBorder="1" applyFont="1">
      <alignment horizontal="center" readingOrder="0" shrinkToFit="0" wrapText="1"/>
    </xf>
    <xf borderId="15" fillId="2" fontId="55" numFmtId="0" xfId="0" applyAlignment="1" applyBorder="1" applyFont="1">
      <alignment horizontal="center" readingOrder="0" shrinkToFit="0" wrapText="0"/>
    </xf>
    <xf borderId="1" fillId="10" fontId="49" numFmtId="0" xfId="0" applyAlignment="1" applyBorder="1" applyFont="1">
      <alignment horizontal="center" readingOrder="0" shrinkToFit="0" vertical="bottom" wrapText="0"/>
    </xf>
    <xf borderId="1" fillId="10" fontId="49" numFmtId="0" xfId="0" applyAlignment="1" applyBorder="1" applyFont="1">
      <alignment horizontal="center" readingOrder="0" shrinkToFit="0" wrapText="0"/>
    </xf>
    <xf borderId="1" fillId="10" fontId="50" numFmtId="0" xfId="0" applyAlignment="1" applyBorder="1" applyFont="1">
      <alignment horizontal="center" readingOrder="0" shrinkToFit="0" vertical="center" wrapText="1"/>
    </xf>
    <xf borderId="1" fillId="10" fontId="105" numFmtId="0" xfId="0" applyAlignment="1" applyBorder="1" applyFont="1">
      <alignment horizontal="center" readingOrder="0" shrinkToFit="0" vertical="center" wrapText="1"/>
    </xf>
    <xf borderId="0" fillId="10" fontId="48" numFmtId="0" xfId="0" applyFont="1"/>
    <xf borderId="0" fillId="10" fontId="18" numFmtId="0" xfId="0" applyFont="1"/>
    <xf borderId="1" fillId="24" fontId="49" numFmtId="0" xfId="0" applyAlignment="1" applyBorder="1" applyFont="1">
      <alignment horizontal="center" readingOrder="0" shrinkToFit="0" wrapText="0"/>
    </xf>
    <xf borderId="15" fillId="2" fontId="53" numFmtId="0" xfId="0" applyAlignment="1" applyBorder="1" applyFont="1">
      <alignment horizontal="center" readingOrder="0" shrinkToFit="0" wrapText="0"/>
    </xf>
    <xf borderId="1" fillId="28" fontId="106" numFmtId="0" xfId="0" applyAlignment="1" applyBorder="1" applyFont="1">
      <alignment horizontal="center" readingOrder="0" shrinkToFit="0" wrapText="0"/>
    </xf>
    <xf borderId="1" fillId="0" fontId="107" numFmtId="0" xfId="0" applyAlignment="1" applyBorder="1" applyFont="1">
      <alignment horizontal="center" readingOrder="0" shrinkToFit="0" wrapText="0"/>
    </xf>
    <xf borderId="1" fillId="23" fontId="49" numFmtId="1" xfId="0" applyAlignment="1" applyBorder="1" applyFont="1" applyNumberFormat="1">
      <alignment horizontal="center" readingOrder="0" shrinkToFit="0" wrapText="0"/>
    </xf>
    <xf borderId="0" fillId="23" fontId="59" numFmtId="0" xfId="0" applyAlignment="1" applyFont="1">
      <alignment horizontal="center" readingOrder="0"/>
    </xf>
    <xf borderId="15" fillId="22" fontId="108" numFmtId="0" xfId="0" applyAlignment="1" applyBorder="1" applyFont="1">
      <alignment horizontal="center" readingOrder="0" shrinkToFit="0" wrapText="0"/>
    </xf>
    <xf borderId="4" fillId="25" fontId="109" numFmtId="0" xfId="0" applyAlignment="1" applyBorder="1" applyFont="1">
      <alignment horizontal="center" readingOrder="0" shrinkToFit="0" vertical="center" wrapText="0"/>
    </xf>
    <xf borderId="1" fillId="25" fontId="49" numFmtId="1" xfId="0" applyAlignment="1" applyBorder="1" applyFont="1" applyNumberFormat="1">
      <alignment horizontal="center" readingOrder="0" shrinkToFit="0" wrapText="0"/>
    </xf>
    <xf borderId="1" fillId="25" fontId="50" numFmtId="1" xfId="0" applyAlignment="1" applyBorder="1" applyFont="1" applyNumberFormat="1">
      <alignment horizontal="center" readingOrder="0" shrinkToFit="0" vertical="center" wrapText="1"/>
    </xf>
    <xf borderId="14" fillId="0" fontId="18" numFmtId="0" xfId="0" applyBorder="1" applyFont="1"/>
    <xf borderId="8" fillId="0" fontId="18" numFmtId="0" xfId="0" applyBorder="1" applyFont="1"/>
    <xf borderId="4" fillId="7" fontId="38" numFmtId="0" xfId="0" applyAlignment="1" applyBorder="1" applyFont="1">
      <alignment horizontal="center" readingOrder="0" shrinkToFit="0" vertical="center" wrapText="0"/>
    </xf>
    <xf borderId="1" fillId="7" fontId="49" numFmtId="1" xfId="0" applyAlignment="1" applyBorder="1" applyFont="1" applyNumberFormat="1">
      <alignment horizontal="center" readingOrder="0" shrinkToFit="0" wrapText="0"/>
    </xf>
    <xf borderId="1" fillId="7" fontId="50" numFmtId="1" xfId="0" applyAlignment="1" applyBorder="1" applyFont="1" applyNumberFormat="1">
      <alignment horizontal="center" readingOrder="0" shrinkToFit="0" vertical="center" wrapText="1"/>
    </xf>
    <xf borderId="0" fillId="0" fontId="48" numFmtId="1" xfId="0" applyAlignment="1" applyFont="1" applyNumberFormat="1">
      <alignment horizontal="center" readingOrder="0"/>
    </xf>
    <xf borderId="0" fillId="0" fontId="102" numFmtId="0" xfId="0" applyAlignment="1" applyFont="1">
      <alignment horizontal="left" readingOrder="0" shrinkToFit="0" wrapText="1"/>
    </xf>
    <xf borderId="1" fillId="11" fontId="49" numFmtId="1" xfId="0" applyAlignment="1" applyBorder="1" applyFont="1" applyNumberFormat="1">
      <alignment horizontal="center" readingOrder="0" shrinkToFit="0" wrapText="0"/>
    </xf>
    <xf borderId="1" fillId="3" fontId="110" numFmtId="0" xfId="0" applyAlignment="1" applyBorder="1" applyFont="1">
      <alignment horizontal="center" readingOrder="0" shrinkToFit="0" wrapText="0"/>
    </xf>
    <xf borderId="15" fillId="22" fontId="111" numFmtId="0" xfId="0" applyAlignment="1" applyBorder="1" applyFont="1">
      <alignment horizontal="center" readingOrder="0" shrinkToFit="0" vertical="center" wrapText="0"/>
    </xf>
    <xf borderId="1" fillId="28" fontId="49" numFmtId="1" xfId="0" applyAlignment="1" applyBorder="1" applyFont="1" applyNumberFormat="1">
      <alignment horizontal="center" readingOrder="0" shrinkToFit="0" wrapText="0"/>
    </xf>
    <xf borderId="1" fillId="28" fontId="50" numFmtId="1" xfId="0" applyAlignment="1" applyBorder="1" applyFont="1" applyNumberFormat="1">
      <alignment horizontal="center" readingOrder="0" shrinkToFit="0" vertical="center" wrapText="1"/>
    </xf>
    <xf borderId="1" fillId="2" fontId="50" numFmtId="1" xfId="0" applyAlignment="1" applyBorder="1" applyFont="1" applyNumberFormat="1">
      <alignment horizontal="center" readingOrder="0" shrinkToFit="0" vertical="center" wrapText="1"/>
    </xf>
    <xf borderId="1" fillId="28" fontId="49" numFmtId="0" xfId="0" applyAlignment="1" applyBorder="1" applyFont="1">
      <alignment horizontal="center" readingOrder="0" shrinkToFit="0" wrapText="0"/>
    </xf>
    <xf borderId="4" fillId="23" fontId="112" numFmtId="0" xfId="0" applyAlignment="1" applyBorder="1" applyFont="1">
      <alignment horizontal="center" readingOrder="0" shrinkToFit="0" vertical="center" wrapText="0"/>
    </xf>
    <xf borderId="15" fillId="2" fontId="113" numFmtId="0" xfId="0" applyAlignment="1" applyBorder="1" applyFont="1">
      <alignment horizontal="center" readingOrder="0" shrinkToFit="0" wrapText="0"/>
    </xf>
    <xf borderId="1" fillId="0" fontId="48" numFmtId="0" xfId="0" applyAlignment="1" applyBorder="1" applyFont="1">
      <alignment horizontal="center"/>
    </xf>
    <xf borderId="0" fillId="0" fontId="48" numFmtId="0" xfId="0" applyAlignment="1" applyFont="1">
      <alignment horizontal="center"/>
    </xf>
    <xf borderId="1" fillId="30" fontId="47" numFmtId="0" xfId="0" applyAlignment="1" applyBorder="1" applyFill="1" applyFont="1">
      <alignment horizontal="center" readingOrder="0" vertical="center"/>
    </xf>
    <xf borderId="1" fillId="30" fontId="47" numFmtId="0" xfId="0" applyAlignment="1" applyBorder="1" applyFont="1">
      <alignment horizontal="left" readingOrder="0" vertical="center"/>
    </xf>
    <xf borderId="1" fillId="0" fontId="48" numFmtId="0" xfId="0" applyAlignment="1" applyBorder="1" applyFont="1">
      <alignment horizontal="center" readingOrder="0"/>
    </xf>
    <xf borderId="1" fillId="0" fontId="48" numFmtId="0" xfId="0" applyAlignment="1" applyBorder="1" applyFont="1">
      <alignment horizontal="left" readingOrder="0"/>
    </xf>
    <xf borderId="1" fillId="0" fontId="18" numFmtId="0" xfId="0" applyAlignment="1" applyBorder="1" applyFont="1">
      <alignment horizontal="left" readingOrder="0"/>
    </xf>
    <xf borderId="1" fillId="3" fontId="18" numFmtId="0" xfId="0" applyBorder="1" applyFont="1"/>
    <xf borderId="1" fillId="3" fontId="18" numFmtId="0" xfId="0" applyAlignment="1" applyBorder="1" applyFont="1">
      <alignment readingOrder="0"/>
    </xf>
    <xf borderId="1" fillId="3" fontId="18" numFmtId="0" xfId="0" applyAlignment="1" applyBorder="1" applyFont="1">
      <alignment horizontal="left" readingOrder="0"/>
    </xf>
    <xf borderId="0" fillId="3" fontId="18" numFmtId="0" xfId="0" applyFont="1"/>
    <xf borderId="1" fillId="0" fontId="18" numFmtId="0" xfId="0" applyAlignment="1" applyBorder="1" applyFont="1">
      <alignment horizontal="center" vertical="center"/>
    </xf>
    <xf borderId="1" fillId="0" fontId="18" numFmtId="0" xfId="0" applyAlignment="1" applyBorder="1" applyFont="1">
      <alignment horizontal="left" readingOrder="0" vertical="center"/>
    </xf>
    <xf borderId="1" fillId="0" fontId="18" numFmtId="0" xfId="0" applyAlignment="1" applyBorder="1" applyFont="1">
      <alignment horizontal="center" readingOrder="0" vertical="center"/>
    </xf>
    <xf borderId="1" fillId="0" fontId="18" numFmtId="0" xfId="0" applyAlignment="1" applyBorder="1" applyFont="1">
      <alignment horizontal="left" vertical="center"/>
    </xf>
    <xf borderId="0" fillId="0" fontId="18" numFmtId="0" xfId="0" applyAlignment="1" applyFont="1">
      <alignment horizontal="center" vertical="center"/>
    </xf>
    <xf borderId="0" fillId="0" fontId="18" numFmtId="0" xfId="0" applyAlignment="1" applyFont="1">
      <alignment horizontal="left" vertical="center"/>
    </xf>
    <xf borderId="0" fillId="22" fontId="47" numFmtId="0" xfId="0" applyAlignment="1" applyFont="1">
      <alignment horizontal="center" readingOrder="0" vertical="center"/>
    </xf>
    <xf borderId="1" fillId="0" fontId="50" numFmtId="0" xfId="0" applyAlignment="1" applyBorder="1" applyFont="1">
      <alignment horizontal="center" readingOrder="0" vertical="center"/>
    </xf>
    <xf borderId="1" fillId="3" fontId="50" numFmtId="1" xfId="0" applyAlignment="1" applyBorder="1" applyFont="1" applyNumberFormat="1">
      <alignment horizontal="center" readingOrder="0" shrinkToFit="0" vertical="center" wrapText="1"/>
    </xf>
    <xf borderId="1" fillId="3" fontId="59" numFmtId="0" xfId="0" applyAlignment="1" applyBorder="1" applyFont="1">
      <alignment horizontal="center" readingOrder="0"/>
    </xf>
    <xf borderId="1" fillId="3" fontId="114" numFmtId="1" xfId="0" applyAlignment="1" applyBorder="1" applyFont="1" applyNumberFormat="1">
      <alignment horizontal="center" readingOrder="0" shrinkToFit="0" vertical="center" wrapText="1"/>
    </xf>
    <xf borderId="15" fillId="22" fontId="115" numFmtId="0" xfId="0" applyAlignment="1" applyBorder="1" applyFont="1">
      <alignment horizontal="center" readingOrder="0" vertical="center"/>
    </xf>
    <xf borderId="1" fillId="17" fontId="50" numFmtId="1" xfId="0" applyAlignment="1" applyBorder="1" applyFont="1" applyNumberFormat="1">
      <alignment horizontal="center" readingOrder="0" shrinkToFit="0" vertical="center" wrapText="1"/>
    </xf>
    <xf borderId="15" fillId="31" fontId="116" numFmtId="0" xfId="0" applyAlignment="1" applyBorder="1" applyFill="1" applyFont="1">
      <alignment horizontal="center" readingOrder="0" shrinkToFit="0" vertical="top" wrapText="1"/>
    </xf>
    <xf borderId="2" fillId="31" fontId="18" numFmtId="0" xfId="0" applyBorder="1" applyFont="1"/>
    <xf borderId="3" fillId="31" fontId="18" numFmtId="0" xfId="0" applyBorder="1" applyFont="1"/>
    <xf borderId="0" fillId="0" fontId="18" numFmtId="0" xfId="0" applyAlignment="1" applyFont="1">
      <alignment vertical="top"/>
    </xf>
    <xf borderId="1" fillId="32" fontId="117" numFmtId="0" xfId="0" applyAlignment="1" applyBorder="1" applyFill="1" applyFont="1">
      <alignment horizontal="center" readingOrder="0" shrinkToFit="0" vertical="top" wrapText="1"/>
    </xf>
    <xf borderId="1" fillId="32" fontId="117" numFmtId="0" xfId="0" applyAlignment="1" applyBorder="1" applyFont="1">
      <alignment horizontal="center" readingOrder="0" vertical="top"/>
    </xf>
    <xf borderId="1" fillId="3" fontId="118" numFmtId="0" xfId="0" applyAlignment="1" applyBorder="1" applyFont="1">
      <alignment horizontal="center" readingOrder="0" vertical="top"/>
    </xf>
    <xf borderId="1" fillId="3" fontId="119" numFmtId="0" xfId="0" applyAlignment="1" applyBorder="1" applyFont="1">
      <alignment horizontal="left" readingOrder="0" vertical="top"/>
    </xf>
    <xf borderId="1" fillId="0" fontId="48" numFmtId="0" xfId="0" applyAlignment="1" applyBorder="1" applyFont="1">
      <alignment horizontal="left" readingOrder="0" shrinkToFit="0" wrapText="1"/>
    </xf>
    <xf borderId="1" fillId="0" fontId="48" numFmtId="0" xfId="0" applyAlignment="1" applyBorder="1" applyFont="1">
      <alignment readingOrder="0"/>
    </xf>
    <xf borderId="1" fillId="0" fontId="48" numFmtId="0" xfId="0" applyAlignment="1" applyBorder="1" applyFont="1">
      <alignment horizontal="center" readingOrder="0" shrinkToFit="0" wrapText="1"/>
    </xf>
    <xf borderId="1" fillId="0" fontId="48" numFmtId="0" xfId="0" applyBorder="1" applyFont="1"/>
    <xf borderId="1" fillId="0" fontId="48" numFmtId="0" xfId="0" applyAlignment="1" applyBorder="1" applyFont="1">
      <alignment horizontal="left" readingOrder="0" shrinkToFit="0" wrapText="1"/>
    </xf>
    <xf borderId="1" fillId="0" fontId="120" numFmtId="0" xfId="0" applyAlignment="1" applyBorder="1" applyFont="1">
      <alignment readingOrder="0"/>
    </xf>
    <xf borderId="0" fillId="33" fontId="121" numFmtId="0" xfId="0" applyAlignment="1" applyFill="1" applyFont="1">
      <alignment readingOrder="0"/>
    </xf>
    <xf borderId="1" fillId="0" fontId="48" numFmtId="0" xfId="0" applyAlignment="1" applyBorder="1" applyFont="1">
      <alignment readingOrder="0"/>
    </xf>
    <xf borderId="0" fillId="0" fontId="122" numFmtId="0" xfId="0" applyAlignment="1" applyFont="1">
      <alignment readingOrder="0"/>
    </xf>
    <xf borderId="1" fillId="0" fontId="48" numFmtId="0" xfId="0" applyAlignment="1" applyBorder="1" applyFont="1">
      <alignment horizontal="center" shrinkToFit="0" wrapText="1"/>
    </xf>
    <xf borderId="1" fillId="0" fontId="48" numFmtId="0" xfId="0" applyAlignment="1" applyBorder="1" applyFont="1">
      <alignment horizontal="left" shrinkToFit="0" wrapText="1"/>
    </xf>
    <xf borderId="15" fillId="31" fontId="123" numFmtId="0" xfId="0" applyAlignment="1" applyBorder="1" applyFont="1">
      <alignment horizontal="center" readingOrder="0"/>
    </xf>
    <xf borderId="1" fillId="0" fontId="48" numFmtId="0" xfId="0" applyAlignment="1" applyBorder="1" applyFont="1">
      <alignment readingOrder="0" shrinkToFit="0" wrapText="1"/>
    </xf>
    <xf borderId="0" fillId="0" fontId="48" numFmtId="0" xfId="0" applyAlignment="1" applyFont="1">
      <alignment horizontal="left" shrinkToFit="0" wrapText="1"/>
    </xf>
    <xf borderId="0" fillId="0" fontId="48" numFmtId="0" xfId="0" applyAlignment="1" applyFont="1">
      <alignment horizontal="center" shrinkToFit="0" wrapText="1"/>
    </xf>
    <xf borderId="1" fillId="34" fontId="124" numFmtId="0" xfId="0" applyAlignment="1" applyBorder="1" applyFill="1" applyFont="1">
      <alignment readingOrder="0"/>
    </xf>
    <xf borderId="1" fillId="34" fontId="124" numFmtId="0" xfId="0" applyBorder="1" applyFont="1"/>
    <xf borderId="1" fillId="34" fontId="48" numFmtId="0" xfId="0" applyBorder="1" applyFont="1"/>
    <xf borderId="1" fillId="34" fontId="124" numFmtId="0" xfId="0" applyAlignment="1" applyBorder="1" applyFont="1">
      <alignment horizontal="center" readingOrder="0"/>
    </xf>
    <xf borderId="1" fillId="0" fontId="125" numFmtId="0" xfId="0" applyAlignment="1" applyBorder="1" applyFont="1">
      <alignment readingOrder="0"/>
    </xf>
    <xf borderId="1" fillId="0" fontId="126" numFmtId="0" xfId="0" applyAlignment="1" applyBorder="1" applyFont="1">
      <alignment readingOrder="0"/>
    </xf>
    <xf borderId="1" fillId="0" fontId="125" numFmtId="0" xfId="0" applyAlignment="1" applyBorder="1" applyFont="1">
      <alignment readingOrder="0"/>
    </xf>
    <xf borderId="1" fillId="0" fontId="127" numFmtId="0" xfId="0" applyAlignment="1" applyBorder="1" applyFont="1">
      <alignment horizontal="center" readingOrder="0"/>
    </xf>
    <xf borderId="1" fillId="0" fontId="59" numFmtId="0" xfId="0" applyAlignment="1" applyBorder="1" applyFont="1">
      <alignment horizontal="center" readingOrder="0" shrinkToFit="0" wrapText="1"/>
    </xf>
    <xf borderId="1" fillId="0" fontId="127" numFmtId="0" xfId="0" applyAlignment="1" applyBorder="1" applyFont="1">
      <alignment horizontal="center" readingOrder="0" shrinkToFit="0" wrapText="1"/>
    </xf>
    <xf borderId="1" fillId="0" fontId="127" numFmtId="0" xfId="0" applyAlignment="1" applyBorder="1" applyFont="1">
      <alignment horizontal="center"/>
    </xf>
    <xf borderId="1" fillId="0" fontId="127" numFmtId="0" xfId="0" applyAlignment="1" applyBorder="1" applyFont="1">
      <alignment horizontal="center" shrinkToFit="0" wrapText="1"/>
    </xf>
    <xf borderId="1" fillId="0" fontId="59" numFmtId="0" xfId="0" applyAlignment="1" applyBorder="1" applyFont="1">
      <alignment horizontal="center" shrinkToFit="0" wrapText="1"/>
    </xf>
    <xf borderId="0" fillId="0" fontId="128" numFmtId="0" xfId="0" applyFont="1"/>
    <xf borderId="1" fillId="0" fontId="127" numFmtId="0" xfId="0" applyAlignment="1" applyBorder="1" applyFont="1">
      <alignment horizontal="center" readingOrder="0"/>
    </xf>
    <xf borderId="0" fillId="0" fontId="127" numFmtId="0" xfId="0" applyAlignment="1" applyFont="1">
      <alignment horizontal="center" readingOrder="0"/>
    </xf>
    <xf borderId="0" fillId="0" fontId="127" numFmtId="0" xfId="0" applyAlignment="1" applyFont="1">
      <alignment horizontal="center"/>
    </xf>
    <xf borderId="0" fillId="0" fontId="127" numFmtId="0" xfId="0" applyAlignment="1" applyFont="1">
      <alignment horizontal="center" shrinkToFit="0" wrapText="1"/>
    </xf>
    <xf borderId="2" fillId="35" fontId="129" numFmtId="0" xfId="0" applyAlignment="1" applyBorder="1" applyFill="1" applyFont="1">
      <alignment horizontal="center" readingOrder="0" shrinkToFit="0" vertical="top" wrapText="1"/>
    </xf>
    <xf borderId="3" fillId="35" fontId="129" numFmtId="0" xfId="0" applyAlignment="1" applyBorder="1" applyFont="1">
      <alignment horizontal="center" readingOrder="0" shrinkToFit="0" vertical="top" wrapText="1"/>
    </xf>
    <xf borderId="0" fillId="0" fontId="59" numFmtId="0" xfId="0" applyAlignment="1" applyFont="1">
      <alignment readingOrder="0"/>
    </xf>
    <xf borderId="0" fillId="0" fontId="130" numFmtId="0" xfId="0" applyAlignment="1" applyFont="1">
      <alignment readingOrder="0"/>
    </xf>
    <xf borderId="0" fillId="0" fontId="18" numFmtId="0" xfId="0" applyAlignment="1" applyFont="1">
      <alignment readingOrder="0"/>
    </xf>
    <xf borderId="1" fillId="32" fontId="129" numFmtId="0" xfId="0" applyAlignment="1" applyBorder="1" applyFont="1">
      <alignment horizontal="center" readingOrder="0" vertical="top"/>
    </xf>
    <xf borderId="1" fillId="36" fontId="129" numFmtId="0" xfId="0" applyAlignment="1" applyBorder="1" applyFill="1" applyFont="1">
      <alignment horizontal="center" readingOrder="0" vertical="top"/>
    </xf>
    <xf borderId="1" fillId="36" fontId="129" numFmtId="0" xfId="0" applyAlignment="1" applyBorder="1" applyFont="1">
      <alignment horizontal="left" readingOrder="0" vertical="top"/>
    </xf>
    <xf borderId="1" fillId="32" fontId="129" numFmtId="0" xfId="0" applyAlignment="1" applyBorder="1" applyFont="1">
      <alignment horizontal="center" readingOrder="0" vertical="top"/>
    </xf>
    <xf borderId="1" fillId="36" fontId="129" numFmtId="0" xfId="0" applyAlignment="1" applyBorder="1" applyFont="1">
      <alignment horizontal="center" readingOrder="0" vertical="top"/>
    </xf>
    <xf borderId="1" fillId="36" fontId="129" numFmtId="0" xfId="0" applyAlignment="1" applyBorder="1" applyFont="1">
      <alignment horizontal="left" readingOrder="0" vertical="top"/>
    </xf>
    <xf borderId="1" fillId="32" fontId="102" numFmtId="0" xfId="0" applyAlignment="1" applyBorder="1" applyFont="1">
      <alignment horizontal="center" readingOrder="0" vertical="top"/>
    </xf>
    <xf borderId="1" fillId="32" fontId="102" numFmtId="0" xfId="0" applyAlignment="1" applyBorder="1" applyFont="1">
      <alignment horizontal="center" readingOrder="0" shrinkToFit="0" vertical="top" wrapText="1"/>
    </xf>
    <xf borderId="1" fillId="0" fontId="59" numFmtId="0" xfId="0" applyAlignment="1" applyBorder="1" applyFont="1">
      <alignment readingOrder="0"/>
    </xf>
    <xf borderId="1" fillId="32" fontId="131" numFmtId="0" xfId="0" applyAlignment="1" applyBorder="1" applyFont="1">
      <alignment horizontal="center" readingOrder="0" vertical="top"/>
    </xf>
    <xf borderId="0" fillId="32" fontId="102" numFmtId="0" xfId="0" applyAlignment="1" applyFont="1">
      <alignment horizontal="center" readingOrder="0" vertical="top"/>
    </xf>
    <xf borderId="0" fillId="32" fontId="102" numFmtId="0" xfId="0" applyAlignment="1" applyFont="1">
      <alignment horizontal="center" readingOrder="0" shrinkToFit="0" vertical="top" wrapText="1"/>
    </xf>
    <xf borderId="0" fillId="0" fontId="59" numFmtId="0" xfId="0" applyAlignment="1" applyFont="1">
      <alignment readingOrder="0"/>
    </xf>
    <xf borderId="0" fillId="32" fontId="131" numFmtId="0" xfId="0" applyAlignment="1" applyFont="1">
      <alignment horizontal="center" readingOrder="0" vertical="top"/>
    </xf>
    <xf borderId="1" fillId="32" fontId="117" numFmtId="0" xfId="0" applyAlignment="1" applyBorder="1" applyFont="1">
      <alignment horizontal="center" readingOrder="0" vertical="top"/>
    </xf>
    <xf borderId="1" fillId="36" fontId="118" numFmtId="0" xfId="0" applyAlignment="1" applyBorder="1" applyFont="1">
      <alignment horizontal="center" readingOrder="0" vertical="top"/>
    </xf>
    <xf borderId="1" fillId="36" fontId="119" numFmtId="0" xfId="0" applyAlignment="1" applyBorder="1" applyFont="1">
      <alignment horizontal="left" readingOrder="0" vertical="top"/>
    </xf>
    <xf borderId="0" fillId="0" fontId="59" numFmtId="0" xfId="0" applyFont="1"/>
    <xf borderId="1" fillId="0" fontId="59" numFmtId="0" xfId="0" applyBorder="1" applyFont="1"/>
    <xf borderId="0" fillId="0" fontId="132" numFmtId="0" xfId="0" applyAlignment="1" applyFont="1">
      <alignment readingOrder="0"/>
    </xf>
    <xf borderId="0" fillId="0" fontId="59" numFmtId="0" xfId="0" applyAlignment="1" applyFont="1">
      <alignment horizontal="left" readingOrder="0"/>
    </xf>
    <xf borderId="2" fillId="3" fontId="129" numFmtId="0" xfId="0" applyAlignment="1" applyBorder="1" applyFont="1">
      <alignment horizontal="center" readingOrder="0" shrinkToFit="0" vertical="top" wrapText="1"/>
    </xf>
    <xf borderId="3" fillId="3" fontId="129" numFmtId="0" xfId="0" applyAlignment="1" applyBorder="1" applyFont="1">
      <alignment horizontal="center" readingOrder="0" shrinkToFit="0" vertical="top" wrapText="1"/>
    </xf>
    <xf borderId="1" fillId="0" fontId="59" numFmtId="0" xfId="0" applyAlignment="1" applyBorder="1" applyFont="1">
      <alignment horizontal="center" readingOrder="0"/>
    </xf>
    <xf borderId="1" fillId="0" fontId="59" numFmtId="0" xfId="0" applyAlignment="1" applyBorder="1" applyFont="1">
      <alignment horizontal="left" readingOrder="0"/>
    </xf>
    <xf borderId="1" fillId="0" fontId="133" numFmtId="0" xfId="0" applyAlignment="1" applyBorder="1" applyFont="1">
      <alignment horizontal="left" readingOrder="0"/>
    </xf>
    <xf borderId="1" fillId="0" fontId="18" numFmtId="0" xfId="0" applyBorder="1" applyFont="1"/>
    <xf borderId="0" fillId="3" fontId="129" numFmtId="0" xfId="0" applyAlignment="1" applyFont="1">
      <alignment horizontal="center" readingOrder="0" shrinkToFit="0" vertical="top" wrapText="1"/>
    </xf>
    <xf borderId="1" fillId="3" fontId="59" numFmtId="0" xfId="0" applyAlignment="1" applyBorder="1" applyFont="1">
      <alignment horizontal="left" readingOrder="0"/>
    </xf>
    <xf borderId="1" fillId="3" fontId="59" numFmtId="0" xfId="0" applyAlignment="1" applyBorder="1" applyFont="1">
      <alignment horizontal="left" readingOrder="0"/>
    </xf>
    <xf borderId="0" fillId="3" fontId="129" numFmtId="0" xfId="0" applyAlignment="1" applyFont="1">
      <alignment horizontal="center" readingOrder="0" shrinkToFit="0" vertical="top" wrapText="1"/>
    </xf>
    <xf borderId="1" fillId="3" fontId="59" numFmtId="0" xfId="0" applyAlignment="1" applyBorder="1" applyFont="1">
      <alignment horizontal="center" readingOrder="0"/>
    </xf>
    <xf borderId="1" fillId="3" fontId="59" numFmtId="0" xfId="0" applyAlignment="1" applyBorder="1" applyFont="1">
      <alignment horizontal="left" readingOrder="0"/>
    </xf>
    <xf borderId="1" fillId="3" fontId="59" numFmtId="0" xfId="0" applyAlignment="1" applyBorder="1" applyFont="1">
      <alignment horizontal="left" readingOrder="0"/>
    </xf>
    <xf borderId="1" fillId="3" fontId="59" numFmtId="0" xfId="0" applyAlignment="1" applyBorder="1" applyFont="1">
      <alignment horizontal="center" readingOrder="0"/>
    </xf>
    <xf borderId="1" fillId="3" fontId="18" numFmtId="0" xfId="0" applyBorder="1" applyFont="1"/>
    <xf borderId="1" fillId="3" fontId="59" numFmtId="0" xfId="0" applyAlignment="1" applyBorder="1" applyFont="1">
      <alignment horizontal="left" readingOrder="0"/>
    </xf>
    <xf borderId="1" fillId="3" fontId="59" numFmtId="0" xfId="0" applyAlignment="1" applyBorder="1" applyFont="1">
      <alignment horizontal="left" readingOrder="0"/>
    </xf>
    <xf borderId="1" fillId="3" fontId="134" numFmtId="0" xfId="0" applyAlignment="1" applyBorder="1" applyFont="1">
      <alignment horizontal="left" readingOrder="0"/>
    </xf>
    <xf borderId="1" fillId="3" fontId="59" numFmtId="0" xfId="0" applyAlignment="1" applyBorder="1" applyFont="1">
      <alignment horizontal="left" readingOrder="0"/>
    </xf>
    <xf borderId="0" fillId="3" fontId="59" numFmtId="0" xfId="0" applyAlignment="1" applyFont="1">
      <alignment horizontal="center" readingOrder="0"/>
    </xf>
    <xf borderId="0" fillId="3" fontId="59" numFmtId="0" xfId="0" applyAlignment="1" applyFont="1">
      <alignment horizontal="left" readingOrder="0"/>
    </xf>
    <xf borderId="0" fillId="3" fontId="59" numFmtId="0" xfId="0" applyAlignment="1" applyFont="1">
      <alignment horizontal="left" readingOrder="0"/>
    </xf>
    <xf borderId="0" fillId="3" fontId="18" numFmtId="0" xfId="0" applyFont="1"/>
    <xf borderId="0" fillId="3" fontId="135" numFmtId="0" xfId="0" applyAlignment="1" applyFont="1">
      <alignment horizontal="left" readingOrder="0"/>
    </xf>
    <xf borderId="0" fillId="3" fontId="59" numFmtId="0" xfId="0" applyAlignment="1" applyFont="1">
      <alignment horizontal="center" readingOrder="0"/>
    </xf>
    <xf borderId="0" fillId="3" fontId="59" numFmtId="0" xfId="0" applyAlignment="1" applyFont="1">
      <alignment horizontal="center" readingOrder="0"/>
    </xf>
    <xf borderId="0" fillId="3" fontId="59" numFmtId="0" xfId="0" applyAlignment="1" applyFont="1">
      <alignment horizontal="left" readingOrder="0"/>
    </xf>
    <xf borderId="0" fillId="3" fontId="59" numFmtId="0" xfId="0" applyAlignment="1" applyFont="1">
      <alignment horizontal="left" readingOrder="0"/>
    </xf>
    <xf borderId="0" fillId="0" fontId="18" numFmtId="0" xfId="0" applyAlignment="1" applyFont="1">
      <alignment horizontal="left" readingOrder="0"/>
    </xf>
    <xf borderId="0" fillId="0" fontId="136" numFmtId="0" xfId="0" applyAlignment="1" applyFont="1">
      <alignment horizontal="left" readingOrder="0"/>
    </xf>
    <xf borderId="0" fillId="0" fontId="18" numFmtId="0" xfId="0" applyAlignment="1" applyFont="1">
      <alignment horizontal="left"/>
    </xf>
    <xf borderId="0" fillId="0" fontId="18" numFmtId="0" xfId="0" applyAlignment="1" applyFont="1">
      <alignment horizontal="left" readingOrder="0"/>
    </xf>
    <xf borderId="0" fillId="0" fontId="137" numFmtId="0" xfId="0" applyAlignment="1" applyFont="1">
      <alignment readingOrder="0"/>
    </xf>
    <xf borderId="0" fillId="0" fontId="138" numFmtId="0" xfId="0" applyAlignment="1" applyFont="1">
      <alignment horizontal="left" readingOrder="0"/>
    </xf>
    <xf borderId="0" fillId="0" fontId="18" numFmtId="3" xfId="0" applyAlignment="1" applyFont="1" applyNumberFormat="1">
      <alignment horizontal="left" readingOrder="0"/>
    </xf>
    <xf borderId="0" fillId="10" fontId="18" numFmtId="0" xfId="0" applyAlignment="1" applyFont="1">
      <alignment readingOrder="0"/>
    </xf>
    <xf borderId="0" fillId="10" fontId="18" numFmtId="0" xfId="0" applyAlignment="1" applyFont="1">
      <alignment readingOrder="0"/>
    </xf>
    <xf borderId="0" fillId="0" fontId="18" numFmtId="0" xfId="0" applyAlignment="1" applyFont="1">
      <alignment readingOrder="0"/>
    </xf>
    <xf borderId="1" fillId="0" fontId="139" numFmtId="0" xfId="0" applyAlignment="1" applyBorder="1" applyFont="1">
      <alignment horizontal="left" readingOrder="0" shrinkToFit="0" vertical="center" wrapText="1"/>
    </xf>
    <xf borderId="0" fillId="0" fontId="139" numFmtId="0" xfId="0" applyAlignment="1" applyFont="1">
      <alignment horizontal="left" readingOrder="0" shrinkToFit="0" vertical="center" wrapText="1"/>
    </xf>
    <xf borderId="1" fillId="0" fontId="140" numFmtId="0" xfId="0" applyAlignment="1" applyBorder="1" applyFont="1">
      <alignment shrinkToFit="0" vertical="center" wrapText="1"/>
    </xf>
    <xf borderId="1" fillId="0" fontId="140" numFmtId="4" xfId="0" applyAlignment="1" applyBorder="1" applyFont="1" applyNumberFormat="1">
      <alignment shrinkToFit="0" vertical="center" wrapText="0"/>
    </xf>
    <xf borderId="1" fillId="0" fontId="141" numFmtId="0" xfId="0" applyAlignment="1" applyBorder="1" applyFont="1">
      <alignment shrinkToFit="0" vertical="center" wrapText="1"/>
    </xf>
    <xf borderId="1" fillId="0" fontId="140" numFmtId="0" xfId="0" applyAlignment="1" applyBorder="1" applyFont="1">
      <alignment shrinkToFit="0" vertical="center" wrapText="0"/>
    </xf>
    <xf borderId="0" fillId="0" fontId="140" numFmtId="0" xfId="0" applyAlignment="1" applyFont="1">
      <alignment shrinkToFit="0" vertical="center" wrapText="0"/>
    </xf>
    <xf borderId="1" fillId="0" fontId="142" numFmtId="0" xfId="0" applyAlignment="1" applyBorder="1" applyFont="1">
      <alignment shrinkToFit="0" vertical="center" wrapText="0"/>
    </xf>
    <xf borderId="1" fillId="0" fontId="140" numFmtId="1" xfId="0" applyAlignment="1" applyBorder="1" applyFont="1" applyNumberFormat="1">
      <alignment shrinkToFit="0" vertical="center" wrapText="1"/>
    </xf>
    <xf borderId="0" fillId="0" fontId="140" numFmtId="0" xfId="0" applyAlignment="1" applyFont="1">
      <alignment shrinkToFit="0" vertical="center" wrapText="1"/>
    </xf>
    <xf borderId="1" fillId="0" fontId="140" numFmtId="1" xfId="0" applyAlignment="1" applyBorder="1" applyFont="1" applyNumberFormat="1">
      <alignment readingOrder="0" shrinkToFit="0" vertical="center" wrapText="1"/>
    </xf>
    <xf borderId="1" fillId="0" fontId="140" numFmtId="1" xfId="0" applyAlignment="1" applyBorder="1" applyFont="1" applyNumberFormat="1">
      <alignment readingOrder="0" shrinkToFit="0" vertical="center" wrapText="1"/>
    </xf>
    <xf borderId="1" fillId="0" fontId="140" numFmtId="4" xfId="0" applyAlignment="1" applyBorder="1" applyFont="1" applyNumberFormat="1">
      <alignment shrinkToFit="0" vertical="center" wrapText="1"/>
    </xf>
    <xf borderId="1" fillId="0" fontId="140" numFmtId="1" xfId="0" applyAlignment="1" applyBorder="1" applyFont="1" applyNumberFormat="1">
      <alignment shrinkToFit="0" vertical="center" wrapText="0"/>
    </xf>
    <xf borderId="1" fillId="0" fontId="140" numFmtId="4" xfId="0" applyAlignment="1" applyBorder="1" applyFont="1" applyNumberFormat="1">
      <alignment readingOrder="0" shrinkToFit="0" vertical="center" wrapText="0"/>
    </xf>
    <xf borderId="1" fillId="0" fontId="140" numFmtId="0" xfId="0" applyAlignment="1" applyBorder="1" applyFont="1">
      <alignment readingOrder="0" shrinkToFit="0" vertical="center" wrapText="0"/>
    </xf>
    <xf borderId="1" fillId="10" fontId="140" numFmtId="0" xfId="0" applyAlignment="1" applyBorder="1" applyFont="1">
      <alignment readingOrder="0" shrinkToFit="0" vertical="center" wrapText="0"/>
    </xf>
    <xf borderId="1" fillId="10" fontId="140" numFmtId="0" xfId="0" applyAlignment="1" applyBorder="1" applyFont="1">
      <alignment shrinkToFit="0" vertical="center" wrapText="0"/>
    </xf>
    <xf borderId="1" fillId="10" fontId="140" numFmtId="4" xfId="0" applyAlignment="1" applyBorder="1" applyFont="1" applyNumberFormat="1">
      <alignment shrinkToFit="0" vertical="center" wrapText="0"/>
    </xf>
    <xf borderId="1" fillId="10" fontId="140" numFmtId="0" xfId="0" applyAlignment="1" applyBorder="1" applyFont="1">
      <alignment shrinkToFit="0" vertical="center" wrapText="0"/>
    </xf>
    <xf borderId="1" fillId="10" fontId="140" numFmtId="0" xfId="0" applyAlignment="1" applyBorder="1" applyFont="1">
      <alignment readingOrder="0" shrinkToFit="0" vertical="center" wrapText="0"/>
    </xf>
    <xf borderId="1" fillId="10" fontId="140" numFmtId="4" xfId="0" applyAlignment="1" applyBorder="1" applyFont="1" applyNumberFormat="1">
      <alignment shrinkToFit="0" vertical="center" wrapText="0"/>
    </xf>
    <xf borderId="1" fillId="0" fontId="143" numFmtId="0" xfId="0" applyAlignment="1" applyBorder="1" applyFont="1">
      <alignment readingOrder="0" shrinkToFit="0" vertical="center" wrapText="0"/>
    </xf>
    <xf borderId="1" fillId="3" fontId="144" numFmtId="0" xfId="0" applyAlignment="1" applyBorder="1" applyFont="1">
      <alignment readingOrder="0" shrinkToFit="0" vertical="center" wrapText="0"/>
    </xf>
    <xf borderId="1" fillId="3" fontId="144" numFmtId="0" xfId="0" applyAlignment="1" applyBorder="1" applyFont="1">
      <alignment readingOrder="0" shrinkToFit="0" vertical="center" wrapText="0"/>
    </xf>
    <xf borderId="0" fillId="0" fontId="145" numFmtId="0" xfId="0" applyAlignment="1" applyFont="1">
      <alignment readingOrder="0"/>
    </xf>
    <xf borderId="1" fillId="37" fontId="145" numFmtId="0" xfId="0" applyAlignment="1" applyBorder="1" applyFill="1" applyFont="1">
      <alignment horizontal="center" readingOrder="0"/>
    </xf>
    <xf borderId="1" fillId="37" fontId="145" numFmtId="0" xfId="0" applyAlignment="1" applyBorder="1" applyFont="1">
      <alignment readingOrder="0"/>
    </xf>
    <xf borderId="1" fillId="37" fontId="146" numFmtId="0" xfId="0" applyAlignment="1" applyBorder="1" applyFont="1">
      <alignment readingOrder="0"/>
    </xf>
    <xf borderId="1" fillId="37" fontId="145" numFmtId="0" xfId="0" applyBorder="1" applyFont="1"/>
    <xf borderId="0" fillId="0" fontId="145" numFmtId="0" xfId="0" applyFont="1"/>
    <xf borderId="0" fillId="0" fontId="145" numFmtId="0" xfId="0" applyAlignment="1" applyFont="1">
      <alignment horizontal="center" readingOrder="0"/>
    </xf>
    <xf borderId="0" fillId="0" fontId="147" numFmtId="0" xfId="0" applyAlignment="1" applyFont="1">
      <alignment readingOrder="0"/>
    </xf>
    <xf borderId="0" fillId="0" fontId="145" numFmtId="0" xfId="0" applyAlignment="1" applyFont="1">
      <alignment readingOrder="0"/>
    </xf>
    <xf borderId="1" fillId="38" fontId="148" numFmtId="0" xfId="0" applyAlignment="1" applyBorder="1" applyFill="1" applyFont="1">
      <alignment horizontal="center" vertical="bottom"/>
    </xf>
    <xf borderId="1" fillId="0" fontId="149" numFmtId="0" xfId="0" applyAlignment="1" applyBorder="1" applyFont="1">
      <alignment vertical="bottom"/>
    </xf>
    <xf borderId="1" fillId="0" fontId="150" numFmtId="0" xfId="0" applyAlignment="1" applyBorder="1" applyFont="1">
      <alignment vertical="bottom"/>
    </xf>
    <xf borderId="1" fillId="0" fontId="151" numFmtId="0" xfId="0" applyAlignment="1" applyBorder="1" applyFont="1">
      <alignment vertical="bottom"/>
    </xf>
    <xf borderId="1" fillId="0" fontId="149" numFmtId="0" xfId="0" applyAlignment="1" applyBorder="1" applyFont="1">
      <alignment horizontal="right" vertical="bottom"/>
    </xf>
    <xf borderId="0" fillId="39" fontId="152" numFmtId="0" xfId="0" applyAlignment="1" applyFill="1" applyFont="1">
      <alignment vertical="bottom"/>
    </xf>
    <xf borderId="1" fillId="40" fontId="153" numFmtId="0" xfId="0" applyAlignment="1" applyBorder="1" applyFill="1" applyFont="1">
      <alignment horizontal="center" vertical="bottom"/>
    </xf>
    <xf borderId="1" fillId="40" fontId="154" numFmtId="0" xfId="0" applyAlignment="1" applyBorder="1" applyFont="1">
      <alignment horizontal="center" vertical="bottom"/>
    </xf>
    <xf borderId="1" fillId="36" fontId="150" numFmtId="0" xfId="0" applyAlignment="1" applyBorder="1" applyFont="1">
      <alignment vertical="bottom"/>
    </xf>
    <xf borderId="1" fillId="36" fontId="149" numFmtId="0" xfId="0" applyAlignment="1" applyBorder="1" applyFont="1">
      <alignment vertical="bottom"/>
    </xf>
    <xf borderId="1" fillId="36" fontId="155" numFmtId="0" xfId="0" applyAlignment="1" applyBorder="1" applyFont="1">
      <alignment vertical="bottom"/>
    </xf>
    <xf borderId="1" fillId="36" fontId="150" numFmtId="0" xfId="0" applyAlignment="1" applyBorder="1" applyFont="1">
      <alignment horizontal="right" vertical="bottom"/>
    </xf>
    <xf borderId="0" fillId="36" fontId="156" numFmtId="0" xfId="0" applyAlignment="1" applyFont="1">
      <alignment vertical="bottom"/>
    </xf>
    <xf borderId="1" fillId="41" fontId="150" numFmtId="0" xfId="0" applyAlignment="1" applyBorder="1" applyFill="1" applyFont="1">
      <alignment vertical="bottom"/>
    </xf>
    <xf borderId="1" fillId="41" fontId="149" numFmtId="0" xfId="0" applyAlignment="1" applyBorder="1" applyFont="1">
      <alignment vertical="bottom"/>
    </xf>
    <xf borderId="1" fillId="41" fontId="157" numFmtId="0" xfId="0" applyAlignment="1" applyBorder="1" applyFont="1">
      <alignment vertical="bottom"/>
    </xf>
    <xf borderId="0" fillId="36" fontId="158" numFmtId="0" xfId="0" applyAlignment="1" applyFont="1">
      <alignment vertical="bottom"/>
    </xf>
    <xf borderId="1" fillId="36" fontId="159" numFmtId="0" xfId="0" applyAlignment="1" applyBorder="1" applyFont="1">
      <alignment vertical="bottom"/>
    </xf>
    <xf borderId="1" fillId="36" fontId="160" numFmtId="0" xfId="0" applyAlignment="1" applyBorder="1" applyFont="1">
      <alignment vertical="bottom"/>
    </xf>
    <xf borderId="0" fillId="36" fontId="161" numFmtId="0" xfId="0" applyAlignment="1" applyFont="1">
      <alignment vertical="bottom"/>
    </xf>
    <xf borderId="0" fillId="36" fontId="162" numFmtId="0" xfId="0" applyAlignment="1" applyFont="1">
      <alignment vertical="bottom"/>
    </xf>
    <xf borderId="1" fillId="7" fontId="159" numFmtId="0" xfId="0" applyAlignment="1" applyBorder="1" applyFont="1">
      <alignment vertical="bottom"/>
    </xf>
    <xf borderId="0" fillId="7" fontId="163" numFmtId="0" xfId="0" applyAlignment="1" applyFont="1">
      <alignment vertical="bottom"/>
    </xf>
    <xf borderId="1" fillId="7" fontId="149" numFmtId="0" xfId="0" applyAlignment="1" applyBorder="1" applyFont="1">
      <alignment vertical="bottom"/>
    </xf>
    <xf borderId="0" fillId="7" fontId="159" numFmtId="0" xfId="0" applyAlignment="1" applyFont="1">
      <alignment vertical="bottom"/>
    </xf>
    <xf borderId="1" fillId="7" fontId="164" numFmtId="0" xfId="0" applyAlignment="1" applyBorder="1" applyFont="1">
      <alignment vertical="bottom"/>
    </xf>
    <xf borderId="0" fillId="36" fontId="165" numFmtId="0" xfId="0" applyAlignment="1" applyFont="1">
      <alignment vertical="bottom"/>
    </xf>
    <xf borderId="0" fillId="36" fontId="150" numFmtId="0" xfId="0" applyAlignment="1" applyFont="1">
      <alignment vertical="bottom"/>
    </xf>
    <xf borderId="1" fillId="35" fontId="150" numFmtId="0" xfId="0" applyAlignment="1" applyBorder="1" applyFont="1">
      <alignment vertical="bottom"/>
    </xf>
    <xf borderId="1" fillId="35" fontId="149" numFmtId="0" xfId="0" applyAlignment="1" applyBorder="1" applyFont="1">
      <alignment vertical="bottom"/>
    </xf>
    <xf borderId="1" fillId="35" fontId="166" numFmtId="0" xfId="0" applyAlignment="1" applyBorder="1" applyFont="1">
      <alignment vertical="bottom"/>
    </xf>
    <xf borderId="1" fillId="35" fontId="150" numFmtId="0" xfId="0" applyAlignment="1" applyBorder="1" applyFont="1">
      <alignment horizontal="right" vertical="bottom"/>
    </xf>
    <xf borderId="1" fillId="0" fontId="59" numFmtId="0" xfId="0" applyAlignment="1" applyBorder="1" applyFont="1">
      <alignment readingOrder="0"/>
    </xf>
    <xf borderId="16" fillId="0" fontId="59" numFmtId="0" xfId="0" applyAlignment="1" applyBorder="1" applyFont="1">
      <alignment readingOrder="0"/>
    </xf>
    <xf borderId="1" fillId="0" fontId="128" numFmtId="0" xfId="0" applyAlignment="1" applyBorder="1" applyFont="1">
      <alignment readingOrder="0"/>
    </xf>
    <xf borderId="1" fillId="0" fontId="167" numFmtId="0" xfId="0" applyAlignment="1" applyBorder="1" applyFont="1">
      <alignment readingOrder="0"/>
    </xf>
    <xf borderId="1" fillId="0" fontId="168" numFmtId="0" xfId="0" applyAlignment="1" applyBorder="1" applyFont="1">
      <alignment readingOrder="0"/>
    </xf>
    <xf borderId="0" fillId="0" fontId="128" numFmtId="0" xfId="0" applyAlignment="1" applyFont="1">
      <alignment readingOrder="0"/>
    </xf>
    <xf borderId="17" fillId="0" fontId="59" numFmtId="0" xfId="0" applyAlignment="1" applyBorder="1" applyFont="1">
      <alignment readingOrder="0"/>
    </xf>
    <xf borderId="1" fillId="42" fontId="46" numFmtId="0" xfId="0" applyAlignment="1" applyBorder="1" applyFill="1" applyFont="1">
      <alignment horizontal="center" readingOrder="0" shrinkToFit="0" vertical="top" wrapText="0"/>
    </xf>
    <xf borderId="1" fillId="42" fontId="4" numFmtId="0" xfId="0" applyAlignment="1" applyBorder="1" applyFont="1">
      <alignment shrinkToFit="0" vertical="bottom" wrapText="0"/>
    </xf>
    <xf borderId="1" fillId="42" fontId="4" numFmtId="0" xfId="0" applyAlignment="1" applyBorder="1" applyFont="1">
      <alignment horizontal="left" readingOrder="0" shrinkToFit="0" vertical="bottom" wrapText="0"/>
    </xf>
    <xf borderId="1" fillId="42" fontId="169" numFmtId="0" xfId="0" applyAlignment="1" applyBorder="1" applyFont="1">
      <alignment horizontal="left" readingOrder="0" shrinkToFit="0" vertical="bottom" wrapText="0"/>
    </xf>
    <xf borderId="15" fillId="42" fontId="4" numFmtId="0" xfId="0" applyAlignment="1" applyBorder="1" applyFont="1">
      <alignment horizontal="left" readingOrder="0" shrinkToFit="0" vertical="bottom" wrapText="0"/>
    </xf>
    <xf borderId="15" fillId="26" fontId="59" numFmtId="0" xfId="0" applyAlignment="1" applyBorder="1" applyFont="1">
      <alignment horizontal="center" readingOrder="0"/>
    </xf>
    <xf borderId="1" fillId="32" fontId="59" numFmtId="0" xfId="0" applyAlignment="1" applyBorder="1" applyFont="1">
      <alignment horizontal="center" readingOrder="0"/>
    </xf>
    <xf borderId="15" fillId="43" fontId="59" numFmtId="0" xfId="0" applyAlignment="1" applyBorder="1" applyFill="1" applyFont="1">
      <alignment horizontal="center" readingOrder="0"/>
    </xf>
    <xf borderId="0" fillId="44" fontId="59" numFmtId="0" xfId="0" applyAlignment="1" applyFill="1" applyFont="1">
      <alignment horizontal="left" readingOrder="0"/>
    </xf>
    <xf borderId="1" fillId="0" fontId="128" numFmtId="0" xfId="0" applyBorder="1" applyFont="1"/>
    <xf borderId="15" fillId="45" fontId="145" numFmtId="0" xfId="0" applyAlignment="1" applyBorder="1" applyFill="1" applyFont="1">
      <alignment readingOrder="0"/>
    </xf>
    <xf borderId="1" fillId="0" fontId="145" numFmtId="0" xfId="0" applyAlignment="1" applyBorder="1" applyFont="1">
      <alignment horizontal="center" readingOrder="0"/>
    </xf>
    <xf borderId="1" fillId="0" fontId="145" numFmtId="0" xfId="0" applyAlignment="1" applyBorder="1" applyFont="1">
      <alignment readingOrder="0"/>
    </xf>
    <xf borderId="1" fillId="0" fontId="170" numFmtId="0" xfId="0" applyAlignment="1" applyBorder="1" applyFont="1">
      <alignment readingOrder="0"/>
    </xf>
    <xf borderId="1" fillId="0" fontId="145" numFmtId="0" xfId="0" applyBorder="1" applyFont="1"/>
    <xf borderId="1" fillId="32" fontId="117" numFmtId="0" xfId="0" applyAlignment="1" applyBorder="1" applyFont="1">
      <alignment horizontal="center" readingOrder="0" vertical="top"/>
    </xf>
    <xf borderId="1" fillId="32" fontId="117" numFmtId="0" xfId="0" applyAlignment="1" applyBorder="1" applyFont="1">
      <alignment horizontal="center" readingOrder="0" shrinkToFit="0" vertical="top" wrapText="1"/>
    </xf>
    <xf borderId="1" fillId="32" fontId="171" numFmtId="0" xfId="0" applyAlignment="1" applyBorder="1" applyFont="1">
      <alignment horizontal="center" readingOrder="0" vertical="top"/>
    </xf>
    <xf borderId="1" fillId="0" fontId="18" numFmtId="0" xfId="0" applyAlignment="1" applyBorder="1" applyFont="1">
      <alignment readingOrder="0"/>
    </xf>
    <xf borderId="1" fillId="32" fontId="172" numFmtId="0" xfId="0" applyAlignment="1" applyBorder="1" applyFont="1">
      <alignment horizontal="center" readingOrder="0" vertical="top"/>
    </xf>
    <xf borderId="1" fillId="0" fontId="18" numFmtId="0" xfId="0" applyAlignment="1" applyBorder="1" applyFont="1">
      <alignment readingOrder="0"/>
    </xf>
    <xf borderId="1" fillId="32" fontId="117" numFmtId="0" xfId="0" applyAlignment="1" applyBorder="1" applyFont="1">
      <alignment horizontal="center" readingOrder="0" shrinkToFit="0" vertical="top" wrapText="1"/>
    </xf>
    <xf borderId="1" fillId="0" fontId="173" numFmtId="0" xfId="0" applyAlignment="1" applyBorder="1" applyFont="1">
      <alignment readingOrder="0"/>
    </xf>
    <xf borderId="15" fillId="31" fontId="116" numFmtId="0" xfId="0" applyAlignment="1" applyBorder="1" applyFont="1">
      <alignment horizontal="center" readingOrder="0" vertical="top"/>
    </xf>
    <xf borderId="1" fillId="3" fontId="118" numFmtId="0" xfId="0" applyAlignment="1" applyBorder="1" applyFont="1">
      <alignment horizontal="left" readingOrder="0" vertical="top"/>
    </xf>
    <xf borderId="1" fillId="3" fontId="102" numFmtId="0" xfId="0" applyAlignment="1" applyBorder="1" applyFont="1">
      <alignment horizontal="center" readingOrder="0" vertical="top"/>
    </xf>
    <xf borderId="1" fillId="3" fontId="174" numFmtId="0" xfId="0" applyAlignment="1" applyBorder="1" applyFont="1">
      <alignment horizontal="left" readingOrder="0" vertical="top"/>
    </xf>
    <xf borderId="1" fillId="37" fontId="49" numFmtId="0" xfId="0" applyAlignment="1" applyBorder="1" applyFont="1">
      <alignment horizontal="center" readingOrder="0" shrinkToFit="0" vertical="top" wrapText="0"/>
    </xf>
    <xf borderId="1" fillId="37" fontId="50" numFmtId="0" xfId="0" applyAlignment="1" applyBorder="1" applyFont="1">
      <alignment horizontal="center" readingOrder="0" vertical="top"/>
    </xf>
    <xf borderId="1" fillId="37" fontId="18" numFmtId="0" xfId="0" applyAlignment="1" applyBorder="1" applyFont="1">
      <alignment horizontal="left" readingOrder="0" vertical="top"/>
    </xf>
    <xf borderId="1" fillId="37" fontId="49" numFmtId="1" xfId="0" applyAlignment="1" applyBorder="1" applyFont="1" applyNumberFormat="1">
      <alignment horizontal="center" readingOrder="0" shrinkToFit="0" vertical="top" wrapText="0"/>
    </xf>
    <xf borderId="1" fillId="37" fontId="46" numFmtId="1" xfId="0" applyAlignment="1" applyBorder="1" applyFont="1" applyNumberFormat="1">
      <alignment horizontal="center" readingOrder="0" shrinkToFit="0" vertical="top" wrapText="1"/>
    </xf>
    <xf borderId="1" fillId="37" fontId="175" numFmtId="1" xfId="0" applyAlignment="1" applyBorder="1" applyFont="1" applyNumberFormat="1">
      <alignment horizontal="left" readingOrder="0" shrinkToFit="0" vertical="top" wrapText="1"/>
    </xf>
    <xf borderId="1" fillId="37" fontId="50" numFmtId="1" xfId="0" applyAlignment="1" applyBorder="1" applyFont="1" applyNumberFormat="1">
      <alignment horizontal="center" readingOrder="0" shrinkToFit="0" vertical="top" wrapText="1"/>
    </xf>
    <xf borderId="1" fillId="37" fontId="176" numFmtId="1" xfId="0" applyAlignment="1" applyBorder="1" applyFont="1" applyNumberFormat="1">
      <alignment horizontal="left" readingOrder="0" shrinkToFit="0" vertical="top" wrapText="1"/>
    </xf>
    <xf borderId="1" fillId="3" fontId="49" numFmtId="0" xfId="0" applyAlignment="1" applyBorder="1" applyFont="1">
      <alignment horizontal="center" readingOrder="0" shrinkToFit="0" vertical="top" wrapText="0"/>
    </xf>
    <xf borderId="1" fillId="3" fontId="50" numFmtId="0" xfId="0" applyAlignment="1" applyBorder="1" applyFont="1">
      <alignment horizontal="center" readingOrder="0" vertical="top"/>
    </xf>
    <xf borderId="1" fillId="3" fontId="18" numFmtId="0" xfId="0" applyAlignment="1" applyBorder="1" applyFont="1">
      <alignment horizontal="left" readingOrder="0" vertical="top"/>
    </xf>
    <xf borderId="1" fillId="3" fontId="49" numFmtId="1" xfId="0" applyAlignment="1" applyBorder="1" applyFont="1" applyNumberFormat="1">
      <alignment horizontal="center" readingOrder="0" shrinkToFit="0" vertical="top" wrapText="0"/>
    </xf>
    <xf borderId="1" fillId="3" fontId="46" numFmtId="1" xfId="0" applyAlignment="1" applyBorder="1" applyFont="1" applyNumberFormat="1">
      <alignment horizontal="center" readingOrder="0" shrinkToFit="0" vertical="top" wrapText="0"/>
    </xf>
    <xf borderId="1" fillId="3" fontId="175" numFmtId="1" xfId="0" applyAlignment="1" applyBorder="1" applyFont="1" applyNumberFormat="1">
      <alignment horizontal="left" readingOrder="0" shrinkToFit="0" vertical="top" wrapText="1"/>
    </xf>
    <xf borderId="1" fillId="3" fontId="50" numFmtId="1" xfId="0" applyAlignment="1" applyBorder="1" applyFont="1" applyNumberFormat="1">
      <alignment horizontal="center" readingOrder="0" shrinkToFit="0" vertical="top" wrapText="1"/>
    </xf>
    <xf borderId="1" fillId="3" fontId="177" numFmtId="1" xfId="0" applyAlignment="1" applyBorder="1" applyFont="1" applyNumberFormat="1">
      <alignment horizontal="left" readingOrder="0" shrinkToFit="0" vertical="top" wrapText="1"/>
    </xf>
    <xf borderId="1" fillId="37" fontId="46" numFmtId="1" xfId="0" applyAlignment="1" applyBorder="1" applyFont="1" applyNumberFormat="1">
      <alignment horizontal="center" readingOrder="0" shrinkToFit="0" vertical="top" wrapText="0"/>
    </xf>
    <xf borderId="1" fillId="37" fontId="178" numFmtId="1" xfId="0" applyAlignment="1" applyBorder="1" applyFont="1" applyNumberFormat="1">
      <alignment horizontal="left" readingOrder="0" shrinkToFit="0" vertical="top" wrapText="1"/>
    </xf>
    <xf borderId="1" fillId="3" fontId="46" numFmtId="1" xfId="0" applyAlignment="1" applyBorder="1" applyFont="1" applyNumberFormat="1">
      <alignment horizontal="center" readingOrder="0" shrinkToFit="0" vertical="top" wrapText="1"/>
    </xf>
    <xf borderId="1" fillId="3" fontId="176" numFmtId="1" xfId="0" applyAlignment="1" applyBorder="1" applyFont="1" applyNumberFormat="1">
      <alignment horizontal="left" readingOrder="0" shrinkToFit="0" vertical="top" wrapText="1"/>
    </xf>
    <xf borderId="1" fillId="3" fontId="179" numFmtId="1" xfId="0" applyAlignment="1" applyBorder="1" applyFont="1" applyNumberFormat="1">
      <alignment horizontal="left" readingOrder="0" shrinkToFit="0" vertical="top" wrapText="1"/>
    </xf>
    <xf borderId="1" fillId="3" fontId="49" numFmtId="0" xfId="0" applyAlignment="1" applyBorder="1" applyFont="1">
      <alignment horizontal="left" readingOrder="0" shrinkToFit="0" vertical="top" wrapText="0"/>
    </xf>
    <xf borderId="1" fillId="37" fontId="49" numFmtId="0" xfId="0" applyAlignment="1" applyBorder="1" applyFont="1">
      <alignment horizontal="left" readingOrder="0" shrinkToFit="0" vertical="top" wrapText="0"/>
    </xf>
    <xf borderId="1" fillId="37" fontId="49" numFmtId="1" xfId="0" applyAlignment="1" applyBorder="1" applyFont="1" applyNumberFormat="1">
      <alignment horizontal="left" readingOrder="0" shrinkToFit="0" vertical="top" wrapText="0"/>
    </xf>
    <xf borderId="1" fillId="3" fontId="49" numFmtId="1" xfId="0" applyAlignment="1" applyBorder="1" applyFont="1" applyNumberFormat="1">
      <alignment horizontal="left" readingOrder="0" shrinkToFit="0" vertical="top" wrapText="0"/>
    </xf>
    <xf borderId="1" fillId="37" fontId="180" numFmtId="1" xfId="0" applyAlignment="1" applyBorder="1" applyFont="1" applyNumberFormat="1">
      <alignment horizontal="center" readingOrder="0" shrinkToFit="0" vertical="top" wrapText="0"/>
    </xf>
    <xf borderId="1" fillId="37" fontId="181" numFmtId="1" xfId="0" applyAlignment="1" applyBorder="1" applyFont="1" applyNumberFormat="1">
      <alignment horizontal="left" readingOrder="0" shrinkToFit="0" vertical="top" wrapText="1"/>
    </xf>
    <xf borderId="0" fillId="3" fontId="182" numFmtId="1" xfId="0" applyAlignment="1" applyFont="1" applyNumberFormat="1">
      <alignment readingOrder="0"/>
    </xf>
    <xf borderId="0" fillId="37" fontId="18" numFmtId="1" xfId="0" applyAlignment="1" applyFont="1" applyNumberFormat="1">
      <alignment readingOrder="0"/>
    </xf>
    <xf borderId="0" fillId="37" fontId="183" numFmtId="1" xfId="0" applyAlignment="1" applyFont="1" applyNumberFormat="1">
      <alignment readingOrder="0"/>
    </xf>
    <xf borderId="1" fillId="37" fontId="184" numFmtId="1" xfId="0" applyAlignment="1" applyBorder="1" applyFont="1" applyNumberFormat="1">
      <alignment horizontal="center" readingOrder="0" shrinkToFit="0" vertical="top" wrapText="1"/>
    </xf>
    <xf borderId="1" fillId="3" fontId="185" numFmtId="0" xfId="0" applyAlignment="1" applyBorder="1" applyFont="1">
      <alignment horizontal="left" readingOrder="0" shrinkToFit="0" vertical="top" wrapText="0"/>
    </xf>
    <xf borderId="1" fillId="37" fontId="185" numFmtId="0" xfId="0" applyAlignment="1" applyBorder="1" applyFont="1">
      <alignment horizontal="left" readingOrder="0" shrinkToFit="0" vertical="top" wrapText="0"/>
    </xf>
    <xf borderId="1" fillId="17" fontId="49" numFmtId="0" xfId="0" applyAlignment="1" applyBorder="1" applyFont="1">
      <alignment horizontal="center" readingOrder="0" shrinkToFit="0" vertical="top" wrapText="0"/>
    </xf>
    <xf borderId="1" fillId="17" fontId="50" numFmtId="0" xfId="0" applyAlignment="1" applyBorder="1" applyFont="1">
      <alignment horizontal="center" readingOrder="0" vertical="top"/>
    </xf>
    <xf borderId="1" fillId="17" fontId="49" numFmtId="0" xfId="0" applyAlignment="1" applyBorder="1" applyFont="1">
      <alignment horizontal="left" readingOrder="0" shrinkToFit="0" vertical="top" wrapText="0"/>
    </xf>
    <xf borderId="1" fillId="17" fontId="49" numFmtId="1" xfId="0" applyAlignment="1" applyBorder="1" applyFont="1" applyNumberFormat="1">
      <alignment horizontal="center" readingOrder="0" shrinkToFit="0" vertical="top" wrapText="0"/>
    </xf>
    <xf borderId="1" fillId="17" fontId="46" numFmtId="1" xfId="0" applyAlignment="1" applyBorder="1" applyFont="1" applyNumberFormat="1">
      <alignment horizontal="center" readingOrder="0" shrinkToFit="0" vertical="top" wrapText="0"/>
    </xf>
    <xf borderId="1" fillId="17" fontId="175" numFmtId="1" xfId="0" applyAlignment="1" applyBorder="1" applyFont="1" applyNumberFormat="1">
      <alignment horizontal="left" readingOrder="0" shrinkToFit="0" vertical="top" wrapText="1"/>
    </xf>
    <xf borderId="1" fillId="17" fontId="50" numFmtId="1" xfId="0" applyAlignment="1" applyBorder="1" applyFont="1" applyNumberFormat="1">
      <alignment horizontal="center" readingOrder="0" shrinkToFit="0" vertical="top" wrapText="1"/>
    </xf>
    <xf borderId="1" fillId="17" fontId="186" numFmtId="1" xfId="0" applyAlignment="1" applyBorder="1" applyFont="1" applyNumberFormat="1">
      <alignment horizontal="left" readingOrder="0" shrinkToFit="0" vertical="top" wrapText="1"/>
    </xf>
    <xf borderId="0" fillId="17" fontId="18" numFmtId="0" xfId="0" applyAlignment="1" applyFont="1">
      <alignment vertical="top"/>
    </xf>
    <xf borderId="1" fillId="37" fontId="49" numFmtId="0" xfId="0" applyAlignment="1" applyBorder="1" applyFont="1">
      <alignment horizontal="left" readingOrder="0" shrinkToFit="0" vertical="top" wrapText="0"/>
    </xf>
    <xf borderId="1" fillId="3" fontId="49" numFmtId="0" xfId="0" applyAlignment="1" applyBorder="1" applyFont="1">
      <alignment horizontal="left" readingOrder="0" shrinkToFit="0" vertical="top" wrapText="0"/>
    </xf>
    <xf borderId="1" fillId="37" fontId="124" numFmtId="1" xfId="0" applyAlignment="1" applyBorder="1" applyFont="1" applyNumberFormat="1">
      <alignment horizontal="left" readingOrder="0" vertical="top"/>
    </xf>
    <xf borderId="1" fillId="3" fontId="102" numFmtId="0" xfId="0" applyAlignment="1" applyBorder="1" applyFont="1">
      <alignment horizontal="left" readingOrder="0" shrinkToFit="0" vertical="top" wrapText="1"/>
    </xf>
    <xf borderId="1" fillId="37" fontId="187" numFmtId="1" xfId="0" applyAlignment="1" applyBorder="1" applyFont="1" applyNumberFormat="1">
      <alignment horizontal="left" readingOrder="0" shrinkToFit="0" vertical="top" wrapText="1"/>
    </xf>
    <xf borderId="1" fillId="37" fontId="46" numFmtId="1" xfId="0" applyAlignment="1" applyBorder="1" applyFont="1" applyNumberFormat="1">
      <alignment horizontal="left" readingOrder="0" shrinkToFit="0" vertical="top" wrapText="0"/>
    </xf>
    <xf borderId="1" fillId="3" fontId="188" numFmtId="1" xfId="0" applyAlignment="1" applyBorder="1" applyFont="1" applyNumberFormat="1">
      <alignment horizontal="left" readingOrder="0" shrinkToFit="0" vertical="top" wrapText="0"/>
    </xf>
    <xf borderId="15" fillId="37" fontId="111" numFmtId="0" xfId="0" applyAlignment="1" applyBorder="1" applyFont="1">
      <alignment horizontal="left" readingOrder="0" shrinkToFit="0" vertical="top" wrapText="0"/>
    </xf>
    <xf borderId="2" fillId="37" fontId="111" numFmtId="0" xfId="0" applyAlignment="1" applyBorder="1" applyFont="1">
      <alignment horizontal="center" readingOrder="0" shrinkToFit="0" vertical="top" wrapText="0"/>
    </xf>
    <xf borderId="2" fillId="37" fontId="189" numFmtId="0" xfId="0" applyAlignment="1" applyBorder="1" applyFont="1">
      <alignment horizontal="center" readingOrder="0" shrinkToFit="0" vertical="top" wrapText="0"/>
    </xf>
    <xf borderId="2" fillId="37" fontId="190" numFmtId="0" xfId="0" applyAlignment="1" applyBorder="1" applyFont="1">
      <alignment horizontal="left" readingOrder="0" shrinkToFit="0" vertical="top" wrapText="0"/>
    </xf>
    <xf borderId="3" fillId="37" fontId="191" numFmtId="0" xfId="0" applyAlignment="1" applyBorder="1" applyFont="1">
      <alignment horizontal="left" readingOrder="0" shrinkToFit="0" vertical="top" wrapText="0"/>
    </xf>
    <xf borderId="1" fillId="37" fontId="49" numFmtId="0" xfId="0" applyAlignment="1" applyBorder="1" applyFont="1">
      <alignment horizontal="left" readingOrder="0" shrinkToFit="0" vertical="top" wrapText="1"/>
    </xf>
    <xf borderId="0" fillId="37" fontId="125" numFmtId="0" xfId="0" applyAlignment="1" applyFont="1">
      <alignment horizontal="left" vertical="top"/>
    </xf>
    <xf borderId="4" fillId="37" fontId="112" numFmtId="0" xfId="0" applyAlignment="1" applyBorder="1" applyFont="1">
      <alignment horizontal="left" readingOrder="0" shrinkToFit="0" vertical="top" wrapText="0"/>
    </xf>
    <xf borderId="14" fillId="3" fontId="18" numFmtId="0" xfId="0" applyBorder="1" applyFont="1"/>
    <xf borderId="14" fillId="37" fontId="18" numFmtId="0" xfId="0" applyBorder="1" applyFont="1"/>
    <xf borderId="8" fillId="3" fontId="18" numFmtId="0" xfId="0" applyBorder="1" applyFont="1"/>
    <xf borderId="15" fillId="3" fontId="113" numFmtId="0" xfId="0" applyAlignment="1" applyBorder="1" applyFont="1">
      <alignment horizontal="left" readingOrder="0" shrinkToFit="0" vertical="top" wrapText="0"/>
    </xf>
    <xf borderId="2" fillId="3" fontId="18" numFmtId="0" xfId="0" applyBorder="1" applyFont="1"/>
    <xf borderId="3" fillId="3" fontId="18" numFmtId="0" xfId="0" applyBorder="1" applyFont="1"/>
    <xf borderId="15" fillId="3" fontId="115" numFmtId="0" xfId="0" applyAlignment="1" applyBorder="1" applyFont="1">
      <alignment horizontal="center" readingOrder="0" vertical="top"/>
    </xf>
    <xf borderId="1" fillId="37" fontId="47" numFmtId="0" xfId="0" applyAlignment="1" applyBorder="1" applyFont="1">
      <alignment horizontal="center" readingOrder="0" vertical="top"/>
    </xf>
    <xf borderId="1" fillId="37" fontId="47" numFmtId="0" xfId="0" applyAlignment="1" applyBorder="1" applyFont="1">
      <alignment horizontal="left" readingOrder="0" vertical="top"/>
    </xf>
    <xf borderId="1" fillId="37" fontId="192" numFmtId="0" xfId="0" applyAlignment="1" applyBorder="1" applyFont="1">
      <alignment horizontal="center" readingOrder="0" vertical="top"/>
    </xf>
    <xf borderId="1" fillId="37" fontId="193" numFmtId="0" xfId="0" applyAlignment="1" applyBorder="1" applyFont="1">
      <alignment horizontal="left" readingOrder="0" vertical="top"/>
    </xf>
    <xf borderId="1" fillId="37" fontId="194" numFmtId="0" xfId="0" applyAlignment="1" applyBorder="1" applyFont="1">
      <alignment horizontal="left" readingOrder="0" vertical="top"/>
    </xf>
    <xf borderId="4" fillId="3" fontId="109" numFmtId="0" xfId="0" applyAlignment="1" applyBorder="1" applyFont="1">
      <alignment horizontal="left" readingOrder="0" shrinkToFit="0" vertical="top" wrapText="0"/>
    </xf>
    <xf borderId="4" fillId="3" fontId="38" numFmtId="0" xfId="0" applyAlignment="1" applyBorder="1" applyFont="1">
      <alignment horizontal="left" readingOrder="0" shrinkToFit="0" vertical="top" wrapText="0"/>
    </xf>
    <xf borderId="8" fillId="37" fontId="18" numFmtId="0" xfId="0" applyBorder="1" applyFont="1"/>
    <xf borderId="0" fillId="37" fontId="124" numFmtId="1" xfId="0" applyAlignment="1" applyFont="1" applyNumberFormat="1">
      <alignment horizontal="left" readingOrder="0" vertical="top"/>
    </xf>
    <xf borderId="0" fillId="3" fontId="102" numFmtId="0" xfId="0" applyAlignment="1" applyFont="1">
      <alignment horizontal="left" readingOrder="0" shrinkToFit="0" vertical="top" wrapText="1"/>
    </xf>
    <xf borderId="2" fillId="37" fontId="18" numFmtId="0" xfId="0" applyBorder="1" applyFont="1"/>
    <xf borderId="3" fillId="37" fontId="18" numFmtId="0" xfId="0" applyBorder="1" applyFont="1"/>
    <xf borderId="0" fillId="35" fontId="18" numFmtId="0" xfId="0" applyAlignment="1" applyFont="1">
      <alignment vertical="top"/>
    </xf>
    <xf borderId="0" fillId="0" fontId="18" numFmtId="0" xfId="0" applyAlignment="1" applyFont="1">
      <alignment horizontal="left" vertical="top"/>
    </xf>
    <xf borderId="0" fillId="0" fontId="128" numFmtId="0" xfId="0" applyAlignment="1" applyFont="1">
      <alignment vertical="top"/>
    </xf>
    <xf borderId="0" fillId="0" fontId="125" numFmtId="0" xfId="0" applyAlignment="1" applyFont="1">
      <alignment horizontal="left" vertical="top"/>
    </xf>
    <xf borderId="0" fillId="0" fontId="195" numFmtId="0" xfId="0" applyAlignment="1" applyFont="1">
      <alignment horizontal="left" vertical="top"/>
    </xf>
    <xf borderId="15" fillId="46" fontId="196" numFmtId="0" xfId="0" applyAlignment="1" applyBorder="1" applyFill="1" applyFont="1">
      <alignment horizontal="center" readingOrder="0" vertical="center"/>
    </xf>
    <xf borderId="1" fillId="47" fontId="196" numFmtId="0" xfId="0" applyAlignment="1" applyBorder="1" applyFill="1" applyFont="1">
      <alignment horizontal="center" readingOrder="0" vertical="center"/>
    </xf>
    <xf borderId="1" fillId="47" fontId="197" numFmtId="0" xfId="0" applyAlignment="1" applyBorder="1" applyFont="1">
      <alignment horizontal="center" readingOrder="0" vertical="center"/>
    </xf>
    <xf borderId="1" fillId="48" fontId="100" numFmtId="0" xfId="0" applyAlignment="1" applyBorder="1" applyFill="1" applyFont="1">
      <alignment horizontal="center" readingOrder="0" shrinkToFit="0" vertical="bottom" wrapText="0"/>
    </xf>
    <xf borderId="1" fillId="3" fontId="198" numFmtId="0" xfId="0" applyAlignment="1" applyBorder="1" applyFont="1">
      <alignment horizontal="center" readingOrder="0"/>
    </xf>
    <xf borderId="1" fillId="3" fontId="100" numFmtId="1" xfId="0" applyAlignment="1" applyBorder="1" applyFont="1" applyNumberFormat="1">
      <alignment horizontal="center" readingOrder="0" shrinkToFit="0" wrapText="0"/>
    </xf>
    <xf borderId="1" fillId="0" fontId="199" numFmtId="1" xfId="0" applyAlignment="1" applyBorder="1" applyFont="1" applyNumberFormat="1">
      <alignment horizontal="center" readingOrder="0"/>
    </xf>
    <xf borderId="1" fillId="3" fontId="200" numFmtId="1" xfId="0" applyAlignment="1" applyBorder="1" applyFont="1" applyNumberFormat="1">
      <alignment horizontal="center" readingOrder="0" shrinkToFit="0" vertical="center" wrapText="1"/>
    </xf>
    <xf borderId="1" fillId="0" fontId="201" numFmtId="1" xfId="0" applyAlignment="1" applyBorder="1" applyFont="1" applyNumberFormat="1">
      <alignment horizontal="center" readingOrder="0"/>
    </xf>
    <xf borderId="1" fillId="0" fontId="202" numFmtId="1" xfId="0" applyAlignment="1" applyBorder="1" applyFont="1" applyNumberFormat="1">
      <alignment readingOrder="0"/>
    </xf>
    <xf borderId="1" fillId="3" fontId="203" numFmtId="1" xfId="0" applyAlignment="1" applyBorder="1" applyFont="1" applyNumberFormat="1">
      <alignment horizontal="center" readingOrder="0"/>
    </xf>
    <xf borderId="1" fillId="3" fontId="203" numFmtId="1" xfId="0" applyAlignment="1" applyBorder="1" applyFont="1" applyNumberFormat="1">
      <alignment readingOrder="0"/>
    </xf>
    <xf borderId="0" fillId="0" fontId="204" numFmtId="0" xfId="0" applyAlignment="1" applyFont="1">
      <alignment horizontal="center" readingOrder="0" shrinkToFit="0" wrapText="1"/>
    </xf>
    <xf borderId="1" fillId="3" fontId="205" numFmtId="1" xfId="0" applyAlignment="1" applyBorder="1" applyFont="1" applyNumberFormat="1">
      <alignment horizontal="center" readingOrder="0"/>
    </xf>
    <xf borderId="1" fillId="0" fontId="206" numFmtId="1" xfId="0" applyAlignment="1" applyBorder="1" applyFont="1" applyNumberFormat="1">
      <alignment readingOrder="0"/>
    </xf>
    <xf borderId="0" fillId="0" fontId="18" numFmtId="1" xfId="0" applyAlignment="1" applyFont="1" applyNumberFormat="1">
      <alignment readingOrder="0"/>
    </xf>
    <xf borderId="0" fillId="3" fontId="207" numFmtId="0" xfId="0" applyAlignment="1" applyFont="1">
      <alignment horizontal="center" readingOrder="0" shrinkToFit="0" wrapText="1"/>
    </xf>
    <xf borderId="1" fillId="3" fontId="208" numFmtId="1" xfId="0" applyAlignment="1" applyBorder="1" applyFont="1" applyNumberFormat="1">
      <alignment horizontal="center" readingOrder="0"/>
    </xf>
    <xf borderId="1" fillId="3" fontId="209" numFmtId="1" xfId="0" applyAlignment="1" applyBorder="1" applyFont="1" applyNumberFormat="1">
      <alignment readingOrder="0"/>
    </xf>
    <xf borderId="1" fillId="3" fontId="210" numFmtId="1" xfId="0" applyAlignment="1" applyBorder="1" applyFont="1" applyNumberFormat="1">
      <alignment horizontal="center" readingOrder="0"/>
    </xf>
    <xf borderId="1" fillId="3" fontId="211" numFmtId="1" xfId="0" applyAlignment="1" applyBorder="1" applyFont="1" applyNumberFormat="1">
      <alignment horizontal="left" readingOrder="0"/>
    </xf>
    <xf borderId="1" fillId="3" fontId="212" numFmtId="1" xfId="0" applyAlignment="1" applyBorder="1" applyFont="1" applyNumberFormat="1">
      <alignment horizontal="center" readingOrder="0"/>
    </xf>
    <xf borderId="1" fillId="3" fontId="213" numFmtId="1" xfId="0" applyAlignment="1" applyBorder="1" applyFont="1" applyNumberFormat="1">
      <alignment horizontal="left" readingOrder="0"/>
    </xf>
    <xf borderId="0" fillId="0" fontId="214" numFmtId="0" xfId="0" applyAlignment="1" applyFont="1">
      <alignment horizontal="center" readingOrder="0"/>
    </xf>
    <xf borderId="1" fillId="3" fontId="215" numFmtId="1" xfId="0" applyAlignment="1" applyBorder="1" applyFont="1" applyNumberFormat="1">
      <alignment horizontal="center" readingOrder="0"/>
    </xf>
    <xf borderId="1" fillId="3" fontId="215" numFmtId="1" xfId="0" applyAlignment="1" applyBorder="1" applyFont="1" applyNumberFormat="1">
      <alignment horizontal="left" readingOrder="0"/>
    </xf>
    <xf borderId="1" fillId="3" fontId="201" numFmtId="1" xfId="0" applyAlignment="1" applyBorder="1" applyFont="1" applyNumberFormat="1">
      <alignment horizontal="left" readingOrder="0" shrinkToFit="0" wrapText="0"/>
    </xf>
    <xf borderId="1" fillId="3" fontId="216" numFmtId="1" xfId="0" applyAlignment="1" applyBorder="1" applyFont="1" applyNumberFormat="1">
      <alignment horizontal="left" readingOrder="0"/>
    </xf>
    <xf borderId="1" fillId="3" fontId="217" numFmtId="1" xfId="0" applyAlignment="1" applyBorder="1" applyFont="1" applyNumberFormat="1">
      <alignment horizontal="left" readingOrder="0"/>
    </xf>
    <xf borderId="1" fillId="3" fontId="218" numFmtId="1" xfId="0" applyAlignment="1" applyBorder="1" applyFont="1" applyNumberFormat="1">
      <alignment horizontal="left" readingOrder="0"/>
    </xf>
    <xf borderId="1" fillId="3" fontId="198" numFmtId="0" xfId="0" applyAlignment="1" applyBorder="1" applyFont="1">
      <alignment horizontal="center" readingOrder="0"/>
    </xf>
    <xf borderId="1" fillId="3" fontId="219" numFmtId="1" xfId="0" applyAlignment="1" applyBorder="1" applyFont="1" applyNumberFormat="1">
      <alignment horizontal="center" readingOrder="0"/>
    </xf>
    <xf borderId="1" fillId="3" fontId="220" numFmtId="1" xfId="0" applyAlignment="1" applyBorder="1" applyFont="1" applyNumberFormat="1">
      <alignment horizontal="left" readingOrder="0"/>
    </xf>
    <xf borderId="1" fillId="3" fontId="221" numFmtId="1" xfId="0" applyAlignment="1" applyBorder="1" applyFont="1" applyNumberFormat="1">
      <alignment horizontal="center" readingOrder="0"/>
    </xf>
    <xf borderId="1" fillId="3" fontId="219" numFmtId="1" xfId="0" applyAlignment="1" applyBorder="1" applyFont="1" applyNumberFormat="1">
      <alignment readingOrder="0"/>
    </xf>
    <xf borderId="0" fillId="0" fontId="201" numFmtId="0" xfId="0" applyFont="1"/>
    <xf borderId="1" fillId="3" fontId="198" numFmtId="1" xfId="0" applyAlignment="1" applyBorder="1" applyFont="1" applyNumberFormat="1">
      <alignment horizontal="left" readingOrder="0"/>
    </xf>
    <xf borderId="1" fillId="3" fontId="198" numFmtId="0" xfId="0" applyAlignment="1" applyBorder="1" applyFont="1">
      <alignment horizontal="center" readingOrder="0" shrinkToFit="0" wrapText="1"/>
    </xf>
    <xf borderId="1" fillId="3" fontId="205" numFmtId="1" xfId="0" applyAlignment="1" applyBorder="1" applyFont="1" applyNumberFormat="1">
      <alignment horizontal="left" readingOrder="0"/>
    </xf>
    <xf borderId="1" fillId="3" fontId="222" numFmtId="1" xfId="0" applyAlignment="1" applyBorder="1" applyFont="1" applyNumberFormat="1">
      <alignment readingOrder="0"/>
    </xf>
    <xf borderId="1" fillId="0" fontId="201" numFmtId="0" xfId="0" applyBorder="1" applyFont="1"/>
    <xf borderId="0" fillId="3" fontId="219" numFmtId="0" xfId="0" applyAlignment="1" applyFont="1">
      <alignment horizontal="center" readingOrder="0" shrinkToFit="0" wrapText="1"/>
    </xf>
    <xf borderId="1" fillId="0" fontId="201" numFmtId="1" xfId="0" applyAlignment="1" applyBorder="1" applyFont="1" applyNumberFormat="1">
      <alignment readingOrder="0"/>
    </xf>
    <xf borderId="1" fillId="3" fontId="208" numFmtId="1" xfId="0" applyAlignment="1" applyBorder="1" applyFont="1" applyNumberFormat="1">
      <alignment readingOrder="0"/>
    </xf>
    <xf borderId="0" fillId="3" fontId="208" numFmtId="1" xfId="0" applyAlignment="1" applyFont="1" applyNumberFormat="1">
      <alignment readingOrder="0"/>
    </xf>
    <xf borderId="1" fillId="3" fontId="200" numFmtId="1" xfId="0" applyAlignment="1" applyBorder="1" applyFont="1" applyNumberFormat="1">
      <alignment horizontal="left" readingOrder="0" shrinkToFit="0" vertical="center" wrapText="1"/>
    </xf>
    <xf borderId="0" fillId="3" fontId="209" numFmtId="1" xfId="0" applyAlignment="1" applyFont="1" applyNumberFormat="1">
      <alignment readingOrder="0"/>
    </xf>
    <xf borderId="0" fillId="0" fontId="212" numFmtId="0" xfId="0" applyFont="1"/>
    <xf borderId="15" fillId="49" fontId="47" numFmtId="0" xfId="0" applyAlignment="1" applyBorder="1" applyFill="1" applyFont="1">
      <alignment horizontal="center" readingOrder="0" vertical="center"/>
    </xf>
    <xf borderId="1" fillId="40" fontId="47" numFmtId="0" xfId="0" applyAlignment="1" applyBorder="1" applyFont="1">
      <alignment horizontal="center" readingOrder="0" vertical="center"/>
    </xf>
    <xf borderId="1" fillId="40" fontId="118" numFmtId="0" xfId="0" applyAlignment="1" applyBorder="1" applyFont="1">
      <alignment horizontal="center" readingOrder="0" vertical="center"/>
    </xf>
    <xf borderId="0" fillId="40" fontId="223" numFmtId="0" xfId="0" applyAlignment="1" applyFont="1">
      <alignment readingOrder="0"/>
    </xf>
    <xf borderId="1" fillId="41" fontId="49" numFmtId="0" xfId="0" applyAlignment="1" applyBorder="1" applyFont="1">
      <alignment horizontal="center" readingOrder="0" shrinkToFit="0" vertical="bottom" wrapText="0"/>
    </xf>
    <xf borderId="1" fillId="3" fontId="224" numFmtId="0" xfId="0" applyAlignment="1" applyBorder="1" applyFont="1">
      <alignment horizontal="center" readingOrder="0"/>
    </xf>
    <xf borderId="1" fillId="3" fontId="225" numFmtId="1" xfId="0" applyAlignment="1" applyBorder="1" applyFont="1" applyNumberFormat="1">
      <alignment horizontal="center" readingOrder="0"/>
    </xf>
    <xf borderId="1" fillId="3" fontId="118" numFmtId="1" xfId="0" applyAlignment="1" applyBorder="1" applyFont="1" applyNumberFormat="1">
      <alignment horizontal="center" readingOrder="0" shrinkToFit="0" vertical="center" wrapText="1"/>
    </xf>
    <xf borderId="1" fillId="3" fontId="226" numFmtId="0" xfId="0" applyAlignment="1" applyBorder="1" applyFont="1">
      <alignment horizontal="center" readingOrder="0"/>
    </xf>
    <xf borderId="1" fillId="3" fontId="224" numFmtId="1" xfId="0" applyAlignment="1" applyBorder="1" applyFont="1" applyNumberFormat="1">
      <alignment horizontal="center" readingOrder="0"/>
    </xf>
    <xf borderId="1" fillId="3" fontId="227" numFmtId="1" xfId="0" applyAlignment="1" applyBorder="1" applyFont="1" applyNumberFormat="1">
      <alignment horizontal="center" readingOrder="0"/>
    </xf>
    <xf borderId="1" fillId="3" fontId="42" numFmtId="1" xfId="0" applyAlignment="1" applyBorder="1" applyFont="1" applyNumberFormat="1">
      <alignment horizontal="center" readingOrder="0"/>
    </xf>
    <xf borderId="1" fillId="3" fontId="228" numFmtId="1" xfId="0" applyAlignment="1" applyBorder="1" applyFont="1" applyNumberFormat="1">
      <alignment horizontal="center" readingOrder="0"/>
    </xf>
    <xf borderId="1" fillId="3" fontId="99" numFmtId="1" xfId="0" applyAlignment="1" applyBorder="1" applyFont="1" applyNumberFormat="1">
      <alignment horizontal="center" readingOrder="0"/>
    </xf>
    <xf borderId="1" fillId="3" fontId="229" numFmtId="0" xfId="0" applyAlignment="1" applyBorder="1" applyFont="1">
      <alignment horizontal="center" readingOrder="0"/>
    </xf>
    <xf borderId="1" fillId="3" fontId="230" numFmtId="1" xfId="0" applyAlignment="1" applyBorder="1" applyFont="1" applyNumberFormat="1">
      <alignment horizontal="center" readingOrder="0"/>
    </xf>
    <xf borderId="1" fillId="3" fontId="231" numFmtId="0" xfId="0" applyAlignment="1" applyBorder="1" applyFont="1">
      <alignment horizontal="center" readingOrder="0"/>
    </xf>
    <xf borderId="1" fillId="3" fontId="232" numFmtId="1" xfId="0" applyAlignment="1" applyBorder="1" applyFont="1" applyNumberFormat="1">
      <alignment horizontal="center" readingOrder="0"/>
    </xf>
    <xf borderId="1" fillId="3" fontId="233" numFmtId="1" xfId="0" applyAlignment="1" applyBorder="1" applyFont="1" applyNumberFormat="1">
      <alignment horizontal="center" readingOrder="0"/>
    </xf>
    <xf borderId="1" fillId="3" fontId="234" numFmtId="1" xfId="0" applyAlignment="1" applyBorder="1" applyFont="1" applyNumberFormat="1">
      <alignment horizontal="center" readingOrder="0"/>
    </xf>
    <xf borderId="1" fillId="3" fontId="225" numFmtId="0" xfId="0" applyAlignment="1" applyBorder="1" applyFont="1">
      <alignment horizontal="center" readingOrder="0"/>
    </xf>
    <xf borderId="1" fillId="3" fontId="235" numFmtId="1" xfId="0" applyAlignment="1" applyBorder="1" applyFont="1" applyNumberFormat="1">
      <alignment horizontal="center" readingOrder="0"/>
    </xf>
    <xf borderId="1" fillId="3" fontId="236" numFmtId="1" xfId="0" applyAlignment="1" applyBorder="1" applyFont="1" applyNumberFormat="1">
      <alignment horizontal="center" readingOrder="0"/>
    </xf>
    <xf borderId="1" fillId="3" fontId="237" numFmtId="1" xfId="0" applyAlignment="1" applyBorder="1" applyFont="1" applyNumberFormat="1">
      <alignment horizontal="center" readingOrder="0"/>
    </xf>
    <xf borderId="1" fillId="3" fontId="231" numFmtId="1" xfId="0" applyAlignment="1" applyBorder="1" applyFont="1" applyNumberFormat="1">
      <alignment horizontal="center" readingOrder="0"/>
    </xf>
    <xf borderId="1" fillId="3" fontId="231" numFmtId="0" xfId="0" applyAlignment="1" applyBorder="1" applyFont="1">
      <alignment horizontal="center" readingOrder="0" vertical="center"/>
    </xf>
    <xf borderId="1" fillId="3" fontId="238" numFmtId="1" xfId="0" applyAlignment="1" applyBorder="1" applyFont="1" applyNumberFormat="1">
      <alignment horizontal="center" readingOrder="0"/>
    </xf>
    <xf borderId="1" fillId="3" fontId="239" numFmtId="1" xfId="0" applyAlignment="1" applyBorder="1" applyFont="1" applyNumberFormat="1">
      <alignment horizontal="center" readingOrder="0"/>
    </xf>
    <xf borderId="1" fillId="3" fontId="240" numFmtId="1" xfId="0" applyAlignment="1" applyBorder="1" applyFont="1" applyNumberFormat="1">
      <alignment horizontal="center" readingOrder="0" vertical="center"/>
    </xf>
    <xf borderId="1" fillId="3" fontId="241" numFmtId="1" xfId="0" applyAlignment="1" applyBorder="1" applyFont="1" applyNumberFormat="1">
      <alignment horizontal="center" readingOrder="0"/>
    </xf>
    <xf borderId="1" fillId="3" fontId="242" numFmtId="1" xfId="0" applyAlignment="1" applyBorder="1" applyFont="1" applyNumberFormat="1">
      <alignment horizontal="center" readingOrder="0"/>
    </xf>
    <xf borderId="1" fillId="3" fontId="243" numFmtId="1" xfId="0" applyAlignment="1" applyBorder="1" applyFont="1" applyNumberFormat="1">
      <alignment horizontal="center" readingOrder="0" vertical="center"/>
    </xf>
    <xf borderId="1" fillId="3" fontId="244" numFmtId="1" xfId="0" applyAlignment="1" applyBorder="1" applyFont="1" applyNumberFormat="1">
      <alignment horizontal="center" readingOrder="0"/>
    </xf>
    <xf borderId="1" fillId="3" fontId="42" numFmtId="1" xfId="0" applyAlignment="1" applyBorder="1" applyFont="1" applyNumberFormat="1">
      <alignment horizontal="center" readingOrder="0" shrinkToFit="0" wrapText="1"/>
    </xf>
    <xf borderId="1" fillId="3" fontId="245" numFmtId="1" xfId="0" applyAlignment="1" applyBorder="1" applyFont="1" applyNumberFormat="1">
      <alignment horizontal="center" readingOrder="0" shrinkToFit="0" wrapText="1"/>
    </xf>
    <xf borderId="1" fillId="3" fontId="246" numFmtId="1" xfId="0" applyAlignment="1" applyBorder="1" applyFont="1" applyNumberFormat="1">
      <alignment horizontal="center" readingOrder="0"/>
    </xf>
    <xf borderId="1" fillId="3" fontId="224" numFmtId="1" xfId="0" applyAlignment="1" applyBorder="1" applyFont="1" applyNumberFormat="1">
      <alignment horizontal="center" readingOrder="0" shrinkToFit="0" wrapText="1"/>
    </xf>
    <xf borderId="1" fillId="3" fontId="247" numFmtId="1" xfId="0" applyAlignment="1" applyBorder="1" applyFont="1" applyNumberFormat="1">
      <alignment horizontal="center" readingOrder="0"/>
    </xf>
    <xf borderId="1" fillId="3" fontId="43" numFmtId="1" xfId="0" applyAlignment="1" applyBorder="1" applyFont="1" applyNumberFormat="1">
      <alignment horizontal="center" readingOrder="0"/>
    </xf>
    <xf borderId="1" fillId="3" fontId="248" numFmtId="1" xfId="0" applyAlignment="1" applyBorder="1" applyFont="1" applyNumberFormat="1">
      <alignment horizontal="center" readingOrder="0"/>
    </xf>
    <xf borderId="1" fillId="3" fontId="224" numFmtId="1" xfId="0" applyAlignment="1" applyBorder="1" applyFont="1" applyNumberFormat="1">
      <alignment horizontal="center" readingOrder="0"/>
    </xf>
    <xf borderId="1" fillId="3" fontId="99" numFmtId="1" xfId="0" applyAlignment="1" applyBorder="1" applyFont="1" applyNumberFormat="1">
      <alignment horizontal="center" readingOrder="0"/>
    </xf>
    <xf borderId="1" fillId="3" fontId="249" numFmtId="1" xfId="0" applyAlignment="1" applyBorder="1" applyFont="1" applyNumberFormat="1">
      <alignment horizontal="center" readingOrder="0"/>
    </xf>
    <xf borderId="1" fillId="3" fontId="250" numFmtId="1" xfId="0" applyAlignment="1" applyBorder="1" applyFont="1" applyNumberFormat="1">
      <alignment horizontal="center" readingOrder="0"/>
    </xf>
    <xf borderId="1" fillId="3" fontId="251" numFmtId="1" xfId="0" applyAlignment="1" applyBorder="1" applyFont="1" applyNumberFormat="1">
      <alignment horizontal="center" readingOrder="0"/>
    </xf>
    <xf borderId="1" fillId="3" fontId="252" numFmtId="0" xfId="0" applyAlignment="1" applyBorder="1" applyFont="1">
      <alignment horizontal="center" readingOrder="0"/>
    </xf>
    <xf borderId="1" fillId="3" fontId="253" numFmtId="1" xfId="0" applyAlignment="1" applyBorder="1" applyFont="1" applyNumberFormat="1">
      <alignment horizontal="center" readingOrder="0"/>
    </xf>
    <xf borderId="1" fillId="3" fontId="254" numFmtId="1" xfId="0" applyAlignment="1" applyBorder="1" applyFont="1" applyNumberFormat="1">
      <alignment horizontal="center" readingOrder="0"/>
    </xf>
    <xf borderId="1" fillId="3" fontId="255" numFmtId="1" xfId="0" applyAlignment="1" applyBorder="1" applyFont="1" applyNumberFormat="1">
      <alignment horizontal="center" readingOrder="0"/>
    </xf>
    <xf borderId="1" fillId="3" fontId="256" numFmtId="1" xfId="0" applyAlignment="1" applyBorder="1" applyFont="1" applyNumberFormat="1">
      <alignment horizontal="center" readingOrder="0"/>
    </xf>
    <xf borderId="1" fillId="3" fontId="49" numFmtId="1" xfId="0" applyAlignment="1" applyBorder="1" applyFont="1" applyNumberFormat="1">
      <alignment horizontal="center" readingOrder="0"/>
    </xf>
    <xf borderId="1" fillId="3" fontId="257" numFmtId="1" xfId="0" applyAlignment="1" applyBorder="1" applyFont="1" applyNumberFormat="1">
      <alignment horizontal="center" readingOrder="0"/>
    </xf>
    <xf borderId="1" fillId="3" fontId="258" numFmtId="1" xfId="0" applyAlignment="1" applyBorder="1" applyFont="1" applyNumberFormat="1">
      <alignment horizontal="center" readingOrder="0" shrinkToFit="0" wrapText="0"/>
    </xf>
    <xf borderId="1" fillId="3" fontId="259" numFmtId="1" xfId="0" applyAlignment="1" applyBorder="1" applyFont="1" applyNumberFormat="1">
      <alignment horizontal="center" readingOrder="0"/>
    </xf>
    <xf borderId="1" fillId="3" fontId="260" numFmtId="1" xfId="0" applyAlignment="1" applyBorder="1" applyFont="1" applyNumberFormat="1">
      <alignment horizontal="center" readingOrder="0" shrinkToFit="0" wrapText="0"/>
    </xf>
    <xf borderId="1" fillId="3" fontId="261" numFmtId="1" xfId="0" applyAlignment="1" applyBorder="1" applyFont="1" applyNumberFormat="1">
      <alignment horizontal="center" readingOrder="0"/>
    </xf>
    <xf borderId="1" fillId="3" fontId="262" numFmtId="1" xfId="0" applyAlignment="1" applyBorder="1" applyFont="1" applyNumberFormat="1">
      <alignment horizontal="center" readingOrder="0"/>
    </xf>
    <xf borderId="1" fillId="3" fontId="263" numFmtId="1" xfId="0" applyAlignment="1" applyBorder="1" applyFont="1" applyNumberFormat="1">
      <alignment horizontal="center" readingOrder="0"/>
    </xf>
    <xf borderId="1" fillId="3" fontId="264" numFmtId="1" xfId="0" applyAlignment="1" applyBorder="1" applyFont="1" applyNumberFormat="1">
      <alignment horizontal="center" readingOrder="0"/>
    </xf>
    <xf borderId="1" fillId="3" fontId="265" numFmtId="1" xfId="0" applyAlignment="1" applyBorder="1" applyFont="1" applyNumberFormat="1">
      <alignment horizontal="center" readingOrder="0"/>
    </xf>
    <xf borderId="1" fillId="3" fontId="266" numFmtId="1" xfId="0" applyAlignment="1" applyBorder="1" applyFont="1" applyNumberFormat="1">
      <alignment horizontal="center" readingOrder="0"/>
    </xf>
    <xf borderId="1" fillId="3" fontId="267" numFmtId="1" xfId="0" applyAlignment="1" applyBorder="1" applyFont="1" applyNumberFormat="1">
      <alignment horizontal="center" readingOrder="0"/>
    </xf>
    <xf borderId="1" fillId="3" fontId="268" numFmtId="1" xfId="0" applyAlignment="1" applyBorder="1" applyFont="1" applyNumberFormat="1">
      <alignment horizontal="center" readingOrder="0"/>
    </xf>
    <xf borderId="1" fillId="3" fontId="269" numFmtId="1" xfId="0" applyAlignment="1" applyBorder="1" applyFont="1" applyNumberFormat="1">
      <alignment horizontal="center" readingOrder="0"/>
    </xf>
    <xf borderId="1" fillId="3" fontId="270" numFmtId="1" xfId="0" applyAlignment="1" applyBorder="1" applyFont="1" applyNumberFormat="1">
      <alignment horizontal="center" readingOrder="0"/>
    </xf>
    <xf borderId="1" fillId="3" fontId="271" numFmtId="1" xfId="0" applyAlignment="1" applyBorder="1" applyFont="1" applyNumberFormat="1">
      <alignment horizontal="center" readingOrder="0"/>
    </xf>
    <xf borderId="1" fillId="10" fontId="50" numFmtId="0" xfId="0" applyAlignment="1" applyBorder="1" applyFont="1">
      <alignment horizontal="center" readingOrder="0" vertical="center"/>
    </xf>
    <xf borderId="1" fillId="10" fontId="49" numFmtId="1" xfId="0" applyAlignment="1" applyBorder="1" applyFont="1" applyNumberFormat="1">
      <alignment horizontal="center" readingOrder="0" shrinkToFit="0" wrapText="0"/>
    </xf>
    <xf borderId="1" fillId="10" fontId="225" numFmtId="1" xfId="0" applyAlignment="1" applyBorder="1" applyFont="1" applyNumberFormat="1">
      <alignment horizontal="center" readingOrder="0"/>
    </xf>
    <xf borderId="1" fillId="3" fontId="99" numFmtId="1" xfId="0" applyAlignment="1" applyBorder="1" applyFont="1" applyNumberFormat="1">
      <alignment horizontal="center" readingOrder="0" shrinkToFit="0" wrapText="0"/>
    </xf>
    <xf borderId="1" fillId="3" fontId="272" numFmtId="1" xfId="0" applyAlignment="1" applyBorder="1" applyFont="1" applyNumberFormat="1">
      <alignment horizontal="center" readingOrder="0"/>
    </xf>
    <xf borderId="1" fillId="3" fontId="273" numFmtId="1" xfId="0" applyAlignment="1" applyBorder="1" applyFont="1" applyNumberFormat="1">
      <alignment horizontal="center" readingOrder="0"/>
    </xf>
    <xf borderId="1" fillId="3" fontId="274" numFmtId="1" xfId="0" applyAlignment="1" applyBorder="1" applyFont="1" applyNumberFormat="1">
      <alignment horizontal="center" readingOrder="0"/>
    </xf>
    <xf borderId="1" fillId="3" fontId="274" numFmtId="1" xfId="0" applyAlignment="1" applyBorder="1" applyFont="1" applyNumberFormat="1">
      <alignment horizontal="center" readingOrder="0" shrinkToFit="0" wrapText="1"/>
    </xf>
    <xf borderId="1" fillId="3" fontId="274" numFmtId="1" xfId="0" applyAlignment="1" applyBorder="1" applyFont="1" applyNumberFormat="1">
      <alignment horizontal="center"/>
    </xf>
    <xf borderId="1" fillId="3" fontId="275" numFmtId="1" xfId="0" applyAlignment="1" applyBorder="1" applyFont="1" applyNumberFormat="1">
      <alignment horizontal="center" readingOrder="0"/>
    </xf>
    <xf borderId="1" fillId="0" fontId="50" numFmtId="0" xfId="0" applyAlignment="1" applyBorder="1" applyFont="1">
      <alignment horizontal="center" readingOrder="0" shrinkToFit="0" vertical="center" wrapText="1"/>
    </xf>
    <xf borderId="15" fillId="3" fontId="276" numFmtId="1" xfId="0" applyAlignment="1" applyBorder="1" applyFont="1" applyNumberFormat="1">
      <alignment horizontal="center" readingOrder="0" shrinkToFit="0" wrapText="1"/>
    </xf>
    <xf borderId="0" fillId="0" fontId="18" numFmtId="0" xfId="0" applyAlignment="1" applyFont="1">
      <alignment shrinkToFit="0" wrapText="1"/>
    </xf>
    <xf borderId="1" fillId="3" fontId="277" numFmtId="1" xfId="0" applyAlignment="1" applyBorder="1" applyFont="1" applyNumberFormat="1">
      <alignment horizontal="center" readingOrder="0"/>
    </xf>
    <xf borderId="1" fillId="3" fontId="278" numFmtId="1" xfId="0" applyAlignment="1" applyBorder="1" applyFont="1" applyNumberFormat="1">
      <alignment horizontal="center"/>
    </xf>
    <xf borderId="1" fillId="3" fontId="278" numFmtId="1" xfId="0" applyAlignment="1" applyBorder="1" applyFont="1" applyNumberFormat="1">
      <alignment horizontal="center" readingOrder="0"/>
    </xf>
    <xf borderId="1" fillId="3" fontId="279" numFmtId="1" xfId="0" applyAlignment="1" applyBorder="1" applyFont="1" applyNumberFormat="1">
      <alignment horizontal="center" readingOrder="0"/>
    </xf>
    <xf borderId="1" fillId="3" fontId="88" numFmtId="1" xfId="0" applyAlignment="1" applyBorder="1" applyFont="1" applyNumberFormat="1">
      <alignment horizontal="center" readingOrder="0"/>
    </xf>
    <xf borderId="1" fillId="3" fontId="276" numFmtId="1" xfId="0" applyAlignment="1" applyBorder="1" applyFont="1" applyNumberFormat="1">
      <alignment horizontal="center" readingOrder="0"/>
    </xf>
    <xf borderId="1" fillId="3" fontId="98" numFmtId="1" xfId="0" applyAlignment="1" applyBorder="1" applyFont="1" applyNumberFormat="1">
      <alignment horizontal="center" readingOrder="0"/>
    </xf>
    <xf borderId="1" fillId="3" fontId="280" numFmtId="1" xfId="0" applyAlignment="1" applyBorder="1" applyFont="1" applyNumberFormat="1">
      <alignment horizontal="center" readingOrder="0"/>
    </xf>
    <xf borderId="1" fillId="3" fontId="281" numFmtId="1" xfId="0" applyAlignment="1" applyBorder="1" applyFont="1" applyNumberFormat="1">
      <alignment horizontal="center" readingOrder="0"/>
    </xf>
    <xf borderId="1" fillId="3" fontId="99" numFmtId="1" xfId="0" applyAlignment="1" applyBorder="1" applyFont="1" applyNumberFormat="1">
      <alignment horizontal="center" readingOrder="0" shrinkToFit="0" wrapText="1"/>
    </xf>
    <xf borderId="1" fillId="3" fontId="282" numFmtId="0" xfId="0" applyAlignment="1" applyBorder="1" applyFont="1">
      <alignment horizontal="center" readingOrder="0"/>
    </xf>
    <xf borderId="1" fillId="3" fontId="283" numFmtId="1" xfId="0" applyAlignment="1" applyBorder="1" applyFont="1" applyNumberFormat="1">
      <alignment horizontal="center" readingOrder="0"/>
    </xf>
    <xf borderId="1" fillId="3" fontId="284" numFmtId="1" xfId="0" applyAlignment="1" applyBorder="1" applyFont="1" applyNumberFormat="1">
      <alignment horizontal="center" readingOrder="0" shrinkToFit="0" wrapText="0"/>
    </xf>
    <xf borderId="1" fillId="3" fontId="285" numFmtId="1" xfId="0" applyAlignment="1" applyBorder="1" applyFont="1" applyNumberFormat="1">
      <alignment horizontal="center" readingOrder="0"/>
    </xf>
    <xf borderId="1" fillId="3" fontId="286" numFmtId="1" xfId="0" applyAlignment="1" applyBorder="1" applyFont="1" applyNumberFormat="1">
      <alignment horizontal="center" readingOrder="0"/>
    </xf>
    <xf borderId="1" fillId="3" fontId="287" numFmtId="1" xfId="0" applyAlignment="1" applyBorder="1" applyFont="1" applyNumberFormat="1">
      <alignment horizontal="center" readingOrder="0"/>
    </xf>
    <xf borderId="1" fillId="3" fontId="288" numFmtId="1" xfId="0" applyAlignment="1" applyBorder="1" applyFont="1" applyNumberFormat="1">
      <alignment horizontal="center" readingOrder="0"/>
    </xf>
    <xf borderId="1" fillId="3" fontId="289" numFmtId="1" xfId="0" applyAlignment="1" applyBorder="1" applyFont="1" applyNumberFormat="1">
      <alignment horizontal="center" readingOrder="0"/>
    </xf>
    <xf borderId="1" fillId="3" fontId="290" numFmtId="1" xfId="0" applyAlignment="1" applyBorder="1" applyFont="1" applyNumberFormat="1">
      <alignment horizontal="center" readingOrder="0"/>
    </xf>
    <xf borderId="1" fillId="3" fontId="290" numFmtId="1" xfId="0" applyAlignment="1" applyBorder="1" applyFont="1" applyNumberFormat="1">
      <alignment horizontal="center" readingOrder="0" shrinkToFit="0" wrapText="1"/>
    </xf>
    <xf borderId="1" fillId="3" fontId="291" numFmtId="1" xfId="0" applyAlignment="1" applyBorder="1" applyFont="1" applyNumberFormat="1">
      <alignment horizontal="center" readingOrder="0"/>
    </xf>
    <xf borderId="1" fillId="3" fontId="118" numFmtId="1" xfId="0" applyAlignment="1" applyBorder="1" applyFont="1" applyNumberFormat="1">
      <alignment horizontal="center" readingOrder="0"/>
    </xf>
    <xf borderId="1" fillId="3" fontId="85" numFmtId="1" xfId="0" applyAlignment="1" applyBorder="1" applyFont="1" applyNumberFormat="1">
      <alignment horizontal="center" readingOrder="0"/>
    </xf>
    <xf borderId="1" fillId="3" fontId="292" numFmtId="1" xfId="0" applyAlignment="1" applyBorder="1" applyFont="1" applyNumberFormat="1">
      <alignment horizontal="center" readingOrder="0"/>
    </xf>
    <xf borderId="1" fillId="3" fontId="293" numFmtId="0" xfId="0" applyAlignment="1" applyBorder="1" applyFont="1">
      <alignment horizontal="center" readingOrder="0"/>
    </xf>
    <xf borderId="1" fillId="3" fontId="294" numFmtId="1" xfId="0" applyAlignment="1" applyBorder="1" applyFont="1" applyNumberFormat="1">
      <alignment horizontal="center" readingOrder="0"/>
    </xf>
    <xf borderId="1" fillId="3" fontId="295" numFmtId="1" xfId="0" applyAlignment="1" applyBorder="1" applyFont="1" applyNumberFormat="1">
      <alignment horizontal="center" readingOrder="0"/>
    </xf>
    <xf borderId="1" fillId="3" fontId="287" numFmtId="1" xfId="0" applyAlignment="1" applyBorder="1" applyFont="1" applyNumberFormat="1">
      <alignment horizontal="center" readingOrder="0" shrinkToFit="0" wrapText="0"/>
    </xf>
    <xf borderId="1" fillId="3" fontId="225" numFmtId="0" xfId="0" applyAlignment="1" applyBorder="1" applyFont="1">
      <alignment horizontal="center" readingOrder="0" shrinkToFit="0" wrapText="1"/>
    </xf>
    <xf borderId="1" fillId="3" fontId="296" numFmtId="1" xfId="0" applyAlignment="1" applyBorder="1" applyFont="1" applyNumberFormat="1">
      <alignment horizontal="center" readingOrder="0"/>
    </xf>
    <xf borderId="0" fillId="3" fontId="297" numFmtId="0" xfId="0" applyAlignment="1" applyFont="1">
      <alignment readingOrder="0"/>
    </xf>
    <xf borderId="0" fillId="50" fontId="298" numFmtId="1" xfId="0" applyAlignment="1" applyFill="1" applyFont="1" applyNumberFormat="1">
      <alignment horizontal="left" readingOrder="0"/>
    </xf>
    <xf borderId="0" fillId="3" fontId="62" numFmtId="1" xfId="0" applyAlignment="1" applyFont="1" applyNumberFormat="1">
      <alignment readingOrder="0"/>
    </xf>
    <xf borderId="0" fillId="0" fontId="299" numFmtId="1" xfId="0" applyAlignment="1" applyFont="1" applyNumberFormat="1">
      <alignment readingOrder="0"/>
    </xf>
    <xf borderId="0" fillId="0" fontId="48" numFmtId="0" xfId="0" applyAlignment="1" applyFont="1">
      <alignment readingOrder="0"/>
    </xf>
    <xf borderId="0" fillId="51" fontId="300" numFmtId="1" xfId="0" applyAlignment="1" applyFill="1" applyFont="1" applyNumberFormat="1">
      <alignment horizontal="left" readingOrder="0"/>
    </xf>
    <xf borderId="0" fillId="3" fontId="301" numFmtId="1" xfId="0" applyAlignment="1" applyFont="1" applyNumberFormat="1">
      <alignment horizontal="center" readingOrder="0"/>
    </xf>
    <xf borderId="0" fillId="0" fontId="48" numFmtId="0" xfId="0" applyAlignment="1" applyFont="1">
      <alignment readingOrder="0" shrinkToFit="0" wrapText="1"/>
    </xf>
    <xf borderId="0" fillId="3" fontId="302" numFmtId="1" xfId="0" applyAlignment="1" applyFont="1" applyNumberFormat="1">
      <alignment horizontal="left" readingOrder="0"/>
    </xf>
    <xf borderId="0" fillId="3" fontId="303" numFmtId="1" xfId="0" applyAlignment="1" applyFont="1" applyNumberFormat="1">
      <alignment horizontal="left"/>
    </xf>
    <xf borderId="1" fillId="3" fontId="304" numFmtId="1" xfId="0" applyAlignment="1" applyBorder="1" applyFont="1" applyNumberFormat="1">
      <alignment readingOrder="0" shrinkToFit="0" wrapText="1"/>
    </xf>
    <xf borderId="1" fillId="3" fontId="305" numFmtId="1" xfId="0" applyAlignment="1" applyBorder="1" applyFont="1" applyNumberFormat="1">
      <alignment readingOrder="0"/>
    </xf>
    <xf borderId="1" fillId="3" fontId="306" numFmtId="1" xfId="0" applyAlignment="1" applyBorder="1" applyFont="1" applyNumberFormat="1">
      <alignment readingOrder="0"/>
    </xf>
    <xf borderId="1" fillId="3" fontId="305" numFmtId="1" xfId="0" applyBorder="1" applyFont="1" applyNumberFormat="1"/>
    <xf borderId="0" fillId="0" fontId="48" numFmtId="0" xfId="0" applyFont="1"/>
    <xf borderId="1" fillId="0" fontId="48" numFmtId="0" xfId="0" applyBorder="1" applyFont="1"/>
    <xf borderId="0" fillId="0" fontId="225" numFmtId="0" xfId="0" applyAlignment="1" applyFont="1">
      <alignment horizontal="center"/>
    </xf>
    <xf borderId="15" fillId="52" fontId="307" numFmtId="0" xfId="0" applyAlignment="1" applyBorder="1" applyFill="1" applyFont="1">
      <alignment horizontal="center" vertical="bottom"/>
    </xf>
    <xf borderId="0" fillId="0" fontId="31" numFmtId="0" xfId="0" applyAlignment="1" applyFont="1">
      <alignment vertical="bottom"/>
    </xf>
    <xf borderId="1" fillId="53" fontId="31" numFmtId="0" xfId="0" applyAlignment="1" applyBorder="1" applyFill="1" applyFont="1">
      <alignment vertical="bottom"/>
    </xf>
    <xf borderId="1" fillId="53" fontId="47" numFmtId="0" xfId="0" applyAlignment="1" applyBorder="1" applyFont="1">
      <alignment horizontal="center" vertical="bottom"/>
    </xf>
    <xf borderId="1" fillId="53" fontId="47" numFmtId="0" xfId="0" applyAlignment="1" applyBorder="1" applyFont="1">
      <alignment horizontal="center" shrinkToFit="0" vertical="bottom" wrapText="1"/>
    </xf>
    <xf borderId="1" fillId="38" fontId="308" numFmtId="0" xfId="0" applyAlignment="1" applyBorder="1" applyFont="1">
      <alignment horizontal="center" vertical="bottom"/>
    </xf>
    <xf borderId="1" fillId="0" fontId="50" numFmtId="0" xfId="0" applyAlignment="1" applyBorder="1" applyFont="1">
      <alignment horizontal="center"/>
    </xf>
    <xf borderId="1" fillId="38" fontId="308" numFmtId="0" xfId="0" applyAlignment="1" applyBorder="1" applyFont="1">
      <alignment horizontal="center" shrinkToFit="0" vertical="bottom" wrapText="1"/>
    </xf>
    <xf borderId="1" fillId="0" fontId="31" numFmtId="1" xfId="0" applyAlignment="1" applyBorder="1" applyFont="1" applyNumberFormat="1">
      <alignment vertical="bottom"/>
    </xf>
    <xf borderId="1" fillId="0" fontId="308" numFmtId="1" xfId="0" applyAlignment="1" applyBorder="1" applyFont="1" applyNumberFormat="1">
      <alignment horizontal="center" shrinkToFit="0" vertical="bottom" wrapText="1"/>
    </xf>
    <xf borderId="1" fillId="38" fontId="31" numFmtId="0" xfId="0" applyAlignment="1" applyBorder="1" applyFont="1">
      <alignment vertical="bottom"/>
    </xf>
    <xf borderId="1" fillId="0" fontId="31" numFmtId="0" xfId="0" applyAlignment="1" applyBorder="1" applyFont="1">
      <alignment vertical="bottom"/>
    </xf>
    <xf borderId="1" fillId="0" fontId="308" numFmtId="0" xfId="0" applyAlignment="1" applyBorder="1" applyFont="1">
      <alignment horizontal="center" shrinkToFit="0" vertical="bottom" wrapText="1"/>
    </xf>
    <xf borderId="1" fillId="0" fontId="309" numFmtId="0" xfId="0" applyAlignment="1" applyBorder="1" applyFont="1">
      <alignment horizontal="center" shrinkToFit="0" vertical="bottom" wrapText="1"/>
    </xf>
    <xf borderId="1" fillId="54" fontId="308" numFmtId="0" xfId="0" applyAlignment="1" applyBorder="1" applyFill="1" applyFont="1">
      <alignment horizontal="center" shrinkToFit="0" vertical="bottom" wrapText="1"/>
    </xf>
    <xf borderId="1" fillId="54" fontId="308" numFmtId="1" xfId="0" applyAlignment="1" applyBorder="1" applyFont="1" applyNumberFormat="1">
      <alignment horizontal="center" shrinkToFit="0" vertical="bottom" wrapText="1"/>
    </xf>
    <xf borderId="1" fillId="54" fontId="309" numFmtId="1" xfId="0" applyAlignment="1" applyBorder="1" applyFont="1" applyNumberFormat="1">
      <alignment horizontal="center" shrinkToFit="0" vertical="bottom" wrapText="1"/>
    </xf>
    <xf borderId="1" fillId="54" fontId="309" numFmtId="0" xfId="0" applyAlignment="1" applyBorder="1" applyFont="1">
      <alignment horizontal="center" shrinkToFit="0" vertical="bottom" wrapText="1"/>
    </xf>
    <xf borderId="1" fillId="54" fontId="31" numFmtId="0" xfId="0" applyAlignment="1" applyBorder="1" applyFont="1">
      <alignment vertical="bottom"/>
    </xf>
    <xf borderId="1" fillId="54" fontId="309" numFmtId="0" xfId="0" applyAlignment="1" applyBorder="1" applyFont="1">
      <alignment horizontal="center" vertical="bottom"/>
    </xf>
    <xf borderId="1" fillId="54" fontId="309" numFmtId="1" xfId="0" applyAlignment="1" applyBorder="1" applyFont="1" applyNumberFormat="1">
      <alignment horizontal="center" vertical="bottom"/>
    </xf>
    <xf borderId="1" fillId="54" fontId="31" numFmtId="1" xfId="0" applyAlignment="1" applyBorder="1" applyFont="1" applyNumberFormat="1">
      <alignment vertical="bottom"/>
    </xf>
    <xf borderId="1" fillId="0" fontId="309" numFmtId="1" xfId="0" applyAlignment="1" applyBorder="1" applyFont="1" applyNumberFormat="1">
      <alignment horizontal="center" shrinkToFit="0" vertical="bottom" wrapText="1"/>
    </xf>
    <xf borderId="1" fillId="0" fontId="309" numFmtId="1" xfId="0" applyAlignment="1" applyBorder="1" applyFont="1" applyNumberFormat="1">
      <alignment horizontal="center" vertical="bottom"/>
    </xf>
    <xf borderId="1" fillId="0" fontId="31" numFmtId="1" xfId="0" applyAlignment="1" applyBorder="1" applyFont="1" applyNumberFormat="1">
      <alignment readingOrder="0" vertical="bottom"/>
    </xf>
    <xf borderId="1" fillId="0" fontId="31" numFmtId="0" xfId="0" applyAlignment="1" applyBorder="1" applyFont="1">
      <alignment readingOrder="0" vertical="bottom"/>
    </xf>
    <xf borderId="1" fillId="0" fontId="308" numFmtId="0" xfId="0" applyAlignment="1" applyBorder="1" applyFont="1">
      <alignment horizontal="center" readingOrder="0" shrinkToFit="0" vertical="bottom" wrapText="1"/>
    </xf>
    <xf borderId="1" fillId="0" fontId="50" numFmtId="0" xfId="0" applyAlignment="1" applyBorder="1" applyFont="1">
      <alignment horizontal="center" readingOrder="0"/>
    </xf>
    <xf borderId="1" fillId="0" fontId="310" numFmtId="0" xfId="0" applyAlignment="1" applyBorder="1" applyFont="1">
      <alignment horizontal="center" readingOrder="0" vertical="bottom"/>
    </xf>
    <xf borderId="1" fillId="0" fontId="309" numFmtId="0" xfId="0" applyAlignment="1" applyBorder="1" applyFont="1">
      <alignment horizontal="center" readingOrder="0" vertical="bottom"/>
    </xf>
    <xf borderId="10" fillId="55" fontId="311" numFmtId="0" xfId="0" applyAlignment="1" applyBorder="1" applyFill="1" applyFont="1">
      <alignment horizontal="center" readingOrder="0" vertical="center"/>
    </xf>
    <xf borderId="10" fillId="0" fontId="18" numFmtId="0" xfId="0" applyBorder="1" applyFont="1"/>
    <xf borderId="9" fillId="0" fontId="18" numFmtId="0" xfId="0" applyBorder="1" applyFont="1"/>
    <xf borderId="1" fillId="56" fontId="47" numFmtId="0" xfId="0" applyAlignment="1" applyBorder="1" applyFill="1" applyFont="1">
      <alignment horizontal="center" readingOrder="0" vertical="center"/>
    </xf>
    <xf borderId="1" fillId="56" fontId="312" numFmtId="0" xfId="0" applyAlignment="1" applyBorder="1" applyFont="1">
      <alignment horizontal="center" readingOrder="0" vertical="center"/>
    </xf>
    <xf borderId="1" fillId="42" fontId="49" numFmtId="0" xfId="0" applyAlignment="1" applyBorder="1" applyFont="1">
      <alignment horizontal="center" readingOrder="0" shrinkToFit="0" vertical="bottom" wrapText="0"/>
    </xf>
    <xf borderId="1" fillId="0" fontId="49" numFmtId="1" xfId="0" applyAlignment="1" applyBorder="1" applyFont="1" applyNumberFormat="1">
      <alignment horizontal="center" readingOrder="0" shrinkToFit="0" wrapText="1"/>
    </xf>
    <xf borderId="1" fillId="0" fontId="313" numFmtId="0" xfId="0" applyAlignment="1" applyBorder="1" applyFont="1">
      <alignment horizontal="center" readingOrder="0" shrinkToFit="0" vertical="center" wrapText="1"/>
    </xf>
    <xf borderId="0" fillId="3" fontId="314" numFmtId="0" xfId="0" applyAlignment="1" applyFont="1">
      <alignment horizontal="center" readingOrder="0"/>
    </xf>
    <xf borderId="0" fillId="3" fontId="315" numFmtId="0" xfId="0" applyAlignment="1" applyFont="1">
      <alignment horizontal="center" readingOrder="0"/>
    </xf>
    <xf borderId="0" fillId="0" fontId="316" numFmtId="1" xfId="0" applyAlignment="1" applyFont="1" applyNumberFormat="1">
      <alignment horizontal="center" readingOrder="0"/>
    </xf>
    <xf borderId="1" fillId="57" fontId="317" numFmtId="1" xfId="0" applyAlignment="1" applyBorder="1" applyFill="1" applyFont="1" applyNumberFormat="1">
      <alignment horizontal="center" readingOrder="0" shrinkToFit="0" wrapText="1"/>
    </xf>
    <xf borderId="0" fillId="57" fontId="317" numFmtId="1" xfId="0" applyAlignment="1" applyFont="1" applyNumberFormat="1">
      <alignment readingOrder="0"/>
    </xf>
    <xf borderId="0" fillId="0" fontId="318" numFmtId="0" xfId="0" applyAlignment="1" applyFont="1">
      <alignment horizontal="center" readingOrder="0"/>
    </xf>
    <xf borderId="0" fillId="0" fontId="319" numFmtId="0" xfId="0" applyAlignment="1" applyFont="1">
      <alignment horizontal="center" readingOrder="0"/>
    </xf>
    <xf borderId="0" fillId="3" fontId="320" numFmtId="1" xfId="0" applyAlignment="1" applyFont="1" applyNumberFormat="1">
      <alignment readingOrder="0" shrinkToFit="0" wrapText="1"/>
    </xf>
    <xf borderId="0" fillId="3" fontId="321" numFmtId="0" xfId="0" applyAlignment="1" applyFont="1">
      <alignment readingOrder="0" shrinkToFit="0" wrapText="1"/>
    </xf>
    <xf borderId="1" fillId="0" fontId="322" numFmtId="0" xfId="0" applyAlignment="1" applyBorder="1" applyFont="1">
      <alignment horizontal="center" readingOrder="0" shrinkToFit="0" wrapText="1"/>
    </xf>
    <xf borderId="0" fillId="3" fontId="57" numFmtId="0" xfId="0" applyAlignment="1" applyFont="1">
      <alignment horizontal="center" readingOrder="0" shrinkToFit="0" wrapText="1"/>
    </xf>
    <xf borderId="15" fillId="55" fontId="323" numFmtId="0" xfId="0" applyAlignment="1" applyBorder="1" applyFont="1">
      <alignment horizontal="center" readingOrder="0" shrinkToFit="0" vertical="center" wrapText="0"/>
    </xf>
    <xf borderId="2" fillId="55" fontId="323" numFmtId="0" xfId="0" applyAlignment="1" applyBorder="1" applyFont="1">
      <alignment horizontal="center" readingOrder="0" shrinkToFit="0" vertical="center" wrapText="0"/>
    </xf>
    <xf borderId="3" fillId="55" fontId="323" numFmtId="0" xfId="0" applyAlignment="1" applyBorder="1" applyFont="1">
      <alignment horizontal="center" readingOrder="0" shrinkToFit="0" vertical="center" wrapText="0"/>
    </xf>
    <xf borderId="0" fillId="3" fontId="66" numFmtId="1" xfId="0" applyAlignment="1" applyFont="1" applyNumberFormat="1">
      <alignment horizontal="center" readingOrder="0"/>
    </xf>
    <xf borderId="0" fillId="3" fontId="64" numFmtId="1" xfId="0" applyAlignment="1" applyFont="1" applyNumberFormat="1">
      <alignment horizontal="center" readingOrder="0"/>
    </xf>
    <xf borderId="0" fillId="0" fontId="324" numFmtId="0" xfId="0" applyAlignment="1" applyFont="1">
      <alignment horizontal="center" readingOrder="0"/>
    </xf>
    <xf borderId="0" fillId="0" fontId="325" numFmtId="1" xfId="0" applyAlignment="1" applyFont="1" applyNumberFormat="1">
      <alignment horizontal="center" readingOrder="0"/>
    </xf>
    <xf borderId="0" fillId="58" fontId="326" numFmtId="1" xfId="0" applyAlignment="1" applyFill="1" applyFont="1" applyNumberFormat="1">
      <alignment horizontal="center" readingOrder="0"/>
    </xf>
    <xf borderId="1" fillId="3" fontId="327" numFmtId="0" xfId="0" applyAlignment="1" applyBorder="1" applyFont="1">
      <alignment horizontal="center" readingOrder="0"/>
    </xf>
    <xf borderId="0" fillId="3" fontId="328" numFmtId="0" xfId="0" applyAlignment="1" applyFont="1">
      <alignment readingOrder="0"/>
    </xf>
    <xf borderId="1" fillId="51" fontId="328" numFmtId="1" xfId="0" applyAlignment="1" applyBorder="1" applyFont="1" applyNumberFormat="1">
      <alignment horizontal="center" readingOrder="0" shrinkToFit="0" wrapText="1"/>
    </xf>
    <xf borderId="1" fillId="3" fontId="329" numFmtId="0" xfId="0" applyAlignment="1" applyBorder="1" applyFont="1">
      <alignment horizontal="center" readingOrder="0"/>
    </xf>
    <xf borderId="1" fillId="3" fontId="57" numFmtId="1" xfId="0" applyAlignment="1" applyBorder="1" applyFont="1" applyNumberFormat="1">
      <alignment horizontal="center" readingOrder="0"/>
    </xf>
    <xf borderId="0" fillId="3" fontId="330" numFmtId="0" xfId="0" applyAlignment="1" applyFont="1">
      <alignment horizontal="center" readingOrder="0"/>
    </xf>
    <xf borderId="1" fillId="3" fontId="64" numFmtId="1" xfId="0" applyAlignment="1" applyBorder="1" applyFont="1" applyNumberFormat="1">
      <alignment horizontal="center" readingOrder="0"/>
    </xf>
    <xf borderId="1" fillId="3" fontId="64" numFmtId="1" xfId="0" applyAlignment="1" applyBorder="1" applyFont="1" applyNumberFormat="1">
      <alignment horizontal="center" readingOrder="0" shrinkToFit="0" wrapText="1"/>
    </xf>
    <xf borderId="0" fillId="3" fontId="331" numFmtId="0" xfId="0" applyAlignment="1" applyFont="1">
      <alignment horizontal="center" readingOrder="0"/>
    </xf>
    <xf borderId="1" fillId="0" fontId="332" numFmtId="0" xfId="0" applyAlignment="1" applyBorder="1" applyFont="1">
      <alignment horizontal="center" readingOrder="0" shrinkToFit="0" wrapText="1"/>
    </xf>
    <xf borderId="1" fillId="3" fontId="64" numFmtId="0" xfId="0" applyAlignment="1" applyBorder="1" applyFont="1">
      <alignment horizontal="center" readingOrder="0"/>
    </xf>
    <xf borderId="1" fillId="3" fontId="99" numFmtId="0" xfId="0" applyAlignment="1" applyBorder="1" applyFont="1">
      <alignment horizontal="center" readingOrder="0"/>
    </xf>
    <xf borderId="0" fillId="3" fontId="57" numFmtId="1" xfId="0" applyAlignment="1" applyFont="1" applyNumberFormat="1">
      <alignment horizontal="center" readingOrder="0"/>
    </xf>
    <xf borderId="1" fillId="0" fontId="333" numFmtId="0" xfId="0" applyAlignment="1" applyBorder="1" applyFont="1">
      <alignment horizontal="center" readingOrder="0"/>
    </xf>
    <xf borderId="1" fillId="54" fontId="49" numFmtId="0" xfId="0" applyAlignment="1" applyBorder="1" applyFont="1">
      <alignment horizontal="center" readingOrder="0" shrinkToFit="0" wrapText="0"/>
    </xf>
    <xf borderId="0" fillId="54" fontId="334" numFmtId="0" xfId="0" applyAlignment="1" applyFont="1">
      <alignment horizontal="center" readingOrder="0"/>
    </xf>
    <xf borderId="0" fillId="54" fontId="48" numFmtId="0" xfId="0" applyAlignment="1" applyFont="1">
      <alignment horizontal="center" readingOrder="0"/>
    </xf>
    <xf borderId="1" fillId="54" fontId="48" numFmtId="0" xfId="0" applyAlignment="1" applyBorder="1" applyFont="1">
      <alignment horizontal="center" readingOrder="0"/>
    </xf>
    <xf borderId="0" fillId="0" fontId="18" numFmtId="0" xfId="0" applyAlignment="1" applyFont="1">
      <alignment horizontal="center"/>
    </xf>
    <xf borderId="1" fillId="2" fontId="312" numFmtId="0" xfId="0" applyAlignment="1" applyBorder="1" applyFont="1">
      <alignment horizontal="center" readingOrder="0" shrinkToFit="0" vertical="center" wrapText="1"/>
    </xf>
    <xf borderId="2" fillId="2" fontId="47" numFmtId="0" xfId="0" applyAlignment="1" applyBorder="1" applyFont="1">
      <alignment horizontal="center" readingOrder="0" shrinkToFit="0" vertical="center" wrapText="1"/>
    </xf>
    <xf borderId="2" fillId="2" fontId="47" numFmtId="0" xfId="0" applyAlignment="1" applyBorder="1" applyFont="1">
      <alignment horizontal="center" readingOrder="0" shrinkToFit="0" vertical="top" wrapText="1"/>
    </xf>
    <xf borderId="3" fillId="2" fontId="47" numFmtId="0" xfId="0" applyAlignment="1" applyBorder="1" applyFont="1">
      <alignment horizontal="center" readingOrder="0" shrinkToFit="0" vertical="top" wrapText="1"/>
    </xf>
    <xf borderId="0" fillId="2" fontId="47" numFmtId="0" xfId="0" applyAlignment="1" applyFont="1">
      <alignment horizontal="center" readingOrder="0" shrinkToFit="0" vertical="top" wrapText="1"/>
    </xf>
    <xf borderId="1" fillId="2" fontId="312" numFmtId="0" xfId="0" applyAlignment="1" applyBorder="1" applyFont="1">
      <alignment horizontal="center" readingOrder="0" vertical="center"/>
    </xf>
    <xf borderId="1" fillId="2" fontId="312" numFmtId="0" xfId="0" applyAlignment="1" applyBorder="1" applyFont="1">
      <alignment horizontal="left" readingOrder="0" vertical="center"/>
    </xf>
    <xf borderId="0" fillId="2" fontId="312" numFmtId="0" xfId="0" applyAlignment="1" applyFont="1">
      <alignment horizontal="left" readingOrder="0" vertical="center"/>
    </xf>
    <xf borderId="1" fillId="21" fontId="7" numFmtId="0" xfId="0" applyAlignment="1" applyBorder="1" applyFont="1">
      <alignment horizontal="center" readingOrder="0" shrinkToFit="0" vertical="bottom" wrapText="0"/>
    </xf>
    <xf borderId="1" fillId="0" fontId="335" numFmtId="0" xfId="0" applyAlignment="1" applyBorder="1" applyFont="1">
      <alignment horizontal="center" readingOrder="0" vertical="center"/>
    </xf>
    <xf borderId="1" fillId="3" fontId="336" numFmtId="0" xfId="0" applyAlignment="1" applyBorder="1" applyFont="1">
      <alignment horizontal="left" readingOrder="0"/>
    </xf>
    <xf borderId="1" fillId="0" fontId="335" numFmtId="1" xfId="0" applyAlignment="1" applyBorder="1" applyFont="1" applyNumberFormat="1">
      <alignment horizontal="center" readingOrder="0" shrinkToFit="0" vertical="center" wrapText="1"/>
    </xf>
    <xf borderId="1" fillId="3" fontId="337" numFmtId="1" xfId="0" applyAlignment="1" applyBorder="1" applyFont="1" applyNumberFormat="1">
      <alignment horizontal="center" readingOrder="0"/>
    </xf>
    <xf borderId="1" fillId="0" fontId="338" numFmtId="1" xfId="0" applyAlignment="1" applyBorder="1" applyFont="1" applyNumberFormat="1">
      <alignment horizontal="left" readingOrder="0"/>
    </xf>
    <xf borderId="1" fillId="0" fontId="335" numFmtId="1" xfId="0" applyAlignment="1" applyBorder="1" applyFont="1" applyNumberFormat="1">
      <alignment horizontal="left" readingOrder="0" shrinkToFit="0" vertical="center" wrapText="1"/>
    </xf>
    <xf borderId="1" fillId="3" fontId="339" numFmtId="1" xfId="0" applyAlignment="1" applyBorder="1" applyFont="1" applyNumberFormat="1">
      <alignment horizontal="left" readingOrder="0"/>
    </xf>
    <xf borderId="0" fillId="3" fontId="339" numFmtId="1" xfId="0" applyAlignment="1" applyFont="1" applyNumberFormat="1">
      <alignment horizontal="left" readingOrder="0"/>
    </xf>
    <xf borderId="1" fillId="3" fontId="340" numFmtId="0" xfId="0" applyAlignment="1" applyBorder="1" applyFont="1">
      <alignment horizontal="left" readingOrder="0"/>
    </xf>
    <xf borderId="1" fillId="0" fontId="335" numFmtId="0" xfId="0" applyAlignment="1" applyBorder="1" applyFont="1">
      <alignment horizontal="center" readingOrder="0" shrinkToFit="0" vertical="center" wrapText="1"/>
    </xf>
    <xf borderId="1" fillId="3" fontId="341" numFmtId="0" xfId="0" applyAlignment="1" applyBorder="1" applyFont="1">
      <alignment horizontal="center" readingOrder="0"/>
    </xf>
    <xf borderId="1" fillId="0" fontId="335" numFmtId="0" xfId="0" applyAlignment="1" applyBorder="1" applyFont="1">
      <alignment horizontal="left" readingOrder="0" shrinkToFit="0" vertical="center" wrapText="1"/>
    </xf>
    <xf borderId="1" fillId="3" fontId="158" numFmtId="0" xfId="0" applyAlignment="1" applyBorder="1" applyFont="1">
      <alignment readingOrder="0"/>
    </xf>
    <xf borderId="0" fillId="3" fontId="158" numFmtId="0" xfId="0" applyAlignment="1" applyFont="1">
      <alignment readingOrder="0"/>
    </xf>
    <xf borderId="1" fillId="3" fontId="342" numFmtId="0" xfId="0" applyAlignment="1" applyBorder="1" applyFont="1">
      <alignment horizontal="left" readingOrder="0"/>
    </xf>
    <xf borderId="1" fillId="0" fontId="343" numFmtId="0" xfId="0" applyAlignment="1" applyBorder="1" applyFont="1">
      <alignment horizontal="center" readingOrder="0"/>
    </xf>
    <xf borderId="1" fillId="0" fontId="344" numFmtId="0" xfId="0" applyAlignment="1" applyBorder="1" applyFont="1">
      <alignment readingOrder="0"/>
    </xf>
    <xf borderId="1" fillId="0" fontId="158" numFmtId="0" xfId="0" applyAlignment="1" applyBorder="1" applyFont="1">
      <alignment readingOrder="0"/>
    </xf>
    <xf borderId="1" fillId="3" fontId="345" numFmtId="0" xfId="0" applyAlignment="1" applyBorder="1" applyFont="1">
      <alignment horizontal="left" readingOrder="0"/>
    </xf>
    <xf borderId="0" fillId="3" fontId="345" numFmtId="0" xfId="0" applyAlignment="1" applyFont="1">
      <alignment horizontal="left" readingOrder="0"/>
    </xf>
    <xf borderId="0" fillId="0" fontId="335" numFmtId="0" xfId="0" applyAlignment="1" applyFont="1">
      <alignment horizontal="left" readingOrder="0" shrinkToFit="0" vertical="center" wrapText="1"/>
    </xf>
    <xf borderId="1" fillId="0" fontId="337" numFmtId="0" xfId="0" applyAlignment="1" applyBorder="1" applyFont="1">
      <alignment horizontal="left" readingOrder="0"/>
    </xf>
    <xf borderId="1" fillId="0" fontId="335" numFmtId="0" xfId="0" applyAlignment="1" applyBorder="1" applyFont="1">
      <alignment horizontal="left" readingOrder="0" vertical="center"/>
    </xf>
    <xf borderId="1" fillId="0" fontId="335" numFmtId="0" xfId="0" applyAlignment="1" applyBorder="1" applyFont="1">
      <alignment horizontal="center" readingOrder="0" shrinkToFit="0" vertical="center" wrapText="1"/>
    </xf>
    <xf borderId="1" fillId="59" fontId="7" numFmtId="0" xfId="0" applyAlignment="1" applyBorder="1" applyFill="1" applyFont="1">
      <alignment horizontal="center" readingOrder="0" shrinkToFit="0" vertical="bottom" wrapText="0"/>
    </xf>
    <xf borderId="8" fillId="3" fontId="42" numFmtId="0" xfId="0" applyAlignment="1" applyBorder="1" applyFont="1">
      <alignment horizontal="left" readingOrder="0" shrinkToFit="0" vertical="bottom" wrapText="0"/>
    </xf>
    <xf borderId="9" fillId="3" fontId="42" numFmtId="0" xfId="0" applyAlignment="1" applyBorder="1" applyFont="1">
      <alignment horizontal="center" readingOrder="0" shrinkToFit="0" vertical="bottom" wrapText="0"/>
    </xf>
    <xf borderId="9" fillId="3" fontId="42" numFmtId="0" xfId="0" applyAlignment="1" applyBorder="1" applyFont="1">
      <alignment horizontal="left" readingOrder="0" shrinkToFit="0" vertical="bottom" wrapText="0"/>
    </xf>
    <xf borderId="1" fillId="3" fontId="42" numFmtId="0" xfId="0" applyAlignment="1" applyBorder="1" applyFont="1">
      <alignment vertical="bottom"/>
    </xf>
    <xf borderId="0" fillId="3" fontId="42" numFmtId="0" xfId="0" applyAlignment="1" applyFont="1">
      <alignment vertical="bottom"/>
    </xf>
    <xf borderId="8" fillId="3" fontId="42" numFmtId="11" xfId="0" applyAlignment="1" applyBorder="1" applyFont="1" applyNumberFormat="1">
      <alignment vertical="bottom"/>
    </xf>
    <xf borderId="0" fillId="3" fontId="42" numFmtId="11" xfId="0" applyAlignment="1" applyFont="1" applyNumberFormat="1">
      <alignment vertical="bottom"/>
    </xf>
    <xf borderId="9" fillId="3" fontId="42" numFmtId="11" xfId="0" applyAlignment="1" applyBorder="1" applyFont="1" applyNumberFormat="1">
      <alignment horizontal="center" readingOrder="0" shrinkToFit="0" vertical="bottom" wrapText="0"/>
    </xf>
    <xf borderId="8" fillId="3" fontId="42" numFmtId="0" xfId="0" applyAlignment="1" applyBorder="1" applyFont="1">
      <alignment vertical="bottom"/>
    </xf>
    <xf borderId="9" fillId="3" fontId="49" numFmtId="0" xfId="0" applyAlignment="1" applyBorder="1" applyFont="1">
      <alignment shrinkToFit="0" vertical="bottom" wrapText="0"/>
    </xf>
    <xf borderId="18" fillId="3" fontId="42" numFmtId="0" xfId="0" applyAlignment="1" applyBorder="1" applyFont="1">
      <alignment shrinkToFit="0" vertical="bottom" wrapText="0"/>
    </xf>
    <xf borderId="0" fillId="3" fontId="42" numFmtId="0" xfId="0" applyAlignment="1" applyFont="1">
      <alignment shrinkToFit="0" vertical="bottom" wrapText="0"/>
    </xf>
    <xf borderId="8" fillId="3" fontId="49" numFmtId="0" xfId="0" applyAlignment="1" applyBorder="1" applyFont="1">
      <alignment horizontal="left" readingOrder="0" shrinkToFit="0" vertical="bottom" wrapText="0"/>
    </xf>
    <xf borderId="9" fillId="3" fontId="49" numFmtId="0" xfId="0" applyAlignment="1" applyBorder="1" applyFont="1">
      <alignment horizontal="center" readingOrder="0" shrinkToFit="0" vertical="bottom" wrapText="0"/>
    </xf>
    <xf borderId="9" fillId="3" fontId="49" numFmtId="0" xfId="0" applyAlignment="1" applyBorder="1" applyFont="1">
      <alignment horizontal="left" readingOrder="0" shrinkToFit="0" vertical="bottom" wrapText="0"/>
    </xf>
    <xf borderId="8" fillId="3" fontId="49" numFmtId="0" xfId="0" applyAlignment="1" applyBorder="1" applyFont="1">
      <alignment vertical="bottom"/>
    </xf>
    <xf borderId="0" fillId="3" fontId="49" numFmtId="0" xfId="0" applyAlignment="1" applyFont="1">
      <alignment vertical="bottom"/>
    </xf>
    <xf borderId="9" fillId="3" fontId="49" numFmtId="0" xfId="0" applyAlignment="1" applyBorder="1" applyFont="1">
      <alignment horizontal="right" readingOrder="0" shrinkToFit="0" vertical="bottom" wrapText="0"/>
    </xf>
    <xf borderId="8" fillId="3" fontId="159" numFmtId="0" xfId="0" applyAlignment="1" applyBorder="1" applyFont="1">
      <alignment vertical="bottom"/>
    </xf>
    <xf borderId="0" fillId="3" fontId="159" numFmtId="0" xfId="0" applyAlignment="1" applyFont="1">
      <alignment vertical="bottom"/>
    </xf>
    <xf borderId="8" fillId="3" fontId="49" numFmtId="0" xfId="0" applyAlignment="1" applyBorder="1" applyFont="1">
      <alignment horizontal="right" vertical="bottom"/>
    </xf>
    <xf borderId="0" fillId="3" fontId="49" numFmtId="0" xfId="0" applyAlignment="1" applyFont="1">
      <alignment horizontal="right" vertical="bottom"/>
    </xf>
    <xf borderId="18" fillId="3" fontId="49" numFmtId="0" xfId="0" applyAlignment="1" applyBorder="1" applyFont="1">
      <alignment shrinkToFit="0" vertical="bottom" wrapText="0"/>
    </xf>
    <xf borderId="0" fillId="3" fontId="49" numFmtId="0" xfId="0" applyAlignment="1" applyFont="1">
      <alignment shrinkToFit="0" vertical="bottom" wrapText="0"/>
    </xf>
    <xf borderId="9" fillId="3" fontId="346" numFmtId="0" xfId="0" applyAlignment="1" applyBorder="1" applyFont="1">
      <alignment horizontal="left" readingOrder="0" shrinkToFit="0" vertical="bottom" wrapText="0"/>
    </xf>
    <xf borderId="9" fillId="3" fontId="49" numFmtId="0" xfId="0" applyAlignment="1" applyBorder="1" applyFont="1">
      <alignment horizontal="center" shrinkToFit="0" vertical="bottom" wrapText="0"/>
    </xf>
    <xf borderId="9" fillId="3" fontId="347" numFmtId="0" xfId="0" applyAlignment="1" applyBorder="1" applyFont="1">
      <alignment horizontal="left" readingOrder="0" shrinkToFit="0" vertical="bottom" wrapText="0"/>
    </xf>
    <xf borderId="8" fillId="3" fontId="49" numFmtId="0" xfId="0" applyAlignment="1" applyBorder="1" applyFont="1">
      <alignment shrinkToFit="0" vertical="bottom" wrapText="0"/>
    </xf>
    <xf borderId="1" fillId="0" fontId="335" numFmtId="0" xfId="0" applyAlignment="1" applyBorder="1" applyFont="1">
      <alignment horizontal="left" readingOrder="0" vertical="center"/>
    </xf>
    <xf borderId="8" fillId="0" fontId="159" numFmtId="0" xfId="0" applyAlignment="1" applyBorder="1" applyFont="1">
      <alignment readingOrder="0"/>
    </xf>
    <xf borderId="0" fillId="0" fontId="159" numFmtId="0" xfId="0" applyAlignment="1" applyFont="1">
      <alignment readingOrder="0"/>
    </xf>
    <xf borderId="1" fillId="0" fontId="335" numFmtId="0" xfId="0" applyAlignment="1" applyBorder="1" applyFont="1">
      <alignment horizontal="left" readingOrder="0" shrinkToFit="0" vertical="center" wrapText="1"/>
    </xf>
    <xf borderId="8" fillId="0" fontId="159" numFmtId="0" xfId="0" applyAlignment="1" applyBorder="1" applyFont="1">
      <alignment horizontal="left" readingOrder="0"/>
    </xf>
    <xf borderId="0" fillId="0" fontId="159" numFmtId="0" xfId="0" applyAlignment="1" applyFont="1">
      <alignment horizontal="left" readingOrder="0"/>
    </xf>
    <xf borderId="1" fillId="3" fontId="39" numFmtId="0" xfId="0" applyAlignment="1" applyBorder="1" applyFont="1">
      <alignment horizontal="left" readingOrder="0"/>
    </xf>
    <xf borderId="0" fillId="3" fontId="39" numFmtId="0" xfId="0" applyAlignment="1" applyFont="1">
      <alignment horizontal="left" readingOrder="0"/>
    </xf>
    <xf borderId="1" fillId="0" fontId="159" numFmtId="0" xfId="0" applyAlignment="1" applyBorder="1" applyFont="1">
      <alignment horizontal="left" readingOrder="0"/>
    </xf>
    <xf borderId="0" fillId="0" fontId="335" numFmtId="0" xfId="0" applyAlignment="1" applyFont="1">
      <alignment horizontal="left" readingOrder="0" shrinkToFit="0" vertical="center" wrapText="1"/>
    </xf>
    <xf borderId="0" fillId="3" fontId="348" numFmtId="0" xfId="0" applyAlignment="1" applyFont="1">
      <alignment horizontal="left" readingOrder="0"/>
    </xf>
    <xf borderId="0" fillId="3" fontId="335" numFmtId="0" xfId="0" applyAlignment="1" applyFont="1">
      <alignment horizontal="left" readingOrder="0"/>
    </xf>
    <xf borderId="1" fillId="3" fontId="335" numFmtId="0" xfId="0" applyAlignment="1" applyBorder="1" applyFont="1">
      <alignment horizontal="left" readingOrder="0"/>
    </xf>
    <xf borderId="1" fillId="3" fontId="348" numFmtId="0" xfId="0" applyAlignment="1" applyBorder="1" applyFont="1">
      <alignment horizontal="left" readingOrder="0"/>
    </xf>
    <xf borderId="0" fillId="3" fontId="349" numFmtId="0" xfId="0" applyAlignment="1" applyFont="1">
      <alignment horizontal="left" readingOrder="0"/>
    </xf>
    <xf borderId="0" fillId="3" fontId="349" numFmtId="0" xfId="0" applyAlignment="1" applyFont="1">
      <alignment horizontal="left" readingOrder="0"/>
    </xf>
    <xf borderId="1" fillId="3" fontId="350" numFmtId="0" xfId="0" applyAlignment="1" applyBorder="1" applyFont="1">
      <alignment horizontal="left" readingOrder="0"/>
    </xf>
    <xf borderId="1" fillId="3" fontId="349" numFmtId="0" xfId="0" applyAlignment="1" applyBorder="1" applyFont="1">
      <alignment horizontal="left" readingOrder="0"/>
    </xf>
    <xf borderId="0" fillId="0" fontId="341" numFmtId="0" xfId="0" applyAlignment="1" applyFont="1">
      <alignment horizontal="left" readingOrder="0"/>
    </xf>
    <xf borderId="0" fillId="3" fontId="351" numFmtId="0" xfId="0" applyAlignment="1" applyFont="1">
      <alignment horizontal="left" readingOrder="0"/>
    </xf>
    <xf borderId="0" fillId="3" fontId="39" numFmtId="0" xfId="0" applyAlignment="1" applyFont="1">
      <alignment horizontal="left" readingOrder="0" shrinkToFit="0" wrapText="1"/>
    </xf>
    <xf borderId="0" fillId="3" fontId="39" numFmtId="0" xfId="0" applyAlignment="1" applyFont="1">
      <alignment horizontal="center" readingOrder="0"/>
    </xf>
    <xf borderId="0" fillId="3" fontId="349" numFmtId="0" xfId="0" applyAlignment="1" applyFont="1">
      <alignment horizontal="left" readingOrder="0"/>
    </xf>
    <xf borderId="1" fillId="3" fontId="335" numFmtId="0" xfId="0" applyAlignment="1" applyBorder="1" applyFont="1">
      <alignment horizontal="left" readingOrder="0"/>
    </xf>
    <xf borderId="0" fillId="60" fontId="352" numFmtId="0" xfId="0" applyAlignment="1" applyFill="1" applyFont="1">
      <alignment horizontal="left" readingOrder="0"/>
    </xf>
    <xf borderId="1" fillId="3" fontId="349" numFmtId="0" xfId="0" applyAlignment="1" applyBorder="1" applyFont="1">
      <alignment readingOrder="0"/>
    </xf>
    <xf borderId="1" fillId="0" fontId="39" numFmtId="0" xfId="0" applyAlignment="1" applyBorder="1" applyFont="1">
      <alignment readingOrder="0"/>
    </xf>
    <xf borderId="1" fillId="0" fontId="353" numFmtId="0" xfId="0" applyAlignment="1" applyBorder="1" applyFont="1">
      <alignment horizontal="left" readingOrder="0" vertical="center"/>
    </xf>
    <xf borderId="0" fillId="3" fontId="354" numFmtId="0" xfId="0" applyAlignment="1" applyFont="1">
      <alignment horizontal="left" readingOrder="0"/>
    </xf>
    <xf borderId="0" fillId="3" fontId="355" numFmtId="0" xfId="0" applyAlignment="1" applyFont="1">
      <alignment horizontal="left" readingOrder="0"/>
    </xf>
    <xf borderId="0" fillId="3" fontId="356" numFmtId="0" xfId="0" applyAlignment="1" applyFont="1">
      <alignment horizontal="center" readingOrder="0"/>
    </xf>
    <xf borderId="0" fillId="3" fontId="356" numFmtId="0" xfId="0" applyAlignment="1" applyFont="1">
      <alignment horizontal="left" readingOrder="0"/>
    </xf>
    <xf borderId="0" fillId="3" fontId="348" numFmtId="0" xfId="0" applyAlignment="1" applyFont="1">
      <alignment horizontal="center" readingOrder="0"/>
    </xf>
    <xf borderId="0" fillId="3" fontId="345" numFmtId="0" xfId="0" applyAlignment="1" applyFont="1">
      <alignment horizontal="center" readingOrder="0"/>
    </xf>
    <xf borderId="0" fillId="3" fontId="357" numFmtId="0" xfId="0" applyAlignment="1" applyFont="1">
      <alignment horizontal="left" readingOrder="0" shrinkToFit="0" wrapText="1"/>
    </xf>
    <xf borderId="0" fillId="3" fontId="348" numFmtId="0" xfId="0" applyAlignment="1" applyFont="1">
      <alignment horizontal="left" readingOrder="0"/>
    </xf>
    <xf borderId="0" fillId="0" fontId="358" numFmtId="0" xfId="0" applyAlignment="1" applyFont="1">
      <alignment horizontal="center"/>
    </xf>
    <xf borderId="1" fillId="3" fontId="348" numFmtId="0" xfId="0" applyAlignment="1" applyBorder="1" applyFont="1">
      <alignment horizontal="left" readingOrder="0"/>
    </xf>
    <xf borderId="1" fillId="3" fontId="348" numFmtId="0" xfId="0" applyAlignment="1" applyBorder="1" applyFont="1">
      <alignment horizontal="center" readingOrder="0"/>
    </xf>
    <xf borderId="0" fillId="3" fontId="335" numFmtId="0" xfId="0" applyAlignment="1" applyFont="1">
      <alignment horizontal="center" readingOrder="0"/>
    </xf>
    <xf borderId="0" fillId="0" fontId="359" numFmtId="0" xfId="0" applyAlignment="1" applyFont="1">
      <alignment readingOrder="0"/>
    </xf>
    <xf borderId="0" fillId="3" fontId="341" numFmtId="0" xfId="0" applyAlignment="1" applyFont="1">
      <alignment horizontal="left" readingOrder="0"/>
    </xf>
    <xf borderId="0" fillId="3" fontId="348" numFmtId="0" xfId="0" applyAlignment="1" applyFont="1">
      <alignment horizontal="center" readingOrder="0"/>
    </xf>
    <xf borderId="0" fillId="3" fontId="360" numFmtId="0" xfId="0" applyAlignment="1" applyFont="1">
      <alignment readingOrder="0"/>
    </xf>
    <xf borderId="1" fillId="0" fontId="361" numFmtId="0" xfId="0" applyAlignment="1" applyBorder="1" applyFont="1">
      <alignment horizontal="left" readingOrder="0" vertical="center"/>
    </xf>
    <xf borderId="1" fillId="0" fontId="362" numFmtId="0" xfId="0" applyAlignment="1" applyBorder="1" applyFont="1">
      <alignment horizontal="left" readingOrder="0" vertical="center"/>
    </xf>
    <xf borderId="1" fillId="0" fontId="362" numFmtId="0" xfId="0" applyAlignment="1" applyBorder="1" applyFont="1">
      <alignment horizontal="left" readingOrder="0" vertical="center"/>
    </xf>
    <xf borderId="0" fillId="3" fontId="341" numFmtId="0" xfId="0" applyAlignment="1" applyFont="1">
      <alignment horizontal="left" readingOrder="0"/>
    </xf>
    <xf borderId="1" fillId="3" fontId="363" numFmtId="0" xfId="0" applyAlignment="1" applyBorder="1" applyFont="1">
      <alignment horizontal="center" readingOrder="0"/>
    </xf>
    <xf borderId="0" fillId="0" fontId="364" numFmtId="0" xfId="0" applyAlignment="1" applyFont="1">
      <alignment readingOrder="0"/>
    </xf>
    <xf borderId="1" fillId="0" fontId="158" numFmtId="0" xfId="0" applyAlignment="1" applyBorder="1" applyFont="1">
      <alignment readingOrder="0"/>
    </xf>
    <xf borderId="0" fillId="0" fontId="158" numFmtId="0" xfId="0" applyAlignment="1" applyFont="1">
      <alignment readingOrder="0"/>
    </xf>
    <xf borderId="1" fillId="0" fontId="365" numFmtId="0" xfId="0" applyAlignment="1" applyBorder="1" applyFont="1">
      <alignment horizontal="left" readingOrder="0" shrinkToFit="0" vertical="center" wrapText="1"/>
    </xf>
    <xf borderId="1" fillId="61" fontId="7" numFmtId="0" xfId="0" applyAlignment="1" applyBorder="1" applyFill="1" applyFont="1">
      <alignment horizontal="center" readingOrder="0" shrinkToFit="0" vertical="bottom" wrapText="0"/>
    </xf>
    <xf borderId="1" fillId="0" fontId="366" numFmtId="0" xfId="0" applyAlignment="1" applyBorder="1" applyFont="1">
      <alignment horizontal="center"/>
    </xf>
    <xf borderId="1" fillId="0" fontId="367" numFmtId="0" xfId="0" applyAlignment="1" applyBorder="1" applyFont="1">
      <alignment horizontal="left" readingOrder="0"/>
    </xf>
    <xf borderId="0" fillId="0" fontId="366" numFmtId="0" xfId="0" applyAlignment="1" applyFont="1">
      <alignment horizontal="left" readingOrder="0"/>
    </xf>
    <xf borderId="1" fillId="3" fontId="360" numFmtId="0" xfId="0" applyAlignment="1" applyBorder="1" applyFont="1">
      <alignment horizontal="center" readingOrder="0"/>
    </xf>
    <xf borderId="1" fillId="3" fontId="368" numFmtId="0" xfId="0" applyAlignment="1" applyBorder="1" applyFont="1">
      <alignment horizontal="left" readingOrder="0"/>
    </xf>
    <xf borderId="0" fillId="3" fontId="368" numFmtId="0" xfId="0" applyAlignment="1" applyFont="1">
      <alignment horizontal="left" readingOrder="0"/>
    </xf>
    <xf borderId="1" fillId="3" fontId="349" numFmtId="0" xfId="0" applyAlignment="1" applyBorder="1" applyFont="1">
      <alignment horizontal="left" readingOrder="0"/>
    </xf>
    <xf borderId="1" fillId="0" fontId="369" numFmtId="0" xfId="0" applyAlignment="1" applyBorder="1" applyFont="1">
      <alignment horizontal="center" readingOrder="0"/>
    </xf>
    <xf borderId="1" fillId="0" fontId="369" numFmtId="0" xfId="0" applyAlignment="1" applyBorder="1" applyFont="1">
      <alignment readingOrder="0"/>
    </xf>
    <xf borderId="1" fillId="0" fontId="370" numFmtId="0" xfId="0" applyAlignment="1" applyBorder="1" applyFont="1">
      <alignment horizontal="left" readingOrder="0" shrinkToFit="0" wrapText="0"/>
    </xf>
    <xf borderId="0" fillId="0" fontId="370" numFmtId="0" xfId="0" applyAlignment="1" applyFont="1">
      <alignment horizontal="center" readingOrder="0"/>
    </xf>
    <xf borderId="1" fillId="3" fontId="349" numFmtId="0" xfId="0" applyAlignment="1" applyBorder="1" applyFont="1">
      <alignment horizontal="center" readingOrder="0"/>
    </xf>
    <xf borderId="0" fillId="0" fontId="371" numFmtId="0" xfId="0" applyAlignment="1" applyFont="1">
      <alignment horizontal="center" readingOrder="0"/>
    </xf>
    <xf borderId="0" fillId="0" fontId="159" numFmtId="0" xfId="0" applyAlignment="1" applyFont="1">
      <alignment horizontal="right" readingOrder="0"/>
    </xf>
    <xf borderId="1" fillId="58" fontId="372" numFmtId="0" xfId="0" applyAlignment="1" applyBorder="1" applyFont="1">
      <alignment horizontal="left" readingOrder="0"/>
    </xf>
    <xf borderId="1" fillId="3" fontId="373" numFmtId="0" xfId="0" applyAlignment="1" applyBorder="1" applyFont="1">
      <alignment horizontal="center" readingOrder="0"/>
    </xf>
    <xf borderId="1" fillId="0" fontId="374" numFmtId="0" xfId="0" applyAlignment="1" applyBorder="1" applyFont="1">
      <alignment horizontal="left" readingOrder="0"/>
    </xf>
    <xf borderId="1" fillId="3" fontId="375" numFmtId="0" xfId="0" applyAlignment="1" applyBorder="1" applyFont="1">
      <alignment horizontal="center" readingOrder="0"/>
    </xf>
    <xf borderId="1" fillId="3" fontId="374" numFmtId="0" xfId="0" applyAlignment="1" applyBorder="1" applyFont="1">
      <alignment horizontal="left" readingOrder="0" shrinkToFit="0" wrapText="1"/>
    </xf>
    <xf borderId="0" fillId="3" fontId="375" numFmtId="0" xfId="0" applyAlignment="1" applyFont="1">
      <alignment horizontal="left" readingOrder="0"/>
    </xf>
    <xf borderId="0" fillId="0" fontId="159" numFmtId="0" xfId="0" applyAlignment="1" applyFont="1">
      <alignment horizontal="left" readingOrder="0"/>
    </xf>
    <xf borderId="1" fillId="0" fontId="376" numFmtId="0" xfId="0" applyAlignment="1" applyBorder="1" applyFont="1">
      <alignment horizontal="left" readingOrder="0"/>
    </xf>
    <xf borderId="1" fillId="3" fontId="377" numFmtId="0" xfId="0" applyAlignment="1" applyBorder="1" applyFont="1">
      <alignment horizontal="center" readingOrder="0"/>
    </xf>
    <xf borderId="1" fillId="3" fontId="378" numFmtId="0" xfId="0" applyAlignment="1" applyBorder="1" applyFont="1">
      <alignment horizontal="left" readingOrder="0"/>
    </xf>
    <xf borderId="0" fillId="0" fontId="379" numFmtId="0" xfId="0" applyAlignment="1" applyFont="1">
      <alignment horizontal="left" readingOrder="0"/>
    </xf>
    <xf borderId="1" fillId="0" fontId="380" numFmtId="0" xfId="0" applyAlignment="1" applyBorder="1" applyFont="1">
      <alignment horizontal="center" readingOrder="0"/>
    </xf>
    <xf borderId="1" fillId="3" fontId="377" numFmtId="0" xfId="0" applyAlignment="1" applyBorder="1" applyFont="1">
      <alignment horizontal="left" readingOrder="0"/>
    </xf>
    <xf borderId="0" fillId="0" fontId="349" numFmtId="0" xfId="0" applyAlignment="1" applyFont="1">
      <alignment horizontal="left" readingOrder="0"/>
    </xf>
    <xf borderId="1" fillId="3" fontId="381" numFmtId="0" xfId="0" applyAlignment="1" applyBorder="1" applyFont="1">
      <alignment horizontal="center" readingOrder="0"/>
    </xf>
    <xf borderId="1" fillId="3" fontId="360" numFmtId="0" xfId="0" applyAlignment="1" applyBorder="1" applyFont="1">
      <alignment horizontal="left" readingOrder="0"/>
    </xf>
    <xf borderId="0" fillId="0" fontId="39" numFmtId="0" xfId="0" applyAlignment="1" applyFont="1">
      <alignment horizontal="left" readingOrder="0"/>
    </xf>
    <xf borderId="1" fillId="0" fontId="39" numFmtId="0" xfId="0" applyAlignment="1" applyBorder="1" applyFont="1">
      <alignment horizontal="center" readingOrder="0"/>
    </xf>
    <xf borderId="0" fillId="0" fontId="382" numFmtId="0" xfId="0" applyAlignment="1" applyFont="1">
      <alignment horizontal="left" readingOrder="0"/>
    </xf>
    <xf borderId="0" fillId="62" fontId="383" numFmtId="0" xfId="0" applyAlignment="1" applyFill="1" applyFont="1">
      <alignment horizontal="center" readingOrder="0"/>
    </xf>
    <xf borderId="1" fillId="62" fontId="383" numFmtId="0" xfId="0" applyAlignment="1" applyBorder="1" applyFont="1">
      <alignment horizontal="left" readingOrder="0"/>
    </xf>
    <xf borderId="1" fillId="62" fontId="383" numFmtId="0" xfId="0" applyAlignment="1" applyBorder="1" applyFont="1">
      <alignment horizontal="center" readingOrder="0"/>
    </xf>
    <xf borderId="0" fillId="62" fontId="383" numFmtId="0" xfId="0" applyAlignment="1" applyFont="1">
      <alignment horizontal="center" readingOrder="0"/>
    </xf>
    <xf borderId="0" fillId="0" fontId="384" numFmtId="0" xfId="0" applyAlignment="1" applyFont="1">
      <alignment horizontal="left" readingOrder="0"/>
    </xf>
    <xf borderId="0" fillId="0" fontId="385" numFmtId="0" xfId="0" applyAlignment="1" applyFont="1">
      <alignment horizontal="right" readingOrder="0"/>
    </xf>
    <xf borderId="1" fillId="0" fontId="31" numFmtId="0" xfId="0" applyAlignment="1" applyBorder="1" applyFont="1">
      <alignment horizontal="center" readingOrder="0"/>
    </xf>
    <xf borderId="1" fillId="3" fontId="381" numFmtId="0" xfId="0" applyAlignment="1" applyBorder="1" applyFont="1">
      <alignment horizontal="left" readingOrder="0"/>
    </xf>
    <xf borderId="1" fillId="0" fontId="161" numFmtId="0" xfId="0" applyAlignment="1" applyBorder="1" applyFont="1">
      <alignment horizontal="left" readingOrder="0"/>
    </xf>
    <xf borderId="1" fillId="3" fontId="386" numFmtId="0" xfId="0" applyAlignment="1" applyBorder="1" applyFont="1">
      <alignment horizontal="center"/>
    </xf>
    <xf borderId="1" fillId="3" fontId="161" numFmtId="0" xfId="0" applyAlignment="1" applyBorder="1" applyFont="1">
      <alignment readingOrder="0"/>
    </xf>
    <xf borderId="0" fillId="3" fontId="387" numFmtId="0" xfId="0" applyAlignment="1" applyFont="1">
      <alignment horizontal="left" readingOrder="0"/>
    </xf>
    <xf borderId="1" fillId="0" fontId="388" numFmtId="0" xfId="0" applyAlignment="1" applyBorder="1" applyFont="1">
      <alignment horizontal="center" readingOrder="0"/>
    </xf>
    <xf borderId="1" fillId="3" fontId="335" numFmtId="0" xfId="0" applyAlignment="1" applyBorder="1" applyFont="1">
      <alignment horizontal="center" readingOrder="0"/>
    </xf>
    <xf borderId="0" fillId="3" fontId="389" numFmtId="0" xfId="0" applyAlignment="1" applyFont="1">
      <alignment horizontal="right" readingOrder="0"/>
    </xf>
    <xf borderId="0" fillId="3" fontId="381" numFmtId="0" xfId="0" applyAlignment="1" applyFont="1">
      <alignment horizontal="left" readingOrder="0"/>
    </xf>
    <xf borderId="0" fillId="3" fontId="390" numFmtId="0" xfId="0" applyAlignment="1" applyFont="1">
      <alignment horizontal="center" readingOrder="0"/>
    </xf>
    <xf borderId="1" fillId="0" fontId="391" numFmtId="0" xfId="0" applyAlignment="1" applyBorder="1" applyFont="1">
      <alignment horizontal="left" readingOrder="0"/>
    </xf>
    <xf borderId="1" fillId="3" fontId="392" numFmtId="0" xfId="0" applyAlignment="1" applyBorder="1" applyFont="1">
      <alignment horizontal="left" readingOrder="0"/>
    </xf>
    <xf borderId="0" fillId="3" fontId="360" numFmtId="0" xfId="0" applyAlignment="1" applyFont="1">
      <alignment horizontal="left" readingOrder="0"/>
    </xf>
    <xf borderId="0" fillId="3" fontId="381" numFmtId="0" xfId="0" applyAlignment="1" applyFont="1">
      <alignment horizontal="center" readingOrder="0"/>
    </xf>
    <xf borderId="0" fillId="3" fontId="393" numFmtId="0" xfId="0" applyAlignment="1" applyFont="1">
      <alignment horizontal="left" readingOrder="0"/>
    </xf>
    <xf borderId="1" fillId="0" fontId="156" numFmtId="0" xfId="0" applyAlignment="1" applyBorder="1" applyFont="1">
      <alignment horizontal="left" readingOrder="0"/>
    </xf>
    <xf borderId="1" fillId="3" fontId="394" numFmtId="0" xfId="0" applyAlignment="1" applyBorder="1" applyFont="1">
      <alignment horizontal="center" readingOrder="0"/>
    </xf>
    <xf borderId="1" fillId="3" fontId="395" numFmtId="0" xfId="0" applyAlignment="1" applyBorder="1" applyFont="1">
      <alignment horizontal="center" readingOrder="0"/>
    </xf>
    <xf borderId="1" fillId="0" fontId="396" numFmtId="0" xfId="0" applyAlignment="1" applyBorder="1" applyFont="1">
      <alignment horizontal="center" readingOrder="0"/>
    </xf>
    <xf borderId="1" fillId="0" fontId="397" numFmtId="0" xfId="0" applyAlignment="1" applyBorder="1" applyFont="1">
      <alignment horizontal="center" readingOrder="0"/>
    </xf>
    <xf borderId="1" fillId="0" fontId="397" numFmtId="0" xfId="0" applyAlignment="1" applyBorder="1" applyFont="1">
      <alignment readingOrder="0"/>
    </xf>
    <xf borderId="1" fillId="0" fontId="398" numFmtId="0" xfId="0" applyAlignment="1" applyBorder="1" applyFont="1">
      <alignment horizontal="center" readingOrder="0"/>
    </xf>
    <xf borderId="1" fillId="0" fontId="399" numFmtId="0" xfId="0" applyAlignment="1" applyBorder="1" applyFont="1">
      <alignment horizontal="left" readingOrder="0"/>
    </xf>
    <xf borderId="1" fillId="3" fontId="129" numFmtId="0" xfId="0" applyAlignment="1" applyBorder="1" applyFont="1">
      <alignment horizontal="center" readingOrder="0"/>
    </xf>
    <xf borderId="1" fillId="0" fontId="400" numFmtId="0" xfId="0" applyAlignment="1" applyBorder="1" applyFont="1">
      <alignment readingOrder="0"/>
    </xf>
    <xf borderId="0" fillId="0" fontId="401" numFmtId="0" xfId="0" applyAlignment="1" applyFont="1">
      <alignment horizontal="center" readingOrder="0"/>
    </xf>
    <xf borderId="1" fillId="0" fontId="353" numFmtId="0" xfId="0" applyAlignment="1" applyBorder="1" applyFont="1">
      <alignment horizontal="left" readingOrder="0" shrinkToFit="0" vertical="center" wrapText="1"/>
    </xf>
    <xf borderId="1" fillId="0" fontId="402" numFmtId="0" xfId="0" applyAlignment="1" applyBorder="1" applyFont="1">
      <alignment horizontal="center" readingOrder="0"/>
    </xf>
    <xf borderId="1" fillId="0" fontId="403" numFmtId="0" xfId="0" applyAlignment="1" applyBorder="1" applyFont="1">
      <alignment horizontal="left" readingOrder="0"/>
    </xf>
    <xf borderId="1" fillId="0" fontId="403" numFmtId="0" xfId="0" applyAlignment="1" applyBorder="1" applyFont="1">
      <alignment horizontal="left" readingOrder="0"/>
    </xf>
    <xf borderId="0" fillId="0" fontId="403" numFmtId="0" xfId="0" applyAlignment="1" applyFont="1">
      <alignment horizontal="left" readingOrder="0"/>
    </xf>
    <xf borderId="0" fillId="0" fontId="379" numFmtId="0" xfId="0" applyAlignment="1" applyFont="1">
      <alignment horizontal="left" readingOrder="0"/>
    </xf>
    <xf borderId="0" fillId="3" fontId="404" numFmtId="0" xfId="0" applyAlignment="1" applyFont="1">
      <alignment horizontal="center" readingOrder="0"/>
    </xf>
    <xf borderId="1" fillId="0" fontId="405" numFmtId="0" xfId="0" applyAlignment="1" applyBorder="1" applyFont="1">
      <alignment horizontal="left" readingOrder="0"/>
    </xf>
    <xf borderId="0" fillId="3" fontId="341" numFmtId="0" xfId="0" applyAlignment="1" applyFont="1">
      <alignment horizontal="center" readingOrder="0"/>
    </xf>
    <xf borderId="1" fillId="3" fontId="406" numFmtId="0" xfId="0" applyAlignment="1" applyBorder="1" applyFont="1">
      <alignment horizontal="left" readingOrder="0"/>
    </xf>
    <xf borderId="1" fillId="3" fontId="406" numFmtId="0" xfId="0" applyAlignment="1" applyBorder="1" applyFont="1">
      <alignment horizontal="center" readingOrder="0"/>
    </xf>
    <xf borderId="1" fillId="3" fontId="407" numFmtId="0" xfId="0" applyAlignment="1" applyBorder="1" applyFont="1">
      <alignment horizontal="left" readingOrder="0"/>
    </xf>
    <xf borderId="1" fillId="0" fontId="159" numFmtId="0" xfId="0" applyAlignment="1" applyBorder="1" applyFont="1">
      <alignment readingOrder="0"/>
    </xf>
    <xf borderId="1" fillId="0" fontId="408" numFmtId="0" xfId="0" applyAlignment="1" applyBorder="1" applyFont="1">
      <alignment horizontal="center" readingOrder="0"/>
    </xf>
    <xf borderId="1" fillId="3" fontId="409" numFmtId="0" xfId="0" applyAlignment="1" applyBorder="1" applyFont="1">
      <alignment horizontal="left" readingOrder="0"/>
    </xf>
    <xf borderId="0" fillId="3" fontId="409" numFmtId="0" xfId="0" applyAlignment="1" applyFont="1">
      <alignment horizontal="left" readingOrder="0"/>
    </xf>
    <xf borderId="1" fillId="3" fontId="39" numFmtId="0" xfId="0" applyAlignment="1" applyBorder="1" applyFont="1">
      <alignment horizontal="center" readingOrder="0"/>
    </xf>
    <xf borderId="1" fillId="3" fontId="39" numFmtId="0" xfId="0" applyAlignment="1" applyBorder="1" applyFont="1">
      <alignment horizontal="left" readingOrder="0"/>
    </xf>
    <xf borderId="1" fillId="0" fontId="158" numFmtId="0" xfId="0" applyAlignment="1" applyBorder="1" applyFont="1">
      <alignment horizontal="center" readingOrder="0"/>
    </xf>
    <xf borderId="1" fillId="0" fontId="158" numFmtId="0" xfId="0" applyAlignment="1" applyBorder="1" applyFont="1">
      <alignment horizontal="left" readingOrder="0"/>
    </xf>
    <xf borderId="1" fillId="3" fontId="341" numFmtId="0" xfId="0" applyAlignment="1" applyBorder="1" applyFont="1">
      <alignment horizontal="left" readingOrder="0"/>
    </xf>
    <xf borderId="1" fillId="0" fontId="410" numFmtId="0" xfId="0" applyAlignment="1" applyBorder="1" applyFont="1">
      <alignment horizontal="center"/>
    </xf>
    <xf borderId="1" fillId="0" fontId="411" numFmtId="0" xfId="0" applyAlignment="1" applyBorder="1" applyFont="1">
      <alignment horizontal="left" readingOrder="0"/>
    </xf>
    <xf borderId="1" fillId="3" fontId="412" numFmtId="0" xfId="0" applyAlignment="1" applyBorder="1" applyFont="1">
      <alignment horizontal="left" readingOrder="0"/>
    </xf>
    <xf borderId="1" fillId="0" fontId="413" numFmtId="0" xfId="0" applyAlignment="1" applyBorder="1" applyFont="1">
      <alignment horizontal="center" readingOrder="0"/>
    </xf>
    <xf borderId="1" fillId="0" fontId="414" numFmtId="0" xfId="0" applyAlignment="1" applyBorder="1" applyFont="1">
      <alignment horizontal="left" readingOrder="0"/>
    </xf>
    <xf borderId="1" fillId="3" fontId="415" numFmtId="0" xfId="0" applyAlignment="1" applyBorder="1" applyFont="1">
      <alignment readingOrder="0"/>
    </xf>
    <xf borderId="1" fillId="0" fontId="416" numFmtId="0" xfId="0" applyAlignment="1" applyBorder="1" applyFont="1">
      <alignment horizontal="center" readingOrder="0"/>
    </xf>
    <xf borderId="1" fillId="0" fontId="416" numFmtId="0" xfId="0" applyAlignment="1" applyBorder="1" applyFont="1">
      <alignment horizontal="left" readingOrder="0"/>
    </xf>
    <xf borderId="1" fillId="0" fontId="417" numFmtId="0" xfId="0" applyAlignment="1" applyBorder="1" applyFont="1">
      <alignment readingOrder="0"/>
    </xf>
    <xf borderId="0" fillId="0" fontId="418" numFmtId="0" xfId="0" applyAlignment="1" applyFont="1">
      <alignment horizontal="center" readingOrder="0"/>
    </xf>
    <xf borderId="1" fillId="0" fontId="419" numFmtId="0" xfId="0" applyAlignment="1" applyBorder="1" applyFont="1">
      <alignment readingOrder="0"/>
    </xf>
    <xf borderId="1" fillId="3" fontId="144" numFmtId="0" xfId="0" applyAlignment="1" applyBorder="1" applyFont="1">
      <alignment horizontal="center" readingOrder="0"/>
    </xf>
    <xf borderId="1" fillId="3" fontId="144" numFmtId="0" xfId="0" applyAlignment="1" applyBorder="1" applyFont="1">
      <alignment horizontal="left" readingOrder="0"/>
    </xf>
    <xf borderId="1" fillId="3" fontId="420" numFmtId="0" xfId="0" applyAlignment="1" applyBorder="1" applyFont="1">
      <alignment horizontal="left" readingOrder="0" shrinkToFit="0" wrapText="1"/>
    </xf>
    <xf borderId="1" fillId="0" fontId="413" numFmtId="0" xfId="0" applyAlignment="1" applyBorder="1" applyFont="1">
      <alignment horizontal="left" readingOrder="0"/>
    </xf>
    <xf borderId="1" fillId="3" fontId="343" numFmtId="0" xfId="0" applyAlignment="1" applyBorder="1" applyFont="1">
      <alignment horizontal="center" readingOrder="0"/>
    </xf>
    <xf borderId="1" fillId="3" fontId="378" numFmtId="0" xfId="0" applyAlignment="1" applyBorder="1" applyFont="1">
      <alignment readingOrder="0"/>
    </xf>
    <xf borderId="0" fillId="3" fontId="39" numFmtId="0" xfId="0" applyAlignment="1" applyFont="1">
      <alignment horizontal="left" readingOrder="0"/>
    </xf>
    <xf borderId="1" fillId="0" fontId="421" numFmtId="0" xfId="0" applyAlignment="1" applyBorder="1" applyFont="1">
      <alignment horizontal="left" readingOrder="0"/>
    </xf>
    <xf borderId="1" fillId="3" fontId="39" numFmtId="0" xfId="0" applyAlignment="1" applyBorder="1" applyFont="1">
      <alignment readingOrder="0"/>
    </xf>
    <xf borderId="1" fillId="0" fontId="159" numFmtId="0" xfId="0" applyAlignment="1" applyBorder="1" applyFont="1">
      <alignment horizontal="center" readingOrder="0"/>
    </xf>
    <xf borderId="1" fillId="3" fontId="422" numFmtId="0" xfId="0" applyAlignment="1" applyBorder="1" applyFont="1">
      <alignment readingOrder="0"/>
    </xf>
    <xf borderId="0" fillId="0" fontId="18" numFmtId="0" xfId="0" applyAlignment="1" applyFont="1">
      <alignment horizontal="center" readingOrder="0"/>
    </xf>
    <xf borderId="0" fillId="3" fontId="423" numFmtId="0" xfId="0" applyAlignment="1" applyFont="1">
      <alignment horizontal="left" readingOrder="0"/>
    </xf>
    <xf borderId="1" fillId="3" fontId="424" numFmtId="0" xfId="0" applyAlignment="1" applyBorder="1" applyFont="1">
      <alignment horizontal="center" readingOrder="0"/>
    </xf>
    <xf borderId="1" fillId="3" fontId="424" numFmtId="0" xfId="0" applyAlignment="1" applyBorder="1" applyFont="1">
      <alignment horizontal="left" readingOrder="0"/>
    </xf>
    <xf borderId="1" fillId="0" fontId="425" numFmtId="0" xfId="0" applyAlignment="1" applyBorder="1" applyFont="1">
      <alignment horizontal="center" readingOrder="0"/>
    </xf>
    <xf borderId="1" fillId="0" fontId="425" numFmtId="0" xfId="0" applyAlignment="1" applyBorder="1" applyFont="1">
      <alignment readingOrder="0"/>
    </xf>
    <xf borderId="1" fillId="0" fontId="362" numFmtId="0" xfId="0" applyAlignment="1" applyBorder="1" applyFont="1">
      <alignment horizontal="left" readingOrder="0"/>
    </xf>
    <xf borderId="1" fillId="0" fontId="159" numFmtId="0" xfId="0" applyAlignment="1" applyBorder="1" applyFont="1">
      <alignment horizontal="center" readingOrder="0"/>
    </xf>
    <xf borderId="1" fillId="0" fontId="426" numFmtId="0" xfId="0" applyAlignment="1" applyBorder="1" applyFont="1">
      <alignment horizontal="left" readingOrder="0"/>
    </xf>
    <xf borderId="1" fillId="3" fontId="427" numFmtId="0" xfId="0" applyAlignment="1" applyBorder="1" applyFont="1">
      <alignment readingOrder="0"/>
    </xf>
    <xf borderId="1" fillId="0" fontId="428" numFmtId="0" xfId="0" applyAlignment="1" applyBorder="1" applyFont="1">
      <alignment horizontal="left" readingOrder="0" shrinkToFit="0" wrapText="0"/>
    </xf>
    <xf borderId="1" fillId="0" fontId="358" numFmtId="0" xfId="0" applyAlignment="1" applyBorder="1" applyFont="1">
      <alignment readingOrder="0"/>
    </xf>
    <xf borderId="0" fillId="0" fontId="150" numFmtId="0" xfId="0" applyAlignment="1" applyFont="1">
      <alignment horizontal="center" readingOrder="0"/>
    </xf>
    <xf borderId="0" fillId="3" fontId="429" numFmtId="0" xfId="0" applyAlignment="1" applyFont="1">
      <alignment horizontal="left" readingOrder="0"/>
    </xf>
    <xf borderId="1" fillId="3" fontId="430" numFmtId="0" xfId="0" applyAlignment="1" applyBorder="1" applyFont="1">
      <alignment horizontal="center" readingOrder="0"/>
    </xf>
    <xf borderId="1" fillId="0" fontId="431" numFmtId="0" xfId="0" applyAlignment="1" applyBorder="1" applyFont="1">
      <alignment readingOrder="0"/>
    </xf>
    <xf borderId="1" fillId="3" fontId="369" numFmtId="0" xfId="0" applyAlignment="1" applyBorder="1" applyFont="1">
      <alignment horizontal="left" readingOrder="0"/>
    </xf>
    <xf borderId="0" fillId="3" fontId="360" numFmtId="0" xfId="0" applyAlignment="1" applyFont="1">
      <alignment horizontal="center" readingOrder="0"/>
    </xf>
    <xf borderId="1" fillId="0" fontId="401" numFmtId="0" xfId="0" applyAlignment="1" applyBorder="1" applyFont="1">
      <alignment horizontal="left" readingOrder="0"/>
    </xf>
    <xf borderId="1" fillId="0" fontId="432" numFmtId="0" xfId="0" applyAlignment="1" applyBorder="1" applyFont="1">
      <alignment horizontal="center" readingOrder="0" vertical="top"/>
    </xf>
    <xf borderId="1" fillId="0" fontId="433" numFmtId="0" xfId="0" applyAlignment="1" applyBorder="1" applyFont="1">
      <alignment horizontal="left" readingOrder="0" vertical="top"/>
    </xf>
    <xf borderId="1" fillId="3" fontId="434" numFmtId="0" xfId="0" applyAlignment="1" applyBorder="1" applyFont="1">
      <alignment horizontal="left" readingOrder="0"/>
    </xf>
    <xf borderId="1" fillId="63" fontId="39" numFmtId="0" xfId="0" applyAlignment="1" applyBorder="1" applyFill="1" applyFont="1">
      <alignment horizontal="center" readingOrder="0"/>
    </xf>
    <xf borderId="1" fillId="63" fontId="435" numFmtId="0" xfId="0" applyAlignment="1" applyBorder="1" applyFont="1">
      <alignment horizontal="left" readingOrder="0"/>
    </xf>
    <xf borderId="1" fillId="3" fontId="436" numFmtId="0" xfId="0" applyAlignment="1" applyBorder="1" applyFont="1">
      <alignment readingOrder="0" shrinkToFit="0" wrapText="0"/>
    </xf>
    <xf borderId="1" fillId="0" fontId="437" numFmtId="0" xfId="0" applyAlignment="1" applyBorder="1" applyFont="1">
      <alignment horizontal="center" readingOrder="0"/>
    </xf>
    <xf borderId="1" fillId="0" fontId="401" numFmtId="0" xfId="0" applyAlignment="1" applyBorder="1" applyFont="1">
      <alignment readingOrder="0"/>
    </xf>
    <xf borderId="1" fillId="3" fontId="438" numFmtId="0" xfId="0" applyAlignment="1" applyBorder="1" applyFont="1">
      <alignment readingOrder="0" shrinkToFit="0" wrapText="0"/>
    </xf>
    <xf borderId="0" fillId="0" fontId="439" numFmtId="0" xfId="0" applyAlignment="1" applyFont="1">
      <alignment horizontal="left" readingOrder="0"/>
    </xf>
    <xf borderId="0" fillId="3" fontId="440" numFmtId="0" xfId="0" applyAlignment="1" applyFont="1">
      <alignment readingOrder="0"/>
    </xf>
    <xf borderId="1" fillId="3" fontId="441" numFmtId="0" xfId="0" applyAlignment="1" applyBorder="1" applyFont="1">
      <alignment readingOrder="0"/>
    </xf>
    <xf borderId="1" fillId="3" fontId="442" numFmtId="0" xfId="0" applyAlignment="1" applyBorder="1" applyFont="1">
      <alignment readingOrder="0"/>
    </xf>
    <xf borderId="1" fillId="0" fontId="443" numFmtId="0" xfId="0" applyAlignment="1" applyBorder="1" applyFont="1">
      <alignment horizontal="left" readingOrder="0"/>
    </xf>
    <xf borderId="1" fillId="3" fontId="444" numFmtId="0" xfId="0" applyAlignment="1" applyBorder="1" applyFont="1">
      <alignment horizontal="left" readingOrder="0"/>
    </xf>
    <xf borderId="0" fillId="0" fontId="445" numFmtId="0" xfId="0" applyAlignment="1" applyFont="1">
      <alignment horizontal="left" readingOrder="0"/>
    </xf>
    <xf borderId="1" fillId="0" fontId="446" numFmtId="0" xfId="0" applyAlignment="1" applyBorder="1" applyFont="1">
      <alignment readingOrder="0"/>
    </xf>
    <xf borderId="0" fillId="0" fontId="447" numFmtId="0" xfId="0" applyAlignment="1" applyFont="1">
      <alignment readingOrder="0"/>
    </xf>
    <xf borderId="1" fillId="0" fontId="39" numFmtId="0" xfId="0" applyAlignment="1" applyBorder="1" applyFont="1">
      <alignment horizontal="left" readingOrder="0"/>
    </xf>
    <xf borderId="1" fillId="0" fontId="448" numFmtId="0" xfId="0" applyAlignment="1" applyBorder="1" applyFont="1">
      <alignment horizontal="center" readingOrder="0"/>
    </xf>
    <xf borderId="1" fillId="0" fontId="449" numFmtId="0" xfId="0" applyAlignment="1" applyBorder="1" applyFont="1">
      <alignment horizontal="left" readingOrder="0"/>
    </xf>
    <xf borderId="1" fillId="3" fontId="161" numFmtId="0" xfId="0" applyAlignment="1" applyBorder="1" applyFont="1">
      <alignment readingOrder="0"/>
    </xf>
    <xf borderId="1" fillId="3" fontId="450" numFmtId="0" xfId="0" applyAlignment="1" applyBorder="1" applyFont="1">
      <alignment readingOrder="0"/>
    </xf>
    <xf borderId="1" fillId="0" fontId="362" numFmtId="0" xfId="0" applyAlignment="1" applyBorder="1" applyFont="1">
      <alignment horizontal="center" readingOrder="0"/>
    </xf>
    <xf borderId="1" fillId="0" fontId="362" numFmtId="0" xfId="0" applyAlignment="1" applyBorder="1" applyFont="1">
      <alignment readingOrder="0"/>
    </xf>
    <xf borderId="0" fillId="3" fontId="451" numFmtId="0" xfId="0" applyAlignment="1" applyFont="1">
      <alignment readingOrder="0"/>
    </xf>
    <xf borderId="1" fillId="0" fontId="353" numFmtId="0" xfId="0" applyAlignment="1" applyBorder="1" applyFont="1">
      <alignment horizontal="left" readingOrder="0" vertical="center"/>
    </xf>
    <xf borderId="0" fillId="0" fontId="452" numFmtId="0" xfId="0" applyAlignment="1" applyFont="1">
      <alignment horizontal="left" readingOrder="0"/>
    </xf>
    <xf borderId="1" fillId="0" fontId="159" numFmtId="0" xfId="0" applyAlignment="1" applyBorder="1" applyFont="1">
      <alignment horizontal="center" readingOrder="0"/>
    </xf>
    <xf borderId="1" fillId="0" fontId="453" numFmtId="0" xfId="0" applyAlignment="1" applyBorder="1" applyFont="1">
      <alignment horizontal="left" readingOrder="0"/>
    </xf>
    <xf borderId="1" fillId="3" fontId="454" numFmtId="0" xfId="0" applyAlignment="1" applyBorder="1" applyFont="1">
      <alignment horizontal="center" readingOrder="0"/>
    </xf>
    <xf borderId="1" fillId="3" fontId="454" numFmtId="0" xfId="0" applyAlignment="1" applyBorder="1" applyFont="1">
      <alignment readingOrder="0"/>
    </xf>
    <xf borderId="1" fillId="0" fontId="335" numFmtId="0" xfId="0" applyAlignment="1" applyBorder="1" applyFont="1">
      <alignment horizontal="left" readingOrder="0"/>
    </xf>
    <xf borderId="1" fillId="0" fontId="455" numFmtId="0" xfId="0" applyAlignment="1" applyBorder="1" applyFont="1">
      <alignment readingOrder="0"/>
    </xf>
    <xf borderId="1" fillId="3" fontId="456" numFmtId="0" xfId="0" applyAlignment="1" applyBorder="1" applyFont="1">
      <alignment readingOrder="0"/>
    </xf>
    <xf borderId="1" fillId="0" fontId="457" numFmtId="0" xfId="0" applyAlignment="1" applyBorder="1" applyFont="1">
      <alignment horizontal="center" readingOrder="0"/>
    </xf>
    <xf borderId="1" fillId="0" fontId="457" numFmtId="0" xfId="0" applyAlignment="1" applyBorder="1" applyFont="1">
      <alignment horizontal="left" readingOrder="0"/>
    </xf>
    <xf borderId="1" fillId="0" fontId="458" numFmtId="0" xfId="0" applyAlignment="1" applyBorder="1" applyFont="1">
      <alignment horizontal="left" readingOrder="0"/>
    </xf>
    <xf borderId="1" fillId="3" fontId="459" numFmtId="0" xfId="0" applyAlignment="1" applyBorder="1" applyFont="1">
      <alignment horizontal="left" readingOrder="0"/>
    </xf>
    <xf borderId="1" fillId="0" fontId="457" numFmtId="0" xfId="0" applyAlignment="1" applyBorder="1" applyFont="1">
      <alignment readingOrder="0"/>
    </xf>
    <xf borderId="1" fillId="3" fontId="460" numFmtId="0" xfId="0" applyAlignment="1" applyBorder="1" applyFont="1">
      <alignment horizontal="left" readingOrder="0" shrinkToFit="0" wrapText="0"/>
    </xf>
    <xf borderId="1" fillId="3" fontId="461" numFmtId="0" xfId="0" applyAlignment="1" applyBorder="1" applyFont="1">
      <alignment horizontal="left" readingOrder="0" shrinkToFit="0" wrapText="0"/>
    </xf>
    <xf borderId="1" fillId="0" fontId="388" numFmtId="0" xfId="0" applyAlignment="1" applyBorder="1" applyFont="1">
      <alignment horizontal="center" readingOrder="0"/>
    </xf>
    <xf borderId="1" fillId="0" fontId="388" numFmtId="0" xfId="0" applyAlignment="1" applyBorder="1" applyFont="1">
      <alignment readingOrder="0"/>
    </xf>
    <xf borderId="1" fillId="0" fontId="362" numFmtId="0" xfId="0" applyAlignment="1" applyBorder="1" applyFont="1">
      <alignment horizontal="left" readingOrder="0" shrinkToFit="0" vertical="center" wrapText="1"/>
    </xf>
    <xf borderId="0" fillId="0" fontId="413" numFmtId="0" xfId="0" applyAlignment="1" applyFont="1">
      <alignment horizontal="left" readingOrder="0"/>
    </xf>
    <xf borderId="0" fillId="3" fontId="462" numFmtId="0" xfId="0" applyAlignment="1" applyFont="1">
      <alignment horizontal="left" readingOrder="0"/>
    </xf>
    <xf borderId="0" fillId="0" fontId="39" numFmtId="0" xfId="0" applyAlignment="1" applyFont="1">
      <alignment horizontal="center" readingOrder="0"/>
    </xf>
    <xf borderId="1" fillId="3" fontId="369" numFmtId="0" xfId="0" applyAlignment="1" applyBorder="1" applyFont="1">
      <alignment horizontal="left" readingOrder="0"/>
    </xf>
    <xf borderId="0" fillId="0" fontId="369" numFmtId="0" xfId="0" applyAlignment="1" applyFont="1">
      <alignment horizontal="center" readingOrder="0"/>
    </xf>
    <xf borderId="1" fillId="3" fontId="463" numFmtId="0" xfId="0" applyAlignment="1" applyBorder="1" applyFont="1">
      <alignment horizontal="left" readingOrder="0"/>
    </xf>
    <xf borderId="1" fillId="0" fontId="159" numFmtId="0" xfId="0" applyAlignment="1" applyBorder="1" applyFont="1">
      <alignment horizontal="left" readingOrder="0"/>
    </xf>
    <xf borderId="1" fillId="3" fontId="464" numFmtId="0" xfId="0" applyAlignment="1" applyBorder="1" applyFont="1">
      <alignment readingOrder="0"/>
    </xf>
    <xf borderId="0" fillId="3" fontId="465" numFmtId="0" xfId="0" applyAlignment="1" applyFont="1">
      <alignment horizontal="center" readingOrder="0"/>
    </xf>
    <xf borderId="0" fillId="3" fontId="466" numFmtId="0" xfId="0" applyAlignment="1" applyFont="1">
      <alignment horizontal="left" readingOrder="0"/>
    </xf>
    <xf borderId="0" fillId="0" fontId="467" numFmtId="0" xfId="0" applyAlignment="1" applyFont="1">
      <alignment horizontal="center" readingOrder="0"/>
    </xf>
    <xf borderId="1" fillId="0" fontId="468" numFmtId="0" xfId="0" applyAlignment="1" applyBorder="1" applyFont="1">
      <alignment horizontal="left" readingOrder="0"/>
    </xf>
    <xf borderId="1" fillId="0" fontId="158" numFmtId="0" xfId="0" applyAlignment="1" applyBorder="1" applyFont="1">
      <alignment readingOrder="0"/>
    </xf>
    <xf borderId="0" fillId="3" fontId="469" numFmtId="0" xfId="0" applyAlignment="1" applyFont="1">
      <alignment horizontal="left" readingOrder="0"/>
    </xf>
    <xf borderId="1" fillId="3" fontId="470" numFmtId="0" xfId="0" applyAlignment="1" applyBorder="1" applyFont="1">
      <alignment horizontal="left" readingOrder="0"/>
    </xf>
    <xf borderId="0" fillId="0" fontId="39" numFmtId="0" xfId="0" applyAlignment="1" applyFont="1">
      <alignment horizontal="left" readingOrder="0"/>
    </xf>
    <xf borderId="1" fillId="3" fontId="471" numFmtId="0" xfId="0" applyAlignment="1" applyBorder="1" applyFont="1">
      <alignment horizontal="left" readingOrder="0"/>
    </xf>
    <xf borderId="0" fillId="0" fontId="39" numFmtId="0" xfId="0" applyAlignment="1" applyFont="1">
      <alignment horizontal="center" readingOrder="0"/>
    </xf>
    <xf borderId="1" fillId="0" fontId="472" numFmtId="0" xfId="0" applyAlignment="1" applyBorder="1" applyFont="1">
      <alignment horizontal="left" readingOrder="0"/>
    </xf>
    <xf borderId="0" fillId="3" fontId="473" numFmtId="0" xfId="0" applyAlignment="1" applyFont="1">
      <alignment horizontal="left" readingOrder="0"/>
    </xf>
    <xf borderId="1" fillId="3" fontId="474" numFmtId="0" xfId="0" applyAlignment="1" applyBorder="1" applyFont="1">
      <alignment horizontal="center" readingOrder="0"/>
    </xf>
    <xf borderId="1" fillId="3" fontId="475" numFmtId="0" xfId="0" applyAlignment="1" applyBorder="1" applyFont="1">
      <alignment horizontal="left" readingOrder="0"/>
    </xf>
    <xf borderId="0" fillId="0" fontId="476" numFmtId="0" xfId="0" applyAlignment="1" applyFont="1">
      <alignment readingOrder="0"/>
    </xf>
    <xf borderId="0" fillId="0" fontId="413" numFmtId="0" xfId="0" applyAlignment="1" applyFont="1">
      <alignment horizontal="left" readingOrder="0"/>
    </xf>
    <xf borderId="1" fillId="3" fontId="343" numFmtId="0" xfId="0" applyAlignment="1" applyBorder="1" applyFont="1">
      <alignment readingOrder="0"/>
    </xf>
    <xf borderId="1" fillId="3" fontId="477" numFmtId="0" xfId="0" applyAlignment="1" applyBorder="1" applyFont="1">
      <alignment horizontal="left" readingOrder="0"/>
    </xf>
    <xf borderId="1" fillId="0" fontId="369" numFmtId="0" xfId="0" applyAlignment="1" applyBorder="1" applyFont="1">
      <alignment horizontal="left" readingOrder="0"/>
    </xf>
    <xf borderId="1" fillId="0" fontId="370" numFmtId="0" xfId="0" applyAlignment="1" applyBorder="1" applyFont="1">
      <alignment horizontal="left" readingOrder="0" shrinkToFit="0" wrapText="0"/>
    </xf>
    <xf borderId="1" fillId="0" fontId="362" numFmtId="0" xfId="0" applyAlignment="1" applyBorder="1" applyFont="1">
      <alignment horizontal="center" readingOrder="0" shrinkToFit="0" vertical="center" wrapText="1"/>
    </xf>
    <xf borderId="1" fillId="64" fontId="374" numFmtId="0" xfId="0" applyAlignment="1" applyBorder="1" applyFill="1" applyFont="1">
      <alignment horizontal="left" readingOrder="0"/>
    </xf>
    <xf borderId="1" fillId="3" fontId="478" numFmtId="0" xfId="0" applyAlignment="1" applyBorder="1" applyFont="1">
      <alignment horizontal="center" readingOrder="0"/>
    </xf>
    <xf borderId="0" fillId="0" fontId="159" numFmtId="0" xfId="0" applyAlignment="1" applyFont="1">
      <alignment horizontal="left" readingOrder="0"/>
    </xf>
    <xf borderId="1" fillId="0" fontId="479" numFmtId="0" xfId="0" applyAlignment="1" applyBorder="1" applyFont="1">
      <alignment horizontal="left" readingOrder="0" shrinkToFit="0" wrapText="1"/>
    </xf>
    <xf borderId="1" fillId="0" fontId="480" numFmtId="0" xfId="0" applyAlignment="1" applyBorder="1" applyFont="1">
      <alignment horizontal="left" readingOrder="0" shrinkToFit="0" wrapText="1"/>
    </xf>
    <xf borderId="1" fillId="0" fontId="335" numFmtId="0" xfId="0" applyAlignment="1" applyBorder="1" applyFont="1">
      <alignment horizontal="center"/>
    </xf>
    <xf borderId="3" fillId="0" fontId="31" numFmtId="0" xfId="0" applyAlignment="1" applyBorder="1" applyFont="1">
      <alignment horizontal="center"/>
    </xf>
    <xf borderId="3" fillId="0" fontId="335" numFmtId="0" xfId="0" applyAlignment="1" applyBorder="1" applyFont="1">
      <alignment horizontal="center" shrinkToFit="0" wrapText="1"/>
    </xf>
    <xf borderId="3" fillId="0" fontId="31" numFmtId="0" xfId="0" applyBorder="1" applyFont="1"/>
    <xf borderId="3" fillId="0" fontId="481" numFmtId="0" xfId="0" applyBorder="1" applyFont="1"/>
    <xf borderId="8" fillId="0" fontId="335" numFmtId="0" xfId="0" applyAlignment="1" applyBorder="1" applyFont="1">
      <alignment horizontal="center"/>
    </xf>
    <xf borderId="9" fillId="0" fontId="31" numFmtId="0" xfId="0" applyAlignment="1" applyBorder="1" applyFont="1">
      <alignment horizontal="center"/>
    </xf>
    <xf borderId="9" fillId="0" fontId="335" numFmtId="0" xfId="0" applyAlignment="1" applyBorder="1" applyFont="1">
      <alignment horizontal="center" shrinkToFit="0" wrapText="1"/>
    </xf>
    <xf borderId="9" fillId="0" fontId="31" numFmtId="0" xfId="0" applyBorder="1" applyFont="1"/>
    <xf borderId="1" fillId="0" fontId="335" numFmtId="0" xfId="0" applyAlignment="1" applyBorder="1" applyFont="1">
      <alignment horizontal="center" readingOrder="0" shrinkToFit="0" vertical="center" wrapText="1"/>
    </xf>
    <xf borderId="1" fillId="0" fontId="482" numFmtId="0" xfId="0" applyAlignment="1" applyBorder="1" applyFont="1">
      <alignment horizontal="left" readingOrder="0" shrinkToFit="0" vertical="center" wrapText="1"/>
    </xf>
    <xf borderId="1" fillId="0" fontId="335" numFmtId="0" xfId="0" applyAlignment="1" applyBorder="1" applyFont="1">
      <alignment horizontal="center" readingOrder="0" vertical="center"/>
    </xf>
    <xf borderId="1" fillId="0" fontId="483" numFmtId="0" xfId="0" applyAlignment="1" applyBorder="1" applyFont="1">
      <alignment horizontal="center" readingOrder="0" shrinkToFit="0" vertical="center" wrapText="1"/>
    </xf>
    <xf borderId="1" fillId="0" fontId="335" numFmtId="164" xfId="0" applyAlignment="1" applyBorder="1" applyFont="1" applyNumberFormat="1">
      <alignment horizontal="center" readingOrder="0" vertical="center"/>
    </xf>
    <xf borderId="1" fillId="21" fontId="335" numFmtId="0" xfId="0" applyAlignment="1" applyBorder="1" applyFont="1">
      <alignment horizontal="center" readingOrder="0" vertical="center"/>
    </xf>
    <xf borderId="3" fillId="0" fontId="335" numFmtId="0" xfId="0" applyAlignment="1" applyBorder="1" applyFont="1">
      <alignment horizontal="left"/>
    </xf>
    <xf borderId="3" fillId="0" fontId="335" numFmtId="0" xfId="0" applyAlignment="1" applyBorder="1" applyFont="1">
      <alignment horizontal="center"/>
    </xf>
    <xf borderId="3" fillId="0" fontId="335" numFmtId="0" xfId="0" applyBorder="1" applyFont="1"/>
    <xf borderId="9" fillId="3" fontId="484" numFmtId="0" xfId="0" applyAlignment="1" applyBorder="1" applyFont="1">
      <alignment horizontal="left" vertical="bottom"/>
    </xf>
    <xf borderId="9" fillId="0" fontId="140" numFmtId="0" xfId="0" applyAlignment="1" applyBorder="1" applyFont="1">
      <alignment horizontal="center"/>
    </xf>
    <xf borderId="9" fillId="0" fontId="335" numFmtId="0" xfId="0" applyAlignment="1" applyBorder="1" applyFont="1">
      <alignment horizontal="center"/>
    </xf>
    <xf borderId="9" fillId="0" fontId="335" numFmtId="0" xfId="0" applyBorder="1" applyFont="1"/>
    <xf borderId="9" fillId="3" fontId="349" numFmtId="0" xfId="0" applyAlignment="1" applyBorder="1" applyFont="1">
      <alignment horizontal="left" vertical="bottom"/>
    </xf>
    <xf borderId="9" fillId="0" fontId="335" numFmtId="0" xfId="0" applyAlignment="1" applyBorder="1" applyFont="1">
      <alignment horizontal="left"/>
    </xf>
    <xf borderId="1" fillId="0" fontId="485" numFmtId="0" xfId="0" applyAlignment="1" applyBorder="1" applyFont="1">
      <alignment horizontal="center" readingOrder="0"/>
    </xf>
    <xf borderId="1" fillId="0" fontId="486" numFmtId="0" xfId="0" applyAlignment="1" applyBorder="1" applyFont="1">
      <alignment readingOrder="0"/>
    </xf>
    <xf borderId="1" fillId="0" fontId="358" numFmtId="0" xfId="0" applyAlignment="1" applyBorder="1" applyFont="1">
      <alignment horizontal="center" readingOrder="0"/>
    </xf>
    <xf borderId="1" fillId="0" fontId="487" numFmtId="0" xfId="0" applyAlignment="1" applyBorder="1" applyFont="1">
      <alignment horizontal="left" readingOrder="0" vertical="center"/>
    </xf>
    <xf borderId="0" fillId="3" fontId="488" numFmtId="0" xfId="0" applyAlignment="1" applyFont="1">
      <alignment readingOrder="0"/>
    </xf>
    <xf borderId="1" fillId="3" fontId="489" numFmtId="0" xfId="0" applyAlignment="1" applyBorder="1" applyFont="1">
      <alignment horizontal="left" readingOrder="0"/>
    </xf>
    <xf borderId="1" fillId="0" fontId="489" numFmtId="0" xfId="0" applyAlignment="1" applyBorder="1" applyFont="1">
      <alignment horizontal="center" readingOrder="0"/>
    </xf>
    <xf borderId="1" fillId="0" fontId="489" numFmtId="0" xfId="0" applyAlignment="1" applyBorder="1" applyFont="1">
      <alignment readingOrder="0"/>
    </xf>
    <xf borderId="1" fillId="0" fontId="7" numFmtId="0" xfId="0" applyAlignment="1" applyBorder="1" applyFont="1">
      <alignment horizontal="center" readingOrder="0" shrinkToFit="0" vertical="bottom" wrapText="0"/>
    </xf>
    <xf borderId="1" fillId="34" fontId="49" numFmtId="0" xfId="0" applyAlignment="1" applyBorder="1" applyFont="1">
      <alignment horizontal="center" readingOrder="0" shrinkToFit="0" vertical="bottom" wrapText="0"/>
    </xf>
    <xf borderId="1" fillId="34" fontId="49" numFmtId="1" xfId="0" applyAlignment="1" applyBorder="1" applyFont="1" applyNumberFormat="1">
      <alignment horizontal="center" readingOrder="0" shrinkToFit="0" vertical="bottom" wrapText="0"/>
    </xf>
    <xf borderId="1" fillId="3" fontId="337" numFmtId="1" xfId="0" applyAlignment="1" applyBorder="1" applyFont="1" applyNumberFormat="1">
      <alignment horizontal="left" readingOrder="0"/>
    </xf>
    <xf borderId="1" fillId="0" fontId="490" numFmtId="0" xfId="0" applyAlignment="1" applyBorder="1" applyFont="1">
      <alignment horizontal="left" readingOrder="0" shrinkToFit="0" vertical="bottom" wrapText="0"/>
    </xf>
    <xf borderId="1" fillId="0" fontId="491" numFmtId="0" xfId="0" applyAlignment="1" applyBorder="1" applyFont="1">
      <alignment horizontal="left" readingOrder="0"/>
    </xf>
    <xf borderId="1" fillId="3" fontId="341" numFmtId="0" xfId="0" applyAlignment="1" applyBorder="1" applyFont="1">
      <alignment horizontal="left" readingOrder="0"/>
    </xf>
    <xf borderId="1" fillId="0" fontId="492" numFmtId="0" xfId="0" applyAlignment="1" applyBorder="1" applyFont="1">
      <alignment horizontal="left" readingOrder="0"/>
    </xf>
    <xf borderId="1" fillId="0" fontId="490" numFmtId="0" xfId="0" applyAlignment="1" applyBorder="1" applyFont="1">
      <alignment horizontal="left" readingOrder="0" shrinkToFit="0" vertical="bottom" wrapText="0"/>
    </xf>
    <xf borderId="1" fillId="0" fontId="343" numFmtId="0" xfId="0" applyAlignment="1" applyBorder="1" applyFont="1">
      <alignment readingOrder="0"/>
    </xf>
    <xf borderId="1" fillId="0" fontId="493" numFmtId="0" xfId="0" applyAlignment="1" applyBorder="1" applyFont="1">
      <alignment horizontal="left" readingOrder="0"/>
    </xf>
    <xf borderId="1" fillId="0" fontId="49" numFmtId="0" xfId="0" applyAlignment="1" applyBorder="1" applyFont="1">
      <alignment horizontal="left" shrinkToFit="0" vertical="bottom" wrapText="0"/>
    </xf>
    <xf borderId="9" fillId="3" fontId="42" numFmtId="0" xfId="0" applyAlignment="1" applyBorder="1" applyFont="1">
      <alignment horizontal="right" readingOrder="0" shrinkToFit="0" vertical="bottom" wrapText="0"/>
    </xf>
    <xf borderId="1" fillId="0" fontId="49" numFmtId="0" xfId="0" applyAlignment="1" applyBorder="1" applyFont="1">
      <alignment horizontal="left" readingOrder="0" shrinkToFit="0" vertical="bottom" wrapText="0"/>
    </xf>
    <xf borderId="9" fillId="3" fontId="42" numFmtId="11" xfId="0" applyAlignment="1" applyBorder="1" applyFont="1" applyNumberFormat="1">
      <alignment horizontal="right" readingOrder="0" shrinkToFit="0" vertical="bottom" wrapText="0"/>
    </xf>
    <xf borderId="1" fillId="0" fontId="494" numFmtId="0" xfId="0" applyAlignment="1" applyBorder="1" applyFont="1">
      <alignment horizontal="left" readingOrder="0" shrinkToFit="0" vertical="bottom" wrapText="0"/>
    </xf>
    <xf borderId="1" fillId="0" fontId="49" numFmtId="0" xfId="0" applyAlignment="1" applyBorder="1" applyFont="1">
      <alignment horizontal="left" readingOrder="0" shrinkToFit="0" vertical="bottom" wrapText="0"/>
    </xf>
    <xf borderId="1" fillId="0" fontId="42" numFmtId="0" xfId="0" applyAlignment="1" applyBorder="1" applyFont="1">
      <alignment horizontal="left" readingOrder="0" shrinkToFit="0" vertical="bottom" wrapText="0"/>
    </xf>
    <xf borderId="1" fillId="0" fontId="49" numFmtId="0" xfId="0" applyAlignment="1" applyBorder="1" applyFont="1">
      <alignment horizontal="left" readingOrder="0"/>
    </xf>
    <xf borderId="9" fillId="3" fontId="49" numFmtId="0" xfId="0" applyAlignment="1" applyBorder="1" applyFont="1">
      <alignment horizontal="right" readingOrder="0" shrinkToFit="0" vertical="bottom" wrapText="0"/>
    </xf>
    <xf borderId="1" fillId="0" fontId="42" numFmtId="0" xfId="0" applyAlignment="1" applyBorder="1" applyFont="1">
      <alignment horizontal="left" shrinkToFit="0" vertical="bottom" wrapText="0"/>
    </xf>
    <xf borderId="1" fillId="0" fontId="49" numFmtId="0" xfId="0" applyAlignment="1" applyBorder="1" applyFont="1">
      <alignment shrinkToFit="0" vertical="bottom" wrapText="0"/>
    </xf>
    <xf borderId="8" fillId="34" fontId="49" numFmtId="0" xfId="0" applyAlignment="1" applyBorder="1" applyFont="1">
      <alignment horizontal="center" readingOrder="0" shrinkToFit="0" vertical="center" wrapText="0"/>
    </xf>
    <xf borderId="9" fillId="34" fontId="49" numFmtId="0" xfId="0" applyAlignment="1" applyBorder="1" applyFont="1">
      <alignment horizontal="center" readingOrder="0" shrinkToFit="0" vertical="center" wrapText="0"/>
    </xf>
    <xf borderId="9" fillId="34" fontId="49" numFmtId="0" xfId="0" applyAlignment="1" applyBorder="1" applyFont="1">
      <alignment horizontal="right" readingOrder="0" shrinkToFit="0" vertical="bottom" wrapText="0"/>
    </xf>
    <xf borderId="1" fillId="0" fontId="7" numFmtId="0" xfId="0" applyAlignment="1" applyBorder="1" applyFont="1">
      <alignment horizontal="left" readingOrder="0" shrinkToFit="0" vertical="bottom" wrapText="0"/>
    </xf>
    <xf borderId="3" fillId="0" fontId="7" numFmtId="0" xfId="0" applyAlignment="1" applyBorder="1" applyFont="1">
      <alignment horizontal="left" readingOrder="0" shrinkToFit="0" vertical="bottom" wrapText="0"/>
    </xf>
    <xf borderId="8" fillId="0" fontId="7" numFmtId="0" xfId="0" applyAlignment="1" applyBorder="1" applyFont="1">
      <alignment horizontal="left" readingOrder="0" shrinkToFit="0" vertical="bottom" wrapText="0"/>
    </xf>
    <xf borderId="9" fillId="0" fontId="7" numFmtId="0" xfId="0" applyAlignment="1" applyBorder="1" applyFont="1">
      <alignment horizontal="left" readingOrder="0" shrinkToFit="0" vertical="bottom" wrapText="0"/>
    </xf>
    <xf borderId="8" fillId="0" fontId="39" numFmtId="0" xfId="0" applyAlignment="1" applyBorder="1" applyFont="1">
      <alignment horizontal="left" readingOrder="0" shrinkToFit="0" vertical="bottom" wrapText="0"/>
    </xf>
    <xf borderId="9" fillId="0" fontId="7" numFmtId="0" xfId="0" applyAlignment="1" applyBorder="1" applyFont="1">
      <alignment horizontal="left" readingOrder="0" vertical="bottom"/>
    </xf>
    <xf borderId="0" fillId="0" fontId="7" numFmtId="0" xfId="0" applyAlignment="1" applyFont="1">
      <alignment horizontal="left" readingOrder="0" shrinkToFit="0" vertical="bottom" wrapText="0"/>
    </xf>
    <xf borderId="9" fillId="0" fontId="39" numFmtId="0" xfId="0" applyAlignment="1" applyBorder="1" applyFont="1">
      <alignment horizontal="left" readingOrder="0" shrinkToFit="0" vertical="bottom" wrapText="0"/>
    </xf>
    <xf borderId="8" fillId="0" fontId="39" numFmtId="0" xfId="0" applyAlignment="1" applyBorder="1" applyFont="1">
      <alignment horizontal="left" readingOrder="0" vertical="bottom"/>
    </xf>
    <xf borderId="9" fillId="0" fontId="39" numFmtId="0" xfId="0" applyAlignment="1" applyBorder="1" applyFont="1">
      <alignment horizontal="left" readingOrder="0" vertical="bottom"/>
    </xf>
    <xf borderId="1" fillId="0" fontId="39" numFmtId="0" xfId="0" applyAlignment="1" applyBorder="1" applyFont="1">
      <alignment horizontal="left" readingOrder="0" vertical="bottom"/>
    </xf>
    <xf borderId="9" fillId="0" fontId="7" numFmtId="0" xfId="0" applyAlignment="1" applyBorder="1" applyFont="1">
      <alignment shrinkToFit="0" vertical="bottom" wrapText="0"/>
    </xf>
    <xf borderId="8" fillId="34" fontId="49" numFmtId="0" xfId="0" applyAlignment="1" applyBorder="1" applyFont="1">
      <alignment horizontal="left" readingOrder="0" shrinkToFit="0" vertical="bottom" wrapText="0"/>
    </xf>
    <xf borderId="9" fillId="34" fontId="49" numFmtId="0" xfId="0" applyAlignment="1" applyBorder="1" applyFont="1">
      <alignment horizontal="left" readingOrder="0" shrinkToFit="0" vertical="bottom" wrapText="0"/>
    </xf>
    <xf borderId="1" fillId="0" fontId="495" numFmtId="0" xfId="0" applyAlignment="1" applyBorder="1" applyFont="1">
      <alignment horizontal="left" readingOrder="0" shrinkToFit="0" vertical="bottom" wrapText="0"/>
    </xf>
    <xf borderId="3" fillId="0" fontId="368" numFmtId="0" xfId="0" applyAlignment="1" applyBorder="1" applyFont="1">
      <alignment horizontal="left" readingOrder="0" shrinkToFit="0" vertical="bottom" wrapText="0"/>
    </xf>
    <xf borderId="8" fillId="0" fontId="495" numFmtId="0" xfId="0" applyAlignment="1" applyBorder="1" applyFont="1">
      <alignment horizontal="left" readingOrder="0" shrinkToFit="0" vertical="bottom" wrapText="0"/>
    </xf>
    <xf borderId="9" fillId="0" fontId="159" numFmtId="0" xfId="0" applyAlignment="1" applyBorder="1" applyFont="1">
      <alignment horizontal="left" readingOrder="0" shrinkToFit="0" vertical="bottom" wrapText="0"/>
    </xf>
    <xf borderId="9" fillId="0" fontId="495" numFmtId="0" xfId="0" applyAlignment="1" applyBorder="1" applyFont="1">
      <alignment horizontal="left" readingOrder="0" shrinkToFit="0" vertical="bottom" wrapText="0"/>
    </xf>
    <xf borderId="8" fillId="0" fontId="368" numFmtId="0" xfId="0" applyAlignment="1" applyBorder="1" applyFont="1">
      <alignment horizontal="left" readingOrder="0"/>
    </xf>
    <xf borderId="9" fillId="0" fontId="368" numFmtId="0" xfId="0" applyAlignment="1" applyBorder="1" applyFont="1">
      <alignment horizontal="left" readingOrder="0" shrinkToFit="0" vertical="bottom" wrapText="0"/>
    </xf>
    <xf borderId="0" fillId="0" fontId="345" numFmtId="0" xfId="0" applyAlignment="1" applyFont="1">
      <alignment horizontal="left" readingOrder="0" shrinkToFit="0" vertical="bottom" wrapText="0"/>
    </xf>
    <xf borderId="8" fillId="0" fontId="496" numFmtId="0" xfId="0" applyAlignment="1" applyBorder="1" applyFont="1">
      <alignment horizontal="left" readingOrder="0"/>
    </xf>
    <xf borderId="3" fillId="0" fontId="495" numFmtId="0" xfId="0" applyAlignment="1" applyBorder="1" applyFont="1">
      <alignment horizontal="left" shrinkToFit="0" vertical="bottom" wrapText="0"/>
    </xf>
    <xf borderId="8" fillId="0" fontId="497" numFmtId="0" xfId="0" applyAlignment="1" applyBorder="1" applyFont="1">
      <alignment horizontal="left" readingOrder="0"/>
    </xf>
    <xf borderId="9" fillId="3" fontId="495" numFmtId="0" xfId="0" applyAlignment="1" applyBorder="1" applyFont="1">
      <alignment horizontal="left" readingOrder="0" shrinkToFit="0" vertical="bottom" wrapText="0"/>
    </xf>
    <xf borderId="8" fillId="3" fontId="495" numFmtId="0" xfId="0" applyAlignment="1" applyBorder="1" applyFont="1">
      <alignment horizontal="left" readingOrder="0" shrinkToFit="0" vertical="bottom" wrapText="0"/>
    </xf>
    <xf borderId="9" fillId="0" fontId="345" numFmtId="0" xfId="0" applyAlignment="1" applyBorder="1" applyFont="1">
      <alignment horizontal="left" readingOrder="0" shrinkToFit="0" vertical="bottom" wrapText="0"/>
    </xf>
    <xf borderId="8" fillId="0" fontId="498" numFmtId="0" xfId="0" applyAlignment="1" applyBorder="1" applyFont="1">
      <alignment horizontal="left" readingOrder="0" shrinkToFit="0" vertical="bottom" wrapText="0"/>
    </xf>
    <xf borderId="9" fillId="0" fontId="498" numFmtId="0" xfId="0" applyAlignment="1" applyBorder="1" applyFont="1">
      <alignment horizontal="left" readingOrder="0" shrinkToFit="0" vertical="bottom" wrapText="0"/>
    </xf>
    <xf borderId="1" fillId="0" fontId="498" numFmtId="0" xfId="0" applyAlignment="1" applyBorder="1" applyFont="1">
      <alignment horizontal="left" readingOrder="0" shrinkToFit="0" vertical="bottom" wrapText="0"/>
    </xf>
    <xf borderId="1" fillId="0" fontId="7" numFmtId="0" xfId="0" applyAlignment="1" applyBorder="1" applyFont="1">
      <alignment horizontal="left" shrinkToFit="0" vertical="bottom" wrapText="0"/>
    </xf>
    <xf borderId="1" fillId="0" fontId="7" numFmtId="0" xfId="0" applyAlignment="1" applyBorder="1" applyFont="1">
      <alignment horizontal="left" readingOrder="0"/>
    </xf>
    <xf borderId="1" fillId="0" fontId="345" numFmtId="0" xfId="0" applyAlignment="1" applyBorder="1" applyFont="1">
      <alignment horizontal="left" readingOrder="0" shrinkToFit="0" vertical="bottom" wrapText="0"/>
    </xf>
    <xf borderId="1" fillId="0" fontId="499" numFmtId="0" xfId="0" applyAlignment="1" applyBorder="1" applyFont="1">
      <alignment horizontal="left" readingOrder="0"/>
    </xf>
    <xf borderId="1" fillId="34" fontId="49" numFmtId="0" xfId="0" applyAlignment="1" applyBorder="1" applyFont="1">
      <alignment horizontal="center" readingOrder="0" shrinkToFit="0" vertical="center" wrapText="0"/>
    </xf>
    <xf borderId="1" fillId="34" fontId="49" numFmtId="0" xfId="0" applyAlignment="1" applyBorder="1" applyFont="1">
      <alignment horizontal="left" readingOrder="0" shrinkToFit="0" vertical="bottom" wrapText="0"/>
    </xf>
    <xf borderId="0" fillId="65" fontId="500" numFmtId="0" xfId="0" applyAlignment="1" applyFill="1" applyFont="1">
      <alignment horizontal="left" readingOrder="0" shrinkToFit="0" vertical="bottom" wrapText="0"/>
    </xf>
    <xf borderId="3" fillId="0" fontId="495" numFmtId="0" xfId="0" applyAlignment="1" applyBorder="1" applyFont="1">
      <alignment horizontal="left" readingOrder="0" shrinkToFit="0" vertical="bottom" wrapText="0"/>
    </xf>
    <xf borderId="8" fillId="0" fontId="368" numFmtId="0" xfId="0" applyAlignment="1" applyBorder="1" applyFont="1">
      <alignment horizontal="left" readingOrder="0" shrinkToFit="0" vertical="bottom" wrapText="0"/>
    </xf>
    <xf borderId="9" fillId="0" fontId="495" numFmtId="0" xfId="0" applyAlignment="1" applyBorder="1" applyFont="1">
      <alignment horizontal="left" shrinkToFit="0" vertical="bottom" wrapText="0"/>
    </xf>
    <xf borderId="9" fillId="66" fontId="495" numFmtId="0" xfId="0" applyAlignment="1" applyBorder="1" applyFill="1" applyFont="1">
      <alignment horizontal="left" readingOrder="0" shrinkToFit="0" vertical="bottom" wrapText="0"/>
    </xf>
    <xf borderId="8" fillId="0" fontId="501" numFmtId="0" xfId="0" applyAlignment="1" applyBorder="1" applyFont="1">
      <alignment horizontal="left" readingOrder="0" shrinkToFit="0" vertical="bottom" wrapText="0"/>
    </xf>
    <xf borderId="9" fillId="3" fontId="495" numFmtId="0" xfId="0" applyAlignment="1" applyBorder="1" applyFont="1">
      <alignment horizontal="left" readingOrder="0" vertical="bottom"/>
    </xf>
    <xf borderId="9" fillId="0" fontId="159" numFmtId="0" xfId="0" applyAlignment="1" applyBorder="1" applyFont="1">
      <alignment horizontal="left" readingOrder="0"/>
    </xf>
    <xf borderId="8" fillId="0" fontId="159" numFmtId="0" xfId="0" applyBorder="1" applyFont="1"/>
    <xf borderId="9" fillId="0" fontId="420" numFmtId="0" xfId="0" applyAlignment="1" applyBorder="1" applyFont="1">
      <alignment horizontal="left" readingOrder="0"/>
    </xf>
    <xf borderId="0" fillId="3" fontId="321" numFmtId="0" xfId="0" applyAlignment="1" applyFont="1">
      <alignment horizontal="left" readingOrder="0" shrinkToFit="0" wrapText="1"/>
    </xf>
    <xf borderId="0" fillId="3" fontId="321" numFmtId="0" xfId="0" applyAlignment="1" applyFont="1">
      <alignment horizontal="left" shrinkToFit="0" wrapText="1"/>
    </xf>
    <xf borderId="0" fillId="0" fontId="502" numFmtId="0" xfId="0" applyAlignment="1" applyFont="1">
      <alignment horizontal="left" readingOrder="0" vertical="center"/>
    </xf>
    <xf borderId="19" fillId="0" fontId="59" numFmtId="0" xfId="0" applyAlignment="1" applyBorder="1" applyFont="1">
      <alignment horizontal="center" readingOrder="0"/>
    </xf>
    <xf borderId="19" fillId="0" fontId="128" numFmtId="0" xfId="0" applyAlignment="1" applyBorder="1" applyFont="1">
      <alignment readingOrder="0"/>
    </xf>
    <xf borderId="19" fillId="0" fontId="503" numFmtId="0" xfId="0" applyAlignment="1" applyBorder="1" applyFont="1">
      <alignment readingOrder="0"/>
    </xf>
    <xf borderId="1" fillId="0" fontId="4" numFmtId="0" xfId="0" applyAlignment="1" applyBorder="1" applyFont="1">
      <alignment horizontal="right" readingOrder="0" shrinkToFit="0" vertical="bottom" wrapText="0"/>
    </xf>
    <xf borderId="1" fillId="0" fontId="4" numFmtId="0" xfId="0" applyAlignment="1" applyBorder="1" applyFont="1">
      <alignment shrinkToFit="0" vertical="bottom" wrapText="0"/>
    </xf>
    <xf borderId="1" fillId="0" fontId="4" numFmtId="0" xfId="0" applyAlignment="1" applyBorder="1" applyFont="1">
      <alignment horizontal="left" readingOrder="0" shrinkToFit="0" vertical="bottom" wrapText="0"/>
    </xf>
    <xf borderId="1" fillId="21" fontId="4" numFmtId="0" xfId="0" applyAlignment="1" applyBorder="1" applyFont="1">
      <alignment horizontal="center" readingOrder="0" shrinkToFit="0" vertical="bottom" wrapText="0"/>
    </xf>
    <xf borderId="1" fillId="0" fontId="11" numFmtId="0" xfId="0" applyAlignment="1" applyBorder="1" applyFont="1">
      <alignment horizontal="center" readingOrder="0" vertical="center"/>
    </xf>
    <xf borderId="1" fillId="0" fontId="5" numFmtId="1" xfId="0" applyAlignment="1" applyBorder="1" applyFont="1" applyNumberFormat="1">
      <alignment horizontal="center" readingOrder="0" shrinkToFit="0" vertical="center" wrapText="1"/>
    </xf>
    <xf borderId="1" fillId="3" fontId="231" numFmtId="0" xfId="0" applyAlignment="1" applyBorder="1" applyFont="1">
      <alignment horizontal="left" readingOrder="0" shrinkToFit="0" vertical="bottom" wrapText="0"/>
    </xf>
    <xf borderId="3" fillId="3" fontId="231" numFmtId="0" xfId="0" applyAlignment="1" applyBorder="1" applyFont="1">
      <alignment horizontal="left" readingOrder="0" shrinkToFit="0" vertical="bottom" wrapText="0"/>
    </xf>
    <xf borderId="3" fillId="3" fontId="231" numFmtId="0" xfId="0" applyAlignment="1" applyBorder="1" applyFont="1">
      <alignment horizontal="right" readingOrder="0" shrinkToFit="0" vertical="bottom" wrapText="0"/>
    </xf>
    <xf borderId="3" fillId="3" fontId="504" numFmtId="0" xfId="0" applyAlignment="1" applyBorder="1" applyFont="1">
      <alignment horizontal="left" readingOrder="0" shrinkToFit="0" vertical="bottom" wrapText="0"/>
    </xf>
    <xf borderId="8" fillId="3" fontId="231" numFmtId="0" xfId="0" applyAlignment="1" applyBorder="1" applyFont="1">
      <alignment horizontal="left" readingOrder="0" shrinkToFit="0" vertical="bottom" wrapText="0"/>
    </xf>
    <xf borderId="9" fillId="3" fontId="231" numFmtId="0" xfId="0" applyAlignment="1" applyBorder="1" applyFont="1">
      <alignment horizontal="left" readingOrder="0" shrinkToFit="0" vertical="bottom" wrapText="0"/>
    </xf>
    <xf borderId="9" fillId="3" fontId="231" numFmtId="0" xfId="0" applyAlignment="1" applyBorder="1" applyFont="1">
      <alignment horizontal="right" readingOrder="0" shrinkToFit="0" vertical="bottom" wrapText="0"/>
    </xf>
    <xf borderId="9" fillId="3" fontId="231" numFmtId="11" xfId="0" applyAlignment="1" applyBorder="1" applyFont="1" applyNumberFormat="1">
      <alignment horizontal="right" readingOrder="0" shrinkToFit="0" vertical="bottom" wrapText="0"/>
    </xf>
    <xf borderId="8" fillId="3" fontId="505" numFmtId="0" xfId="0" applyAlignment="1" applyBorder="1" applyFont="1">
      <alignment horizontal="left" readingOrder="0" shrinkToFit="0" vertical="bottom" wrapText="0"/>
    </xf>
    <xf borderId="9" fillId="3" fontId="505" numFmtId="0" xfId="0" applyAlignment="1" applyBorder="1" applyFont="1">
      <alignment horizontal="left" readingOrder="0" shrinkToFit="0" vertical="bottom" wrapText="0"/>
    </xf>
    <xf borderId="9" fillId="3" fontId="505" numFmtId="0" xfId="0" applyAlignment="1" applyBorder="1" applyFont="1">
      <alignment horizontal="right" readingOrder="0" shrinkToFit="0" vertical="bottom" wrapText="0"/>
    </xf>
    <xf borderId="9" fillId="3" fontId="505" numFmtId="0" xfId="0" applyAlignment="1" applyBorder="1" applyFont="1">
      <alignment horizontal="right" readingOrder="0" shrinkToFit="0" vertical="bottom" wrapText="0"/>
    </xf>
    <xf borderId="9" fillId="3" fontId="46" numFmtId="0" xfId="0" applyAlignment="1" applyBorder="1" applyFont="1">
      <alignment shrinkToFit="0" vertical="bottom" wrapText="0"/>
    </xf>
    <xf borderId="9" fillId="3" fontId="505" numFmtId="11" xfId="0" applyAlignment="1" applyBorder="1" applyFont="1" applyNumberFormat="1">
      <alignment horizontal="right" readingOrder="0" shrinkToFit="0" vertical="bottom" wrapText="0"/>
    </xf>
    <xf borderId="8" fillId="3" fontId="46" numFmtId="0" xfId="0" applyAlignment="1" applyBorder="1" applyFont="1">
      <alignment horizontal="left" readingOrder="0" shrinkToFit="0" vertical="bottom" wrapText="0"/>
    </xf>
    <xf borderId="9" fillId="3" fontId="46" numFmtId="0" xfId="0" applyAlignment="1" applyBorder="1" applyFont="1">
      <alignment horizontal="left" readingOrder="0" shrinkToFit="0" vertical="bottom" wrapText="0"/>
    </xf>
    <xf borderId="9" fillId="3" fontId="506" numFmtId="0" xfId="0" applyAlignment="1" applyBorder="1" applyFont="1">
      <alignment horizontal="left" readingOrder="0" shrinkToFit="0" vertical="bottom" wrapText="0"/>
    </xf>
    <xf borderId="8" fillId="3" fontId="49" numFmtId="164" xfId="0" applyAlignment="1" applyBorder="1" applyFont="1" applyNumberFormat="1">
      <alignment shrinkToFit="0" vertical="bottom" wrapText="0"/>
    </xf>
    <xf borderId="15" fillId="2" fontId="312" numFmtId="0" xfId="0" applyAlignment="1" applyBorder="1" applyFont="1">
      <alignment horizontal="center" readingOrder="0" vertical="center"/>
    </xf>
    <xf borderId="1" fillId="0" fontId="49" numFmtId="0" xfId="0" applyAlignment="1" applyBorder="1" applyFont="1">
      <alignment horizontal="left" readingOrder="0" shrinkToFit="0" wrapText="0"/>
    </xf>
    <xf borderId="1" fillId="0" fontId="49" numFmtId="1" xfId="0" applyAlignment="1" applyBorder="1" applyFont="1" applyNumberFormat="1">
      <alignment horizontal="left" readingOrder="0" shrinkToFit="0" wrapText="0"/>
    </xf>
    <xf borderId="1" fillId="0" fontId="49" numFmtId="0" xfId="0" applyAlignment="1" applyBorder="1" applyFont="1">
      <alignment horizontal="left" shrinkToFit="0" wrapText="0"/>
    </xf>
    <xf borderId="1" fillId="0" fontId="49" numFmtId="0" xfId="0" applyAlignment="1" applyBorder="1" applyFont="1">
      <alignment horizontal="center" readingOrder="0"/>
    </xf>
    <xf borderId="1" fillId="0" fontId="159" numFmtId="0" xfId="0" applyAlignment="1" applyBorder="1" applyFont="1">
      <alignment horizontal="left" readingOrder="0"/>
    </xf>
    <xf borderId="1" fillId="0" fontId="507" numFmtId="0" xfId="0" applyAlignment="1" applyBorder="1" applyFont="1">
      <alignment horizontal="left" readingOrder="0" shrinkToFit="0" wrapText="0"/>
    </xf>
    <xf borderId="20" fillId="0" fontId="49" numFmtId="0" xfId="0" applyAlignment="1" applyBorder="1" applyFont="1">
      <alignment horizontal="left" readingOrder="0" shrinkToFit="0" wrapText="0"/>
    </xf>
    <xf borderId="1" fillId="0" fontId="508" numFmtId="0" xfId="0" applyAlignment="1" applyBorder="1" applyFont="1">
      <alignment horizontal="left" readingOrder="0"/>
    </xf>
    <xf borderId="1" fillId="0" fontId="349" numFmtId="0" xfId="0" applyAlignment="1" applyBorder="1" applyFont="1">
      <alignment horizontal="right" readingOrder="0" shrinkToFit="0" vertical="bottom" wrapText="0"/>
    </xf>
    <xf borderId="20" fillId="0" fontId="49" numFmtId="0" xfId="0" applyAlignment="1" applyBorder="1" applyFont="1">
      <alignment horizontal="center" readingOrder="0" shrinkToFit="0" wrapText="0"/>
    </xf>
    <xf borderId="1" fillId="0" fontId="509" numFmtId="0" xfId="0" applyAlignment="1" applyBorder="1" applyFont="1">
      <alignment horizontal="center" readingOrder="0"/>
    </xf>
    <xf borderId="20" fillId="0" fontId="49" numFmtId="0" xfId="0" applyAlignment="1" applyBorder="1" applyFont="1">
      <alignment horizontal="left" shrinkToFit="0" wrapText="0"/>
    </xf>
    <xf borderId="20" fillId="0" fontId="49" numFmtId="0" xfId="0" applyAlignment="1" applyBorder="1" applyFont="1">
      <alignment horizontal="center" shrinkToFit="0" wrapText="0"/>
    </xf>
    <xf borderId="20" fillId="0" fontId="49" numFmtId="0" xfId="0" applyAlignment="1" applyBorder="1" applyFont="1">
      <alignment horizontal="center" readingOrder="0"/>
    </xf>
    <xf borderId="0" fillId="0" fontId="49" numFmtId="0" xfId="0" applyAlignment="1" applyFont="1">
      <alignment horizontal="left" readingOrder="0" shrinkToFit="0" wrapText="0"/>
    </xf>
    <xf borderId="20" fillId="0" fontId="49" numFmtId="0" xfId="0" applyAlignment="1" applyBorder="1" applyFont="1">
      <alignment horizontal="left" readingOrder="0"/>
    </xf>
    <xf borderId="21" fillId="0" fontId="49" numFmtId="0" xfId="0" applyAlignment="1" applyBorder="1" applyFont="1">
      <alignment horizontal="center" readingOrder="0" shrinkToFit="0" wrapText="0"/>
    </xf>
    <xf borderId="20" fillId="0" fontId="335" numFmtId="0" xfId="0" applyAlignment="1" applyBorder="1" applyFont="1">
      <alignment horizontal="left" readingOrder="0" shrinkToFit="0" vertical="center" wrapText="1"/>
    </xf>
    <xf borderId="1" fillId="3" fontId="373" numFmtId="0" xfId="0" applyAlignment="1" applyBorder="1" applyFont="1">
      <alignment horizontal="left" readingOrder="0"/>
    </xf>
    <xf borderId="1" fillId="0" fontId="49" numFmtId="0" xfId="0" applyAlignment="1" applyBorder="1" applyFont="1">
      <alignment shrinkToFit="0" wrapText="0"/>
    </xf>
    <xf borderId="1" fillId="0" fontId="510" numFmtId="0" xfId="0" applyAlignment="1" applyBorder="1" applyFont="1">
      <alignment horizontal="center" readingOrder="0"/>
    </xf>
    <xf borderId="1" fillId="0" fontId="370" numFmtId="0" xfId="0" applyAlignment="1" applyBorder="1" applyFont="1">
      <alignment horizontal="center" readingOrder="0"/>
    </xf>
    <xf borderId="1" fillId="21" fontId="128" numFmtId="0" xfId="0" applyAlignment="1" applyBorder="1" applyFont="1">
      <alignment readingOrder="0"/>
    </xf>
    <xf borderId="1" fillId="0" fontId="358" numFmtId="0" xfId="0" applyAlignment="1" applyBorder="1" applyFont="1">
      <alignment horizontal="left" readingOrder="0"/>
    </xf>
    <xf borderId="1" fillId="0" fontId="358" numFmtId="0" xfId="0" applyAlignment="1" applyBorder="1" applyFont="1">
      <alignment horizontal="left" readingOrder="0"/>
    </xf>
    <xf borderId="1" fillId="61" fontId="18" numFmtId="0" xfId="0" applyAlignment="1" applyBorder="1" applyFont="1">
      <alignment horizontal="center" readingOrder="0"/>
    </xf>
    <xf borderId="1" fillId="0" fontId="49" numFmtId="0" xfId="0" applyAlignment="1" applyBorder="1" applyFont="1">
      <alignment horizontal="left" readingOrder="0" shrinkToFit="0" wrapText="0"/>
    </xf>
    <xf borderId="0" fillId="0" fontId="335" numFmtId="0" xfId="0" applyAlignment="1" applyFont="1">
      <alignment horizontal="left" readingOrder="0" vertical="center"/>
    </xf>
    <xf borderId="1" fillId="3" fontId="7" numFmtId="0" xfId="0" applyAlignment="1" applyBorder="1" applyFont="1">
      <alignment horizontal="center" readingOrder="0" shrinkToFit="0" vertical="bottom" wrapText="0"/>
    </xf>
    <xf borderId="1" fillId="67" fontId="335" numFmtId="0" xfId="0" applyAlignment="1" applyBorder="1" applyFill="1" applyFont="1">
      <alignment horizontal="left" readingOrder="0" shrinkToFit="0" vertical="center" wrapText="1"/>
    </xf>
    <xf borderId="0" fillId="3" fontId="381" numFmtId="0" xfId="0" applyAlignment="1" applyFont="1">
      <alignment horizontal="left" readingOrder="0"/>
    </xf>
    <xf borderId="1" fillId="67" fontId="335" numFmtId="0" xfId="0" applyAlignment="1" applyBorder="1" applyFont="1">
      <alignment horizontal="left" readingOrder="0" vertical="center"/>
    </xf>
    <xf borderId="1" fillId="3" fontId="5" numFmtId="0" xfId="0" applyAlignment="1" applyBorder="1" applyFont="1">
      <alignment horizontal="center" readingOrder="0" vertical="center"/>
    </xf>
  </cellXfs>
  <cellStyles count="1">
    <cellStyle xfId="0" name="Normal" builtinId="0"/>
  </cellStyles>
  <dxfs count="8">
    <dxf>
      <font>
        <strike/>
        <color rgb="FF666666"/>
      </font>
      <fill>
        <patternFill patternType="solid">
          <fgColor rgb="FFF3F3F3"/>
          <bgColor rgb="FFF3F3F3"/>
        </patternFill>
      </fill>
      <border/>
    </dxf>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3" pivot="0" name="Qatar-Dahat-style">
      <tableStyleElement dxfId="2" type="headerRow"/>
      <tableStyleElement dxfId="3" type="firstRowStripe"/>
      <tableStyleElement dxfId="4" type="secondRowStripe"/>
    </tableStyle>
    <tableStyle count="3" pivot="0" name="Business Cards-style">
      <tableStyleElement dxfId="2" type="headerRow"/>
      <tableStyleElement dxfId="3" type="firstRowStripe"/>
      <tableStyleElement dxfId="4" type="secondRowStripe"/>
    </tableStyle>
    <tableStyle count="4" pivot="0" name="Int.data Dahat&amp;Hilda-style">
      <tableStyleElement dxfId="5" type="headerRow"/>
      <tableStyleElement dxfId="3" type="firstRowStripe"/>
      <tableStyleElement dxfId="6" type="secondRowStripe"/>
      <tableStyleElement dxfId="7" size="0" type="wholeTable"/>
    </tableStyle>
    <tableStyle count="2" pivot="0" name="Jordanian Co-Dahat-style">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I17"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Qatar-Daha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J42" displayName="Table_2" name="Table_2" id="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Business Card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M146" displayName="Table1" name="Table1" id="3">
  <tableColumns count="13">
    <tableColumn name="Sector" id="1"/>
    <tableColumn name="Subcategory" id="2"/>
    <tableColumn name="Company Name" id="3"/>
    <tableColumn name="Contact Person" id="4"/>
    <tableColumn name="Email" id="5"/>
    <tableColumn name="Phone" id="6"/>
    <tableColumn name="Website" id="7"/>
    <tableColumn name="Country" id="8"/>
    <tableColumn name="Booth Number" id="9"/>
    <tableColumn name="Notes" id="10"/>
    <tableColumn name="Column 1" id="11"/>
    <tableColumn name="Column 2" id="12"/>
    <tableColumn name="Column 3" id="13"/>
  </tableColumns>
  <tableStyleInfo name="Int.data Dahat&amp;Hilda-style" showColumnStripes="0" showFirstColumn="1" showLastColumn="1" showRowStripes="1"/>
</table>
</file>

<file path=xl/tables/table4.xml><?xml version="1.0" encoding="utf-8"?>
<table xmlns="http://schemas.openxmlformats.org/spreadsheetml/2006/main" headerRowCount="0" ref="A129:E142" displayName="Table_3" name="Table_3" id="4">
  <tableColumns count="5">
    <tableColumn name="Column1" id="1"/>
    <tableColumn name="Column2" id="2"/>
    <tableColumn name="Column3" id="3"/>
    <tableColumn name="Column4" id="4"/>
    <tableColumn name="Column5" id="5"/>
  </tableColumns>
  <tableStyleInfo name="Jordanian Co-Dahat-style" showColumnStripes="0" showFirstColumn="1" showLastColumn="1" showRowStripes="1"/>
</table>
</file>

<file path=xl/worksheets/_rels/sheet1.xml.rels><?xml version="1.0" encoding="UTF-8" standalone="yes"?><Relationships xmlns="http://schemas.openxmlformats.org/package/2006/relationships"><Relationship Id="rId20" Type="http://schemas.openxmlformats.org/officeDocument/2006/relationships/hyperlink" Target="mailto:msalami@asiainsurance.net" TargetMode="External"/><Relationship Id="rId11" Type="http://schemas.openxmlformats.org/officeDocument/2006/relationships/hyperlink" Target="mailto:mitif.arc.erbil@gmail.com" TargetMode="External"/><Relationship Id="rId22" Type="http://schemas.openxmlformats.org/officeDocument/2006/relationships/drawing" Target="../drawings/drawing1.xml"/><Relationship Id="rId10" Type="http://schemas.openxmlformats.org/officeDocument/2006/relationships/hyperlink" Target="mailto:choli@mrfgroup.net" TargetMode="External"/><Relationship Id="rId21" Type="http://schemas.openxmlformats.org/officeDocument/2006/relationships/hyperlink" Target="mailto:gm@harcoiraq.com" TargetMode="External"/><Relationship Id="rId13" Type="http://schemas.openxmlformats.org/officeDocument/2006/relationships/hyperlink" Target="mailto:info@manar2003.com" TargetMode="External"/><Relationship Id="rId12" Type="http://schemas.openxmlformats.org/officeDocument/2006/relationships/hyperlink" Target="mailto:kurdy_i@yahoo.com" TargetMode="External"/><Relationship Id="rId1" Type="http://schemas.openxmlformats.org/officeDocument/2006/relationships/hyperlink" Target="mailto:info@violaburo.com" TargetMode="External"/><Relationship Id="rId2" Type="http://schemas.openxmlformats.org/officeDocument/2006/relationships/hyperlink" Target="mailto:vaggelis.kteniadis@vsquared2.com" TargetMode="External"/><Relationship Id="rId3" Type="http://schemas.openxmlformats.org/officeDocument/2006/relationships/hyperlink" Target="mailto:havalsami@gmail.com" TargetMode="External"/><Relationship Id="rId4" Type="http://schemas.openxmlformats.org/officeDocument/2006/relationships/hyperlink" Target="mailto:info@tanjco.com" TargetMode="External"/><Relationship Id="rId9" Type="http://schemas.openxmlformats.org/officeDocument/2006/relationships/hyperlink" Target="mailto:osama.miqdad@nest.krd" TargetMode="External"/><Relationship Id="rId15" Type="http://schemas.openxmlformats.org/officeDocument/2006/relationships/hyperlink" Target="mailto:jootiar2002@yahoo.com" TargetMode="External"/><Relationship Id="rId14" Type="http://schemas.openxmlformats.org/officeDocument/2006/relationships/hyperlink" Target="http://www.kirmanj.com/" TargetMode="External"/><Relationship Id="rId17" Type="http://schemas.openxmlformats.org/officeDocument/2006/relationships/hyperlink" Target="mailto:halgurd@goldenmountains.net" TargetMode="External"/><Relationship Id="rId16" Type="http://schemas.openxmlformats.org/officeDocument/2006/relationships/hyperlink" Target="mailto:lawyerkarzan@hendsteel.com" TargetMode="External"/><Relationship Id="rId5" Type="http://schemas.openxmlformats.org/officeDocument/2006/relationships/hyperlink" Target="mailto:asos.bakr@southkurdistan.com" TargetMode="External"/><Relationship Id="rId19" Type="http://schemas.openxmlformats.org/officeDocument/2006/relationships/hyperlink" Target="mailto:ibao@chint.com" TargetMode="External"/><Relationship Id="rId6" Type="http://schemas.openxmlformats.org/officeDocument/2006/relationships/hyperlink" Target="mailto:ahmad.shallah@reachimmigration.com" TargetMode="External"/><Relationship Id="rId18" Type="http://schemas.openxmlformats.org/officeDocument/2006/relationships/hyperlink" Target="mailto:ameer@falconiraq.com" TargetMode="External"/><Relationship Id="rId7" Type="http://schemas.openxmlformats.org/officeDocument/2006/relationships/hyperlink" Target="mailto:saman@ramancom.com" TargetMode="External"/><Relationship Id="rId8" Type="http://schemas.openxmlformats.org/officeDocument/2006/relationships/hyperlink" Target="mailto:pakcenter12@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hydeobakhtar7431@gmail.com" TargetMode="External"/><Relationship Id="rId42" Type="http://schemas.openxmlformats.org/officeDocument/2006/relationships/hyperlink" Target="mailto:alyaqincompany122@gmail.com" TargetMode="External"/><Relationship Id="rId41" Type="http://schemas.openxmlformats.org/officeDocument/2006/relationships/hyperlink" Target="mailto:info@binaainvestment.com" TargetMode="External"/><Relationship Id="rId44" Type="http://schemas.openxmlformats.org/officeDocument/2006/relationships/hyperlink" Target="mailto:2016sszz2016@gmail.com" TargetMode="External"/><Relationship Id="rId43" Type="http://schemas.openxmlformats.org/officeDocument/2006/relationships/hyperlink" Target="mailto:alaa.hassan@gulf-insulation.com" TargetMode="External"/><Relationship Id="rId46" Type="http://schemas.openxmlformats.org/officeDocument/2006/relationships/hyperlink" Target="mailto:volo.architects@gmail.com" TargetMode="External"/><Relationship Id="rId45" Type="http://schemas.openxmlformats.org/officeDocument/2006/relationships/hyperlink" Target="mailto:xalidshexany@gmail.com" TargetMode="External"/><Relationship Id="rId1" Type="http://schemas.openxmlformats.org/officeDocument/2006/relationships/hyperlink" Target="mailto:marketing@empireworld.com" TargetMode="External"/><Relationship Id="rId2" Type="http://schemas.openxmlformats.org/officeDocument/2006/relationships/hyperlink" Target="mailto:snawber.abdullah@firstquantumcapital.com" TargetMode="External"/><Relationship Id="rId3" Type="http://schemas.openxmlformats.org/officeDocument/2006/relationships/hyperlink" Target="mailto:ceo@shahancompany.com" TargetMode="External"/><Relationship Id="rId4" Type="http://schemas.openxmlformats.org/officeDocument/2006/relationships/hyperlink" Target="mailto:saman82m@gmail.com" TargetMode="External"/><Relationship Id="rId9" Type="http://schemas.openxmlformats.org/officeDocument/2006/relationships/hyperlink" Target="mailto:info@gkarchitects.co" TargetMode="External"/><Relationship Id="rId48" Type="http://schemas.openxmlformats.org/officeDocument/2006/relationships/hyperlink" Target="mailto:gezim@varinfx.com" TargetMode="External"/><Relationship Id="rId47" Type="http://schemas.openxmlformats.org/officeDocument/2006/relationships/hyperlink" Target="mailto:Afan.osman@gmail.com" TargetMode="External"/><Relationship Id="rId49" Type="http://schemas.openxmlformats.org/officeDocument/2006/relationships/hyperlink" Target="mailto:bakhtyarwallashy@gmail.com" TargetMode="External"/><Relationship Id="rId5" Type="http://schemas.openxmlformats.org/officeDocument/2006/relationships/hyperlink" Target="mailto:sardar@aryo-group.com" TargetMode="External"/><Relationship Id="rId6" Type="http://schemas.openxmlformats.org/officeDocument/2006/relationships/hyperlink" Target="mailto:contact@hamkar-co.com" TargetMode="External"/><Relationship Id="rId7" Type="http://schemas.openxmlformats.org/officeDocument/2006/relationships/hyperlink" Target="mailto:esra@zagrostowers.com" TargetMode="External"/><Relationship Id="rId8" Type="http://schemas.openxmlformats.org/officeDocument/2006/relationships/hyperlink" Target="mailto:info@qaiwangroup.com" TargetMode="External"/><Relationship Id="rId31" Type="http://schemas.openxmlformats.org/officeDocument/2006/relationships/hyperlink" Target="mailto:admin@paya-realestate.com" TargetMode="External"/><Relationship Id="rId30" Type="http://schemas.openxmlformats.org/officeDocument/2006/relationships/hyperlink" Target="mailto:zaid@panycompany.com" TargetMode="External"/><Relationship Id="rId33" Type="http://schemas.openxmlformats.org/officeDocument/2006/relationships/hyperlink" Target="mailto:heline.ali@modern-cons.com" TargetMode="External"/><Relationship Id="rId32" Type="http://schemas.openxmlformats.org/officeDocument/2006/relationships/hyperlink" Target="mailto:ibrahim.sami.mohammad@gmail.com" TargetMode="External"/><Relationship Id="rId35" Type="http://schemas.openxmlformats.org/officeDocument/2006/relationships/hyperlink" Target="mailto:ghada91ghagha@gmail.com" TargetMode="External"/><Relationship Id="rId34" Type="http://schemas.openxmlformats.org/officeDocument/2006/relationships/hyperlink" Target="mailto:dlshadahmad773@gmail.com" TargetMode="External"/><Relationship Id="rId71" Type="http://schemas.openxmlformats.org/officeDocument/2006/relationships/drawing" Target="../drawings/drawing3.xml"/><Relationship Id="rId70" Type="http://schemas.openxmlformats.org/officeDocument/2006/relationships/hyperlink" Target="mailto:info@varamachinery.com" TargetMode="External"/><Relationship Id="rId37" Type="http://schemas.openxmlformats.org/officeDocument/2006/relationships/hyperlink" Target="mailto:chalangabdulsamadsaeed@gmail.com" TargetMode="External"/><Relationship Id="rId36" Type="http://schemas.openxmlformats.org/officeDocument/2006/relationships/hyperlink" Target="mailto:danamarduk@gmail.com" TargetMode="External"/><Relationship Id="rId39" Type="http://schemas.openxmlformats.org/officeDocument/2006/relationships/hyperlink" Target="mailto:zomorrod.factory@yahoo.com" TargetMode="External"/><Relationship Id="rId38" Type="http://schemas.openxmlformats.org/officeDocument/2006/relationships/hyperlink" Target="mailto:ahangjobs@jmail.com" TargetMode="External"/><Relationship Id="rId62" Type="http://schemas.openxmlformats.org/officeDocument/2006/relationships/hyperlink" Target="mailto:highroyallift@gmail.com" TargetMode="External"/><Relationship Id="rId61" Type="http://schemas.openxmlformats.org/officeDocument/2006/relationships/hyperlink" Target="mailto:ahmettallp33@gmail.com" TargetMode="External"/><Relationship Id="rId20" Type="http://schemas.openxmlformats.org/officeDocument/2006/relationships/hyperlink" Target="mailto:hajihussenrealestate@gmail.com" TargetMode="External"/><Relationship Id="rId64" Type="http://schemas.openxmlformats.org/officeDocument/2006/relationships/hyperlink" Target="mailto:rasan.b@hemele.com" TargetMode="External"/><Relationship Id="rId63" Type="http://schemas.openxmlformats.org/officeDocument/2006/relationships/hyperlink" Target="mailto:wissam1224@yahoo.com" TargetMode="External"/><Relationship Id="rId22" Type="http://schemas.openxmlformats.org/officeDocument/2006/relationships/hyperlink" Target="mailto:NUBIN1970@GMAIL.COM" TargetMode="External"/><Relationship Id="rId66" Type="http://schemas.openxmlformats.org/officeDocument/2006/relationships/hyperlink" Target="mailto:alrafidinsulation1998@gmail.com" TargetMode="External"/><Relationship Id="rId21" Type="http://schemas.openxmlformats.org/officeDocument/2006/relationships/hyperlink" Target="mailto:mais@strongbuildingiraq.com" TargetMode="External"/><Relationship Id="rId65" Type="http://schemas.openxmlformats.org/officeDocument/2006/relationships/hyperlink" Target="mailto:rasty@smileland-iq.com" TargetMode="External"/><Relationship Id="rId24" Type="http://schemas.openxmlformats.org/officeDocument/2006/relationships/hyperlink" Target="mailto:havalmustafa12@gmail.com" TargetMode="External"/><Relationship Id="rId68" Type="http://schemas.openxmlformats.org/officeDocument/2006/relationships/hyperlink" Target="mailto:info@tremGlobal.com" TargetMode="External"/><Relationship Id="rId23" Type="http://schemas.openxmlformats.org/officeDocument/2006/relationships/hyperlink" Target="mailto:info@citizinshipgate.com" TargetMode="External"/><Relationship Id="rId67" Type="http://schemas.openxmlformats.org/officeDocument/2006/relationships/hyperlink" Target="mailto:barkew.com@gmail.com" TargetMode="External"/><Relationship Id="rId60" Type="http://schemas.openxmlformats.org/officeDocument/2006/relationships/hyperlink" Target="mailto:info@fastgateco.com" TargetMode="External"/><Relationship Id="rId26" Type="http://schemas.openxmlformats.org/officeDocument/2006/relationships/hyperlink" Target="mailto:auder88@gmail.com" TargetMode="External"/><Relationship Id="rId25" Type="http://schemas.openxmlformats.org/officeDocument/2006/relationships/hyperlink" Target="mailto:hajkamal5@gmail.com" TargetMode="External"/><Relationship Id="rId69" Type="http://schemas.openxmlformats.org/officeDocument/2006/relationships/hyperlink" Target="mailto:civil.salmanrzgar@gmail.com" TargetMode="External"/><Relationship Id="rId28" Type="http://schemas.openxmlformats.org/officeDocument/2006/relationships/hyperlink" Target="mailto:faten.zedan@rtb.iq" TargetMode="External"/><Relationship Id="rId27" Type="http://schemas.openxmlformats.org/officeDocument/2006/relationships/hyperlink" Target="mailto:alrayyan@rayyan-ex.iq" TargetMode="External"/><Relationship Id="rId29" Type="http://schemas.openxmlformats.org/officeDocument/2006/relationships/hyperlink" Target="mailto:cmcerbil@cmc-iraq.com" TargetMode="External"/><Relationship Id="rId51" Type="http://schemas.openxmlformats.org/officeDocument/2006/relationships/hyperlink" Target="mailto:info@vcgmarkets.com" TargetMode="External"/><Relationship Id="rId50" Type="http://schemas.openxmlformats.org/officeDocument/2006/relationships/hyperlink" Target="mailto:karwan@vanogroup.com" TargetMode="External"/><Relationship Id="rId53" Type="http://schemas.openxmlformats.org/officeDocument/2006/relationships/hyperlink" Target="mailto:Zhinar@24group.net" TargetMode="External"/><Relationship Id="rId52" Type="http://schemas.openxmlformats.org/officeDocument/2006/relationships/hyperlink" Target="mailto:info@hawbg.com" TargetMode="External"/><Relationship Id="rId11" Type="http://schemas.openxmlformats.org/officeDocument/2006/relationships/hyperlink" Target="mailto:hr.light@adham-group.com" TargetMode="External"/><Relationship Id="rId55" Type="http://schemas.openxmlformats.org/officeDocument/2006/relationships/hyperlink" Target="mailto:anas@whatanart.net" TargetMode="External"/><Relationship Id="rId10" Type="http://schemas.openxmlformats.org/officeDocument/2006/relationships/hyperlink" Target="mailto:derin@arminas-iraq.com" TargetMode="External"/><Relationship Id="rId54" Type="http://schemas.openxmlformats.org/officeDocument/2006/relationships/hyperlink" Target="mailto:gaylan@seydgaylan.com" TargetMode="External"/><Relationship Id="rId13" Type="http://schemas.openxmlformats.org/officeDocument/2006/relationships/hyperlink" Target="mailto:ahmad.ramzi909@gmail.com" TargetMode="External"/><Relationship Id="rId57" Type="http://schemas.openxmlformats.org/officeDocument/2006/relationships/hyperlink" Target="mailto:husseinbashar@gmail.com" TargetMode="External"/><Relationship Id="rId12" Type="http://schemas.openxmlformats.org/officeDocument/2006/relationships/hyperlink" Target="mailto:Info@vogue-architects.com" TargetMode="External"/><Relationship Id="rId56" Type="http://schemas.openxmlformats.org/officeDocument/2006/relationships/hyperlink" Target="mailto:info@mfzb.ir" TargetMode="External"/><Relationship Id="rId15" Type="http://schemas.openxmlformats.org/officeDocument/2006/relationships/hyperlink" Target="mailto:Info@lelavgroup.com" TargetMode="External"/><Relationship Id="rId59" Type="http://schemas.openxmlformats.org/officeDocument/2006/relationships/hyperlink" Target="mailto:bahadin.said@sk.iq" TargetMode="External"/><Relationship Id="rId14" Type="http://schemas.openxmlformats.org/officeDocument/2006/relationships/hyperlink" Target="mailto:savan@masshills.com" TargetMode="External"/><Relationship Id="rId58" Type="http://schemas.openxmlformats.org/officeDocument/2006/relationships/hyperlink" Target="mailto:info@fiboproperty.com" TargetMode="External"/><Relationship Id="rId17" Type="http://schemas.openxmlformats.org/officeDocument/2006/relationships/hyperlink" Target="mailto:diyar.parks@gmail.com" TargetMode="External"/><Relationship Id="rId16" Type="http://schemas.openxmlformats.org/officeDocument/2006/relationships/hyperlink" Target="mailto:ceo@cantalgroup.com" TargetMode="External"/><Relationship Id="rId19" Type="http://schemas.openxmlformats.org/officeDocument/2006/relationships/hyperlink" Target="mailto:2016sszz2016@gmail.com" TargetMode="External"/><Relationship Id="rId18" Type="http://schemas.openxmlformats.org/officeDocument/2006/relationships/hyperlink" Target="mailto:info@chomangroup.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marketing@empireworld.com" TargetMode="External"/><Relationship Id="rId2" Type="http://schemas.openxmlformats.org/officeDocument/2006/relationships/hyperlink" Target="mailto:ceo@shahancompany.com" TargetMode="External"/><Relationship Id="rId3" Type="http://schemas.openxmlformats.org/officeDocument/2006/relationships/hyperlink" Target="mailto:sardar@aryo-group.com" TargetMode="External"/><Relationship Id="rId4" Type="http://schemas.openxmlformats.org/officeDocument/2006/relationships/hyperlink" Target="mailto:contact@hamkar-co.com" TargetMode="External"/><Relationship Id="rId5" Type="http://schemas.openxmlformats.org/officeDocument/2006/relationships/hyperlink" Target="mailto:info@qaiwangroup.com" TargetMode="External"/><Relationship Id="rId6" Type="http://schemas.openxmlformats.org/officeDocument/2006/relationships/hyperlink" Target="mailto:administrator@hajihussin.com"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sumerbank.iq/index.php?lang=en" TargetMode="External"/><Relationship Id="rId42" Type="http://schemas.openxmlformats.org/officeDocument/2006/relationships/hyperlink" Target="https://www.warkabank.iq/" TargetMode="External"/><Relationship Id="rId41" Type="http://schemas.openxmlformats.org/officeDocument/2006/relationships/hyperlink" Target="https://www.gcb.iq/en/" TargetMode="External"/><Relationship Id="rId44" Type="http://schemas.openxmlformats.org/officeDocument/2006/relationships/hyperlink" Target="https://ashurbank.iq/en/contact-us" TargetMode="External"/><Relationship Id="rId43" Type="http://schemas.openxmlformats.org/officeDocument/2006/relationships/hyperlink" Target="https://unionbank.iq/contact_us/" TargetMode="External"/><Relationship Id="rId46" Type="http://schemas.openxmlformats.org/officeDocument/2006/relationships/hyperlink" Target="https://www.iraqiislamicb.iq/home-en.html" TargetMode="External"/><Relationship Id="rId45" Type="http://schemas.openxmlformats.org/officeDocument/2006/relationships/hyperlink" Target="https://ebif.iq/" TargetMode="External"/><Relationship Id="rId107" Type="http://schemas.openxmlformats.org/officeDocument/2006/relationships/hyperlink" Target="https://www.cbdpunjab.gov.pk/" TargetMode="External"/><Relationship Id="rId106" Type="http://schemas.openxmlformats.org/officeDocument/2006/relationships/hyperlink" Target="https://www.casa10.pt/contactos" TargetMode="External"/><Relationship Id="rId105" Type="http://schemas.openxmlformats.org/officeDocument/2006/relationships/hyperlink" Target="https://canopysands.com/en/" TargetMode="External"/><Relationship Id="rId104" Type="http://schemas.openxmlformats.org/officeDocument/2006/relationships/hyperlink" Target="https://www.binghatti.com/en/?_gl=1*spxedd*_gcl_au*MTc0MzE0Njc5Ni4xNzQzODU1MDI2" TargetMode="External"/><Relationship Id="rId109" Type="http://schemas.openxmlformats.org/officeDocument/2006/relationships/hyperlink" Target="https://digitme.io/" TargetMode="External"/><Relationship Id="rId108" Type="http://schemas.openxmlformats.org/officeDocument/2006/relationships/hyperlink" Target="https://ceoclubsnetwork.org/" TargetMode="External"/><Relationship Id="rId48" Type="http://schemas.openxmlformats.org/officeDocument/2006/relationships/hyperlink" Target="mailto:admin@kib.iq" TargetMode="External"/><Relationship Id="rId47" Type="http://schemas.openxmlformats.org/officeDocument/2006/relationships/hyperlink" Target="https://eib.iq/en/" TargetMode="External"/><Relationship Id="rId49" Type="http://schemas.openxmlformats.org/officeDocument/2006/relationships/hyperlink" Target="https://www.kib.iq/en" TargetMode="External"/><Relationship Id="rId103" Type="http://schemas.openxmlformats.org/officeDocument/2006/relationships/hyperlink" Target="https://www.bernaadvogados.pt/home.html" TargetMode="External"/><Relationship Id="rId102" Type="http://schemas.openxmlformats.org/officeDocument/2006/relationships/hyperlink" Target="https://3dvtc.com/contactus/" TargetMode="External"/><Relationship Id="rId101" Type="http://schemas.openxmlformats.org/officeDocument/2006/relationships/hyperlink" Target="https://ahgroup-pk.com/contact" TargetMode="External"/><Relationship Id="rId100" Type="http://schemas.openxmlformats.org/officeDocument/2006/relationships/hyperlink" Target="https://www.lawzand.com/" TargetMode="External"/><Relationship Id="rId31" Type="http://schemas.openxmlformats.org/officeDocument/2006/relationships/hyperlink" Target="https://tbi.com.iq/home/" TargetMode="External"/><Relationship Id="rId30" Type="http://schemas.openxmlformats.org/officeDocument/2006/relationships/hyperlink" Target="https://rasheedbank.gov.iq/ar/contact" TargetMode="External"/><Relationship Id="rId33" Type="http://schemas.openxmlformats.org/officeDocument/2006/relationships/hyperlink" Target="mailto:cibiq.info@cibiq.com.iq" TargetMode="External"/><Relationship Id="rId32" Type="http://schemas.openxmlformats.org/officeDocument/2006/relationships/hyperlink" Target="https://www.indbk.gov.iq/en/" TargetMode="External"/><Relationship Id="rId35" Type="http://schemas.openxmlformats.org/officeDocument/2006/relationships/hyperlink" Target="https://ibi-bankiraq.com/en/home/" TargetMode="External"/><Relationship Id="rId34" Type="http://schemas.openxmlformats.org/officeDocument/2006/relationships/hyperlink" Target="https://imeib.iq/?page=100" TargetMode="External"/><Relationship Id="rId37" Type="http://schemas.openxmlformats.org/officeDocument/2006/relationships/hyperlink" Target="mailto:customers_care@almosulbank.iq" TargetMode="External"/><Relationship Id="rId36" Type="http://schemas.openxmlformats.org/officeDocument/2006/relationships/hyperlink" Target="https://unitedbank.iq/" TargetMode="External"/><Relationship Id="rId39" Type="http://schemas.openxmlformats.org/officeDocument/2006/relationships/hyperlink" Target="https://ebi.iq/" TargetMode="External"/><Relationship Id="rId38" Type="http://schemas.openxmlformats.org/officeDocument/2006/relationships/hyperlink" Target="mailto:%20info@ebi.iq" TargetMode="External"/><Relationship Id="rId20" Type="http://schemas.openxmlformats.org/officeDocument/2006/relationships/hyperlink" Target="https://www.arazu.iq/?fbclid=IwY2xjawIyixdleHRuA2FlbQIxMAABHdq0ESOrY-U8DUrzv0iW2A2Bw5Upo6fBLlb5GmbMzb2cM9GHd0z0JHCJEA_aem_nuz2oDCSU9CJQoV8oKIMGw" TargetMode="External"/><Relationship Id="rId22" Type="http://schemas.openxmlformats.org/officeDocument/2006/relationships/hyperlink" Target="http://www.avenue-iq.com/?fbclid=IwZXh0bgNhZW0CMTAAAR2bUBk725EJLwyw6ZD2IlLb1twY2JeMWSVaLhr1BMg8l0Y5YPhZh8TFwGI_aem_dGIQUiKv07pQFQEBLaveyA" TargetMode="External"/><Relationship Id="rId21" Type="http://schemas.openxmlformats.org/officeDocument/2006/relationships/hyperlink" Target="http://alyaqinco.com" TargetMode="External"/><Relationship Id="rId24" Type="http://schemas.openxmlformats.org/officeDocument/2006/relationships/hyperlink" Target="https://www.marfaa-alkhair.com/?fbclid=IwY2xjawIzh4FleHRuA2FlbQIxMAABHVAbafcXUykUeko0pQ1fDCaX54jaoJtukvQWtZ_dsPr30AYHK_sftYLPYQ_aem__KjQWnx0UjewQxCpbhoKEw" TargetMode="External"/><Relationship Id="rId23" Type="http://schemas.openxmlformats.org/officeDocument/2006/relationships/hyperlink" Target="http://www.aden-iq.com/?fbclid=IwZXh0bgNhZW0CMTAAAR0U8_SwVRxU0vr7zM2hnUiEZEP7WvbdwirPE_-dtufO1DOtYYqX2Pw_qUw_aem_CSv9QwTZLT16AoXP-Yr3XA" TargetMode="External"/><Relationship Id="rId129" Type="http://schemas.openxmlformats.org/officeDocument/2006/relationships/hyperlink" Target="http://accomi.ae" TargetMode="External"/><Relationship Id="rId128" Type="http://schemas.openxmlformats.org/officeDocument/2006/relationships/hyperlink" Target="https://icarlton.com/" TargetMode="External"/><Relationship Id="rId127" Type="http://schemas.openxmlformats.org/officeDocument/2006/relationships/hyperlink" Target="https://www.dhabahawalpur.com/" TargetMode="External"/><Relationship Id="rId126" Type="http://schemas.openxmlformats.org/officeDocument/2006/relationships/hyperlink" Target="https://thinkprop.ae/en?srsltid=AfmBOoq5WCQfoHfqlzTOdQOBdo5uvyrREjaHLqGcvZ6m3EMBzJWJtFvV" TargetMode="External"/><Relationship Id="rId26" Type="http://schemas.openxmlformats.org/officeDocument/2006/relationships/hyperlink" Target="https://www.shanashel.com/en/" TargetMode="External"/><Relationship Id="rId121" Type="http://schemas.openxmlformats.org/officeDocument/2006/relationships/hyperlink" Target="https://www.sealra.com/contact-us/" TargetMode="External"/><Relationship Id="rId25" Type="http://schemas.openxmlformats.org/officeDocument/2006/relationships/hyperlink" Target="http://shanashel.com/" TargetMode="External"/><Relationship Id="rId120" Type="http://schemas.openxmlformats.org/officeDocument/2006/relationships/hyperlink" Target="https://www.samanadevelopers.com/contact" TargetMode="External"/><Relationship Id="rId28" Type="http://schemas.openxmlformats.org/officeDocument/2006/relationships/hyperlink" Target="http://www.rafidain-bank.org/" TargetMode="External"/><Relationship Id="rId27" Type="http://schemas.openxmlformats.org/officeDocument/2006/relationships/hyperlink" Target="http://www.agriculturalbank.gov.iq/" TargetMode="External"/><Relationship Id="rId125" Type="http://schemas.openxmlformats.org/officeDocument/2006/relationships/hyperlink" Target="https://medeniyetleryapi.com/" TargetMode="External"/><Relationship Id="rId29" Type="http://schemas.openxmlformats.org/officeDocument/2006/relationships/hyperlink" Target="https://www.rafidain-bank.gov.iq/?contact" TargetMode="External"/><Relationship Id="rId124" Type="http://schemas.openxmlformats.org/officeDocument/2006/relationships/hyperlink" Target="http://otium.ge" TargetMode="External"/><Relationship Id="rId123" Type="http://schemas.openxmlformats.org/officeDocument/2006/relationships/hyperlink" Target="http://weset.io" TargetMode="External"/><Relationship Id="rId122" Type="http://schemas.openxmlformats.org/officeDocument/2006/relationships/hyperlink" Target="http://thegoldenvisa.pt" TargetMode="External"/><Relationship Id="rId95" Type="http://schemas.openxmlformats.org/officeDocument/2006/relationships/hyperlink" Target="https://www.arammimarlik.com/" TargetMode="External"/><Relationship Id="rId94" Type="http://schemas.openxmlformats.org/officeDocument/2006/relationships/hyperlink" Target="https://salaeigroup.com/" TargetMode="External"/><Relationship Id="rId97" Type="http://schemas.openxmlformats.org/officeDocument/2006/relationships/hyperlink" Target="https://npbsco.com/government-defense/" TargetMode="External"/><Relationship Id="rId96" Type="http://schemas.openxmlformats.org/officeDocument/2006/relationships/hyperlink" Target="https://chwarbarda.com/" TargetMode="External"/><Relationship Id="rId11" Type="http://schemas.openxmlformats.org/officeDocument/2006/relationships/hyperlink" Target="https://dlishar.com/" TargetMode="External"/><Relationship Id="rId99" Type="http://schemas.openxmlformats.org/officeDocument/2006/relationships/hyperlink" Target="https://allngar.com/about/" TargetMode="External"/><Relationship Id="rId10" Type="http://schemas.openxmlformats.org/officeDocument/2006/relationships/hyperlink" Target="https://www.mjholding.co/" TargetMode="External"/><Relationship Id="rId98" Type="http://schemas.openxmlformats.org/officeDocument/2006/relationships/hyperlink" Target="https://www.halabjagroup.com/" TargetMode="External"/><Relationship Id="rId13" Type="http://schemas.openxmlformats.org/officeDocument/2006/relationships/hyperlink" Target="https://grandblvd.org/contactus" TargetMode="External"/><Relationship Id="rId12" Type="http://schemas.openxmlformats.org/officeDocument/2006/relationships/hyperlink" Target="https://www.titanictowers.com/En/" TargetMode="External"/><Relationship Id="rId91" Type="http://schemas.openxmlformats.org/officeDocument/2006/relationships/hyperlink" Target="https://www.fpmarkets.com/" TargetMode="External"/><Relationship Id="rId90" Type="http://schemas.openxmlformats.org/officeDocument/2006/relationships/hyperlink" Target="https://pepperstone.com/en/" TargetMode="External"/><Relationship Id="rId93" Type="http://schemas.openxmlformats.org/officeDocument/2006/relationships/hyperlink" Target="https://almabna-alamer.com/en" TargetMode="External"/><Relationship Id="rId92" Type="http://schemas.openxmlformats.org/officeDocument/2006/relationships/hyperlink" Target="https://www.zarya.co/?fbclid=IwY2xjawJPfZ9leHRuA2FlbQIxMAABHaGPjUVTTNmAO8ajweeR6ILlFDTcIHo-eXjm4z02W76ComLaS74qfMpAUg_aem_lIO3sBtJliif-EOPWp75KA" TargetMode="External"/><Relationship Id="rId118" Type="http://schemas.openxmlformats.org/officeDocument/2006/relationships/hyperlink" Target="https://megaworldinternational.com/contact/" TargetMode="External"/><Relationship Id="rId117" Type="http://schemas.openxmlformats.org/officeDocument/2006/relationships/hyperlink" Target="https://iqratech.ae/" TargetMode="External"/><Relationship Id="rId116" Type="http://schemas.openxmlformats.org/officeDocument/2006/relationships/hyperlink" Target="https://homelandtr.com/contact-us" TargetMode="External"/><Relationship Id="rId115" Type="http://schemas.openxmlformats.org/officeDocument/2006/relationships/hyperlink" Target="https://www.hbhadvocates.ae/" TargetMode="External"/><Relationship Id="rId119" Type="http://schemas.openxmlformats.org/officeDocument/2006/relationships/hyperlink" Target="https://nextgroup.ge/contacts?srsltid=AfmBOoqebMSZt3Xe73Y4-Lmt-59iqMsfdxDhH0YFmaeAfQxokTXHbWHf" TargetMode="External"/><Relationship Id="rId15" Type="http://schemas.openxmlformats.org/officeDocument/2006/relationships/hyperlink" Target="https://marjancity.org/" TargetMode="External"/><Relationship Id="rId110" Type="http://schemas.openxmlformats.org/officeDocument/2006/relationships/hyperlink" Target="https://e11evenresidences.com/lifebeyond/?utm_source=google&amp;utm_campaign=E11even%20Miami20-%20Broad%20-%20tRoas%20-%20Miami%20Geo&amp;utm_medium=ppc&amp;gad_source=1&amp;gclid=CjwKCAjwzMi_BhACEiwAX4YZULtaV5hqXphfcYoWc43Ujc6ce43i9nwSvBdFwuw9oKbIArdQrdKtRBoCC1AQAvD_BwE" TargetMode="External"/><Relationship Id="rId14" Type="http://schemas.openxmlformats.org/officeDocument/2006/relationships/hyperlink" Target="https://www.lawzand.com/contact" TargetMode="External"/><Relationship Id="rId17" Type="http://schemas.openxmlformats.org/officeDocument/2006/relationships/hyperlink" Target="https://www.zest-property.com/agents" TargetMode="External"/><Relationship Id="rId16" Type="http://schemas.openxmlformats.org/officeDocument/2006/relationships/hyperlink" Target="https://www.halabjagroup.com/bayan-real-estate" TargetMode="External"/><Relationship Id="rId19" Type="http://schemas.openxmlformats.org/officeDocument/2006/relationships/hyperlink" Target="mailto:info@arazu.iq" TargetMode="External"/><Relationship Id="rId114" Type="http://schemas.openxmlformats.org/officeDocument/2006/relationships/hyperlink" Target="https://go-smart.com.tr/%d8%a7%d8%aa%d8%b5%d9%84-%d8%a8%d9%86%d8%a7/" TargetMode="External"/><Relationship Id="rId18" Type="http://schemas.openxmlformats.org/officeDocument/2006/relationships/hyperlink" Target="https://reachrealestate.com/contact/" TargetMode="External"/><Relationship Id="rId113" Type="http://schemas.openxmlformats.org/officeDocument/2006/relationships/hyperlink" Target="https://eres.ae/" TargetMode="External"/><Relationship Id="rId112" Type="http://schemas.openxmlformats.org/officeDocument/2006/relationships/hyperlink" Target="https://elhajgroup.com/contact-us" TargetMode="External"/><Relationship Id="rId111" Type="http://schemas.openxmlformats.org/officeDocument/2006/relationships/hyperlink" Target="https://doubledragonsales.com.ph/contact/" TargetMode="External"/><Relationship Id="rId84" Type="http://schemas.openxmlformats.org/officeDocument/2006/relationships/hyperlink" Target="https://globalprime.com/?refcode=82415" TargetMode="External"/><Relationship Id="rId83" Type="http://schemas.openxmlformats.org/officeDocument/2006/relationships/hyperlink" Target="https://www.forexiraq.net/" TargetMode="External"/><Relationship Id="rId86" Type="http://schemas.openxmlformats.org/officeDocument/2006/relationships/hyperlink" Target="https://cfi.trade/ar/jo" TargetMode="External"/><Relationship Id="rId85" Type="http://schemas.openxmlformats.org/officeDocument/2006/relationships/hyperlink" Target="https://tnfx.co/ku/" TargetMode="External"/><Relationship Id="rId88" Type="http://schemas.openxmlformats.org/officeDocument/2006/relationships/hyperlink" Target="https://en.windsorbrokers.com/" TargetMode="External"/><Relationship Id="rId87" Type="http://schemas.openxmlformats.org/officeDocument/2006/relationships/hyperlink" Target="https://axpfx.com/" TargetMode="External"/><Relationship Id="rId89" Type="http://schemas.openxmlformats.org/officeDocument/2006/relationships/hyperlink" Target="https://admiralmarkets.com/about-us/contact-us" TargetMode="External"/><Relationship Id="rId80" Type="http://schemas.openxmlformats.org/officeDocument/2006/relationships/hyperlink" Target="https://saicinsurance.net/" TargetMode="External"/><Relationship Id="rId82" Type="http://schemas.openxmlformats.org/officeDocument/2006/relationships/hyperlink" Target="https://ettihadiraqi.com/" TargetMode="External"/><Relationship Id="rId81" Type="http://schemas.openxmlformats.org/officeDocument/2006/relationships/hyperlink" Target="https://nic.mof.gov.iq/contact.php" TargetMode="External"/><Relationship Id="rId1" Type="http://schemas.openxmlformats.org/officeDocument/2006/relationships/hyperlink" Target="https://www.abraajbaghdad.com/" TargetMode="External"/><Relationship Id="rId2" Type="http://schemas.openxmlformats.org/officeDocument/2006/relationships/hyperlink" Target="https://ycompound.com/en" TargetMode="External"/><Relationship Id="rId3" Type="http://schemas.openxmlformats.org/officeDocument/2006/relationships/hyperlink" Target="https://palmtowersiq.com/" TargetMode="External"/><Relationship Id="rId4" Type="http://schemas.openxmlformats.org/officeDocument/2006/relationships/hyperlink" Target="https://www.facebook.com/KholoodResidence/" TargetMode="External"/><Relationship Id="rId9" Type="http://schemas.openxmlformats.org/officeDocument/2006/relationships/hyperlink" Target="https://lamacc.com/" TargetMode="External"/><Relationship Id="rId5" Type="http://schemas.openxmlformats.org/officeDocument/2006/relationships/hyperlink" Target="https://www.facebook.com/zayona.compound/" TargetMode="External"/><Relationship Id="rId6" Type="http://schemas.openxmlformats.org/officeDocument/2006/relationships/hyperlink" Target="https://anfasllc.com/swiss-complex" TargetMode="External"/><Relationship Id="rId7" Type="http://schemas.openxmlformats.org/officeDocument/2006/relationships/hyperlink" Target="https://www.nasimcity.com/?fbclid=IwY2xjawJHZUVleHRuA2FlbQIxMAABHYfp7R80kNl9OjX6GKJuTw4EqQ_WyGrOkZ8RmM5VczNufMv7mpj2KZGMSA_aem_MR9gJjePHxWBnwgnn7DLfg" TargetMode="External"/><Relationship Id="rId8" Type="http://schemas.openxmlformats.org/officeDocument/2006/relationships/hyperlink" Target="https://www.nasimcity.com/?fbclid=IwY2xjawJHZUVleHRuA2FlbQIxMAABHYfp7R80kNl9OjX6GKJuTw4EqQ_WyGrOkZ8RmM5VczNufMv7mpj2KZGMSA_aem_MR9gJjePHxWBnwgnn7DLfg" TargetMode="External"/><Relationship Id="rId73" Type="http://schemas.openxmlformats.org/officeDocument/2006/relationships/hyperlink" Target="https://gulfinsco.com/en/" TargetMode="External"/><Relationship Id="rId72" Type="http://schemas.openxmlformats.org/officeDocument/2006/relationships/hyperlink" Target="https://www.albatek.iq/" TargetMode="External"/><Relationship Id="rId75" Type="http://schemas.openxmlformats.org/officeDocument/2006/relationships/hyperlink" Target="https://trustiraq.iq/Contact" TargetMode="External"/><Relationship Id="rId74" Type="http://schemas.openxmlformats.org/officeDocument/2006/relationships/hyperlink" Target="https://aic-iraq.com/en/Home/Index" TargetMode="External"/><Relationship Id="rId77" Type="http://schemas.openxmlformats.org/officeDocument/2006/relationships/hyperlink" Target="https://alsharq-ins.iq/en/home/" TargetMode="External"/><Relationship Id="rId76" Type="http://schemas.openxmlformats.org/officeDocument/2006/relationships/hyperlink" Target="https://www.alandalus-iq.com/?lang=en" TargetMode="External"/><Relationship Id="rId79" Type="http://schemas.openxmlformats.org/officeDocument/2006/relationships/hyperlink" Target="https://www.sic-iq.com/Ar/Contact.aspx" TargetMode="External"/><Relationship Id="rId78" Type="http://schemas.openxmlformats.org/officeDocument/2006/relationships/hyperlink" Target="https://www.alhamraains.com/contact-2/" TargetMode="External"/><Relationship Id="rId71" Type="http://schemas.openxmlformats.org/officeDocument/2006/relationships/hyperlink" Target="https://www.albadia-iq.com/contact" TargetMode="External"/><Relationship Id="rId70" Type="http://schemas.openxmlformats.org/officeDocument/2006/relationships/hyperlink" Target="https://www.al-maseer.com/?page_id=105" TargetMode="External"/><Relationship Id="rId130" Type="http://schemas.openxmlformats.org/officeDocument/2006/relationships/drawing" Target="../drawings/drawing9.xml"/><Relationship Id="rId62" Type="http://schemas.openxmlformats.org/officeDocument/2006/relationships/hyperlink" Target="https://www.albaraka.com.iq/" TargetMode="External"/><Relationship Id="rId61" Type="http://schemas.openxmlformats.org/officeDocument/2006/relationships/hyperlink" Target="https://www.ziraatbank.iq/en/contact" TargetMode="External"/><Relationship Id="rId64" Type="http://schemas.openxmlformats.org/officeDocument/2006/relationships/hyperlink" Target="https://aman.iq/en/contact" TargetMode="External"/><Relationship Id="rId63" Type="http://schemas.openxmlformats.org/officeDocument/2006/relationships/hyperlink" Target="https://multibank.krd/en" TargetMode="External"/><Relationship Id="rId66" Type="http://schemas.openxmlformats.org/officeDocument/2006/relationships/hyperlink" Target="https://www.songa.iq/" TargetMode="External"/><Relationship Id="rId65" Type="http://schemas.openxmlformats.org/officeDocument/2006/relationships/hyperlink" Target="https://uriic.in/contact/" TargetMode="External"/><Relationship Id="rId68" Type="http://schemas.openxmlformats.org/officeDocument/2006/relationships/hyperlink" Target="https://kar-insurance.com/en/home/" TargetMode="External"/><Relationship Id="rId67" Type="http://schemas.openxmlformats.org/officeDocument/2006/relationships/hyperlink" Target="https://dilnia.com/" TargetMode="External"/><Relationship Id="rId60" Type="http://schemas.openxmlformats.org/officeDocument/2006/relationships/hyperlink" Target="https://www.cihanbank.com.iq/branches/" TargetMode="External"/><Relationship Id="rId69" Type="http://schemas.openxmlformats.org/officeDocument/2006/relationships/hyperlink" Target="https://cihaninsurance.com/" TargetMode="External"/><Relationship Id="rId51" Type="http://schemas.openxmlformats.org/officeDocument/2006/relationships/hyperlink" Target="https://amb.iq/en/branches/" TargetMode="External"/><Relationship Id="rId50" Type="http://schemas.openxmlformats.org/officeDocument/2006/relationships/hyperlink" Target="https://www.taifib.iq/HomeEN/branchesEN" TargetMode="External"/><Relationship Id="rId53" Type="http://schemas.openxmlformats.org/officeDocument/2006/relationships/hyperlink" Target="https://www.inibiq.iq/iraq-noor-islamic-bank-received-a-letter-of-thanks-and-appreciation" TargetMode="External"/><Relationship Id="rId52" Type="http://schemas.openxmlformats.org/officeDocument/2006/relationships/hyperlink" Target="https://ab.iq/en/webform/contact-us" TargetMode="External"/><Relationship Id="rId55" Type="http://schemas.openxmlformats.org/officeDocument/2006/relationships/hyperlink" Target="https://fib.iq/" TargetMode="External"/><Relationship Id="rId54" Type="http://schemas.openxmlformats.org/officeDocument/2006/relationships/hyperlink" Target="https://alqurtas.iq/contact-us/" TargetMode="External"/><Relationship Id="rId57" Type="http://schemas.openxmlformats.org/officeDocument/2006/relationships/hyperlink" Target="https://itbank.iq/en/branches/" TargetMode="External"/><Relationship Id="rId56" Type="http://schemas.openxmlformats.org/officeDocument/2006/relationships/hyperlink" Target="https://www.idb.iq/iq/en/contact" TargetMode="External"/><Relationship Id="rId59" Type="http://schemas.openxmlformats.org/officeDocument/2006/relationships/hyperlink" Target="https://www.jib.iq/" TargetMode="External"/><Relationship Id="rId58" Type="http://schemas.openxmlformats.org/officeDocument/2006/relationships/hyperlink" Target="https://regiontradebank.com/ar/"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delav.c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0" Type="http://schemas.openxmlformats.org/officeDocument/2006/relationships/drawing" Target="../drawings/drawing12.xml"/><Relationship Id="rId20" Type="http://schemas.openxmlformats.org/officeDocument/2006/relationships/hyperlink" Target="https://www.samanadevelopers.com/contact" TargetMode="External"/><Relationship Id="rId22" Type="http://schemas.openxmlformats.org/officeDocument/2006/relationships/hyperlink" Target="http://thegoldenvisa.pt" TargetMode="External"/><Relationship Id="rId21" Type="http://schemas.openxmlformats.org/officeDocument/2006/relationships/hyperlink" Target="https://www.sealra.com/contact-us/" TargetMode="External"/><Relationship Id="rId24" Type="http://schemas.openxmlformats.org/officeDocument/2006/relationships/hyperlink" Target="http://otium.ge" TargetMode="External"/><Relationship Id="rId23" Type="http://schemas.openxmlformats.org/officeDocument/2006/relationships/hyperlink" Target="http://weset.io" TargetMode="External"/><Relationship Id="rId26" Type="http://schemas.openxmlformats.org/officeDocument/2006/relationships/hyperlink" Target="https://thinkprop.ae/en?srsltid=AfmBOoq5WCQfoHfqlzTOdQOBdo5uvyrREjaHLqGcvZ6m3EMBzJWJtFvV" TargetMode="External"/><Relationship Id="rId25" Type="http://schemas.openxmlformats.org/officeDocument/2006/relationships/hyperlink" Target="https://medeniyetleryapi.com/" TargetMode="External"/><Relationship Id="rId28" Type="http://schemas.openxmlformats.org/officeDocument/2006/relationships/hyperlink" Target="https://icarlton.com/" TargetMode="External"/><Relationship Id="rId27" Type="http://schemas.openxmlformats.org/officeDocument/2006/relationships/hyperlink" Target="https://www.dhabahawalpur.com/" TargetMode="External"/><Relationship Id="rId29" Type="http://schemas.openxmlformats.org/officeDocument/2006/relationships/hyperlink" Target="http://accomi.ae" TargetMode="External"/><Relationship Id="rId11" Type="http://schemas.openxmlformats.org/officeDocument/2006/relationships/hyperlink" Target="https://doubledragonsales.com.ph/contact/" TargetMode="External"/><Relationship Id="rId10" Type="http://schemas.openxmlformats.org/officeDocument/2006/relationships/hyperlink" Target="https://e11evenresidences.com/lifebeyond/?utm_source=google&amp;utm_campaign=E11even%20Miami20-%20Broad%20-%20tRoas%20-%20Miami%20Geo&amp;utm_medium=ppc&amp;gad_source=1&amp;gclid=CjwKCAjwzMi_BhACEiwAX4YZULtaV5hqXphfcYoWc43Ujc6ce43i9nwSvBdFwuw9oKbIArdQrdKtRBoCC1AQAvD_BwE" TargetMode="External"/><Relationship Id="rId13" Type="http://schemas.openxmlformats.org/officeDocument/2006/relationships/hyperlink" Target="https://eres.ae/" TargetMode="External"/><Relationship Id="rId12" Type="http://schemas.openxmlformats.org/officeDocument/2006/relationships/hyperlink" Target="https://elhajgroup.com/contact-us" TargetMode="External"/><Relationship Id="rId15" Type="http://schemas.openxmlformats.org/officeDocument/2006/relationships/hyperlink" Target="https://www.hbhadvocates.ae/" TargetMode="External"/><Relationship Id="rId14" Type="http://schemas.openxmlformats.org/officeDocument/2006/relationships/hyperlink" Target="https://go-smart.com.tr/%d8%a7%d8%aa%d8%b5%d9%84-%d8%a8%d9%86%d8%a7/" TargetMode="External"/><Relationship Id="rId17" Type="http://schemas.openxmlformats.org/officeDocument/2006/relationships/hyperlink" Target="https://iqratech.ae/" TargetMode="External"/><Relationship Id="rId16" Type="http://schemas.openxmlformats.org/officeDocument/2006/relationships/hyperlink" Target="https://homelandtr.com/contact-us" TargetMode="External"/><Relationship Id="rId19" Type="http://schemas.openxmlformats.org/officeDocument/2006/relationships/hyperlink" Target="https://nextgroup.ge/contacts?srsltid=AfmBOoqebMSZt3Xe73Y4-Lmt-59iqMsfdxDhH0YFmaeAfQxokTXHbWHf" TargetMode="External"/><Relationship Id="rId18" Type="http://schemas.openxmlformats.org/officeDocument/2006/relationships/hyperlink" Target="https://megaworldinternational.com/contact/" TargetMode="External"/><Relationship Id="rId1" Type="http://schemas.openxmlformats.org/officeDocument/2006/relationships/hyperlink" Target="https://ahgroup-pk.com/contact" TargetMode="External"/><Relationship Id="rId2" Type="http://schemas.openxmlformats.org/officeDocument/2006/relationships/hyperlink" Target="https://3dvtc.com/contactus/" TargetMode="External"/><Relationship Id="rId3" Type="http://schemas.openxmlformats.org/officeDocument/2006/relationships/hyperlink" Target="https://www.bernaadvogados.pt/home.html" TargetMode="External"/><Relationship Id="rId4" Type="http://schemas.openxmlformats.org/officeDocument/2006/relationships/hyperlink" Target="https://www.binghatti.com/en/?_gl=1*spxedd*_gcl_au*MTc0MzE0Njc5Ni4xNzQzODU1MDI2" TargetMode="External"/><Relationship Id="rId9" Type="http://schemas.openxmlformats.org/officeDocument/2006/relationships/hyperlink" Target="https://digitme.io/" TargetMode="External"/><Relationship Id="rId5" Type="http://schemas.openxmlformats.org/officeDocument/2006/relationships/hyperlink" Target="https://canopysands.com/en/" TargetMode="External"/><Relationship Id="rId6" Type="http://schemas.openxmlformats.org/officeDocument/2006/relationships/hyperlink" Target="https://www.casa10.pt/contactos" TargetMode="External"/><Relationship Id="rId7" Type="http://schemas.openxmlformats.org/officeDocument/2006/relationships/hyperlink" Target="https://www.cbdpunjab.gov.pk/" TargetMode="External"/><Relationship Id="rId8" Type="http://schemas.openxmlformats.org/officeDocument/2006/relationships/hyperlink" Target="https://ceoclubsnetwork.org/"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l-maseer.com/?page_id=105" TargetMode="External"/><Relationship Id="rId2" Type="http://schemas.openxmlformats.org/officeDocument/2006/relationships/hyperlink" Target="https://uriic.in/contact/" TargetMode="External"/><Relationship Id="rId3" Type="http://schemas.openxmlformats.org/officeDocument/2006/relationships/hyperlink" Target="https://www.wataniya.com.sa/" TargetMode="External"/><Relationship Id="rId4" Type="http://schemas.openxmlformats.org/officeDocument/2006/relationships/hyperlink" Target="https://www.alandalus-iq.com/?lang=en"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40" Type="http://schemas.openxmlformats.org/officeDocument/2006/relationships/hyperlink" Target="https://petramagic.com/" TargetMode="External"/><Relationship Id="rId42" Type="http://schemas.openxmlformats.org/officeDocument/2006/relationships/hyperlink" Target="https://larry-company.com/" TargetMode="External"/><Relationship Id="rId41" Type="http://schemas.openxmlformats.org/officeDocument/2006/relationships/hyperlink" Target="mailto:info@larry-company.com" TargetMode="External"/><Relationship Id="rId44" Type="http://schemas.openxmlformats.org/officeDocument/2006/relationships/hyperlink" Target="mailto:info@albatek.iq" TargetMode="External"/><Relationship Id="rId43" Type="http://schemas.openxmlformats.org/officeDocument/2006/relationships/hyperlink" Target="https://www.4th-dim.com/" TargetMode="External"/><Relationship Id="rId46" Type="http://schemas.openxmlformats.org/officeDocument/2006/relationships/drawing" Target="../drawings/drawing14.xml"/><Relationship Id="rId45" Type="http://schemas.openxmlformats.org/officeDocument/2006/relationships/hyperlink" Target="https://www.albatek.iq/contact-us/" TargetMode="External"/><Relationship Id="rId31" Type="http://schemas.openxmlformats.org/officeDocument/2006/relationships/hyperlink" Target="https://www.demaform.com/" TargetMode="External"/><Relationship Id="rId30" Type="http://schemas.openxmlformats.org/officeDocument/2006/relationships/hyperlink" Target="https://caparolarabia.com/dealer/iraq/" TargetMode="External"/><Relationship Id="rId33" Type="http://schemas.openxmlformats.org/officeDocument/2006/relationships/hyperlink" Target="https://sarmad-group.com/contact-us/" TargetMode="External"/><Relationship Id="rId32" Type="http://schemas.openxmlformats.org/officeDocument/2006/relationships/hyperlink" Target="mailto:info@sarmad-group.com" TargetMode="External"/><Relationship Id="rId35" Type="http://schemas.openxmlformats.org/officeDocument/2006/relationships/hyperlink" Target="https://sana.iq/" TargetMode="External"/><Relationship Id="rId34" Type="http://schemas.openxmlformats.org/officeDocument/2006/relationships/hyperlink" Target="mailto:info@sana.iq" TargetMode="External"/><Relationship Id="rId37" Type="http://schemas.openxmlformats.org/officeDocument/2006/relationships/hyperlink" Target="mailto:baiaraco@yahoo.com" TargetMode="External"/><Relationship Id="rId36" Type="http://schemas.openxmlformats.org/officeDocument/2006/relationships/hyperlink" Target="https://iraqishaded.com/contact-us/" TargetMode="External"/><Relationship Id="rId39" Type="http://schemas.openxmlformats.org/officeDocument/2006/relationships/hyperlink" Target="https://baytiraq.com/contact/" TargetMode="External"/><Relationship Id="rId38" Type="http://schemas.openxmlformats.org/officeDocument/2006/relationships/hyperlink" Target="https://www.algheed.net/Contactus.aspx" TargetMode="External"/><Relationship Id="rId20" Type="http://schemas.openxmlformats.org/officeDocument/2006/relationships/hyperlink" Target="https://al-safa.com.iq/en/contact-us/" TargetMode="External"/><Relationship Id="rId22" Type="http://schemas.openxmlformats.org/officeDocument/2006/relationships/hyperlink" Target="https://al-safa.com/contact-us.html" TargetMode="External"/><Relationship Id="rId21" Type="http://schemas.openxmlformats.org/officeDocument/2006/relationships/hyperlink" Target="mailto:sales@al-safa.com" TargetMode="External"/><Relationship Id="rId24" Type="http://schemas.openxmlformats.org/officeDocument/2006/relationships/hyperlink" Target="https://www.bizmideast.com/IQ/%D8%A7%D8%B5%D8%A8%D8%A7%D8%BA-%D9%83%D8%A7%D8%A8%D8%A7%D8%B1%D9%88%D9%84-%D8%A7%D9%84%D8%A7%D9%84%D9%85%D8%A7%D9%86%D9%8A%D8%A9-caparol-paints-0773-490-4166" TargetMode="External"/><Relationship Id="rId23" Type="http://schemas.openxmlformats.org/officeDocument/2006/relationships/hyperlink" Target="mailto:info@caparol.ae" TargetMode="External"/><Relationship Id="rId26" Type="http://schemas.openxmlformats.org/officeDocument/2006/relationships/hyperlink" Target="https://caparolarabia.com/dealer/iraq/" TargetMode="External"/><Relationship Id="rId25" Type="http://schemas.openxmlformats.org/officeDocument/2006/relationships/hyperlink" Target="mailto:wadialameek@gmail.com" TargetMode="External"/><Relationship Id="rId28" Type="http://schemas.openxmlformats.org/officeDocument/2006/relationships/hyperlink" Target="https://caparolarabia.com/dealer/iraq/" TargetMode="External"/><Relationship Id="rId27" Type="http://schemas.openxmlformats.org/officeDocument/2006/relationships/hyperlink" Target="mailto:basimaltop@yahoo.com" TargetMode="External"/><Relationship Id="rId29" Type="http://schemas.openxmlformats.org/officeDocument/2006/relationships/hyperlink" Target="mailto:caparol.krisk@gmail.com" TargetMode="External"/><Relationship Id="rId11" Type="http://schemas.openxmlformats.org/officeDocument/2006/relationships/hyperlink" Target="mailto:info@babilinternational.com" TargetMode="External"/><Relationship Id="rId10" Type="http://schemas.openxmlformats.org/officeDocument/2006/relationships/hyperlink" Target="https://palmofbabylon.com/en/contact.html" TargetMode="External"/><Relationship Id="rId13" Type="http://schemas.openxmlformats.org/officeDocument/2006/relationships/hyperlink" Target="mailto:br.bajger@cihanbank.com.iq" TargetMode="External"/><Relationship Id="rId12" Type="http://schemas.openxmlformats.org/officeDocument/2006/relationships/hyperlink" Target="https://babilinternational.com/contactus.html" TargetMode="External"/><Relationship Id="rId15" Type="http://schemas.openxmlformats.org/officeDocument/2006/relationships/hyperlink" Target="mailto:info@bbk.iq" TargetMode="External"/><Relationship Id="rId14" Type="http://schemas.openxmlformats.org/officeDocument/2006/relationships/hyperlink" Target="https://www.cihanbank.com.iq/en/branches-2/" TargetMode="External"/><Relationship Id="rId17" Type="http://schemas.openxmlformats.org/officeDocument/2006/relationships/hyperlink" Target="mailto:info@larsatradingagencies.com" TargetMode="External"/><Relationship Id="rId16" Type="http://schemas.openxmlformats.org/officeDocument/2006/relationships/hyperlink" Target="https://bbk.iq/index.php/contact-us/" TargetMode="External"/><Relationship Id="rId19" Type="http://schemas.openxmlformats.org/officeDocument/2006/relationships/hyperlink" Target="mailto:info@al-safa.com.iq" TargetMode="External"/><Relationship Id="rId18" Type="http://schemas.openxmlformats.org/officeDocument/2006/relationships/hyperlink" Target="https://larsatradingagencies.com/contacts.html" TargetMode="External"/><Relationship Id="rId1" Type="http://schemas.openxmlformats.org/officeDocument/2006/relationships/hyperlink" Target="mailto:info@saheliraq.com" TargetMode="External"/><Relationship Id="rId2" Type="http://schemas.openxmlformats.org/officeDocument/2006/relationships/hyperlink" Target="https://saheliraq.com/" TargetMode="External"/><Relationship Id="rId3" Type="http://schemas.openxmlformats.org/officeDocument/2006/relationships/hyperlink" Target="mailto:ajial@ajial-baghdad.com" TargetMode="External"/><Relationship Id="rId4" Type="http://schemas.openxmlformats.org/officeDocument/2006/relationships/hyperlink" Target="https://ajial-baghdad.com/" TargetMode="External"/><Relationship Id="rId9" Type="http://schemas.openxmlformats.org/officeDocument/2006/relationships/hyperlink" Target="mailto:info@palmofbabylon.com" TargetMode="External"/><Relationship Id="rId5" Type="http://schemas.openxmlformats.org/officeDocument/2006/relationships/hyperlink" Target="https://www.demaform.com/" TargetMode="External"/><Relationship Id="rId6" Type="http://schemas.openxmlformats.org/officeDocument/2006/relationships/hyperlink" Target="mailto:info@cihan.com" TargetMode="External"/><Relationship Id="rId7" Type="http://schemas.openxmlformats.org/officeDocument/2006/relationships/hyperlink" Target="https://cihan.com/" TargetMode="External"/><Relationship Id="rId8" Type="http://schemas.openxmlformats.org/officeDocument/2006/relationships/hyperlink" Target="mailto:omar.jedar.er@gmail.com"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aeb-qatar.com/" TargetMode="External"/><Relationship Id="rId42" Type="http://schemas.openxmlformats.org/officeDocument/2006/relationships/hyperlink" Target="https://www.khatibalami.com/" TargetMode="External"/><Relationship Id="rId41" Type="http://schemas.openxmlformats.org/officeDocument/2006/relationships/hyperlink" Target="mailto:info@khatibalami.com" TargetMode="External"/><Relationship Id="rId44" Type="http://schemas.openxmlformats.org/officeDocument/2006/relationships/hyperlink" Target="https://www.arabarchitects.com/" TargetMode="External"/><Relationship Id="rId43" Type="http://schemas.openxmlformats.org/officeDocument/2006/relationships/hyperlink" Target="mailto:info@arabarchitects.com" TargetMode="External"/><Relationship Id="rId46" Type="http://schemas.openxmlformats.org/officeDocument/2006/relationships/hyperlink" Target="https://www.designhouse.qa/" TargetMode="External"/><Relationship Id="rId45" Type="http://schemas.openxmlformats.org/officeDocument/2006/relationships/hyperlink" Target="mailto:info@designhouse.qa" TargetMode="External"/><Relationship Id="rId48" Type="http://schemas.openxmlformats.org/officeDocument/2006/relationships/hyperlink" Target="https://www.mirabellointeriors.com/" TargetMode="External"/><Relationship Id="rId47" Type="http://schemas.openxmlformats.org/officeDocument/2006/relationships/hyperlink" Target="mailto:info@mirabellointeriors.com" TargetMode="External"/><Relationship Id="rId49" Type="http://schemas.openxmlformats.org/officeDocument/2006/relationships/hyperlink" Target="mailto:art@spacegroup.com.qa" TargetMode="External"/><Relationship Id="rId31" Type="http://schemas.openxmlformats.org/officeDocument/2006/relationships/hyperlink" Target="https://www.retaj.com/" TargetMode="External"/><Relationship Id="rId30" Type="http://schemas.openxmlformats.org/officeDocument/2006/relationships/hyperlink" Target="mailto:info@retaj.com" TargetMode="External"/><Relationship Id="rId33" Type="http://schemas.openxmlformats.org/officeDocument/2006/relationships/hyperlink" Target="https://www.aljazi.com.qa/" TargetMode="External"/><Relationship Id="rId32" Type="http://schemas.openxmlformats.org/officeDocument/2006/relationships/hyperlink" Target="mailto:info@aljazi.com.qa" TargetMode="External"/><Relationship Id="rId35" Type="http://schemas.openxmlformats.org/officeDocument/2006/relationships/hyperlink" Target="https://www.capitaloneqa.com/" TargetMode="External"/><Relationship Id="rId34" Type="http://schemas.openxmlformats.org/officeDocument/2006/relationships/hyperlink" Target="mailto:info@capitaloneqa.com" TargetMode="External"/><Relationship Id="rId37" Type="http://schemas.openxmlformats.org/officeDocument/2006/relationships/hyperlink" Target="https://www.fgrealty.qa/" TargetMode="External"/><Relationship Id="rId36" Type="http://schemas.openxmlformats.org/officeDocument/2006/relationships/hyperlink" Target="mailto:info@fgrealty.qa" TargetMode="External"/><Relationship Id="rId39" Type="http://schemas.openxmlformats.org/officeDocument/2006/relationships/hyperlink" Target="mailto:info@aeb-qatar.com" TargetMode="External"/><Relationship Id="rId38" Type="http://schemas.openxmlformats.org/officeDocument/2006/relationships/hyperlink" Target="mailto:info@mycoreo.com" TargetMode="External"/><Relationship Id="rId20" Type="http://schemas.openxmlformats.org/officeDocument/2006/relationships/hyperlink" Target="https://www.myswitchin.com/" TargetMode="External"/><Relationship Id="rId22" Type="http://schemas.openxmlformats.org/officeDocument/2006/relationships/hyperlink" Target="https://www.qinvest.com/contact-us" TargetMode="External"/><Relationship Id="rId21" Type="http://schemas.openxmlformats.org/officeDocument/2006/relationships/hyperlink" Target="https://www.qnb.com/sites/qnb/qnbqatar/page/en/encontactus.html" TargetMode="External"/><Relationship Id="rId24" Type="http://schemas.openxmlformats.org/officeDocument/2006/relationships/hyperlink" Target="https://www.barwa.com.qa/" TargetMode="External"/><Relationship Id="rId23" Type="http://schemas.openxmlformats.org/officeDocument/2006/relationships/hyperlink" Target="mailto:info@qinvest.com" TargetMode="External"/><Relationship Id="rId26" Type="http://schemas.openxmlformats.org/officeDocument/2006/relationships/hyperlink" Target="https://www.msheireb.com/" TargetMode="External"/><Relationship Id="rId25" Type="http://schemas.openxmlformats.org/officeDocument/2006/relationships/hyperlink" Target="https://www.qatari-diar.com/" TargetMode="External"/><Relationship Id="rId28" Type="http://schemas.openxmlformats.org/officeDocument/2006/relationships/hyperlink" Target="mailto:info@alfardanproperties.com" TargetMode="External"/><Relationship Id="rId27" Type="http://schemas.openxmlformats.org/officeDocument/2006/relationships/hyperlink" Target="https://www.ezdanholding.qa/" TargetMode="External"/><Relationship Id="rId29" Type="http://schemas.openxmlformats.org/officeDocument/2006/relationships/hyperlink" Target="https://www.alfardanproperties.com/" TargetMode="External"/><Relationship Id="rId11" Type="http://schemas.openxmlformats.org/officeDocument/2006/relationships/hyperlink" Target="mailto:qcon@qcon.com.qa" TargetMode="External"/><Relationship Id="rId10" Type="http://schemas.openxmlformats.org/officeDocument/2006/relationships/hyperlink" Target="https://qcon.com.qa/contact-us/" TargetMode="External"/><Relationship Id="rId13" Type="http://schemas.openxmlformats.org/officeDocument/2006/relationships/hyperlink" Target="mailto:info@midmac.net" TargetMode="External"/><Relationship Id="rId12" Type="http://schemas.openxmlformats.org/officeDocument/2006/relationships/hyperlink" Target="https://www.midmac.net/" TargetMode="External"/><Relationship Id="rId15" Type="http://schemas.openxmlformats.org/officeDocument/2006/relationships/hyperlink" Target="mailto:info@globalaxis.qa" TargetMode="External"/><Relationship Id="rId14" Type="http://schemas.openxmlformats.org/officeDocument/2006/relationships/hyperlink" Target="https://globalaxis.qa/contact-us/" TargetMode="External"/><Relationship Id="rId17" Type="http://schemas.openxmlformats.org/officeDocument/2006/relationships/hyperlink" Target="mailto:info@victoriaglobalservices.com" TargetMode="External"/><Relationship Id="rId16" Type="http://schemas.openxmlformats.org/officeDocument/2006/relationships/hyperlink" Target="https://victoriaglobalservices.com/contact-us/" TargetMode="External"/><Relationship Id="rId19" Type="http://schemas.openxmlformats.org/officeDocument/2006/relationships/hyperlink" Target="mailto:info@rayo.qa" TargetMode="External"/><Relationship Id="rId18" Type="http://schemas.openxmlformats.org/officeDocument/2006/relationships/hyperlink" Target="https://rayo.qa/contact/" TargetMode="External"/><Relationship Id="rId1" Type="http://schemas.openxmlformats.org/officeDocument/2006/relationships/comments" Target="../comments1.xml"/><Relationship Id="rId2" Type="http://schemas.openxmlformats.org/officeDocument/2006/relationships/hyperlink" Target="https://cushmanwakefield.qa/contact-us/" TargetMode="External"/><Relationship Id="rId3" Type="http://schemas.openxmlformats.org/officeDocument/2006/relationships/hyperlink" Target="mailto:infoqatar@cushwake.qa" TargetMode="External"/><Relationship Id="rId4" Type="http://schemas.openxmlformats.org/officeDocument/2006/relationships/hyperlink" Target="https://www.citadel.com.qa/contactus/" TargetMode="External"/><Relationship Id="rId9" Type="http://schemas.openxmlformats.org/officeDocument/2006/relationships/hyperlink" Target="mailto:art@spacegroup.com.qa" TargetMode="External"/><Relationship Id="rId5" Type="http://schemas.openxmlformats.org/officeDocument/2006/relationships/hyperlink" Target="mailto:info@citadel.com.qa" TargetMode="External"/><Relationship Id="rId6" Type="http://schemas.openxmlformats.org/officeDocument/2006/relationships/hyperlink" Target="https://mqinteriordesign.com/contacts/" TargetMode="External"/><Relationship Id="rId7" Type="http://schemas.openxmlformats.org/officeDocument/2006/relationships/hyperlink" Target="mailto:info@mqinteriordesign.com" TargetMode="External"/><Relationship Id="rId8" Type="http://schemas.openxmlformats.org/officeDocument/2006/relationships/hyperlink" Target="https://spacegroup.com.qa/" TargetMode="External"/><Relationship Id="rId73" Type="http://schemas.openxmlformats.org/officeDocument/2006/relationships/vmlDrawing" Target="../drawings/vmlDrawing1.vml"/><Relationship Id="rId72" Type="http://schemas.openxmlformats.org/officeDocument/2006/relationships/drawing" Target="../drawings/drawing15.xml"/><Relationship Id="rId75" Type="http://schemas.openxmlformats.org/officeDocument/2006/relationships/table" Target="../tables/table1.xml"/><Relationship Id="rId71" Type="http://schemas.openxmlformats.org/officeDocument/2006/relationships/hyperlink" Target="https://www.waseef.qa" TargetMode="External"/><Relationship Id="rId70" Type="http://schemas.openxmlformats.org/officeDocument/2006/relationships/hyperlink" Target="https://www.thepearlgates.com" TargetMode="External"/><Relationship Id="rId62" Type="http://schemas.openxmlformats.org/officeDocument/2006/relationships/hyperlink" Target="https://www.boomgc.com/" TargetMode="External"/><Relationship Id="rId61" Type="http://schemas.openxmlformats.org/officeDocument/2006/relationships/hyperlink" Target="https://www.urbacon-intl.com/" TargetMode="External"/><Relationship Id="rId64" Type="http://schemas.openxmlformats.org/officeDocument/2006/relationships/hyperlink" Target="https://www.redcoalmana.com/" TargetMode="External"/><Relationship Id="rId63" Type="http://schemas.openxmlformats.org/officeDocument/2006/relationships/hyperlink" Target="https://www.hbkcontracting.com/" TargetMode="External"/><Relationship Id="rId66" Type="http://schemas.openxmlformats.org/officeDocument/2006/relationships/hyperlink" Target="https://www.albalagh.com/" TargetMode="External"/><Relationship Id="rId65" Type="http://schemas.openxmlformats.org/officeDocument/2006/relationships/hyperlink" Target="https://www.aljaber.com.qa/" TargetMode="External"/><Relationship Id="rId68" Type="http://schemas.openxmlformats.org/officeDocument/2006/relationships/hyperlink" Target="https://www.priveinvestments.qa" TargetMode="External"/><Relationship Id="rId67" Type="http://schemas.openxmlformats.org/officeDocument/2006/relationships/hyperlink" Target="https://www.alhudaengineering.com/" TargetMode="External"/><Relationship Id="rId60" Type="http://schemas.openxmlformats.org/officeDocument/2006/relationships/hyperlink" Target="https://qcon.com.qa/" TargetMode="External"/><Relationship Id="rId69" Type="http://schemas.openxmlformats.org/officeDocument/2006/relationships/hyperlink" Target="https://www.skybridgeproperties.com" TargetMode="External"/><Relationship Id="rId51" Type="http://schemas.openxmlformats.org/officeDocument/2006/relationships/hyperlink" Target="mailto:info@almana.com" TargetMode="External"/><Relationship Id="rId50" Type="http://schemas.openxmlformats.org/officeDocument/2006/relationships/hyperlink" Target="https://spacegroup.com.qa/" TargetMode="External"/><Relationship Id="rId53" Type="http://schemas.openxmlformats.org/officeDocument/2006/relationships/hyperlink" Target="mailto:info@qdcqatar.com" TargetMode="External"/><Relationship Id="rId52" Type="http://schemas.openxmlformats.org/officeDocument/2006/relationships/hyperlink" Target="https://www.almana.com/" TargetMode="External"/><Relationship Id="rId55" Type="http://schemas.openxmlformats.org/officeDocument/2006/relationships/hyperlink" Target="mailto:info@aeb-qatar.com" TargetMode="External"/><Relationship Id="rId54" Type="http://schemas.openxmlformats.org/officeDocument/2006/relationships/hyperlink" Target="https://www.qdcqatar.com/" TargetMode="External"/><Relationship Id="rId57" Type="http://schemas.openxmlformats.org/officeDocument/2006/relationships/hyperlink" Target="mailto:info@geicqatar.com" TargetMode="External"/><Relationship Id="rId56" Type="http://schemas.openxmlformats.org/officeDocument/2006/relationships/hyperlink" Target="https://www.aeb-qatar.com/" TargetMode="External"/><Relationship Id="rId59" Type="http://schemas.openxmlformats.org/officeDocument/2006/relationships/hyperlink" Target="https://www.midmac.net/" TargetMode="External"/><Relationship Id="rId58" Type="http://schemas.openxmlformats.org/officeDocument/2006/relationships/hyperlink" Target="https://www.geicqatar.com/"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www.artvit.com/" TargetMode="External"/><Relationship Id="rId42" Type="http://schemas.openxmlformats.org/officeDocument/2006/relationships/hyperlink" Target="http://www.propertyturkyistanbul.com/" TargetMode="External"/><Relationship Id="rId41" Type="http://schemas.openxmlformats.org/officeDocument/2006/relationships/hyperlink" Target="http://www.ipscongress.com/" TargetMode="External"/><Relationship Id="rId44" Type="http://schemas.openxmlformats.org/officeDocument/2006/relationships/hyperlink" Target="http://www.cmc-iraq.com/" TargetMode="External"/><Relationship Id="rId43" Type="http://schemas.openxmlformats.org/officeDocument/2006/relationships/hyperlink" Target="http://terraconcept.es/" TargetMode="External"/><Relationship Id="rId46" Type="http://schemas.openxmlformats.org/officeDocument/2006/relationships/hyperlink" Target="http://www.bognodesign.org/" TargetMode="External"/><Relationship Id="rId45" Type="http://schemas.openxmlformats.org/officeDocument/2006/relationships/hyperlink" Target="http://www.livbnb.com/" TargetMode="External"/><Relationship Id="rId105" Type="http://schemas.openxmlformats.org/officeDocument/2006/relationships/table" Target="../tables/table2.xml"/><Relationship Id="rId48" Type="http://schemas.openxmlformats.org/officeDocument/2006/relationships/hyperlink" Target="http://www.energydawince.com/" TargetMode="External"/><Relationship Id="rId47" Type="http://schemas.openxmlformats.org/officeDocument/2006/relationships/hyperlink" Target="http://www.nbirq.com/" TargetMode="External"/><Relationship Id="rId49" Type="http://schemas.openxmlformats.org/officeDocument/2006/relationships/hyperlink" Target="http://www.qwpumps.com/" TargetMode="External"/><Relationship Id="rId103" Type="http://schemas.openxmlformats.org/officeDocument/2006/relationships/vmlDrawing" Target="../drawings/vmlDrawing2.vml"/><Relationship Id="rId102" Type="http://schemas.openxmlformats.org/officeDocument/2006/relationships/drawing" Target="../drawings/drawing16.xml"/><Relationship Id="rId101" Type="http://schemas.openxmlformats.org/officeDocument/2006/relationships/hyperlink" Target="http://www.alyaseengroup.com/" TargetMode="External"/><Relationship Id="rId100" Type="http://schemas.openxmlformats.org/officeDocument/2006/relationships/hyperlink" Target="http://www.wafaa-alfurat.iq/" TargetMode="External"/><Relationship Id="rId31" Type="http://schemas.openxmlformats.org/officeDocument/2006/relationships/hyperlink" Target="http://www.onday.io/" TargetMode="External"/><Relationship Id="rId30" Type="http://schemas.openxmlformats.org/officeDocument/2006/relationships/hyperlink" Target="http://www.sycamore.ae/" TargetMode="External"/><Relationship Id="rId33" Type="http://schemas.openxmlformats.org/officeDocument/2006/relationships/hyperlink" Target="http://www.thesustainablecity-yiti.com/" TargetMode="External"/><Relationship Id="rId32" Type="http://schemas.openxmlformats.org/officeDocument/2006/relationships/hyperlink" Target="http://www.realqubaisi.ae/" TargetMode="External"/><Relationship Id="rId35" Type="http://schemas.openxmlformats.org/officeDocument/2006/relationships/hyperlink" Target="http://www.terraagency.net/" TargetMode="External"/><Relationship Id="rId34" Type="http://schemas.openxmlformats.org/officeDocument/2006/relationships/hyperlink" Target="http://www.369capitalventures.com/" TargetMode="External"/><Relationship Id="rId37" Type="http://schemas.openxmlformats.org/officeDocument/2006/relationships/hyperlink" Target="http://www.alisitqama.net/" TargetMode="External"/><Relationship Id="rId36" Type="http://schemas.openxmlformats.org/officeDocument/2006/relationships/hyperlink" Target="http://www.solar-ga.com/" TargetMode="External"/><Relationship Id="rId39" Type="http://schemas.openxmlformats.org/officeDocument/2006/relationships/hyperlink" Target="http://iraq.sik.com/" TargetMode="External"/><Relationship Id="rId38" Type="http://schemas.openxmlformats.org/officeDocument/2006/relationships/hyperlink" Target="http://www.coatesglobal.com/" TargetMode="External"/><Relationship Id="rId20" Type="http://schemas.openxmlformats.org/officeDocument/2006/relationships/hyperlink" Target="http://www.nooraljorany.com/" TargetMode="External"/><Relationship Id="rId22" Type="http://schemas.openxmlformats.org/officeDocument/2006/relationships/hyperlink" Target="http://www.alrasikhoon.ae/" TargetMode="External"/><Relationship Id="rId21" Type="http://schemas.openxmlformats.org/officeDocument/2006/relationships/hyperlink" Target="http://www.vr.ge/" TargetMode="External"/><Relationship Id="rId24" Type="http://schemas.openxmlformats.org/officeDocument/2006/relationships/hyperlink" Target="http://www.oidpi.com/" TargetMode="External"/><Relationship Id="rId23" Type="http://schemas.openxmlformats.org/officeDocument/2006/relationships/hyperlink" Target="http://www.ipscongress.com/" TargetMode="External"/><Relationship Id="rId26" Type="http://schemas.openxmlformats.org/officeDocument/2006/relationships/hyperlink" Target="http://www.kensingtoncyprus.com/" TargetMode="External"/><Relationship Id="rId25" Type="http://schemas.openxmlformats.org/officeDocument/2006/relationships/hyperlink" Target="http://bicccables.com/" TargetMode="External"/><Relationship Id="rId28" Type="http://schemas.openxmlformats.org/officeDocument/2006/relationships/hyperlink" Target="http://www.ademix.com.tr/" TargetMode="External"/><Relationship Id="rId27" Type="http://schemas.openxmlformats.org/officeDocument/2006/relationships/hyperlink" Target="http://www.nestenn.mu/" TargetMode="External"/><Relationship Id="rId29" Type="http://schemas.openxmlformats.org/officeDocument/2006/relationships/hyperlink" Target="http://thinkprop.ae/" TargetMode="External"/><Relationship Id="rId95" Type="http://schemas.openxmlformats.org/officeDocument/2006/relationships/hyperlink" Target="http://www.sentaenergy.com/" TargetMode="External"/><Relationship Id="rId94" Type="http://schemas.openxmlformats.org/officeDocument/2006/relationships/hyperlink" Target="http://www.shineopto.com/" TargetMode="External"/><Relationship Id="rId97" Type="http://schemas.openxmlformats.org/officeDocument/2006/relationships/hyperlink" Target="http://www.rivapius.com/" TargetMode="External"/><Relationship Id="rId96" Type="http://schemas.openxmlformats.org/officeDocument/2006/relationships/hyperlink" Target="http://www.solartech-iq.com/" TargetMode="External"/><Relationship Id="rId11" Type="http://schemas.openxmlformats.org/officeDocument/2006/relationships/hyperlink" Target="http://www.belton-iq.com/" TargetMode="External"/><Relationship Id="rId99" Type="http://schemas.openxmlformats.org/officeDocument/2006/relationships/hyperlink" Target="http://www.iesgalvaniz.com.tr/" TargetMode="External"/><Relationship Id="rId10" Type="http://schemas.openxmlformats.org/officeDocument/2006/relationships/hyperlink" Target="http://www.gpciraq.com/" TargetMode="External"/><Relationship Id="rId98" Type="http://schemas.openxmlformats.org/officeDocument/2006/relationships/hyperlink" Target="http://www.znshinesolar.com/" TargetMode="External"/><Relationship Id="rId13" Type="http://schemas.openxmlformats.org/officeDocument/2006/relationships/hyperlink" Target="http://www.astronergy.com/" TargetMode="External"/><Relationship Id="rId12" Type="http://schemas.openxmlformats.org/officeDocument/2006/relationships/hyperlink" Target="http://www.sadeemdoors.com/" TargetMode="External"/><Relationship Id="rId91" Type="http://schemas.openxmlformats.org/officeDocument/2006/relationships/hyperlink" Target="http://www.elmaksantransformer.com/" TargetMode="External"/><Relationship Id="rId90" Type="http://schemas.openxmlformats.org/officeDocument/2006/relationships/hyperlink" Target="http://www.rollza.in/" TargetMode="External"/><Relationship Id="rId93" Type="http://schemas.openxmlformats.org/officeDocument/2006/relationships/hyperlink" Target="http://hzlongye1688.com/" TargetMode="External"/><Relationship Id="rId92" Type="http://schemas.openxmlformats.org/officeDocument/2006/relationships/hyperlink" Target="http://www.abovalve.com/" TargetMode="External"/><Relationship Id="rId15" Type="http://schemas.openxmlformats.org/officeDocument/2006/relationships/hyperlink" Target="http://www.polisan-iraq.com/" TargetMode="External"/><Relationship Id="rId14" Type="http://schemas.openxmlformats.org/officeDocument/2006/relationships/hyperlink" Target="http://www.arapdeniz.com/" TargetMode="External"/><Relationship Id="rId17" Type="http://schemas.openxmlformats.org/officeDocument/2006/relationships/hyperlink" Target="http://www.dwtc.com/" TargetMode="External"/><Relationship Id="rId16" Type="http://schemas.openxmlformats.org/officeDocument/2006/relationships/hyperlink" Target="http://www.rabarco.com/" TargetMode="External"/><Relationship Id="rId19" Type="http://schemas.openxmlformats.org/officeDocument/2006/relationships/hyperlink" Target="http://www.taqseem.ae/" TargetMode="External"/><Relationship Id="rId18" Type="http://schemas.openxmlformats.org/officeDocument/2006/relationships/hyperlink" Target="http://www.propertyturkeyistanbul.com/" TargetMode="External"/><Relationship Id="rId84" Type="http://schemas.openxmlformats.org/officeDocument/2006/relationships/hyperlink" Target="http://www.betelgroup.net/" TargetMode="External"/><Relationship Id="rId83" Type="http://schemas.openxmlformats.org/officeDocument/2006/relationships/hyperlink" Target="http://www.properties.com/" TargetMode="External"/><Relationship Id="rId86" Type="http://schemas.openxmlformats.org/officeDocument/2006/relationships/hyperlink" Target="http://www.marsriva.com/" TargetMode="External"/><Relationship Id="rId85" Type="http://schemas.openxmlformats.org/officeDocument/2006/relationships/hyperlink" Target="http://technology.co/" TargetMode="External"/><Relationship Id="rId88" Type="http://schemas.openxmlformats.org/officeDocument/2006/relationships/hyperlink" Target="http://www.adsmuhendislik.com.tr/" TargetMode="External"/><Relationship Id="rId87" Type="http://schemas.openxmlformats.org/officeDocument/2006/relationships/hyperlink" Target="http://www.isoiraq.org/" TargetMode="External"/><Relationship Id="rId89" Type="http://schemas.openxmlformats.org/officeDocument/2006/relationships/hyperlink" Target="http://www.amrconsultancy.co.uk/" TargetMode="External"/><Relationship Id="rId80" Type="http://schemas.openxmlformats.org/officeDocument/2006/relationships/hyperlink" Target="http://www.solentaceramic.in/" TargetMode="External"/><Relationship Id="rId82" Type="http://schemas.openxmlformats.org/officeDocument/2006/relationships/hyperlink" Target="http://www.sunriseproduct.cn/" TargetMode="External"/><Relationship Id="rId81" Type="http://schemas.openxmlformats.org/officeDocument/2006/relationships/hyperlink" Target="http://www.chugn.com/" TargetMode="External"/><Relationship Id="rId1" Type="http://schemas.openxmlformats.org/officeDocument/2006/relationships/comments" Target="../comments2.xml"/><Relationship Id="rId2" Type="http://schemas.openxmlformats.org/officeDocument/2006/relationships/hyperlink" Target="http://www.fectumcompany.com/" TargetMode="External"/><Relationship Id="rId3" Type="http://schemas.openxmlformats.org/officeDocument/2006/relationships/hyperlink" Target="http://www.shkarrealestate.com/" TargetMode="External"/><Relationship Id="rId4" Type="http://schemas.openxmlformats.org/officeDocument/2006/relationships/hyperlink" Target="http://www.paya-realestate.com/" TargetMode="External"/><Relationship Id="rId9" Type="http://schemas.openxmlformats.org/officeDocument/2006/relationships/hyperlink" Target="http://www.albitgroup.com/" TargetMode="External"/><Relationship Id="rId5" Type="http://schemas.openxmlformats.org/officeDocument/2006/relationships/hyperlink" Target="http://www.talaytech.com/" TargetMode="External"/><Relationship Id="rId6" Type="http://schemas.openxmlformats.org/officeDocument/2006/relationships/hyperlink" Target="http://www.domuserbil.net/" TargetMode="External"/><Relationship Id="rId7" Type="http://schemas.openxmlformats.org/officeDocument/2006/relationships/hyperlink" Target="http://www.miransafiny.com/" TargetMode="External"/><Relationship Id="rId8" Type="http://schemas.openxmlformats.org/officeDocument/2006/relationships/hyperlink" Target="http://www.auroraltd.me/" TargetMode="External"/><Relationship Id="rId73" Type="http://schemas.openxmlformats.org/officeDocument/2006/relationships/hyperlink" Target="http://www.smksolar.com/" TargetMode="External"/><Relationship Id="rId72" Type="http://schemas.openxmlformats.org/officeDocument/2006/relationships/hyperlink" Target="http://www.saheljeddah.com/" TargetMode="External"/><Relationship Id="rId75" Type="http://schemas.openxmlformats.org/officeDocument/2006/relationships/hyperlink" Target="http://www.epcas.com.tr/" TargetMode="External"/><Relationship Id="rId74" Type="http://schemas.openxmlformats.org/officeDocument/2006/relationships/hyperlink" Target="http://www.diary-supplies.com/" TargetMode="External"/><Relationship Id="rId77" Type="http://schemas.openxmlformats.org/officeDocument/2006/relationships/hyperlink" Target="http://www.alyaseengroup.com/" TargetMode="External"/><Relationship Id="rId76" Type="http://schemas.openxmlformats.org/officeDocument/2006/relationships/hyperlink" Target="http://www.arabiantransformers.com/" TargetMode="External"/><Relationship Id="rId79" Type="http://schemas.openxmlformats.org/officeDocument/2006/relationships/hyperlink" Target="http://www.alfuratsolar.com/" TargetMode="External"/><Relationship Id="rId78" Type="http://schemas.openxmlformats.org/officeDocument/2006/relationships/hyperlink" Target="http://www.elsewedyelectric.com/" TargetMode="External"/><Relationship Id="rId71" Type="http://schemas.openxmlformats.org/officeDocument/2006/relationships/hyperlink" Target="http://www.ouyad.com/" TargetMode="External"/><Relationship Id="rId70" Type="http://schemas.openxmlformats.org/officeDocument/2006/relationships/hyperlink" Target="http://www.setaenergy.com/" TargetMode="External"/><Relationship Id="rId62" Type="http://schemas.openxmlformats.org/officeDocument/2006/relationships/hyperlink" Target="http://www.kolalalmanafith.com/" TargetMode="External"/><Relationship Id="rId61" Type="http://schemas.openxmlformats.org/officeDocument/2006/relationships/hyperlink" Target="http://www.ir-novin.com/" TargetMode="External"/><Relationship Id="rId64" Type="http://schemas.openxmlformats.org/officeDocument/2006/relationships/hyperlink" Target="http://www.brassfitting.cc/" TargetMode="External"/><Relationship Id="rId63" Type="http://schemas.openxmlformats.org/officeDocument/2006/relationships/hyperlink" Target="http://www.segatiles.com/" TargetMode="External"/><Relationship Id="rId66" Type="http://schemas.openxmlformats.org/officeDocument/2006/relationships/hyperlink" Target="http://www.rivaplus.com/" TargetMode="External"/><Relationship Id="rId65" Type="http://schemas.openxmlformats.org/officeDocument/2006/relationships/hyperlink" Target="http://www.roncool.cn/" TargetMode="External"/><Relationship Id="rId68" Type="http://schemas.openxmlformats.org/officeDocument/2006/relationships/hyperlink" Target="http://www.fiafigroup.com/" TargetMode="External"/><Relationship Id="rId67" Type="http://schemas.openxmlformats.org/officeDocument/2006/relationships/hyperlink" Target="http://www.jialile.net/" TargetMode="External"/><Relationship Id="rId60" Type="http://schemas.openxmlformats.org/officeDocument/2006/relationships/hyperlink" Target="http://www.age-solar.com/" TargetMode="External"/><Relationship Id="rId69" Type="http://schemas.openxmlformats.org/officeDocument/2006/relationships/hyperlink" Target="http://www.asalatalkhaleeg.com/" TargetMode="External"/><Relationship Id="rId51" Type="http://schemas.openxmlformats.org/officeDocument/2006/relationships/hyperlink" Target="http://www.chinawestone.com/" TargetMode="External"/><Relationship Id="rId50" Type="http://schemas.openxmlformats.org/officeDocument/2006/relationships/hyperlink" Target="http://www.sunwaypv.com/" TargetMode="External"/><Relationship Id="rId53" Type="http://schemas.openxmlformats.org/officeDocument/2006/relationships/hyperlink" Target="http://aluminum.com/" TargetMode="External"/><Relationship Id="rId52" Type="http://schemas.openxmlformats.org/officeDocument/2006/relationships/hyperlink" Target="http://chinaventech.com/" TargetMode="External"/><Relationship Id="rId55" Type="http://schemas.openxmlformats.org/officeDocument/2006/relationships/hyperlink" Target="http://immotify.me/" TargetMode="External"/><Relationship Id="rId54" Type="http://schemas.openxmlformats.org/officeDocument/2006/relationships/hyperlink" Target="http://profile.com/" TargetMode="External"/><Relationship Id="rId57" Type="http://schemas.openxmlformats.org/officeDocument/2006/relationships/hyperlink" Target="http://www.pieco.in" TargetMode="External"/><Relationship Id="rId56" Type="http://schemas.openxmlformats.org/officeDocument/2006/relationships/hyperlink" Target="http://engg.co/" TargetMode="External"/><Relationship Id="rId59" Type="http://schemas.openxmlformats.org/officeDocument/2006/relationships/hyperlink" Target="http://www.elprince.com/" TargetMode="External"/><Relationship Id="rId58" Type="http://schemas.openxmlformats.org/officeDocument/2006/relationships/hyperlink" Target="http://www.anahico.at/" TargetMode="External"/></Relationships>
</file>

<file path=xl/worksheets/_rels/sheet17.xml.rels><?xml version="1.0" encoding="UTF-8" standalone="yes"?><Relationships xmlns="http://schemas.openxmlformats.org/package/2006/relationships"><Relationship Id="rId40" Type="http://schemas.openxmlformats.org/officeDocument/2006/relationships/hyperlink" Target="mailto:Investor.relations@damacgroup.com" TargetMode="External"/><Relationship Id="rId42" Type="http://schemas.openxmlformats.org/officeDocument/2006/relationships/hyperlink" Target="https://www.mymortgageace.com/aboutus" TargetMode="External"/><Relationship Id="rId41" Type="http://schemas.openxmlformats.org/officeDocument/2006/relationships/hyperlink" Target="https://www.baaderbank.de/" TargetMode="External"/><Relationship Id="rId44" Type="http://schemas.openxmlformats.org/officeDocument/2006/relationships/hyperlink" Target="https://www.gulfcapital.com/contact-us" TargetMode="External"/><Relationship Id="rId43" Type="http://schemas.openxmlformats.org/officeDocument/2006/relationships/hyperlink" Target="mailto:info@ellingtongroup.com" TargetMode="External"/><Relationship Id="rId46" Type="http://schemas.openxmlformats.org/officeDocument/2006/relationships/hyperlink" Target="https://gulfinvestmentsgroup.com/about/" TargetMode="External"/><Relationship Id="rId45" Type="http://schemas.openxmlformats.org/officeDocument/2006/relationships/hyperlink" Target="mailto:info@select-group.ae" TargetMode="External"/><Relationship Id="rId48" Type="http://schemas.openxmlformats.org/officeDocument/2006/relationships/hyperlink" Target="https://www.gulfivb.com/contact-us/" TargetMode="External"/><Relationship Id="rId47" Type="http://schemas.openxmlformats.org/officeDocument/2006/relationships/hyperlink" Target="mailto:info@seventides.com" TargetMode="External"/><Relationship Id="rId49" Type="http://schemas.openxmlformats.org/officeDocument/2006/relationships/hyperlink" Target="mailto:%20marketing@albarari.ae?subject=Enquiry%20From%20Al%20Barari%20Website" TargetMode="External"/><Relationship Id="rId31" Type="http://schemas.openxmlformats.org/officeDocument/2006/relationships/hyperlink" Target="https://www.acornpropertyinvest.com/" TargetMode="External"/><Relationship Id="rId30" Type="http://schemas.openxmlformats.org/officeDocument/2006/relationships/hyperlink" Target="https://basra-group.com/contacts" TargetMode="External"/><Relationship Id="rId33" Type="http://schemas.openxmlformats.org/officeDocument/2006/relationships/hyperlink" Target="https://benjaminstevens.co.uk/" TargetMode="External"/><Relationship Id="rId32" Type="http://schemas.openxmlformats.org/officeDocument/2006/relationships/hyperlink" Target="https://www.acroninternational.com/" TargetMode="External"/><Relationship Id="rId35" Type="http://schemas.openxmlformats.org/officeDocument/2006/relationships/hyperlink" Target="https://magnumproperties.co.uk/" TargetMode="External"/><Relationship Id="rId34" Type="http://schemas.openxmlformats.org/officeDocument/2006/relationships/hyperlink" Target="https://www.horizonsaleslettings.co.uk/contact-us" TargetMode="External"/><Relationship Id="rId37" Type="http://schemas.openxmlformats.org/officeDocument/2006/relationships/hyperlink" Target="https://www.mercantiletrust.co.uk/contact/" TargetMode="External"/><Relationship Id="rId36" Type="http://schemas.openxmlformats.org/officeDocument/2006/relationships/hyperlink" Target="https://redcardinal.co.uk/first-time-investor/" TargetMode="External"/><Relationship Id="rId39" Type="http://schemas.openxmlformats.org/officeDocument/2006/relationships/hyperlink" Target="https://anb.com.sa/web/anb" TargetMode="External"/><Relationship Id="rId38" Type="http://schemas.openxmlformats.org/officeDocument/2006/relationships/hyperlink" Target="mailto:Customerservice@meraas.ae" TargetMode="External"/><Relationship Id="rId20" Type="http://schemas.openxmlformats.org/officeDocument/2006/relationships/hyperlink" Target="mailto:info@seventides.com" TargetMode="External"/><Relationship Id="rId22" Type="http://schemas.openxmlformats.org/officeDocument/2006/relationships/hyperlink" Target="mailto:Info@emaar.com.tr" TargetMode="External"/><Relationship Id="rId21" Type="http://schemas.openxmlformats.org/officeDocument/2006/relationships/hyperlink" Target="mailto:%20marketing@albarari.ae?subject=Enquiry%20From%20Al%20Barari%20Website" TargetMode="External"/><Relationship Id="rId24" Type="http://schemas.openxmlformats.org/officeDocument/2006/relationships/hyperlink" Target="mailto:hello@dubaidreamhome.ae" TargetMode="External"/><Relationship Id="rId23" Type="http://schemas.openxmlformats.org/officeDocument/2006/relationships/hyperlink" Target="https://www.bcmholdingtr.com/en/contact" TargetMode="External"/><Relationship Id="rId26" Type="http://schemas.openxmlformats.org/officeDocument/2006/relationships/hyperlink" Target="http://www.almira.ae/" TargetMode="External"/><Relationship Id="rId25" Type="http://schemas.openxmlformats.org/officeDocument/2006/relationships/hyperlink" Target="mailto:hello@dubaidreamhome.ae" TargetMode="External"/><Relationship Id="rId28" Type="http://schemas.openxmlformats.org/officeDocument/2006/relationships/hyperlink" Target="mailto:pr@alfaisalholding.com" TargetMode="External"/><Relationship Id="rId27" Type="http://schemas.openxmlformats.org/officeDocument/2006/relationships/hyperlink" Target="mailto:info@zad.qa" TargetMode="External"/><Relationship Id="rId29" Type="http://schemas.openxmlformats.org/officeDocument/2006/relationships/hyperlink" Target="https://alhilu.net/Contact.html" TargetMode="External"/><Relationship Id="rId11" Type="http://schemas.openxmlformats.org/officeDocument/2006/relationships/hyperlink" Target="https://afaqco.sa/%d9%85%d9%86-%d9%86%d8%ad%d9%86/" TargetMode="External"/><Relationship Id="rId10" Type="http://schemas.openxmlformats.org/officeDocument/2006/relationships/hyperlink" Target="https://www.almdarij.com/" TargetMode="External"/><Relationship Id="rId13" Type="http://schemas.openxmlformats.org/officeDocument/2006/relationships/hyperlink" Target="https://www.safatbasra.com/en/" TargetMode="External"/><Relationship Id="rId12" Type="http://schemas.openxmlformats.org/officeDocument/2006/relationships/hyperlink" Target="https://theqa-technology.sa/en/tahqiq-al-amal-for-real-estate-development/" TargetMode="External"/><Relationship Id="rId15" Type="http://schemas.openxmlformats.org/officeDocument/2006/relationships/hyperlink" Target="mailto:pr@alfaisalholding.com" TargetMode="External"/><Relationship Id="rId14" Type="http://schemas.openxmlformats.org/officeDocument/2006/relationships/hyperlink" Target="mailto:info@zad.qa" TargetMode="External"/><Relationship Id="rId17" Type="http://schemas.openxmlformats.org/officeDocument/2006/relationships/hyperlink" Target="mailto:Investor.relations@damacgroup.com" TargetMode="External"/><Relationship Id="rId16" Type="http://schemas.openxmlformats.org/officeDocument/2006/relationships/hyperlink" Target="mailto:Customerservice@meraas.ae" TargetMode="External"/><Relationship Id="rId19" Type="http://schemas.openxmlformats.org/officeDocument/2006/relationships/hyperlink" Target="mailto:info@select-group.ae" TargetMode="External"/><Relationship Id="rId18" Type="http://schemas.openxmlformats.org/officeDocument/2006/relationships/hyperlink" Target="mailto:info@ellingtongroup.com" TargetMode="External"/><Relationship Id="rId1" Type="http://schemas.openxmlformats.org/officeDocument/2006/relationships/hyperlink" Target="mailto:hello@dubaidreamhome.ae" TargetMode="External"/><Relationship Id="rId2" Type="http://schemas.openxmlformats.org/officeDocument/2006/relationships/hyperlink" Target="mailto:hello@dubaidreamhome.ae" TargetMode="External"/><Relationship Id="rId3" Type="http://schemas.openxmlformats.org/officeDocument/2006/relationships/hyperlink" Target="https://t.co/RqxMcgCxGy" TargetMode="External"/><Relationship Id="rId4" Type="http://schemas.openxmlformats.org/officeDocument/2006/relationships/hyperlink" Target="https://www.aedas.com/" TargetMode="External"/><Relationship Id="rId9" Type="http://schemas.openxmlformats.org/officeDocument/2006/relationships/hyperlink" Target="https://alalameyared.com/" TargetMode="External"/><Relationship Id="rId5" Type="http://schemas.openxmlformats.org/officeDocument/2006/relationships/hyperlink" Target="http://www.almira.ae/" TargetMode="External"/><Relationship Id="rId6" Type="http://schemas.openxmlformats.org/officeDocument/2006/relationships/hyperlink" Target="https://jabalomar.com.sa/%d8%aa%d9%88%d8%a7%d8%b5%d9%84-%d9%85%d8%b9%d9%86%d8%a7/" TargetMode="External"/><Relationship Id="rId7" Type="http://schemas.openxmlformats.org/officeDocument/2006/relationships/hyperlink" Target="https://kingdom.com.sa/contact" TargetMode="External"/><Relationship Id="rId8" Type="http://schemas.openxmlformats.org/officeDocument/2006/relationships/hyperlink" Target="https://riyadh.dev/en/" TargetMode="External"/><Relationship Id="rId51" Type="http://schemas.openxmlformats.org/officeDocument/2006/relationships/hyperlink" Target="https://www.eibank.com/" TargetMode="External"/><Relationship Id="rId50" Type="http://schemas.openxmlformats.org/officeDocument/2006/relationships/hyperlink" Target="https://investgb.com/about-us/" TargetMode="External"/><Relationship Id="rId53" Type="http://schemas.openxmlformats.org/officeDocument/2006/relationships/hyperlink" Target="https://www.jpmorgan.com/AE/en/about-us" TargetMode="External"/><Relationship Id="rId52" Type="http://schemas.openxmlformats.org/officeDocument/2006/relationships/hyperlink" Target="mailto:Info@emaar.com.tr" TargetMode="External"/><Relationship Id="rId55" Type="http://schemas.openxmlformats.org/officeDocument/2006/relationships/hyperlink" Target="https://cypruslife.estate/" TargetMode="External"/><Relationship Id="rId54" Type="http://schemas.openxmlformats.org/officeDocument/2006/relationships/hyperlink" Target="https://www.eigpropertyauctions.co.uk/" TargetMode="External"/><Relationship Id="rId57" Type="http://schemas.openxmlformats.org/officeDocument/2006/relationships/drawing" Target="../drawings/drawing17.xml"/><Relationship Id="rId56" Type="http://schemas.openxmlformats.org/officeDocument/2006/relationships/hyperlink" Target="https://www.google.com/search?gs_ssp=eJzj4tVP1zc0zK2oLCzISykyYLRSNagwTrVINTBMNDRNMTVNtkw2tDKoSEy2sLRMNU9JTLIwSU4xMfESTs1NTCxSyC0tTk4sUSjNyyxJTQEAYW8XvA&amp;q=emaar+muscat+united&amp;oq=emaar+musca&amp;gs_lcrp=EgZjaHJvbWUqDQgBEC4YrwEYxwEYgAQyCggAEAAY4wIYgAQyDQgBEC4YrwEYxwEYgAQyBggCEEUYOTIICAMQABgWGB4yDQgEEAAYhgMYgAQYigUyDQgFEAAYhgMYgAQYigUyDQgGEAAYhgMYgAQYigUyCggHEAAYgAQYogQyCggIEAAYgAQYogQyBwgJEAAY7wXSAQg5MDUyajBqN6gCCLACAfEF6h4gRsU_i2w&amp;sourceid=chrome&amp;ie=UTF-8" TargetMode="External"/><Relationship Id="rId59" Type="http://schemas.openxmlformats.org/officeDocument/2006/relationships/table" Target="../tables/table3.xml"/></Relationships>
</file>

<file path=xl/worksheets/_rels/sheet18.xml.rels><?xml version="1.0" encoding="UTF-8" standalone="yes"?><Relationships xmlns="http://schemas.openxmlformats.org/package/2006/relationships"><Relationship Id="rId40" Type="http://schemas.openxmlformats.org/officeDocument/2006/relationships/hyperlink" Target="mailto:info@olivohomes.com" TargetMode="External"/><Relationship Id="rId42" Type="http://schemas.openxmlformats.org/officeDocument/2006/relationships/hyperlink" Target="mailto:info@cyprusconstruction.com" TargetMode="External"/><Relationship Id="rId41" Type="http://schemas.openxmlformats.org/officeDocument/2006/relationships/hyperlink" Target="mailto:info@developerscyprus.com" TargetMode="External"/><Relationship Id="rId44" Type="http://schemas.openxmlformats.org/officeDocument/2006/relationships/hyperlink" Target="mailto:info@multibuild.com.cy" TargetMode="External"/><Relationship Id="rId43" Type="http://schemas.openxmlformats.org/officeDocument/2006/relationships/hyperlink" Target="mailto:info@medcon.com.cy" TargetMode="External"/><Relationship Id="rId46" Type="http://schemas.openxmlformats.org/officeDocument/2006/relationships/hyperlink" Target="mailto:info@agagrandconstruction.com" TargetMode="External"/><Relationship Id="rId45" Type="http://schemas.openxmlformats.org/officeDocument/2006/relationships/hyperlink" Target="mailto:info@construx-cyprus.com" TargetMode="External"/><Relationship Id="rId107" Type="http://schemas.openxmlformats.org/officeDocument/2006/relationships/hyperlink" Target="https://optimain.com/" TargetMode="External"/><Relationship Id="rId106" Type="http://schemas.openxmlformats.org/officeDocument/2006/relationships/hyperlink" Target="mailto:info@sbejordan.com" TargetMode="External"/><Relationship Id="rId105" Type="http://schemas.openxmlformats.org/officeDocument/2006/relationships/hyperlink" Target="https://sbejordan.com/" TargetMode="External"/><Relationship Id="rId104" Type="http://schemas.openxmlformats.org/officeDocument/2006/relationships/hyperlink" Target="mailto:info@nursolarsystems.com" TargetMode="External"/><Relationship Id="rId109" Type="http://schemas.openxmlformats.org/officeDocument/2006/relationships/hyperlink" Target="https://belectric.com/" TargetMode="External"/><Relationship Id="rId108" Type="http://schemas.openxmlformats.org/officeDocument/2006/relationships/hyperlink" Target="mailto:info@optimain.com" TargetMode="External"/><Relationship Id="rId48" Type="http://schemas.openxmlformats.org/officeDocument/2006/relationships/hyperlink" Target="mailto:info@npsaras.com" TargetMode="External"/><Relationship Id="rId47" Type="http://schemas.openxmlformats.org/officeDocument/2006/relationships/hyperlink" Target="mailto:info@cybarco.com" TargetMode="External"/><Relationship Id="rId49" Type="http://schemas.openxmlformats.org/officeDocument/2006/relationships/hyperlink" Target="mailto:info@jmconstructions.com.cy" TargetMode="External"/><Relationship Id="rId103" Type="http://schemas.openxmlformats.org/officeDocument/2006/relationships/hyperlink" Target="https://nursolarsystems.com/" TargetMode="External"/><Relationship Id="rId102" Type="http://schemas.openxmlformats.org/officeDocument/2006/relationships/hyperlink" Target="mailto:info@ionenergy.com" TargetMode="External"/><Relationship Id="rId101" Type="http://schemas.openxmlformats.org/officeDocument/2006/relationships/hyperlink" Target="https://ionenergy.com/" TargetMode="External"/><Relationship Id="rId100" Type="http://schemas.openxmlformats.org/officeDocument/2006/relationships/hyperlink" Target="mailto:info@edamasolar.com" TargetMode="External"/><Relationship Id="rId31" Type="http://schemas.openxmlformats.org/officeDocument/2006/relationships/hyperlink" Target="mailto:info@qualityproperties.com" TargetMode="External"/><Relationship Id="rId30" Type="http://schemas.openxmlformats.org/officeDocument/2006/relationships/hyperlink" Target="mailto:info@ajamigroup.com" TargetMode="External"/><Relationship Id="rId33" Type="http://schemas.openxmlformats.org/officeDocument/2006/relationships/hyperlink" Target="mailto:info@giovanihomes.com" TargetMode="External"/><Relationship Id="rId32" Type="http://schemas.openxmlformats.org/officeDocument/2006/relationships/hyperlink" Target="mailto:info@plusproperties.com" TargetMode="External"/><Relationship Id="rId35" Type="http://schemas.openxmlformats.org/officeDocument/2006/relationships/hyperlink" Target="mailto:info@tsentasdevelopers.com" TargetMode="External"/><Relationship Id="rId34" Type="http://schemas.openxmlformats.org/officeDocument/2006/relationships/hyperlink" Target="mailto:info@domenicagroup.com" TargetMode="External"/><Relationship Id="rId37" Type="http://schemas.openxmlformats.org/officeDocument/2006/relationships/hyperlink" Target="mailto:info@aristodevelopers.com" TargetMode="External"/><Relationship Id="rId36" Type="http://schemas.openxmlformats.org/officeDocument/2006/relationships/hyperlink" Target="mailto:info@cronagroup.com" TargetMode="External"/><Relationship Id="rId39" Type="http://schemas.openxmlformats.org/officeDocument/2006/relationships/hyperlink" Target="mailto:info@propertiespartners.com" TargetMode="External"/><Relationship Id="rId38" Type="http://schemas.openxmlformats.org/officeDocument/2006/relationships/hyperlink" Target="mailto:info@cariaestate.com" TargetMode="External"/><Relationship Id="rId20" Type="http://schemas.openxmlformats.org/officeDocument/2006/relationships/hyperlink" Target="mailto:architect.mdg@gmail.com" TargetMode="External"/><Relationship Id="rId22" Type="http://schemas.openxmlformats.org/officeDocument/2006/relationships/hyperlink" Target="mailto:info@cyprus-real.estate" TargetMode="External"/><Relationship Id="rId21" Type="http://schemas.openxmlformats.org/officeDocument/2006/relationships/hyperlink" Target="mailto:info@c21cy.com" TargetMode="External"/><Relationship Id="rId24" Type="http://schemas.openxmlformats.org/officeDocument/2006/relationships/hyperlink" Target="mailto:info@gpcyprus.com" TargetMode="External"/><Relationship Id="rId23" Type="http://schemas.openxmlformats.org/officeDocument/2006/relationships/hyperlink" Target="mailto:mail@cypro.agency" TargetMode="External"/><Relationship Id="rId129" Type="http://schemas.openxmlformats.org/officeDocument/2006/relationships/hyperlink" Target="https://mase.com.jo/" TargetMode="External"/><Relationship Id="rId128" Type="http://schemas.openxmlformats.org/officeDocument/2006/relationships/hyperlink" Target="mailto:info@ishraqenergy.com" TargetMode="External"/><Relationship Id="rId127" Type="http://schemas.openxmlformats.org/officeDocument/2006/relationships/hyperlink" Target="https://ishraqenergy.com/" TargetMode="External"/><Relationship Id="rId126" Type="http://schemas.openxmlformats.org/officeDocument/2006/relationships/hyperlink" Target="mailto:info@gazaniasolar.com" TargetMode="External"/><Relationship Id="rId26" Type="http://schemas.openxmlformats.org/officeDocument/2006/relationships/hyperlink" Target="mailto:info@korantinahomes.com" TargetMode="External"/><Relationship Id="rId121" Type="http://schemas.openxmlformats.org/officeDocument/2006/relationships/hyperlink" Target="https://meisolar.com/" TargetMode="External"/><Relationship Id="rId25" Type="http://schemas.openxmlformats.org/officeDocument/2006/relationships/hyperlink" Target="mailto:info@propertygallery.com" TargetMode="External"/><Relationship Id="rId120" Type="http://schemas.openxmlformats.org/officeDocument/2006/relationships/hyperlink" Target="mailto:info@eta-max.com" TargetMode="External"/><Relationship Id="rId28" Type="http://schemas.openxmlformats.org/officeDocument/2006/relationships/hyperlink" Target="mailto:info@anchristou.com" TargetMode="External"/><Relationship Id="rId27" Type="http://schemas.openxmlformats.org/officeDocument/2006/relationships/hyperlink" Target="mailto:info@pafilia.com" TargetMode="External"/><Relationship Id="rId125" Type="http://schemas.openxmlformats.org/officeDocument/2006/relationships/hyperlink" Target="https://gazaniasolar.com/" TargetMode="External"/><Relationship Id="rId29" Type="http://schemas.openxmlformats.org/officeDocument/2006/relationships/hyperlink" Target="mailto:info@oliashomes.com" TargetMode="External"/><Relationship Id="rId124" Type="http://schemas.openxmlformats.org/officeDocument/2006/relationships/hyperlink" Target="mailto:info@futuresun.com.jo" TargetMode="External"/><Relationship Id="rId123" Type="http://schemas.openxmlformats.org/officeDocument/2006/relationships/hyperlink" Target="http://www.futuresun.com.jo/english/" TargetMode="External"/><Relationship Id="rId122" Type="http://schemas.openxmlformats.org/officeDocument/2006/relationships/hyperlink" Target="mailto:info@meisolar.com" TargetMode="External"/><Relationship Id="rId95" Type="http://schemas.openxmlformats.org/officeDocument/2006/relationships/hyperlink" Target="https://www.mustakbalct.com/" TargetMode="External"/><Relationship Id="rId94" Type="http://schemas.openxmlformats.org/officeDocument/2006/relationships/hyperlink" Target="mailto:info@kawarenergy.com" TargetMode="External"/><Relationship Id="rId97" Type="http://schemas.openxmlformats.org/officeDocument/2006/relationships/hyperlink" Target="https://www.ecosol.com.jo/" TargetMode="External"/><Relationship Id="rId96" Type="http://schemas.openxmlformats.org/officeDocument/2006/relationships/hyperlink" Target="mailto:info@mustakbalct.com" TargetMode="External"/><Relationship Id="rId11" Type="http://schemas.openxmlformats.org/officeDocument/2006/relationships/hyperlink" Target="mailto:info@lagapiouarchitects.com" TargetMode="External"/><Relationship Id="rId99" Type="http://schemas.openxmlformats.org/officeDocument/2006/relationships/hyperlink" Target="https://www.edamasolar.com/" TargetMode="External"/><Relationship Id="rId10" Type="http://schemas.openxmlformats.org/officeDocument/2006/relationships/hyperlink" Target="mailto:info@csndemetriou.com" TargetMode="External"/><Relationship Id="rId98" Type="http://schemas.openxmlformats.org/officeDocument/2006/relationships/hyperlink" Target="mailto:info@ecosol.com.jo" TargetMode="External"/><Relationship Id="rId13" Type="http://schemas.openxmlformats.org/officeDocument/2006/relationships/hyperlink" Target="mailto:info@papachristou.org" TargetMode="External"/><Relationship Id="rId12" Type="http://schemas.openxmlformats.org/officeDocument/2006/relationships/hyperlink" Target="mailto:info@dparch.cy" TargetMode="External"/><Relationship Id="rId91" Type="http://schemas.openxmlformats.org/officeDocument/2006/relationships/hyperlink" Target="https://www.philadelphia-solar.com/" TargetMode="External"/><Relationship Id="rId90" Type="http://schemas.openxmlformats.org/officeDocument/2006/relationships/hyperlink" Target="mailto:info@hananiaenergy.com" TargetMode="External"/><Relationship Id="rId93" Type="http://schemas.openxmlformats.org/officeDocument/2006/relationships/hyperlink" Target="https://www.kawarenergy.com/" TargetMode="External"/><Relationship Id="rId92" Type="http://schemas.openxmlformats.org/officeDocument/2006/relationships/hyperlink" Target="mailto:info@philadelphia-solar.com" TargetMode="External"/><Relationship Id="rId118" Type="http://schemas.openxmlformats.org/officeDocument/2006/relationships/hyperlink" Target="mailto:info@yellowdoorenergy.com" TargetMode="External"/><Relationship Id="rId117" Type="http://schemas.openxmlformats.org/officeDocument/2006/relationships/hyperlink" Target="https://yellowdoorenergy.com/" TargetMode="External"/><Relationship Id="rId116" Type="http://schemas.openxmlformats.org/officeDocument/2006/relationships/hyperlink" Target="mailto:info@almajdeng.com" TargetMode="External"/><Relationship Id="rId115" Type="http://schemas.openxmlformats.org/officeDocument/2006/relationships/hyperlink" Target="https://almajdeng.com/" TargetMode="External"/><Relationship Id="rId119" Type="http://schemas.openxmlformats.org/officeDocument/2006/relationships/hyperlink" Target="https://eta-max.com/" TargetMode="External"/><Relationship Id="rId15" Type="http://schemas.openxmlformats.org/officeDocument/2006/relationships/hyperlink" Target="mailto:info@iqonaarchitects.com" TargetMode="External"/><Relationship Id="rId110" Type="http://schemas.openxmlformats.org/officeDocument/2006/relationships/hyperlink" Target="mailto:info@belectric.com" TargetMode="External"/><Relationship Id="rId14" Type="http://schemas.openxmlformats.org/officeDocument/2006/relationships/hyperlink" Target="mailto:info@gkarchitects.studio" TargetMode="External"/><Relationship Id="rId17" Type="http://schemas.openxmlformats.org/officeDocument/2006/relationships/hyperlink" Target="mailto:info@constantiarchitects.com" TargetMode="External"/><Relationship Id="rId16" Type="http://schemas.openxmlformats.org/officeDocument/2006/relationships/hyperlink" Target="mailto:info@armeftis.com" TargetMode="External"/><Relationship Id="rId19" Type="http://schemas.openxmlformats.org/officeDocument/2006/relationships/hyperlink" Target="mailto:info@thiasosarchitecture.com" TargetMode="External"/><Relationship Id="rId114" Type="http://schemas.openxmlformats.org/officeDocument/2006/relationships/hyperlink" Target="mailto:info@kawkabuna.com" TargetMode="External"/><Relationship Id="rId18" Type="http://schemas.openxmlformats.org/officeDocument/2006/relationships/hyperlink" Target="mailto:info@aykarchitects.com" TargetMode="External"/><Relationship Id="rId113" Type="http://schemas.openxmlformats.org/officeDocument/2006/relationships/hyperlink" Target="https://kawkabuna.com/" TargetMode="External"/><Relationship Id="rId112" Type="http://schemas.openxmlformats.org/officeDocument/2006/relationships/hyperlink" Target="mailto:info@nveco.com" TargetMode="External"/><Relationship Id="rId111" Type="http://schemas.openxmlformats.org/officeDocument/2006/relationships/hyperlink" Target="https://nveco.com/" TargetMode="External"/><Relationship Id="rId84" Type="http://schemas.openxmlformats.org/officeDocument/2006/relationships/hyperlink" Target="mailto:info@greenvision.com" TargetMode="External"/><Relationship Id="rId83" Type="http://schemas.openxmlformats.org/officeDocument/2006/relationships/hyperlink" Target="https://www.enfsolar.com/greenvision" TargetMode="External"/><Relationship Id="rId86" Type="http://schemas.openxmlformats.org/officeDocument/2006/relationships/hyperlink" Target="mailto:info@ageenergy.com" TargetMode="External"/><Relationship Id="rId85" Type="http://schemas.openxmlformats.org/officeDocument/2006/relationships/hyperlink" Target="https://www.ageenergy.com/" TargetMode="External"/><Relationship Id="rId88" Type="http://schemas.openxmlformats.org/officeDocument/2006/relationships/hyperlink" Target="mailto:info@israrengineering.com" TargetMode="External"/><Relationship Id="rId87" Type="http://schemas.openxmlformats.org/officeDocument/2006/relationships/hyperlink" Target="https://www.enfsolar.com/israr-engineering" TargetMode="External"/><Relationship Id="rId89" Type="http://schemas.openxmlformats.org/officeDocument/2006/relationships/hyperlink" Target="https://www.jordanyp.com/company/374546/HANANIA_Energy" TargetMode="External"/><Relationship Id="rId80" Type="http://schemas.openxmlformats.org/officeDocument/2006/relationships/hyperlink" Target="mailto:info@controlsolar.com" TargetMode="External"/><Relationship Id="rId82" Type="http://schemas.openxmlformats.org/officeDocument/2006/relationships/hyperlink" Target="mailto:info@izzatmarji.com" TargetMode="External"/><Relationship Id="rId81" Type="http://schemas.openxmlformats.org/officeDocument/2006/relationships/hyperlink" Target="https://www.enfsolar.com/izzat-marji" TargetMode="External"/><Relationship Id="rId1" Type="http://schemas.openxmlformats.org/officeDocument/2006/relationships/hyperlink" Target="mailto:info@developerscyprus.com" TargetMode="External"/><Relationship Id="rId2" Type="http://schemas.openxmlformats.org/officeDocument/2006/relationships/hyperlink" Target="mailto:info@cyprusconstruction.com" TargetMode="External"/><Relationship Id="rId3" Type="http://schemas.openxmlformats.org/officeDocument/2006/relationships/hyperlink" Target="mailto:info@medcon.com.cy" TargetMode="External"/><Relationship Id="rId4" Type="http://schemas.openxmlformats.org/officeDocument/2006/relationships/hyperlink" Target="mailto:info@multibuild.com.cy" TargetMode="External"/><Relationship Id="rId9" Type="http://schemas.openxmlformats.org/officeDocument/2006/relationships/hyperlink" Target="mailto:info@jmconstructions.com.cy" TargetMode="External"/><Relationship Id="rId141" Type="http://schemas.openxmlformats.org/officeDocument/2006/relationships/drawing" Target="../drawings/drawing18.xml"/><Relationship Id="rId140" Type="http://schemas.openxmlformats.org/officeDocument/2006/relationships/hyperlink" Target="mailto:info@cleanenergyconcepts.com" TargetMode="External"/><Relationship Id="rId5" Type="http://schemas.openxmlformats.org/officeDocument/2006/relationships/hyperlink" Target="mailto:info@construx-cyprus.com" TargetMode="External"/><Relationship Id="rId6" Type="http://schemas.openxmlformats.org/officeDocument/2006/relationships/hyperlink" Target="mailto:info@agagrandconstruction.com" TargetMode="External"/><Relationship Id="rId7" Type="http://schemas.openxmlformats.org/officeDocument/2006/relationships/hyperlink" Target="mailto:info@cybarco.com" TargetMode="External"/><Relationship Id="rId8" Type="http://schemas.openxmlformats.org/officeDocument/2006/relationships/hyperlink" Target="mailto:info@npsaras.com" TargetMode="External"/><Relationship Id="rId73" Type="http://schemas.openxmlformats.org/officeDocument/2006/relationships/hyperlink" Target="https://jordanterawatt.com/" TargetMode="External"/><Relationship Id="rId72" Type="http://schemas.openxmlformats.org/officeDocument/2006/relationships/hyperlink" Target="mailto:info@trustenergy.com" TargetMode="External"/><Relationship Id="rId75" Type="http://schemas.openxmlformats.org/officeDocument/2006/relationships/hyperlink" Target="https://www.enfsolar.com/the-contractor-for-energy" TargetMode="External"/><Relationship Id="rId74" Type="http://schemas.openxmlformats.org/officeDocument/2006/relationships/hyperlink" Target="mailto:info@jordanterawatt.com" TargetMode="External"/><Relationship Id="rId77" Type="http://schemas.openxmlformats.org/officeDocument/2006/relationships/hyperlink" Target="https://ps-jo.com/" TargetMode="External"/><Relationship Id="rId76" Type="http://schemas.openxmlformats.org/officeDocument/2006/relationships/hyperlink" Target="mailto:info@contractorenergy.com" TargetMode="External"/><Relationship Id="rId79" Type="http://schemas.openxmlformats.org/officeDocument/2006/relationships/hyperlink" Target="https://www.enfsolar.com/control-solar" TargetMode="External"/><Relationship Id="rId78" Type="http://schemas.openxmlformats.org/officeDocument/2006/relationships/hyperlink" Target="mailto:info@ps-jo.com" TargetMode="External"/><Relationship Id="rId71" Type="http://schemas.openxmlformats.org/officeDocument/2006/relationships/hyperlink" Target="https://www.enfsolar.com/trust-energy-solutions" TargetMode="External"/><Relationship Id="rId70" Type="http://schemas.openxmlformats.org/officeDocument/2006/relationships/hyperlink" Target="mailto:info@sun-synergy.com" TargetMode="External"/><Relationship Id="rId139" Type="http://schemas.openxmlformats.org/officeDocument/2006/relationships/hyperlink" Target="https://cleanenergyconcepts.com/" TargetMode="External"/><Relationship Id="rId138" Type="http://schemas.openxmlformats.org/officeDocument/2006/relationships/hyperlink" Target="mailto:info@besolar.com" TargetMode="External"/><Relationship Id="rId137" Type="http://schemas.openxmlformats.org/officeDocument/2006/relationships/hyperlink" Target="https://besolar.com/" TargetMode="External"/><Relationship Id="rId132" Type="http://schemas.openxmlformats.org/officeDocument/2006/relationships/hyperlink" Target="mailto:info@panmedenergy.com" TargetMode="External"/><Relationship Id="rId131" Type="http://schemas.openxmlformats.org/officeDocument/2006/relationships/hyperlink" Target="https://panmedenergy.com/" TargetMode="External"/><Relationship Id="rId130" Type="http://schemas.openxmlformats.org/officeDocument/2006/relationships/hyperlink" Target="mailto:info@mase.com.jo" TargetMode="External"/><Relationship Id="rId136" Type="http://schemas.openxmlformats.org/officeDocument/2006/relationships/hyperlink" Target="mailto:info@controlsolar.com" TargetMode="External"/><Relationship Id="rId135" Type="http://schemas.openxmlformats.org/officeDocument/2006/relationships/hyperlink" Target="https://controlsolar.com/" TargetMode="External"/><Relationship Id="rId134" Type="http://schemas.openxmlformats.org/officeDocument/2006/relationships/hyperlink" Target="mailto:info@ores.com.jo" TargetMode="External"/><Relationship Id="rId133" Type="http://schemas.openxmlformats.org/officeDocument/2006/relationships/hyperlink" Target="https://ores.com.jo/" TargetMode="External"/><Relationship Id="rId62" Type="http://schemas.openxmlformats.org/officeDocument/2006/relationships/hyperlink" Target="mailto:info@alemtyaz-jo.com" TargetMode="External"/><Relationship Id="rId61" Type="http://schemas.openxmlformats.org/officeDocument/2006/relationships/hyperlink" Target="https://alemtyaz-jo.com/" TargetMode="External"/><Relationship Id="rId64" Type="http://schemas.openxmlformats.org/officeDocument/2006/relationships/hyperlink" Target="mailto:info@solarity.jo" TargetMode="External"/><Relationship Id="rId63" Type="http://schemas.openxmlformats.org/officeDocument/2006/relationships/hyperlink" Target="https://solarity.eu/jo/" TargetMode="External"/><Relationship Id="rId66" Type="http://schemas.openxmlformats.org/officeDocument/2006/relationships/hyperlink" Target="mailto:info@ammanmounts.com" TargetMode="External"/><Relationship Id="rId65" Type="http://schemas.openxmlformats.org/officeDocument/2006/relationships/hyperlink" Target="https://www.ammanmounts.com/" TargetMode="External"/><Relationship Id="rId68" Type="http://schemas.openxmlformats.org/officeDocument/2006/relationships/hyperlink" Target="mailto:info@jordanseasons.com" TargetMode="External"/><Relationship Id="rId67" Type="http://schemas.openxmlformats.org/officeDocument/2006/relationships/hyperlink" Target="https://jordanseasons.com/" TargetMode="External"/><Relationship Id="rId60" Type="http://schemas.openxmlformats.org/officeDocument/2006/relationships/hyperlink" Target="mailto:architect.mdg@gmail.com" TargetMode="External"/><Relationship Id="rId69" Type="http://schemas.openxmlformats.org/officeDocument/2006/relationships/hyperlink" Target="https://sun-synergy.com/" TargetMode="External"/><Relationship Id="rId51" Type="http://schemas.openxmlformats.org/officeDocument/2006/relationships/hyperlink" Target="mailto:info@lagapiouarchitects.com" TargetMode="External"/><Relationship Id="rId50" Type="http://schemas.openxmlformats.org/officeDocument/2006/relationships/hyperlink" Target="mailto:info@csndemetriou.com" TargetMode="External"/><Relationship Id="rId53" Type="http://schemas.openxmlformats.org/officeDocument/2006/relationships/hyperlink" Target="mailto:info@papachristou.org" TargetMode="External"/><Relationship Id="rId52" Type="http://schemas.openxmlformats.org/officeDocument/2006/relationships/hyperlink" Target="mailto:info@dparch.cy" TargetMode="External"/><Relationship Id="rId55" Type="http://schemas.openxmlformats.org/officeDocument/2006/relationships/hyperlink" Target="mailto:info@iqonaarchitects.com" TargetMode="External"/><Relationship Id="rId54" Type="http://schemas.openxmlformats.org/officeDocument/2006/relationships/hyperlink" Target="mailto:info@gkarchitects.studio" TargetMode="External"/><Relationship Id="rId57" Type="http://schemas.openxmlformats.org/officeDocument/2006/relationships/hyperlink" Target="mailto:info@constantiarchitects.com" TargetMode="External"/><Relationship Id="rId56" Type="http://schemas.openxmlformats.org/officeDocument/2006/relationships/hyperlink" Target="mailto:info@armeftis.com" TargetMode="External"/><Relationship Id="rId59" Type="http://schemas.openxmlformats.org/officeDocument/2006/relationships/hyperlink" Target="mailto:info@thiasosarchitecture.com" TargetMode="External"/><Relationship Id="rId58" Type="http://schemas.openxmlformats.org/officeDocument/2006/relationships/hyperlink" Target="mailto:info@aykarchitects.com"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proptechweekmena.com/why-sponsor.html" TargetMode="External"/><Relationship Id="rId2" Type="http://schemas.openxmlformats.org/officeDocument/2006/relationships/hyperlink" Target="https://cityscapeglobal.com/" TargetMode="External"/><Relationship Id="rId3" Type="http://schemas.openxmlformats.org/officeDocument/2006/relationships/hyperlink" Target="http://eventify-organizer.com/" TargetMode="External"/><Relationship Id="rId4" Type="http://schemas.openxmlformats.org/officeDocument/2006/relationships/hyperlink" Target="https://gbandm.com/clients-we-work-with" TargetMode="External"/><Relationship Id="rId5" Type="http://schemas.openxmlformats.org/officeDocument/2006/relationships/hyperlink" Target="https://www.decc.qa/decc_events/project-qatar-2024/?utm_source=chatgpt.com" TargetMode="External"/><Relationship Id="rId6" Type="http://schemas.openxmlformats.org/officeDocument/2006/relationships/hyperlink" Target="https://www.index-qatar.com/" TargetMode="External"/><Relationship Id="rId7" Type="http://schemas.openxmlformats.org/officeDocument/2006/relationships/hyperlink" Target="http://www.qreforum.com/"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0" Type="http://schemas.openxmlformats.org/officeDocument/2006/relationships/hyperlink" Target="https://lifangvision.com/" TargetMode="External"/><Relationship Id="rId22" Type="http://schemas.openxmlformats.org/officeDocument/2006/relationships/hyperlink" Target="https://www.sdeton.com/aggregate-shandong-yiteng-new.html" TargetMode="External"/><Relationship Id="rId21" Type="http://schemas.openxmlformats.org/officeDocument/2006/relationships/hyperlink" Target="http://www.lansenglass.com/" TargetMode="External"/><Relationship Id="rId24" Type="http://schemas.openxmlformats.org/officeDocument/2006/relationships/hyperlink" Target="https://en.jylube.com/" TargetMode="External"/><Relationship Id="rId23" Type="http://schemas.openxmlformats.org/officeDocument/2006/relationships/hyperlink" Target="https://nickart-models.com/" TargetMode="External"/><Relationship Id="rId26" Type="http://schemas.openxmlformats.org/officeDocument/2006/relationships/hyperlink" Target="https://udcqatar.com/About-Us" TargetMode="External"/><Relationship Id="rId25" Type="http://schemas.openxmlformats.org/officeDocument/2006/relationships/hyperlink" Target="https://bluedesignstudio.com/" TargetMode="External"/><Relationship Id="rId28" Type="http://schemas.openxmlformats.org/officeDocument/2006/relationships/hyperlink" Target="https://www.barwa.com.qa/ar" TargetMode="External"/><Relationship Id="rId27" Type="http://schemas.openxmlformats.org/officeDocument/2006/relationships/hyperlink" Target="https://www.qataridiar.com/index.php/ar/contact-us" TargetMode="External"/><Relationship Id="rId29" Type="http://schemas.openxmlformats.org/officeDocument/2006/relationships/drawing" Target="../drawings/drawing20.xml"/><Relationship Id="rId11" Type="http://schemas.openxmlformats.org/officeDocument/2006/relationships/hyperlink" Target="https://www.afex.fr/" TargetMode="External"/><Relationship Id="rId10" Type="http://schemas.openxmlformats.org/officeDocument/2006/relationships/hyperlink" Target="https://mannaiproperties.com/tashyeed-properties.php" TargetMode="External"/><Relationship Id="rId13" Type="http://schemas.openxmlformats.org/officeDocument/2006/relationships/hyperlink" Target="https://www.boe.com/en/investorRelations/index" TargetMode="External"/><Relationship Id="rId12" Type="http://schemas.openxmlformats.org/officeDocument/2006/relationships/hyperlink" Target="https://brainboxai.com/en/about" TargetMode="External"/><Relationship Id="rId15" Type="http://schemas.openxmlformats.org/officeDocument/2006/relationships/hyperlink" Target="https://www.sunlever.net/" TargetMode="External"/><Relationship Id="rId14" Type="http://schemas.openxmlformats.org/officeDocument/2006/relationships/hyperlink" Target="https://www.dagongess.com/industrial-and-Commercial-ESS/215kWh-Liquid-Cooled-Energy-Storage-System.html?gad_source=1&amp;gclid=Cj0KCQjw4v6-BhDuARIsALprm30nBgRhaJ4Sv_GfIB7b-O-quy8sSGsP1zuhNGmKZ027cwAJMau7viEaApIsEALw_wcB" TargetMode="External"/><Relationship Id="rId17" Type="http://schemas.openxmlformats.org/officeDocument/2006/relationships/hyperlink" Target="https://www.zhongtangmaterial.com/PRODUCTS/1036573800933580800.html?gad_source=1&amp;gclid=Cj0KCQjw4v6-BhDuARIsALprm33pWd8Ph5psSoUDvmwIXrbBpCbENtoQa9k6XQpCcAsCWgFlN98rwhkaAqcGEALw_wcB" TargetMode="External"/><Relationship Id="rId16" Type="http://schemas.openxmlformats.org/officeDocument/2006/relationships/hyperlink" Target="https://www.ruixingmetal.com/product.html?gad_source=1&amp;gclid=Cj0KCQjw4v6-BhDuARIsALprm31PMb-_5NNiNBGjOmRru6BmLL-9x2cH6QLCwTpntiQMHaUK59SRfV8aAtZ2EALw_wcB" TargetMode="External"/><Relationship Id="rId19" Type="http://schemas.openxmlformats.org/officeDocument/2006/relationships/hyperlink" Target="https://www.iapa.net.au/" TargetMode="External"/><Relationship Id="rId18" Type="http://schemas.openxmlformats.org/officeDocument/2006/relationships/hyperlink" Target="https://www.al-extrusion.com/Aluminium-Alloy-pl3761858.html?gad_source=1&amp;gclid=Cj0KCQjw4v6-BhDuARIsALprm30KN1zGnOxcruc3N0YT1dxSvPBbSAIA5vHhwUOf14P5O88UBTWjhf4aAmrbEALw_wcB" TargetMode="External"/><Relationship Id="rId1" Type="http://schemas.openxmlformats.org/officeDocument/2006/relationships/hyperlink" Target="https://valocity.co.nz/" TargetMode="External"/><Relationship Id="rId2" Type="http://schemas.openxmlformats.org/officeDocument/2006/relationships/hyperlink" Target="https://alareenholding.com/" TargetMode="External"/><Relationship Id="rId3" Type="http://schemas.openxmlformats.org/officeDocument/2006/relationships/hyperlink" Target="https://bahrainmarina.bh/about/" TargetMode="External"/><Relationship Id="rId4" Type="http://schemas.openxmlformats.org/officeDocument/2006/relationships/hyperlink" Target="http://www.durratbahrain.com/" TargetMode="External"/><Relationship Id="rId9" Type="http://schemas.openxmlformats.org/officeDocument/2006/relationships/hyperlink" Target="https://propertymiddleeast.com/" TargetMode="External"/><Relationship Id="rId5" Type="http://schemas.openxmlformats.org/officeDocument/2006/relationships/hyperlink" Target="https://www.grnata.com/contactus.aspx" TargetMode="External"/><Relationship Id="rId6" Type="http://schemas.openxmlformats.org/officeDocument/2006/relationships/hyperlink" Target="https://infracorp.bh/" TargetMode="External"/><Relationship Id="rId7" Type="http://schemas.openxmlformats.org/officeDocument/2006/relationships/hyperlink" Target="https://msceb.com/" TargetMode="External"/><Relationship Id="rId8" Type="http://schemas.openxmlformats.org/officeDocument/2006/relationships/hyperlink" Target="https://www.nicholas.design/contact" TargetMode="External"/></Relationships>
</file>

<file path=xl/worksheets/_rels/sheet21.xml.rels><?xml version="1.0" encoding="UTF-8" standalone="yes"?><Relationships xmlns="http://schemas.openxmlformats.org/package/2006/relationships"><Relationship Id="rId40" Type="http://schemas.openxmlformats.org/officeDocument/2006/relationships/hyperlink" Target="mailto:info@linework.design" TargetMode="External"/><Relationship Id="rId42" Type="http://schemas.openxmlformats.org/officeDocument/2006/relationships/hyperlink" Target="mailto:info@azaldesignstudio.com" TargetMode="External"/><Relationship Id="rId41" Type="http://schemas.openxmlformats.org/officeDocument/2006/relationships/hyperlink" Target="https://www.azaldesignstudio.com/" TargetMode="External"/><Relationship Id="rId44" Type="http://schemas.openxmlformats.org/officeDocument/2006/relationships/hyperlink" Target="mailto:info@artechds.com" TargetMode="External"/><Relationship Id="rId43" Type="http://schemas.openxmlformats.org/officeDocument/2006/relationships/hyperlink" Target="https://artechdesignerstudio.com/" TargetMode="External"/><Relationship Id="rId46" Type="http://schemas.openxmlformats.org/officeDocument/2006/relationships/hyperlink" Target="https://ids-jo.com/" TargetMode="External"/><Relationship Id="rId45" Type="http://schemas.openxmlformats.org/officeDocument/2006/relationships/hyperlink" Target="https://insideoutjo.com/" TargetMode="External"/><Relationship Id="rId107" Type="http://schemas.openxmlformats.org/officeDocument/2006/relationships/hyperlink" Target="https://www.rafidain.com" TargetMode="External"/><Relationship Id="rId106" Type="http://schemas.openxmlformats.org/officeDocument/2006/relationships/hyperlink" Target="mailto:info@rafidain.com" TargetMode="External"/><Relationship Id="rId105" Type="http://schemas.openxmlformats.org/officeDocument/2006/relationships/hyperlink" Target="https://www.citi.com" TargetMode="External"/><Relationship Id="rId104" Type="http://schemas.openxmlformats.org/officeDocument/2006/relationships/hyperlink" Target="mailto:info@citi.com" TargetMode="External"/><Relationship Id="rId109" Type="http://schemas.openxmlformats.org/officeDocument/2006/relationships/hyperlink" Target="https://www.nbk.com" TargetMode="External"/><Relationship Id="rId108" Type="http://schemas.openxmlformats.org/officeDocument/2006/relationships/hyperlink" Target="mailto:info@nbk.com.jo" TargetMode="External"/><Relationship Id="rId48" Type="http://schemas.openxmlformats.org/officeDocument/2006/relationships/hyperlink" Target="https://www.daldesign.co/" TargetMode="External"/><Relationship Id="rId47" Type="http://schemas.openxmlformats.org/officeDocument/2006/relationships/hyperlink" Target="https://contempojordan.com/" TargetMode="External"/><Relationship Id="rId185" Type="http://schemas.openxmlformats.org/officeDocument/2006/relationships/table" Target="../tables/table4.xml"/><Relationship Id="rId49" Type="http://schemas.openxmlformats.org/officeDocument/2006/relationships/hyperlink" Target="mailto:daed.mousa@daldesign.co" TargetMode="External"/><Relationship Id="rId103" Type="http://schemas.openxmlformats.org/officeDocument/2006/relationships/hyperlink" Target="https://www.sc.com/jo" TargetMode="External"/><Relationship Id="rId102" Type="http://schemas.openxmlformats.org/officeDocument/2006/relationships/hyperlink" Target="mailto:info@sc.com" TargetMode="External"/><Relationship Id="rId101" Type="http://schemas.openxmlformats.org/officeDocument/2006/relationships/hyperlink" Target="https://www.jordanislamicbank.com" TargetMode="External"/><Relationship Id="rId100" Type="http://schemas.openxmlformats.org/officeDocument/2006/relationships/hyperlink" Target="mailto:jibcustomerservice@islamicbank.com.jo" TargetMode="External"/><Relationship Id="rId31" Type="http://schemas.openxmlformats.org/officeDocument/2006/relationships/hyperlink" Target="mailto:info@real-jo.com" TargetMode="External"/><Relationship Id="rId30" Type="http://schemas.openxmlformats.org/officeDocument/2006/relationships/hyperlink" Target="https://real-jo.com/en/" TargetMode="External"/><Relationship Id="rId33" Type="http://schemas.openxmlformats.org/officeDocument/2006/relationships/hyperlink" Target="https://jordaninvest.jo/" TargetMode="External"/><Relationship Id="rId183" Type="http://schemas.openxmlformats.org/officeDocument/2006/relationships/vmlDrawing" Target="../drawings/vmlDrawing3.vml"/><Relationship Id="rId32" Type="http://schemas.openxmlformats.org/officeDocument/2006/relationships/hyperlink" Target="https://hezcompany.com/" TargetMode="External"/><Relationship Id="rId182" Type="http://schemas.openxmlformats.org/officeDocument/2006/relationships/drawing" Target="../drawings/drawing21.xml"/><Relationship Id="rId35" Type="http://schemas.openxmlformats.org/officeDocument/2006/relationships/hyperlink" Target="https://abujudom.com/" TargetMode="External"/><Relationship Id="rId181" Type="http://schemas.openxmlformats.org/officeDocument/2006/relationships/hyperlink" Target="http://www.petronas.com/" TargetMode="External"/><Relationship Id="rId34" Type="http://schemas.openxmlformats.org/officeDocument/2006/relationships/hyperlink" Target="https://raha-architects.com/" TargetMode="External"/><Relationship Id="rId180" Type="http://schemas.openxmlformats.org/officeDocument/2006/relationships/hyperlink" Target="http://www.hawilux.com/" TargetMode="External"/><Relationship Id="rId37" Type="http://schemas.openxmlformats.org/officeDocument/2006/relationships/hyperlink" Target="https://woodstyleiq.com/" TargetMode="External"/><Relationship Id="rId176" Type="http://schemas.openxmlformats.org/officeDocument/2006/relationships/hyperlink" Target="mailto:info@almazarengineering.com" TargetMode="External"/><Relationship Id="rId36" Type="http://schemas.openxmlformats.org/officeDocument/2006/relationships/hyperlink" Target="https://lanour.co/" TargetMode="External"/><Relationship Id="rId175" Type="http://schemas.openxmlformats.org/officeDocument/2006/relationships/hyperlink" Target="https://eecgroup.com/" TargetMode="External"/><Relationship Id="rId39" Type="http://schemas.openxmlformats.org/officeDocument/2006/relationships/hyperlink" Target="https://www.linework.design/" TargetMode="External"/><Relationship Id="rId174" Type="http://schemas.openxmlformats.org/officeDocument/2006/relationships/hyperlink" Target="http://marsina.net/" TargetMode="External"/><Relationship Id="rId38" Type="http://schemas.openxmlformats.org/officeDocument/2006/relationships/hyperlink" Target="https://ava-architects.krd/" TargetMode="External"/><Relationship Id="rId173" Type="http://schemas.openxmlformats.org/officeDocument/2006/relationships/hyperlink" Target="https://www.sabaeng.com/" TargetMode="External"/><Relationship Id="rId179" Type="http://schemas.openxmlformats.org/officeDocument/2006/relationships/hyperlink" Target="http://swordceramic.com/" TargetMode="External"/><Relationship Id="rId178" Type="http://schemas.openxmlformats.org/officeDocument/2006/relationships/hyperlink" Target="https://www.leptosestates.com/" TargetMode="External"/><Relationship Id="rId177" Type="http://schemas.openxmlformats.org/officeDocument/2006/relationships/hyperlink" Target="http://www.almazarengineering.com/" TargetMode="External"/><Relationship Id="rId20" Type="http://schemas.openxmlformats.org/officeDocument/2006/relationships/hyperlink" Target="mailto:admin@mirathrealestate.com" TargetMode="External"/><Relationship Id="rId22" Type="http://schemas.openxmlformats.org/officeDocument/2006/relationships/hyperlink" Target="mailto:agent@homes-jordan.com" TargetMode="External"/><Relationship Id="rId21" Type="http://schemas.openxmlformats.org/officeDocument/2006/relationships/hyperlink" Target="https://www.homes-jordan.com/" TargetMode="External"/><Relationship Id="rId24" Type="http://schemas.openxmlformats.org/officeDocument/2006/relationships/hyperlink" Target="https://hodiraq.com/" TargetMode="External"/><Relationship Id="rId23" Type="http://schemas.openxmlformats.org/officeDocument/2006/relationships/hyperlink" Target="https://aqarmal.com/" TargetMode="External"/><Relationship Id="rId129" Type="http://schemas.openxmlformats.org/officeDocument/2006/relationships/hyperlink" Target="https://www.cab.jo" TargetMode="External"/><Relationship Id="rId128" Type="http://schemas.openxmlformats.org/officeDocument/2006/relationships/hyperlink" Target="mailto:info@cab.jo" TargetMode="External"/><Relationship Id="rId127" Type="http://schemas.openxmlformats.org/officeDocument/2006/relationships/hyperlink" Target="https://www.bank-abc.com" TargetMode="External"/><Relationship Id="rId126" Type="http://schemas.openxmlformats.org/officeDocument/2006/relationships/hyperlink" Target="mailto:info@bank-abc.com" TargetMode="External"/><Relationship Id="rId26" Type="http://schemas.openxmlformats.org/officeDocument/2006/relationships/hyperlink" Target="mailto:info@sadeencontracting.com" TargetMode="External"/><Relationship Id="rId121" Type="http://schemas.openxmlformats.org/officeDocument/2006/relationships/hyperlink" Target="https://www.jordanislamicbank.com" TargetMode="External"/><Relationship Id="rId25" Type="http://schemas.openxmlformats.org/officeDocument/2006/relationships/hyperlink" Target="https://sadeengroup.com/" TargetMode="External"/><Relationship Id="rId120" Type="http://schemas.openxmlformats.org/officeDocument/2006/relationships/hyperlink" Target="mailto:customer.complaints@islamicbank.com.jo" TargetMode="External"/><Relationship Id="rId28" Type="http://schemas.openxmlformats.org/officeDocument/2006/relationships/hyperlink" Target="https://eqbaljordan.com/en" TargetMode="External"/><Relationship Id="rId27" Type="http://schemas.openxmlformats.org/officeDocument/2006/relationships/hyperlink" Target="https://lenyainteriors.com/" TargetMode="External"/><Relationship Id="rId125" Type="http://schemas.openxmlformats.org/officeDocument/2006/relationships/hyperlink" Target="https://www.jkb.com" TargetMode="External"/><Relationship Id="rId29" Type="http://schemas.openxmlformats.org/officeDocument/2006/relationships/hyperlink" Target="https://alpha-iraq.com/" TargetMode="External"/><Relationship Id="rId124" Type="http://schemas.openxmlformats.org/officeDocument/2006/relationships/hyperlink" Target="mailto:info@jkb.com" TargetMode="External"/><Relationship Id="rId123" Type="http://schemas.openxmlformats.org/officeDocument/2006/relationships/hyperlink" Target="https://www.jcbank.com.jo" TargetMode="External"/><Relationship Id="rId122" Type="http://schemas.openxmlformats.org/officeDocument/2006/relationships/hyperlink" Target="mailto:jcb@jcbank.com.jo" TargetMode="External"/><Relationship Id="rId95" Type="http://schemas.openxmlformats.org/officeDocument/2006/relationships/hyperlink" Target="https://www.ahli.com" TargetMode="External"/><Relationship Id="rId94" Type="http://schemas.openxmlformats.org/officeDocument/2006/relationships/hyperlink" Target="mailto:info@ahli.com" TargetMode="External"/><Relationship Id="rId97" Type="http://schemas.openxmlformats.org/officeDocument/2006/relationships/hyperlink" Target="https://www.hbtf.com" TargetMode="External"/><Relationship Id="rId96" Type="http://schemas.openxmlformats.org/officeDocument/2006/relationships/hyperlink" Target="mailto:info@hbtf.com" TargetMode="External"/><Relationship Id="rId11" Type="http://schemas.openxmlformats.org/officeDocument/2006/relationships/hyperlink" Target="mailto:sulimandw@yahoo.com" TargetMode="External"/><Relationship Id="rId99" Type="http://schemas.openxmlformats.org/officeDocument/2006/relationships/hyperlink" Target="https://www.ajib.com" TargetMode="External"/><Relationship Id="rId10" Type="http://schemas.openxmlformats.org/officeDocument/2006/relationships/hyperlink" Target="https://eaglehillsjordan.com" TargetMode="External"/><Relationship Id="rId98" Type="http://schemas.openxmlformats.org/officeDocument/2006/relationships/hyperlink" Target="mailto:info@ajib.com" TargetMode="External"/><Relationship Id="rId13" Type="http://schemas.openxmlformats.org/officeDocument/2006/relationships/hyperlink" Target="https://www.bayut.sa/en/companies/?utm_source=chatgpt.com" TargetMode="External"/><Relationship Id="rId12" Type="http://schemas.openxmlformats.org/officeDocument/2006/relationships/hyperlink" Target="https://qattousgroup.com" TargetMode="External"/><Relationship Id="rId91" Type="http://schemas.openxmlformats.org/officeDocument/2006/relationships/hyperlink" Target="https://www.jcbank.com.jo" TargetMode="External"/><Relationship Id="rId90" Type="http://schemas.openxmlformats.org/officeDocument/2006/relationships/hyperlink" Target="mailto:jcb@jcbank.com.jo" TargetMode="External"/><Relationship Id="rId93" Type="http://schemas.openxmlformats.org/officeDocument/2006/relationships/hyperlink" Target="https://www.jkb.com" TargetMode="External"/><Relationship Id="rId92" Type="http://schemas.openxmlformats.org/officeDocument/2006/relationships/hyperlink" Target="mailto:webmaster@jkbank.com.jo" TargetMode="External"/><Relationship Id="rId118" Type="http://schemas.openxmlformats.org/officeDocument/2006/relationships/hyperlink" Target="mailto:boj@bankofjordan.com.jo" TargetMode="External"/><Relationship Id="rId117" Type="http://schemas.openxmlformats.org/officeDocument/2006/relationships/hyperlink" Target="https://www.cbj.gov.jo" TargetMode="External"/><Relationship Id="rId116" Type="http://schemas.openxmlformats.org/officeDocument/2006/relationships/hyperlink" Target="mailto:info@cbj.gov.jo" TargetMode="External"/><Relationship Id="rId115" Type="http://schemas.openxmlformats.org/officeDocument/2006/relationships/hyperlink" Target="https://www.alrajhi.com" TargetMode="External"/><Relationship Id="rId119" Type="http://schemas.openxmlformats.org/officeDocument/2006/relationships/hyperlink" Target="https://www.bankofjordan.com" TargetMode="External"/><Relationship Id="rId15" Type="http://schemas.openxmlformats.org/officeDocument/2006/relationships/hyperlink" Target="https://thegalleriajordan.com" TargetMode="External"/><Relationship Id="rId110" Type="http://schemas.openxmlformats.org/officeDocument/2006/relationships/hyperlink" Target="mailto:info@blom.com.jo" TargetMode="External"/><Relationship Id="rId14" Type="http://schemas.openxmlformats.org/officeDocument/2006/relationships/hyperlink" Target="https://hitech-jo.com" TargetMode="External"/><Relationship Id="rId17" Type="http://schemas.openxmlformats.org/officeDocument/2006/relationships/hyperlink" Target="https://konyare.com" TargetMode="External"/><Relationship Id="rId16" Type="http://schemas.openxmlformats.org/officeDocument/2006/relationships/hyperlink" Target="https://www.dnb.com/business-directory/company-information.real_estate.sa.html?utm_source=chatgpt.com" TargetMode="External"/><Relationship Id="rId19" Type="http://schemas.openxmlformats.org/officeDocument/2006/relationships/hyperlink" Target="https://www.mirathrealestate.com/" TargetMode="External"/><Relationship Id="rId114" Type="http://schemas.openxmlformats.org/officeDocument/2006/relationships/hyperlink" Target="mailto:info@alrajhi.com.jo" TargetMode="External"/><Relationship Id="rId18" Type="http://schemas.openxmlformats.org/officeDocument/2006/relationships/hyperlink" Target="https://bhomes.jo" TargetMode="External"/><Relationship Id="rId113" Type="http://schemas.openxmlformats.org/officeDocument/2006/relationships/hyperlink" Target="https://www.bankaudi.com" TargetMode="External"/><Relationship Id="rId112" Type="http://schemas.openxmlformats.org/officeDocument/2006/relationships/hyperlink" Target="mailto:info@bankaudi.com.jo" TargetMode="External"/><Relationship Id="rId111" Type="http://schemas.openxmlformats.org/officeDocument/2006/relationships/hyperlink" Target="https://www.blom.com" TargetMode="External"/><Relationship Id="rId84" Type="http://schemas.openxmlformats.org/officeDocument/2006/relationships/hyperlink" Target="mailto:boj@bankofjordan.com.jo" TargetMode="External"/><Relationship Id="rId83" Type="http://schemas.openxmlformats.org/officeDocument/2006/relationships/hyperlink" Target="https://www.bank-abc.com" TargetMode="External"/><Relationship Id="rId86" Type="http://schemas.openxmlformats.org/officeDocument/2006/relationships/hyperlink" Target="mailto:info@cab.jo" TargetMode="External"/><Relationship Id="rId85" Type="http://schemas.openxmlformats.org/officeDocument/2006/relationships/hyperlink" Target="https://www.bankofjordan.com" TargetMode="External"/><Relationship Id="rId88" Type="http://schemas.openxmlformats.org/officeDocument/2006/relationships/hyperlink" Target="mailto:info@capitalbank.jo" TargetMode="External"/><Relationship Id="rId150" Type="http://schemas.openxmlformats.org/officeDocument/2006/relationships/hyperlink" Target="mailto:info@nbk.com.jo" TargetMode="External"/><Relationship Id="rId87" Type="http://schemas.openxmlformats.org/officeDocument/2006/relationships/hyperlink" Target="https://www.cab.jo" TargetMode="External"/><Relationship Id="rId89" Type="http://schemas.openxmlformats.org/officeDocument/2006/relationships/hyperlink" Target="https://www.capitalbank.jo" TargetMode="External"/><Relationship Id="rId80" Type="http://schemas.openxmlformats.org/officeDocument/2006/relationships/hyperlink" Target="mailto:customer.care@arabbank.com.jo" TargetMode="External"/><Relationship Id="rId82" Type="http://schemas.openxmlformats.org/officeDocument/2006/relationships/hyperlink" Target="mailto:info@bank-abc.com" TargetMode="External"/><Relationship Id="rId81" Type="http://schemas.openxmlformats.org/officeDocument/2006/relationships/hyperlink" Target="https://www.arabbank.com.jo" TargetMode="External"/><Relationship Id="rId1" Type="http://schemas.openxmlformats.org/officeDocument/2006/relationships/comments" Target="../comments3.xml"/><Relationship Id="rId2" Type="http://schemas.openxmlformats.org/officeDocument/2006/relationships/hyperlink" Target="https://ayla.com.jo" TargetMode="External"/><Relationship Id="rId3" Type="http://schemas.openxmlformats.org/officeDocument/2006/relationships/hyperlink" Target="mailto:almaali_contracting@yahoo.com" TargetMode="External"/><Relationship Id="rId149" Type="http://schemas.openxmlformats.org/officeDocument/2006/relationships/hyperlink" Target="https://www.rafidain.com" TargetMode="External"/><Relationship Id="rId4" Type="http://schemas.openxmlformats.org/officeDocument/2006/relationships/hyperlink" Target="https://kurdigroup.jo" TargetMode="External"/><Relationship Id="rId148" Type="http://schemas.openxmlformats.org/officeDocument/2006/relationships/hyperlink" Target="mailto:info@rafidain.com" TargetMode="External"/><Relationship Id="rId9" Type="http://schemas.openxmlformats.org/officeDocument/2006/relationships/hyperlink" Target="mailto:heshamsaleem@yahoo.com" TargetMode="External"/><Relationship Id="rId143" Type="http://schemas.openxmlformats.org/officeDocument/2006/relationships/hyperlink" Target="https://www.safwabank.com" TargetMode="External"/><Relationship Id="rId142" Type="http://schemas.openxmlformats.org/officeDocument/2006/relationships/hyperlink" Target="mailto:info@safwabank.com" TargetMode="External"/><Relationship Id="rId141" Type="http://schemas.openxmlformats.org/officeDocument/2006/relationships/hyperlink" Target="https://www.iiabank.com.jo" TargetMode="External"/><Relationship Id="rId140" Type="http://schemas.openxmlformats.org/officeDocument/2006/relationships/hyperlink" Target="mailto:info@iiabank.com.jo" TargetMode="External"/><Relationship Id="rId5" Type="http://schemas.openxmlformats.org/officeDocument/2006/relationships/hyperlink" Target="mailto:info@whyjordan.com" TargetMode="External"/><Relationship Id="rId147" Type="http://schemas.openxmlformats.org/officeDocument/2006/relationships/hyperlink" Target="https://www.citi.com" TargetMode="External"/><Relationship Id="rId6" Type="http://schemas.openxmlformats.org/officeDocument/2006/relationships/hyperlink" Target="https://diversity-ltd.com" TargetMode="External"/><Relationship Id="rId146" Type="http://schemas.openxmlformats.org/officeDocument/2006/relationships/hyperlink" Target="mailto:info@citi.com" TargetMode="External"/><Relationship Id="rId7" Type="http://schemas.openxmlformats.org/officeDocument/2006/relationships/hyperlink" Target="mailto:issam@gaithco.com" TargetMode="External"/><Relationship Id="rId145" Type="http://schemas.openxmlformats.org/officeDocument/2006/relationships/hyperlink" Target="https://www.sc.com" TargetMode="External"/><Relationship Id="rId8" Type="http://schemas.openxmlformats.org/officeDocument/2006/relationships/hyperlink" Target="https://taameer.jo" TargetMode="External"/><Relationship Id="rId144" Type="http://schemas.openxmlformats.org/officeDocument/2006/relationships/hyperlink" Target="mailto:info@sc.com" TargetMode="External"/><Relationship Id="rId73" Type="http://schemas.openxmlformats.org/officeDocument/2006/relationships/hyperlink" Target="https://jordanpassports.com/contact-us/" TargetMode="External"/><Relationship Id="rId72" Type="http://schemas.openxmlformats.org/officeDocument/2006/relationships/hyperlink" Target="https://citizenshipave.com/service-details/jordan" TargetMode="External"/><Relationship Id="rId75" Type="http://schemas.openxmlformats.org/officeDocument/2006/relationships/hyperlink" Target="https://www.breakfrontservices.com/jordan-cbi" TargetMode="External"/><Relationship Id="rId74" Type="http://schemas.openxmlformats.org/officeDocument/2006/relationships/hyperlink" Target="mailto:info@breakfrontservices.com" TargetMode="External"/><Relationship Id="rId77" Type="http://schemas.openxmlformats.org/officeDocument/2006/relationships/hyperlink" Target="https://immigrantinvest.com/blog/jordan-citizenship-en/" TargetMode="External"/><Relationship Id="rId76" Type="http://schemas.openxmlformats.org/officeDocument/2006/relationships/hyperlink" Target="https://www.henleyglobal.com/citizenship-investment/jordan" TargetMode="External"/><Relationship Id="rId79" Type="http://schemas.openxmlformats.org/officeDocument/2006/relationships/hyperlink" Target="https://gvimmigration.com/jordan-citizenship-by-investment/" TargetMode="External"/><Relationship Id="rId78" Type="http://schemas.openxmlformats.org/officeDocument/2006/relationships/hyperlink" Target="https://goldenharbors.com/programs/jordan-citizenship" TargetMode="External"/><Relationship Id="rId71" Type="http://schemas.openxmlformats.org/officeDocument/2006/relationships/hyperlink" Target="mailto:inquiries@citizenshipavenue.com" TargetMode="External"/><Relationship Id="rId70" Type="http://schemas.openxmlformats.org/officeDocument/2006/relationships/hyperlink" Target="http://designbook.me" TargetMode="External"/><Relationship Id="rId139" Type="http://schemas.openxmlformats.org/officeDocument/2006/relationships/hyperlink" Target="https://www.bankaletihad.com" TargetMode="External"/><Relationship Id="rId138" Type="http://schemas.openxmlformats.org/officeDocument/2006/relationships/hyperlink" Target="mailto:info@bankaletihad.com" TargetMode="External"/><Relationship Id="rId137" Type="http://schemas.openxmlformats.org/officeDocument/2006/relationships/hyperlink" Target="https://www.investbank.jo" TargetMode="External"/><Relationship Id="rId132" Type="http://schemas.openxmlformats.org/officeDocument/2006/relationships/hyperlink" Target="mailto:info@hbtf.com" TargetMode="External"/><Relationship Id="rId131" Type="http://schemas.openxmlformats.org/officeDocument/2006/relationships/hyperlink" Target="https://www.capitalbank.jo" TargetMode="External"/><Relationship Id="rId130" Type="http://schemas.openxmlformats.org/officeDocument/2006/relationships/hyperlink" Target="mailto:info@capitalbank.jo" TargetMode="External"/><Relationship Id="rId136" Type="http://schemas.openxmlformats.org/officeDocument/2006/relationships/hyperlink" Target="mailto:info@investbank.jo" TargetMode="External"/><Relationship Id="rId135" Type="http://schemas.openxmlformats.org/officeDocument/2006/relationships/hyperlink" Target="https://www.ajib.com" TargetMode="External"/><Relationship Id="rId134" Type="http://schemas.openxmlformats.org/officeDocument/2006/relationships/hyperlink" Target="mailto:info@ajib.com" TargetMode="External"/><Relationship Id="rId133" Type="http://schemas.openxmlformats.org/officeDocument/2006/relationships/hyperlink" Target="https://www.hbtf.com" TargetMode="External"/><Relationship Id="rId62" Type="http://schemas.openxmlformats.org/officeDocument/2006/relationships/hyperlink" Target="https://faraharchitects.com/" TargetMode="External"/><Relationship Id="rId61" Type="http://schemas.openxmlformats.org/officeDocument/2006/relationships/hyperlink" Target="https://www.daldesign.co/" TargetMode="External"/><Relationship Id="rId64" Type="http://schemas.openxmlformats.org/officeDocument/2006/relationships/hyperlink" Target="https://www.rumatelier.com/" TargetMode="External"/><Relationship Id="rId63" Type="http://schemas.openxmlformats.org/officeDocument/2006/relationships/hyperlink" Target="https://hannasalameh.com/" TargetMode="External"/><Relationship Id="rId66" Type="http://schemas.openxmlformats.org/officeDocument/2006/relationships/hyperlink" Target="https://www.inscapedesignhouse.com/" TargetMode="External"/><Relationship Id="rId172" Type="http://schemas.openxmlformats.org/officeDocument/2006/relationships/hyperlink" Target="http://alajmaljo.com/" TargetMode="External"/><Relationship Id="rId65" Type="http://schemas.openxmlformats.org/officeDocument/2006/relationships/hyperlink" Target="https://www.osama-alnatour.com/" TargetMode="External"/><Relationship Id="rId171" Type="http://schemas.openxmlformats.org/officeDocument/2006/relationships/hyperlink" Target="http://aqlu.jo/" TargetMode="External"/><Relationship Id="rId68" Type="http://schemas.openxmlformats.org/officeDocument/2006/relationships/hyperlink" Target="https://seyamarchitects.com/" TargetMode="External"/><Relationship Id="rId170" Type="http://schemas.openxmlformats.org/officeDocument/2006/relationships/hyperlink" Target="http://eco-jordan.com/" TargetMode="External"/><Relationship Id="rId67" Type="http://schemas.openxmlformats.org/officeDocument/2006/relationships/hyperlink" Target="https://13cdesigns.com/" TargetMode="External"/><Relationship Id="rId60" Type="http://schemas.openxmlformats.org/officeDocument/2006/relationships/hyperlink" Target="https://contempojordan.com/" TargetMode="External"/><Relationship Id="rId165" Type="http://schemas.openxmlformats.org/officeDocument/2006/relationships/hyperlink" Target="https://www.foresite.com" TargetMode="External"/><Relationship Id="rId69" Type="http://schemas.openxmlformats.org/officeDocument/2006/relationships/hyperlink" Target="https://www.tamarahimmo.com/" TargetMode="External"/><Relationship Id="rId164" Type="http://schemas.openxmlformats.org/officeDocument/2006/relationships/hyperlink" Target="https://www.atomkit.com" TargetMode="External"/><Relationship Id="rId163" Type="http://schemas.openxmlformats.org/officeDocument/2006/relationships/hyperlink" Target="https://www.imagine.com" TargetMode="External"/><Relationship Id="rId162" Type="http://schemas.openxmlformats.org/officeDocument/2006/relationships/hyperlink" Target="https://www.yadonia.com" TargetMode="External"/><Relationship Id="rId169" Type="http://schemas.openxmlformats.org/officeDocument/2006/relationships/hyperlink" Target="http://www.nationalpaints.com/" TargetMode="External"/><Relationship Id="rId168" Type="http://schemas.openxmlformats.org/officeDocument/2006/relationships/hyperlink" Target="http://nationalpaints.com/" TargetMode="External"/><Relationship Id="rId167" Type="http://schemas.openxmlformats.org/officeDocument/2006/relationships/hyperlink" Target="https://www.mediaplus.com" TargetMode="External"/><Relationship Id="rId166" Type="http://schemas.openxmlformats.org/officeDocument/2006/relationships/hyperlink" Target="https://www.hyperlinkinfosystem.com" TargetMode="External"/><Relationship Id="rId51" Type="http://schemas.openxmlformats.org/officeDocument/2006/relationships/hyperlink" Target="https://hannasalameh.com/" TargetMode="External"/><Relationship Id="rId50" Type="http://schemas.openxmlformats.org/officeDocument/2006/relationships/hyperlink" Target="https://faraharchitects.com/" TargetMode="External"/><Relationship Id="rId53" Type="http://schemas.openxmlformats.org/officeDocument/2006/relationships/hyperlink" Target="https://www.macjordan.com/" TargetMode="External"/><Relationship Id="rId52" Type="http://schemas.openxmlformats.org/officeDocument/2006/relationships/hyperlink" Target="https://www.rumatelier.com/" TargetMode="External"/><Relationship Id="rId55" Type="http://schemas.openxmlformats.org/officeDocument/2006/relationships/hyperlink" Target="https://www.linework.design/" TargetMode="External"/><Relationship Id="rId161" Type="http://schemas.openxmlformats.org/officeDocument/2006/relationships/hyperlink" Target="https://www.kensoftware.com/Contact" TargetMode="External"/><Relationship Id="rId54" Type="http://schemas.openxmlformats.org/officeDocument/2006/relationships/hyperlink" Target="https://www.osama-alnatour.com/" TargetMode="External"/><Relationship Id="rId160" Type="http://schemas.openxmlformats.org/officeDocument/2006/relationships/hyperlink" Target="mailto:info@kensoftware.com" TargetMode="External"/><Relationship Id="rId57" Type="http://schemas.openxmlformats.org/officeDocument/2006/relationships/hyperlink" Target="https://artechdesignerstudio.com/" TargetMode="External"/><Relationship Id="rId56" Type="http://schemas.openxmlformats.org/officeDocument/2006/relationships/hyperlink" Target="https://www.azaldesignstudio.com/" TargetMode="External"/><Relationship Id="rId159" Type="http://schemas.openxmlformats.org/officeDocument/2006/relationships/hyperlink" Target="https://xeleration.net/about-us" TargetMode="External"/><Relationship Id="rId59" Type="http://schemas.openxmlformats.org/officeDocument/2006/relationships/hyperlink" Target="https://ids-jo.com/" TargetMode="External"/><Relationship Id="rId154" Type="http://schemas.openxmlformats.org/officeDocument/2006/relationships/hyperlink" Target="mailto:info@bankaudi.com.jo" TargetMode="External"/><Relationship Id="rId58" Type="http://schemas.openxmlformats.org/officeDocument/2006/relationships/hyperlink" Target="https://insideoutjo.com/" TargetMode="External"/><Relationship Id="rId153" Type="http://schemas.openxmlformats.org/officeDocument/2006/relationships/hyperlink" Target="https://www.blom.com" TargetMode="External"/><Relationship Id="rId152" Type="http://schemas.openxmlformats.org/officeDocument/2006/relationships/hyperlink" Target="mailto:info@blom.com.jo" TargetMode="External"/><Relationship Id="rId151" Type="http://schemas.openxmlformats.org/officeDocument/2006/relationships/hyperlink" Target="https://www.nbk.com" TargetMode="External"/><Relationship Id="rId158" Type="http://schemas.openxmlformats.org/officeDocument/2006/relationships/hyperlink" Target="mailto:info@xeleration.net" TargetMode="External"/><Relationship Id="rId157" Type="http://schemas.openxmlformats.org/officeDocument/2006/relationships/hyperlink" Target="https://www.alrajhi.com" TargetMode="External"/><Relationship Id="rId156" Type="http://schemas.openxmlformats.org/officeDocument/2006/relationships/hyperlink" Target="mailto:info@alrajhi.com.jo" TargetMode="External"/><Relationship Id="rId155" Type="http://schemas.openxmlformats.org/officeDocument/2006/relationships/hyperlink" Target="https://www.bankaudi.com" TargetMode="External"/></Relationships>
</file>

<file path=xl/worksheets/_rels/sheet22.xml.rels><?xml version="1.0" encoding="UTF-8" standalone="yes"?><Relationships xmlns="http://schemas.openxmlformats.org/package/2006/relationships"><Relationship Id="rId31" Type="http://schemas.openxmlformats.org/officeDocument/2006/relationships/hyperlink" Target="http://ensemblepnw.com/" TargetMode="External"/><Relationship Id="rId30" Type="http://schemas.openxmlformats.org/officeDocument/2006/relationships/hyperlink" Target="http://hedubai.com/" TargetMode="External"/><Relationship Id="rId33" Type="http://schemas.openxmlformats.org/officeDocument/2006/relationships/hyperlink" Target="http://homes.com/" TargetMode="External"/><Relationship Id="rId32" Type="http://schemas.openxmlformats.org/officeDocument/2006/relationships/hyperlink" Target="http://www.aludra.ae/" TargetMode="External"/><Relationship Id="rId35" Type="http://schemas.openxmlformats.org/officeDocument/2006/relationships/vmlDrawing" Target="../drawings/vmlDrawing4.vml"/><Relationship Id="rId34" Type="http://schemas.openxmlformats.org/officeDocument/2006/relationships/drawing" Target="../drawings/drawing22.xml"/><Relationship Id="rId20" Type="http://schemas.openxmlformats.org/officeDocument/2006/relationships/hyperlink" Target="https://www.vision-ary.com/" TargetMode="External"/><Relationship Id="rId22" Type="http://schemas.openxmlformats.org/officeDocument/2006/relationships/hyperlink" Target="http://ushre.com/" TargetMode="External"/><Relationship Id="rId21" Type="http://schemas.openxmlformats.org/officeDocument/2006/relationships/hyperlink" Target="https://medore.ae/" TargetMode="External"/><Relationship Id="rId24" Type="http://schemas.openxmlformats.org/officeDocument/2006/relationships/hyperlink" Target="http://ileanabogaertrealtor.com/" TargetMode="External"/><Relationship Id="rId23" Type="http://schemas.openxmlformats.org/officeDocument/2006/relationships/hyperlink" Target="https://www.investingeorgia.org/" TargetMode="External"/><Relationship Id="rId26" Type="http://schemas.openxmlformats.org/officeDocument/2006/relationships/hyperlink" Target="http://www.belhousere.com/" TargetMode="External"/><Relationship Id="rId25" Type="http://schemas.openxmlformats.org/officeDocument/2006/relationships/hyperlink" Target="https://www.dezdafinn.com/" TargetMode="External"/><Relationship Id="rId28" Type="http://schemas.openxmlformats.org/officeDocument/2006/relationships/hyperlink" Target="http://alexissellshomes.com/" TargetMode="External"/><Relationship Id="rId27" Type="http://schemas.openxmlformats.org/officeDocument/2006/relationships/hyperlink" Target="http://www.iamdenisewilliams.com/" TargetMode="External"/><Relationship Id="rId29" Type="http://schemas.openxmlformats.org/officeDocument/2006/relationships/hyperlink" Target="http://mc1123.yourkwoffice.com/" TargetMode="External"/><Relationship Id="rId11" Type="http://schemas.openxmlformats.org/officeDocument/2006/relationships/hyperlink" Target="http://connectaisolutions.co.uk/" TargetMode="External"/><Relationship Id="rId10" Type="http://schemas.openxmlformats.org/officeDocument/2006/relationships/hyperlink" Target="https://amirah.ae/" TargetMode="External"/><Relationship Id="rId13" Type="http://schemas.openxmlformats.org/officeDocument/2006/relationships/hyperlink" Target="http://leadrat.com" TargetMode="External"/><Relationship Id="rId12" Type="http://schemas.openxmlformats.org/officeDocument/2006/relationships/hyperlink" Target="http://relata.io/" TargetMode="External"/><Relationship Id="rId15" Type="http://schemas.openxmlformats.org/officeDocument/2006/relationships/hyperlink" Target="http://swiftbrokers.co/" TargetMode="External"/><Relationship Id="rId14" Type="http://schemas.openxmlformats.org/officeDocument/2006/relationships/hyperlink" Target="https://theeussegroup.com/" TargetMode="External"/><Relationship Id="rId17" Type="http://schemas.openxmlformats.org/officeDocument/2006/relationships/hyperlink" Target="http://homzly.com/" TargetMode="External"/><Relationship Id="rId16" Type="http://schemas.openxmlformats.org/officeDocument/2006/relationships/hyperlink" Target="http://grpfzc.com/" TargetMode="External"/><Relationship Id="rId19" Type="http://schemas.openxmlformats.org/officeDocument/2006/relationships/hyperlink" Target="https://www.deyaar.ae/" TargetMode="External"/><Relationship Id="rId18" Type="http://schemas.openxmlformats.org/officeDocument/2006/relationships/hyperlink" Target="http://www.ierei.ae/" TargetMode="External"/><Relationship Id="rId1" Type="http://schemas.openxmlformats.org/officeDocument/2006/relationships/comments" Target="../comments4.xml"/><Relationship Id="rId2" Type="http://schemas.openxmlformats.org/officeDocument/2006/relationships/hyperlink" Target="https://beyonddevelopments.ae/en/contact-us" TargetMode="External"/><Relationship Id="rId3" Type="http://schemas.openxmlformats.org/officeDocument/2006/relationships/hyperlink" Target="https://up.ae/contact-us/" TargetMode="External"/><Relationship Id="rId4" Type="http://schemas.openxmlformats.org/officeDocument/2006/relationships/hyperlink" Target="https://www.narindia.org/contact.php" TargetMode="External"/><Relationship Id="rId9" Type="http://schemas.openxmlformats.org/officeDocument/2006/relationships/hyperlink" Target="http://www.safarholdings.in/" TargetMode="External"/><Relationship Id="rId5" Type="http://schemas.openxmlformats.org/officeDocument/2006/relationships/hyperlink" Target="http://peacehomesdevelopment.com/" TargetMode="External"/><Relationship Id="rId6" Type="http://schemas.openxmlformats.org/officeDocument/2006/relationships/hyperlink" Target="https://www.misritaliaproperties.com/contact-us" TargetMode="External"/><Relationship Id="rId7" Type="http://schemas.openxmlformats.org/officeDocument/2006/relationships/hyperlink" Target="https://www.aludra.ae/listing/luxury-properties" TargetMode="External"/><Relationship Id="rId8" Type="http://schemas.openxmlformats.org/officeDocument/2006/relationships/hyperlink" Target="http://www.safarholdings.in/"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mailto:info@adelrealestate.com" TargetMode="External"/><Relationship Id="rId10" Type="http://schemas.openxmlformats.org/officeDocument/2006/relationships/hyperlink" Target="mailto:info@mabanee.com" TargetMode="External"/><Relationship Id="rId13" Type="http://schemas.openxmlformats.org/officeDocument/2006/relationships/drawing" Target="../drawings/drawing23.xml"/><Relationship Id="rId12" Type="http://schemas.openxmlformats.org/officeDocument/2006/relationships/hyperlink" Target="mailto:marketing@reportageeg.com" TargetMode="External"/><Relationship Id="rId1" Type="http://schemas.openxmlformats.org/officeDocument/2006/relationships/hyperlink" Target="https://wa.me/966920021727" TargetMode="External"/><Relationship Id="rId2" Type="http://schemas.openxmlformats.org/officeDocument/2006/relationships/hyperlink" Target="mailto:info@adelrealestate.com" TargetMode="External"/><Relationship Id="rId3" Type="http://schemas.openxmlformats.org/officeDocument/2006/relationships/hyperlink" Target="https://damanat.com.sa/en/" TargetMode="External"/><Relationship Id="rId4" Type="http://schemas.openxmlformats.org/officeDocument/2006/relationships/hyperlink" Target="mailto:info@damanat.com.sa" TargetMode="External"/><Relationship Id="rId9" Type="http://schemas.openxmlformats.org/officeDocument/2006/relationships/hyperlink" Target="mailto:ccd@alfozan.com" TargetMode="External"/><Relationship Id="rId5" Type="http://schemas.openxmlformats.org/officeDocument/2006/relationships/hyperlink" Target="mailto:info@liwan.sa" TargetMode="External"/><Relationship Id="rId6" Type="http://schemas.openxmlformats.org/officeDocument/2006/relationships/hyperlink" Target="mailto:info@the1stavenue.com" TargetMode="External"/><Relationship Id="rId7" Type="http://schemas.openxmlformats.org/officeDocument/2006/relationships/hyperlink" Target="https://www.asda.gov.sa/en/about-asda/" TargetMode="External"/><Relationship Id="rId8" Type="http://schemas.openxmlformats.org/officeDocument/2006/relationships/hyperlink" Target="mailto:info@asda.gov.sa" TargetMode="External"/></Relationships>
</file>

<file path=xl/worksheets/_rels/sheet24.xml.rels><?xml version="1.0" encoding="UTF-8" standalone="yes"?><Relationships xmlns="http://schemas.openxmlformats.org/package/2006/relationships"><Relationship Id="rId40" Type="http://schemas.openxmlformats.org/officeDocument/2006/relationships/hyperlink" Target="https://www.google.com/search?q=Hail+Region+Development+Authority&amp;sca_esv=20df7a1c160717ba&amp;rlz=1C1GCEA_enIQ1096IQ1096&amp;sxsrf=AHTn8zp0y1B2H0xk_s0SiHWHlobW-M-rjQ%3A1740312301716&amp;ei=7Q67Z8asK5vAxc8PyfnG4QQ&amp;ved=0ahUKEwiG16rE4NmLAxUbYPEDHcm8MUwQ4dUDCBA&amp;uact=5&amp;oq=Hail+Region+Development+Authority&amp;gs_lp=Egxnd3Mtd2l6LXNlcnAiIUhhaWwgUmVnaW9uIERldmVsb3BtZW50IEF1dGhvcml0eTIIEAAYgAQYywEyCBAAGIAEGMsBMgYQABgWGB4yBhAAGBYYHjIGEAAYFhgeMgUQABjvBTIFEAAY7wUyBRAAGO8FMgUQABjvBUjIFVD7EFj7EHADeACQAQCYAZoCoAGaAqoBAzItMbgBA8gBAPgBAvgBAZgCBKACwgLCAgcQABiwAxgemAMAiAYBkAYBkgcFMy4zLTGgB7gG&amp;sclient=gws-wiz-serp" TargetMode="External"/><Relationship Id="rId42" Type="http://schemas.openxmlformats.org/officeDocument/2006/relationships/hyperlink" Target="mailto:info@thefourcorners.sa" TargetMode="External"/><Relationship Id="rId41" Type="http://schemas.openxmlformats.org/officeDocument/2006/relationships/hyperlink" Target="mailto:info@propvr.ai" TargetMode="External"/><Relationship Id="rId44" Type="http://schemas.openxmlformats.org/officeDocument/2006/relationships/hyperlink" Target="https://sargassumecolumber.com/contact/" TargetMode="External"/><Relationship Id="rId43" Type="http://schemas.openxmlformats.org/officeDocument/2006/relationships/hyperlink" Target="mailto:info@makkan.app" TargetMode="External"/><Relationship Id="rId46" Type="http://schemas.openxmlformats.org/officeDocument/2006/relationships/hyperlink" Target="http://propergate.co/" TargetMode="External"/><Relationship Id="rId45" Type="http://schemas.openxmlformats.org/officeDocument/2006/relationships/hyperlink" Target="mailto:info@ottanstudio.com" TargetMode="External"/><Relationship Id="rId48" Type="http://schemas.openxmlformats.org/officeDocument/2006/relationships/hyperlink" Target="mailto:info@interpanel.com" TargetMode="External"/><Relationship Id="rId47" Type="http://schemas.openxmlformats.org/officeDocument/2006/relationships/hyperlink" Target="about:blank" TargetMode="External"/><Relationship Id="rId49" Type="http://schemas.openxmlformats.org/officeDocument/2006/relationships/hyperlink" Target="mailto:info@wirecollective.com" TargetMode="External"/><Relationship Id="rId31" Type="http://schemas.openxmlformats.org/officeDocument/2006/relationships/hyperlink" Target="https://www.sunlever.net/contact" TargetMode="External"/><Relationship Id="rId30" Type="http://schemas.openxmlformats.org/officeDocument/2006/relationships/hyperlink" Target="mailto:info@hh-shaker.com.sa" TargetMode="External"/><Relationship Id="rId33" Type="http://schemas.openxmlformats.org/officeDocument/2006/relationships/hyperlink" Target="mailto:info@tarmeez.co" TargetMode="External"/><Relationship Id="rId32" Type="http://schemas.openxmlformats.org/officeDocument/2006/relationships/hyperlink" Target="mailto:info@Wakan.sa" TargetMode="External"/><Relationship Id="rId35" Type="http://schemas.openxmlformats.org/officeDocument/2006/relationships/hyperlink" Target="mailto:enquiries@benoy.com" TargetMode="External"/><Relationship Id="rId34" Type="http://schemas.openxmlformats.org/officeDocument/2006/relationships/hyperlink" Target="mailto:info@teladco.sa" TargetMode="External"/><Relationship Id="rId37" Type="http://schemas.openxmlformats.org/officeDocument/2006/relationships/hyperlink" Target="mailto:linkon@esgroup.net" TargetMode="External"/><Relationship Id="rId36" Type="http://schemas.openxmlformats.org/officeDocument/2006/relationships/hyperlink" Target="mailto:info@miirage.digital" TargetMode="External"/><Relationship Id="rId39" Type="http://schemas.openxmlformats.org/officeDocument/2006/relationships/hyperlink" Target="mailto:InvestorCare@misa.gov.sa" TargetMode="External"/><Relationship Id="rId38" Type="http://schemas.openxmlformats.org/officeDocument/2006/relationships/hyperlink" Target="mailto:info@asda.gov.sa" TargetMode="External"/><Relationship Id="rId20" Type="http://schemas.openxmlformats.org/officeDocument/2006/relationships/hyperlink" Target="https://www.bumat.com/e/" TargetMode="External"/><Relationship Id="rId22" Type="http://schemas.openxmlformats.org/officeDocument/2006/relationships/hyperlink" Target="mailto:info@afgroupsa.com" TargetMode="External"/><Relationship Id="rId21" Type="http://schemas.openxmlformats.org/officeDocument/2006/relationships/hyperlink" Target="mailto:contact@myaa.eu" TargetMode="External"/><Relationship Id="rId24" Type="http://schemas.openxmlformats.org/officeDocument/2006/relationships/hyperlink" Target="mailto:hello@nicholas.design" TargetMode="External"/><Relationship Id="rId23" Type="http://schemas.openxmlformats.org/officeDocument/2006/relationships/hyperlink" Target="mailto:email@mabconsult.com.sa" TargetMode="External"/><Relationship Id="rId26" Type="http://schemas.openxmlformats.org/officeDocument/2006/relationships/hyperlink" Target="mailto:osoolcare@osoolre.com" TargetMode="External"/><Relationship Id="rId25" Type="http://schemas.openxmlformats.org/officeDocument/2006/relationships/hyperlink" Target="https://www.google.com/search?q=Charles+Cross+-+London&amp;rlz=1C1GCEA_enIQ1096IQ1096&amp;oq=Charles+Cross+-+London&amp;gs_lcrp=EgZjaHJvbWUyCwgAEEUYExg5GIAEMgoIARAAGBMYFhgeMgoIAhAAGBMYFhgeMgoIAxAAGBMYFhgeMgoIBBAAGBMYFhgeMgYIBRBFGDwyBggGEEUYPDIGCAcQRRg80gEHNzU5ajBqNKgCALACAQ&amp;sourceid=chrome&amp;ie=UTF-8" TargetMode="External"/><Relationship Id="rId28" Type="http://schemas.openxmlformats.org/officeDocument/2006/relationships/hyperlink" Target="mailto:info@lucadini.com" TargetMode="External"/><Relationship Id="rId27" Type="http://schemas.openxmlformats.org/officeDocument/2006/relationships/hyperlink" Target="mailto:info@amam.sa" TargetMode="External"/><Relationship Id="rId29" Type="http://schemas.openxmlformats.org/officeDocument/2006/relationships/hyperlink" Target="mailto:hello@solana.sa" TargetMode="External"/><Relationship Id="rId11" Type="http://schemas.openxmlformats.org/officeDocument/2006/relationships/hyperlink" Target="https://www.google.com/search?q=Kinan+International+Real+&amp;sca_esv=5f73eecc9d166b44&amp;rlz=1C1GCEA_enIQ1096IQ1096&amp;sxsrf=AHTn8zooMsfz0l8PSb0jsbx0HFW86m8kvA%3A1740217746178&amp;ei=kp25Z8bLCqSEwPAPgLrYcA&amp;ved=0ahUKEwjG3N6kgNeLAxUkAhAIHQAdFg4Q4dUDCBA&amp;uact=5&amp;oq=Kinan+International+Real+&amp;gs_lp=Egxnd3Mtd2l6LXNlcnAiGUtpbmFuIEludGVybmF0aW9uYWwgUmVhbCAyDBAjGIAEGBMYJxiKBTIGEAAYFhgeMgUQABjvBTIFEAAY7wUyBRAAGO8FMgUQABjvBTIFEAAY7wVIxBhQqwZYohZwAXgBkAEBmAGJAqABzw6qAQUwLjUuNLgBA8gBAPgBAZgCBqACoAjCAgoQABiwAxjWBBhHmAMAiAYBkAYGkgcFMS4yLjOgB8s6&amp;sclient=gws-wiz-serp" TargetMode="External"/><Relationship Id="rId10" Type="http://schemas.openxmlformats.org/officeDocument/2006/relationships/hyperlink" Target="https://wa.me/966920021727" TargetMode="External"/><Relationship Id="rId13" Type="http://schemas.openxmlformats.org/officeDocument/2006/relationships/hyperlink" Target="mailto:info@bmcc-ltd.com" TargetMode="External"/><Relationship Id="rId12" Type="http://schemas.openxmlformats.org/officeDocument/2006/relationships/hyperlink" Target="mailto:%20info@alhabibinv.com" TargetMode="External"/><Relationship Id="rId15" Type="http://schemas.openxmlformats.org/officeDocument/2006/relationships/hyperlink" Target="mailto:info@Shurfah.com.sa" TargetMode="External"/><Relationship Id="rId14" Type="http://schemas.openxmlformats.org/officeDocument/2006/relationships/hyperlink" Target="mailto:Info@jcmediagroup.com" TargetMode="External"/><Relationship Id="rId17" Type="http://schemas.openxmlformats.org/officeDocument/2006/relationships/hyperlink" Target="https://www.google.com/search?q=Alawaly+Real+Estate+&amp;sca_esv=ad542cb5a183c9d3&amp;rlz=1C1GCEA_enIQ1096IQ1096&amp;sxsrf=AHTn8zqgJ9KFll32nJWtxgWyS62YRJA6Xg%3A1740221142792&amp;ei=1qq5Z-H9L4Grxc8P26ns0Qc&amp;ved=0ahUKEwjhwK_4jNeLAxWBVfEDHdsUO3oQ4dUDCBA&amp;uact=5&amp;oq=Alawaly+Real+Estate+&amp;gs_lp=Egxnd3Mtd2l6LXNlcnAiFEFsYXdhbHkgUmVhbCBFc3RhdGUgMgQQIxgnMg4QLhiABBjHARjLARivATIIEAAYgAQYywEyBRAAGO8FMgUQABjvBTIFEAAY7wUyBRAAGO8FMgUQABjvBUjXClC6BFjKCHABeAGQAQCYAckBoAHZBaoBBTAuMy4xuAEDyAEA-AEBmAIEoAKxBMICChAAGLADGNYEGEfCAgcQIRigARgKwgIEECEYFZgDAIgGAZAGCJIHBTEuMi4xoAePEQ&amp;sclient=gws-wiz-serp" TargetMode="External"/><Relationship Id="rId16" Type="http://schemas.openxmlformats.org/officeDocument/2006/relationships/hyperlink" Target="mailto:sales@madain.ae" TargetMode="External"/><Relationship Id="rId19" Type="http://schemas.openxmlformats.org/officeDocument/2006/relationships/hyperlink" Target="mailto:info@jodc.com.sa" TargetMode="External"/><Relationship Id="rId18" Type="http://schemas.openxmlformats.org/officeDocument/2006/relationships/hyperlink" Target="mailto:info@jenan.com.sa" TargetMode="External"/><Relationship Id="rId1" Type="http://schemas.openxmlformats.org/officeDocument/2006/relationships/hyperlink" Target="mailto:info@thakher.com.sa" TargetMode="External"/><Relationship Id="rId2" Type="http://schemas.openxmlformats.org/officeDocument/2006/relationships/hyperlink" Target="mailto:info@tilalre.com" TargetMode="External"/><Relationship Id="rId3" Type="http://schemas.openxmlformats.org/officeDocument/2006/relationships/hyperlink" Target="mailto:info@thimarya.sa" TargetMode="External"/><Relationship Id="rId4" Type="http://schemas.openxmlformats.org/officeDocument/2006/relationships/hyperlink" Target="https://www.google.com/search?q=Rafal+Real+Estate+Development+Company&amp;rlz=1C1GCEA_enIQ1096IQ1096&amp;oq=Rafal+Real+Estate+Development+Company&amp;gs_lcrp=EgZjaHJvbWUqEAgAEEUYExgnGDsYgAQYigUyEAgAEEUYExgnGDsYgAQYigUyCQgBEAAYExiABDIJCAIQABgTGIAEMgoIAxAAGBMYFhgeMgcIBBAAGO8FMgYIBRBFGDwyBggGEEUYPDIGCAcQRRg80gEHNTUyajBqNKgCALACAQ&amp;sourceid=chrome&amp;ie=UTF-8" TargetMode="External"/><Relationship Id="rId9" Type="http://schemas.openxmlformats.org/officeDocument/2006/relationships/hyperlink" Target="https://wa.me/966552703322" TargetMode="External"/><Relationship Id="rId5" Type="http://schemas.openxmlformats.org/officeDocument/2006/relationships/hyperlink" Target="mailto:info@rafal.com.sa" TargetMode="External"/><Relationship Id="rId6" Type="http://schemas.openxmlformats.org/officeDocument/2006/relationships/hyperlink" Target="https://www.google.com/search?q=Zaya+Real+Estate++Company&amp;sca_esv=3237837531146a51&amp;rlz=1C1GCEA_enIQ1096IQ1096&amp;sxsrf=AHTn8zo2SfshHGqsEqPEJXLG_qT9c4OHTg%3A1740210759214&amp;ei=R4K5Z6HlDOvOxc8Pl-bVsQw&amp;ved=0ahUKEwjhpIyh5taLAxVrZ_EDHRdzNcYQ4dUDCBA&amp;uact=5&amp;oq=Zaya+Real+Estate++Company&amp;gs_lp=Egxnd3Mtd2l6LXNlcnAiGVpheWEgUmVhbCBFc3RhdGUgIENvbXBhbnkyBxAjGLADGCcyChAAGLADGNYEGEcyChAAGLADGNYEGEcyChAAGLADGNYEGEcyChAAGLADGNYEGEcyChAAGLADGNYEGEcyChAAGLADGNYEGEcyChAAGLADGNYEGEdI_AxQwgtYwgtwAngAkAEAmAG3AaABtwGqAQMwLjG4AQPIAQD4AQGYAgKgAhOYAwCIBgGQBgiSBwEyoAetBg&amp;sclient=gws-wiz-serp" TargetMode="External"/><Relationship Id="rId7" Type="http://schemas.openxmlformats.org/officeDocument/2006/relationships/hyperlink" Target="https://www.albasateen.sa/info@albasateen.sa" TargetMode="External"/><Relationship Id="rId8" Type="http://schemas.openxmlformats.org/officeDocument/2006/relationships/hyperlink" Target="https://wa.me/+966920019691" TargetMode="External"/><Relationship Id="rId62" Type="http://schemas.openxmlformats.org/officeDocument/2006/relationships/hyperlink" Target="mailto:info@dynastyrealestate.ae" TargetMode="External"/><Relationship Id="rId61" Type="http://schemas.openxmlformats.org/officeDocument/2006/relationships/hyperlink" Target="mailto:info@almira.ae" TargetMode="External"/><Relationship Id="rId64" Type="http://schemas.openxmlformats.org/officeDocument/2006/relationships/hyperlink" Target="mailto:info@asadov.studio" TargetMode="External"/><Relationship Id="rId63" Type="http://schemas.openxmlformats.org/officeDocument/2006/relationships/hyperlink" Target="https://www.google.com/search?q=ASADOV+Architectural+Studio&amp;rlz=1C1GCEA_enIQ1096IQ1096&amp;oq=ASADOV+Architectural+Studio&amp;gs_lcrp=EgZjaHJvbWUqBggAEEUYOzIGCAAQRRg7MgcIARAAGO8FMgcIAhAAGO8FMgcIAxAAGO8FMgcIBBAAGO8FMgYIBRBFGDwyBggGEEUYPNIBBzY0N2owajmoAgCwAgE&amp;sourceid=chrome&amp;ie=UTF-8" TargetMode="External"/><Relationship Id="rId66" Type="http://schemas.openxmlformats.org/officeDocument/2006/relationships/drawing" Target="../drawings/drawing24.xml"/><Relationship Id="rId65" Type="http://schemas.openxmlformats.org/officeDocument/2006/relationships/hyperlink" Target="mailto:deal@fontangrad.ru" TargetMode="External"/><Relationship Id="rId60" Type="http://schemas.openxmlformats.org/officeDocument/2006/relationships/hyperlink" Target="https://www.google.com/search?q=Ray+White+International+Real+Estate+Broker&amp;rlz=1C1GCEA_enIQ1096IQ1096&amp;oq=Ray+White+International+Real+Estate+Broker&amp;gs_lcrp=EgZjaHJvbWUyCwgAEEUYExg5GIAEMgcIARAAGO8FMgcIAhAAGO8FMgcIAxAAGO8FMgcIBBAAGO8FMgYIBRBFGD0yBggGEEUYPDIGCAcQRRg80gEINjQ3OWowajmoAgCwAgHxBSJMcp7aj_0c&amp;sourceid=chrome&amp;ie=UTF-8" TargetMode="External"/><Relationship Id="rId51" Type="http://schemas.openxmlformats.org/officeDocument/2006/relationships/hyperlink" Target="mailto:post@consigli.no" TargetMode="External"/><Relationship Id="rId50" Type="http://schemas.openxmlformats.org/officeDocument/2006/relationships/hyperlink" Target="mailto:info@co2wall.org" TargetMode="External"/><Relationship Id="rId53" Type="http://schemas.openxmlformats.org/officeDocument/2006/relationships/hyperlink" Target="http://colive.me" TargetMode="External"/><Relationship Id="rId52" Type="http://schemas.openxmlformats.org/officeDocument/2006/relationships/hyperlink" Target="mailto:info@hcomgroup.com" TargetMode="External"/><Relationship Id="rId55" Type="http://schemas.openxmlformats.org/officeDocument/2006/relationships/hyperlink" Target="mailto:info@damanat.com.sa" TargetMode="External"/><Relationship Id="rId54" Type="http://schemas.openxmlformats.org/officeDocument/2006/relationships/hyperlink" Target="mailto:info@colive.me?subject=%20Inquiry%20from%20Web" TargetMode="External"/><Relationship Id="rId57" Type="http://schemas.openxmlformats.org/officeDocument/2006/relationships/hyperlink" Target="mailto:info@saqeefah.com" TargetMode="External"/><Relationship Id="rId56" Type="http://schemas.openxmlformats.org/officeDocument/2006/relationships/hyperlink" Target="mailto:%20info@tarmeemdev.org.sa" TargetMode="External"/><Relationship Id="rId59" Type="http://schemas.openxmlformats.org/officeDocument/2006/relationships/hyperlink" Target="mailto:info@infath.sa" TargetMode="External"/><Relationship Id="rId58" Type="http://schemas.openxmlformats.org/officeDocument/2006/relationships/hyperlink" Target="mailto:Info@skyalarabia.com"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0" Type="http://schemas.openxmlformats.org/officeDocument/2006/relationships/drawing" Target="../drawings/drawing26.xml"/><Relationship Id="rId1" Type="http://schemas.openxmlformats.org/officeDocument/2006/relationships/hyperlink" Target="http://costumer.iq/" TargetMode="External"/><Relationship Id="rId2" Type="http://schemas.openxmlformats.org/officeDocument/2006/relationships/hyperlink" Target="mailto:info@aesenergy.com.tr" TargetMode="External"/><Relationship Id="rId3" Type="http://schemas.openxmlformats.org/officeDocument/2006/relationships/hyperlink" Target="https://ras.iq/" TargetMode="External"/><Relationship Id="rId4" Type="http://schemas.openxmlformats.org/officeDocument/2006/relationships/hyperlink" Target="mailto:info@ras.iq" TargetMode="External"/><Relationship Id="rId9" Type="http://schemas.openxmlformats.org/officeDocument/2006/relationships/hyperlink" Target="mailto:assurances@victoire.com.lb" TargetMode="External"/><Relationship Id="rId5" Type="http://schemas.openxmlformats.org/officeDocument/2006/relationships/hyperlink" Target="mailto:nexteuv@gmail.com" TargetMode="External"/><Relationship Id="rId6" Type="http://schemas.openxmlformats.org/officeDocument/2006/relationships/hyperlink" Target="https://wa.me/+96170033999" TargetMode="External"/><Relationship Id="rId7" Type="http://schemas.openxmlformats.org/officeDocument/2006/relationships/hyperlink" Target="mailto:service@ginlong.com" TargetMode="External"/><Relationship Id="rId8" Type="http://schemas.openxmlformats.org/officeDocument/2006/relationships/hyperlink" Target="mailto:info@smart-solar.co" TargetMode="External"/></Relationships>
</file>

<file path=xl/worksheets/_rels/sheet27.xml.rels><?xml version="1.0" encoding="UTF-8" standalone="yes"?><Relationships xmlns="http://schemas.openxmlformats.org/package/2006/relationships"><Relationship Id="rId40" Type="http://schemas.openxmlformats.org/officeDocument/2006/relationships/hyperlink" Target="mailto:RASAN@BUSINEDDPEER.NET" TargetMode="External"/><Relationship Id="rId42" Type="http://schemas.openxmlformats.org/officeDocument/2006/relationships/hyperlink" Target="mailto:TATOK_COM@YAHOO.COM" TargetMode="External"/><Relationship Id="rId41" Type="http://schemas.openxmlformats.org/officeDocument/2006/relationships/hyperlink" Target="mailto:INFO@MODIRNAHAN.COM" TargetMode="External"/><Relationship Id="rId44" Type="http://schemas.openxmlformats.org/officeDocument/2006/relationships/hyperlink" Target="https://www.alsardfiber.com/" TargetMode="External"/><Relationship Id="rId43" Type="http://schemas.openxmlformats.org/officeDocument/2006/relationships/hyperlink" Target="http://dusaracompany.com/" TargetMode="External"/><Relationship Id="rId46" Type="http://schemas.openxmlformats.org/officeDocument/2006/relationships/hyperlink" Target="mailto:info@yildizsanatevi.com" TargetMode="External"/><Relationship Id="rId45" Type="http://schemas.openxmlformats.org/officeDocument/2006/relationships/hyperlink" Target="mailto:info@msagroupiq.com" TargetMode="External"/><Relationship Id="rId48" Type="http://schemas.openxmlformats.org/officeDocument/2006/relationships/hyperlink" Target="http://taser.iq/" TargetMode="External"/><Relationship Id="rId47" Type="http://schemas.openxmlformats.org/officeDocument/2006/relationships/hyperlink" Target="https://sa.linkedin.com/company/vision-capital-group-%D8%B4%D8%B1%D9%83%D8%A9-%D8%B1%D8%A4%D9%8A%D8%A7-%D8%A7%D9%84%D9%85%D8%A7%D9%84%D9%8A%D8%A9" TargetMode="External"/><Relationship Id="rId49" Type="http://schemas.openxmlformats.org/officeDocument/2006/relationships/hyperlink" Target="http://icist.com.tr/" TargetMode="External"/><Relationship Id="rId31" Type="http://schemas.openxmlformats.org/officeDocument/2006/relationships/hyperlink" Target="mailto:PROJECTMANAGER@MNWTOWER.COM" TargetMode="External"/><Relationship Id="rId30" Type="http://schemas.openxmlformats.org/officeDocument/2006/relationships/hyperlink" Target="mailto:NAJAT@KIRMANJ.COM" TargetMode="External"/><Relationship Id="rId33" Type="http://schemas.openxmlformats.org/officeDocument/2006/relationships/hyperlink" Target="mailto:MARWAN894M@GMAIL.COM" TargetMode="External"/><Relationship Id="rId32" Type="http://schemas.openxmlformats.org/officeDocument/2006/relationships/hyperlink" Target="mailto:CONSTRUCTION@HMHGROUP.CO" TargetMode="External"/><Relationship Id="rId35" Type="http://schemas.openxmlformats.org/officeDocument/2006/relationships/hyperlink" Target="mailto:INFO@DEKODREAM.COM" TargetMode="External"/><Relationship Id="rId34" Type="http://schemas.openxmlformats.org/officeDocument/2006/relationships/hyperlink" Target="mailto:KRSHAN.KRSHAN@YAHOO.COM" TargetMode="External"/><Relationship Id="rId37" Type="http://schemas.openxmlformats.org/officeDocument/2006/relationships/hyperlink" Target="mailto:SALARKO2005@GMAIL.COM" TargetMode="External"/><Relationship Id="rId36" Type="http://schemas.openxmlformats.org/officeDocument/2006/relationships/hyperlink" Target="mailto:MUHAMMAD88AYUB@GMAIL.COM" TargetMode="External"/><Relationship Id="rId39" Type="http://schemas.openxmlformats.org/officeDocument/2006/relationships/hyperlink" Target="mailto:MUHSIN.ST80@GMAIL.COM" TargetMode="External"/><Relationship Id="rId38" Type="http://schemas.openxmlformats.org/officeDocument/2006/relationships/hyperlink" Target="mailto:KP.COMPANY77@GMAIL.COM" TargetMode="External"/><Relationship Id="rId20" Type="http://schemas.openxmlformats.org/officeDocument/2006/relationships/hyperlink" Target="mailto:COLACA.COMPANY@GMAIL.COM" TargetMode="External"/><Relationship Id="rId22" Type="http://schemas.openxmlformats.org/officeDocument/2006/relationships/hyperlink" Target="mailto:AZWA.COMPANY@YAHOO.COM" TargetMode="External"/><Relationship Id="rId21" Type="http://schemas.openxmlformats.org/officeDocument/2006/relationships/hyperlink" Target="mailto:HAWRAZNOR-1986@YAHOO.COM" TargetMode="External"/><Relationship Id="rId24" Type="http://schemas.openxmlformats.org/officeDocument/2006/relationships/hyperlink" Target="mailto:SHINEBUILDING2010@GMAIL.COM" TargetMode="External"/><Relationship Id="rId23" Type="http://schemas.openxmlformats.org/officeDocument/2006/relationships/hyperlink" Target="mailto:HASANFALIH.CO@GMAIL.COM" TargetMode="External"/><Relationship Id="rId26" Type="http://schemas.openxmlformats.org/officeDocument/2006/relationships/hyperlink" Target="mailto:AAC.COAZA@GMAIL.COM" TargetMode="External"/><Relationship Id="rId25" Type="http://schemas.openxmlformats.org/officeDocument/2006/relationships/hyperlink" Target="mailto:INFO@GROUPIGARA.COM" TargetMode="External"/><Relationship Id="rId28" Type="http://schemas.openxmlformats.org/officeDocument/2006/relationships/hyperlink" Target="mailto:RAHMAN1@YAHOO.COM" TargetMode="External"/><Relationship Id="rId27" Type="http://schemas.openxmlformats.org/officeDocument/2006/relationships/hyperlink" Target="mailto:ZHINO@ARMINAS-IRAQ.COM" TargetMode="External"/><Relationship Id="rId29" Type="http://schemas.openxmlformats.org/officeDocument/2006/relationships/hyperlink" Target="mailto:ALSHAHEEN99@YAHOO.COM" TargetMode="External"/><Relationship Id="rId11" Type="http://schemas.openxmlformats.org/officeDocument/2006/relationships/hyperlink" Target="mailto:DIDAR_KHOSHNAW@YAHOO.COM" TargetMode="External"/><Relationship Id="rId10" Type="http://schemas.openxmlformats.org/officeDocument/2006/relationships/hyperlink" Target="mailto:NWAZSHTILE2008@GMAIL.COM" TargetMode="External"/><Relationship Id="rId13" Type="http://schemas.openxmlformats.org/officeDocument/2006/relationships/hyperlink" Target="mailto:ENASCOMPANY@YAHOO.COM" TargetMode="External"/><Relationship Id="rId12" Type="http://schemas.openxmlformats.org/officeDocument/2006/relationships/hyperlink" Target="mailto:HWERCOMPANY@GMAIL.COM" TargetMode="External"/><Relationship Id="rId90" Type="http://schemas.openxmlformats.org/officeDocument/2006/relationships/drawing" Target="../drawings/drawing27.xml"/><Relationship Id="rId15" Type="http://schemas.openxmlformats.org/officeDocument/2006/relationships/hyperlink" Target="mailto:ERBIL@BLUMIVA.COM" TargetMode="External"/><Relationship Id="rId14" Type="http://schemas.openxmlformats.org/officeDocument/2006/relationships/hyperlink" Target="mailto:PERSEPOLISTILE.IRAQ@GMAIL.COM" TargetMode="External"/><Relationship Id="rId17" Type="http://schemas.openxmlformats.org/officeDocument/2006/relationships/hyperlink" Target="mailto:NZMI.MOSTAFA@ENGINEER.COM" TargetMode="External"/><Relationship Id="rId16" Type="http://schemas.openxmlformats.org/officeDocument/2006/relationships/hyperlink" Target="mailto:HOZ_COMPANY@YAHOO.COM" TargetMode="External"/><Relationship Id="rId19" Type="http://schemas.openxmlformats.org/officeDocument/2006/relationships/hyperlink" Target="mailto:ZH.DESIGN.CONSTRUCTION@GMAIL.COM" TargetMode="External"/><Relationship Id="rId18" Type="http://schemas.openxmlformats.org/officeDocument/2006/relationships/hyperlink" Target="mailto:ENG_SARDAR@YAHOO.COM" TargetMode="External"/><Relationship Id="rId84" Type="http://schemas.openxmlformats.org/officeDocument/2006/relationships/hyperlink" Target="http://www.alamiyaco.com/" TargetMode="External"/><Relationship Id="rId83" Type="http://schemas.openxmlformats.org/officeDocument/2006/relationships/hyperlink" Target="http://www.altabieaa.com/" TargetMode="External"/><Relationship Id="rId86" Type="http://schemas.openxmlformats.org/officeDocument/2006/relationships/hyperlink" Target="http://sfd.gov.sa/" TargetMode="External"/><Relationship Id="rId85" Type="http://schemas.openxmlformats.org/officeDocument/2006/relationships/hyperlink" Target="http://aljawdahgroup.com/" TargetMode="External"/><Relationship Id="rId88" Type="http://schemas.openxmlformats.org/officeDocument/2006/relationships/hyperlink" Target="http://transformer.co/" TargetMode="External"/><Relationship Id="rId87" Type="http://schemas.openxmlformats.org/officeDocument/2006/relationships/hyperlink" Target="mailto:info@alborzchem.com" TargetMode="External"/><Relationship Id="rId89" Type="http://schemas.openxmlformats.org/officeDocument/2006/relationships/hyperlink" Target="mailto:destek@dekonil.com" TargetMode="External"/><Relationship Id="rId80" Type="http://schemas.openxmlformats.org/officeDocument/2006/relationships/hyperlink" Target="mailto:info@iforex.com" TargetMode="External"/><Relationship Id="rId82" Type="http://schemas.openxmlformats.org/officeDocument/2006/relationships/hyperlink" Target="http://www.alhamraains.com/" TargetMode="External"/><Relationship Id="rId81" Type="http://schemas.openxmlformats.org/officeDocument/2006/relationships/hyperlink" Target="http://delta-cement.com/" TargetMode="External"/><Relationship Id="rId1" Type="http://schemas.openxmlformats.org/officeDocument/2006/relationships/hyperlink" Target="mailto:info@asnkar.com" TargetMode="External"/><Relationship Id="rId2" Type="http://schemas.openxmlformats.org/officeDocument/2006/relationships/hyperlink" Target="https://www.google.com/search?q=basood+erb%C4%B1l&amp;sca_esv=575778037&amp;ei=Hmc2ZZatL4uSxc8Pr86SwAQ&amp;ved=0ahUKEwiWtPX3lYyCAxULSfEDHS-nBEgQ4dUDCBA&amp;uact=5&amp;oq=basood+erb%C4%B1l&amp;gs_lp=Egxnd3Mtd2l6LXNlcnAiDWJhc29vZCBlcmLEsWwyBRAhGKABMgUQIRigATIFECEYoAEyBRAhGKABSI2uAVCUGVjEqQFwCHgAkAEAmAHeAqAB9xyqAQgwLjEyLjUuMbgBA8gBAPgBAagCAMICCxAuGIAEGLEDGIMBwgIFEC4YgATCAgsQABiABBixAxiDAcICCBAAGIAEGLEDwgILEC4YgAQYxwEY0QPCAggQLhiABBixA8ICGhAuGIAEGLEDGIMBGJcFGNwEGN4EGOAE2AEBwgILEC4YgwEYsQMYgATCAggQLhixAxiABMICBRAAGIAEwgILEC4YigUYsQMYgwHCAgQQLhgDwgITEC4YAxiXBRjcBBjeBBjfBNgBAcICBxAAGIAEGArCAgcQABgCGIAEwgIJEAAYAhiABBgKwgILEAAYAhiABBgKGCrCAgYQABgWGB7CAggQABgWGB4YD8ICBhAuGBYYHuIDBBgAIEGIBgG6BgYIARABGBQ&amp;sclient=gws-wiz-serp" TargetMode="External"/><Relationship Id="rId3" Type="http://schemas.openxmlformats.org/officeDocument/2006/relationships/hyperlink" Target="mailto:paul@bazplastic.com" TargetMode="External"/><Relationship Id="rId4" Type="http://schemas.openxmlformats.org/officeDocument/2006/relationships/hyperlink" Target="http://avrocompany.com/" TargetMode="External"/><Relationship Id="rId9" Type="http://schemas.openxmlformats.org/officeDocument/2006/relationships/hyperlink" Target="mailto:MEDIACERAMIC@GMAIL.COM" TargetMode="External"/><Relationship Id="rId5" Type="http://schemas.openxmlformats.org/officeDocument/2006/relationships/hyperlink" Target="mailto:SAMER.TOLS@YAHOO.COM" TargetMode="External"/><Relationship Id="rId6" Type="http://schemas.openxmlformats.org/officeDocument/2006/relationships/hyperlink" Target="mailto:SHAMSXOSHNAW@YAHOO.COM" TargetMode="External"/><Relationship Id="rId7" Type="http://schemas.openxmlformats.org/officeDocument/2006/relationships/hyperlink" Target="mailto:FARHAD1977M@YAHOO.COM" TargetMode="External"/><Relationship Id="rId8" Type="http://schemas.openxmlformats.org/officeDocument/2006/relationships/hyperlink" Target="mailto:AHMADTK55@YAHOO.COM" TargetMode="External"/><Relationship Id="rId73" Type="http://schemas.openxmlformats.org/officeDocument/2006/relationships/hyperlink" Target="mailto:joan@wlgrass.com" TargetMode="External"/><Relationship Id="rId72" Type="http://schemas.openxmlformats.org/officeDocument/2006/relationships/hyperlink" Target="mailto:meierte@meierte.com" TargetMode="External"/><Relationship Id="rId75" Type="http://schemas.openxmlformats.org/officeDocument/2006/relationships/hyperlink" Target="mailto:info@sinarco.com" TargetMode="External"/><Relationship Id="rId74" Type="http://schemas.openxmlformats.org/officeDocument/2006/relationships/hyperlink" Target="mailto:info@unigaz.net" TargetMode="External"/><Relationship Id="rId77" Type="http://schemas.openxmlformats.org/officeDocument/2006/relationships/hyperlink" Target="mailto:gisellebru@passpro.co" TargetMode="External"/><Relationship Id="rId76" Type="http://schemas.openxmlformats.org/officeDocument/2006/relationships/hyperlink" Target="http://superlux.co/" TargetMode="External"/><Relationship Id="rId79" Type="http://schemas.openxmlformats.org/officeDocument/2006/relationships/hyperlink" Target="mailto:dubai@northimmigration.com" TargetMode="External"/><Relationship Id="rId78" Type="http://schemas.openxmlformats.org/officeDocument/2006/relationships/hyperlink" Target="mailto:info@bluemina.com" TargetMode="External"/><Relationship Id="rId71" Type="http://schemas.openxmlformats.org/officeDocument/2006/relationships/hyperlink" Target="mailto:sales@zzmetal.com?body=%3Cbr%3E%20%3Cbr%3E%20%3Cbr%3E%20Ask%20for%20a%20quote%20from%20:%20://www.zzmetal.com/about_us.html" TargetMode="External"/><Relationship Id="rId70" Type="http://schemas.openxmlformats.org/officeDocument/2006/relationships/hyperlink" Target="mailto:johnson@taizhougreen.com" TargetMode="External"/><Relationship Id="rId62" Type="http://schemas.openxmlformats.org/officeDocument/2006/relationships/hyperlink" Target="mailto:Sales@gcf-eg.com" TargetMode="External"/><Relationship Id="rId61" Type="http://schemas.openxmlformats.org/officeDocument/2006/relationships/hyperlink" Target="mailto:info@acero.ae" TargetMode="External"/><Relationship Id="rId64" Type="http://schemas.openxmlformats.org/officeDocument/2006/relationships/hyperlink" Target="mailto:sales@bedeschi.com" TargetMode="External"/><Relationship Id="rId63" Type="http://schemas.openxmlformats.org/officeDocument/2006/relationships/hyperlink" Target="mailto:nasico@alnajim.com" TargetMode="External"/><Relationship Id="rId66" Type="http://schemas.openxmlformats.org/officeDocument/2006/relationships/hyperlink" Target="mailto:info@tamleek.ae" TargetMode="External"/><Relationship Id="rId65" Type="http://schemas.openxmlformats.org/officeDocument/2006/relationships/hyperlink" Target="mailto:info@elsewedy.net" TargetMode="External"/><Relationship Id="rId68" Type="http://schemas.openxmlformats.org/officeDocument/2006/relationships/hyperlink" Target="mailto:info@powerdekorgroup.com" TargetMode="External"/><Relationship Id="rId67" Type="http://schemas.openxmlformats.org/officeDocument/2006/relationships/hyperlink" Target="mailto:sales@chengshunmetal.com" TargetMode="External"/><Relationship Id="rId60" Type="http://schemas.openxmlformats.org/officeDocument/2006/relationships/hyperlink" Target="mailto:contact@pithreepress.com" TargetMode="External"/><Relationship Id="rId69" Type="http://schemas.openxmlformats.org/officeDocument/2006/relationships/hyperlink" Target="http://pte.td/" TargetMode="External"/><Relationship Id="rId51" Type="http://schemas.openxmlformats.org/officeDocument/2006/relationships/hyperlink" Target="mailto:info@rawat-almajid.com" TargetMode="External"/><Relationship Id="rId50" Type="http://schemas.openxmlformats.org/officeDocument/2006/relationships/hyperlink" Target="mailto:info@newcablekw.com" TargetMode="External"/><Relationship Id="rId53" Type="http://schemas.openxmlformats.org/officeDocument/2006/relationships/hyperlink" Target="mailto:info@rawat-almajid.com" TargetMode="External"/><Relationship Id="rId52" Type="http://schemas.openxmlformats.org/officeDocument/2006/relationships/hyperlink" Target="mailto:info@franchise.iq" TargetMode="External"/><Relationship Id="rId55" Type="http://schemas.openxmlformats.org/officeDocument/2006/relationships/hyperlink" Target="mailto:info@uobasrah.edu.iq" TargetMode="External"/><Relationship Id="rId54" Type="http://schemas.openxmlformats.org/officeDocument/2006/relationships/hyperlink" Target="mailto:info@shatalarabcity.com" TargetMode="External"/><Relationship Id="rId57" Type="http://schemas.openxmlformats.org/officeDocument/2006/relationships/hyperlink" Target="mailto:info@darinsteel.com" TargetMode="External"/><Relationship Id="rId56" Type="http://schemas.openxmlformats.org/officeDocument/2006/relationships/hyperlink" Target="https://www.darinsteel.com/contact" TargetMode="External"/><Relationship Id="rId59" Type="http://schemas.openxmlformats.org/officeDocument/2006/relationships/hyperlink" Target="https://www.sierra-eg.com/contact/" TargetMode="External"/><Relationship Id="rId58" Type="http://schemas.openxmlformats.org/officeDocument/2006/relationships/hyperlink" Target="mailto:info@sewedy.com.eg" TargetMode="External"/></Relationships>
</file>

<file path=xl/worksheets/_rels/sheet28.xml.rels><?xml version="1.0" encoding="UTF-8" standalone="yes"?><Relationships xmlns="http://schemas.openxmlformats.org/package/2006/relationships"><Relationship Id="rId20" Type="http://schemas.openxmlformats.org/officeDocument/2006/relationships/hyperlink" Target="https://www.facebook.com/shamaraholding" TargetMode="External"/><Relationship Id="rId22" Type="http://schemas.openxmlformats.org/officeDocument/2006/relationships/hyperlink" Target="https://www.facebook.com/profile.php?id=100078675174239&amp;__cft__%5b0%5d=AZWeJGaf3H6-bS5i3DqOLb7TA0TpIqiP04IpXvAcU2eOLXrQqZ7TML6hFAzjPLDmUWvi_I8j9LrJ7QmUSxAnbqxgR4NbKObfsKJP_gzF4NrV95xi-_nerEsIBdkvCaYi3LvREBBt8tqo1QEzQzBDRwmQI1Z8ZIOFyZtMPoTUoxZ6X3iAZj23FlobE-rLt-eKCGM&amp;__tn__=-UC%2CP-R" TargetMode="External"/><Relationship Id="rId21" Type="http://schemas.openxmlformats.org/officeDocument/2006/relationships/hyperlink" Target="https://www.facebook.com/profile.php?id=100067155886025&amp;__cft__%5b0%5d=AZXEJbuJHzPnBtMOELU_K4eE01rYbLVmY06aygxwZnEScXs6XidXtDlNxY93uZibTjkqv-lChy4nqjMytob7ue6KLZ0McGujru1wZ3YqNHlhL79cTmiupIXhIWomuPcUd6hrCRV0MYukUPmvi9PVIEFSDD56bXs9E4QDB0Aqiya4VHMPT4VS01rJbapI5Q8LXRS6N15ugys7D8iC6QQEo6k_&amp;__tn__=-UC%2CP-R" TargetMode="External"/><Relationship Id="rId24" Type="http://schemas.openxmlformats.org/officeDocument/2006/relationships/hyperlink" Target="https://www.facebook.com/GrandBoulevardsulaymaniyah?__cft__%5b0%5d=AZVMHUFwycpwA5NZDoR3gD5ENiXN09nDsTM-6S1ZiQkmJca7Y9sLy1THJpy_WIBwvJ3CJZlOeSIL8IhBsdl5NRX6vr9GK00TkugBMLF0tPJn6ovPI-IM5huDgIfQF_rYmtoN-ZjAWa7qMJLJdDzJiXv45COiV9uClEmaekTukIRF2fUNhUKzEZhCAi6Y-wGo8WI&amp;__tn__=-%5dC%2CP-R" TargetMode="External"/><Relationship Id="rId23" Type="http://schemas.openxmlformats.org/officeDocument/2006/relationships/hyperlink" Target="https://www.facebook.com/Abraaj-Baghdad-%D9%85%D8%AC%D9%85%D8%B9-%D8%A7%D8%A8%D8%B1%D8%A7%D8%AC-%D8%A8%D8%BA%D8%AF%D8%A7%D8%AF-%D8%A7%D9%84%D8%B3%D9%83%D9%86%D9%8A-119126841117976/?__cft__%5b0%5d=AZWhCucovAHv1n9byoQsMy6B_8HnnAcmEVnrIVGQIGHGh7VPQaUXGIrcGOnU-yO5LFHM5j39X-YGt3KXg-ZnK0S5nx4C1hlogy8Keb0Ao6Ju1xobIbkMAsvU5_r-Au_gkHAt8JKjEu64zLvJ7sHqT0XQa7VUopdDghVKzpjYQfhYegMC4e80wK7FBoTMZokqj58&amp;__tn__=-UC%2CP-R" TargetMode="External"/><Relationship Id="rId26" Type="http://schemas.openxmlformats.org/officeDocument/2006/relationships/hyperlink" Target="https://www.facebook.com/Kurk.Construction" TargetMode="External"/><Relationship Id="rId25" Type="http://schemas.openxmlformats.org/officeDocument/2006/relationships/hyperlink" Target="https://www.facebook.com/brusk.town.sulaymaniyah?__cft__%5b0%5d=AZVsaunYnM0f-QAF4odO5TBjLKxc6OeSUNetiuWmS8bVY9PxqzRoMeP_-p1mo2rA7EzMQoBTsSGrUAAZEwDajSxjo2O2pn9SJGI3Y1WpotQeJFTxAlaRYU9NL-WV_idN9SrOsyOkW21L9pb_1Be1oev5kw3gYnljAHSgtbGEFACtWU25V9kgZO2XHKtjqem85j8&amp;__tn__=-%5dC%2CP-R" TargetMode="External"/><Relationship Id="rId28" Type="http://schemas.openxmlformats.org/officeDocument/2006/relationships/drawing" Target="../drawings/drawing28.xml"/><Relationship Id="rId27" Type="http://schemas.openxmlformats.org/officeDocument/2006/relationships/hyperlink" Target="https://www.facebook.com/ErbilMediaCity?__cft__%5b0%5d=AZUcJogY9e4gdpC-94AHyqIKfKBX1QECJuycVoK2o5D7UaZhscWsw373KvLmxjoQ8UD489uNVA8ETNcXOLBbyU8gsa-vs1mmFpObzaKdUwYjsdfFeXSgg1WYnnJoxEJTVy-tgn7hl5u-h3qu4_m0eAono83ecWaTHXLXBgHXnSeJnWx4E8bmMOKIYRY90RLkydA&amp;__tn__=-UC%2CP-R" TargetMode="External"/><Relationship Id="rId11" Type="http://schemas.openxmlformats.org/officeDocument/2006/relationships/hyperlink" Target="https://www.facebook.com/UnigazIraq?__cft__%5b0%5d=AZXyDY7KV0tcR0lKFkQsmOudiaVw6p5RTWX_v8GQmcVWoR9qs-1PMqaFndLdfJY3XVjgeQThCCOZNniIpj-k98s6Q2b1YBmwYlrn5MKXoI3r8MynImMpRmRTTBZ9RfynWZLZvQBqvJyAIprer36ZvZpTVW50f0D-OAyn2rN7ArcgCwwUh-m_V41ARjEyG3_9WE4&amp;__tn__=-UC%2CP-R" TargetMode="External"/><Relationship Id="rId10" Type="http://schemas.openxmlformats.org/officeDocument/2006/relationships/hyperlink" Target="https://www.facebook.com/Royal.city13?__cft__%5b0%5d=AZWQpI2agJt4yGYPjmtwuKhQYCxq7-hghNEmnOC7m1Rv3OuwvJxGJmBBM9Q6DbVgoFdCrxFqrWwZINHktgkQg5Zp4EkBytFxMvH5E_Zzy_V4g_wmb2WUvsNrObM-7__RjwsuYqZ8xDHGGxHPUZD5WuKjTAoheG6vu264CbeA0mytrMtCJcfZ_XZNW4UG62PHiOM&amp;__tn__=-UC%2CP-R" TargetMode="External"/><Relationship Id="rId13" Type="http://schemas.openxmlformats.org/officeDocument/2006/relationships/hyperlink" Target="https://www.facebook.com/profile.php?id=100065007511141&amp;__cft__%5b0%5d=AZUYxq70agrk3wqjm08ec-5e10Plwts04XQCrq6tvQRKkt2hTb-yJ5HQQkv7Nu3Us9gxTwIKEY8HZ37zCBSckwI-DA3bf3F1FoHCQcqNaIEw__vXGbYzT1oyO7e_iQzWn5vr4xaUUajj8mkvs-UQ7Miy83_ce5iLq-1MpTVJLt2oW3fh1kNOIdWWzyTJ-pyNm4jRs2DLhtBqCL7MGdMx2BXt&amp;__tn__=-UC%2CP-R" TargetMode="External"/><Relationship Id="rId12" Type="http://schemas.openxmlformats.org/officeDocument/2006/relationships/hyperlink" Target="https://www.facebook.com/abaslytowers?__cft__%5b0%5d=AZUsMySko5T1TDU02QGpBXb87JZ21Gw33ZxjZsa4cG7IDJTgRV-xQ6zX9R4LkA08MCl7B8rbWVyqn_UsVVTNRi0l-IehNhUy1HAWQFnWp8-WfngAIkr1oP6Vd7Ix2GokQxGlKWup7HbyHV4oUsPjA9_nEXhsTCub8EiktEM9IkKXodGlUPdvVUlj09ceX34yhxY&amp;__tn__=-UC%2CP-R" TargetMode="External"/><Relationship Id="rId15" Type="http://schemas.openxmlformats.org/officeDocument/2006/relationships/hyperlink" Target="https://l.facebook.com/l.php?u=https%3A%2F%2Fapi.whatsapp.com%2Fsend%3Fphone%3D9647733407357%26app%3Dfacebook%26entry_point%3Dpage_cta%26fbclid%3DIwAR3ZXBOaCzLHGLZ1JLM9YTORZdaXQiMgkaMrPQbVYHn80kgSQovNbLhETXc&amp;h=AT3-qKGPd-Qx-8v5Q-EvtSKVl6Sx-GtAXlVRv-WSUcruf_lxP9klZYxI7WxVlA7iPZxf7uemuMjwQay_IxIUGp-Eo3YqO-10xcB3x4fp3992chhRTKlAH346GS1AKRtAnSiLOw" TargetMode="External"/><Relationship Id="rId14" Type="http://schemas.openxmlformats.org/officeDocument/2006/relationships/hyperlink" Target="https://www.facebook.com/AlMahaba.complex/?__cft__%5b0%5d=AZUn7iT_lf8k4yO0Of_G6anklvlJA9NLiiHW7CjPpTCp2tnqSZRyw9brKwPbHrxuu5WK-3-6RFNEnO19nVdBQS2ZH4TWzekYH-ykN2jZZQQJQN_dtGw1qPWicAgquPYDqlWuIvQ80LoXAt7OkAi9vd3aRSIn_UNboh_sUztt0U_w9AtbRXgt9C7QSFA2XMbaXiE&amp;__tn__=-UC%2CP-R" TargetMode="External"/><Relationship Id="rId17" Type="http://schemas.openxmlformats.org/officeDocument/2006/relationships/hyperlink" Target="https://l.facebook.com/l.php?u=https%3A%2F%2Fapi.whatsapp.com%2Fsend%3Fphone%3D9647833769595%26app%3Dfacebook%26entry_point%3Dpage_cta%26fbclid%3DIwAR2hUG9bBod2ElJe_8F40Xt1fef4WccGmuAEW-d_5O2gIQV082YMhvinQTo&amp;h=AT3-qKGPd-Qx-8v5Q-EvtSKVl6Sx-GtAXlVRv-WSUcruf_lxP9klZYxI7WxVlA7iPZxf7uemuMjwQay_IxIUGp-Eo3YqO-10xcB3x4fp3992chhRTKlAH346GS1AKRtAnSiLOw" TargetMode="External"/><Relationship Id="rId16" Type="http://schemas.openxmlformats.org/officeDocument/2006/relationships/hyperlink" Target="https://www.facebook.com/murano.reaidential/?__cft__%5b0%5d=AZW8RVlWsrjT1iUcQH6ymWmbTtNnJvKNAHfVWnCCASt3dtKO20FouIuGiQ6f-xcCfuUNlN2QL_EiFXkzP2rYZ8lhe21SK1gq0zedD7AHMHvxMbRZc-m0EA-Aihb92qRewTh1A1maG7EW8v50HUGRkT733EdAStaoYZaJvWZm7CDG3Tkz26vxcVV_visqttuDey4&amp;__tn__=-UC%2CP-R" TargetMode="External"/><Relationship Id="rId19" Type="http://schemas.openxmlformats.org/officeDocument/2006/relationships/hyperlink" Target="https://www.facebook.com/budoor.waterfront?__cft__%5b0%5d=AZXEcib5Vax2GXEtMRiBWaK2kdWeqQXfUj-ft2mYbC6Oj_MfSF6pBm7K4v_F6FuPpy3jeYR8zkybE1tip3OUUmXWyS2LO8ReguNUjtlgvXgLMsfCp8h_bGmsWYBRaHrja_m9DTnkO2TCElbGcU9PRzGLHsiavgFE5YRlM6xwhHe2QraNAqv6kl13h7JKqQpjkcY&amp;__tn__=-UC%2CP-R" TargetMode="External"/><Relationship Id="rId18" Type="http://schemas.openxmlformats.org/officeDocument/2006/relationships/hyperlink" Target="https://www.facebook.com/AlRafahcomplex?__cft__%5b0%5d=AZX2AGdHmyxJAnFf9Ft0xSAOSMaz5pztXbsOqgpNPwBitR1MwjiF6Ab4EQN1f6gy5voQj5wtUifgWTFv26Sj8RpOwmZhDoEuDQEWwgE0g4mCxL5gVvzG9bqHQ-1g81tQ0TDu55akcXioNlb82n41N1TQqzEviFcibXCgfU2Ymd660LAPXNwv4QPPClUlEZRuhLY&amp;__tn__=-UC%2CP-R" TargetMode="External"/><Relationship Id="rId1" Type="http://schemas.openxmlformats.org/officeDocument/2006/relationships/hyperlink" Target="https://www.facebook.com/avenuerealestateiq/?__cft__%5b0%5d=AZWnWS3NRgWCc797ZpJsfBwz-z9__F5n4kyg_fVkuWATJ1tfS4NnCGyXXK8OQrYhZP5yt_Y_7vx1wWfYn2isYvZE1hxzctCvYghJIBsunI0C7gA9lKaIRROlnMCYcSrJPerCm6FCJOgZBu7TChkxNPstl4wnL6lSXLRH5RR7Y_lxB3ZILdac9hQUWNY_qi8lT30&amp;__tn__=-UC%2CP-R" TargetMode="External"/><Relationship Id="rId2" Type="http://schemas.openxmlformats.org/officeDocument/2006/relationships/hyperlink" Target="https://www.facebook.com/engemadzakar?__cft__%5b0%5d=AZVYehvfmlkgUAOLkvgVRAJDA1P_jU4sYCHTPmjZAW-JmC7tD2iMffeuT0nz73IFIRaLxQ_la9NubCcYhUlLrvFXdvqpD8brN7XHRcccH4AvQ7ciGp8FJwXv3FgyONqnTJpf7PYJofhTyaFaneomoZDgWX5c90cJZNWZXBgdQpEgoaAPHgNHX69yr4kBy61LiP0&amp;__tn__=-UC%2CP-R" TargetMode="External"/><Relationship Id="rId3" Type="http://schemas.openxmlformats.org/officeDocument/2006/relationships/hyperlink" Target="https://www.facebook.com/ramlah.development?__cft__%5b0%5d=AZXt_NVgoYeR1KZNnQaRhvADqABmE_RuDLQfLexxc8aHm1ZqhI6KOkRUFGoy2Qer1hOiTBYOSAfCt4s_K7odf4mn5AdkaXq4q9ife2_Psqw4Fqg3CdY-e7uEEJWLJ-6abCCQUM7uviUVW7UUrmA2WM_Jh25wBmHIpEV2H1lPhcwjrXmWPRkUX4as_iDaZdWCw50&amp;__tn__=-UC%2CP-R" TargetMode="External"/><Relationship Id="rId4" Type="http://schemas.openxmlformats.org/officeDocument/2006/relationships/hyperlink" Target="https://www.facebook.com/%D9%85%D8%AC%D9%85%D8%B9-%D8%A7%D9%84%D8%B1%D9%88%D8%A7%D9%86-%D8%A7%D9%84%D8%B3%D9%83%D9%86%D9%8A-%D8%B4%D8%B1%D9%83%D8%A9-%D8%A8%D9%88%D8%A7%D8%A8%D8%A9-%D8%A7%D9%84%D9%85%D8%B3%D8%AA%D9%82%D8%A8%D9%84-109856135098395/?__cft__%5b0%5d=AZWtrwCS5dvFmtX2xFIwDPLHNVxLwnO_tD292QDAa_LSn38T_d7XzNZ4kmSXSECeZcPpwlbrjUmK7E0joqK02YUyQNGLRnRAj2_sFxhLKqwqUEJ5iJaIwj2ATjfFPRVSXEwrTqR6cYvDV6LEQIdpekxysdrtYBYStxDZX6lag5hRbxM8muoBdvIwUukzf-xZnSI&amp;__tn__=-UC%2CP-R" TargetMode="External"/><Relationship Id="rId9" Type="http://schemas.openxmlformats.org/officeDocument/2006/relationships/hyperlink" Target="https://www.facebook.com/casablanca.duhok1?__cft__%5b0%5d=AZUqyXKN7j6JPkfY7fG-OXQ827lD3DwZdHZoHCqGlI83zI1oRg7W76J8WiheLqPX9Iv9IiHMzx_t9NeMcopHbftEDOW8ZqbNMcOXbV01WYQLWJB3g7VBW8dN8TYVZ5zfouYz7cJB0RfiP5nED8Y43Irz4UjNrCIjaIaM4M51d4CI1fpL-U4J4R4HFr_GX-Ipvcs&amp;__tn__=-UC%2CP-R" TargetMode="External"/><Relationship Id="rId5" Type="http://schemas.openxmlformats.org/officeDocument/2006/relationships/hyperlink" Target="https://www.facebook.com/Alsalam24?__cft__%5b0%5d=AZXQqQyy8lLGIFgw9ec69fQxT9hDeDOrw68wJXqxz24-gBvohBDzeRC-zpR9IWG_HcAESH4t-Bizg0U_mcdZJNy1K5SoCEiGzsBFT_Rx6J_MqTWwv_60-n-cJIaDY_HnT8FiWFzo0Z96N_A6vGmvYtdUdc-2el_lS8k-lvpA5IeCbBVYGQf8A-8iJ8-ynzwv6nA&amp;__tn__=-UC%2CP-R" TargetMode="External"/><Relationship Id="rId6" Type="http://schemas.openxmlformats.org/officeDocument/2006/relationships/hyperlink" Target="https://www.facebook.com/EDRAAk.iq?__cft__%5b0%5d=AZUgzwRIpY026bRh4WgqKoYOto9QJ3u_c7BRAUjwcgTL-E7Ff9_HE7Pl6nr9j_yO2C5G8oewS1XG_jPeZff_9IsabCk0A35OX73hOKeOJbXtQ3zrObY8D_KzDFiicn2gRYGfe6GJ2gnOdE_EmGE17S7a_zZhxMbX_6aEY1uCqRzuFiYG46zQO2HHOd9db7B3xhY&amp;__tn__=-UC%2CP-R" TargetMode="External"/><Relationship Id="rId7" Type="http://schemas.openxmlformats.org/officeDocument/2006/relationships/hyperlink" Target="https://www.facebook.com/alyaqincompany1?__cft__%5b0%5d=AZUtFhwb2AuuObtxc-qGtal54RJ4MCwej8cvU23C2CWjxVKy2oEB3SJB8KiF75rI0EfA2ZKxHQf9p8SLyGSSvtFfqAFOOqcebH8tn_ksnuI-XtdiOdbLhtm8-8sxEJ8yZTaGxLAKN2r6Y9U9iqi3jNLldFLwCzz_2AG3LO56twFCfh3Oxrg5btA8w6vTnaFNXDQ&amp;__tn__=-UC%2CP-R" TargetMode="External"/><Relationship Id="rId8" Type="http://schemas.openxmlformats.org/officeDocument/2006/relationships/hyperlink" Target="https://www.facebook.com/profile.php?id=100068886773229&amp;__cft__%5b0%5d=AZU6wM9PBODiNhNoqMm0tIHBDkCMjBQO5mwJB2btgFbmImhvE19JQZrstSVWgPZzrgub14sHulS9lVgG6i1jfJt1uvwhmAU883WmgC-Q93JRsDefPuFcZTAVkem029u4Giu4mN20OucECam829kQTGdCTFN10ea5fII1y7eJgGJ3xnZrq6xHy8Tv9HAcxa-oP9o&amp;__tn__=-UC%2CP-R" TargetMode="External"/></Relationships>
</file>

<file path=xl/worksheets/_rels/sheet29.xml.rels><?xml version="1.0" encoding="UTF-8" standalone="yes"?><Relationships xmlns="http://schemas.openxmlformats.org/package/2006/relationships"><Relationship Id="rId40" Type="http://schemas.openxmlformats.org/officeDocument/2006/relationships/hyperlink" Target="https://www.spfrealty.com/" TargetMode="External"/><Relationship Id="rId42" Type="http://schemas.openxmlformats.org/officeDocument/2006/relationships/hyperlink" Target="https://www.takamul.ae/" TargetMode="External"/><Relationship Id="rId41" Type="http://schemas.openxmlformats.org/officeDocument/2006/relationships/hyperlink" Target="mailto:info@takamul.ae" TargetMode="External"/><Relationship Id="rId44" Type="http://schemas.openxmlformats.org/officeDocument/2006/relationships/hyperlink" Target="https://www.berkshirehathaway.com/" TargetMode="External"/><Relationship Id="rId43" Type="http://schemas.openxmlformats.org/officeDocument/2006/relationships/hyperlink" Target="mailto:info@berkshirehathaway.com" TargetMode="External"/><Relationship Id="rId46" Type="http://schemas.openxmlformats.org/officeDocument/2006/relationships/hyperlink" Target="https://www.core-me.com/" TargetMode="External"/><Relationship Id="rId45" Type="http://schemas.openxmlformats.org/officeDocument/2006/relationships/hyperlink" Target="mailto:info@core-me.com" TargetMode="External"/><Relationship Id="rId48" Type="http://schemas.openxmlformats.org/officeDocument/2006/relationships/hyperlink" Target="https://www.savills.me/" TargetMode="External"/><Relationship Id="rId47" Type="http://schemas.openxmlformats.org/officeDocument/2006/relationships/hyperlink" Target="mailto:info@savills.me" TargetMode="External"/><Relationship Id="rId49" Type="http://schemas.openxmlformats.org/officeDocument/2006/relationships/hyperlink" Target="mailto:info@cluttons.com" TargetMode="External"/><Relationship Id="rId31" Type="http://schemas.openxmlformats.org/officeDocument/2006/relationships/hyperlink" Target="mailto:contact@constructly.ai" TargetMode="External"/><Relationship Id="rId30" Type="http://schemas.openxmlformats.org/officeDocument/2006/relationships/hyperlink" Target="https://www.schonproperties.com/" TargetMode="External"/><Relationship Id="rId33" Type="http://schemas.openxmlformats.org/officeDocument/2006/relationships/hyperlink" Target="mailto:info@casa10.com" TargetMode="External"/><Relationship Id="rId32" Type="http://schemas.openxmlformats.org/officeDocument/2006/relationships/hyperlink" Target="https://www.constructly.ai/" TargetMode="External"/><Relationship Id="rId35" Type="http://schemas.openxmlformats.org/officeDocument/2006/relationships/hyperlink" Target="mailto:info@propertymonitor.com" TargetMode="External"/><Relationship Id="rId34" Type="http://schemas.openxmlformats.org/officeDocument/2006/relationships/hyperlink" Target="https://www.casa10.com/" TargetMode="External"/><Relationship Id="rId37" Type="http://schemas.openxmlformats.org/officeDocument/2006/relationships/hyperlink" Target="mailto:info@nationwide-properties.ae" TargetMode="External"/><Relationship Id="rId36" Type="http://schemas.openxmlformats.org/officeDocument/2006/relationships/hyperlink" Target="https://www.propertymonitor.com/" TargetMode="External"/><Relationship Id="rId39" Type="http://schemas.openxmlformats.org/officeDocument/2006/relationships/hyperlink" Target="mailto:info@spfrealty.com" TargetMode="External"/><Relationship Id="rId38" Type="http://schemas.openxmlformats.org/officeDocument/2006/relationships/hyperlink" Target="https://www.nationwide-properties.ae/" TargetMode="External"/><Relationship Id="rId20" Type="http://schemas.openxmlformats.org/officeDocument/2006/relationships/hyperlink" Target="https://www.goldpillars.ae/" TargetMode="External"/><Relationship Id="rId22" Type="http://schemas.openxmlformats.org/officeDocument/2006/relationships/hyperlink" Target="https://www.sobharealty.com/" TargetMode="External"/><Relationship Id="rId21" Type="http://schemas.openxmlformats.org/officeDocument/2006/relationships/hyperlink" Target="mailto:marketing@sobha.com" TargetMode="External"/><Relationship Id="rId24" Type="http://schemas.openxmlformats.org/officeDocument/2006/relationships/hyperlink" Target="https://www.greenvalleyproperties.org/" TargetMode="External"/><Relationship Id="rId23" Type="http://schemas.openxmlformats.org/officeDocument/2006/relationships/hyperlink" Target="mailto:info@greenvalleyproperties.org" TargetMode="External"/><Relationship Id="rId26" Type="http://schemas.openxmlformats.org/officeDocument/2006/relationships/hyperlink" Target="https://www.manazelspecialists.ae/" TargetMode="External"/><Relationship Id="rId25" Type="http://schemas.openxmlformats.org/officeDocument/2006/relationships/hyperlink" Target="mailto:info@manazelspecialists.ae" TargetMode="External"/><Relationship Id="rId28" Type="http://schemas.openxmlformats.org/officeDocument/2006/relationships/hyperlink" Target="https://www.wahatalzaweya.com/" TargetMode="External"/><Relationship Id="rId27" Type="http://schemas.openxmlformats.org/officeDocument/2006/relationships/hyperlink" Target="mailto:info@wahatalzaweya.com" TargetMode="External"/><Relationship Id="rId29" Type="http://schemas.openxmlformats.org/officeDocument/2006/relationships/hyperlink" Target="mailto:info@schonproperties.com" TargetMode="External"/><Relationship Id="rId11" Type="http://schemas.openxmlformats.org/officeDocument/2006/relationships/hyperlink" Target="mailto:enquiry@danubeproperties.ae" TargetMode="External"/><Relationship Id="rId10" Type="http://schemas.openxmlformats.org/officeDocument/2006/relationships/hyperlink" Target="https://www.damacproperties.com/" TargetMode="External"/><Relationship Id="rId13" Type="http://schemas.openxmlformats.org/officeDocument/2006/relationships/hyperlink" Target="mailto:info@iland.ae" TargetMode="External"/><Relationship Id="rId12" Type="http://schemas.openxmlformats.org/officeDocument/2006/relationships/hyperlink" Target="https://danubeproperties.ae/" TargetMode="External"/><Relationship Id="rId15" Type="http://schemas.openxmlformats.org/officeDocument/2006/relationships/hyperlink" Target="mailto:info@medlandspain.com" TargetMode="External"/><Relationship Id="rId14" Type="http://schemas.openxmlformats.org/officeDocument/2006/relationships/hyperlink" Target="https://iland.ae/" TargetMode="External"/><Relationship Id="rId17" Type="http://schemas.openxmlformats.org/officeDocument/2006/relationships/hyperlink" Target="mailto:contact@tigergroup.ae" TargetMode="External"/><Relationship Id="rId16" Type="http://schemas.openxmlformats.org/officeDocument/2006/relationships/hyperlink" Target="https://www.medlandspain.com/" TargetMode="External"/><Relationship Id="rId19" Type="http://schemas.openxmlformats.org/officeDocument/2006/relationships/hyperlink" Target="mailto:info@goldpillars.ae" TargetMode="External"/><Relationship Id="rId18" Type="http://schemas.openxmlformats.org/officeDocument/2006/relationships/hyperlink" Target="https://tigergroup.ae/" TargetMode="External"/><Relationship Id="rId1" Type="http://schemas.openxmlformats.org/officeDocument/2006/relationships/hyperlink" Target="mailto:info@emaar.ae" TargetMode="External"/><Relationship Id="rId2" Type="http://schemas.openxmlformats.org/officeDocument/2006/relationships/hyperlink" Target="https://www.emaar.com/" TargetMode="External"/><Relationship Id="rId3" Type="http://schemas.openxmlformats.org/officeDocument/2006/relationships/hyperlink" Target="mailto:support@compass.com" TargetMode="External"/><Relationship Id="rId4" Type="http://schemas.openxmlformats.org/officeDocument/2006/relationships/hyperlink" Target="https://www.compass.com/" TargetMode="External"/><Relationship Id="rId9" Type="http://schemas.openxmlformats.org/officeDocument/2006/relationships/hyperlink" Target="mailto:info@damac.com" TargetMode="External"/><Relationship Id="rId5" Type="http://schemas.openxmlformats.org/officeDocument/2006/relationships/hyperlink" Target="mailto:info@arada.com" TargetMode="External"/><Relationship Id="rId6" Type="http://schemas.openxmlformats.org/officeDocument/2006/relationships/hyperlink" Target="https://www.arada.com/" TargetMode="External"/><Relationship Id="rId7" Type="http://schemas.openxmlformats.org/officeDocument/2006/relationships/hyperlink" Target="mailto:info@famholding.com" TargetMode="External"/><Relationship Id="rId8" Type="http://schemas.openxmlformats.org/officeDocument/2006/relationships/hyperlink" Target="https://famholding.com/" TargetMode="External"/><Relationship Id="rId73" Type="http://schemas.openxmlformats.org/officeDocument/2006/relationships/hyperlink" Target="mailto:info@amlakfinance.com" TargetMode="External"/><Relationship Id="rId72" Type="http://schemas.openxmlformats.org/officeDocument/2006/relationships/hyperlink" Target="https://www.abudhabichamber.ae/" TargetMode="External"/><Relationship Id="rId75" Type="http://schemas.openxmlformats.org/officeDocument/2006/relationships/hyperlink" Target="mailto:albayanonline@albayan.ae" TargetMode="External"/><Relationship Id="rId74" Type="http://schemas.openxmlformats.org/officeDocument/2006/relationships/hyperlink" Target="https://www.amlakfinance.com/" TargetMode="External"/><Relationship Id="rId77" Type="http://schemas.openxmlformats.org/officeDocument/2006/relationships/hyperlink" Target="mailto:s.rahman@panasian1.com" TargetMode="External"/><Relationship Id="rId76" Type="http://schemas.openxmlformats.org/officeDocument/2006/relationships/hyperlink" Target="https://www.albayan.ae/" TargetMode="External"/><Relationship Id="rId79" Type="http://schemas.openxmlformats.org/officeDocument/2006/relationships/drawing" Target="../drawings/drawing29.xml"/><Relationship Id="rId78" Type="http://schemas.openxmlformats.org/officeDocument/2006/relationships/hyperlink" Target="https://gulfproperty.media/" TargetMode="External"/><Relationship Id="rId71" Type="http://schemas.openxmlformats.org/officeDocument/2006/relationships/hyperlink" Target="mailto:contact.us@adcci.gov.ae" TargetMode="External"/><Relationship Id="rId70" Type="http://schemas.openxmlformats.org/officeDocument/2006/relationships/hyperlink" Target="https://www.signatureny.com/" TargetMode="External"/><Relationship Id="rId62" Type="http://schemas.openxmlformats.org/officeDocument/2006/relationships/hyperlink" Target="https://www.millermayer.com/" TargetMode="External"/><Relationship Id="rId61" Type="http://schemas.openxmlformats.org/officeDocument/2006/relationships/hyperlink" Target="mailto:info@millermayer.com" TargetMode="External"/><Relationship Id="rId64" Type="http://schemas.openxmlformats.org/officeDocument/2006/relationships/hyperlink" Target="https://www.clevelandinternationalfund.com/" TargetMode="External"/><Relationship Id="rId63" Type="http://schemas.openxmlformats.org/officeDocument/2006/relationships/hyperlink" Target="mailto:info@clevelandinternationalfund.com" TargetMode="External"/><Relationship Id="rId66" Type="http://schemas.openxmlformats.org/officeDocument/2006/relationships/hyperlink" Target="https://www.eb5global.com/" TargetMode="External"/><Relationship Id="rId65" Type="http://schemas.openxmlformats.org/officeDocument/2006/relationships/hyperlink" Target="mailto:info@eb5global.com" TargetMode="External"/><Relationship Id="rId68" Type="http://schemas.openxmlformats.org/officeDocument/2006/relationships/hyperlink" Target="https://www.bakertillycapital.com/" TargetMode="External"/><Relationship Id="rId67" Type="http://schemas.openxmlformats.org/officeDocument/2006/relationships/hyperlink" Target="mailto:info@bakertillycapital.com" TargetMode="External"/><Relationship Id="rId60" Type="http://schemas.openxmlformats.org/officeDocument/2006/relationships/hyperlink" Target="https://www.msaglobal.com/" TargetMode="External"/><Relationship Id="rId69" Type="http://schemas.openxmlformats.org/officeDocument/2006/relationships/hyperlink" Target="mailto:info@signatureny.com" TargetMode="External"/><Relationship Id="rId51" Type="http://schemas.openxmlformats.org/officeDocument/2006/relationships/hyperlink" Target="mailto:info@colliers.com" TargetMode="External"/><Relationship Id="rId50" Type="http://schemas.openxmlformats.org/officeDocument/2006/relationships/hyperlink" Target="https://www.cluttons.com/" TargetMode="External"/><Relationship Id="rId53" Type="http://schemas.openxmlformats.org/officeDocument/2006/relationships/hyperlink" Target="mailto:info@oxfordbusinessgroup.com" TargetMode="External"/><Relationship Id="rId52" Type="http://schemas.openxmlformats.org/officeDocument/2006/relationships/hyperlink" Target="https://www.colliers.com/" TargetMode="External"/><Relationship Id="rId55" Type="http://schemas.openxmlformats.org/officeDocument/2006/relationships/hyperlink" Target="mailto:info@cbre.com" TargetMode="External"/><Relationship Id="rId54" Type="http://schemas.openxmlformats.org/officeDocument/2006/relationships/hyperlink" Target="https://www.oxfordbusinessgroup.com/" TargetMode="External"/><Relationship Id="rId57" Type="http://schemas.openxmlformats.org/officeDocument/2006/relationships/hyperlink" Target="mailto:info@artoncapital.com" TargetMode="External"/><Relationship Id="rId56" Type="http://schemas.openxmlformats.org/officeDocument/2006/relationships/hyperlink" Target="https://www.cbre.com/" TargetMode="External"/><Relationship Id="rId59" Type="http://schemas.openxmlformats.org/officeDocument/2006/relationships/hyperlink" Target="mailto:info@msaglobal.com" TargetMode="External"/><Relationship Id="rId58" Type="http://schemas.openxmlformats.org/officeDocument/2006/relationships/hyperlink" Target="https://www.artoncapital.com/" TargetMode="External"/></Relationships>
</file>

<file path=xl/worksheets/_rels/sheet30.xml.rels><?xml version="1.0" encoding="UTF-8" standalone="yes"?><Relationships xmlns="http://schemas.openxmlformats.org/package/2006/relationships"><Relationship Id="rId20" Type="http://schemas.openxmlformats.org/officeDocument/2006/relationships/hyperlink" Target="mailto:CHALAKJAWHAR91@GMAIL.COM" TargetMode="External"/><Relationship Id="rId22" Type="http://schemas.openxmlformats.org/officeDocument/2006/relationships/hyperlink" Target="mailto:HOUSE.SULY@GMAIL.COM" TargetMode="External"/><Relationship Id="rId21" Type="http://schemas.openxmlformats.org/officeDocument/2006/relationships/hyperlink" Target="mailto:ARCHIJAF.DESIGN@GMAIL.COM" TargetMode="External"/><Relationship Id="rId24" Type="http://schemas.openxmlformats.org/officeDocument/2006/relationships/hyperlink" Target="mailto:ARCHITECTURAL.CORNER1@GMAIL.COM" TargetMode="External"/><Relationship Id="rId23" Type="http://schemas.openxmlformats.org/officeDocument/2006/relationships/hyperlink" Target="mailto:ROYALCONSULTANT2020@GMAIL.COM" TargetMode="External"/><Relationship Id="rId26" Type="http://schemas.openxmlformats.org/officeDocument/2006/relationships/hyperlink" Target="mailto:OSCARHOME@OSCARORMAN.COM" TargetMode="External"/><Relationship Id="rId25" Type="http://schemas.openxmlformats.org/officeDocument/2006/relationships/hyperlink" Target="mailto:NUBIN1970@GMAIL.COM" TargetMode="External"/><Relationship Id="rId28" Type="http://schemas.openxmlformats.org/officeDocument/2006/relationships/drawing" Target="../drawings/drawing30.xml"/><Relationship Id="rId27" Type="http://schemas.openxmlformats.org/officeDocument/2006/relationships/hyperlink" Target="mailto:INFO@ALMIMARGROUP.COM" TargetMode="External"/><Relationship Id="rId11" Type="http://schemas.openxmlformats.org/officeDocument/2006/relationships/hyperlink" Target="mailto:ARIFOUAD@YAHOO.COM" TargetMode="External"/><Relationship Id="rId10" Type="http://schemas.openxmlformats.org/officeDocument/2006/relationships/hyperlink" Target="mailto:MATINDRI445@GMAIL.COM" TargetMode="External"/><Relationship Id="rId13" Type="http://schemas.openxmlformats.org/officeDocument/2006/relationships/hyperlink" Target="mailto:INFO@NEOPARTNERS.CO" TargetMode="External"/><Relationship Id="rId12" Type="http://schemas.openxmlformats.org/officeDocument/2006/relationships/hyperlink" Target="mailto:ENG.KANARRASH@GMAIL.COM" TargetMode="External"/><Relationship Id="rId15" Type="http://schemas.openxmlformats.org/officeDocument/2006/relationships/hyperlink" Target="mailto:FARESS_SHARIF@YAHOO.COM" TargetMode="External"/><Relationship Id="rId14" Type="http://schemas.openxmlformats.org/officeDocument/2006/relationships/hyperlink" Target="mailto:LAYAD.ARCHITECT@GMAIL.COM" TargetMode="External"/><Relationship Id="rId17" Type="http://schemas.openxmlformats.org/officeDocument/2006/relationships/hyperlink" Target="mailto:ALIZEN@ALWAJIH.CO.COM" TargetMode="External"/><Relationship Id="rId16" Type="http://schemas.openxmlformats.org/officeDocument/2006/relationships/hyperlink" Target="mailto:ERBIL_STONE_COMPANY@YAHOO.COM" TargetMode="External"/><Relationship Id="rId19" Type="http://schemas.openxmlformats.org/officeDocument/2006/relationships/hyperlink" Target="mailto:N.MALLAH@HOTMAIL.COM" TargetMode="External"/><Relationship Id="rId18" Type="http://schemas.openxmlformats.org/officeDocument/2006/relationships/hyperlink" Target="mailto:RIZGAR_KURDI@YAHOO.COM" TargetMode="External"/><Relationship Id="rId1" Type="http://schemas.openxmlformats.org/officeDocument/2006/relationships/hyperlink" Target="mailto:architectural.corner1@gmail.com" TargetMode="External"/><Relationship Id="rId2" Type="http://schemas.openxmlformats.org/officeDocument/2006/relationships/hyperlink" Target="mailto:ANAS@WHATANART.NET" TargetMode="External"/><Relationship Id="rId3" Type="http://schemas.openxmlformats.org/officeDocument/2006/relationships/hyperlink" Target="mailto:QUEENCOMPANY22@GAMAIL.COM" TargetMode="External"/><Relationship Id="rId4" Type="http://schemas.openxmlformats.org/officeDocument/2006/relationships/hyperlink" Target="mailto:DCASTRO55@YAHOO.COM" TargetMode="External"/><Relationship Id="rId9" Type="http://schemas.openxmlformats.org/officeDocument/2006/relationships/hyperlink" Target="mailto:HINDREEN.PAYSTUDIO@GMAIL.COM" TargetMode="External"/><Relationship Id="rId5" Type="http://schemas.openxmlformats.org/officeDocument/2006/relationships/hyperlink" Target="mailto:YOUNESALDABBAS@YAHOO.COM" TargetMode="External"/><Relationship Id="rId6" Type="http://schemas.openxmlformats.org/officeDocument/2006/relationships/hyperlink" Target="mailto:FATMA@SAILET.NET" TargetMode="External"/><Relationship Id="rId7" Type="http://schemas.openxmlformats.org/officeDocument/2006/relationships/hyperlink" Target="mailto:INFO@ALRIMAL-ALDHABIYA.COM" TargetMode="External"/><Relationship Id="rId8" Type="http://schemas.openxmlformats.org/officeDocument/2006/relationships/hyperlink" Target="mailto:INFO@CLARISCO.COM"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homele.com/en/agency-detail/359" TargetMode="External"/><Relationship Id="rId2" Type="http://schemas.openxmlformats.org/officeDocument/2006/relationships/hyperlink" Target="https://homele.com/en/agency-detail/874" TargetMode="External"/><Relationship Id="rId3" Type="http://schemas.openxmlformats.org/officeDocument/2006/relationships/hyperlink" Target="https://www.google.com/" TargetMode="External"/><Relationship Id="rId4"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2" width="6.88"/>
    <col customWidth="1" min="3" max="3" width="34.0"/>
    <col customWidth="1" min="4" max="4" width="32.75"/>
    <col customWidth="1" min="5" max="7" width="21.38"/>
    <col customWidth="1" min="8" max="8" width="99.63"/>
  </cols>
  <sheetData>
    <row r="1" ht="57.0" customHeight="1">
      <c r="A1" s="1"/>
      <c r="B1" s="2"/>
      <c r="C1" s="2">
        <v>2019.0</v>
      </c>
      <c r="D1" s="2"/>
      <c r="E1" s="2"/>
      <c r="F1" s="3"/>
      <c r="G1" s="3"/>
      <c r="H1" s="4"/>
    </row>
    <row r="2" ht="30.0" customHeight="1">
      <c r="A2" s="5"/>
      <c r="B2" s="5" t="s">
        <v>0</v>
      </c>
      <c r="C2" s="5" t="s">
        <v>1</v>
      </c>
      <c r="D2" s="6" t="s">
        <v>2</v>
      </c>
      <c r="E2" s="6" t="s">
        <v>3</v>
      </c>
      <c r="F2" s="6" t="s">
        <v>4</v>
      </c>
      <c r="G2" s="6" t="s">
        <v>5</v>
      </c>
      <c r="H2" s="6" t="s">
        <v>6</v>
      </c>
    </row>
    <row r="3" ht="26.25" customHeight="1">
      <c r="A3" s="7">
        <v>1.0</v>
      </c>
      <c r="B3" s="8" t="b">
        <v>0</v>
      </c>
      <c r="C3" s="9" t="s">
        <v>7</v>
      </c>
      <c r="D3" s="10" t="s">
        <v>8</v>
      </c>
      <c r="E3" s="10" t="s">
        <v>9</v>
      </c>
      <c r="F3" s="11"/>
      <c r="G3" s="12"/>
      <c r="H3" s="12"/>
    </row>
    <row r="4" ht="26.25" customHeight="1">
      <c r="A4" s="7">
        <v>2.0</v>
      </c>
      <c r="B4" s="8" t="b">
        <v>0</v>
      </c>
      <c r="C4" s="9" t="s">
        <v>10</v>
      </c>
      <c r="D4" s="10" t="s">
        <v>11</v>
      </c>
      <c r="E4" s="10" t="s">
        <v>12</v>
      </c>
      <c r="F4" s="13" t="s">
        <v>13</v>
      </c>
      <c r="G4" s="14"/>
      <c r="H4" s="14"/>
    </row>
    <row r="5" ht="26.25" customHeight="1">
      <c r="A5" s="7">
        <v>3.0</v>
      </c>
      <c r="B5" s="8" t="b">
        <v>0</v>
      </c>
      <c r="C5" s="9" t="s">
        <v>14</v>
      </c>
      <c r="D5" s="10" t="s">
        <v>15</v>
      </c>
      <c r="E5" s="10" t="s">
        <v>16</v>
      </c>
      <c r="F5" s="13" t="s">
        <v>17</v>
      </c>
      <c r="G5" s="14"/>
      <c r="H5" s="14"/>
    </row>
    <row r="6" ht="26.25" customHeight="1">
      <c r="A6" s="7">
        <v>4.0</v>
      </c>
      <c r="B6" s="8" t="b">
        <v>0</v>
      </c>
      <c r="C6" s="9" t="s">
        <v>18</v>
      </c>
      <c r="D6" s="10" t="s">
        <v>19</v>
      </c>
      <c r="E6" s="10" t="s">
        <v>20</v>
      </c>
      <c r="F6" s="13" t="s">
        <v>21</v>
      </c>
      <c r="G6" s="14"/>
      <c r="H6" s="14"/>
    </row>
    <row r="7" ht="26.25" customHeight="1">
      <c r="A7" s="7">
        <v>5.0</v>
      </c>
      <c r="B7" s="8" t="b">
        <v>0</v>
      </c>
      <c r="C7" s="9" t="s">
        <v>22</v>
      </c>
      <c r="D7" s="10" t="s">
        <v>23</v>
      </c>
      <c r="E7" s="10" t="s">
        <v>24</v>
      </c>
      <c r="F7" s="13" t="s">
        <v>25</v>
      </c>
      <c r="G7" s="14"/>
      <c r="H7" s="14"/>
    </row>
    <row r="8" ht="26.25" customHeight="1">
      <c r="A8" s="7">
        <v>6.0</v>
      </c>
      <c r="B8" s="8" t="b">
        <v>0</v>
      </c>
      <c r="C8" s="9" t="s">
        <v>26</v>
      </c>
      <c r="D8" s="10" t="s">
        <v>27</v>
      </c>
      <c r="E8" s="10" t="s">
        <v>28</v>
      </c>
      <c r="F8" s="11"/>
      <c r="G8" s="14"/>
      <c r="H8" s="14"/>
    </row>
    <row r="9" ht="26.25" customHeight="1">
      <c r="A9" s="7">
        <v>7.0</v>
      </c>
      <c r="B9" s="8" t="b">
        <v>0</v>
      </c>
      <c r="C9" s="9" t="s">
        <v>29</v>
      </c>
      <c r="D9" s="10" t="s">
        <v>30</v>
      </c>
      <c r="E9" s="10" t="s">
        <v>31</v>
      </c>
      <c r="F9" s="13" t="s">
        <v>32</v>
      </c>
      <c r="G9" s="14"/>
      <c r="H9" s="14"/>
    </row>
    <row r="10" ht="26.25" customHeight="1">
      <c r="A10" s="7">
        <v>8.0</v>
      </c>
      <c r="B10" s="8" t="b">
        <v>0</v>
      </c>
      <c r="C10" s="9" t="s">
        <v>33</v>
      </c>
      <c r="D10" s="10" t="s">
        <v>34</v>
      </c>
      <c r="E10" s="10" t="s">
        <v>35</v>
      </c>
      <c r="F10" s="11"/>
      <c r="G10" s="14"/>
      <c r="H10" s="14"/>
    </row>
    <row r="11" ht="26.25" customHeight="1">
      <c r="A11" s="7">
        <v>9.0</v>
      </c>
      <c r="B11" s="8" t="b">
        <v>0</v>
      </c>
      <c r="C11" s="9" t="s">
        <v>36</v>
      </c>
      <c r="D11" s="10" t="s">
        <v>37</v>
      </c>
      <c r="E11" s="10" t="s">
        <v>38</v>
      </c>
      <c r="F11" s="11"/>
      <c r="G11" s="14"/>
      <c r="H11" s="14"/>
    </row>
    <row r="12" ht="26.25" customHeight="1">
      <c r="A12" s="7">
        <v>10.0</v>
      </c>
      <c r="B12" s="8" t="b">
        <v>0</v>
      </c>
      <c r="C12" s="9" t="s">
        <v>39</v>
      </c>
      <c r="D12" s="10" t="s">
        <v>40</v>
      </c>
      <c r="E12" s="10" t="s">
        <v>41</v>
      </c>
      <c r="F12" s="11"/>
      <c r="G12" s="14"/>
      <c r="H12" s="14"/>
    </row>
    <row r="13" ht="26.25" customHeight="1">
      <c r="A13" s="7">
        <v>11.0</v>
      </c>
      <c r="B13" s="8" t="b">
        <v>0</v>
      </c>
      <c r="C13" s="9" t="s">
        <v>42</v>
      </c>
      <c r="D13" s="10" t="s">
        <v>43</v>
      </c>
      <c r="E13" s="10" t="s">
        <v>44</v>
      </c>
      <c r="F13" s="11"/>
      <c r="G13" s="14"/>
      <c r="H13" s="14"/>
    </row>
    <row r="14" ht="26.25" customHeight="1">
      <c r="A14" s="7">
        <v>12.0</v>
      </c>
      <c r="B14" s="8" t="b">
        <v>0</v>
      </c>
      <c r="C14" s="9" t="s">
        <v>45</v>
      </c>
      <c r="D14" s="10" t="s">
        <v>46</v>
      </c>
      <c r="E14" s="10" t="s">
        <v>47</v>
      </c>
      <c r="F14" s="11"/>
      <c r="G14" s="14"/>
      <c r="H14" s="14"/>
    </row>
    <row r="15" ht="26.25" customHeight="1">
      <c r="A15" s="7">
        <v>13.0</v>
      </c>
      <c r="B15" s="8" t="b">
        <v>0</v>
      </c>
      <c r="C15" s="9" t="s">
        <v>48</v>
      </c>
      <c r="D15" s="10" t="s">
        <v>49</v>
      </c>
      <c r="E15" s="10" t="s">
        <v>50</v>
      </c>
      <c r="F15" s="13" t="s">
        <v>51</v>
      </c>
      <c r="G15" s="14"/>
      <c r="H15" s="14"/>
    </row>
    <row r="16" ht="26.25" customHeight="1">
      <c r="A16" s="7">
        <v>14.0</v>
      </c>
      <c r="B16" s="8" t="b">
        <v>0</v>
      </c>
      <c r="C16" s="9" t="s">
        <v>52</v>
      </c>
      <c r="D16" s="10" t="s">
        <v>53</v>
      </c>
      <c r="E16" s="10" t="s">
        <v>54</v>
      </c>
      <c r="F16" s="13" t="s">
        <v>55</v>
      </c>
      <c r="G16" s="14"/>
      <c r="H16" s="14"/>
    </row>
    <row r="17" ht="26.25" customHeight="1">
      <c r="A17" s="7">
        <v>15.0</v>
      </c>
      <c r="B17" s="8" t="b">
        <v>0</v>
      </c>
      <c r="C17" s="9" t="s">
        <v>56</v>
      </c>
      <c r="D17" s="15"/>
      <c r="E17" s="15"/>
      <c r="F17" s="11"/>
      <c r="G17" s="14"/>
      <c r="H17" s="14"/>
    </row>
    <row r="18" ht="26.25" customHeight="1">
      <c r="A18" s="7">
        <v>16.0</v>
      </c>
      <c r="B18" s="8" t="b">
        <v>0</v>
      </c>
      <c r="C18" s="9" t="s">
        <v>57</v>
      </c>
      <c r="D18" s="10" t="s">
        <v>58</v>
      </c>
      <c r="E18" s="10" t="s">
        <v>59</v>
      </c>
      <c r="F18" s="13" t="s">
        <v>60</v>
      </c>
      <c r="G18" s="14"/>
      <c r="H18" s="14"/>
    </row>
    <row r="19" ht="26.25" customHeight="1">
      <c r="A19" s="7">
        <v>17.0</v>
      </c>
      <c r="B19" s="8" t="b">
        <v>0</v>
      </c>
      <c r="C19" s="9" t="s">
        <v>61</v>
      </c>
      <c r="D19" s="10" t="s">
        <v>62</v>
      </c>
      <c r="E19" s="10" t="s">
        <v>63</v>
      </c>
      <c r="F19" s="11"/>
      <c r="G19" s="14"/>
      <c r="H19" s="14"/>
    </row>
    <row r="20" ht="26.25" customHeight="1">
      <c r="A20" s="7">
        <v>18.0</v>
      </c>
      <c r="B20" s="8" t="b">
        <v>0</v>
      </c>
      <c r="C20" s="9" t="s">
        <v>64</v>
      </c>
      <c r="D20" s="10" t="s">
        <v>65</v>
      </c>
      <c r="E20" s="10" t="s">
        <v>66</v>
      </c>
      <c r="F20" s="13" t="s">
        <v>67</v>
      </c>
      <c r="G20" s="14"/>
      <c r="H20" s="14"/>
    </row>
    <row r="21" ht="26.25" customHeight="1">
      <c r="A21" s="7">
        <v>19.0</v>
      </c>
      <c r="B21" s="8" t="b">
        <v>0</v>
      </c>
      <c r="C21" s="9" t="s">
        <v>68</v>
      </c>
      <c r="D21" s="10" t="s">
        <v>69</v>
      </c>
      <c r="E21" s="10" t="s">
        <v>70</v>
      </c>
      <c r="F21" s="13" t="s">
        <v>71</v>
      </c>
      <c r="G21" s="14"/>
      <c r="H21" s="14"/>
    </row>
    <row r="22" ht="26.25" customHeight="1">
      <c r="A22" s="7">
        <v>20.0</v>
      </c>
      <c r="B22" s="8" t="b">
        <v>0</v>
      </c>
      <c r="C22" s="9" t="s">
        <v>72</v>
      </c>
      <c r="D22" s="10" t="s">
        <v>73</v>
      </c>
      <c r="E22" s="10" t="s">
        <v>74</v>
      </c>
      <c r="F22" s="13" t="s">
        <v>75</v>
      </c>
      <c r="G22" s="14"/>
      <c r="H22" s="14"/>
    </row>
    <row r="23" ht="26.25" customHeight="1">
      <c r="A23" s="7">
        <v>21.0</v>
      </c>
      <c r="B23" s="8" t="b">
        <v>0</v>
      </c>
      <c r="C23" s="9" t="s">
        <v>76</v>
      </c>
      <c r="D23" s="10" t="s">
        <v>77</v>
      </c>
      <c r="E23" s="10" t="s">
        <v>78</v>
      </c>
      <c r="F23" s="11"/>
      <c r="G23" s="14"/>
      <c r="H23" s="14"/>
    </row>
    <row r="24" ht="26.25" customHeight="1">
      <c r="A24" s="7">
        <v>22.0</v>
      </c>
      <c r="B24" s="8" t="b">
        <v>0</v>
      </c>
      <c r="C24" s="9" t="s">
        <v>79</v>
      </c>
      <c r="D24" s="10" t="s">
        <v>80</v>
      </c>
      <c r="E24" s="10" t="s">
        <v>81</v>
      </c>
      <c r="F24" s="13" t="s">
        <v>82</v>
      </c>
      <c r="G24" s="14"/>
      <c r="H24" s="14"/>
    </row>
    <row r="25" ht="26.25" customHeight="1">
      <c r="A25" s="7">
        <v>23.0</v>
      </c>
      <c r="B25" s="8" t="b">
        <v>0</v>
      </c>
      <c r="C25" s="9" t="s">
        <v>83</v>
      </c>
      <c r="D25" s="15"/>
      <c r="E25" s="15"/>
      <c r="F25" s="11"/>
      <c r="G25" s="14"/>
      <c r="H25" s="14"/>
    </row>
    <row r="26" ht="26.25" customHeight="1">
      <c r="A26" s="7">
        <v>24.0</v>
      </c>
      <c r="B26" s="8" t="b">
        <v>0</v>
      </c>
      <c r="C26" s="9" t="s">
        <v>84</v>
      </c>
      <c r="D26" s="10" t="s">
        <v>85</v>
      </c>
      <c r="E26" s="10" t="s">
        <v>86</v>
      </c>
      <c r="F26" s="11"/>
      <c r="G26" s="14"/>
      <c r="H26" s="14"/>
    </row>
    <row r="27" ht="26.25" customHeight="1">
      <c r="A27" s="7">
        <v>25.0</v>
      </c>
      <c r="B27" s="8" t="b">
        <v>0</v>
      </c>
      <c r="C27" s="9" t="s">
        <v>87</v>
      </c>
      <c r="D27" s="15"/>
      <c r="E27" s="10" t="s">
        <v>88</v>
      </c>
      <c r="F27" s="13" t="s">
        <v>89</v>
      </c>
      <c r="G27" s="14"/>
      <c r="H27" s="14"/>
    </row>
    <row r="28" ht="26.25" customHeight="1">
      <c r="A28" s="7">
        <v>26.0</v>
      </c>
      <c r="B28" s="8" t="b">
        <v>0</v>
      </c>
      <c r="C28" s="9" t="s">
        <v>90</v>
      </c>
      <c r="D28" s="10" t="s">
        <v>91</v>
      </c>
      <c r="E28" s="10" t="s">
        <v>92</v>
      </c>
      <c r="F28" s="13" t="s">
        <v>93</v>
      </c>
      <c r="G28" s="14"/>
      <c r="H28" s="14"/>
    </row>
    <row r="29" ht="26.25" customHeight="1">
      <c r="A29" s="7">
        <v>27.0</v>
      </c>
      <c r="B29" s="8" t="b">
        <v>0</v>
      </c>
      <c r="C29" s="9" t="s">
        <v>94</v>
      </c>
      <c r="D29" s="10" t="s">
        <v>95</v>
      </c>
      <c r="E29" s="10" t="s">
        <v>96</v>
      </c>
      <c r="F29" s="13" t="s">
        <v>97</v>
      </c>
      <c r="G29" s="14"/>
      <c r="H29" s="14"/>
    </row>
    <row r="30" ht="26.25" customHeight="1">
      <c r="A30" s="7">
        <v>28.0</v>
      </c>
      <c r="B30" s="8" t="b">
        <v>0</v>
      </c>
      <c r="C30" s="9" t="s">
        <v>98</v>
      </c>
      <c r="D30" s="15"/>
      <c r="E30" s="10" t="s">
        <v>99</v>
      </c>
      <c r="F30" s="11"/>
      <c r="G30" s="14"/>
      <c r="H30" s="14"/>
    </row>
    <row r="31" ht="26.25" customHeight="1">
      <c r="A31" s="7">
        <v>29.0</v>
      </c>
      <c r="B31" s="8" t="b">
        <v>0</v>
      </c>
      <c r="C31" s="9" t="s">
        <v>100</v>
      </c>
      <c r="D31" s="10" t="s">
        <v>101</v>
      </c>
      <c r="E31" s="10" t="s">
        <v>102</v>
      </c>
      <c r="F31" s="13" t="s">
        <v>103</v>
      </c>
      <c r="G31" s="14"/>
      <c r="H31" s="14"/>
    </row>
    <row r="32" ht="26.25" customHeight="1">
      <c r="A32" s="7">
        <v>30.0</v>
      </c>
      <c r="B32" s="8" t="b">
        <v>0</v>
      </c>
      <c r="C32" s="9" t="s">
        <v>104</v>
      </c>
      <c r="D32" s="10" t="s">
        <v>105</v>
      </c>
      <c r="E32" s="10" t="s">
        <v>106</v>
      </c>
      <c r="F32" s="11"/>
      <c r="G32" s="14"/>
      <c r="H32" s="14"/>
    </row>
    <row r="33" ht="26.25" customHeight="1">
      <c r="A33" s="7">
        <v>31.0</v>
      </c>
      <c r="B33" s="8" t="b">
        <v>0</v>
      </c>
      <c r="C33" s="9" t="s">
        <v>107</v>
      </c>
      <c r="D33" s="10" t="s">
        <v>108</v>
      </c>
      <c r="E33" s="10" t="s">
        <v>109</v>
      </c>
      <c r="F33" s="13" t="s">
        <v>110</v>
      </c>
      <c r="G33" s="14"/>
      <c r="H33" s="14"/>
    </row>
    <row r="34" ht="26.25" customHeight="1">
      <c r="A34" s="7">
        <v>32.0</v>
      </c>
      <c r="B34" s="8" t="b">
        <v>0</v>
      </c>
      <c r="C34" s="9" t="s">
        <v>111</v>
      </c>
      <c r="D34" s="10" t="s">
        <v>112</v>
      </c>
      <c r="E34" s="10" t="s">
        <v>113</v>
      </c>
      <c r="F34" s="11"/>
      <c r="G34" s="14"/>
      <c r="H34" s="14"/>
    </row>
    <row r="35" ht="26.25" customHeight="1">
      <c r="A35" s="7">
        <v>33.0</v>
      </c>
      <c r="B35" s="8" t="b">
        <v>0</v>
      </c>
      <c r="C35" s="9" t="s">
        <v>114</v>
      </c>
      <c r="D35" s="10" t="s">
        <v>115</v>
      </c>
      <c r="E35" s="10" t="s">
        <v>116</v>
      </c>
      <c r="F35" s="11"/>
      <c r="G35" s="14"/>
      <c r="H35" s="14"/>
    </row>
    <row r="36" ht="26.25" customHeight="1">
      <c r="A36" s="7">
        <v>34.0</v>
      </c>
      <c r="B36" s="8" t="b">
        <v>0</v>
      </c>
      <c r="C36" s="9" t="s">
        <v>117</v>
      </c>
      <c r="D36" s="10" t="s">
        <v>118</v>
      </c>
      <c r="E36" s="10" t="s">
        <v>119</v>
      </c>
      <c r="F36" s="13" t="s">
        <v>120</v>
      </c>
      <c r="G36" s="14"/>
      <c r="H36" s="14"/>
    </row>
    <row r="37" ht="26.25" customHeight="1">
      <c r="A37" s="7">
        <v>35.0</v>
      </c>
      <c r="B37" s="8" t="b">
        <v>0</v>
      </c>
      <c r="C37" s="9" t="s">
        <v>121</v>
      </c>
      <c r="D37" s="10" t="s">
        <v>122</v>
      </c>
      <c r="E37" s="10" t="s">
        <v>123</v>
      </c>
      <c r="F37" s="11"/>
      <c r="G37" s="14"/>
      <c r="H37" s="14"/>
    </row>
    <row r="38" ht="26.25" customHeight="1">
      <c r="A38" s="7">
        <v>36.0</v>
      </c>
      <c r="B38" s="8" t="b">
        <v>0</v>
      </c>
      <c r="C38" s="9" t="s">
        <v>124</v>
      </c>
      <c r="D38" s="10" t="s">
        <v>125</v>
      </c>
      <c r="E38" s="10" t="s">
        <v>126</v>
      </c>
      <c r="F38" s="11"/>
      <c r="G38" s="14"/>
      <c r="H38" s="14"/>
    </row>
    <row r="39" ht="26.25" customHeight="1">
      <c r="A39" s="7">
        <v>37.0</v>
      </c>
      <c r="B39" s="8" t="b">
        <v>0</v>
      </c>
      <c r="C39" s="9" t="s">
        <v>127</v>
      </c>
      <c r="D39" s="10" t="s">
        <v>128</v>
      </c>
      <c r="E39" s="10" t="s">
        <v>129</v>
      </c>
      <c r="F39" s="13" t="s">
        <v>130</v>
      </c>
      <c r="G39" s="14"/>
      <c r="H39" s="14"/>
    </row>
    <row r="40" ht="26.25" customHeight="1">
      <c r="A40" s="7">
        <v>38.0</v>
      </c>
      <c r="B40" s="8" t="b">
        <v>0</v>
      </c>
      <c r="C40" s="9" t="s">
        <v>131</v>
      </c>
      <c r="D40" s="10" t="s">
        <v>132</v>
      </c>
      <c r="E40" s="10" t="s">
        <v>133</v>
      </c>
      <c r="F40" s="11"/>
      <c r="G40" s="14"/>
      <c r="H40" s="14"/>
    </row>
    <row r="41" ht="26.25" customHeight="1">
      <c r="A41" s="7">
        <v>39.0</v>
      </c>
      <c r="B41" s="8" t="b">
        <v>0</v>
      </c>
      <c r="C41" s="9" t="s">
        <v>134</v>
      </c>
      <c r="D41" s="15"/>
      <c r="E41" s="15"/>
      <c r="F41" s="11"/>
      <c r="G41" s="14"/>
      <c r="H41" s="14"/>
    </row>
    <row r="42" ht="26.25" customHeight="1">
      <c r="A42" s="7">
        <v>40.0</v>
      </c>
      <c r="B42" s="8" t="b">
        <v>0</v>
      </c>
      <c r="C42" s="9" t="s">
        <v>135</v>
      </c>
      <c r="D42" s="10" t="s">
        <v>136</v>
      </c>
      <c r="E42" s="10" t="s">
        <v>137</v>
      </c>
      <c r="F42" s="11"/>
      <c r="G42" s="14"/>
      <c r="H42" s="14"/>
    </row>
    <row r="43" ht="26.25" customHeight="1">
      <c r="A43" s="7">
        <v>41.0</v>
      </c>
      <c r="B43" s="8" t="b">
        <v>0</v>
      </c>
      <c r="C43" s="9" t="s">
        <v>138</v>
      </c>
      <c r="D43" s="10" t="s">
        <v>139</v>
      </c>
      <c r="E43" s="10" t="s">
        <v>140</v>
      </c>
      <c r="F43" s="13" t="s">
        <v>141</v>
      </c>
      <c r="G43" s="14"/>
      <c r="H43" s="14"/>
    </row>
    <row r="44" ht="26.25" customHeight="1">
      <c r="A44" s="7">
        <v>42.0</v>
      </c>
      <c r="B44" s="8" t="b">
        <v>0</v>
      </c>
      <c r="C44" s="9" t="s">
        <v>142</v>
      </c>
      <c r="D44" s="10" t="s">
        <v>143</v>
      </c>
      <c r="E44" s="10" t="s">
        <v>144</v>
      </c>
      <c r="F44" s="13" t="s">
        <v>145</v>
      </c>
      <c r="G44" s="14"/>
      <c r="H44" s="14"/>
    </row>
    <row r="45" ht="26.25" customHeight="1">
      <c r="A45" s="7">
        <v>43.0</v>
      </c>
      <c r="B45" s="8" t="b">
        <v>0</v>
      </c>
      <c r="C45" s="9" t="s">
        <v>146</v>
      </c>
      <c r="D45" s="10" t="s">
        <v>147</v>
      </c>
      <c r="E45" s="15"/>
      <c r="F45" s="11"/>
      <c r="G45" s="14"/>
      <c r="H45" s="14"/>
    </row>
    <row r="46" ht="26.25" customHeight="1">
      <c r="A46" s="7">
        <v>44.0</v>
      </c>
      <c r="B46" s="8" t="b">
        <v>0</v>
      </c>
      <c r="C46" s="9" t="s">
        <v>148</v>
      </c>
      <c r="D46" s="10" t="s">
        <v>149</v>
      </c>
      <c r="E46" s="10" t="s">
        <v>150</v>
      </c>
      <c r="F46" s="13" t="s">
        <v>151</v>
      </c>
      <c r="G46" s="14"/>
      <c r="H46" s="14"/>
    </row>
    <row r="47" ht="26.25" customHeight="1">
      <c r="A47" s="7">
        <v>45.0</v>
      </c>
      <c r="B47" s="8" t="b">
        <v>0</v>
      </c>
      <c r="C47" s="16"/>
      <c r="D47" s="14"/>
      <c r="E47" s="14"/>
      <c r="F47" s="14"/>
      <c r="G47" s="14"/>
      <c r="H47" s="14"/>
    </row>
    <row r="48" ht="26.25" customHeight="1">
      <c r="A48" s="7">
        <v>46.0</v>
      </c>
      <c r="B48" s="8" t="b">
        <v>0</v>
      </c>
      <c r="C48" s="16"/>
      <c r="D48" s="14"/>
      <c r="E48" s="14"/>
      <c r="F48" s="14"/>
      <c r="G48" s="14"/>
      <c r="H48" s="14"/>
    </row>
    <row r="49" ht="26.25" customHeight="1">
      <c r="A49" s="7">
        <v>47.0</v>
      </c>
      <c r="B49" s="8" t="b">
        <v>0</v>
      </c>
      <c r="C49" s="16"/>
      <c r="D49" s="14"/>
      <c r="E49" s="14"/>
      <c r="F49" s="14"/>
      <c r="G49" s="14"/>
      <c r="H49" s="14"/>
    </row>
    <row r="50" ht="22.5" hidden="1" customHeight="1">
      <c r="A50" s="7">
        <v>48.0</v>
      </c>
      <c r="B50" s="8" t="b">
        <v>0</v>
      </c>
      <c r="C50" s="16"/>
      <c r="D50" s="14"/>
      <c r="E50" s="14"/>
      <c r="F50" s="14"/>
      <c r="G50" s="14"/>
      <c r="H50" s="14"/>
    </row>
    <row r="51" ht="22.5" customHeight="1">
      <c r="A51" s="7">
        <v>49.0</v>
      </c>
      <c r="B51" s="8" t="b">
        <v>0</v>
      </c>
      <c r="C51" s="16"/>
      <c r="D51" s="14"/>
      <c r="E51" s="14"/>
      <c r="F51" s="14"/>
      <c r="G51" s="14"/>
      <c r="H51" s="14"/>
    </row>
    <row r="52" ht="22.5" customHeight="1">
      <c r="A52" s="7">
        <v>50.0</v>
      </c>
      <c r="B52" s="8" t="b">
        <v>0</v>
      </c>
      <c r="C52" s="16"/>
      <c r="D52" s="14"/>
      <c r="E52" s="14"/>
      <c r="F52" s="14"/>
      <c r="G52" s="14"/>
      <c r="H52" s="14"/>
    </row>
    <row r="53" ht="22.5" customHeight="1">
      <c r="A53" s="7">
        <v>51.0</v>
      </c>
      <c r="B53" s="8" t="b">
        <v>0</v>
      </c>
      <c r="C53" s="16"/>
      <c r="D53" s="14"/>
      <c r="E53" s="14"/>
      <c r="F53" s="14"/>
      <c r="G53" s="14"/>
      <c r="H53" s="14"/>
    </row>
    <row r="54" ht="22.5" customHeight="1">
      <c r="A54" s="7">
        <v>52.0</v>
      </c>
      <c r="B54" s="8" t="b">
        <v>0</v>
      </c>
      <c r="C54" s="16"/>
      <c r="D54" s="14"/>
      <c r="E54" s="14"/>
      <c r="F54" s="14"/>
      <c r="G54" s="14"/>
      <c r="H54" s="14"/>
    </row>
    <row r="55" ht="22.5" customHeight="1">
      <c r="A55" s="7">
        <v>53.0</v>
      </c>
      <c r="B55" s="8" t="b">
        <v>0</v>
      </c>
      <c r="C55" s="16"/>
      <c r="D55" s="14"/>
      <c r="E55" s="14"/>
      <c r="F55" s="14"/>
      <c r="G55" s="14"/>
      <c r="H55" s="14"/>
    </row>
    <row r="56" ht="22.5" customHeight="1">
      <c r="A56" s="7">
        <v>54.0</v>
      </c>
      <c r="B56" s="8" t="b">
        <v>0</v>
      </c>
      <c r="C56" s="16"/>
      <c r="D56" s="14"/>
      <c r="E56" s="14"/>
      <c r="F56" s="14"/>
      <c r="G56" s="14"/>
      <c r="H56" s="14"/>
    </row>
    <row r="57" ht="22.5" customHeight="1">
      <c r="A57" s="7">
        <v>55.0</v>
      </c>
      <c r="B57" s="8" t="b">
        <v>0</v>
      </c>
      <c r="C57" s="16"/>
      <c r="D57" s="14"/>
      <c r="E57" s="14"/>
      <c r="F57" s="14"/>
      <c r="G57" s="14"/>
      <c r="H57" s="14"/>
    </row>
    <row r="58" ht="22.5" customHeight="1">
      <c r="A58" s="7">
        <v>56.0</v>
      </c>
      <c r="B58" s="8" t="b">
        <v>0</v>
      </c>
      <c r="C58" s="16"/>
      <c r="D58" s="14"/>
      <c r="E58" s="14"/>
      <c r="F58" s="14"/>
      <c r="G58" s="14"/>
      <c r="H58" s="14"/>
    </row>
    <row r="59" ht="22.5" customHeight="1">
      <c r="A59" s="7">
        <v>57.0</v>
      </c>
      <c r="B59" s="8" t="b">
        <v>0</v>
      </c>
      <c r="C59" s="16"/>
      <c r="D59" s="14"/>
      <c r="E59" s="14"/>
      <c r="F59" s="14"/>
      <c r="G59" s="14"/>
      <c r="H59" s="14"/>
    </row>
    <row r="60" ht="22.5" customHeight="1">
      <c r="A60" s="7">
        <v>58.0</v>
      </c>
      <c r="B60" s="8" t="b">
        <v>0</v>
      </c>
      <c r="C60" s="16"/>
      <c r="D60" s="14"/>
      <c r="E60" s="14"/>
      <c r="F60" s="14"/>
      <c r="G60" s="14"/>
      <c r="H60" s="14"/>
    </row>
    <row r="61" ht="22.5" customHeight="1">
      <c r="A61" s="7">
        <v>59.0</v>
      </c>
      <c r="B61" s="8" t="b">
        <v>0</v>
      </c>
      <c r="C61" s="16"/>
      <c r="D61" s="14"/>
      <c r="E61" s="14"/>
      <c r="F61" s="14"/>
      <c r="G61" s="14"/>
      <c r="H61" s="14"/>
    </row>
    <row r="62" ht="22.5" customHeight="1">
      <c r="A62" s="7">
        <v>60.0</v>
      </c>
      <c r="B62" s="8" t="b">
        <v>0</v>
      </c>
      <c r="C62" s="16"/>
      <c r="D62" s="14"/>
      <c r="E62" s="14"/>
      <c r="F62" s="14"/>
      <c r="G62" s="14"/>
      <c r="H62" s="14"/>
    </row>
    <row r="63" ht="22.5" customHeight="1">
      <c r="A63" s="7">
        <v>61.0</v>
      </c>
      <c r="B63" s="8" t="b">
        <v>0</v>
      </c>
      <c r="C63" s="16"/>
      <c r="D63" s="14"/>
      <c r="E63" s="14"/>
      <c r="F63" s="14"/>
      <c r="G63" s="14"/>
      <c r="H63" s="14"/>
    </row>
    <row r="64" ht="22.5" customHeight="1">
      <c r="A64" s="7">
        <v>62.0</v>
      </c>
      <c r="B64" s="8" t="b">
        <v>0</v>
      </c>
      <c r="C64" s="16"/>
      <c r="D64" s="14"/>
      <c r="E64" s="14"/>
      <c r="F64" s="14"/>
      <c r="G64" s="14"/>
      <c r="H64" s="14"/>
    </row>
    <row r="65" ht="22.5" customHeight="1">
      <c r="A65" s="7">
        <v>63.0</v>
      </c>
      <c r="B65" s="8" t="b">
        <v>0</v>
      </c>
      <c r="C65" s="16"/>
      <c r="D65" s="14"/>
      <c r="E65" s="14"/>
      <c r="F65" s="14"/>
      <c r="G65" s="14"/>
      <c r="H65" s="14"/>
    </row>
    <row r="66" ht="22.5" customHeight="1">
      <c r="A66" s="7">
        <v>64.0</v>
      </c>
      <c r="B66" s="8" t="b">
        <v>0</v>
      </c>
      <c r="C66" s="16"/>
      <c r="D66" s="14"/>
      <c r="E66" s="14"/>
      <c r="F66" s="14"/>
      <c r="G66" s="14"/>
      <c r="H66" s="14"/>
    </row>
    <row r="67" ht="22.5" customHeight="1">
      <c r="A67" s="7">
        <v>65.0</v>
      </c>
      <c r="B67" s="8" t="b">
        <v>0</v>
      </c>
      <c r="C67" s="16"/>
      <c r="D67" s="14"/>
      <c r="E67" s="14"/>
      <c r="F67" s="14"/>
      <c r="G67" s="14"/>
      <c r="H67" s="14"/>
    </row>
    <row r="68" ht="22.5" customHeight="1">
      <c r="A68" s="7">
        <v>66.0</v>
      </c>
      <c r="B68" s="8" t="b">
        <v>0</v>
      </c>
      <c r="C68" s="16"/>
      <c r="D68" s="14"/>
      <c r="E68" s="14"/>
      <c r="F68" s="14"/>
      <c r="G68" s="14"/>
      <c r="H68" s="14"/>
    </row>
    <row r="69" ht="22.5" customHeight="1">
      <c r="A69" s="7">
        <v>67.0</v>
      </c>
      <c r="B69" s="8" t="b">
        <v>0</v>
      </c>
      <c r="C69" s="16"/>
      <c r="D69" s="14"/>
      <c r="E69" s="14"/>
      <c r="F69" s="14"/>
      <c r="G69" s="14"/>
      <c r="H69" s="14"/>
    </row>
    <row r="70" ht="22.5" customHeight="1">
      <c r="A70" s="7">
        <v>68.0</v>
      </c>
      <c r="B70" s="8" t="b">
        <v>0</v>
      </c>
      <c r="C70" s="16"/>
      <c r="D70" s="14"/>
      <c r="E70" s="14"/>
      <c r="F70" s="14"/>
      <c r="G70" s="14"/>
      <c r="H70" s="14"/>
    </row>
    <row r="71" ht="22.5" customHeight="1">
      <c r="A71" s="7">
        <v>69.0</v>
      </c>
      <c r="B71" s="8" t="b">
        <v>0</v>
      </c>
      <c r="C71" s="16"/>
      <c r="D71" s="14"/>
      <c r="E71" s="14"/>
      <c r="F71" s="14"/>
      <c r="G71" s="14"/>
      <c r="H71" s="14"/>
    </row>
    <row r="72" ht="22.5" customHeight="1">
      <c r="A72" s="7">
        <v>70.0</v>
      </c>
      <c r="B72" s="8" t="b">
        <v>0</v>
      </c>
      <c r="C72" s="16"/>
      <c r="D72" s="14"/>
      <c r="E72" s="14"/>
      <c r="F72" s="14"/>
      <c r="G72" s="14"/>
      <c r="H72" s="14"/>
    </row>
    <row r="73" ht="22.5" customHeight="1">
      <c r="A73" s="7">
        <v>71.0</v>
      </c>
      <c r="B73" s="8" t="b">
        <v>0</v>
      </c>
      <c r="C73" s="16"/>
      <c r="D73" s="14"/>
      <c r="E73" s="14"/>
      <c r="F73" s="14"/>
      <c r="G73" s="14"/>
      <c r="H73" s="14"/>
    </row>
    <row r="74" ht="22.5" customHeight="1">
      <c r="A74" s="7">
        <v>72.0</v>
      </c>
      <c r="B74" s="8" t="b">
        <v>0</v>
      </c>
      <c r="C74" s="16"/>
      <c r="D74" s="14"/>
      <c r="E74" s="14"/>
      <c r="F74" s="14"/>
      <c r="G74" s="14"/>
      <c r="H74" s="14"/>
    </row>
    <row r="75" ht="22.5" customHeight="1">
      <c r="A75" s="7">
        <v>73.0</v>
      </c>
      <c r="B75" s="8" t="b">
        <v>0</v>
      </c>
      <c r="C75" s="16"/>
      <c r="D75" s="14"/>
      <c r="E75" s="14"/>
      <c r="F75" s="14"/>
      <c r="G75" s="14"/>
      <c r="H75" s="14"/>
    </row>
    <row r="76" ht="22.5" customHeight="1">
      <c r="A76" s="7">
        <v>74.0</v>
      </c>
      <c r="B76" s="8" t="b">
        <v>0</v>
      </c>
      <c r="C76" s="16"/>
      <c r="D76" s="14"/>
      <c r="E76" s="14"/>
      <c r="F76" s="14"/>
      <c r="G76" s="14"/>
      <c r="H76" s="14"/>
    </row>
    <row r="77" ht="22.5" customHeight="1">
      <c r="A77" s="7">
        <v>75.0</v>
      </c>
      <c r="B77" s="8" t="b">
        <v>0</v>
      </c>
      <c r="C77" s="16"/>
      <c r="D77" s="14"/>
      <c r="E77" s="14"/>
      <c r="F77" s="14"/>
      <c r="G77" s="14"/>
      <c r="H77" s="14"/>
    </row>
    <row r="78" ht="22.5" customHeight="1">
      <c r="A78" s="7">
        <v>76.0</v>
      </c>
      <c r="B78" s="8" t="b">
        <v>0</v>
      </c>
      <c r="C78" s="16"/>
      <c r="D78" s="14"/>
      <c r="E78" s="14"/>
      <c r="F78" s="14"/>
      <c r="G78" s="14"/>
      <c r="H78" s="14"/>
    </row>
    <row r="79" ht="22.5" customHeight="1">
      <c r="A79" s="7">
        <v>77.0</v>
      </c>
      <c r="B79" s="8" t="b">
        <v>0</v>
      </c>
      <c r="C79" s="16"/>
      <c r="D79" s="14"/>
      <c r="E79" s="14"/>
      <c r="F79" s="14"/>
      <c r="G79" s="14"/>
      <c r="H79" s="14"/>
    </row>
    <row r="80" ht="22.5" customHeight="1">
      <c r="A80" s="7">
        <v>78.0</v>
      </c>
      <c r="B80" s="8" t="b">
        <v>0</v>
      </c>
      <c r="C80" s="16"/>
      <c r="D80" s="14"/>
      <c r="E80" s="14"/>
      <c r="F80" s="14"/>
      <c r="G80" s="14"/>
      <c r="H80" s="14"/>
    </row>
    <row r="81" ht="22.5" customHeight="1">
      <c r="A81" s="7">
        <v>79.0</v>
      </c>
      <c r="B81" s="8" t="b">
        <v>0</v>
      </c>
      <c r="C81" s="16"/>
      <c r="D81" s="14"/>
      <c r="E81" s="14"/>
      <c r="F81" s="14"/>
      <c r="G81" s="14"/>
      <c r="H81" s="14"/>
    </row>
    <row r="82" ht="22.5" customHeight="1">
      <c r="A82" s="7">
        <v>80.0</v>
      </c>
      <c r="B82" s="8" t="b">
        <v>0</v>
      </c>
      <c r="C82" s="16"/>
      <c r="D82" s="14"/>
      <c r="E82" s="14"/>
      <c r="F82" s="14"/>
      <c r="G82" s="14"/>
      <c r="H82" s="14"/>
    </row>
    <row r="83" ht="22.5" customHeight="1">
      <c r="A83" s="7">
        <v>81.0</v>
      </c>
      <c r="B83" s="8" t="b">
        <v>0</v>
      </c>
      <c r="C83" s="16"/>
      <c r="D83" s="14"/>
      <c r="E83" s="14"/>
      <c r="F83" s="14"/>
      <c r="G83" s="14"/>
      <c r="H83" s="14"/>
    </row>
    <row r="84" ht="22.5" customHeight="1">
      <c r="A84" s="7">
        <v>82.0</v>
      </c>
      <c r="B84" s="8" t="b">
        <v>0</v>
      </c>
      <c r="C84" s="16"/>
      <c r="D84" s="14"/>
      <c r="E84" s="14"/>
      <c r="F84" s="14"/>
      <c r="G84" s="14"/>
      <c r="H84" s="14"/>
    </row>
    <row r="85" ht="22.5" customHeight="1">
      <c r="A85" s="7">
        <v>83.0</v>
      </c>
      <c r="B85" s="8" t="b">
        <v>0</v>
      </c>
      <c r="C85" s="16"/>
      <c r="D85" s="14"/>
      <c r="E85" s="14"/>
      <c r="F85" s="14"/>
      <c r="G85" s="14"/>
      <c r="H85" s="14"/>
    </row>
    <row r="86" ht="22.5" customHeight="1">
      <c r="A86" s="7">
        <v>84.0</v>
      </c>
      <c r="B86" s="8" t="b">
        <v>0</v>
      </c>
      <c r="C86" s="16"/>
      <c r="D86" s="14"/>
      <c r="E86" s="14"/>
      <c r="F86" s="14"/>
      <c r="G86" s="14"/>
      <c r="H86" s="14"/>
    </row>
    <row r="87" ht="22.5" customHeight="1">
      <c r="A87" s="7">
        <v>85.0</v>
      </c>
      <c r="B87" s="8" t="b">
        <v>0</v>
      </c>
      <c r="C87" s="16"/>
      <c r="D87" s="14"/>
      <c r="E87" s="14"/>
      <c r="F87" s="14"/>
      <c r="G87" s="14"/>
      <c r="H87" s="14"/>
    </row>
    <row r="88" ht="22.5" customHeight="1">
      <c r="A88" s="7">
        <v>86.0</v>
      </c>
      <c r="B88" s="8" t="b">
        <v>0</v>
      </c>
      <c r="C88" s="16"/>
      <c r="D88" s="14"/>
      <c r="E88" s="14"/>
      <c r="F88" s="14"/>
      <c r="G88" s="14"/>
      <c r="H88" s="14"/>
    </row>
    <row r="89" ht="22.5" customHeight="1">
      <c r="A89" s="7">
        <v>87.0</v>
      </c>
      <c r="B89" s="8" t="b">
        <v>0</v>
      </c>
      <c r="C89" s="16"/>
      <c r="D89" s="14"/>
      <c r="E89" s="14"/>
      <c r="F89" s="14"/>
      <c r="G89" s="14"/>
      <c r="H89" s="14"/>
    </row>
    <row r="90" ht="22.5" customHeight="1">
      <c r="A90" s="7">
        <v>88.0</v>
      </c>
      <c r="B90" s="8" t="b">
        <v>0</v>
      </c>
      <c r="C90" s="16"/>
      <c r="D90" s="14"/>
      <c r="E90" s="14"/>
      <c r="F90" s="14"/>
      <c r="G90" s="14"/>
      <c r="H90" s="14"/>
    </row>
    <row r="91" ht="22.5" customHeight="1">
      <c r="A91" s="7">
        <v>89.0</v>
      </c>
      <c r="B91" s="8" t="b">
        <v>0</v>
      </c>
      <c r="C91" s="16"/>
      <c r="D91" s="14"/>
      <c r="E91" s="14"/>
      <c r="F91" s="14"/>
      <c r="G91" s="14"/>
      <c r="H91" s="14"/>
    </row>
    <row r="92" ht="22.5" customHeight="1">
      <c r="A92" s="7">
        <v>90.0</v>
      </c>
      <c r="B92" s="8" t="b">
        <v>0</v>
      </c>
      <c r="C92" s="16"/>
      <c r="D92" s="14"/>
      <c r="E92" s="14"/>
      <c r="F92" s="14"/>
      <c r="G92" s="14"/>
      <c r="H92" s="14"/>
    </row>
    <row r="93" ht="22.5" customHeight="1">
      <c r="A93" s="7">
        <v>91.0</v>
      </c>
      <c r="B93" s="8" t="b">
        <v>0</v>
      </c>
      <c r="C93" s="16"/>
      <c r="D93" s="14"/>
      <c r="E93" s="14"/>
      <c r="F93" s="14"/>
      <c r="G93" s="14"/>
      <c r="H93" s="14"/>
    </row>
    <row r="94" ht="22.5" customHeight="1">
      <c r="A94" s="7">
        <v>92.0</v>
      </c>
      <c r="B94" s="8" t="b">
        <v>0</v>
      </c>
      <c r="C94" s="16"/>
      <c r="D94" s="14"/>
      <c r="E94" s="14"/>
      <c r="F94" s="14"/>
      <c r="G94" s="14"/>
      <c r="H94" s="14"/>
    </row>
    <row r="95" ht="22.5" customHeight="1">
      <c r="A95" s="7">
        <v>93.0</v>
      </c>
      <c r="B95" s="8" t="b">
        <v>0</v>
      </c>
      <c r="C95" s="16"/>
      <c r="D95" s="14"/>
      <c r="E95" s="14"/>
      <c r="F95" s="14"/>
      <c r="G95" s="14"/>
      <c r="H95" s="14"/>
    </row>
    <row r="96" ht="22.5" customHeight="1">
      <c r="A96" s="7">
        <v>94.0</v>
      </c>
      <c r="B96" s="8" t="b">
        <v>0</v>
      </c>
      <c r="C96" s="16"/>
      <c r="D96" s="14"/>
      <c r="E96" s="14"/>
      <c r="F96" s="14"/>
      <c r="G96" s="14"/>
      <c r="H96" s="14"/>
    </row>
    <row r="97" ht="22.5" customHeight="1">
      <c r="A97" s="7">
        <v>95.0</v>
      </c>
      <c r="B97" s="8" t="b">
        <v>0</v>
      </c>
      <c r="C97" s="16"/>
      <c r="D97" s="14"/>
      <c r="E97" s="14"/>
      <c r="F97" s="14"/>
      <c r="G97" s="14"/>
      <c r="H97" s="14"/>
    </row>
    <row r="98" ht="22.5" customHeight="1">
      <c r="A98" s="7">
        <v>96.0</v>
      </c>
      <c r="B98" s="8" t="b">
        <v>0</v>
      </c>
      <c r="C98" s="16"/>
      <c r="D98" s="14"/>
      <c r="E98" s="14"/>
      <c r="F98" s="14"/>
      <c r="G98" s="14"/>
      <c r="H98" s="14"/>
    </row>
    <row r="99" ht="22.5" customHeight="1">
      <c r="A99" s="7">
        <v>97.0</v>
      </c>
      <c r="B99" s="8" t="b">
        <v>0</v>
      </c>
      <c r="C99" s="16"/>
      <c r="D99" s="14"/>
      <c r="E99" s="14"/>
      <c r="F99" s="14"/>
      <c r="G99" s="14"/>
      <c r="H99" s="14"/>
    </row>
    <row r="100" ht="22.5" customHeight="1">
      <c r="A100" s="7">
        <v>98.0</v>
      </c>
      <c r="B100" s="8" t="b">
        <v>0</v>
      </c>
      <c r="C100" s="16"/>
      <c r="D100" s="14"/>
      <c r="E100" s="14"/>
      <c r="F100" s="14"/>
      <c r="G100" s="14"/>
      <c r="H100" s="14"/>
    </row>
    <row r="101" ht="22.5" customHeight="1">
      <c r="A101" s="7">
        <v>99.0</v>
      </c>
      <c r="B101" s="8" t="b">
        <v>0</v>
      </c>
      <c r="C101" s="16"/>
      <c r="D101" s="14"/>
      <c r="E101" s="14"/>
      <c r="F101" s="14"/>
      <c r="G101" s="14"/>
      <c r="H101" s="14"/>
    </row>
    <row r="102" ht="22.5" customHeight="1">
      <c r="A102" s="7">
        <v>100.0</v>
      </c>
      <c r="B102" s="8" t="b">
        <v>0</v>
      </c>
      <c r="C102" s="16"/>
      <c r="D102" s="14"/>
      <c r="E102" s="14"/>
      <c r="F102" s="14"/>
      <c r="G102" s="14"/>
      <c r="H102" s="14"/>
    </row>
    <row r="103" ht="22.5" customHeight="1">
      <c r="A103" s="7">
        <v>101.0</v>
      </c>
      <c r="B103" s="8" t="b">
        <v>0</v>
      </c>
      <c r="C103" s="16"/>
      <c r="D103" s="14"/>
      <c r="E103" s="14"/>
      <c r="F103" s="14"/>
      <c r="G103" s="14"/>
      <c r="H103" s="14"/>
    </row>
    <row r="104" ht="22.5" customHeight="1">
      <c r="A104" s="7">
        <v>102.0</v>
      </c>
      <c r="B104" s="8" t="b">
        <v>0</v>
      </c>
      <c r="C104" s="16"/>
      <c r="D104" s="14"/>
      <c r="E104" s="14"/>
      <c r="F104" s="14"/>
      <c r="G104" s="14"/>
      <c r="H104" s="14"/>
    </row>
    <row r="105" ht="22.5" customHeight="1">
      <c r="A105" s="7">
        <v>103.0</v>
      </c>
      <c r="B105" s="8" t="b">
        <v>0</v>
      </c>
      <c r="C105" s="16"/>
      <c r="D105" s="14"/>
      <c r="E105" s="14"/>
      <c r="F105" s="14"/>
      <c r="G105" s="14"/>
      <c r="H105" s="14"/>
    </row>
    <row r="106" ht="22.5" customHeight="1">
      <c r="A106" s="7">
        <v>104.0</v>
      </c>
      <c r="B106" s="8" t="b">
        <v>0</v>
      </c>
      <c r="C106" s="16"/>
      <c r="D106" s="14"/>
      <c r="E106" s="14"/>
      <c r="F106" s="14"/>
      <c r="G106" s="14"/>
      <c r="H106" s="14"/>
    </row>
    <row r="107" ht="22.5" customHeight="1">
      <c r="A107" s="7">
        <v>105.0</v>
      </c>
      <c r="B107" s="8" t="b">
        <v>0</v>
      </c>
      <c r="C107" s="16"/>
      <c r="D107" s="14"/>
      <c r="E107" s="14"/>
      <c r="F107" s="14"/>
      <c r="G107" s="14"/>
      <c r="H107" s="14"/>
    </row>
    <row r="108" ht="22.5" customHeight="1">
      <c r="A108" s="7">
        <v>106.0</v>
      </c>
      <c r="B108" s="8" t="b">
        <v>0</v>
      </c>
      <c r="C108" s="16"/>
      <c r="D108" s="14"/>
      <c r="E108" s="14"/>
      <c r="F108" s="14"/>
      <c r="G108" s="14"/>
      <c r="H108" s="14"/>
    </row>
    <row r="109" ht="22.5" customHeight="1">
      <c r="A109" s="7">
        <v>107.0</v>
      </c>
      <c r="B109" s="8" t="b">
        <v>0</v>
      </c>
      <c r="C109" s="16"/>
      <c r="D109" s="14"/>
      <c r="E109" s="14"/>
      <c r="F109" s="14"/>
      <c r="G109" s="14"/>
      <c r="H109" s="14"/>
    </row>
    <row r="110" ht="22.5" customHeight="1">
      <c r="A110" s="7">
        <v>108.0</v>
      </c>
      <c r="B110" s="8" t="b">
        <v>0</v>
      </c>
      <c r="C110" s="16"/>
      <c r="D110" s="14"/>
      <c r="E110" s="14"/>
      <c r="F110" s="14"/>
      <c r="G110" s="14"/>
      <c r="H110" s="14"/>
    </row>
    <row r="111" ht="22.5" customHeight="1">
      <c r="A111" s="7">
        <v>109.0</v>
      </c>
      <c r="B111" s="8" t="b">
        <v>0</v>
      </c>
      <c r="C111" s="16"/>
      <c r="D111" s="14"/>
      <c r="E111" s="14"/>
      <c r="F111" s="14"/>
      <c r="G111" s="14"/>
      <c r="H111" s="14"/>
    </row>
    <row r="112" ht="22.5" customHeight="1">
      <c r="A112" s="7">
        <v>110.0</v>
      </c>
      <c r="B112" s="8" t="b">
        <v>0</v>
      </c>
      <c r="C112" s="16"/>
      <c r="D112" s="14"/>
      <c r="E112" s="14"/>
      <c r="F112" s="14"/>
      <c r="G112" s="14"/>
      <c r="H112" s="14"/>
    </row>
    <row r="113" ht="22.5" customHeight="1">
      <c r="A113" s="7">
        <v>111.0</v>
      </c>
      <c r="B113" s="8" t="b">
        <v>0</v>
      </c>
      <c r="C113" s="16"/>
      <c r="D113" s="14"/>
      <c r="E113" s="14"/>
      <c r="F113" s="14"/>
      <c r="G113" s="14"/>
      <c r="H113" s="14"/>
    </row>
    <row r="114" ht="22.5" customHeight="1">
      <c r="A114" s="7">
        <v>112.0</v>
      </c>
      <c r="B114" s="8" t="b">
        <v>0</v>
      </c>
      <c r="C114" s="16"/>
      <c r="D114" s="14"/>
      <c r="E114" s="14"/>
      <c r="F114" s="14"/>
      <c r="G114" s="14"/>
      <c r="H114" s="14"/>
    </row>
    <row r="115" ht="22.5" customHeight="1">
      <c r="A115" s="7">
        <v>113.0</v>
      </c>
      <c r="B115" s="8" t="b">
        <v>0</v>
      </c>
      <c r="C115" s="16"/>
      <c r="D115" s="14"/>
      <c r="E115" s="14"/>
      <c r="F115" s="14"/>
      <c r="G115" s="14"/>
      <c r="H115" s="14"/>
    </row>
    <row r="116" ht="22.5" customHeight="1">
      <c r="A116" s="7">
        <v>114.0</v>
      </c>
      <c r="B116" s="8" t="b">
        <v>0</v>
      </c>
      <c r="C116" s="16"/>
      <c r="D116" s="14"/>
      <c r="E116" s="14"/>
      <c r="F116" s="14"/>
      <c r="G116" s="14"/>
      <c r="H116" s="14"/>
    </row>
    <row r="117" ht="22.5" customHeight="1">
      <c r="A117" s="7">
        <v>115.0</v>
      </c>
      <c r="B117" s="8" t="b">
        <v>0</v>
      </c>
      <c r="C117" s="16"/>
      <c r="D117" s="14"/>
      <c r="E117" s="14"/>
      <c r="F117" s="14"/>
      <c r="G117" s="14"/>
      <c r="H117" s="14"/>
    </row>
    <row r="118" ht="22.5" customHeight="1">
      <c r="A118" s="7">
        <v>116.0</v>
      </c>
      <c r="B118" s="8" t="b">
        <v>0</v>
      </c>
      <c r="C118" s="16"/>
      <c r="D118" s="14"/>
      <c r="E118" s="14"/>
      <c r="F118" s="14"/>
      <c r="G118" s="14"/>
      <c r="H118" s="14"/>
    </row>
    <row r="119" ht="22.5" customHeight="1">
      <c r="A119" s="7">
        <v>117.0</v>
      </c>
      <c r="B119" s="8" t="b">
        <v>0</v>
      </c>
      <c r="C119" s="16"/>
      <c r="D119" s="14"/>
      <c r="E119" s="14"/>
      <c r="F119" s="14"/>
      <c r="G119" s="14"/>
      <c r="H119" s="14"/>
    </row>
    <row r="120" ht="22.5" customHeight="1">
      <c r="A120" s="7">
        <v>118.0</v>
      </c>
      <c r="B120" s="8" t="b">
        <v>0</v>
      </c>
      <c r="C120" s="16"/>
      <c r="D120" s="14"/>
      <c r="E120" s="14"/>
      <c r="F120" s="14"/>
      <c r="G120" s="14"/>
      <c r="H120" s="14"/>
    </row>
    <row r="121" ht="22.5" customHeight="1">
      <c r="A121" s="7">
        <v>119.0</v>
      </c>
      <c r="B121" s="8" t="b">
        <v>0</v>
      </c>
      <c r="C121" s="16"/>
      <c r="D121" s="14"/>
      <c r="E121" s="14"/>
      <c r="F121" s="14"/>
      <c r="G121" s="14"/>
      <c r="H121" s="14"/>
    </row>
    <row r="122" ht="22.5" customHeight="1">
      <c r="A122" s="7">
        <v>120.0</v>
      </c>
      <c r="B122" s="8" t="b">
        <v>0</v>
      </c>
      <c r="C122" s="16"/>
      <c r="D122" s="14"/>
      <c r="E122" s="14"/>
      <c r="F122" s="14"/>
      <c r="G122" s="14"/>
      <c r="H122" s="14"/>
    </row>
    <row r="123" ht="22.5" customHeight="1">
      <c r="A123" s="7">
        <v>121.0</v>
      </c>
      <c r="B123" s="8" t="b">
        <v>0</v>
      </c>
      <c r="C123" s="16"/>
      <c r="D123" s="14"/>
      <c r="E123" s="14"/>
      <c r="F123" s="14"/>
      <c r="G123" s="14"/>
      <c r="H123" s="14"/>
    </row>
    <row r="124" ht="22.5" customHeight="1">
      <c r="A124" s="7">
        <v>122.0</v>
      </c>
      <c r="B124" s="8" t="b">
        <v>0</v>
      </c>
      <c r="C124" s="16"/>
      <c r="D124" s="14"/>
      <c r="E124" s="14"/>
      <c r="F124" s="14"/>
      <c r="G124" s="14"/>
      <c r="H124" s="14"/>
    </row>
    <row r="125" ht="22.5" customHeight="1">
      <c r="A125" s="7">
        <v>123.0</v>
      </c>
      <c r="B125" s="8" t="b">
        <v>0</v>
      </c>
      <c r="C125" s="16"/>
      <c r="D125" s="14"/>
      <c r="E125" s="14"/>
      <c r="F125" s="14"/>
      <c r="G125" s="14"/>
      <c r="H125" s="14"/>
    </row>
    <row r="126" ht="22.5" customHeight="1">
      <c r="A126" s="7">
        <v>124.0</v>
      </c>
      <c r="B126" s="8" t="b">
        <v>0</v>
      </c>
      <c r="C126" s="16"/>
      <c r="D126" s="14"/>
      <c r="E126" s="14"/>
      <c r="F126" s="14"/>
      <c r="G126" s="14"/>
      <c r="H126" s="14"/>
    </row>
    <row r="127" ht="22.5" customHeight="1">
      <c r="A127" s="7">
        <v>125.0</v>
      </c>
      <c r="B127" s="8" t="b">
        <v>0</v>
      </c>
      <c r="C127" s="16"/>
      <c r="D127" s="14"/>
      <c r="E127" s="14"/>
      <c r="F127" s="14"/>
      <c r="G127" s="14"/>
      <c r="H127" s="14"/>
    </row>
    <row r="128" ht="22.5" customHeight="1">
      <c r="A128" s="7">
        <v>126.0</v>
      </c>
      <c r="B128" s="8" t="b">
        <v>0</v>
      </c>
      <c r="C128" s="16"/>
      <c r="D128" s="14"/>
      <c r="E128" s="14"/>
      <c r="F128" s="14"/>
      <c r="G128" s="14"/>
      <c r="H128" s="14"/>
    </row>
    <row r="129" ht="22.5" customHeight="1">
      <c r="A129" s="7">
        <v>127.0</v>
      </c>
      <c r="B129" s="8" t="b">
        <v>0</v>
      </c>
      <c r="C129" s="16"/>
      <c r="D129" s="14"/>
      <c r="E129" s="14"/>
      <c r="F129" s="14"/>
      <c r="G129" s="14"/>
      <c r="H129" s="14"/>
    </row>
    <row r="130" ht="22.5" customHeight="1">
      <c r="A130" s="7">
        <v>128.0</v>
      </c>
      <c r="B130" s="8" t="b">
        <v>0</v>
      </c>
      <c r="C130" s="16"/>
      <c r="D130" s="14"/>
      <c r="E130" s="14"/>
      <c r="F130" s="14"/>
      <c r="G130" s="14"/>
      <c r="H130" s="14"/>
    </row>
    <row r="131" ht="22.5" customHeight="1">
      <c r="A131" s="7">
        <v>129.0</v>
      </c>
      <c r="B131" s="8" t="b">
        <v>0</v>
      </c>
      <c r="C131" s="16"/>
      <c r="D131" s="14"/>
      <c r="E131" s="14"/>
      <c r="F131" s="14"/>
      <c r="G131" s="14"/>
      <c r="H131" s="14"/>
    </row>
    <row r="132" ht="22.5" customHeight="1">
      <c r="A132" s="7">
        <v>130.0</v>
      </c>
      <c r="B132" s="8" t="b">
        <v>0</v>
      </c>
      <c r="C132" s="16"/>
      <c r="D132" s="14"/>
      <c r="E132" s="14"/>
      <c r="F132" s="14"/>
      <c r="G132" s="14"/>
      <c r="H132" s="14"/>
    </row>
    <row r="133" ht="22.5" customHeight="1">
      <c r="A133" s="7">
        <v>131.0</v>
      </c>
      <c r="B133" s="8" t="b">
        <v>0</v>
      </c>
      <c r="C133" s="16"/>
      <c r="D133" s="14"/>
      <c r="E133" s="14"/>
      <c r="F133" s="14"/>
      <c r="G133" s="14"/>
      <c r="H133" s="14"/>
    </row>
    <row r="134" ht="22.5" customHeight="1">
      <c r="A134" s="7">
        <v>132.0</v>
      </c>
      <c r="B134" s="8" t="b">
        <v>0</v>
      </c>
      <c r="C134" s="16"/>
      <c r="D134" s="14"/>
      <c r="E134" s="14"/>
      <c r="F134" s="14"/>
      <c r="G134" s="14"/>
      <c r="H134" s="14"/>
    </row>
    <row r="135" ht="22.5" customHeight="1">
      <c r="A135" s="7">
        <v>133.0</v>
      </c>
      <c r="B135" s="8" t="b">
        <v>0</v>
      </c>
      <c r="C135" s="16"/>
      <c r="D135" s="14"/>
      <c r="E135" s="14"/>
      <c r="F135" s="14"/>
      <c r="G135" s="14"/>
      <c r="H135" s="14"/>
    </row>
    <row r="136" ht="22.5" customHeight="1">
      <c r="A136" s="7">
        <v>134.0</v>
      </c>
      <c r="B136" s="8" t="b">
        <v>0</v>
      </c>
      <c r="C136" s="16"/>
      <c r="D136" s="14"/>
      <c r="E136" s="14"/>
      <c r="F136" s="14"/>
      <c r="G136" s="14"/>
      <c r="H136" s="14"/>
    </row>
    <row r="137" ht="22.5" customHeight="1">
      <c r="A137" s="7">
        <v>135.0</v>
      </c>
      <c r="B137" s="8" t="b">
        <v>0</v>
      </c>
      <c r="C137" s="16"/>
      <c r="D137" s="14"/>
      <c r="E137" s="14"/>
      <c r="F137" s="14"/>
      <c r="G137" s="14"/>
      <c r="H137" s="14"/>
    </row>
    <row r="138" ht="22.5" customHeight="1">
      <c r="A138" s="7">
        <v>136.0</v>
      </c>
      <c r="B138" s="8" t="b">
        <v>0</v>
      </c>
      <c r="C138" s="16"/>
      <c r="D138" s="14"/>
      <c r="E138" s="14"/>
      <c r="F138" s="14"/>
      <c r="G138" s="14"/>
      <c r="H138" s="14"/>
    </row>
    <row r="139" ht="22.5" customHeight="1">
      <c r="A139" s="7">
        <v>137.0</v>
      </c>
      <c r="B139" s="8" t="b">
        <v>0</v>
      </c>
      <c r="C139" s="16"/>
      <c r="D139" s="14"/>
      <c r="E139" s="14"/>
      <c r="F139" s="14"/>
      <c r="G139" s="14"/>
      <c r="H139" s="14"/>
    </row>
    <row r="140" ht="22.5" customHeight="1">
      <c r="A140" s="7">
        <v>138.0</v>
      </c>
      <c r="B140" s="8" t="b">
        <v>0</v>
      </c>
      <c r="C140" s="16"/>
      <c r="D140" s="14"/>
      <c r="E140" s="14"/>
      <c r="F140" s="14"/>
      <c r="G140" s="14"/>
      <c r="H140" s="14"/>
    </row>
    <row r="141" ht="22.5" customHeight="1">
      <c r="A141" s="7">
        <v>139.0</v>
      </c>
      <c r="B141" s="8" t="b">
        <v>0</v>
      </c>
      <c r="C141" s="16"/>
      <c r="D141" s="14"/>
      <c r="E141" s="14"/>
      <c r="F141" s="14"/>
      <c r="G141" s="14"/>
      <c r="H141" s="14"/>
    </row>
    <row r="142" ht="22.5" customHeight="1">
      <c r="A142" s="7">
        <v>140.0</v>
      </c>
      <c r="B142" s="8" t="b">
        <v>0</v>
      </c>
      <c r="C142" s="16"/>
      <c r="D142" s="14"/>
      <c r="E142" s="14"/>
      <c r="F142" s="14"/>
      <c r="G142" s="14"/>
      <c r="H142" s="14"/>
    </row>
    <row r="143" ht="22.5" customHeight="1">
      <c r="A143" s="7">
        <v>141.0</v>
      </c>
      <c r="B143" s="8" t="b">
        <v>0</v>
      </c>
      <c r="C143" s="16"/>
      <c r="D143" s="14"/>
      <c r="E143" s="14"/>
      <c r="F143" s="14"/>
      <c r="G143" s="14"/>
      <c r="H143" s="14"/>
    </row>
    <row r="144" ht="22.5" customHeight="1">
      <c r="A144" s="7">
        <v>142.0</v>
      </c>
      <c r="B144" s="8" t="b">
        <v>0</v>
      </c>
      <c r="C144" s="16"/>
      <c r="D144" s="14"/>
      <c r="E144" s="14"/>
      <c r="F144" s="14"/>
      <c r="G144" s="14"/>
      <c r="H144" s="14"/>
    </row>
    <row r="145" ht="22.5" customHeight="1">
      <c r="A145" s="7">
        <v>143.0</v>
      </c>
      <c r="B145" s="8" t="b">
        <v>0</v>
      </c>
      <c r="C145" s="16"/>
      <c r="D145" s="14"/>
      <c r="E145" s="14"/>
      <c r="F145" s="14"/>
      <c r="G145" s="14"/>
      <c r="H145" s="14"/>
    </row>
    <row r="146" ht="22.5" customHeight="1">
      <c r="A146" s="7">
        <v>144.0</v>
      </c>
      <c r="B146" s="8" t="b">
        <v>0</v>
      </c>
      <c r="C146" s="16"/>
      <c r="D146" s="14"/>
      <c r="E146" s="14"/>
      <c r="F146" s="14"/>
      <c r="G146" s="14"/>
      <c r="H146" s="14"/>
    </row>
    <row r="147" ht="22.5" customHeight="1">
      <c r="A147" s="7">
        <v>145.0</v>
      </c>
      <c r="B147" s="8" t="b">
        <v>0</v>
      </c>
      <c r="C147" s="16"/>
      <c r="D147" s="14"/>
      <c r="E147" s="14"/>
      <c r="F147" s="14"/>
      <c r="G147" s="14"/>
      <c r="H147" s="14"/>
    </row>
    <row r="148" ht="22.5" customHeight="1">
      <c r="A148" s="7">
        <v>146.0</v>
      </c>
      <c r="B148" s="8" t="b">
        <v>0</v>
      </c>
      <c r="C148" s="16"/>
      <c r="D148" s="14"/>
      <c r="E148" s="14"/>
      <c r="F148" s="14"/>
      <c r="G148" s="14"/>
      <c r="H148" s="14"/>
    </row>
    <row r="149" ht="22.5" customHeight="1">
      <c r="A149" s="7">
        <v>147.0</v>
      </c>
      <c r="B149" s="8" t="b">
        <v>0</v>
      </c>
      <c r="C149" s="16"/>
      <c r="D149" s="14"/>
      <c r="E149" s="14"/>
      <c r="F149" s="14"/>
      <c r="G149" s="14"/>
      <c r="H149" s="14"/>
    </row>
    <row r="150" ht="22.5" customHeight="1">
      <c r="A150" s="7">
        <v>148.0</v>
      </c>
      <c r="B150" s="8" t="b">
        <v>0</v>
      </c>
      <c r="C150" s="16"/>
      <c r="D150" s="14"/>
      <c r="E150" s="14"/>
      <c r="F150" s="14"/>
      <c r="G150" s="14"/>
      <c r="H150" s="14"/>
    </row>
    <row r="151" ht="22.5" customHeight="1">
      <c r="A151" s="7">
        <v>149.0</v>
      </c>
      <c r="B151" s="8" t="b">
        <v>0</v>
      </c>
      <c r="C151" s="16"/>
      <c r="D151" s="14"/>
      <c r="E151" s="14"/>
      <c r="F151" s="14"/>
      <c r="G151" s="14"/>
      <c r="H151" s="14"/>
    </row>
    <row r="152" ht="22.5" customHeight="1">
      <c r="A152" s="7">
        <v>150.0</v>
      </c>
      <c r="B152" s="8" t="b">
        <v>0</v>
      </c>
      <c r="C152" s="16"/>
      <c r="D152" s="14"/>
      <c r="E152" s="14"/>
      <c r="F152" s="14"/>
      <c r="G152" s="14"/>
      <c r="H152" s="14"/>
    </row>
    <row r="153" ht="22.5" customHeight="1">
      <c r="A153" s="7">
        <v>151.0</v>
      </c>
      <c r="B153" s="8" t="b">
        <v>0</v>
      </c>
      <c r="C153" s="16"/>
      <c r="D153" s="14"/>
      <c r="E153" s="14"/>
      <c r="F153" s="14"/>
      <c r="G153" s="14"/>
      <c r="H153" s="14"/>
    </row>
    <row r="154" ht="22.5" customHeight="1">
      <c r="A154" s="7">
        <v>152.0</v>
      </c>
      <c r="B154" s="8" t="b">
        <v>0</v>
      </c>
      <c r="C154" s="16"/>
      <c r="D154" s="14"/>
      <c r="E154" s="14"/>
      <c r="F154" s="14"/>
      <c r="G154" s="14"/>
      <c r="H154" s="14"/>
    </row>
    <row r="155" ht="22.5" customHeight="1">
      <c r="A155" s="7">
        <v>153.0</v>
      </c>
      <c r="B155" s="8" t="b">
        <v>0</v>
      </c>
      <c r="C155" s="16"/>
      <c r="D155" s="14"/>
      <c r="E155" s="14"/>
      <c r="F155" s="14"/>
      <c r="G155" s="14"/>
      <c r="H155" s="14"/>
    </row>
    <row r="156" ht="22.5" customHeight="1">
      <c r="A156" s="7">
        <v>154.0</v>
      </c>
      <c r="B156" s="8" t="b">
        <v>0</v>
      </c>
      <c r="C156" s="16"/>
      <c r="D156" s="14"/>
      <c r="E156" s="14"/>
      <c r="F156" s="14"/>
      <c r="G156" s="14"/>
      <c r="H156" s="14"/>
    </row>
    <row r="157" ht="22.5" customHeight="1">
      <c r="A157" s="7">
        <v>155.0</v>
      </c>
      <c r="B157" s="8" t="b">
        <v>0</v>
      </c>
      <c r="C157" s="16"/>
      <c r="D157" s="14"/>
      <c r="E157" s="14"/>
      <c r="F157" s="14"/>
      <c r="G157" s="14"/>
      <c r="H157" s="14"/>
    </row>
    <row r="158" ht="22.5" customHeight="1">
      <c r="A158" s="7">
        <v>156.0</v>
      </c>
      <c r="B158" s="8" t="b">
        <v>0</v>
      </c>
      <c r="C158" s="16"/>
      <c r="D158" s="14"/>
      <c r="E158" s="14"/>
      <c r="F158" s="14"/>
      <c r="G158" s="14"/>
      <c r="H158" s="14"/>
    </row>
    <row r="159" ht="22.5" customHeight="1">
      <c r="A159" s="7">
        <v>157.0</v>
      </c>
      <c r="B159" s="8" t="b">
        <v>0</v>
      </c>
      <c r="C159" s="16"/>
      <c r="D159" s="14"/>
      <c r="E159" s="14"/>
      <c r="F159" s="14"/>
      <c r="G159" s="14"/>
      <c r="H159" s="14"/>
    </row>
    <row r="160" ht="22.5" customHeight="1">
      <c r="A160" s="7">
        <v>158.0</v>
      </c>
      <c r="B160" s="8" t="b">
        <v>0</v>
      </c>
      <c r="C160" s="16"/>
      <c r="D160" s="14"/>
      <c r="E160" s="14"/>
      <c r="F160" s="14"/>
      <c r="G160" s="14"/>
      <c r="H160" s="14"/>
    </row>
    <row r="161" ht="22.5" customHeight="1">
      <c r="A161" s="7">
        <v>159.0</v>
      </c>
      <c r="B161" s="8" t="b">
        <v>0</v>
      </c>
      <c r="C161" s="16"/>
      <c r="D161" s="14"/>
      <c r="E161" s="14"/>
      <c r="F161" s="14"/>
      <c r="G161" s="14"/>
      <c r="H161" s="14"/>
    </row>
    <row r="162" ht="22.5" customHeight="1">
      <c r="A162" s="7">
        <v>160.0</v>
      </c>
      <c r="B162" s="8" t="b">
        <v>0</v>
      </c>
      <c r="C162" s="16"/>
      <c r="D162" s="14"/>
      <c r="E162" s="14"/>
      <c r="F162" s="14"/>
      <c r="G162" s="14"/>
      <c r="H162" s="14"/>
    </row>
    <row r="163" ht="22.5" customHeight="1">
      <c r="A163" s="7">
        <v>161.0</v>
      </c>
      <c r="B163" s="8" t="b">
        <v>0</v>
      </c>
      <c r="C163" s="16"/>
      <c r="D163" s="14"/>
      <c r="E163" s="14"/>
      <c r="F163" s="14"/>
      <c r="G163" s="14"/>
      <c r="H163" s="14"/>
    </row>
    <row r="164" ht="22.5" customHeight="1">
      <c r="A164" s="7">
        <v>162.0</v>
      </c>
      <c r="B164" s="8" t="b">
        <v>0</v>
      </c>
      <c r="C164" s="16"/>
      <c r="D164" s="14"/>
      <c r="E164" s="14"/>
      <c r="F164" s="14"/>
      <c r="G164" s="14"/>
      <c r="H164" s="14"/>
    </row>
    <row r="165" ht="22.5" customHeight="1">
      <c r="A165" s="7">
        <v>163.0</v>
      </c>
      <c r="B165" s="8" t="b">
        <v>0</v>
      </c>
      <c r="C165" s="16"/>
      <c r="D165" s="14"/>
      <c r="E165" s="14"/>
      <c r="F165" s="14"/>
      <c r="G165" s="14"/>
      <c r="H165" s="14"/>
    </row>
    <row r="166" ht="22.5" customHeight="1">
      <c r="A166" s="7">
        <v>164.0</v>
      </c>
      <c r="B166" s="8" t="b">
        <v>0</v>
      </c>
      <c r="C166" s="16"/>
      <c r="D166" s="14"/>
      <c r="E166" s="14"/>
      <c r="F166" s="14"/>
      <c r="G166" s="14"/>
      <c r="H166" s="14"/>
    </row>
    <row r="167" ht="22.5" customHeight="1">
      <c r="A167" s="7">
        <v>165.0</v>
      </c>
      <c r="B167" s="8" t="b">
        <v>0</v>
      </c>
      <c r="C167" s="16"/>
      <c r="D167" s="14"/>
      <c r="E167" s="14"/>
      <c r="F167" s="14"/>
      <c r="G167" s="14"/>
      <c r="H167" s="14"/>
    </row>
    <row r="168" ht="22.5" customHeight="1">
      <c r="A168" s="7">
        <v>166.0</v>
      </c>
      <c r="B168" s="8" t="b">
        <v>0</v>
      </c>
      <c r="C168" s="16"/>
      <c r="D168" s="14"/>
      <c r="E168" s="14"/>
      <c r="F168" s="14"/>
      <c r="G168" s="14"/>
      <c r="H168" s="14"/>
    </row>
    <row r="169" ht="22.5" customHeight="1">
      <c r="A169" s="7">
        <v>167.0</v>
      </c>
      <c r="B169" s="8" t="b">
        <v>0</v>
      </c>
      <c r="C169" s="16"/>
      <c r="D169" s="14"/>
      <c r="E169" s="14"/>
      <c r="F169" s="14"/>
      <c r="G169" s="14"/>
      <c r="H169" s="14"/>
    </row>
    <row r="170" ht="22.5" customHeight="1">
      <c r="A170" s="7">
        <v>168.0</v>
      </c>
      <c r="B170" s="8" t="b">
        <v>0</v>
      </c>
      <c r="C170" s="16"/>
      <c r="D170" s="14"/>
      <c r="E170" s="14"/>
      <c r="F170" s="14"/>
      <c r="G170" s="14"/>
      <c r="H170" s="14"/>
    </row>
    <row r="171" ht="22.5" customHeight="1">
      <c r="A171" s="7">
        <v>169.0</v>
      </c>
      <c r="B171" s="8" t="b">
        <v>0</v>
      </c>
      <c r="C171" s="16"/>
      <c r="D171" s="14"/>
      <c r="E171" s="14"/>
      <c r="F171" s="14"/>
      <c r="G171" s="14"/>
      <c r="H171" s="14"/>
    </row>
    <row r="172" ht="22.5" customHeight="1">
      <c r="A172" s="7">
        <v>170.0</v>
      </c>
      <c r="B172" s="8" t="b">
        <v>0</v>
      </c>
      <c r="C172" s="16"/>
      <c r="D172" s="14"/>
      <c r="E172" s="14"/>
      <c r="F172" s="14"/>
      <c r="G172" s="14"/>
      <c r="H172" s="14"/>
    </row>
    <row r="173" ht="22.5" customHeight="1">
      <c r="A173" s="7">
        <v>171.0</v>
      </c>
      <c r="B173" s="8" t="b">
        <v>0</v>
      </c>
      <c r="C173" s="16"/>
      <c r="D173" s="14"/>
      <c r="E173" s="14"/>
      <c r="F173" s="14"/>
      <c r="G173" s="14"/>
      <c r="H173" s="14"/>
    </row>
    <row r="174" ht="22.5" customHeight="1">
      <c r="A174" s="7">
        <v>172.0</v>
      </c>
      <c r="B174" s="8" t="b">
        <v>0</v>
      </c>
      <c r="C174" s="16"/>
      <c r="D174" s="14"/>
      <c r="E174" s="14"/>
      <c r="F174" s="14"/>
      <c r="G174" s="14"/>
      <c r="H174" s="14"/>
    </row>
    <row r="175" ht="22.5" customHeight="1">
      <c r="A175" s="7">
        <v>173.0</v>
      </c>
      <c r="B175" s="8" t="b">
        <v>0</v>
      </c>
      <c r="C175" s="16"/>
      <c r="D175" s="14"/>
      <c r="E175" s="14"/>
      <c r="F175" s="14"/>
      <c r="G175" s="14"/>
      <c r="H175" s="14"/>
    </row>
    <row r="176" ht="22.5" customHeight="1">
      <c r="A176" s="7">
        <v>174.0</v>
      </c>
      <c r="B176" s="8" t="b">
        <v>0</v>
      </c>
      <c r="C176" s="16"/>
      <c r="D176" s="14"/>
      <c r="E176" s="14"/>
      <c r="F176" s="14"/>
      <c r="G176" s="14"/>
      <c r="H176" s="14"/>
    </row>
    <row r="177" ht="22.5" customHeight="1">
      <c r="A177" s="7">
        <v>175.0</v>
      </c>
      <c r="B177" s="8" t="b">
        <v>0</v>
      </c>
      <c r="C177" s="16"/>
      <c r="D177" s="14"/>
      <c r="E177" s="14"/>
      <c r="F177" s="14"/>
      <c r="G177" s="14"/>
      <c r="H177" s="14"/>
    </row>
    <row r="178" ht="22.5" customHeight="1">
      <c r="A178" s="7">
        <v>176.0</v>
      </c>
      <c r="B178" s="8" t="b">
        <v>0</v>
      </c>
      <c r="C178" s="16"/>
      <c r="D178" s="14"/>
      <c r="E178" s="14"/>
      <c r="F178" s="14"/>
      <c r="G178" s="14"/>
      <c r="H178" s="14"/>
    </row>
    <row r="179" ht="22.5" customHeight="1">
      <c r="A179" s="7">
        <v>177.0</v>
      </c>
      <c r="B179" s="8" t="b">
        <v>0</v>
      </c>
      <c r="C179" s="16"/>
      <c r="D179" s="14"/>
      <c r="E179" s="14"/>
      <c r="F179" s="14"/>
      <c r="G179" s="14"/>
      <c r="H179" s="14"/>
    </row>
    <row r="180" ht="22.5" customHeight="1">
      <c r="A180" s="7">
        <v>178.0</v>
      </c>
      <c r="B180" s="8" t="b">
        <v>0</v>
      </c>
      <c r="C180" s="16"/>
      <c r="D180" s="14"/>
      <c r="E180" s="14"/>
      <c r="F180" s="14"/>
      <c r="G180" s="14"/>
      <c r="H180" s="14"/>
    </row>
    <row r="181" ht="22.5" customHeight="1">
      <c r="A181" s="7">
        <v>179.0</v>
      </c>
      <c r="B181" s="8" t="b">
        <v>0</v>
      </c>
      <c r="C181" s="16"/>
      <c r="D181" s="14"/>
      <c r="E181" s="14"/>
      <c r="F181" s="14"/>
      <c r="G181" s="14"/>
      <c r="H181" s="14"/>
    </row>
    <row r="182" ht="22.5" customHeight="1">
      <c r="A182" s="7">
        <v>180.0</v>
      </c>
      <c r="B182" s="8" t="b">
        <v>0</v>
      </c>
      <c r="C182" s="16"/>
      <c r="D182" s="14"/>
      <c r="E182" s="14"/>
      <c r="F182" s="14"/>
      <c r="G182" s="14"/>
      <c r="H182" s="14"/>
    </row>
    <row r="183" ht="22.5" customHeight="1">
      <c r="A183" s="7">
        <v>181.0</v>
      </c>
      <c r="B183" s="8" t="b">
        <v>0</v>
      </c>
      <c r="C183" s="16"/>
      <c r="D183" s="14"/>
      <c r="E183" s="14"/>
      <c r="F183" s="14"/>
      <c r="G183" s="14"/>
      <c r="H183" s="14"/>
    </row>
    <row r="184" ht="22.5" customHeight="1">
      <c r="A184" s="7">
        <v>182.0</v>
      </c>
      <c r="B184" s="8" t="b">
        <v>0</v>
      </c>
      <c r="C184" s="16"/>
      <c r="D184" s="14"/>
      <c r="E184" s="14"/>
      <c r="F184" s="14"/>
      <c r="G184" s="14"/>
      <c r="H184" s="14"/>
    </row>
    <row r="185" ht="22.5" customHeight="1">
      <c r="A185" s="7">
        <v>183.0</v>
      </c>
      <c r="B185" s="8" t="b">
        <v>0</v>
      </c>
      <c r="C185" s="16"/>
      <c r="D185" s="14"/>
      <c r="E185" s="14"/>
      <c r="F185" s="14"/>
      <c r="G185" s="14"/>
      <c r="H185" s="14"/>
    </row>
    <row r="186" ht="22.5" customHeight="1">
      <c r="A186" s="7">
        <v>184.0</v>
      </c>
      <c r="B186" s="8" t="b">
        <v>0</v>
      </c>
      <c r="C186" s="16"/>
      <c r="D186" s="14"/>
      <c r="E186" s="14"/>
      <c r="F186" s="14"/>
      <c r="G186" s="14"/>
      <c r="H186" s="14"/>
    </row>
    <row r="187" ht="22.5" customHeight="1">
      <c r="A187" s="7">
        <v>185.0</v>
      </c>
      <c r="B187" s="8" t="b">
        <v>0</v>
      </c>
      <c r="C187" s="16"/>
      <c r="D187" s="14"/>
      <c r="E187" s="14"/>
      <c r="F187" s="14"/>
      <c r="G187" s="14"/>
      <c r="H187" s="14"/>
    </row>
    <row r="188" ht="22.5" customHeight="1">
      <c r="A188" s="7">
        <v>186.0</v>
      </c>
      <c r="B188" s="8" t="b">
        <v>0</v>
      </c>
      <c r="C188" s="16"/>
      <c r="D188" s="14"/>
      <c r="E188" s="14"/>
      <c r="F188" s="14"/>
      <c r="G188" s="14"/>
      <c r="H188" s="14"/>
    </row>
    <row r="189" ht="22.5" customHeight="1">
      <c r="A189" s="7">
        <v>187.0</v>
      </c>
      <c r="B189" s="8" t="b">
        <v>0</v>
      </c>
      <c r="C189" s="16"/>
      <c r="D189" s="14"/>
      <c r="E189" s="14"/>
      <c r="F189" s="14"/>
      <c r="G189" s="14"/>
      <c r="H189" s="14"/>
    </row>
    <row r="190" ht="22.5" customHeight="1">
      <c r="A190" s="7">
        <v>188.0</v>
      </c>
      <c r="B190" s="8" t="b">
        <v>0</v>
      </c>
      <c r="C190" s="16"/>
      <c r="D190" s="14"/>
      <c r="E190" s="14"/>
      <c r="F190" s="14"/>
      <c r="G190" s="14"/>
      <c r="H190" s="14"/>
    </row>
    <row r="191" ht="22.5" customHeight="1">
      <c r="A191" s="7">
        <v>189.0</v>
      </c>
      <c r="B191" s="8" t="b">
        <v>0</v>
      </c>
      <c r="C191" s="16"/>
      <c r="D191" s="14"/>
      <c r="E191" s="14"/>
      <c r="F191" s="14"/>
      <c r="G191" s="14"/>
      <c r="H191" s="14"/>
    </row>
    <row r="192" ht="22.5" customHeight="1">
      <c r="A192" s="7">
        <v>190.0</v>
      </c>
      <c r="B192" s="8" t="b">
        <v>0</v>
      </c>
      <c r="C192" s="16"/>
      <c r="D192" s="14"/>
      <c r="E192" s="14"/>
      <c r="F192" s="14"/>
      <c r="G192" s="14"/>
      <c r="H192" s="14"/>
    </row>
    <row r="193" ht="22.5" customHeight="1">
      <c r="A193" s="7">
        <v>191.0</v>
      </c>
      <c r="B193" s="8" t="b">
        <v>0</v>
      </c>
      <c r="C193" s="16"/>
      <c r="D193" s="14"/>
      <c r="E193" s="14"/>
      <c r="F193" s="14"/>
      <c r="G193" s="14"/>
      <c r="H193" s="14"/>
    </row>
    <row r="194" ht="22.5" customHeight="1">
      <c r="A194" s="7">
        <v>192.0</v>
      </c>
      <c r="B194" s="8" t="b">
        <v>0</v>
      </c>
      <c r="C194" s="16"/>
      <c r="D194" s="14"/>
      <c r="E194" s="14"/>
      <c r="F194" s="14"/>
      <c r="G194" s="14"/>
      <c r="H194" s="14"/>
    </row>
    <row r="195" ht="22.5" customHeight="1">
      <c r="A195" s="7">
        <v>193.0</v>
      </c>
      <c r="B195" s="8" t="b">
        <v>0</v>
      </c>
      <c r="C195" s="16"/>
      <c r="D195" s="14"/>
      <c r="E195" s="14"/>
      <c r="F195" s="14"/>
      <c r="G195" s="14"/>
      <c r="H195" s="14"/>
    </row>
    <row r="196" ht="22.5" customHeight="1">
      <c r="A196" s="7">
        <v>194.0</v>
      </c>
      <c r="B196" s="8" t="b">
        <v>0</v>
      </c>
      <c r="C196" s="16"/>
      <c r="D196" s="14"/>
      <c r="E196" s="14"/>
      <c r="F196" s="14"/>
      <c r="G196" s="14"/>
      <c r="H196" s="14"/>
    </row>
    <row r="197" ht="22.5" customHeight="1">
      <c r="A197" s="7">
        <v>195.0</v>
      </c>
      <c r="B197" s="8" t="b">
        <v>0</v>
      </c>
      <c r="C197" s="16"/>
      <c r="D197" s="14"/>
      <c r="E197" s="14"/>
      <c r="F197" s="14"/>
      <c r="G197" s="14"/>
      <c r="H197" s="14"/>
    </row>
    <row r="198" ht="22.5" customHeight="1">
      <c r="A198" s="7">
        <v>196.0</v>
      </c>
      <c r="B198" s="8" t="b">
        <v>0</v>
      </c>
      <c r="C198" s="16"/>
      <c r="D198" s="14"/>
      <c r="E198" s="14"/>
      <c r="F198" s="14"/>
      <c r="G198" s="14"/>
      <c r="H198" s="14"/>
    </row>
    <row r="199" ht="22.5" customHeight="1">
      <c r="A199" s="7">
        <v>197.0</v>
      </c>
      <c r="B199" s="8" t="b">
        <v>0</v>
      </c>
      <c r="C199" s="16"/>
      <c r="D199" s="14"/>
      <c r="E199" s="14"/>
      <c r="F199" s="14"/>
      <c r="G199" s="14"/>
      <c r="H199" s="14"/>
    </row>
    <row r="200" ht="22.5" customHeight="1">
      <c r="A200" s="7">
        <v>198.0</v>
      </c>
      <c r="B200" s="8" t="b">
        <v>0</v>
      </c>
      <c r="C200" s="16"/>
      <c r="D200" s="14"/>
      <c r="E200" s="14"/>
      <c r="F200" s="14"/>
      <c r="G200" s="14"/>
      <c r="H200" s="14"/>
    </row>
    <row r="201" ht="22.5" customHeight="1">
      <c r="A201" s="7">
        <v>199.0</v>
      </c>
      <c r="B201" s="8" t="b">
        <v>0</v>
      </c>
      <c r="C201" s="16"/>
      <c r="D201" s="14"/>
      <c r="E201" s="14"/>
      <c r="F201" s="14"/>
      <c r="G201" s="14"/>
      <c r="H201" s="14"/>
    </row>
    <row r="202" ht="22.5" customHeight="1">
      <c r="A202" s="7">
        <v>200.0</v>
      </c>
      <c r="B202" s="8" t="b">
        <v>0</v>
      </c>
      <c r="C202" s="16"/>
      <c r="D202" s="14"/>
      <c r="E202" s="14"/>
      <c r="F202" s="14"/>
      <c r="G202" s="14"/>
      <c r="H202" s="14"/>
    </row>
    <row r="203" ht="22.5" customHeight="1">
      <c r="A203" s="7">
        <v>201.0</v>
      </c>
      <c r="B203" s="8" t="b">
        <v>0</v>
      </c>
      <c r="C203" s="16"/>
      <c r="D203" s="14"/>
      <c r="E203" s="14"/>
      <c r="F203" s="14"/>
      <c r="G203" s="14"/>
      <c r="H203" s="14"/>
    </row>
    <row r="204" ht="22.5" customHeight="1">
      <c r="A204" s="7">
        <v>202.0</v>
      </c>
      <c r="B204" s="8" t="b">
        <v>0</v>
      </c>
      <c r="C204" s="16"/>
      <c r="D204" s="14"/>
      <c r="E204" s="14"/>
      <c r="F204" s="14"/>
      <c r="G204" s="14"/>
      <c r="H204" s="14"/>
    </row>
    <row r="205" ht="22.5" customHeight="1">
      <c r="A205" s="7">
        <v>203.0</v>
      </c>
      <c r="B205" s="8" t="b">
        <v>0</v>
      </c>
      <c r="C205" s="16"/>
      <c r="D205" s="14"/>
      <c r="E205" s="14"/>
      <c r="F205" s="14"/>
      <c r="G205" s="14"/>
      <c r="H205" s="14"/>
    </row>
    <row r="206" ht="22.5" customHeight="1">
      <c r="A206" s="7">
        <v>204.0</v>
      </c>
      <c r="B206" s="8" t="b">
        <v>0</v>
      </c>
      <c r="C206" s="16"/>
      <c r="D206" s="14"/>
      <c r="E206" s="14"/>
      <c r="F206" s="14"/>
      <c r="G206" s="14"/>
      <c r="H206" s="14"/>
    </row>
    <row r="207" ht="22.5" customHeight="1">
      <c r="A207" s="7">
        <v>205.0</v>
      </c>
      <c r="B207" s="8" t="b">
        <v>0</v>
      </c>
      <c r="C207" s="16"/>
      <c r="D207" s="14"/>
      <c r="E207" s="14"/>
      <c r="F207" s="14"/>
      <c r="G207" s="14"/>
      <c r="H207" s="14"/>
    </row>
    <row r="208" ht="22.5" customHeight="1">
      <c r="A208" s="7">
        <v>206.0</v>
      </c>
      <c r="B208" s="8" t="b">
        <v>0</v>
      </c>
      <c r="C208" s="16"/>
      <c r="D208" s="14"/>
      <c r="E208" s="14"/>
      <c r="F208" s="14"/>
      <c r="G208" s="14"/>
      <c r="H208" s="14"/>
    </row>
    <row r="209" ht="22.5" customHeight="1">
      <c r="A209" s="7">
        <v>207.0</v>
      </c>
      <c r="B209" s="8" t="b">
        <v>0</v>
      </c>
      <c r="C209" s="16"/>
      <c r="D209" s="14"/>
      <c r="E209" s="14"/>
      <c r="F209" s="14"/>
      <c r="G209" s="14"/>
      <c r="H209" s="14"/>
    </row>
    <row r="210" ht="22.5" customHeight="1">
      <c r="A210" s="7">
        <v>208.0</v>
      </c>
      <c r="B210" s="8" t="b">
        <v>0</v>
      </c>
      <c r="C210" s="16"/>
      <c r="D210" s="14"/>
      <c r="E210" s="14"/>
      <c r="F210" s="14"/>
      <c r="G210" s="14"/>
      <c r="H210" s="14"/>
    </row>
    <row r="211" ht="22.5" customHeight="1">
      <c r="A211" s="7">
        <v>209.0</v>
      </c>
      <c r="B211" s="8" t="b">
        <v>0</v>
      </c>
      <c r="C211" s="16"/>
      <c r="D211" s="14"/>
      <c r="E211" s="14"/>
      <c r="F211" s="14"/>
      <c r="G211" s="14"/>
      <c r="H211" s="14"/>
    </row>
    <row r="212" ht="22.5" customHeight="1">
      <c r="A212" s="7">
        <v>210.0</v>
      </c>
      <c r="B212" s="8" t="b">
        <v>0</v>
      </c>
      <c r="C212" s="16"/>
      <c r="D212" s="14"/>
      <c r="E212" s="14"/>
      <c r="F212" s="14"/>
      <c r="G212" s="14"/>
      <c r="H212" s="14"/>
    </row>
    <row r="213" ht="22.5" customHeight="1">
      <c r="A213" s="7">
        <v>211.0</v>
      </c>
      <c r="B213" s="8" t="b">
        <v>0</v>
      </c>
      <c r="C213" s="16"/>
      <c r="D213" s="14"/>
      <c r="E213" s="14"/>
      <c r="F213" s="14"/>
      <c r="G213" s="14"/>
      <c r="H213" s="14"/>
    </row>
    <row r="214" ht="22.5" customHeight="1">
      <c r="A214" s="7">
        <v>212.0</v>
      </c>
      <c r="B214" s="8" t="b">
        <v>0</v>
      </c>
      <c r="C214" s="16"/>
      <c r="D214" s="14"/>
      <c r="E214" s="14"/>
      <c r="F214" s="14"/>
      <c r="G214" s="14"/>
      <c r="H214" s="14"/>
    </row>
    <row r="215" ht="22.5" customHeight="1">
      <c r="A215" s="7">
        <v>213.0</v>
      </c>
      <c r="B215" s="8" t="b">
        <v>0</v>
      </c>
      <c r="C215" s="16"/>
      <c r="D215" s="14"/>
      <c r="E215" s="14"/>
      <c r="F215" s="14"/>
      <c r="G215" s="14"/>
      <c r="H215" s="14"/>
    </row>
    <row r="216" ht="22.5" customHeight="1">
      <c r="A216" s="7">
        <v>214.0</v>
      </c>
      <c r="B216" s="8" t="b">
        <v>0</v>
      </c>
      <c r="C216" s="16"/>
      <c r="D216" s="14"/>
      <c r="E216" s="14"/>
      <c r="F216" s="14"/>
      <c r="G216" s="14"/>
      <c r="H216" s="14"/>
    </row>
    <row r="217" ht="22.5" customHeight="1">
      <c r="A217" s="7">
        <v>215.0</v>
      </c>
      <c r="B217" s="8" t="b">
        <v>0</v>
      </c>
      <c r="C217" s="16"/>
      <c r="D217" s="14"/>
      <c r="E217" s="14"/>
      <c r="F217" s="14"/>
      <c r="G217" s="14"/>
      <c r="H217" s="14"/>
    </row>
    <row r="218" ht="22.5" customHeight="1">
      <c r="A218" s="7">
        <v>216.0</v>
      </c>
      <c r="B218" s="8" t="b">
        <v>0</v>
      </c>
      <c r="C218" s="16"/>
      <c r="D218" s="14"/>
      <c r="E218" s="14"/>
      <c r="F218" s="14"/>
      <c r="G218" s="14"/>
      <c r="H218" s="14"/>
    </row>
    <row r="219" ht="22.5" customHeight="1">
      <c r="A219" s="7">
        <v>217.0</v>
      </c>
      <c r="B219" s="8" t="b">
        <v>0</v>
      </c>
      <c r="C219" s="16"/>
      <c r="D219" s="14"/>
      <c r="E219" s="14"/>
      <c r="F219" s="14"/>
      <c r="G219" s="14"/>
      <c r="H219" s="14"/>
    </row>
    <row r="220" ht="22.5" customHeight="1">
      <c r="A220" s="7">
        <v>218.0</v>
      </c>
      <c r="B220" s="8" t="b">
        <v>0</v>
      </c>
      <c r="C220" s="16"/>
      <c r="D220" s="14"/>
      <c r="E220" s="14"/>
      <c r="F220" s="14"/>
      <c r="G220" s="14"/>
      <c r="H220" s="14"/>
    </row>
    <row r="221" ht="22.5" customHeight="1">
      <c r="A221" s="7">
        <v>219.0</v>
      </c>
      <c r="B221" s="8" t="b">
        <v>0</v>
      </c>
      <c r="C221" s="16"/>
      <c r="D221" s="14"/>
      <c r="E221" s="14"/>
      <c r="F221" s="14"/>
      <c r="G221" s="14"/>
      <c r="H221" s="14"/>
    </row>
    <row r="222" ht="22.5" customHeight="1">
      <c r="A222" s="7">
        <v>220.0</v>
      </c>
      <c r="B222" s="8" t="b">
        <v>0</v>
      </c>
      <c r="C222" s="16"/>
      <c r="D222" s="14"/>
      <c r="E222" s="14"/>
      <c r="F222" s="14"/>
      <c r="G222" s="14"/>
      <c r="H222" s="14"/>
    </row>
    <row r="223" ht="22.5" customHeight="1">
      <c r="A223" s="7">
        <v>221.0</v>
      </c>
      <c r="B223" s="8" t="b">
        <v>0</v>
      </c>
      <c r="C223" s="16"/>
      <c r="D223" s="14"/>
      <c r="E223" s="14"/>
      <c r="F223" s="14"/>
      <c r="G223" s="14"/>
      <c r="H223" s="14"/>
    </row>
    <row r="224" ht="22.5" customHeight="1">
      <c r="A224" s="7">
        <v>222.0</v>
      </c>
      <c r="B224" s="8" t="b">
        <v>0</v>
      </c>
      <c r="C224" s="16"/>
      <c r="D224" s="14"/>
      <c r="E224" s="14"/>
      <c r="F224" s="14"/>
      <c r="G224" s="14"/>
      <c r="H224" s="14"/>
    </row>
    <row r="225" ht="22.5" customHeight="1">
      <c r="A225" s="7">
        <v>223.0</v>
      </c>
      <c r="B225" s="8" t="b">
        <v>0</v>
      </c>
      <c r="C225" s="16"/>
      <c r="D225" s="14"/>
      <c r="E225" s="14"/>
      <c r="F225" s="14"/>
      <c r="G225" s="14"/>
      <c r="H225" s="14"/>
    </row>
    <row r="226" ht="22.5" customHeight="1">
      <c r="A226" s="7">
        <v>224.0</v>
      </c>
      <c r="B226" s="8" t="b">
        <v>0</v>
      </c>
      <c r="C226" s="16"/>
      <c r="D226" s="14"/>
      <c r="E226" s="14"/>
      <c r="F226" s="14"/>
      <c r="G226" s="14"/>
      <c r="H226" s="14"/>
    </row>
    <row r="227" ht="22.5" customHeight="1">
      <c r="A227" s="7">
        <v>225.0</v>
      </c>
      <c r="B227" s="8" t="b">
        <v>0</v>
      </c>
      <c r="C227" s="16"/>
      <c r="D227" s="14"/>
      <c r="E227" s="14"/>
      <c r="F227" s="14"/>
      <c r="G227" s="14"/>
      <c r="H227" s="14"/>
    </row>
    <row r="228" ht="22.5" customHeight="1">
      <c r="A228" s="7">
        <v>226.0</v>
      </c>
      <c r="B228" s="8" t="b">
        <v>0</v>
      </c>
      <c r="C228" s="16"/>
      <c r="D228" s="14"/>
      <c r="E228" s="14"/>
      <c r="F228" s="14"/>
      <c r="G228" s="14"/>
      <c r="H228" s="14"/>
    </row>
    <row r="229" ht="22.5" customHeight="1">
      <c r="A229" s="7">
        <v>227.0</v>
      </c>
      <c r="B229" s="8" t="b">
        <v>0</v>
      </c>
      <c r="C229" s="16"/>
      <c r="D229" s="14"/>
      <c r="E229" s="14"/>
      <c r="F229" s="14"/>
      <c r="G229" s="14"/>
      <c r="H229" s="14"/>
    </row>
    <row r="230" ht="22.5" customHeight="1">
      <c r="A230" s="7">
        <v>228.0</v>
      </c>
      <c r="B230" s="8" t="b">
        <v>0</v>
      </c>
      <c r="C230" s="16"/>
      <c r="D230" s="14"/>
      <c r="E230" s="14"/>
      <c r="F230" s="14"/>
      <c r="G230" s="14"/>
      <c r="H230" s="14"/>
    </row>
    <row r="231" ht="22.5" customHeight="1">
      <c r="A231" s="7">
        <v>229.0</v>
      </c>
      <c r="B231" s="8" t="b">
        <v>0</v>
      </c>
      <c r="C231" s="16"/>
      <c r="D231" s="14"/>
      <c r="E231" s="14"/>
      <c r="F231" s="14"/>
      <c r="G231" s="14"/>
      <c r="H231" s="14"/>
    </row>
    <row r="232" ht="22.5" customHeight="1">
      <c r="A232" s="7">
        <v>230.0</v>
      </c>
      <c r="B232" s="8" t="b">
        <v>0</v>
      </c>
      <c r="C232" s="16"/>
      <c r="D232" s="14"/>
      <c r="E232" s="14"/>
      <c r="F232" s="14"/>
      <c r="G232" s="14"/>
      <c r="H232" s="14"/>
    </row>
    <row r="233" ht="22.5" customHeight="1">
      <c r="A233" s="7">
        <v>231.0</v>
      </c>
      <c r="B233" s="8" t="b">
        <v>0</v>
      </c>
      <c r="C233" s="16"/>
      <c r="D233" s="14"/>
      <c r="E233" s="14"/>
      <c r="F233" s="14"/>
      <c r="G233" s="14"/>
      <c r="H233" s="14"/>
    </row>
    <row r="234" ht="22.5" customHeight="1">
      <c r="A234" s="7">
        <v>232.0</v>
      </c>
      <c r="B234" s="8" t="b">
        <v>0</v>
      </c>
      <c r="C234" s="16"/>
      <c r="D234" s="14"/>
      <c r="E234" s="14"/>
      <c r="F234" s="14"/>
      <c r="G234" s="14"/>
      <c r="H234" s="14"/>
    </row>
    <row r="235" ht="22.5" customHeight="1">
      <c r="A235" s="7">
        <v>233.0</v>
      </c>
      <c r="B235" s="8" t="b">
        <v>0</v>
      </c>
      <c r="C235" s="16"/>
      <c r="D235" s="14"/>
      <c r="E235" s="14"/>
      <c r="F235" s="14"/>
      <c r="G235" s="14"/>
      <c r="H235" s="14"/>
    </row>
    <row r="236" ht="22.5" customHeight="1">
      <c r="A236" s="7">
        <v>234.0</v>
      </c>
      <c r="B236" s="8" t="b">
        <v>0</v>
      </c>
      <c r="C236" s="16"/>
      <c r="D236" s="14"/>
      <c r="E236" s="14"/>
      <c r="F236" s="14"/>
      <c r="G236" s="14"/>
      <c r="H236" s="14"/>
    </row>
    <row r="237" ht="22.5" customHeight="1">
      <c r="A237" s="7">
        <v>235.0</v>
      </c>
      <c r="B237" s="8" t="b">
        <v>0</v>
      </c>
      <c r="C237" s="16"/>
      <c r="D237" s="14"/>
      <c r="E237" s="14"/>
      <c r="F237" s="14"/>
      <c r="G237" s="14"/>
      <c r="H237" s="14"/>
    </row>
    <row r="238" ht="22.5" customHeight="1">
      <c r="A238" s="7">
        <v>236.0</v>
      </c>
      <c r="B238" s="8" t="b">
        <v>0</v>
      </c>
      <c r="C238" s="16"/>
      <c r="D238" s="14"/>
      <c r="E238" s="14"/>
      <c r="F238" s="14"/>
      <c r="G238" s="14"/>
      <c r="H238" s="14"/>
    </row>
    <row r="239" ht="22.5" customHeight="1">
      <c r="A239" s="7">
        <v>237.0</v>
      </c>
      <c r="B239" s="8" t="b">
        <v>0</v>
      </c>
      <c r="C239" s="16"/>
      <c r="D239" s="14"/>
      <c r="E239" s="14"/>
      <c r="F239" s="14"/>
      <c r="G239" s="14"/>
      <c r="H239" s="14"/>
    </row>
    <row r="240" ht="22.5" customHeight="1">
      <c r="A240" s="7">
        <v>238.0</v>
      </c>
      <c r="B240" s="8" t="b">
        <v>0</v>
      </c>
      <c r="C240" s="16"/>
      <c r="D240" s="14"/>
      <c r="E240" s="14"/>
      <c r="F240" s="14"/>
      <c r="G240" s="14"/>
      <c r="H240" s="14"/>
    </row>
    <row r="241" ht="22.5" customHeight="1">
      <c r="A241" s="7">
        <v>239.0</v>
      </c>
      <c r="B241" s="8" t="b">
        <v>0</v>
      </c>
      <c r="C241" s="16"/>
      <c r="D241" s="14"/>
      <c r="E241" s="14"/>
      <c r="F241" s="14"/>
      <c r="G241" s="14"/>
      <c r="H241" s="14"/>
    </row>
    <row r="242" ht="22.5" customHeight="1">
      <c r="A242" s="7">
        <v>240.0</v>
      </c>
      <c r="B242" s="8" t="b">
        <v>0</v>
      </c>
      <c r="C242" s="16"/>
      <c r="D242" s="14"/>
      <c r="E242" s="14"/>
      <c r="F242" s="14"/>
      <c r="G242" s="14"/>
      <c r="H242" s="14"/>
    </row>
    <row r="243" ht="22.5" customHeight="1">
      <c r="A243" s="7">
        <v>241.0</v>
      </c>
      <c r="B243" s="8" t="b">
        <v>0</v>
      </c>
      <c r="C243" s="16"/>
      <c r="D243" s="14"/>
      <c r="E243" s="14"/>
      <c r="F243" s="14"/>
      <c r="G243" s="14"/>
      <c r="H243" s="14"/>
    </row>
    <row r="244" ht="22.5" customHeight="1">
      <c r="A244" s="7">
        <v>242.0</v>
      </c>
      <c r="B244" s="8" t="b">
        <v>0</v>
      </c>
      <c r="C244" s="16"/>
      <c r="D244" s="14"/>
      <c r="E244" s="14"/>
      <c r="F244" s="14"/>
      <c r="G244" s="14"/>
      <c r="H244" s="14"/>
    </row>
    <row r="245" ht="22.5" customHeight="1">
      <c r="A245" s="7">
        <v>243.0</v>
      </c>
      <c r="B245" s="8" t="b">
        <v>0</v>
      </c>
      <c r="C245" s="16"/>
      <c r="D245" s="14"/>
      <c r="E245" s="14"/>
      <c r="F245" s="14"/>
      <c r="G245" s="14"/>
      <c r="H245" s="14"/>
    </row>
    <row r="246" ht="22.5" customHeight="1">
      <c r="A246" s="7">
        <v>244.0</v>
      </c>
      <c r="B246" s="8" t="b">
        <v>0</v>
      </c>
      <c r="C246" s="16"/>
      <c r="D246" s="14"/>
      <c r="E246" s="14"/>
      <c r="F246" s="14"/>
      <c r="G246" s="14"/>
      <c r="H246" s="14"/>
    </row>
    <row r="247" ht="22.5" customHeight="1">
      <c r="A247" s="7">
        <v>245.0</v>
      </c>
      <c r="B247" s="8" t="b">
        <v>0</v>
      </c>
      <c r="C247" s="16"/>
      <c r="D247" s="14"/>
      <c r="E247" s="14"/>
      <c r="F247" s="14"/>
      <c r="G247" s="14"/>
      <c r="H247" s="14"/>
    </row>
    <row r="248" ht="22.5" customHeight="1">
      <c r="A248" s="7">
        <v>246.0</v>
      </c>
      <c r="B248" s="8" t="b">
        <v>0</v>
      </c>
      <c r="C248" s="16"/>
      <c r="D248" s="14"/>
      <c r="E248" s="14"/>
      <c r="F248" s="14"/>
      <c r="G248" s="14"/>
      <c r="H248" s="14"/>
    </row>
    <row r="249" ht="22.5" customHeight="1">
      <c r="A249" s="7">
        <v>247.0</v>
      </c>
      <c r="B249" s="8" t="b">
        <v>0</v>
      </c>
      <c r="C249" s="16"/>
      <c r="D249" s="14"/>
      <c r="E249" s="14"/>
      <c r="F249" s="14"/>
      <c r="G249" s="14"/>
      <c r="H249" s="14"/>
    </row>
    <row r="250" ht="22.5" customHeight="1">
      <c r="A250" s="7">
        <v>248.0</v>
      </c>
      <c r="B250" s="8" t="b">
        <v>0</v>
      </c>
      <c r="C250" s="16"/>
      <c r="D250" s="14"/>
      <c r="E250" s="14"/>
      <c r="F250" s="14"/>
      <c r="G250" s="14"/>
      <c r="H250" s="14"/>
    </row>
    <row r="251" ht="22.5" customHeight="1">
      <c r="A251" s="7">
        <v>249.0</v>
      </c>
      <c r="B251" s="8" t="b">
        <v>0</v>
      </c>
      <c r="C251" s="16"/>
      <c r="D251" s="14"/>
      <c r="E251" s="14"/>
      <c r="F251" s="14"/>
      <c r="G251" s="14"/>
      <c r="H251" s="14"/>
    </row>
    <row r="252" ht="22.5" customHeight="1">
      <c r="A252" s="7">
        <v>250.0</v>
      </c>
      <c r="B252" s="8" t="b">
        <v>0</v>
      </c>
      <c r="C252" s="16"/>
      <c r="D252" s="14"/>
      <c r="E252" s="14"/>
      <c r="F252" s="14"/>
      <c r="G252" s="14"/>
      <c r="H252" s="14"/>
    </row>
    <row r="253" ht="22.5" customHeight="1">
      <c r="A253" s="7">
        <v>251.0</v>
      </c>
      <c r="B253" s="8" t="b">
        <v>0</v>
      </c>
      <c r="C253" s="16"/>
      <c r="D253" s="14"/>
      <c r="E253" s="14"/>
      <c r="F253" s="14"/>
      <c r="G253" s="14"/>
      <c r="H253" s="14"/>
    </row>
    <row r="254" ht="22.5" customHeight="1">
      <c r="A254" s="7">
        <v>252.0</v>
      </c>
      <c r="B254" s="8" t="b">
        <v>0</v>
      </c>
      <c r="C254" s="16"/>
      <c r="D254" s="14"/>
      <c r="E254" s="14"/>
      <c r="F254" s="14"/>
      <c r="G254" s="14"/>
      <c r="H254" s="14"/>
    </row>
    <row r="255" ht="22.5" customHeight="1">
      <c r="A255" s="7">
        <v>253.0</v>
      </c>
      <c r="B255" s="8" t="b">
        <v>0</v>
      </c>
      <c r="C255" s="16"/>
      <c r="D255" s="14"/>
      <c r="E255" s="14"/>
      <c r="F255" s="14"/>
      <c r="G255" s="14"/>
      <c r="H255" s="14"/>
    </row>
    <row r="256" ht="22.5" customHeight="1">
      <c r="A256" s="7">
        <v>254.0</v>
      </c>
      <c r="B256" s="8" t="b">
        <v>0</v>
      </c>
      <c r="C256" s="16"/>
      <c r="D256" s="14"/>
      <c r="E256" s="14"/>
      <c r="F256" s="14"/>
      <c r="G256" s="14"/>
      <c r="H256" s="14"/>
    </row>
    <row r="257" ht="22.5" customHeight="1">
      <c r="A257" s="7">
        <v>255.0</v>
      </c>
      <c r="B257" s="8" t="b">
        <v>0</v>
      </c>
      <c r="C257" s="16"/>
      <c r="D257" s="14"/>
      <c r="E257" s="14"/>
      <c r="F257" s="14"/>
      <c r="G257" s="14"/>
      <c r="H257" s="14"/>
    </row>
    <row r="258" ht="22.5" customHeight="1">
      <c r="A258" s="7">
        <v>256.0</v>
      </c>
      <c r="B258" s="8" t="b">
        <v>0</v>
      </c>
      <c r="C258" s="16"/>
      <c r="D258" s="14"/>
      <c r="E258" s="14"/>
      <c r="F258" s="14"/>
      <c r="G258" s="14"/>
      <c r="H258" s="14"/>
    </row>
    <row r="259" ht="22.5" customHeight="1">
      <c r="A259" s="7">
        <v>257.0</v>
      </c>
      <c r="B259" s="8" t="b">
        <v>0</v>
      </c>
      <c r="C259" s="16"/>
      <c r="D259" s="14"/>
      <c r="E259" s="14"/>
      <c r="F259" s="14"/>
      <c r="G259" s="14"/>
      <c r="H259" s="14"/>
    </row>
    <row r="260" ht="22.5" customHeight="1">
      <c r="A260" s="7">
        <v>258.0</v>
      </c>
      <c r="B260" s="8" t="b">
        <v>0</v>
      </c>
      <c r="C260" s="16"/>
      <c r="D260" s="14"/>
      <c r="E260" s="14"/>
      <c r="F260" s="14"/>
      <c r="G260" s="14"/>
      <c r="H260" s="14"/>
    </row>
    <row r="261" ht="22.5" customHeight="1">
      <c r="A261" s="7">
        <v>259.0</v>
      </c>
      <c r="B261" s="8" t="b">
        <v>0</v>
      </c>
      <c r="C261" s="16"/>
      <c r="D261" s="14"/>
      <c r="E261" s="14"/>
      <c r="F261" s="14"/>
      <c r="G261" s="14"/>
      <c r="H261" s="14"/>
    </row>
    <row r="262" ht="22.5" customHeight="1">
      <c r="A262" s="7">
        <v>260.0</v>
      </c>
      <c r="B262" s="8" t="b">
        <v>0</v>
      </c>
      <c r="C262" s="16"/>
      <c r="D262" s="14"/>
      <c r="E262" s="14"/>
      <c r="F262" s="14"/>
      <c r="G262" s="14"/>
      <c r="H262" s="14"/>
    </row>
    <row r="263" ht="22.5" customHeight="1">
      <c r="A263" s="7">
        <v>261.0</v>
      </c>
      <c r="B263" s="8" t="b">
        <v>0</v>
      </c>
      <c r="C263" s="16"/>
      <c r="D263" s="14"/>
      <c r="E263" s="14"/>
      <c r="F263" s="14"/>
      <c r="G263" s="14"/>
      <c r="H263" s="14"/>
    </row>
    <row r="264" ht="22.5" customHeight="1">
      <c r="A264" s="7">
        <v>262.0</v>
      </c>
      <c r="B264" s="8" t="b">
        <v>0</v>
      </c>
      <c r="C264" s="16"/>
      <c r="D264" s="14"/>
      <c r="E264" s="14"/>
      <c r="F264" s="14"/>
      <c r="G264" s="14"/>
      <c r="H264" s="14"/>
    </row>
    <row r="265" ht="22.5" customHeight="1">
      <c r="A265" s="7">
        <v>263.0</v>
      </c>
      <c r="B265" s="8" t="b">
        <v>0</v>
      </c>
      <c r="C265" s="16"/>
      <c r="D265" s="14"/>
      <c r="E265" s="14"/>
      <c r="F265" s="14"/>
      <c r="G265" s="14"/>
      <c r="H265" s="14"/>
    </row>
    <row r="266" ht="22.5" customHeight="1">
      <c r="A266" s="7">
        <v>264.0</v>
      </c>
      <c r="B266" s="8" t="b">
        <v>0</v>
      </c>
      <c r="C266" s="16"/>
      <c r="D266" s="14"/>
      <c r="E266" s="14"/>
      <c r="F266" s="14"/>
      <c r="G266" s="14"/>
      <c r="H266" s="14"/>
    </row>
    <row r="267" ht="22.5" customHeight="1">
      <c r="A267" s="7">
        <v>265.0</v>
      </c>
      <c r="B267" s="8" t="b">
        <v>0</v>
      </c>
      <c r="C267" s="16"/>
      <c r="D267" s="14"/>
      <c r="E267" s="14"/>
      <c r="F267" s="14"/>
      <c r="G267" s="14"/>
      <c r="H267" s="14"/>
    </row>
    <row r="268" ht="22.5" customHeight="1">
      <c r="A268" s="7">
        <v>266.0</v>
      </c>
      <c r="B268" s="8" t="b">
        <v>0</v>
      </c>
      <c r="C268" s="16"/>
      <c r="D268" s="14"/>
      <c r="E268" s="14"/>
      <c r="F268" s="14"/>
      <c r="G268" s="14"/>
      <c r="H268" s="14"/>
    </row>
    <row r="269" ht="22.5" customHeight="1">
      <c r="A269" s="7">
        <v>267.0</v>
      </c>
      <c r="B269" s="8" t="b">
        <v>0</v>
      </c>
      <c r="C269" s="16"/>
      <c r="D269" s="14"/>
      <c r="E269" s="14"/>
      <c r="F269" s="14"/>
      <c r="G269" s="14"/>
      <c r="H269" s="14"/>
    </row>
    <row r="270" ht="22.5" customHeight="1">
      <c r="A270" s="7">
        <v>268.0</v>
      </c>
      <c r="B270" s="8" t="b">
        <v>0</v>
      </c>
      <c r="C270" s="16"/>
      <c r="D270" s="14"/>
      <c r="E270" s="14"/>
      <c r="F270" s="14"/>
      <c r="G270" s="14"/>
      <c r="H270" s="14"/>
    </row>
    <row r="271" ht="22.5" customHeight="1">
      <c r="A271" s="7">
        <v>269.0</v>
      </c>
      <c r="B271" s="8" t="b">
        <v>0</v>
      </c>
      <c r="C271" s="16"/>
      <c r="D271" s="14"/>
      <c r="E271" s="14"/>
      <c r="F271" s="14"/>
      <c r="G271" s="14"/>
      <c r="H271" s="14"/>
    </row>
    <row r="272" ht="22.5" customHeight="1">
      <c r="A272" s="7">
        <v>270.0</v>
      </c>
      <c r="B272" s="8" t="b">
        <v>0</v>
      </c>
      <c r="C272" s="16"/>
      <c r="D272" s="14"/>
      <c r="E272" s="14"/>
      <c r="F272" s="14"/>
      <c r="G272" s="14"/>
      <c r="H272" s="14"/>
    </row>
    <row r="273" ht="22.5" customHeight="1">
      <c r="A273" s="7">
        <v>271.0</v>
      </c>
      <c r="B273" s="8" t="b">
        <v>0</v>
      </c>
      <c r="C273" s="16"/>
      <c r="D273" s="14"/>
      <c r="E273" s="14"/>
      <c r="F273" s="14"/>
      <c r="G273" s="14"/>
      <c r="H273" s="14"/>
    </row>
    <row r="274" ht="22.5" customHeight="1">
      <c r="A274" s="7">
        <v>272.0</v>
      </c>
      <c r="B274" s="8" t="b">
        <v>0</v>
      </c>
      <c r="C274" s="16"/>
      <c r="D274" s="14"/>
      <c r="E274" s="14"/>
      <c r="F274" s="14"/>
      <c r="G274" s="14"/>
      <c r="H274" s="14"/>
    </row>
    <row r="275" ht="22.5" customHeight="1">
      <c r="A275" s="7">
        <v>273.0</v>
      </c>
      <c r="B275" s="8" t="b">
        <v>0</v>
      </c>
      <c r="C275" s="16"/>
      <c r="D275" s="14"/>
      <c r="E275" s="14"/>
      <c r="F275" s="14"/>
      <c r="G275" s="14"/>
      <c r="H275" s="14"/>
    </row>
    <row r="276" ht="22.5" customHeight="1">
      <c r="A276" s="7">
        <v>274.0</v>
      </c>
      <c r="B276" s="8" t="b">
        <v>0</v>
      </c>
      <c r="C276" s="16"/>
      <c r="D276" s="14"/>
      <c r="E276" s="14"/>
      <c r="F276" s="14"/>
      <c r="G276" s="14"/>
      <c r="H276" s="14"/>
    </row>
    <row r="277" ht="22.5" customHeight="1">
      <c r="A277" s="7">
        <v>275.0</v>
      </c>
      <c r="B277" s="8" t="b">
        <v>0</v>
      </c>
      <c r="C277" s="16"/>
      <c r="D277" s="14"/>
      <c r="E277" s="14"/>
      <c r="F277" s="14"/>
      <c r="G277" s="14"/>
      <c r="H277" s="14"/>
    </row>
    <row r="278" ht="22.5" customHeight="1">
      <c r="A278" s="7">
        <v>276.0</v>
      </c>
      <c r="B278" s="8" t="b">
        <v>0</v>
      </c>
      <c r="C278" s="16"/>
      <c r="D278" s="14"/>
      <c r="E278" s="14"/>
      <c r="F278" s="14"/>
      <c r="G278" s="14"/>
      <c r="H278" s="14"/>
    </row>
    <row r="279" ht="22.5" customHeight="1">
      <c r="A279" s="7">
        <v>277.0</v>
      </c>
      <c r="B279" s="8" t="b">
        <v>0</v>
      </c>
      <c r="C279" s="16"/>
      <c r="D279" s="14"/>
      <c r="E279" s="14"/>
      <c r="F279" s="14"/>
      <c r="G279" s="14"/>
      <c r="H279" s="14"/>
    </row>
    <row r="280" ht="22.5" customHeight="1">
      <c r="A280" s="7">
        <v>278.0</v>
      </c>
      <c r="B280" s="8" t="b">
        <v>0</v>
      </c>
      <c r="C280" s="16"/>
      <c r="D280" s="14"/>
      <c r="E280" s="14"/>
      <c r="F280" s="14"/>
      <c r="G280" s="14"/>
      <c r="H280" s="14"/>
    </row>
    <row r="281" ht="22.5" customHeight="1">
      <c r="A281" s="7">
        <v>279.0</v>
      </c>
      <c r="B281" s="8" t="b">
        <v>0</v>
      </c>
      <c r="C281" s="16"/>
      <c r="D281" s="14"/>
      <c r="E281" s="14"/>
      <c r="F281" s="14"/>
      <c r="G281" s="14"/>
      <c r="H281" s="14"/>
    </row>
    <row r="282" ht="22.5" customHeight="1">
      <c r="A282" s="7">
        <v>280.0</v>
      </c>
      <c r="B282" s="8" t="b">
        <v>0</v>
      </c>
      <c r="C282" s="16"/>
      <c r="D282" s="14"/>
      <c r="E282" s="14"/>
      <c r="F282" s="14"/>
      <c r="G282" s="14"/>
      <c r="H282" s="14"/>
    </row>
    <row r="283" ht="22.5" customHeight="1">
      <c r="A283" s="7">
        <v>281.0</v>
      </c>
      <c r="B283" s="8" t="b">
        <v>0</v>
      </c>
      <c r="C283" s="16"/>
      <c r="D283" s="14"/>
      <c r="E283" s="14"/>
      <c r="F283" s="14"/>
      <c r="G283" s="14"/>
      <c r="H283" s="14"/>
    </row>
    <row r="284" ht="22.5" customHeight="1">
      <c r="A284" s="7">
        <v>282.0</v>
      </c>
      <c r="B284" s="8" t="b">
        <v>0</v>
      </c>
      <c r="C284" s="16"/>
      <c r="D284" s="14"/>
      <c r="E284" s="14"/>
      <c r="F284" s="14"/>
      <c r="G284" s="14"/>
      <c r="H284" s="14"/>
    </row>
    <row r="285" ht="22.5" customHeight="1">
      <c r="A285" s="7">
        <v>283.0</v>
      </c>
      <c r="B285" s="8" t="b">
        <v>0</v>
      </c>
      <c r="C285" s="16"/>
      <c r="D285" s="14"/>
      <c r="E285" s="14"/>
      <c r="F285" s="14"/>
      <c r="G285" s="14"/>
      <c r="H285" s="14"/>
    </row>
    <row r="286" ht="22.5" customHeight="1">
      <c r="A286" s="7">
        <v>284.0</v>
      </c>
      <c r="B286" s="8" t="b">
        <v>0</v>
      </c>
      <c r="C286" s="16"/>
      <c r="D286" s="14"/>
      <c r="E286" s="14"/>
      <c r="F286" s="14"/>
      <c r="G286" s="14"/>
      <c r="H286" s="14"/>
    </row>
    <row r="287" ht="22.5" customHeight="1">
      <c r="A287" s="7">
        <v>285.0</v>
      </c>
      <c r="B287" s="8" t="b">
        <v>0</v>
      </c>
      <c r="C287" s="16"/>
      <c r="D287" s="14"/>
      <c r="E287" s="14"/>
      <c r="F287" s="14"/>
      <c r="G287" s="14"/>
      <c r="H287" s="14"/>
    </row>
    <row r="288" ht="22.5" customHeight="1">
      <c r="A288" s="7">
        <v>286.0</v>
      </c>
      <c r="B288" s="8" t="b">
        <v>0</v>
      </c>
      <c r="C288" s="16"/>
      <c r="D288" s="14"/>
      <c r="E288" s="14"/>
      <c r="F288" s="14"/>
      <c r="G288" s="14"/>
      <c r="H288" s="14"/>
    </row>
    <row r="289" ht="22.5" customHeight="1">
      <c r="A289" s="7">
        <v>287.0</v>
      </c>
      <c r="B289" s="8" t="b">
        <v>0</v>
      </c>
      <c r="C289" s="16"/>
      <c r="D289" s="14"/>
      <c r="E289" s="14"/>
      <c r="F289" s="14"/>
      <c r="G289" s="14"/>
      <c r="H289" s="14"/>
    </row>
    <row r="290" ht="22.5" customHeight="1">
      <c r="A290" s="7">
        <v>288.0</v>
      </c>
      <c r="B290" s="8" t="b">
        <v>0</v>
      </c>
      <c r="C290" s="16"/>
      <c r="D290" s="14"/>
      <c r="E290" s="14"/>
      <c r="F290" s="14"/>
      <c r="G290" s="14"/>
      <c r="H290" s="14"/>
    </row>
    <row r="291" ht="22.5" customHeight="1">
      <c r="A291" s="7">
        <v>289.0</v>
      </c>
      <c r="B291" s="8" t="b">
        <v>0</v>
      </c>
      <c r="C291" s="16"/>
      <c r="D291" s="14"/>
      <c r="E291" s="14"/>
      <c r="F291" s="14"/>
      <c r="G291" s="14"/>
      <c r="H291" s="14"/>
    </row>
    <row r="292" ht="22.5" customHeight="1">
      <c r="A292" s="7">
        <v>290.0</v>
      </c>
      <c r="B292" s="8" t="b">
        <v>0</v>
      </c>
      <c r="C292" s="16"/>
      <c r="D292" s="14"/>
      <c r="E292" s="14"/>
      <c r="F292" s="14"/>
      <c r="G292" s="14"/>
      <c r="H292" s="14"/>
    </row>
    <row r="293" ht="22.5" customHeight="1">
      <c r="A293" s="7">
        <v>291.0</v>
      </c>
      <c r="B293" s="8" t="b">
        <v>0</v>
      </c>
      <c r="C293" s="16"/>
      <c r="D293" s="14"/>
      <c r="E293" s="14"/>
      <c r="F293" s="14"/>
      <c r="G293" s="14"/>
      <c r="H293" s="14"/>
    </row>
    <row r="294" ht="22.5" customHeight="1">
      <c r="A294" s="7">
        <v>292.0</v>
      </c>
      <c r="B294" s="8" t="b">
        <v>0</v>
      </c>
      <c r="C294" s="16"/>
      <c r="D294" s="14"/>
      <c r="E294" s="14"/>
      <c r="F294" s="14"/>
      <c r="G294" s="14"/>
      <c r="H294" s="14"/>
    </row>
    <row r="295" ht="22.5" customHeight="1">
      <c r="A295" s="7">
        <v>293.0</v>
      </c>
      <c r="B295" s="8" t="b">
        <v>0</v>
      </c>
      <c r="C295" s="16"/>
      <c r="D295" s="14"/>
      <c r="E295" s="14"/>
      <c r="F295" s="14"/>
      <c r="G295" s="14"/>
      <c r="H295" s="14"/>
    </row>
    <row r="296" ht="22.5" customHeight="1">
      <c r="A296" s="7">
        <v>294.0</v>
      </c>
      <c r="B296" s="8" t="b">
        <v>0</v>
      </c>
      <c r="C296" s="16"/>
      <c r="D296" s="14"/>
      <c r="E296" s="14"/>
      <c r="F296" s="14"/>
      <c r="G296" s="14"/>
      <c r="H296" s="14"/>
    </row>
    <row r="297" ht="22.5" customHeight="1">
      <c r="A297" s="7">
        <v>295.0</v>
      </c>
      <c r="B297" s="8" t="b">
        <v>0</v>
      </c>
      <c r="C297" s="16"/>
      <c r="D297" s="14"/>
      <c r="E297" s="14"/>
      <c r="F297" s="14"/>
      <c r="G297" s="14"/>
      <c r="H297" s="14"/>
    </row>
    <row r="298" ht="22.5" customHeight="1">
      <c r="A298" s="7">
        <v>296.0</v>
      </c>
      <c r="B298" s="8" t="b">
        <v>0</v>
      </c>
      <c r="C298" s="16"/>
      <c r="D298" s="14"/>
      <c r="E298" s="14"/>
      <c r="F298" s="14"/>
      <c r="G298" s="14"/>
      <c r="H298" s="14"/>
    </row>
    <row r="299" ht="22.5" customHeight="1">
      <c r="A299" s="7">
        <v>297.0</v>
      </c>
      <c r="B299" s="8" t="b">
        <v>0</v>
      </c>
      <c r="C299" s="16"/>
      <c r="D299" s="14"/>
      <c r="E299" s="14"/>
      <c r="F299" s="14"/>
      <c r="G299" s="14"/>
      <c r="H299" s="14"/>
    </row>
    <row r="300" ht="22.5" customHeight="1">
      <c r="A300" s="7">
        <v>298.0</v>
      </c>
      <c r="B300" s="8" t="b">
        <v>0</v>
      </c>
      <c r="C300" s="16"/>
      <c r="D300" s="14"/>
      <c r="E300" s="14"/>
      <c r="F300" s="14"/>
      <c r="G300" s="14"/>
      <c r="H300" s="14"/>
    </row>
    <row r="301" ht="22.5" customHeight="1">
      <c r="A301" s="7">
        <v>299.0</v>
      </c>
      <c r="B301" s="8" t="b">
        <v>0</v>
      </c>
      <c r="C301" s="16"/>
      <c r="D301" s="14"/>
      <c r="E301" s="14"/>
      <c r="F301" s="14"/>
      <c r="G301" s="14"/>
      <c r="H301" s="14"/>
    </row>
    <row r="302" ht="22.5" customHeight="1">
      <c r="A302" s="7">
        <v>300.0</v>
      </c>
      <c r="B302" s="8" t="b">
        <v>0</v>
      </c>
      <c r="C302" s="16"/>
      <c r="D302" s="14"/>
      <c r="E302" s="14"/>
      <c r="F302" s="14"/>
      <c r="G302" s="14"/>
      <c r="H302" s="14"/>
    </row>
    <row r="303" ht="22.5" customHeight="1">
      <c r="A303" s="7">
        <v>301.0</v>
      </c>
      <c r="B303" s="8" t="b">
        <v>0</v>
      </c>
      <c r="C303" s="16"/>
      <c r="D303" s="14"/>
      <c r="E303" s="14"/>
      <c r="F303" s="14"/>
      <c r="G303" s="14"/>
      <c r="H303" s="14"/>
    </row>
    <row r="304" ht="22.5" customHeight="1">
      <c r="A304" s="7">
        <v>302.0</v>
      </c>
      <c r="B304" s="8" t="b">
        <v>0</v>
      </c>
      <c r="C304" s="16"/>
      <c r="D304" s="14"/>
      <c r="E304" s="14"/>
      <c r="F304" s="14"/>
      <c r="G304" s="14"/>
      <c r="H304" s="14"/>
    </row>
    <row r="305" ht="22.5" customHeight="1">
      <c r="A305" s="7">
        <v>303.0</v>
      </c>
      <c r="B305" s="8" t="b">
        <v>0</v>
      </c>
      <c r="C305" s="16"/>
      <c r="D305" s="14"/>
      <c r="E305" s="14"/>
      <c r="F305" s="14"/>
      <c r="G305" s="14"/>
      <c r="H305" s="14"/>
    </row>
    <row r="306" ht="22.5" customHeight="1">
      <c r="A306" s="7">
        <v>304.0</v>
      </c>
      <c r="B306" s="8" t="b">
        <v>0</v>
      </c>
      <c r="C306" s="16"/>
      <c r="D306" s="14"/>
      <c r="E306" s="14"/>
      <c r="F306" s="14"/>
      <c r="G306" s="14"/>
      <c r="H306" s="14"/>
    </row>
    <row r="307" ht="22.5" customHeight="1">
      <c r="A307" s="7">
        <v>305.0</v>
      </c>
      <c r="B307" s="8" t="b">
        <v>0</v>
      </c>
      <c r="C307" s="16"/>
      <c r="D307" s="14"/>
      <c r="E307" s="14"/>
      <c r="F307" s="14"/>
      <c r="G307" s="14"/>
      <c r="H307" s="14"/>
    </row>
    <row r="308" ht="22.5" customHeight="1">
      <c r="A308" s="7">
        <v>306.0</v>
      </c>
      <c r="B308" s="8" t="b">
        <v>0</v>
      </c>
      <c r="C308" s="16"/>
      <c r="D308" s="14"/>
      <c r="E308" s="14"/>
      <c r="F308" s="14"/>
      <c r="G308" s="14"/>
      <c r="H308" s="14"/>
    </row>
    <row r="309" ht="22.5" customHeight="1">
      <c r="A309" s="7">
        <v>307.0</v>
      </c>
      <c r="B309" s="8" t="b">
        <v>0</v>
      </c>
      <c r="C309" s="16"/>
      <c r="D309" s="14"/>
      <c r="E309" s="14"/>
      <c r="F309" s="14"/>
      <c r="G309" s="14"/>
      <c r="H309" s="14"/>
    </row>
    <row r="310" ht="22.5" customHeight="1">
      <c r="A310" s="7">
        <v>308.0</v>
      </c>
      <c r="B310" s="8" t="b">
        <v>0</v>
      </c>
      <c r="C310" s="16"/>
      <c r="D310" s="14"/>
      <c r="E310" s="14"/>
      <c r="F310" s="14"/>
      <c r="G310" s="14"/>
      <c r="H310" s="14"/>
    </row>
    <row r="311" ht="22.5" customHeight="1">
      <c r="A311" s="7">
        <v>309.0</v>
      </c>
      <c r="B311" s="8" t="b">
        <v>0</v>
      </c>
      <c r="C311" s="16"/>
      <c r="D311" s="14"/>
      <c r="E311" s="14"/>
      <c r="F311" s="14"/>
      <c r="G311" s="14"/>
      <c r="H311" s="14"/>
    </row>
    <row r="312" ht="22.5" customHeight="1">
      <c r="A312" s="7">
        <v>310.0</v>
      </c>
      <c r="B312" s="8"/>
      <c r="C312" s="16"/>
      <c r="D312" s="14"/>
      <c r="E312" s="14"/>
      <c r="F312" s="14"/>
      <c r="G312" s="14"/>
      <c r="H312" s="14"/>
    </row>
    <row r="313" ht="22.5" customHeight="1">
      <c r="A313" s="7">
        <v>311.0</v>
      </c>
      <c r="B313" s="8"/>
      <c r="C313" s="16"/>
      <c r="D313" s="14"/>
      <c r="E313" s="14"/>
      <c r="F313" s="14"/>
      <c r="G313" s="14"/>
      <c r="H313" s="14"/>
    </row>
    <row r="314" ht="22.5" customHeight="1">
      <c r="A314" s="7">
        <v>312.0</v>
      </c>
      <c r="B314" s="8"/>
      <c r="C314" s="16"/>
      <c r="D314" s="14"/>
      <c r="E314" s="14"/>
      <c r="F314" s="14"/>
      <c r="G314" s="14"/>
      <c r="H314" s="14"/>
    </row>
    <row r="315" ht="22.5" customHeight="1">
      <c r="A315" s="7">
        <v>313.0</v>
      </c>
      <c r="B315" s="8"/>
      <c r="C315" s="16"/>
      <c r="D315" s="14"/>
      <c r="E315" s="14"/>
      <c r="F315" s="14"/>
      <c r="G315" s="14"/>
      <c r="H315" s="14"/>
    </row>
    <row r="316" ht="22.5" customHeight="1">
      <c r="A316" s="7">
        <v>314.0</v>
      </c>
      <c r="B316" s="8"/>
      <c r="C316" s="16"/>
      <c r="D316" s="14"/>
      <c r="E316" s="14"/>
      <c r="F316" s="14"/>
      <c r="G316" s="14"/>
      <c r="H316" s="14"/>
    </row>
    <row r="317" ht="22.5" customHeight="1">
      <c r="A317" s="7">
        <v>315.0</v>
      </c>
      <c r="B317" s="8"/>
      <c r="C317" s="16"/>
      <c r="D317" s="14"/>
      <c r="E317" s="14"/>
      <c r="F317" s="14"/>
      <c r="G317" s="14"/>
      <c r="H317" s="14"/>
    </row>
    <row r="318" ht="22.5" customHeight="1">
      <c r="A318" s="7">
        <v>316.0</v>
      </c>
      <c r="B318" s="8"/>
      <c r="C318" s="16"/>
      <c r="D318" s="14"/>
      <c r="E318" s="14"/>
      <c r="F318" s="14"/>
      <c r="G318" s="14"/>
      <c r="H318" s="14"/>
    </row>
    <row r="319" ht="22.5" customHeight="1">
      <c r="A319" s="7">
        <v>317.0</v>
      </c>
      <c r="B319" s="8"/>
      <c r="C319" s="16"/>
      <c r="D319" s="14"/>
      <c r="E319" s="14"/>
      <c r="F319" s="14"/>
      <c r="G319" s="14"/>
      <c r="H319" s="14"/>
    </row>
    <row r="320" ht="22.5" customHeight="1">
      <c r="A320" s="7">
        <v>318.0</v>
      </c>
      <c r="B320" s="8"/>
      <c r="C320" s="16"/>
      <c r="D320" s="14"/>
      <c r="E320" s="14"/>
      <c r="F320" s="14"/>
      <c r="G320" s="14"/>
      <c r="H320" s="14"/>
    </row>
    <row r="321" ht="22.5" customHeight="1">
      <c r="A321" s="7">
        <v>319.0</v>
      </c>
      <c r="B321" s="8"/>
      <c r="C321" s="16"/>
      <c r="D321" s="14"/>
      <c r="E321" s="14"/>
      <c r="F321" s="14"/>
      <c r="G321" s="14"/>
      <c r="H321" s="14"/>
    </row>
    <row r="322" ht="22.5" customHeight="1">
      <c r="A322" s="7">
        <v>320.0</v>
      </c>
      <c r="B322" s="8"/>
      <c r="C322" s="16"/>
      <c r="D322" s="14"/>
      <c r="E322" s="14"/>
      <c r="F322" s="14"/>
      <c r="G322" s="14"/>
      <c r="H322" s="14"/>
    </row>
    <row r="323" ht="22.5" customHeight="1">
      <c r="A323" s="7">
        <v>321.0</v>
      </c>
      <c r="B323" s="8"/>
      <c r="C323" s="16"/>
      <c r="D323" s="14"/>
      <c r="E323" s="14"/>
      <c r="F323" s="14"/>
      <c r="G323" s="14"/>
      <c r="H323" s="14"/>
    </row>
    <row r="324" ht="22.5" customHeight="1">
      <c r="A324" s="7">
        <v>322.0</v>
      </c>
      <c r="B324" s="8"/>
      <c r="C324" s="16"/>
      <c r="D324" s="14"/>
      <c r="E324" s="14"/>
      <c r="F324" s="14"/>
      <c r="G324" s="14"/>
      <c r="H324" s="14"/>
    </row>
    <row r="325" ht="22.5" customHeight="1">
      <c r="A325" s="7">
        <v>323.0</v>
      </c>
      <c r="B325" s="8"/>
      <c r="C325" s="16"/>
      <c r="D325" s="14"/>
      <c r="E325" s="14"/>
      <c r="F325" s="14"/>
      <c r="G325" s="14"/>
      <c r="H325" s="14"/>
    </row>
    <row r="326" ht="22.5" customHeight="1">
      <c r="A326" s="7">
        <v>324.0</v>
      </c>
      <c r="B326" s="8"/>
      <c r="C326" s="16"/>
      <c r="D326" s="14"/>
      <c r="E326" s="14"/>
      <c r="F326" s="14"/>
      <c r="G326" s="14"/>
      <c r="H326" s="14"/>
    </row>
    <row r="327" ht="22.5" customHeight="1">
      <c r="A327" s="7">
        <v>325.0</v>
      </c>
      <c r="B327" s="8"/>
      <c r="C327" s="16"/>
      <c r="D327" s="14"/>
      <c r="E327" s="14"/>
      <c r="F327" s="14"/>
      <c r="G327" s="14"/>
      <c r="H327" s="14"/>
    </row>
    <row r="328" ht="22.5" customHeight="1">
      <c r="A328" s="7">
        <v>326.0</v>
      </c>
      <c r="B328" s="8"/>
      <c r="C328" s="16"/>
      <c r="D328" s="14"/>
      <c r="E328" s="14"/>
      <c r="F328" s="14"/>
      <c r="G328" s="14"/>
      <c r="H328" s="14"/>
    </row>
    <row r="329" ht="22.5" customHeight="1">
      <c r="A329" s="7">
        <v>327.0</v>
      </c>
      <c r="B329" s="8"/>
      <c r="C329" s="16"/>
      <c r="D329" s="14"/>
      <c r="E329" s="14"/>
      <c r="F329" s="14"/>
      <c r="G329" s="14"/>
      <c r="H329" s="14"/>
    </row>
    <row r="330" ht="22.5" customHeight="1">
      <c r="A330" s="7">
        <v>328.0</v>
      </c>
      <c r="B330" s="8"/>
      <c r="C330" s="16"/>
      <c r="D330" s="14"/>
      <c r="E330" s="14"/>
      <c r="F330" s="14"/>
      <c r="G330" s="14"/>
      <c r="H330" s="14"/>
    </row>
    <row r="331" ht="22.5" customHeight="1">
      <c r="A331" s="7">
        <v>329.0</v>
      </c>
      <c r="B331" s="8"/>
      <c r="C331" s="16"/>
      <c r="D331" s="14"/>
      <c r="E331" s="14"/>
      <c r="F331" s="14"/>
      <c r="G331" s="14"/>
      <c r="H331" s="14"/>
    </row>
    <row r="332" ht="22.5" customHeight="1">
      <c r="A332" s="7">
        <v>330.0</v>
      </c>
      <c r="B332" s="8"/>
      <c r="C332" s="16"/>
      <c r="D332" s="14"/>
      <c r="E332" s="14"/>
      <c r="F332" s="14"/>
      <c r="G332" s="14"/>
      <c r="H332" s="14"/>
    </row>
    <row r="333" ht="22.5" customHeight="1">
      <c r="A333" s="7">
        <v>331.0</v>
      </c>
      <c r="B333" s="8"/>
      <c r="C333" s="16"/>
      <c r="D333" s="14"/>
      <c r="E333" s="14"/>
      <c r="F333" s="14"/>
      <c r="G333" s="14"/>
      <c r="H333" s="14"/>
    </row>
    <row r="334" ht="22.5" customHeight="1">
      <c r="A334" s="7">
        <v>332.0</v>
      </c>
      <c r="B334" s="8"/>
      <c r="C334" s="16"/>
      <c r="D334" s="14"/>
      <c r="E334" s="14"/>
      <c r="F334" s="14"/>
      <c r="G334" s="14"/>
      <c r="H334" s="14"/>
    </row>
    <row r="335" ht="22.5" customHeight="1">
      <c r="A335" s="7">
        <v>333.0</v>
      </c>
      <c r="B335" s="8"/>
      <c r="C335" s="16"/>
      <c r="D335" s="14"/>
      <c r="E335" s="14"/>
      <c r="F335" s="14"/>
      <c r="G335" s="14"/>
      <c r="H335" s="14"/>
    </row>
    <row r="336" ht="22.5" customHeight="1">
      <c r="A336" s="7">
        <v>334.0</v>
      </c>
      <c r="B336" s="8"/>
      <c r="C336" s="16"/>
      <c r="D336" s="14"/>
      <c r="E336" s="14"/>
      <c r="F336" s="14"/>
      <c r="G336" s="14"/>
      <c r="H336" s="14"/>
    </row>
    <row r="337" ht="22.5" customHeight="1">
      <c r="A337" s="7">
        <v>335.0</v>
      </c>
      <c r="B337" s="8"/>
      <c r="C337" s="16"/>
      <c r="D337" s="14"/>
      <c r="E337" s="14"/>
      <c r="F337" s="14"/>
      <c r="G337" s="14"/>
      <c r="H337" s="14"/>
    </row>
    <row r="338" ht="22.5" customHeight="1">
      <c r="A338" s="7">
        <v>336.0</v>
      </c>
      <c r="B338" s="8"/>
      <c r="C338" s="16"/>
      <c r="D338" s="14"/>
      <c r="E338" s="14"/>
      <c r="F338" s="14"/>
      <c r="G338" s="14"/>
      <c r="H338" s="14"/>
    </row>
    <row r="339" ht="22.5" customHeight="1">
      <c r="A339" s="7">
        <v>337.0</v>
      </c>
      <c r="B339" s="8"/>
      <c r="C339" s="16"/>
      <c r="D339" s="14"/>
      <c r="E339" s="14"/>
      <c r="F339" s="14"/>
      <c r="G339" s="14"/>
      <c r="H339" s="14"/>
    </row>
    <row r="340" ht="22.5" customHeight="1">
      <c r="A340" s="7">
        <v>338.0</v>
      </c>
      <c r="B340" s="8"/>
      <c r="C340" s="16"/>
      <c r="D340" s="14"/>
      <c r="E340" s="14"/>
      <c r="F340" s="14"/>
      <c r="G340" s="14"/>
      <c r="H340" s="14"/>
    </row>
    <row r="341" ht="22.5" customHeight="1">
      <c r="A341" s="7">
        <v>339.0</v>
      </c>
      <c r="B341" s="8"/>
      <c r="C341" s="16"/>
      <c r="D341" s="14"/>
      <c r="E341" s="14"/>
      <c r="F341" s="14"/>
      <c r="G341" s="14"/>
      <c r="H341" s="14"/>
    </row>
    <row r="342" ht="22.5" customHeight="1">
      <c r="A342" s="7">
        <v>340.0</v>
      </c>
      <c r="B342" s="8"/>
      <c r="C342" s="16"/>
      <c r="D342" s="14"/>
      <c r="E342" s="14"/>
      <c r="F342" s="14"/>
      <c r="G342" s="14"/>
      <c r="H342" s="14"/>
    </row>
    <row r="343" ht="22.5" customHeight="1">
      <c r="A343" s="7">
        <v>341.0</v>
      </c>
      <c r="B343" s="8"/>
      <c r="C343" s="16"/>
      <c r="D343" s="14"/>
      <c r="E343" s="14"/>
      <c r="F343" s="14"/>
      <c r="G343" s="14"/>
      <c r="H343" s="14"/>
    </row>
    <row r="344" ht="22.5" customHeight="1">
      <c r="A344" s="7">
        <v>342.0</v>
      </c>
      <c r="B344" s="8"/>
      <c r="C344" s="16"/>
      <c r="D344" s="14"/>
      <c r="E344" s="14"/>
      <c r="F344" s="14"/>
      <c r="G344" s="14"/>
      <c r="H344" s="14"/>
    </row>
    <row r="345" ht="22.5" customHeight="1">
      <c r="A345" s="7">
        <v>343.0</v>
      </c>
      <c r="B345" s="8"/>
      <c r="C345" s="16"/>
      <c r="D345" s="14"/>
      <c r="E345" s="14"/>
      <c r="F345" s="14"/>
      <c r="G345" s="14"/>
      <c r="H345" s="14"/>
    </row>
    <row r="346" ht="22.5" customHeight="1">
      <c r="A346" s="7">
        <v>344.0</v>
      </c>
      <c r="B346" s="8"/>
      <c r="C346" s="16"/>
      <c r="D346" s="14"/>
      <c r="E346" s="14"/>
      <c r="F346" s="14"/>
      <c r="G346" s="14"/>
      <c r="H346" s="14"/>
    </row>
    <row r="347" ht="22.5" customHeight="1">
      <c r="A347" s="7">
        <v>345.0</v>
      </c>
      <c r="B347" s="8"/>
      <c r="C347" s="16"/>
      <c r="D347" s="14"/>
      <c r="E347" s="14"/>
      <c r="F347" s="14"/>
      <c r="G347" s="14"/>
      <c r="H347" s="14"/>
    </row>
    <row r="348" ht="22.5" customHeight="1">
      <c r="A348" s="7">
        <v>346.0</v>
      </c>
      <c r="B348" s="8"/>
      <c r="C348" s="16"/>
      <c r="D348" s="14"/>
      <c r="E348" s="14"/>
      <c r="F348" s="14"/>
      <c r="G348" s="14"/>
      <c r="H348" s="14"/>
    </row>
    <row r="349" ht="22.5" customHeight="1">
      <c r="A349" s="7">
        <v>347.0</v>
      </c>
      <c r="B349" s="8"/>
      <c r="C349" s="16"/>
      <c r="D349" s="14"/>
      <c r="E349" s="14"/>
      <c r="F349" s="14"/>
      <c r="G349" s="14"/>
      <c r="H349" s="14"/>
    </row>
    <row r="350" ht="22.5" customHeight="1">
      <c r="A350" s="7">
        <v>348.0</v>
      </c>
      <c r="B350" s="8"/>
      <c r="C350" s="16"/>
      <c r="D350" s="14"/>
      <c r="E350" s="14"/>
      <c r="F350" s="14"/>
      <c r="G350" s="14"/>
      <c r="H350" s="14"/>
    </row>
    <row r="351" ht="22.5" customHeight="1">
      <c r="A351" s="7">
        <v>349.0</v>
      </c>
      <c r="B351" s="8"/>
      <c r="C351" s="16"/>
      <c r="D351" s="14"/>
      <c r="E351" s="14"/>
      <c r="F351" s="14"/>
      <c r="G351" s="14"/>
      <c r="H351" s="14"/>
    </row>
    <row r="352" ht="22.5" customHeight="1">
      <c r="A352" s="7">
        <v>350.0</v>
      </c>
      <c r="B352" s="8"/>
      <c r="C352" s="16"/>
      <c r="D352" s="14"/>
      <c r="E352" s="14"/>
      <c r="F352" s="14"/>
      <c r="G352" s="14"/>
      <c r="H352" s="14"/>
    </row>
    <row r="353" ht="22.5" customHeight="1">
      <c r="A353" s="7">
        <v>351.0</v>
      </c>
      <c r="B353" s="8"/>
      <c r="C353" s="16"/>
      <c r="D353" s="14"/>
      <c r="E353" s="14"/>
      <c r="F353" s="14"/>
      <c r="G353" s="14"/>
      <c r="H353" s="14"/>
    </row>
    <row r="354" ht="22.5" customHeight="1">
      <c r="A354" s="7">
        <v>352.0</v>
      </c>
      <c r="B354" s="8"/>
      <c r="C354" s="16"/>
      <c r="D354" s="14"/>
      <c r="E354" s="14"/>
      <c r="F354" s="14"/>
      <c r="G354" s="14"/>
      <c r="H354" s="14"/>
    </row>
    <row r="355" ht="22.5" customHeight="1">
      <c r="A355" s="7">
        <v>353.0</v>
      </c>
      <c r="B355" s="8"/>
      <c r="C355" s="16"/>
      <c r="D355" s="14"/>
      <c r="E355" s="14"/>
      <c r="F355" s="14"/>
      <c r="G355" s="14"/>
      <c r="H355" s="14"/>
    </row>
    <row r="356" ht="22.5" customHeight="1">
      <c r="A356" s="7">
        <v>354.0</v>
      </c>
      <c r="B356" s="8"/>
      <c r="C356" s="16"/>
      <c r="D356" s="14"/>
      <c r="E356" s="14"/>
      <c r="F356" s="14"/>
      <c r="G356" s="14"/>
      <c r="H356" s="14"/>
    </row>
    <row r="357" ht="22.5" customHeight="1">
      <c r="A357" s="7">
        <v>355.0</v>
      </c>
      <c r="B357" s="8"/>
      <c r="C357" s="16"/>
      <c r="D357" s="14"/>
      <c r="E357" s="14"/>
      <c r="F357" s="14"/>
      <c r="G357" s="14"/>
      <c r="H357" s="14"/>
    </row>
    <row r="358" ht="22.5" customHeight="1">
      <c r="A358" s="7">
        <v>356.0</v>
      </c>
      <c r="B358" s="8"/>
      <c r="C358" s="16"/>
      <c r="D358" s="14"/>
      <c r="E358" s="14"/>
      <c r="F358" s="14"/>
      <c r="G358" s="14"/>
      <c r="H358" s="14"/>
    </row>
    <row r="359" ht="22.5" customHeight="1">
      <c r="A359" s="7">
        <v>357.0</v>
      </c>
      <c r="B359" s="8"/>
      <c r="C359" s="16"/>
      <c r="D359" s="14"/>
      <c r="E359" s="14"/>
      <c r="F359" s="14"/>
      <c r="G359" s="14"/>
      <c r="H359" s="14"/>
    </row>
    <row r="360" ht="22.5" customHeight="1">
      <c r="A360" s="7">
        <v>358.0</v>
      </c>
      <c r="B360" s="8"/>
      <c r="C360" s="16"/>
      <c r="D360" s="14"/>
      <c r="E360" s="14"/>
      <c r="F360" s="14"/>
      <c r="G360" s="14"/>
      <c r="H360" s="14"/>
    </row>
    <row r="361" ht="22.5" customHeight="1">
      <c r="A361" s="7">
        <v>359.0</v>
      </c>
      <c r="B361" s="8"/>
      <c r="C361" s="16"/>
      <c r="D361" s="14"/>
      <c r="E361" s="14"/>
      <c r="F361" s="14"/>
      <c r="G361" s="14"/>
      <c r="H361" s="14"/>
    </row>
    <row r="362" ht="22.5" customHeight="1">
      <c r="A362" s="7">
        <v>360.0</v>
      </c>
      <c r="B362" s="8"/>
      <c r="C362" s="16"/>
      <c r="D362" s="14"/>
      <c r="E362" s="14"/>
      <c r="F362" s="14"/>
      <c r="G362" s="14"/>
      <c r="H362" s="14"/>
    </row>
    <row r="363" ht="22.5" customHeight="1">
      <c r="A363" s="7">
        <v>361.0</v>
      </c>
      <c r="B363" s="8"/>
      <c r="C363" s="16"/>
      <c r="D363" s="14"/>
      <c r="E363" s="14"/>
      <c r="F363" s="14"/>
      <c r="G363" s="14"/>
      <c r="H363" s="14"/>
    </row>
    <row r="364" ht="22.5" customHeight="1">
      <c r="A364" s="7">
        <v>362.0</v>
      </c>
      <c r="B364" s="8"/>
      <c r="C364" s="16"/>
      <c r="D364" s="14"/>
      <c r="E364" s="14"/>
      <c r="F364" s="14"/>
      <c r="G364" s="14"/>
      <c r="H364" s="14"/>
    </row>
    <row r="365" ht="22.5" customHeight="1">
      <c r="A365" s="7">
        <v>363.0</v>
      </c>
      <c r="B365" s="8"/>
      <c r="C365" s="16"/>
      <c r="D365" s="14"/>
      <c r="E365" s="14"/>
      <c r="F365" s="14"/>
      <c r="G365" s="14"/>
      <c r="H365" s="14"/>
    </row>
    <row r="366" ht="22.5" customHeight="1">
      <c r="A366" s="7">
        <v>364.0</v>
      </c>
      <c r="B366" s="8"/>
      <c r="C366" s="16"/>
      <c r="D366" s="14"/>
      <c r="E366" s="14"/>
      <c r="F366" s="14"/>
      <c r="G366" s="14"/>
      <c r="H366" s="14"/>
    </row>
    <row r="367" ht="22.5" customHeight="1">
      <c r="A367" s="7">
        <v>365.0</v>
      </c>
      <c r="B367" s="8"/>
      <c r="C367" s="16"/>
      <c r="D367" s="14"/>
      <c r="E367" s="14"/>
      <c r="F367" s="14"/>
      <c r="G367" s="14"/>
      <c r="H367" s="14"/>
    </row>
    <row r="368" ht="22.5" customHeight="1">
      <c r="A368" s="7">
        <v>366.0</v>
      </c>
      <c r="B368" s="8"/>
      <c r="C368" s="16"/>
      <c r="D368" s="14"/>
      <c r="E368" s="14"/>
      <c r="F368" s="14"/>
      <c r="G368" s="14"/>
      <c r="H368" s="14"/>
    </row>
    <row r="369" ht="22.5" customHeight="1">
      <c r="A369" s="7">
        <v>367.0</v>
      </c>
      <c r="B369" s="8"/>
      <c r="C369" s="16"/>
      <c r="D369" s="14"/>
      <c r="E369" s="14"/>
      <c r="F369" s="14"/>
      <c r="G369" s="14"/>
      <c r="H369" s="14"/>
    </row>
    <row r="370" ht="22.5" customHeight="1">
      <c r="A370" s="7">
        <v>368.0</v>
      </c>
      <c r="B370" s="8"/>
      <c r="C370" s="16"/>
      <c r="D370" s="14"/>
      <c r="E370" s="14"/>
      <c r="F370" s="14"/>
      <c r="G370" s="14"/>
      <c r="H370" s="14"/>
    </row>
    <row r="371" ht="22.5" customHeight="1">
      <c r="A371" s="7">
        <v>369.0</v>
      </c>
      <c r="B371" s="8"/>
      <c r="C371" s="16"/>
      <c r="D371" s="14"/>
      <c r="E371" s="14"/>
      <c r="F371" s="14"/>
      <c r="G371" s="14"/>
      <c r="H371" s="14"/>
    </row>
    <row r="372" ht="22.5" customHeight="1">
      <c r="A372" s="7">
        <v>370.0</v>
      </c>
      <c r="B372" s="8"/>
      <c r="C372" s="16"/>
      <c r="D372" s="14"/>
      <c r="E372" s="14"/>
      <c r="F372" s="14"/>
      <c r="G372" s="14"/>
      <c r="H372" s="14"/>
    </row>
    <row r="373" ht="22.5" customHeight="1">
      <c r="A373" s="7">
        <v>371.0</v>
      </c>
      <c r="B373" s="8"/>
      <c r="C373" s="16"/>
      <c r="D373" s="14"/>
      <c r="E373" s="14"/>
      <c r="F373" s="14"/>
      <c r="G373" s="14"/>
      <c r="H373" s="14"/>
    </row>
    <row r="374" ht="22.5" customHeight="1">
      <c r="A374" s="7">
        <v>372.0</v>
      </c>
      <c r="B374" s="8"/>
      <c r="C374" s="16"/>
      <c r="D374" s="14"/>
      <c r="E374" s="14"/>
      <c r="F374" s="14"/>
      <c r="G374" s="14"/>
      <c r="H374" s="14"/>
    </row>
    <row r="375" ht="22.5" customHeight="1">
      <c r="A375" s="7">
        <v>373.0</v>
      </c>
      <c r="B375" s="8"/>
      <c r="C375" s="16"/>
      <c r="D375" s="14"/>
      <c r="E375" s="14"/>
      <c r="F375" s="14"/>
      <c r="G375" s="14"/>
      <c r="H375" s="14"/>
    </row>
    <row r="376" ht="22.5" customHeight="1">
      <c r="A376" s="7">
        <v>374.0</v>
      </c>
      <c r="B376" s="8"/>
      <c r="C376" s="16"/>
      <c r="D376" s="14"/>
      <c r="E376" s="14"/>
      <c r="F376" s="14"/>
      <c r="G376" s="14"/>
      <c r="H376" s="14"/>
    </row>
    <row r="377" ht="22.5" customHeight="1">
      <c r="A377" s="7">
        <v>375.0</v>
      </c>
      <c r="B377" s="8"/>
      <c r="C377" s="16"/>
      <c r="D377" s="14"/>
      <c r="E377" s="14"/>
      <c r="F377" s="14"/>
      <c r="G377" s="14"/>
      <c r="H377" s="14"/>
    </row>
    <row r="378" ht="22.5" customHeight="1">
      <c r="A378" s="7">
        <v>376.0</v>
      </c>
      <c r="B378" s="8"/>
      <c r="C378" s="16"/>
      <c r="D378" s="14"/>
      <c r="E378" s="14"/>
      <c r="F378" s="14"/>
      <c r="G378" s="14"/>
      <c r="H378" s="14"/>
    </row>
    <row r="379" ht="22.5" customHeight="1">
      <c r="A379" s="7">
        <v>377.0</v>
      </c>
      <c r="B379" s="8"/>
      <c r="C379" s="16"/>
      <c r="D379" s="14"/>
      <c r="E379" s="14"/>
      <c r="F379" s="14"/>
      <c r="G379" s="14"/>
      <c r="H379" s="14"/>
    </row>
    <row r="380" ht="22.5" customHeight="1">
      <c r="A380" s="7">
        <v>378.0</v>
      </c>
      <c r="B380" s="8"/>
      <c r="C380" s="16"/>
      <c r="D380" s="14"/>
      <c r="E380" s="14"/>
      <c r="F380" s="14"/>
      <c r="G380" s="14"/>
      <c r="H380" s="14"/>
    </row>
    <row r="381" ht="22.5" customHeight="1">
      <c r="A381" s="7">
        <v>379.0</v>
      </c>
      <c r="B381" s="8"/>
      <c r="C381" s="16"/>
      <c r="D381" s="14"/>
      <c r="E381" s="14"/>
      <c r="F381" s="14"/>
      <c r="G381" s="14"/>
      <c r="H381" s="14"/>
    </row>
    <row r="382" ht="22.5" customHeight="1">
      <c r="A382" s="7">
        <v>380.0</v>
      </c>
      <c r="B382" s="8"/>
      <c r="C382" s="16"/>
      <c r="D382" s="14"/>
      <c r="E382" s="14"/>
      <c r="F382" s="14"/>
      <c r="G382" s="14"/>
      <c r="H382" s="14"/>
    </row>
    <row r="383" ht="22.5" customHeight="1">
      <c r="A383" s="7">
        <v>381.0</v>
      </c>
      <c r="B383" s="8"/>
      <c r="C383" s="16"/>
      <c r="D383" s="14"/>
      <c r="E383" s="14"/>
      <c r="F383" s="14"/>
      <c r="G383" s="14"/>
      <c r="H383" s="14"/>
    </row>
    <row r="384" ht="22.5" customHeight="1">
      <c r="A384" s="7">
        <v>382.0</v>
      </c>
      <c r="B384" s="8"/>
      <c r="C384" s="16"/>
      <c r="D384" s="14"/>
      <c r="E384" s="14"/>
      <c r="F384" s="14"/>
      <c r="G384" s="14"/>
      <c r="H384" s="14"/>
    </row>
    <row r="385" ht="22.5" customHeight="1">
      <c r="A385" s="7">
        <v>383.0</v>
      </c>
      <c r="B385" s="8"/>
      <c r="C385" s="16"/>
      <c r="D385" s="14"/>
      <c r="E385" s="14"/>
      <c r="F385" s="14"/>
      <c r="G385" s="14"/>
      <c r="H385" s="14"/>
    </row>
    <row r="386" ht="22.5" customHeight="1">
      <c r="A386" s="7">
        <v>384.0</v>
      </c>
      <c r="B386" s="8"/>
      <c r="C386" s="16"/>
      <c r="D386" s="14"/>
      <c r="E386" s="14"/>
      <c r="F386" s="14"/>
      <c r="G386" s="14"/>
      <c r="H386" s="14"/>
    </row>
    <row r="387" ht="22.5" customHeight="1">
      <c r="A387" s="7">
        <v>385.0</v>
      </c>
      <c r="B387" s="8"/>
      <c r="C387" s="16"/>
      <c r="D387" s="14"/>
      <c r="E387" s="14"/>
      <c r="F387" s="14"/>
      <c r="G387" s="14"/>
      <c r="H387" s="14"/>
    </row>
    <row r="388" ht="22.5" customHeight="1">
      <c r="A388" s="7">
        <v>386.0</v>
      </c>
      <c r="B388" s="8"/>
      <c r="C388" s="16"/>
      <c r="D388" s="14"/>
      <c r="E388" s="14"/>
      <c r="F388" s="14"/>
      <c r="G388" s="14"/>
      <c r="H388" s="14"/>
    </row>
    <row r="389" ht="22.5" customHeight="1">
      <c r="A389" s="7">
        <v>387.0</v>
      </c>
      <c r="B389" s="8"/>
      <c r="C389" s="16"/>
      <c r="D389" s="14"/>
      <c r="E389" s="14"/>
      <c r="F389" s="14"/>
      <c r="G389" s="14"/>
      <c r="H389" s="14"/>
    </row>
    <row r="390" ht="22.5" customHeight="1">
      <c r="A390" s="7">
        <v>388.0</v>
      </c>
      <c r="B390" s="8"/>
      <c r="C390" s="16"/>
      <c r="D390" s="14"/>
      <c r="E390" s="14"/>
      <c r="F390" s="14"/>
      <c r="G390" s="14"/>
      <c r="H390" s="14"/>
    </row>
    <row r="391" ht="22.5" customHeight="1">
      <c r="A391" s="7">
        <v>389.0</v>
      </c>
      <c r="B391" s="8"/>
      <c r="C391" s="16"/>
      <c r="D391" s="14"/>
      <c r="E391" s="14"/>
      <c r="F391" s="14"/>
      <c r="G391" s="14"/>
      <c r="H391" s="14"/>
    </row>
    <row r="392" ht="22.5" customHeight="1">
      <c r="A392" s="7">
        <v>390.0</v>
      </c>
      <c r="B392" s="8"/>
      <c r="C392" s="16"/>
      <c r="D392" s="14"/>
      <c r="E392" s="14"/>
      <c r="F392" s="14"/>
      <c r="G392" s="14"/>
      <c r="H392" s="14"/>
    </row>
    <row r="393" ht="22.5" customHeight="1">
      <c r="A393" s="7">
        <v>391.0</v>
      </c>
      <c r="B393" s="8"/>
      <c r="C393" s="16"/>
      <c r="D393" s="14"/>
      <c r="E393" s="14"/>
      <c r="F393" s="14"/>
      <c r="G393" s="14"/>
      <c r="H393" s="14"/>
    </row>
    <row r="394" ht="22.5" customHeight="1">
      <c r="A394" s="7">
        <v>392.0</v>
      </c>
      <c r="B394" s="8"/>
      <c r="C394" s="16"/>
      <c r="D394" s="14"/>
      <c r="E394" s="14"/>
      <c r="F394" s="14"/>
      <c r="G394" s="14"/>
      <c r="H394" s="14"/>
    </row>
    <row r="395" ht="22.5" customHeight="1">
      <c r="A395" s="7">
        <v>393.0</v>
      </c>
      <c r="B395" s="8"/>
      <c r="C395" s="16"/>
      <c r="D395" s="14"/>
      <c r="E395" s="14"/>
      <c r="F395" s="14"/>
      <c r="G395" s="14"/>
      <c r="H395" s="14"/>
    </row>
    <row r="396" ht="22.5" customHeight="1">
      <c r="A396" s="7">
        <v>394.0</v>
      </c>
      <c r="B396" s="8"/>
      <c r="C396" s="16"/>
      <c r="D396" s="14"/>
      <c r="E396" s="14"/>
      <c r="F396" s="14"/>
      <c r="G396" s="14"/>
      <c r="H396" s="14"/>
    </row>
    <row r="397" ht="22.5" customHeight="1">
      <c r="A397" s="7">
        <v>395.0</v>
      </c>
      <c r="B397" s="8"/>
      <c r="C397" s="16"/>
      <c r="D397" s="14"/>
      <c r="E397" s="14"/>
      <c r="F397" s="14"/>
      <c r="G397" s="14"/>
      <c r="H397" s="14"/>
    </row>
    <row r="398" ht="22.5" customHeight="1">
      <c r="A398" s="7">
        <v>396.0</v>
      </c>
      <c r="B398" s="8"/>
      <c r="C398" s="16"/>
      <c r="D398" s="14"/>
      <c r="E398" s="14"/>
      <c r="F398" s="14"/>
      <c r="G398" s="14"/>
      <c r="H398" s="14"/>
    </row>
    <row r="399" ht="22.5" customHeight="1">
      <c r="A399" s="7">
        <v>397.0</v>
      </c>
      <c r="B399" s="8"/>
      <c r="C399" s="16"/>
      <c r="D399" s="14"/>
      <c r="E399" s="14"/>
      <c r="F399" s="14"/>
      <c r="G399" s="14"/>
      <c r="H399" s="14"/>
    </row>
    <row r="400" ht="22.5" customHeight="1">
      <c r="A400" s="7">
        <v>398.0</v>
      </c>
      <c r="B400" s="8"/>
      <c r="C400" s="16"/>
      <c r="D400" s="14"/>
      <c r="E400" s="14"/>
      <c r="F400" s="14"/>
      <c r="G400" s="14"/>
      <c r="H400" s="14"/>
    </row>
    <row r="401" ht="22.5" customHeight="1">
      <c r="A401" s="7">
        <v>399.0</v>
      </c>
      <c r="B401" s="8"/>
      <c r="C401" s="16"/>
      <c r="D401" s="14"/>
      <c r="E401" s="14"/>
      <c r="F401" s="14"/>
      <c r="G401" s="14"/>
      <c r="H401" s="14"/>
    </row>
    <row r="402" ht="22.5" customHeight="1">
      <c r="A402" s="7">
        <v>400.0</v>
      </c>
      <c r="B402" s="8"/>
      <c r="C402" s="16"/>
      <c r="D402" s="14"/>
      <c r="E402" s="14"/>
      <c r="F402" s="14"/>
      <c r="G402" s="14"/>
      <c r="H402" s="14"/>
    </row>
    <row r="403" ht="22.5" customHeight="1">
      <c r="A403" s="7">
        <v>401.0</v>
      </c>
      <c r="B403" s="8"/>
      <c r="C403" s="16"/>
      <c r="D403" s="14"/>
      <c r="E403" s="14"/>
      <c r="F403" s="14"/>
      <c r="G403" s="14"/>
      <c r="H403" s="14"/>
    </row>
    <row r="404" ht="22.5" customHeight="1">
      <c r="A404" s="7">
        <v>402.0</v>
      </c>
      <c r="B404" s="8"/>
      <c r="C404" s="16"/>
      <c r="D404" s="14"/>
      <c r="E404" s="14"/>
      <c r="F404" s="14"/>
      <c r="G404" s="14"/>
      <c r="H404" s="14"/>
    </row>
    <row r="405" ht="22.5" customHeight="1">
      <c r="A405" s="7">
        <v>403.0</v>
      </c>
      <c r="B405" s="8"/>
      <c r="C405" s="16"/>
      <c r="D405" s="14"/>
      <c r="E405" s="14"/>
      <c r="F405" s="14"/>
      <c r="G405" s="14"/>
      <c r="H405" s="14"/>
    </row>
    <row r="406" ht="22.5" customHeight="1">
      <c r="A406" s="7">
        <v>404.0</v>
      </c>
      <c r="B406" s="8"/>
      <c r="C406" s="16"/>
      <c r="D406" s="14"/>
      <c r="E406" s="14"/>
      <c r="F406" s="14"/>
      <c r="G406" s="14"/>
      <c r="H406" s="14"/>
    </row>
    <row r="407" ht="22.5" customHeight="1">
      <c r="A407" s="7">
        <v>405.0</v>
      </c>
      <c r="B407" s="8"/>
      <c r="C407" s="16"/>
      <c r="D407" s="14"/>
      <c r="E407" s="14"/>
      <c r="F407" s="14"/>
      <c r="G407" s="14"/>
      <c r="H407" s="14"/>
    </row>
    <row r="408" ht="22.5" customHeight="1">
      <c r="A408" s="7">
        <v>406.0</v>
      </c>
      <c r="B408" s="8"/>
      <c r="C408" s="16"/>
      <c r="D408" s="14"/>
      <c r="E408" s="14"/>
      <c r="F408" s="14"/>
      <c r="G408" s="14"/>
      <c r="H408" s="14"/>
    </row>
    <row r="409" ht="22.5" customHeight="1">
      <c r="A409" s="7">
        <v>407.0</v>
      </c>
      <c r="B409" s="8"/>
      <c r="C409" s="16"/>
      <c r="D409" s="14"/>
      <c r="E409" s="14"/>
      <c r="F409" s="14"/>
      <c r="G409" s="14"/>
      <c r="H409" s="14"/>
    </row>
    <row r="410" ht="22.5" customHeight="1">
      <c r="A410" s="7">
        <v>408.0</v>
      </c>
      <c r="B410" s="8"/>
      <c r="C410" s="16"/>
      <c r="D410" s="14"/>
      <c r="E410" s="14"/>
      <c r="F410" s="14"/>
      <c r="G410" s="14"/>
      <c r="H410" s="14"/>
    </row>
    <row r="411" ht="22.5" customHeight="1">
      <c r="A411" s="7">
        <v>409.0</v>
      </c>
      <c r="B411" s="8"/>
      <c r="C411" s="16"/>
      <c r="D411" s="14"/>
      <c r="E411" s="14"/>
      <c r="F411" s="14"/>
      <c r="G411" s="14"/>
      <c r="H411" s="14"/>
    </row>
    <row r="412" ht="22.5" customHeight="1">
      <c r="A412" s="7">
        <v>410.0</v>
      </c>
      <c r="B412" s="8"/>
      <c r="C412" s="16"/>
      <c r="D412" s="14"/>
      <c r="E412" s="14"/>
      <c r="F412" s="14"/>
      <c r="G412" s="14"/>
      <c r="H412" s="14"/>
    </row>
    <row r="413" ht="22.5" customHeight="1">
      <c r="A413" s="7">
        <v>411.0</v>
      </c>
      <c r="B413" s="8"/>
      <c r="C413" s="16"/>
      <c r="D413" s="14"/>
      <c r="E413" s="14"/>
      <c r="F413" s="14"/>
      <c r="G413" s="14"/>
      <c r="H413" s="14"/>
    </row>
    <row r="414" ht="22.5" customHeight="1">
      <c r="A414" s="7">
        <v>412.0</v>
      </c>
      <c r="B414" s="8"/>
      <c r="C414" s="16"/>
      <c r="D414" s="14"/>
      <c r="E414" s="14"/>
      <c r="F414" s="14"/>
      <c r="G414" s="14"/>
      <c r="H414" s="14"/>
    </row>
    <row r="415" ht="22.5" customHeight="1">
      <c r="A415" s="7">
        <v>413.0</v>
      </c>
      <c r="B415" s="8"/>
      <c r="C415" s="16"/>
      <c r="D415" s="14"/>
      <c r="E415" s="14"/>
      <c r="F415" s="14"/>
      <c r="G415" s="14"/>
      <c r="H415" s="14"/>
    </row>
    <row r="416" ht="22.5" customHeight="1">
      <c r="A416" s="7">
        <v>414.0</v>
      </c>
      <c r="B416" s="8"/>
      <c r="C416" s="16"/>
      <c r="D416" s="14"/>
      <c r="E416" s="14"/>
      <c r="F416" s="14"/>
      <c r="G416" s="14"/>
      <c r="H416" s="14"/>
    </row>
    <row r="417" ht="22.5" customHeight="1">
      <c r="A417" s="7">
        <v>415.0</v>
      </c>
      <c r="B417" s="8"/>
      <c r="C417" s="16"/>
      <c r="D417" s="14"/>
      <c r="E417" s="14"/>
      <c r="F417" s="14"/>
      <c r="G417" s="14"/>
      <c r="H417" s="14"/>
    </row>
    <row r="418" ht="22.5" customHeight="1">
      <c r="A418" s="7">
        <v>416.0</v>
      </c>
      <c r="B418" s="8"/>
      <c r="C418" s="16"/>
      <c r="D418" s="14"/>
      <c r="E418" s="14"/>
      <c r="F418" s="14"/>
      <c r="G418" s="14"/>
      <c r="H418" s="14"/>
    </row>
    <row r="419" ht="22.5" customHeight="1">
      <c r="A419" s="7">
        <v>417.0</v>
      </c>
      <c r="B419" s="8"/>
      <c r="C419" s="16"/>
      <c r="D419" s="14"/>
      <c r="E419" s="14"/>
      <c r="F419" s="14"/>
      <c r="G419" s="14"/>
      <c r="H419" s="14"/>
    </row>
    <row r="420" ht="22.5" customHeight="1">
      <c r="A420" s="7">
        <v>418.0</v>
      </c>
      <c r="B420" s="8"/>
      <c r="C420" s="16"/>
      <c r="D420" s="14"/>
      <c r="E420" s="14"/>
      <c r="F420" s="14"/>
      <c r="G420" s="14"/>
      <c r="H420" s="14"/>
    </row>
    <row r="421" ht="22.5" customHeight="1">
      <c r="A421" s="7">
        <v>419.0</v>
      </c>
      <c r="B421" s="8"/>
      <c r="C421" s="16"/>
      <c r="D421" s="14"/>
      <c r="E421" s="14"/>
      <c r="F421" s="14"/>
      <c r="G421" s="14"/>
      <c r="H421" s="14"/>
    </row>
    <row r="422" ht="22.5" customHeight="1">
      <c r="A422" s="7">
        <v>420.0</v>
      </c>
      <c r="B422" s="8"/>
      <c r="C422" s="16"/>
      <c r="D422" s="14"/>
      <c r="E422" s="14"/>
      <c r="F422" s="14"/>
      <c r="G422" s="14"/>
      <c r="H422" s="14"/>
    </row>
    <row r="423" ht="22.5" customHeight="1">
      <c r="A423" s="7">
        <v>421.0</v>
      </c>
      <c r="B423" s="8"/>
      <c r="C423" s="16"/>
      <c r="D423" s="14"/>
      <c r="E423" s="14"/>
      <c r="F423" s="14"/>
      <c r="G423" s="14"/>
      <c r="H423" s="14"/>
    </row>
    <row r="424" ht="22.5" customHeight="1">
      <c r="A424" s="7">
        <v>422.0</v>
      </c>
      <c r="B424" s="8"/>
      <c r="C424" s="16"/>
      <c r="D424" s="14"/>
      <c r="E424" s="14"/>
      <c r="F424" s="14"/>
      <c r="G424" s="14"/>
      <c r="H424" s="14"/>
    </row>
    <row r="425" ht="22.5" customHeight="1">
      <c r="A425" s="7">
        <v>423.0</v>
      </c>
      <c r="B425" s="8"/>
      <c r="C425" s="16"/>
      <c r="D425" s="14"/>
      <c r="E425" s="14"/>
      <c r="F425" s="14"/>
      <c r="G425" s="14"/>
      <c r="H425" s="14"/>
    </row>
    <row r="426" ht="22.5" customHeight="1">
      <c r="A426" s="7">
        <v>424.0</v>
      </c>
      <c r="B426" s="8"/>
      <c r="C426" s="16"/>
      <c r="D426" s="14"/>
      <c r="E426" s="14"/>
      <c r="F426" s="14"/>
      <c r="G426" s="14"/>
      <c r="H426" s="14"/>
    </row>
    <row r="427" ht="22.5" customHeight="1">
      <c r="A427" s="7">
        <v>425.0</v>
      </c>
      <c r="B427" s="8"/>
      <c r="C427" s="16"/>
      <c r="D427" s="14"/>
      <c r="E427" s="14"/>
      <c r="F427" s="14"/>
      <c r="G427" s="14"/>
      <c r="H427" s="14"/>
    </row>
    <row r="428" ht="22.5" customHeight="1">
      <c r="A428" s="7">
        <v>426.0</v>
      </c>
      <c r="B428" s="8"/>
      <c r="C428" s="16"/>
      <c r="D428" s="14"/>
      <c r="E428" s="14"/>
      <c r="F428" s="14"/>
      <c r="G428" s="14"/>
      <c r="H428" s="14"/>
    </row>
    <row r="429" ht="22.5" customHeight="1">
      <c r="A429" s="7">
        <v>427.0</v>
      </c>
      <c r="B429" s="8"/>
      <c r="C429" s="16"/>
      <c r="D429" s="14"/>
      <c r="E429" s="14"/>
      <c r="F429" s="14"/>
      <c r="G429" s="14"/>
      <c r="H429" s="14"/>
    </row>
    <row r="430" ht="22.5" customHeight="1">
      <c r="A430" s="7">
        <v>428.0</v>
      </c>
      <c r="B430" s="8"/>
      <c r="C430" s="16"/>
      <c r="D430" s="14"/>
      <c r="E430" s="14"/>
      <c r="F430" s="14"/>
      <c r="G430" s="14"/>
      <c r="H430" s="14"/>
    </row>
    <row r="431" ht="22.5" customHeight="1">
      <c r="A431" s="7">
        <v>429.0</v>
      </c>
      <c r="B431" s="8"/>
      <c r="C431" s="16"/>
      <c r="D431" s="14"/>
      <c r="E431" s="14"/>
      <c r="F431" s="14"/>
      <c r="G431" s="14"/>
      <c r="H431" s="14"/>
    </row>
    <row r="432" ht="22.5" customHeight="1">
      <c r="A432" s="7">
        <v>430.0</v>
      </c>
      <c r="B432" s="8"/>
      <c r="C432" s="16"/>
      <c r="D432" s="14"/>
      <c r="E432" s="14"/>
      <c r="F432" s="14"/>
      <c r="G432" s="14"/>
      <c r="H432" s="14"/>
    </row>
    <row r="433" ht="22.5" customHeight="1">
      <c r="A433" s="7">
        <v>431.0</v>
      </c>
      <c r="B433" s="8"/>
      <c r="C433" s="16"/>
      <c r="D433" s="14"/>
      <c r="E433" s="14"/>
      <c r="F433" s="14"/>
      <c r="G433" s="14"/>
      <c r="H433" s="14"/>
    </row>
    <row r="434" ht="22.5" customHeight="1">
      <c r="A434" s="7">
        <v>432.0</v>
      </c>
      <c r="B434" s="8"/>
      <c r="C434" s="16"/>
      <c r="D434" s="14"/>
      <c r="E434" s="14"/>
      <c r="F434" s="14"/>
      <c r="G434" s="14"/>
      <c r="H434" s="14"/>
    </row>
    <row r="435" ht="22.5" customHeight="1">
      <c r="A435" s="7">
        <v>433.0</v>
      </c>
      <c r="B435" s="8"/>
      <c r="C435" s="16"/>
      <c r="D435" s="14"/>
      <c r="E435" s="14"/>
      <c r="F435" s="14"/>
      <c r="G435" s="14"/>
      <c r="H435" s="14"/>
    </row>
    <row r="436" ht="22.5" customHeight="1">
      <c r="A436" s="7">
        <v>434.0</v>
      </c>
      <c r="B436" s="8"/>
      <c r="C436" s="16"/>
      <c r="D436" s="14"/>
      <c r="E436" s="14"/>
      <c r="F436" s="14"/>
      <c r="G436" s="14"/>
      <c r="H436" s="14"/>
    </row>
    <row r="437" ht="22.5" customHeight="1">
      <c r="A437" s="7">
        <v>435.0</v>
      </c>
      <c r="B437" s="8"/>
      <c r="C437" s="16"/>
      <c r="D437" s="14"/>
      <c r="E437" s="14"/>
      <c r="F437" s="14"/>
      <c r="G437" s="14"/>
      <c r="H437" s="14"/>
    </row>
    <row r="438" ht="22.5" customHeight="1">
      <c r="A438" s="7">
        <v>436.0</v>
      </c>
      <c r="B438" s="8"/>
      <c r="C438" s="16"/>
      <c r="D438" s="14"/>
      <c r="E438" s="14"/>
      <c r="F438" s="14"/>
      <c r="G438" s="14"/>
      <c r="H438" s="14"/>
    </row>
    <row r="439" ht="22.5" customHeight="1">
      <c r="A439" s="7">
        <v>437.0</v>
      </c>
      <c r="B439" s="8"/>
      <c r="C439" s="16"/>
      <c r="D439" s="14"/>
      <c r="E439" s="14"/>
      <c r="F439" s="14"/>
      <c r="G439" s="14"/>
      <c r="H439" s="14"/>
    </row>
    <row r="440" ht="22.5" customHeight="1">
      <c r="A440" s="7">
        <v>438.0</v>
      </c>
      <c r="B440" s="8"/>
      <c r="C440" s="16"/>
      <c r="D440" s="14"/>
      <c r="E440" s="14"/>
      <c r="F440" s="14"/>
      <c r="G440" s="14"/>
      <c r="H440" s="14"/>
    </row>
    <row r="441" ht="22.5" customHeight="1">
      <c r="A441" s="7">
        <v>439.0</v>
      </c>
      <c r="B441" s="8"/>
      <c r="C441" s="16"/>
      <c r="D441" s="14"/>
      <c r="E441" s="14"/>
      <c r="F441" s="14"/>
      <c r="G441" s="14"/>
      <c r="H441" s="14"/>
    </row>
    <row r="442" ht="22.5" customHeight="1">
      <c r="A442" s="7">
        <v>440.0</v>
      </c>
      <c r="B442" s="8"/>
      <c r="C442" s="16"/>
      <c r="D442" s="14"/>
      <c r="E442" s="14"/>
      <c r="F442" s="14"/>
      <c r="G442" s="14"/>
      <c r="H442" s="14"/>
    </row>
    <row r="443" ht="22.5" customHeight="1">
      <c r="A443" s="7">
        <v>441.0</v>
      </c>
      <c r="B443" s="8"/>
      <c r="C443" s="16"/>
      <c r="D443" s="14"/>
      <c r="E443" s="14"/>
      <c r="F443" s="14"/>
      <c r="G443" s="14"/>
      <c r="H443" s="14"/>
    </row>
    <row r="444" ht="22.5" customHeight="1">
      <c r="A444" s="7">
        <v>442.0</v>
      </c>
      <c r="B444" s="8"/>
      <c r="C444" s="16"/>
      <c r="D444" s="14"/>
      <c r="E444" s="14"/>
      <c r="F444" s="14"/>
      <c r="G444" s="14"/>
      <c r="H444" s="14"/>
    </row>
    <row r="445" ht="22.5" customHeight="1">
      <c r="A445" s="7">
        <v>443.0</v>
      </c>
      <c r="B445" s="8"/>
      <c r="C445" s="16"/>
      <c r="D445" s="14"/>
      <c r="E445" s="14"/>
      <c r="F445" s="14"/>
      <c r="G445" s="14"/>
      <c r="H445" s="14"/>
    </row>
    <row r="446" ht="22.5" customHeight="1">
      <c r="A446" s="7">
        <v>444.0</v>
      </c>
      <c r="B446" s="8"/>
      <c r="C446" s="16"/>
      <c r="D446" s="14"/>
      <c r="E446" s="14"/>
      <c r="F446" s="14"/>
      <c r="G446" s="14"/>
      <c r="H446" s="14"/>
    </row>
    <row r="447" ht="22.5" customHeight="1">
      <c r="A447" s="7">
        <v>445.0</v>
      </c>
      <c r="B447" s="8"/>
      <c r="C447" s="16"/>
      <c r="D447" s="14"/>
      <c r="E447" s="14"/>
      <c r="F447" s="14"/>
      <c r="G447" s="14"/>
      <c r="H447" s="14"/>
    </row>
    <row r="448" ht="22.5" customHeight="1">
      <c r="A448" s="7">
        <v>446.0</v>
      </c>
      <c r="B448" s="8"/>
      <c r="C448" s="16"/>
      <c r="D448" s="14"/>
      <c r="E448" s="14"/>
      <c r="F448" s="14"/>
      <c r="G448" s="14"/>
      <c r="H448" s="14"/>
    </row>
    <row r="449" ht="22.5" customHeight="1">
      <c r="A449" s="7">
        <v>447.0</v>
      </c>
      <c r="B449" s="8"/>
      <c r="C449" s="16"/>
      <c r="D449" s="14"/>
      <c r="E449" s="14"/>
      <c r="F449" s="14"/>
      <c r="G449" s="14"/>
      <c r="H449" s="14"/>
    </row>
    <row r="450" ht="22.5" customHeight="1">
      <c r="A450" s="7">
        <v>448.0</v>
      </c>
      <c r="B450" s="8"/>
      <c r="C450" s="16"/>
      <c r="D450" s="14"/>
      <c r="E450" s="14"/>
      <c r="F450" s="14"/>
      <c r="G450" s="14"/>
      <c r="H450" s="14"/>
    </row>
    <row r="451" ht="22.5" customHeight="1">
      <c r="A451" s="7">
        <v>449.0</v>
      </c>
      <c r="B451" s="8"/>
      <c r="C451" s="16"/>
      <c r="D451" s="14"/>
      <c r="E451" s="14"/>
      <c r="F451" s="14"/>
      <c r="G451" s="14"/>
      <c r="H451" s="14"/>
    </row>
    <row r="452" ht="22.5" customHeight="1">
      <c r="A452" s="7">
        <v>450.0</v>
      </c>
      <c r="B452" s="8"/>
      <c r="C452" s="16"/>
      <c r="D452" s="14"/>
      <c r="E452" s="14"/>
      <c r="F452" s="14"/>
      <c r="G452" s="14"/>
      <c r="H452" s="14"/>
    </row>
    <row r="453" ht="22.5" customHeight="1">
      <c r="A453" s="7">
        <v>451.0</v>
      </c>
      <c r="B453" s="8"/>
      <c r="C453" s="16"/>
      <c r="D453" s="14"/>
      <c r="E453" s="14"/>
      <c r="F453" s="14"/>
      <c r="G453" s="14"/>
      <c r="H453" s="14"/>
    </row>
    <row r="454" ht="22.5" customHeight="1">
      <c r="A454" s="7">
        <v>452.0</v>
      </c>
      <c r="B454" s="8"/>
      <c r="C454" s="16"/>
      <c r="D454" s="14"/>
      <c r="E454" s="14"/>
      <c r="F454" s="14"/>
      <c r="G454" s="14"/>
      <c r="H454" s="14"/>
    </row>
    <row r="455" ht="22.5" customHeight="1">
      <c r="A455" s="7">
        <v>453.0</v>
      </c>
      <c r="B455" s="8"/>
      <c r="C455" s="16"/>
      <c r="D455" s="14"/>
      <c r="E455" s="14"/>
      <c r="F455" s="14"/>
      <c r="G455" s="14"/>
      <c r="H455" s="14"/>
    </row>
    <row r="456" ht="22.5" customHeight="1">
      <c r="A456" s="7">
        <v>454.0</v>
      </c>
      <c r="B456" s="8"/>
      <c r="C456" s="16"/>
      <c r="D456" s="14"/>
      <c r="E456" s="14"/>
      <c r="F456" s="14"/>
      <c r="G456" s="14"/>
      <c r="H456" s="14"/>
    </row>
    <row r="457" ht="22.5" customHeight="1">
      <c r="A457" s="7">
        <v>455.0</v>
      </c>
      <c r="B457" s="8"/>
      <c r="C457" s="16"/>
      <c r="D457" s="14"/>
      <c r="E457" s="14"/>
      <c r="F457" s="14"/>
      <c r="G457" s="14"/>
      <c r="H457" s="14"/>
    </row>
    <row r="458" ht="22.5" customHeight="1">
      <c r="A458" s="7">
        <v>456.0</v>
      </c>
      <c r="B458" s="8"/>
      <c r="C458" s="16"/>
      <c r="D458" s="14"/>
      <c r="E458" s="14"/>
      <c r="F458" s="14"/>
      <c r="G458" s="14"/>
      <c r="H458" s="14"/>
    </row>
    <row r="459" ht="22.5" customHeight="1">
      <c r="A459" s="7">
        <v>457.0</v>
      </c>
      <c r="B459" s="8"/>
      <c r="C459" s="16"/>
      <c r="D459" s="14"/>
      <c r="E459" s="14"/>
      <c r="F459" s="14"/>
      <c r="G459" s="14"/>
      <c r="H459" s="14"/>
    </row>
    <row r="460" ht="22.5" customHeight="1">
      <c r="A460" s="7">
        <v>458.0</v>
      </c>
      <c r="B460" s="8"/>
      <c r="C460" s="16"/>
      <c r="D460" s="14"/>
      <c r="E460" s="14"/>
      <c r="F460" s="14"/>
      <c r="G460" s="14"/>
      <c r="H460" s="14"/>
    </row>
    <row r="461" ht="22.5" customHeight="1">
      <c r="A461" s="7">
        <v>459.0</v>
      </c>
      <c r="B461" s="8"/>
      <c r="C461" s="16"/>
      <c r="D461" s="14"/>
      <c r="E461" s="14"/>
      <c r="F461" s="14"/>
      <c r="G461" s="14"/>
      <c r="H461" s="14"/>
    </row>
    <row r="462" ht="22.5" customHeight="1">
      <c r="A462" s="7">
        <v>460.0</v>
      </c>
      <c r="B462" s="8"/>
      <c r="C462" s="16"/>
      <c r="D462" s="14"/>
      <c r="E462" s="14"/>
      <c r="F462" s="14"/>
      <c r="G462" s="14"/>
      <c r="H462" s="14"/>
    </row>
    <row r="463" ht="22.5" customHeight="1">
      <c r="A463" s="7">
        <v>461.0</v>
      </c>
      <c r="B463" s="8"/>
      <c r="C463" s="16"/>
      <c r="D463" s="14"/>
      <c r="E463" s="14"/>
      <c r="F463" s="14"/>
      <c r="G463" s="14"/>
      <c r="H463" s="14"/>
    </row>
    <row r="464" ht="22.5" customHeight="1">
      <c r="A464" s="7">
        <v>462.0</v>
      </c>
      <c r="B464" s="8"/>
      <c r="C464" s="16"/>
      <c r="D464" s="14"/>
      <c r="E464" s="14"/>
      <c r="F464" s="14"/>
      <c r="G464" s="14"/>
      <c r="H464" s="14"/>
    </row>
    <row r="465" ht="22.5" customHeight="1">
      <c r="A465" s="7">
        <v>463.0</v>
      </c>
      <c r="B465" s="8"/>
      <c r="C465" s="16"/>
      <c r="D465" s="14"/>
      <c r="E465" s="14"/>
      <c r="F465" s="14"/>
      <c r="G465" s="14"/>
      <c r="H465" s="14"/>
    </row>
    <row r="466" ht="22.5" customHeight="1">
      <c r="A466" s="7">
        <v>464.0</v>
      </c>
      <c r="B466" s="8"/>
      <c r="C466" s="16"/>
      <c r="D466" s="14"/>
      <c r="E466" s="14"/>
      <c r="F466" s="14"/>
      <c r="G466" s="14"/>
      <c r="H466" s="14"/>
    </row>
    <row r="467" ht="22.5" customHeight="1">
      <c r="A467" s="7">
        <v>465.0</v>
      </c>
      <c r="B467" s="8"/>
      <c r="C467" s="16"/>
      <c r="D467" s="14"/>
      <c r="E467" s="14"/>
      <c r="F467" s="14"/>
      <c r="G467" s="14"/>
      <c r="H467" s="14"/>
    </row>
    <row r="468" ht="22.5" customHeight="1">
      <c r="A468" s="7">
        <v>466.0</v>
      </c>
      <c r="B468" s="8"/>
      <c r="C468" s="16"/>
      <c r="D468" s="14"/>
      <c r="E468" s="14"/>
      <c r="F468" s="14"/>
      <c r="G468" s="14"/>
      <c r="H468" s="14"/>
    </row>
    <row r="469" ht="22.5" customHeight="1">
      <c r="A469" s="7">
        <v>467.0</v>
      </c>
      <c r="B469" s="8"/>
      <c r="C469" s="16"/>
      <c r="D469" s="14"/>
      <c r="E469" s="14"/>
      <c r="F469" s="14"/>
      <c r="G469" s="14"/>
      <c r="H469" s="14"/>
    </row>
    <row r="470" ht="22.5" customHeight="1">
      <c r="A470" s="7">
        <v>468.0</v>
      </c>
      <c r="B470" s="8"/>
      <c r="C470" s="16"/>
      <c r="D470" s="14"/>
      <c r="E470" s="14"/>
      <c r="F470" s="14"/>
      <c r="G470" s="14"/>
      <c r="H470" s="14"/>
    </row>
    <row r="471" ht="22.5" customHeight="1">
      <c r="A471" s="7">
        <v>469.0</v>
      </c>
      <c r="B471" s="8"/>
      <c r="C471" s="16"/>
      <c r="D471" s="14"/>
      <c r="E471" s="14"/>
      <c r="F471" s="14"/>
      <c r="G471" s="14"/>
      <c r="H471" s="14"/>
    </row>
    <row r="472" ht="22.5" customHeight="1">
      <c r="A472" s="7">
        <v>470.0</v>
      </c>
      <c r="B472" s="8"/>
      <c r="C472" s="16"/>
      <c r="D472" s="14"/>
      <c r="E472" s="14"/>
      <c r="F472" s="14"/>
      <c r="G472" s="14"/>
      <c r="H472" s="14"/>
    </row>
    <row r="473" ht="22.5" customHeight="1">
      <c r="A473" s="7">
        <v>471.0</v>
      </c>
      <c r="B473" s="8"/>
      <c r="C473" s="16"/>
      <c r="D473" s="14"/>
      <c r="E473" s="14"/>
      <c r="F473" s="14"/>
      <c r="G473" s="14"/>
      <c r="H473" s="14"/>
    </row>
    <row r="474" ht="22.5" customHeight="1">
      <c r="A474" s="7">
        <v>472.0</v>
      </c>
      <c r="B474" s="8"/>
      <c r="C474" s="16"/>
      <c r="D474" s="14"/>
      <c r="E474" s="14"/>
      <c r="F474" s="14"/>
      <c r="G474" s="14"/>
      <c r="H474" s="14"/>
    </row>
    <row r="475" ht="22.5" customHeight="1">
      <c r="A475" s="7">
        <v>473.0</v>
      </c>
      <c r="B475" s="8"/>
      <c r="C475" s="16"/>
      <c r="D475" s="14"/>
      <c r="E475" s="14"/>
      <c r="F475" s="14"/>
      <c r="G475" s="14"/>
      <c r="H475" s="14"/>
    </row>
    <row r="476" ht="22.5" customHeight="1">
      <c r="A476" s="7">
        <v>474.0</v>
      </c>
      <c r="B476" s="8"/>
      <c r="C476" s="16"/>
      <c r="D476" s="14"/>
      <c r="E476" s="14"/>
      <c r="F476" s="14"/>
      <c r="G476" s="14"/>
      <c r="H476" s="14"/>
    </row>
    <row r="477" ht="22.5" customHeight="1">
      <c r="A477" s="7">
        <v>475.0</v>
      </c>
      <c r="B477" s="8"/>
      <c r="C477" s="16"/>
      <c r="D477" s="14"/>
      <c r="E477" s="14"/>
      <c r="F477" s="14"/>
      <c r="G477" s="14"/>
      <c r="H477" s="14"/>
    </row>
    <row r="478" ht="22.5" customHeight="1">
      <c r="A478" s="7">
        <v>476.0</v>
      </c>
      <c r="B478" s="8"/>
      <c r="C478" s="16"/>
      <c r="D478" s="14"/>
      <c r="E478" s="14"/>
      <c r="F478" s="14"/>
      <c r="G478" s="14"/>
      <c r="H478" s="14"/>
    </row>
    <row r="479" ht="22.5" customHeight="1">
      <c r="A479" s="7">
        <v>477.0</v>
      </c>
      <c r="B479" s="8"/>
      <c r="C479" s="16"/>
      <c r="D479" s="14"/>
      <c r="E479" s="14"/>
      <c r="F479" s="14"/>
      <c r="G479" s="14"/>
      <c r="H479" s="14"/>
    </row>
    <row r="480" ht="22.5" customHeight="1">
      <c r="A480" s="7">
        <v>478.0</v>
      </c>
      <c r="B480" s="8"/>
      <c r="C480" s="16"/>
      <c r="D480" s="14"/>
      <c r="E480" s="14"/>
      <c r="F480" s="14"/>
      <c r="G480" s="14"/>
      <c r="H480" s="14"/>
    </row>
    <row r="481" ht="22.5" customHeight="1">
      <c r="A481" s="7">
        <v>479.0</v>
      </c>
      <c r="B481" s="8"/>
      <c r="C481" s="16"/>
      <c r="D481" s="14"/>
      <c r="E481" s="14"/>
      <c r="F481" s="14"/>
      <c r="G481" s="14"/>
      <c r="H481" s="14"/>
    </row>
    <row r="482" ht="22.5" customHeight="1">
      <c r="A482" s="7">
        <v>480.0</v>
      </c>
      <c r="B482" s="8"/>
      <c r="C482" s="16"/>
      <c r="D482" s="14"/>
      <c r="E482" s="14"/>
      <c r="F482" s="14"/>
      <c r="G482" s="14"/>
      <c r="H482" s="14"/>
    </row>
    <row r="483" ht="22.5" customHeight="1">
      <c r="A483" s="7">
        <v>481.0</v>
      </c>
      <c r="B483" s="8"/>
      <c r="C483" s="16"/>
      <c r="D483" s="14"/>
      <c r="E483" s="14"/>
      <c r="F483" s="14"/>
      <c r="G483" s="14"/>
      <c r="H483" s="14"/>
    </row>
    <row r="484" ht="22.5" customHeight="1">
      <c r="A484" s="7">
        <v>482.0</v>
      </c>
      <c r="B484" s="8"/>
      <c r="C484" s="16"/>
      <c r="D484" s="14"/>
      <c r="E484" s="14"/>
      <c r="F484" s="14"/>
      <c r="G484" s="14"/>
      <c r="H484" s="14"/>
    </row>
    <row r="485" ht="22.5" customHeight="1">
      <c r="A485" s="7">
        <v>483.0</v>
      </c>
      <c r="B485" s="8"/>
      <c r="C485" s="16"/>
      <c r="D485" s="14"/>
      <c r="E485" s="14"/>
      <c r="F485" s="14"/>
      <c r="G485" s="14"/>
      <c r="H485" s="14"/>
    </row>
    <row r="486" ht="22.5" customHeight="1">
      <c r="A486" s="7">
        <v>484.0</v>
      </c>
      <c r="B486" s="8"/>
      <c r="C486" s="16"/>
      <c r="D486" s="14"/>
      <c r="E486" s="14"/>
      <c r="F486" s="14"/>
      <c r="G486" s="14"/>
      <c r="H486" s="14"/>
    </row>
    <row r="487" ht="22.5" customHeight="1">
      <c r="A487" s="7">
        <v>485.0</v>
      </c>
      <c r="B487" s="8"/>
      <c r="C487" s="16"/>
      <c r="D487" s="14"/>
      <c r="E487" s="14"/>
      <c r="F487" s="14"/>
      <c r="G487" s="14"/>
      <c r="H487" s="14"/>
    </row>
    <row r="488" ht="22.5" customHeight="1">
      <c r="A488" s="7">
        <v>486.0</v>
      </c>
      <c r="B488" s="8"/>
      <c r="C488" s="16"/>
      <c r="D488" s="14"/>
      <c r="E488" s="14"/>
      <c r="F488" s="14"/>
      <c r="G488" s="14"/>
      <c r="H488" s="14"/>
    </row>
    <row r="489" ht="22.5" customHeight="1">
      <c r="A489" s="7">
        <v>487.0</v>
      </c>
      <c r="B489" s="8"/>
      <c r="C489" s="16"/>
      <c r="D489" s="14"/>
      <c r="E489" s="14"/>
      <c r="F489" s="14"/>
      <c r="G489" s="14"/>
      <c r="H489" s="14"/>
    </row>
    <row r="490" ht="22.5" customHeight="1">
      <c r="A490" s="7">
        <v>488.0</v>
      </c>
      <c r="B490" s="8"/>
      <c r="C490" s="16"/>
      <c r="D490" s="14"/>
      <c r="E490" s="14"/>
      <c r="F490" s="14"/>
      <c r="G490" s="14"/>
      <c r="H490" s="14"/>
    </row>
    <row r="491" ht="22.5" customHeight="1">
      <c r="A491" s="7">
        <v>489.0</v>
      </c>
      <c r="B491" s="8"/>
      <c r="C491" s="16"/>
      <c r="D491" s="14"/>
      <c r="E491" s="14"/>
      <c r="F491" s="14"/>
      <c r="G491" s="14"/>
      <c r="H491" s="14"/>
    </row>
    <row r="492" ht="22.5" customHeight="1">
      <c r="A492" s="7">
        <v>490.0</v>
      </c>
      <c r="B492" s="8"/>
      <c r="C492" s="16"/>
      <c r="D492" s="14"/>
      <c r="E492" s="14"/>
      <c r="F492" s="14"/>
      <c r="G492" s="14"/>
      <c r="H492" s="14"/>
    </row>
    <row r="493" ht="22.5" customHeight="1">
      <c r="A493" s="7">
        <v>491.0</v>
      </c>
      <c r="B493" s="8"/>
      <c r="C493" s="16"/>
      <c r="D493" s="14"/>
      <c r="E493" s="14"/>
      <c r="F493" s="14"/>
      <c r="G493" s="14"/>
      <c r="H493" s="14"/>
    </row>
    <row r="494" ht="22.5" customHeight="1">
      <c r="A494" s="7">
        <v>492.0</v>
      </c>
      <c r="B494" s="8"/>
      <c r="C494" s="16"/>
      <c r="D494" s="14"/>
      <c r="E494" s="14"/>
      <c r="F494" s="14"/>
      <c r="G494" s="14"/>
      <c r="H494" s="14"/>
    </row>
    <row r="495" ht="22.5" customHeight="1">
      <c r="A495" s="7">
        <v>493.0</v>
      </c>
      <c r="B495" s="8"/>
      <c r="C495" s="16"/>
      <c r="D495" s="14"/>
      <c r="E495" s="14"/>
      <c r="F495" s="14"/>
      <c r="G495" s="14"/>
      <c r="H495" s="14"/>
    </row>
    <row r="496" ht="22.5" customHeight="1">
      <c r="A496" s="7">
        <v>494.0</v>
      </c>
      <c r="B496" s="8"/>
      <c r="C496" s="16"/>
      <c r="D496" s="14"/>
      <c r="E496" s="14"/>
      <c r="F496" s="14"/>
      <c r="G496" s="14"/>
      <c r="H496" s="14"/>
    </row>
    <row r="497" ht="22.5" customHeight="1">
      <c r="A497" s="7">
        <v>495.0</v>
      </c>
      <c r="B497" s="8"/>
      <c r="C497" s="16"/>
      <c r="D497" s="14"/>
      <c r="E497" s="14"/>
      <c r="F497" s="14"/>
      <c r="G497" s="14"/>
      <c r="H497" s="14"/>
    </row>
    <row r="498" ht="22.5" customHeight="1">
      <c r="A498" s="7">
        <v>496.0</v>
      </c>
      <c r="B498" s="8"/>
      <c r="C498" s="16"/>
      <c r="D498" s="14"/>
      <c r="E498" s="14"/>
      <c r="F498" s="14"/>
      <c r="G498" s="14"/>
      <c r="H498" s="14"/>
    </row>
    <row r="499" ht="22.5" customHeight="1">
      <c r="A499" s="7">
        <v>497.0</v>
      </c>
      <c r="B499" s="8"/>
      <c r="C499" s="16"/>
      <c r="D499" s="14"/>
      <c r="E499" s="14"/>
      <c r="F499" s="14"/>
      <c r="G499" s="14"/>
      <c r="H499" s="14"/>
    </row>
    <row r="500" ht="22.5" customHeight="1">
      <c r="A500" s="7">
        <v>498.0</v>
      </c>
      <c r="B500" s="8"/>
      <c r="C500" s="16"/>
      <c r="D500" s="14"/>
      <c r="E500" s="14"/>
      <c r="F500" s="14"/>
      <c r="G500" s="14"/>
      <c r="H500" s="14"/>
    </row>
    <row r="501" ht="22.5" customHeight="1">
      <c r="A501" s="7">
        <v>499.0</v>
      </c>
      <c r="B501" s="8"/>
      <c r="C501" s="16"/>
      <c r="D501" s="14"/>
      <c r="E501" s="14"/>
      <c r="F501" s="14"/>
      <c r="G501" s="14"/>
      <c r="H501" s="14"/>
    </row>
    <row r="502" ht="22.5" customHeight="1">
      <c r="A502" s="7">
        <v>500.0</v>
      </c>
      <c r="B502" s="8"/>
      <c r="C502" s="16"/>
      <c r="D502" s="14"/>
      <c r="E502" s="14"/>
      <c r="F502" s="14"/>
      <c r="G502" s="14"/>
      <c r="H502" s="14"/>
    </row>
    <row r="503" ht="22.5" customHeight="1">
      <c r="A503" s="7">
        <v>501.0</v>
      </c>
      <c r="B503" s="8"/>
      <c r="C503" s="16"/>
      <c r="D503" s="14"/>
      <c r="E503" s="14"/>
      <c r="F503" s="14"/>
      <c r="G503" s="14"/>
      <c r="H503" s="14"/>
    </row>
    <row r="504" ht="22.5" customHeight="1">
      <c r="A504" s="7">
        <v>502.0</v>
      </c>
      <c r="B504" s="8"/>
      <c r="C504" s="16"/>
      <c r="D504" s="14"/>
      <c r="E504" s="14"/>
      <c r="F504" s="14"/>
      <c r="G504" s="14"/>
      <c r="H504" s="14"/>
    </row>
    <row r="505" ht="22.5" customHeight="1">
      <c r="A505" s="7">
        <v>503.0</v>
      </c>
      <c r="B505" s="8"/>
      <c r="C505" s="16"/>
      <c r="D505" s="14"/>
      <c r="E505" s="14"/>
      <c r="F505" s="14"/>
      <c r="G505" s="14"/>
      <c r="H505" s="14"/>
    </row>
    <row r="506" ht="22.5" customHeight="1">
      <c r="A506" s="7">
        <v>504.0</v>
      </c>
      <c r="B506" s="8"/>
      <c r="C506" s="16"/>
      <c r="D506" s="14"/>
      <c r="E506" s="14"/>
      <c r="F506" s="14"/>
      <c r="G506" s="14"/>
      <c r="H506" s="14"/>
    </row>
    <row r="507" ht="22.5" customHeight="1">
      <c r="A507" s="7">
        <v>505.0</v>
      </c>
      <c r="B507" s="8"/>
      <c r="C507" s="16"/>
      <c r="D507" s="14"/>
      <c r="E507" s="14"/>
      <c r="F507" s="14"/>
      <c r="G507" s="14"/>
      <c r="H507" s="14"/>
    </row>
    <row r="508" ht="22.5" customHeight="1">
      <c r="A508" s="7">
        <v>506.0</v>
      </c>
      <c r="B508" s="8"/>
      <c r="C508" s="16"/>
      <c r="D508" s="14"/>
      <c r="E508" s="14"/>
      <c r="F508" s="14"/>
      <c r="G508" s="14"/>
      <c r="H508" s="14"/>
    </row>
    <row r="509" ht="22.5" customHeight="1">
      <c r="A509" s="7">
        <v>507.0</v>
      </c>
      <c r="B509" s="8"/>
      <c r="C509" s="16"/>
      <c r="D509" s="14"/>
      <c r="E509" s="14"/>
      <c r="F509" s="14"/>
      <c r="G509" s="14"/>
      <c r="H509" s="14"/>
    </row>
    <row r="510" ht="22.5" customHeight="1">
      <c r="A510" s="7">
        <v>508.0</v>
      </c>
      <c r="B510" s="8"/>
      <c r="C510" s="16"/>
      <c r="D510" s="14"/>
      <c r="E510" s="14"/>
      <c r="F510" s="14"/>
      <c r="G510" s="14"/>
      <c r="H510" s="14"/>
    </row>
    <row r="511" ht="22.5" customHeight="1">
      <c r="A511" s="7">
        <v>509.0</v>
      </c>
      <c r="B511" s="8"/>
      <c r="C511" s="16"/>
      <c r="D511" s="14"/>
      <c r="E511" s="14"/>
      <c r="F511" s="14"/>
      <c r="G511" s="14"/>
      <c r="H511" s="14"/>
    </row>
    <row r="512" ht="22.5" customHeight="1">
      <c r="A512" s="7">
        <v>510.0</v>
      </c>
      <c r="B512" s="8"/>
      <c r="C512" s="16"/>
      <c r="D512" s="14"/>
      <c r="E512" s="14"/>
      <c r="F512" s="14"/>
      <c r="G512" s="14"/>
      <c r="H512" s="14"/>
    </row>
    <row r="513" ht="22.5" customHeight="1">
      <c r="A513" s="7">
        <v>511.0</v>
      </c>
      <c r="B513" s="8"/>
      <c r="C513" s="16"/>
      <c r="D513" s="14"/>
      <c r="E513" s="14"/>
      <c r="F513" s="14"/>
      <c r="G513" s="14"/>
      <c r="H513" s="14"/>
    </row>
    <row r="514" ht="22.5" customHeight="1">
      <c r="A514" s="7">
        <v>512.0</v>
      </c>
      <c r="B514" s="8"/>
      <c r="C514" s="16"/>
      <c r="D514" s="14"/>
      <c r="E514" s="14"/>
      <c r="F514" s="14"/>
      <c r="G514" s="14"/>
      <c r="H514" s="14"/>
    </row>
    <row r="515" ht="22.5" customHeight="1">
      <c r="A515" s="7">
        <v>513.0</v>
      </c>
      <c r="B515" s="8"/>
      <c r="C515" s="16"/>
      <c r="D515" s="14"/>
      <c r="E515" s="14"/>
      <c r="F515" s="14"/>
      <c r="G515" s="14"/>
      <c r="H515" s="14"/>
    </row>
    <row r="516" ht="22.5" customHeight="1">
      <c r="A516" s="7">
        <v>514.0</v>
      </c>
      <c r="B516" s="8"/>
      <c r="C516" s="16"/>
      <c r="D516" s="14"/>
      <c r="E516" s="14"/>
      <c r="F516" s="14"/>
      <c r="G516" s="14"/>
      <c r="H516" s="14"/>
    </row>
    <row r="517" ht="22.5" customHeight="1">
      <c r="A517" s="7">
        <v>515.0</v>
      </c>
      <c r="B517" s="8"/>
      <c r="C517" s="16"/>
      <c r="D517" s="14"/>
      <c r="E517" s="14"/>
      <c r="F517" s="14"/>
      <c r="G517" s="14"/>
      <c r="H517" s="14"/>
    </row>
    <row r="518" ht="22.5" customHeight="1">
      <c r="A518" s="7">
        <v>516.0</v>
      </c>
      <c r="B518" s="8"/>
      <c r="C518" s="16"/>
      <c r="D518" s="14"/>
      <c r="E518" s="14"/>
      <c r="F518" s="14"/>
      <c r="G518" s="14"/>
      <c r="H518" s="14"/>
    </row>
    <row r="519" ht="22.5" customHeight="1">
      <c r="A519" s="7">
        <v>517.0</v>
      </c>
      <c r="B519" s="8"/>
      <c r="C519" s="16"/>
      <c r="D519" s="14"/>
      <c r="E519" s="14"/>
      <c r="F519" s="14"/>
      <c r="G519" s="14"/>
      <c r="H519" s="14"/>
    </row>
    <row r="520" ht="22.5" customHeight="1">
      <c r="A520" s="7">
        <v>518.0</v>
      </c>
      <c r="B520" s="8"/>
      <c r="C520" s="16"/>
      <c r="D520" s="14"/>
      <c r="E520" s="14"/>
      <c r="F520" s="14"/>
      <c r="G520" s="14"/>
      <c r="H520" s="14"/>
    </row>
    <row r="521" ht="22.5" customHeight="1">
      <c r="A521" s="7">
        <v>519.0</v>
      </c>
      <c r="B521" s="8"/>
      <c r="C521" s="16"/>
      <c r="D521" s="14"/>
      <c r="E521" s="14"/>
      <c r="F521" s="14"/>
      <c r="G521" s="14"/>
      <c r="H521" s="14"/>
    </row>
    <row r="522" ht="22.5" customHeight="1">
      <c r="A522" s="7">
        <v>520.0</v>
      </c>
      <c r="B522" s="8"/>
      <c r="C522" s="16"/>
      <c r="D522" s="14"/>
      <c r="E522" s="14"/>
      <c r="F522" s="14"/>
      <c r="G522" s="14"/>
      <c r="H522" s="14"/>
    </row>
    <row r="523" ht="22.5" customHeight="1">
      <c r="A523" s="7">
        <v>521.0</v>
      </c>
      <c r="B523" s="8"/>
      <c r="C523" s="16"/>
      <c r="D523" s="14"/>
      <c r="E523" s="14"/>
      <c r="F523" s="14"/>
      <c r="G523" s="14"/>
      <c r="H523" s="14"/>
    </row>
    <row r="524" ht="22.5" customHeight="1">
      <c r="A524" s="7">
        <v>522.0</v>
      </c>
      <c r="B524" s="8"/>
      <c r="C524" s="16"/>
      <c r="D524" s="14"/>
      <c r="E524" s="14"/>
      <c r="F524" s="14"/>
      <c r="G524" s="14"/>
      <c r="H524" s="14"/>
    </row>
    <row r="525" ht="22.5" customHeight="1">
      <c r="A525" s="7">
        <v>523.0</v>
      </c>
      <c r="B525" s="8"/>
      <c r="C525" s="16"/>
      <c r="D525" s="14"/>
      <c r="E525" s="14"/>
      <c r="F525" s="14"/>
      <c r="G525" s="14"/>
      <c r="H525" s="14"/>
    </row>
    <row r="526" ht="22.5" customHeight="1">
      <c r="A526" s="7">
        <v>524.0</v>
      </c>
      <c r="B526" s="8"/>
      <c r="C526" s="16"/>
      <c r="D526" s="14"/>
      <c r="E526" s="14"/>
      <c r="F526" s="14"/>
      <c r="G526" s="14"/>
      <c r="H526" s="14"/>
    </row>
    <row r="527" ht="22.5" customHeight="1">
      <c r="A527" s="7">
        <v>525.0</v>
      </c>
      <c r="B527" s="8"/>
      <c r="C527" s="16"/>
      <c r="D527" s="14"/>
      <c r="E527" s="14"/>
      <c r="F527" s="14"/>
      <c r="G527" s="14"/>
      <c r="H527" s="14"/>
    </row>
    <row r="528" ht="22.5" customHeight="1">
      <c r="A528" s="7">
        <v>526.0</v>
      </c>
      <c r="B528" s="8"/>
      <c r="C528" s="16"/>
      <c r="D528" s="14"/>
      <c r="E528" s="14"/>
      <c r="F528" s="14"/>
      <c r="G528" s="14"/>
      <c r="H528" s="14"/>
    </row>
    <row r="529" ht="22.5" customHeight="1">
      <c r="A529" s="7">
        <v>527.0</v>
      </c>
      <c r="B529" s="8"/>
      <c r="C529" s="16"/>
      <c r="D529" s="14"/>
      <c r="E529" s="14"/>
      <c r="F529" s="14"/>
      <c r="G529" s="14"/>
      <c r="H529" s="14"/>
    </row>
    <row r="530" ht="22.5" customHeight="1">
      <c r="A530" s="7">
        <v>528.0</v>
      </c>
      <c r="B530" s="8"/>
      <c r="C530" s="16"/>
      <c r="D530" s="14"/>
      <c r="E530" s="14"/>
      <c r="F530" s="14"/>
      <c r="G530" s="14"/>
      <c r="H530" s="14"/>
    </row>
    <row r="531" ht="22.5" customHeight="1">
      <c r="A531" s="7">
        <v>529.0</v>
      </c>
      <c r="B531" s="8"/>
      <c r="C531" s="16"/>
      <c r="D531" s="14"/>
      <c r="E531" s="14"/>
      <c r="F531" s="14"/>
      <c r="G531" s="14"/>
      <c r="H531" s="14"/>
    </row>
    <row r="532" ht="22.5" customHeight="1">
      <c r="A532" s="7">
        <v>530.0</v>
      </c>
      <c r="B532" s="8"/>
      <c r="C532" s="16"/>
      <c r="D532" s="14"/>
      <c r="E532" s="14"/>
      <c r="F532" s="14"/>
      <c r="G532" s="14"/>
      <c r="H532" s="14"/>
    </row>
    <row r="533" ht="22.5" customHeight="1">
      <c r="A533" s="7">
        <v>531.0</v>
      </c>
      <c r="B533" s="8"/>
      <c r="C533" s="16"/>
      <c r="D533" s="14"/>
      <c r="E533" s="14"/>
      <c r="F533" s="14"/>
      <c r="G533" s="14"/>
      <c r="H533" s="14"/>
    </row>
    <row r="534" ht="22.5" customHeight="1">
      <c r="A534" s="7">
        <v>532.0</v>
      </c>
      <c r="B534" s="8"/>
      <c r="C534" s="16"/>
      <c r="D534" s="14"/>
      <c r="E534" s="14"/>
      <c r="F534" s="14"/>
      <c r="G534" s="14"/>
      <c r="H534" s="14"/>
    </row>
    <row r="535" ht="22.5" customHeight="1">
      <c r="A535" s="7">
        <v>533.0</v>
      </c>
      <c r="B535" s="8"/>
      <c r="C535" s="16"/>
      <c r="D535" s="14"/>
      <c r="E535" s="14"/>
      <c r="F535" s="14"/>
      <c r="G535" s="14"/>
      <c r="H535" s="14"/>
    </row>
    <row r="536" ht="22.5" customHeight="1">
      <c r="A536" s="7">
        <v>534.0</v>
      </c>
      <c r="B536" s="8"/>
      <c r="C536" s="16"/>
      <c r="D536" s="14"/>
      <c r="E536" s="14"/>
      <c r="F536" s="14"/>
      <c r="G536" s="14"/>
      <c r="H536" s="14"/>
    </row>
    <row r="537" ht="22.5" customHeight="1">
      <c r="A537" s="7">
        <v>535.0</v>
      </c>
      <c r="B537" s="8"/>
      <c r="C537" s="16"/>
      <c r="D537" s="14"/>
      <c r="E537" s="14"/>
      <c r="F537" s="14"/>
      <c r="G537" s="14"/>
      <c r="H537" s="14"/>
    </row>
    <row r="538" ht="22.5" customHeight="1">
      <c r="A538" s="7">
        <v>536.0</v>
      </c>
      <c r="B538" s="8"/>
      <c r="C538" s="16"/>
      <c r="D538" s="14"/>
      <c r="E538" s="14"/>
      <c r="F538" s="14"/>
      <c r="G538" s="14"/>
      <c r="H538" s="14"/>
    </row>
    <row r="539" ht="22.5" customHeight="1">
      <c r="A539" s="7">
        <v>537.0</v>
      </c>
      <c r="B539" s="8"/>
      <c r="C539" s="16"/>
      <c r="D539" s="14"/>
      <c r="E539" s="14"/>
      <c r="F539" s="14"/>
      <c r="G539" s="14"/>
      <c r="H539" s="14"/>
    </row>
    <row r="540" ht="22.5" customHeight="1">
      <c r="A540" s="7">
        <v>538.0</v>
      </c>
      <c r="B540" s="8"/>
      <c r="C540" s="16"/>
      <c r="D540" s="14"/>
      <c r="E540" s="14"/>
      <c r="F540" s="14"/>
      <c r="G540" s="14"/>
      <c r="H540" s="14"/>
    </row>
    <row r="541" ht="22.5" customHeight="1">
      <c r="A541" s="7">
        <v>539.0</v>
      </c>
      <c r="B541" s="8"/>
      <c r="C541" s="16"/>
      <c r="D541" s="14"/>
      <c r="E541" s="14"/>
      <c r="F541" s="14"/>
      <c r="G541" s="14"/>
      <c r="H541" s="14"/>
    </row>
    <row r="542" ht="22.5" customHeight="1">
      <c r="A542" s="7">
        <v>540.0</v>
      </c>
      <c r="B542" s="8"/>
      <c r="C542" s="16"/>
      <c r="D542" s="14"/>
      <c r="E542" s="14"/>
      <c r="F542" s="14"/>
      <c r="G542" s="14"/>
      <c r="H542" s="14"/>
    </row>
    <row r="543" ht="22.5" customHeight="1">
      <c r="A543" s="7">
        <v>541.0</v>
      </c>
      <c r="B543" s="8"/>
      <c r="C543" s="16"/>
      <c r="D543" s="14"/>
      <c r="E543" s="14"/>
      <c r="F543" s="14"/>
      <c r="G543" s="14"/>
      <c r="H543" s="14"/>
    </row>
    <row r="544" ht="22.5" customHeight="1">
      <c r="A544" s="7">
        <v>542.0</v>
      </c>
      <c r="B544" s="8"/>
      <c r="C544" s="16"/>
      <c r="D544" s="14"/>
      <c r="E544" s="14"/>
      <c r="F544" s="14"/>
      <c r="G544" s="14"/>
      <c r="H544" s="14"/>
    </row>
    <row r="545" ht="22.5" customHeight="1">
      <c r="A545" s="7">
        <v>543.0</v>
      </c>
      <c r="B545" s="8"/>
      <c r="C545" s="16"/>
      <c r="D545" s="14"/>
      <c r="E545" s="14"/>
      <c r="F545" s="14"/>
      <c r="G545" s="14"/>
      <c r="H545" s="14"/>
    </row>
    <row r="546" ht="22.5" customHeight="1">
      <c r="A546" s="7">
        <v>544.0</v>
      </c>
      <c r="B546" s="8"/>
      <c r="C546" s="16"/>
      <c r="D546" s="14"/>
      <c r="E546" s="14"/>
      <c r="F546" s="14"/>
      <c r="G546" s="14"/>
      <c r="H546" s="14"/>
    </row>
    <row r="547" ht="22.5" customHeight="1">
      <c r="A547" s="7">
        <v>545.0</v>
      </c>
      <c r="B547" s="8"/>
      <c r="C547" s="16"/>
      <c r="D547" s="14"/>
      <c r="E547" s="14"/>
      <c r="F547" s="14"/>
      <c r="G547" s="14"/>
      <c r="H547" s="14"/>
    </row>
    <row r="548" ht="22.5" customHeight="1">
      <c r="A548" s="7">
        <v>546.0</v>
      </c>
      <c r="B548" s="8"/>
      <c r="C548" s="16"/>
      <c r="D548" s="14"/>
      <c r="E548" s="14"/>
      <c r="F548" s="14"/>
      <c r="G548" s="14"/>
      <c r="H548" s="14"/>
    </row>
    <row r="549" ht="22.5" customHeight="1">
      <c r="A549" s="7">
        <v>547.0</v>
      </c>
      <c r="B549" s="8"/>
      <c r="C549" s="16"/>
      <c r="D549" s="14"/>
      <c r="E549" s="14"/>
      <c r="F549" s="14"/>
      <c r="G549" s="14"/>
      <c r="H549" s="14"/>
    </row>
    <row r="550" ht="22.5" customHeight="1">
      <c r="A550" s="7">
        <v>548.0</v>
      </c>
      <c r="B550" s="8"/>
      <c r="C550" s="16"/>
      <c r="D550" s="14"/>
      <c r="E550" s="14"/>
      <c r="F550" s="14"/>
      <c r="G550" s="14"/>
      <c r="H550" s="14"/>
    </row>
    <row r="551" ht="22.5" customHeight="1">
      <c r="A551" s="7">
        <v>549.0</v>
      </c>
      <c r="B551" s="8"/>
      <c r="C551" s="16"/>
      <c r="D551" s="14"/>
      <c r="E551" s="14"/>
      <c r="F551" s="14"/>
      <c r="G551" s="14"/>
      <c r="H551" s="14"/>
    </row>
    <row r="552" ht="22.5" customHeight="1">
      <c r="A552" s="7">
        <v>550.0</v>
      </c>
      <c r="B552" s="8"/>
      <c r="C552" s="16"/>
      <c r="D552" s="14"/>
      <c r="E552" s="14"/>
      <c r="F552" s="14"/>
      <c r="G552" s="14"/>
      <c r="H552" s="14"/>
    </row>
    <row r="553" ht="22.5" customHeight="1">
      <c r="A553" s="7">
        <v>551.0</v>
      </c>
      <c r="B553" s="8"/>
      <c r="C553" s="16"/>
      <c r="D553" s="14"/>
      <c r="E553" s="14"/>
      <c r="F553" s="14"/>
      <c r="G553" s="14"/>
      <c r="H553" s="14"/>
    </row>
    <row r="554" ht="22.5" customHeight="1">
      <c r="A554" s="7">
        <v>552.0</v>
      </c>
      <c r="B554" s="8"/>
      <c r="C554" s="16"/>
      <c r="D554" s="14"/>
      <c r="E554" s="14"/>
      <c r="F554" s="14"/>
      <c r="G554" s="14"/>
      <c r="H554" s="14"/>
    </row>
    <row r="555" ht="22.5" customHeight="1">
      <c r="A555" s="7">
        <v>553.0</v>
      </c>
      <c r="B555" s="8"/>
      <c r="C555" s="16"/>
      <c r="D555" s="14"/>
      <c r="E555" s="14"/>
      <c r="F555" s="14"/>
      <c r="G555" s="14"/>
      <c r="H555" s="14"/>
    </row>
    <row r="556" ht="22.5" customHeight="1">
      <c r="A556" s="7">
        <v>554.0</v>
      </c>
      <c r="B556" s="8"/>
      <c r="C556" s="16"/>
      <c r="D556" s="14"/>
      <c r="E556" s="14"/>
      <c r="F556" s="14"/>
      <c r="G556" s="14"/>
      <c r="H556" s="14"/>
    </row>
    <row r="557" ht="22.5" customHeight="1">
      <c r="A557" s="7">
        <v>555.0</v>
      </c>
      <c r="B557" s="8"/>
      <c r="C557" s="16"/>
      <c r="D557" s="14"/>
      <c r="E557" s="14"/>
      <c r="F557" s="14"/>
      <c r="G557" s="14"/>
      <c r="H557" s="14"/>
    </row>
    <row r="558" ht="22.5" customHeight="1">
      <c r="A558" s="7">
        <v>556.0</v>
      </c>
      <c r="B558" s="8"/>
      <c r="C558" s="16"/>
      <c r="D558" s="14"/>
      <c r="E558" s="14"/>
      <c r="F558" s="14"/>
      <c r="G558" s="14"/>
      <c r="H558" s="14"/>
    </row>
    <row r="559" ht="22.5" customHeight="1">
      <c r="A559" s="7">
        <v>557.0</v>
      </c>
      <c r="B559" s="8"/>
      <c r="C559" s="16"/>
      <c r="D559" s="14"/>
      <c r="E559" s="14"/>
      <c r="F559" s="14"/>
      <c r="G559" s="14"/>
      <c r="H559" s="14"/>
    </row>
    <row r="560" ht="22.5" customHeight="1">
      <c r="A560" s="7">
        <v>558.0</v>
      </c>
      <c r="B560" s="8"/>
      <c r="C560" s="16"/>
      <c r="D560" s="14"/>
      <c r="E560" s="14"/>
      <c r="F560" s="14"/>
      <c r="G560" s="14"/>
      <c r="H560" s="14"/>
    </row>
    <row r="561" ht="22.5" customHeight="1">
      <c r="A561" s="7">
        <v>559.0</v>
      </c>
      <c r="B561" s="8"/>
      <c r="C561" s="16"/>
      <c r="D561" s="14"/>
      <c r="E561" s="14"/>
      <c r="F561" s="14"/>
      <c r="G561" s="14"/>
      <c r="H561" s="14"/>
    </row>
    <row r="562" ht="22.5" customHeight="1">
      <c r="A562" s="7">
        <v>560.0</v>
      </c>
      <c r="B562" s="8"/>
      <c r="C562" s="16"/>
      <c r="D562" s="14"/>
      <c r="E562" s="14"/>
      <c r="F562" s="14"/>
      <c r="G562" s="14"/>
      <c r="H562" s="14"/>
    </row>
    <row r="563" ht="22.5" customHeight="1">
      <c r="A563" s="7">
        <v>561.0</v>
      </c>
      <c r="B563" s="8"/>
      <c r="C563" s="16"/>
      <c r="D563" s="14"/>
      <c r="E563" s="14"/>
      <c r="F563" s="14"/>
      <c r="G563" s="14"/>
      <c r="H563" s="14"/>
    </row>
    <row r="564" ht="22.5" customHeight="1">
      <c r="A564" s="7">
        <v>562.0</v>
      </c>
      <c r="B564" s="8"/>
      <c r="C564" s="16"/>
      <c r="D564" s="14"/>
      <c r="E564" s="14"/>
      <c r="F564" s="14"/>
      <c r="G564" s="14"/>
      <c r="H564" s="14"/>
    </row>
    <row r="565" ht="22.5" customHeight="1">
      <c r="A565" s="7">
        <v>563.0</v>
      </c>
      <c r="B565" s="8"/>
      <c r="C565" s="16"/>
      <c r="D565" s="14"/>
      <c r="E565" s="14"/>
      <c r="F565" s="14"/>
      <c r="G565" s="14"/>
      <c r="H565" s="14"/>
    </row>
    <row r="566" ht="22.5" customHeight="1">
      <c r="A566" s="7">
        <v>564.0</v>
      </c>
      <c r="B566" s="8"/>
      <c r="C566" s="16"/>
      <c r="D566" s="14"/>
      <c r="E566" s="14"/>
      <c r="F566" s="14"/>
      <c r="G566" s="14"/>
      <c r="H566" s="14"/>
    </row>
    <row r="567" ht="22.5" customHeight="1">
      <c r="A567" s="7">
        <v>565.0</v>
      </c>
      <c r="B567" s="8"/>
      <c r="C567" s="16"/>
      <c r="D567" s="14"/>
      <c r="E567" s="14"/>
      <c r="F567" s="14"/>
      <c r="G567" s="14"/>
      <c r="H567" s="14"/>
    </row>
    <row r="568" ht="22.5" customHeight="1">
      <c r="A568" s="7">
        <v>566.0</v>
      </c>
      <c r="B568" s="8"/>
      <c r="C568" s="16"/>
      <c r="D568" s="14"/>
      <c r="E568" s="14"/>
      <c r="F568" s="14"/>
      <c r="G568" s="14"/>
      <c r="H568" s="14"/>
    </row>
    <row r="569" ht="22.5" customHeight="1">
      <c r="A569" s="7">
        <v>567.0</v>
      </c>
      <c r="B569" s="8"/>
      <c r="C569" s="16"/>
      <c r="D569" s="14"/>
      <c r="E569" s="14"/>
      <c r="F569" s="14"/>
      <c r="G569" s="14"/>
      <c r="H569" s="14"/>
    </row>
    <row r="570" ht="22.5" customHeight="1">
      <c r="A570" s="7">
        <v>568.0</v>
      </c>
      <c r="B570" s="8"/>
      <c r="C570" s="16"/>
      <c r="D570" s="14"/>
      <c r="E570" s="14"/>
      <c r="F570" s="14"/>
      <c r="G570" s="14"/>
      <c r="H570" s="14"/>
    </row>
    <row r="571" ht="22.5" customHeight="1">
      <c r="A571" s="7">
        <v>569.0</v>
      </c>
      <c r="B571" s="8"/>
      <c r="C571" s="16"/>
      <c r="D571" s="14"/>
      <c r="E571" s="14"/>
      <c r="F571" s="14"/>
      <c r="G571" s="14"/>
      <c r="H571" s="14"/>
    </row>
    <row r="572" ht="22.5" customHeight="1">
      <c r="A572" s="7">
        <v>570.0</v>
      </c>
      <c r="B572" s="8"/>
      <c r="C572" s="16"/>
      <c r="D572" s="14"/>
      <c r="E572" s="14"/>
      <c r="F572" s="14"/>
      <c r="G572" s="14"/>
      <c r="H572" s="14"/>
    </row>
    <row r="573" ht="22.5" customHeight="1">
      <c r="A573" s="7">
        <v>571.0</v>
      </c>
      <c r="B573" s="8"/>
      <c r="C573" s="16"/>
      <c r="D573" s="14"/>
      <c r="E573" s="14"/>
      <c r="F573" s="14"/>
      <c r="G573" s="14"/>
      <c r="H573" s="14"/>
    </row>
    <row r="574" ht="22.5" customHeight="1">
      <c r="A574" s="7">
        <v>572.0</v>
      </c>
      <c r="B574" s="8"/>
      <c r="C574" s="16"/>
      <c r="D574" s="14"/>
      <c r="E574" s="14"/>
      <c r="F574" s="14"/>
      <c r="G574" s="14"/>
      <c r="H574" s="14"/>
    </row>
    <row r="575" ht="22.5" customHeight="1">
      <c r="A575" s="7">
        <v>573.0</v>
      </c>
      <c r="B575" s="8"/>
      <c r="C575" s="16"/>
      <c r="D575" s="14"/>
      <c r="E575" s="14"/>
      <c r="F575" s="14"/>
      <c r="G575" s="14"/>
      <c r="H575" s="14"/>
    </row>
    <row r="576" ht="22.5" customHeight="1">
      <c r="A576" s="7">
        <v>574.0</v>
      </c>
      <c r="B576" s="8"/>
      <c r="C576" s="16"/>
      <c r="D576" s="14"/>
      <c r="E576" s="14"/>
      <c r="F576" s="14"/>
      <c r="G576" s="14"/>
      <c r="H576" s="14"/>
    </row>
    <row r="577" ht="22.5" customHeight="1">
      <c r="A577" s="7">
        <v>575.0</v>
      </c>
      <c r="B577" s="8"/>
      <c r="C577" s="16"/>
      <c r="D577" s="14"/>
      <c r="E577" s="14"/>
      <c r="F577" s="14"/>
      <c r="G577" s="14"/>
      <c r="H577" s="14"/>
    </row>
    <row r="578" ht="22.5" customHeight="1">
      <c r="A578" s="7">
        <v>576.0</v>
      </c>
      <c r="B578" s="8"/>
      <c r="C578" s="16"/>
      <c r="D578" s="14"/>
      <c r="E578" s="14"/>
      <c r="F578" s="14"/>
      <c r="G578" s="14"/>
      <c r="H578" s="14"/>
    </row>
    <row r="579" ht="22.5" customHeight="1">
      <c r="A579" s="7">
        <v>577.0</v>
      </c>
      <c r="B579" s="8"/>
      <c r="C579" s="16"/>
      <c r="D579" s="14"/>
      <c r="E579" s="14"/>
      <c r="F579" s="14"/>
      <c r="G579" s="14"/>
      <c r="H579" s="14"/>
    </row>
    <row r="580" ht="22.5" customHeight="1">
      <c r="A580" s="7">
        <v>578.0</v>
      </c>
      <c r="B580" s="8"/>
      <c r="C580" s="16"/>
      <c r="D580" s="14"/>
      <c r="E580" s="14"/>
      <c r="F580" s="14"/>
      <c r="G580" s="14"/>
      <c r="H580" s="14"/>
    </row>
    <row r="581" ht="22.5" customHeight="1">
      <c r="A581" s="7">
        <v>579.0</v>
      </c>
      <c r="B581" s="8"/>
      <c r="C581" s="16"/>
      <c r="D581" s="14"/>
      <c r="E581" s="14"/>
      <c r="F581" s="14"/>
      <c r="G581" s="14"/>
      <c r="H581" s="14"/>
    </row>
    <row r="582" ht="22.5" customHeight="1">
      <c r="A582" s="7">
        <v>580.0</v>
      </c>
      <c r="B582" s="8"/>
      <c r="C582" s="16"/>
      <c r="D582" s="14"/>
      <c r="E582" s="14"/>
      <c r="F582" s="14"/>
      <c r="G582" s="14"/>
      <c r="H582" s="14"/>
    </row>
    <row r="583" ht="22.5" customHeight="1">
      <c r="A583" s="7">
        <v>581.0</v>
      </c>
      <c r="B583" s="8"/>
      <c r="C583" s="16"/>
      <c r="D583" s="14"/>
      <c r="E583" s="14"/>
      <c r="F583" s="14"/>
      <c r="G583" s="14"/>
      <c r="H583" s="14"/>
    </row>
    <row r="584" ht="22.5" customHeight="1">
      <c r="A584" s="7">
        <v>582.0</v>
      </c>
      <c r="B584" s="8"/>
      <c r="C584" s="16"/>
      <c r="D584" s="14"/>
      <c r="E584" s="14"/>
      <c r="F584" s="14"/>
      <c r="G584" s="14"/>
      <c r="H584" s="14"/>
    </row>
    <row r="585" ht="22.5" customHeight="1">
      <c r="A585" s="7">
        <v>583.0</v>
      </c>
      <c r="B585" s="8"/>
      <c r="C585" s="16"/>
      <c r="D585" s="14"/>
      <c r="E585" s="14"/>
      <c r="F585" s="14"/>
      <c r="G585" s="14"/>
      <c r="H585" s="14"/>
    </row>
    <row r="586" ht="22.5" customHeight="1">
      <c r="A586" s="7">
        <v>584.0</v>
      </c>
      <c r="B586" s="8"/>
      <c r="C586" s="16"/>
      <c r="D586" s="14"/>
      <c r="E586" s="14"/>
      <c r="F586" s="14"/>
      <c r="G586" s="14"/>
      <c r="H586" s="14"/>
    </row>
    <row r="587" ht="22.5" customHeight="1">
      <c r="A587" s="7">
        <v>585.0</v>
      </c>
      <c r="B587" s="8"/>
      <c r="C587" s="16"/>
      <c r="D587" s="14"/>
      <c r="E587" s="14"/>
      <c r="F587" s="14"/>
      <c r="G587" s="14"/>
      <c r="H587" s="14"/>
    </row>
    <row r="588" ht="22.5" customHeight="1">
      <c r="A588" s="7">
        <v>586.0</v>
      </c>
      <c r="B588" s="8"/>
      <c r="C588" s="16"/>
      <c r="D588" s="14"/>
      <c r="E588" s="14"/>
      <c r="F588" s="14"/>
      <c r="G588" s="14"/>
      <c r="H588" s="14"/>
    </row>
    <row r="589" ht="22.5" customHeight="1">
      <c r="A589" s="7">
        <v>587.0</v>
      </c>
      <c r="B589" s="8"/>
      <c r="C589" s="16"/>
      <c r="D589" s="14"/>
      <c r="E589" s="14"/>
      <c r="F589" s="14"/>
      <c r="G589" s="14"/>
      <c r="H589" s="14"/>
    </row>
    <row r="590" ht="22.5" customHeight="1">
      <c r="A590" s="7">
        <v>588.0</v>
      </c>
      <c r="B590" s="8"/>
      <c r="C590" s="16"/>
      <c r="D590" s="14"/>
      <c r="E590" s="14"/>
      <c r="F590" s="14"/>
      <c r="G590" s="14"/>
      <c r="H590" s="14"/>
    </row>
    <row r="591" ht="22.5" customHeight="1">
      <c r="A591" s="7">
        <v>589.0</v>
      </c>
      <c r="B591" s="8"/>
      <c r="C591" s="16"/>
      <c r="D591" s="14"/>
      <c r="E591" s="14"/>
      <c r="F591" s="14"/>
      <c r="G591" s="14"/>
      <c r="H591" s="14"/>
    </row>
    <row r="592" ht="22.5" customHeight="1">
      <c r="A592" s="7">
        <v>590.0</v>
      </c>
      <c r="B592" s="8"/>
      <c r="C592" s="16"/>
      <c r="D592" s="14"/>
      <c r="E592" s="14"/>
      <c r="F592" s="14"/>
      <c r="G592" s="14"/>
      <c r="H592" s="14"/>
    </row>
    <row r="593" ht="22.5" customHeight="1">
      <c r="A593" s="7">
        <v>591.0</v>
      </c>
      <c r="B593" s="8"/>
      <c r="C593" s="16"/>
      <c r="D593" s="14"/>
      <c r="E593" s="14"/>
      <c r="F593" s="14"/>
      <c r="G593" s="14"/>
      <c r="H593" s="14"/>
    </row>
    <row r="594" ht="22.5" customHeight="1">
      <c r="A594" s="7">
        <v>592.0</v>
      </c>
      <c r="B594" s="8"/>
      <c r="C594" s="16"/>
      <c r="D594" s="14"/>
      <c r="E594" s="14"/>
      <c r="F594" s="14"/>
      <c r="G594" s="14"/>
      <c r="H594" s="14"/>
    </row>
    <row r="595" ht="22.5" customHeight="1">
      <c r="A595" s="7">
        <v>593.0</v>
      </c>
      <c r="B595" s="8"/>
      <c r="C595" s="16"/>
      <c r="D595" s="14"/>
      <c r="E595" s="14"/>
      <c r="F595" s="14"/>
      <c r="G595" s="14"/>
      <c r="H595" s="14"/>
    </row>
    <row r="596" ht="22.5" customHeight="1">
      <c r="A596" s="7">
        <v>594.0</v>
      </c>
      <c r="B596" s="8"/>
      <c r="C596" s="16"/>
      <c r="D596" s="14"/>
      <c r="E596" s="14"/>
      <c r="F596" s="14"/>
      <c r="G596" s="14"/>
      <c r="H596" s="14"/>
    </row>
    <row r="597" ht="22.5" customHeight="1">
      <c r="A597" s="7">
        <v>595.0</v>
      </c>
      <c r="B597" s="8"/>
      <c r="C597" s="16"/>
      <c r="D597" s="14"/>
      <c r="E597" s="14"/>
      <c r="F597" s="14"/>
      <c r="G597" s="14"/>
      <c r="H597" s="14"/>
    </row>
    <row r="598" ht="22.5" customHeight="1">
      <c r="A598" s="7">
        <v>596.0</v>
      </c>
      <c r="B598" s="8"/>
      <c r="C598" s="16"/>
      <c r="D598" s="14"/>
      <c r="E598" s="14"/>
      <c r="F598" s="14"/>
      <c r="G598" s="14"/>
      <c r="H598" s="14"/>
    </row>
    <row r="599" ht="22.5" customHeight="1">
      <c r="A599" s="7">
        <v>597.0</v>
      </c>
      <c r="B599" s="8"/>
      <c r="C599" s="16"/>
      <c r="D599" s="14"/>
      <c r="E599" s="14"/>
      <c r="F599" s="14"/>
      <c r="G599" s="14"/>
      <c r="H599" s="14"/>
    </row>
    <row r="600" ht="22.5" customHeight="1">
      <c r="A600" s="7">
        <v>598.0</v>
      </c>
      <c r="B600" s="8"/>
      <c r="C600" s="16"/>
      <c r="D600" s="14"/>
      <c r="E600" s="14"/>
      <c r="F600" s="14"/>
      <c r="G600" s="14"/>
      <c r="H600" s="14"/>
    </row>
    <row r="601" ht="22.5" customHeight="1">
      <c r="A601" s="7">
        <v>599.0</v>
      </c>
      <c r="B601" s="8"/>
      <c r="C601" s="16"/>
      <c r="D601" s="14"/>
      <c r="E601" s="14"/>
      <c r="F601" s="14"/>
      <c r="G601" s="14"/>
      <c r="H601" s="14"/>
    </row>
    <row r="602" ht="22.5" customHeight="1">
      <c r="A602" s="7">
        <v>600.0</v>
      </c>
      <c r="B602" s="8"/>
      <c r="C602" s="16"/>
      <c r="D602" s="14"/>
      <c r="E602" s="14"/>
      <c r="F602" s="14"/>
      <c r="G602" s="14"/>
      <c r="H602" s="14"/>
    </row>
    <row r="603" ht="22.5" customHeight="1">
      <c r="A603" s="7">
        <v>601.0</v>
      </c>
      <c r="B603" s="8"/>
      <c r="C603" s="16"/>
      <c r="D603" s="14"/>
      <c r="E603" s="14"/>
      <c r="F603" s="14"/>
      <c r="G603" s="14"/>
      <c r="H603" s="14"/>
    </row>
    <row r="604" ht="22.5" customHeight="1">
      <c r="A604" s="7">
        <v>602.0</v>
      </c>
      <c r="B604" s="8"/>
      <c r="C604" s="16"/>
      <c r="D604" s="14"/>
      <c r="E604" s="14"/>
      <c r="F604" s="14"/>
      <c r="G604" s="14"/>
      <c r="H604" s="14"/>
    </row>
    <row r="605" ht="22.5" customHeight="1">
      <c r="A605" s="7">
        <v>603.0</v>
      </c>
      <c r="B605" s="8"/>
      <c r="C605" s="16"/>
      <c r="D605" s="14"/>
      <c r="E605" s="14"/>
      <c r="F605" s="14"/>
      <c r="G605" s="14"/>
      <c r="H605" s="14"/>
    </row>
    <row r="606" ht="22.5" customHeight="1">
      <c r="A606" s="7">
        <v>604.0</v>
      </c>
      <c r="B606" s="8"/>
      <c r="C606" s="16"/>
      <c r="D606" s="14"/>
      <c r="E606" s="14"/>
      <c r="F606" s="14"/>
      <c r="G606" s="14"/>
      <c r="H606" s="14"/>
    </row>
    <row r="607" ht="22.5" customHeight="1">
      <c r="A607" s="7">
        <v>605.0</v>
      </c>
      <c r="B607" s="8"/>
      <c r="C607" s="16"/>
      <c r="D607" s="14"/>
      <c r="E607" s="14"/>
      <c r="F607" s="14"/>
      <c r="G607" s="14"/>
      <c r="H607" s="14"/>
    </row>
    <row r="608" ht="22.5" customHeight="1">
      <c r="A608" s="8"/>
      <c r="B608" s="8"/>
      <c r="C608" s="16"/>
      <c r="D608" s="14"/>
      <c r="E608" s="14"/>
      <c r="F608" s="14"/>
      <c r="G608" s="14"/>
      <c r="H608" s="14"/>
    </row>
    <row r="609" ht="22.5" customHeight="1">
      <c r="A609" s="8"/>
      <c r="B609" s="8"/>
      <c r="C609" s="16"/>
      <c r="D609" s="14"/>
      <c r="E609" s="14"/>
      <c r="F609" s="14"/>
      <c r="G609" s="14"/>
      <c r="H609" s="14"/>
    </row>
    <row r="610" ht="22.5" customHeight="1">
      <c r="A610" s="8"/>
      <c r="B610" s="8"/>
      <c r="C610" s="16"/>
      <c r="D610" s="14"/>
      <c r="E610" s="14"/>
      <c r="F610" s="14"/>
      <c r="G610" s="14"/>
      <c r="H610" s="14"/>
    </row>
    <row r="611" ht="22.5" customHeight="1">
      <c r="A611" s="8"/>
      <c r="B611" s="8"/>
      <c r="C611" s="16"/>
      <c r="D611" s="14"/>
      <c r="E611" s="14"/>
      <c r="F611" s="14"/>
      <c r="G611" s="14"/>
      <c r="H611" s="14"/>
    </row>
    <row r="612" ht="22.5" customHeight="1">
      <c r="A612" s="8"/>
      <c r="B612" s="8"/>
      <c r="C612" s="16"/>
      <c r="D612" s="14"/>
      <c r="E612" s="14"/>
      <c r="F612" s="14"/>
      <c r="G612" s="14"/>
      <c r="H612" s="14"/>
    </row>
    <row r="613" ht="22.5" customHeight="1">
      <c r="A613" s="8"/>
      <c r="B613" s="8"/>
      <c r="C613" s="16"/>
      <c r="D613" s="14"/>
      <c r="E613" s="14"/>
      <c r="F613" s="14"/>
      <c r="G613" s="14"/>
      <c r="H613" s="14"/>
    </row>
    <row r="614" ht="22.5" customHeight="1">
      <c r="A614" s="8"/>
      <c r="B614" s="8"/>
      <c r="C614" s="16"/>
      <c r="D614" s="14"/>
      <c r="E614" s="14"/>
      <c r="F614" s="14"/>
      <c r="G614" s="14"/>
      <c r="H614" s="14"/>
    </row>
    <row r="615" ht="22.5" customHeight="1">
      <c r="A615" s="8"/>
      <c r="B615" s="8"/>
      <c r="C615" s="16"/>
      <c r="D615" s="14"/>
      <c r="E615" s="14"/>
      <c r="F615" s="14"/>
      <c r="G615" s="14"/>
      <c r="H615" s="14"/>
    </row>
    <row r="616" ht="22.5" customHeight="1">
      <c r="A616" s="8"/>
      <c r="B616" s="8"/>
      <c r="C616" s="16"/>
      <c r="D616" s="14"/>
      <c r="E616" s="14"/>
      <c r="F616" s="14"/>
      <c r="G616" s="14"/>
      <c r="H616" s="14"/>
    </row>
    <row r="617" ht="22.5" customHeight="1">
      <c r="A617" s="8"/>
      <c r="B617" s="8"/>
      <c r="C617" s="16"/>
      <c r="D617" s="14"/>
      <c r="E617" s="14"/>
      <c r="F617" s="14"/>
      <c r="G617" s="14"/>
      <c r="H617" s="14"/>
    </row>
    <row r="618" ht="22.5" customHeight="1">
      <c r="A618" s="8"/>
      <c r="B618" s="8"/>
      <c r="C618" s="16"/>
      <c r="D618" s="14"/>
      <c r="E618" s="14"/>
      <c r="F618" s="14"/>
      <c r="G618" s="14"/>
      <c r="H618" s="14"/>
    </row>
    <row r="619" ht="22.5" customHeight="1">
      <c r="A619" s="8"/>
      <c r="B619" s="8"/>
      <c r="C619" s="16"/>
      <c r="D619" s="14"/>
      <c r="E619" s="14"/>
      <c r="F619" s="14"/>
      <c r="G619" s="14"/>
      <c r="H619" s="14"/>
    </row>
    <row r="620" ht="22.5" customHeight="1">
      <c r="A620" s="8"/>
      <c r="B620" s="8"/>
      <c r="C620" s="16"/>
      <c r="D620" s="14"/>
      <c r="E620" s="14"/>
      <c r="F620" s="14"/>
      <c r="G620" s="14"/>
      <c r="H620" s="14"/>
    </row>
    <row r="621" ht="22.5" customHeight="1">
      <c r="A621" s="8"/>
      <c r="B621" s="8"/>
      <c r="C621" s="16"/>
      <c r="D621" s="14"/>
      <c r="E621" s="14"/>
      <c r="F621" s="14"/>
      <c r="G621" s="14"/>
      <c r="H621" s="14"/>
    </row>
    <row r="622" ht="22.5" customHeight="1">
      <c r="A622" s="8"/>
      <c r="B622" s="8"/>
      <c r="C622" s="16"/>
      <c r="D622" s="14"/>
      <c r="E622" s="14"/>
      <c r="F622" s="14"/>
      <c r="G622" s="14"/>
      <c r="H622" s="14"/>
    </row>
    <row r="623" ht="22.5" customHeight="1">
      <c r="A623" s="8"/>
      <c r="B623" s="8"/>
      <c r="C623" s="16"/>
      <c r="D623" s="14"/>
      <c r="E623" s="14"/>
      <c r="F623" s="14"/>
      <c r="G623" s="14"/>
      <c r="H623" s="14"/>
    </row>
    <row r="624" ht="22.5" customHeight="1">
      <c r="A624" s="8"/>
      <c r="B624" s="8"/>
      <c r="C624" s="16"/>
      <c r="D624" s="14"/>
      <c r="E624" s="14"/>
      <c r="F624" s="14"/>
      <c r="G624" s="14"/>
      <c r="H624" s="14"/>
    </row>
    <row r="625" ht="22.5" customHeight="1">
      <c r="A625" s="8"/>
      <c r="B625" s="8"/>
      <c r="C625" s="16"/>
      <c r="D625" s="14"/>
      <c r="E625" s="14"/>
      <c r="F625" s="14"/>
      <c r="G625" s="14"/>
      <c r="H625" s="14"/>
    </row>
    <row r="626" ht="22.5" customHeight="1">
      <c r="A626" s="8"/>
      <c r="B626" s="8"/>
      <c r="C626" s="16"/>
      <c r="D626" s="14"/>
      <c r="E626" s="14"/>
      <c r="F626" s="14"/>
      <c r="G626" s="14"/>
      <c r="H626" s="14"/>
    </row>
    <row r="627" ht="22.5" customHeight="1">
      <c r="A627" s="8"/>
      <c r="B627" s="8"/>
      <c r="C627" s="16"/>
      <c r="D627" s="14"/>
      <c r="E627" s="14"/>
      <c r="F627" s="14"/>
      <c r="G627" s="14"/>
      <c r="H627" s="14"/>
    </row>
    <row r="628" ht="22.5" customHeight="1">
      <c r="A628" s="8"/>
      <c r="B628" s="8"/>
      <c r="C628" s="16"/>
      <c r="D628" s="14"/>
      <c r="E628" s="14"/>
      <c r="F628" s="14"/>
      <c r="G628" s="14"/>
      <c r="H628" s="14"/>
    </row>
    <row r="629" ht="22.5" customHeight="1">
      <c r="A629" s="8"/>
      <c r="B629" s="8"/>
      <c r="C629" s="16"/>
      <c r="D629" s="14"/>
      <c r="E629" s="14"/>
      <c r="F629" s="14"/>
      <c r="G629" s="14"/>
      <c r="H629" s="14"/>
    </row>
    <row r="630" ht="22.5" customHeight="1">
      <c r="A630" s="8"/>
      <c r="B630" s="8"/>
      <c r="C630" s="16"/>
      <c r="D630" s="14"/>
      <c r="E630" s="14"/>
      <c r="F630" s="14"/>
      <c r="G630" s="14"/>
      <c r="H630" s="14"/>
    </row>
    <row r="631" ht="22.5" customHeight="1">
      <c r="A631" s="8"/>
      <c r="B631" s="8"/>
      <c r="C631" s="16"/>
      <c r="D631" s="14"/>
      <c r="E631" s="14"/>
      <c r="F631" s="14"/>
      <c r="G631" s="14"/>
      <c r="H631" s="14"/>
    </row>
    <row r="632" ht="22.5" customHeight="1">
      <c r="A632" s="8"/>
      <c r="B632" s="8"/>
      <c r="C632" s="16"/>
      <c r="D632" s="14"/>
      <c r="E632" s="14"/>
      <c r="F632" s="14"/>
      <c r="G632" s="14"/>
      <c r="H632" s="14"/>
    </row>
    <row r="633" ht="22.5" customHeight="1">
      <c r="A633" s="8"/>
      <c r="B633" s="8"/>
      <c r="C633" s="16"/>
      <c r="D633" s="14"/>
      <c r="E633" s="14"/>
      <c r="F633" s="14"/>
      <c r="G633" s="14"/>
      <c r="H633" s="14"/>
    </row>
    <row r="634" ht="22.5" customHeight="1">
      <c r="A634" s="8"/>
      <c r="B634" s="8"/>
      <c r="C634" s="16"/>
      <c r="D634" s="14"/>
      <c r="E634" s="14"/>
      <c r="F634" s="14"/>
      <c r="G634" s="14"/>
      <c r="H634" s="14"/>
    </row>
    <row r="635" ht="22.5" customHeight="1">
      <c r="A635" s="8"/>
      <c r="B635" s="8"/>
      <c r="C635" s="16"/>
      <c r="D635" s="14"/>
      <c r="E635" s="14"/>
      <c r="F635" s="14"/>
      <c r="G635" s="14"/>
      <c r="H635" s="14"/>
    </row>
    <row r="636" ht="22.5" customHeight="1">
      <c r="A636" s="8"/>
      <c r="B636" s="8"/>
      <c r="C636" s="16"/>
      <c r="D636" s="14"/>
      <c r="E636" s="14"/>
      <c r="F636" s="14"/>
      <c r="G636" s="14"/>
      <c r="H636" s="14"/>
    </row>
    <row r="637" ht="22.5" customHeight="1">
      <c r="A637" s="8"/>
      <c r="B637" s="8"/>
      <c r="C637" s="16"/>
      <c r="D637" s="14"/>
      <c r="E637" s="14"/>
      <c r="F637" s="14"/>
      <c r="G637" s="14"/>
      <c r="H637" s="14"/>
    </row>
    <row r="638" ht="22.5" customHeight="1">
      <c r="A638" s="8"/>
      <c r="B638" s="8"/>
      <c r="C638" s="16"/>
      <c r="D638" s="14"/>
      <c r="E638" s="14"/>
      <c r="F638" s="14"/>
      <c r="G638" s="14"/>
      <c r="H638" s="14"/>
    </row>
    <row r="639" ht="22.5" customHeight="1">
      <c r="A639" s="8"/>
      <c r="B639" s="8"/>
      <c r="C639" s="16"/>
      <c r="D639" s="14"/>
      <c r="E639" s="14"/>
      <c r="F639" s="14"/>
      <c r="G639" s="14"/>
      <c r="H639" s="14"/>
    </row>
    <row r="640" ht="22.5" customHeight="1">
      <c r="A640" s="8"/>
      <c r="B640" s="8"/>
      <c r="C640" s="16"/>
      <c r="D640" s="14"/>
      <c r="E640" s="14"/>
      <c r="F640" s="14"/>
      <c r="G640" s="14"/>
      <c r="H640" s="14"/>
    </row>
    <row r="641" ht="22.5" customHeight="1">
      <c r="A641" s="8"/>
      <c r="B641" s="8"/>
      <c r="C641" s="16"/>
      <c r="D641" s="14"/>
      <c r="E641" s="14"/>
      <c r="F641" s="14"/>
      <c r="G641" s="14"/>
      <c r="H641" s="14"/>
    </row>
    <row r="642" ht="22.5" customHeight="1">
      <c r="A642" s="8"/>
      <c r="B642" s="8"/>
      <c r="C642" s="16"/>
      <c r="D642" s="14"/>
      <c r="E642" s="14"/>
      <c r="F642" s="14"/>
      <c r="G642" s="14"/>
      <c r="H642" s="14"/>
    </row>
    <row r="643" ht="22.5" customHeight="1">
      <c r="A643" s="8"/>
      <c r="B643" s="8"/>
      <c r="C643" s="16"/>
      <c r="D643" s="14"/>
      <c r="E643" s="14"/>
      <c r="F643" s="14"/>
      <c r="G643" s="14"/>
      <c r="H643" s="14"/>
    </row>
    <row r="644" ht="22.5" customHeight="1">
      <c r="A644" s="8"/>
      <c r="B644" s="8"/>
      <c r="C644" s="16"/>
      <c r="D644" s="14"/>
      <c r="E644" s="14"/>
      <c r="F644" s="14"/>
      <c r="G644" s="14"/>
      <c r="H644" s="14"/>
    </row>
    <row r="645" ht="22.5" customHeight="1">
      <c r="A645" s="8"/>
      <c r="B645" s="8"/>
      <c r="C645" s="16"/>
      <c r="D645" s="14"/>
      <c r="E645" s="14"/>
      <c r="F645" s="14"/>
      <c r="G645" s="14"/>
      <c r="H645" s="14"/>
    </row>
    <row r="646" ht="22.5" customHeight="1">
      <c r="A646" s="8"/>
      <c r="B646" s="8"/>
      <c r="C646" s="16"/>
      <c r="D646" s="14"/>
      <c r="E646" s="14"/>
      <c r="F646" s="14"/>
      <c r="G646" s="14"/>
      <c r="H646" s="14"/>
    </row>
    <row r="647" ht="22.5" customHeight="1">
      <c r="A647" s="8"/>
      <c r="B647" s="8"/>
      <c r="C647" s="16"/>
      <c r="D647" s="14"/>
      <c r="E647" s="14"/>
      <c r="F647" s="14"/>
      <c r="G647" s="14"/>
      <c r="H647" s="14"/>
    </row>
    <row r="648" ht="22.5" customHeight="1">
      <c r="A648" s="8"/>
      <c r="B648" s="8"/>
      <c r="C648" s="16"/>
      <c r="D648" s="14"/>
      <c r="E648" s="14"/>
      <c r="F648" s="14"/>
      <c r="G648" s="14"/>
      <c r="H648" s="14"/>
    </row>
    <row r="649" ht="22.5" customHeight="1">
      <c r="A649" s="8"/>
      <c r="B649" s="8"/>
      <c r="C649" s="16"/>
      <c r="D649" s="14"/>
      <c r="E649" s="14"/>
      <c r="F649" s="14"/>
      <c r="G649" s="14"/>
      <c r="H649" s="14"/>
    </row>
    <row r="650" ht="22.5" customHeight="1">
      <c r="A650" s="8"/>
      <c r="B650" s="8"/>
      <c r="C650" s="16"/>
      <c r="D650" s="14"/>
      <c r="E650" s="14"/>
      <c r="F650" s="14"/>
      <c r="G650" s="14"/>
      <c r="H650" s="14"/>
    </row>
    <row r="651" ht="22.5" customHeight="1">
      <c r="A651" s="8"/>
      <c r="B651" s="8"/>
      <c r="C651" s="16"/>
      <c r="D651" s="14"/>
      <c r="E651" s="14"/>
      <c r="F651" s="14"/>
      <c r="G651" s="14"/>
      <c r="H651" s="14"/>
    </row>
    <row r="652" ht="22.5" customHeight="1">
      <c r="A652" s="8"/>
      <c r="B652" s="8"/>
      <c r="C652" s="16"/>
      <c r="D652" s="14"/>
      <c r="E652" s="14"/>
      <c r="F652" s="14"/>
      <c r="G652" s="14"/>
      <c r="H652" s="14"/>
    </row>
    <row r="653" ht="22.5" customHeight="1">
      <c r="A653" s="8"/>
      <c r="B653" s="8"/>
      <c r="C653" s="16"/>
      <c r="D653" s="14"/>
      <c r="E653" s="14"/>
      <c r="F653" s="14"/>
      <c r="G653" s="14"/>
      <c r="H653" s="14"/>
    </row>
    <row r="654" ht="22.5" customHeight="1">
      <c r="A654" s="8"/>
      <c r="B654" s="8"/>
      <c r="C654" s="16"/>
      <c r="D654" s="14"/>
      <c r="E654" s="14"/>
      <c r="F654" s="14"/>
      <c r="G654" s="14"/>
      <c r="H654" s="14"/>
    </row>
    <row r="655" ht="22.5" customHeight="1">
      <c r="A655" s="8"/>
      <c r="B655" s="8"/>
      <c r="C655" s="16"/>
      <c r="D655" s="14"/>
      <c r="E655" s="14"/>
      <c r="F655" s="14"/>
      <c r="G655" s="14"/>
      <c r="H655" s="14"/>
    </row>
    <row r="656" ht="22.5" customHeight="1">
      <c r="A656" s="8"/>
      <c r="B656" s="8"/>
      <c r="C656" s="16"/>
      <c r="D656" s="14"/>
      <c r="E656" s="14"/>
      <c r="F656" s="14"/>
      <c r="G656" s="14"/>
      <c r="H656" s="14"/>
    </row>
    <row r="657" ht="22.5" customHeight="1">
      <c r="A657" s="8"/>
      <c r="B657" s="8"/>
      <c r="C657" s="16"/>
      <c r="D657" s="14"/>
      <c r="E657" s="14"/>
      <c r="F657" s="14"/>
      <c r="G657" s="14"/>
      <c r="H657" s="14"/>
    </row>
    <row r="658" ht="22.5" customHeight="1">
      <c r="A658" s="8"/>
      <c r="B658" s="8"/>
      <c r="C658" s="16"/>
      <c r="D658" s="14"/>
      <c r="E658" s="14"/>
      <c r="F658" s="14"/>
      <c r="G658" s="14"/>
      <c r="H658" s="14"/>
    </row>
    <row r="659" ht="22.5" customHeight="1">
      <c r="A659" s="8"/>
      <c r="B659" s="8"/>
      <c r="C659" s="16"/>
      <c r="D659" s="14"/>
      <c r="E659" s="14"/>
      <c r="F659" s="14"/>
      <c r="G659" s="14"/>
      <c r="H659" s="14"/>
    </row>
    <row r="660" ht="22.5" customHeight="1">
      <c r="A660" s="8"/>
      <c r="B660" s="8"/>
      <c r="C660" s="16"/>
      <c r="D660" s="14"/>
      <c r="E660" s="14"/>
      <c r="F660" s="14"/>
      <c r="G660" s="14"/>
      <c r="H660" s="14"/>
    </row>
    <row r="661" ht="22.5" customHeight="1">
      <c r="A661" s="8"/>
      <c r="B661" s="8"/>
      <c r="C661" s="16"/>
      <c r="D661" s="14"/>
      <c r="E661" s="14"/>
      <c r="F661" s="14"/>
      <c r="G661" s="14"/>
      <c r="H661" s="14"/>
    </row>
    <row r="662" ht="22.5" customHeight="1">
      <c r="A662" s="8"/>
      <c r="B662" s="8"/>
      <c r="C662" s="16"/>
      <c r="D662" s="14"/>
      <c r="E662" s="14"/>
      <c r="F662" s="14"/>
      <c r="G662" s="14"/>
      <c r="H662" s="14"/>
    </row>
    <row r="663" ht="22.5" customHeight="1">
      <c r="A663" s="8"/>
      <c r="B663" s="8"/>
      <c r="C663" s="16"/>
      <c r="D663" s="14"/>
      <c r="E663" s="14"/>
      <c r="F663" s="14"/>
      <c r="G663" s="14"/>
      <c r="H663" s="14"/>
    </row>
    <row r="664" ht="22.5" customHeight="1">
      <c r="A664" s="8"/>
      <c r="B664" s="8"/>
      <c r="C664" s="16"/>
      <c r="D664" s="14"/>
      <c r="E664" s="14"/>
      <c r="F664" s="14"/>
      <c r="G664" s="14"/>
      <c r="H664" s="14"/>
    </row>
    <row r="665" ht="22.5" customHeight="1">
      <c r="A665" s="8"/>
      <c r="B665" s="8"/>
      <c r="C665" s="16"/>
      <c r="D665" s="14"/>
      <c r="E665" s="14"/>
      <c r="F665" s="14"/>
      <c r="G665" s="14"/>
      <c r="H665" s="14"/>
    </row>
    <row r="666" ht="22.5" customHeight="1">
      <c r="A666" s="8"/>
      <c r="B666" s="8"/>
      <c r="C666" s="16"/>
      <c r="D666" s="14"/>
      <c r="E666" s="14"/>
      <c r="F666" s="14"/>
      <c r="G666" s="14"/>
      <c r="H666" s="14"/>
    </row>
    <row r="667" ht="22.5" customHeight="1">
      <c r="A667" s="8"/>
      <c r="B667" s="8"/>
      <c r="C667" s="16"/>
      <c r="D667" s="14"/>
      <c r="E667" s="14"/>
      <c r="F667" s="14"/>
      <c r="G667" s="14"/>
      <c r="H667" s="14"/>
    </row>
    <row r="668" ht="22.5" customHeight="1">
      <c r="A668" s="8"/>
      <c r="B668" s="8"/>
      <c r="C668" s="16"/>
      <c r="D668" s="14"/>
      <c r="E668" s="14"/>
      <c r="F668" s="14"/>
      <c r="G668" s="14"/>
      <c r="H668" s="14"/>
    </row>
    <row r="669" ht="22.5" customHeight="1">
      <c r="A669" s="8"/>
      <c r="B669" s="8"/>
      <c r="C669" s="16"/>
      <c r="D669" s="14"/>
      <c r="E669" s="14"/>
      <c r="F669" s="14"/>
      <c r="G669" s="14"/>
      <c r="H669" s="14"/>
    </row>
    <row r="670" ht="22.5" customHeight="1">
      <c r="A670" s="8"/>
      <c r="B670" s="8"/>
      <c r="C670" s="16"/>
      <c r="D670" s="14"/>
      <c r="E670" s="14"/>
      <c r="F670" s="14"/>
      <c r="G670" s="14"/>
      <c r="H670" s="14"/>
    </row>
    <row r="671" ht="22.5" customHeight="1">
      <c r="A671" s="8"/>
      <c r="B671" s="8"/>
      <c r="C671" s="16"/>
      <c r="D671" s="14"/>
      <c r="E671" s="14"/>
      <c r="F671" s="14"/>
      <c r="G671" s="14"/>
      <c r="H671" s="14"/>
    </row>
    <row r="672" ht="22.5" customHeight="1">
      <c r="A672" s="8"/>
      <c r="B672" s="8"/>
      <c r="C672" s="16"/>
      <c r="D672" s="14"/>
      <c r="E672" s="14"/>
      <c r="F672" s="14"/>
      <c r="G672" s="14"/>
      <c r="H672" s="14"/>
    </row>
    <row r="673" ht="22.5" customHeight="1">
      <c r="A673" s="8"/>
      <c r="B673" s="8"/>
      <c r="C673" s="16"/>
      <c r="D673" s="14"/>
      <c r="E673" s="14"/>
      <c r="F673" s="14"/>
      <c r="G673" s="14"/>
      <c r="H673" s="14"/>
    </row>
    <row r="674" ht="22.5" customHeight="1">
      <c r="A674" s="8"/>
      <c r="B674" s="8"/>
      <c r="C674" s="16"/>
      <c r="D674" s="14"/>
      <c r="E674" s="14"/>
      <c r="F674" s="14"/>
      <c r="G674" s="14"/>
      <c r="H674" s="14"/>
    </row>
    <row r="675" ht="22.5" customHeight="1">
      <c r="A675" s="8"/>
      <c r="B675" s="8"/>
      <c r="C675" s="16"/>
      <c r="D675" s="14"/>
      <c r="E675" s="14"/>
      <c r="F675" s="14"/>
      <c r="G675" s="14"/>
      <c r="H675" s="14"/>
    </row>
    <row r="676" ht="22.5" customHeight="1">
      <c r="A676" s="8"/>
      <c r="B676" s="8"/>
      <c r="C676" s="16"/>
      <c r="D676" s="14"/>
      <c r="E676" s="14"/>
      <c r="F676" s="14"/>
      <c r="G676" s="14"/>
      <c r="H676" s="14"/>
    </row>
    <row r="677" ht="22.5" customHeight="1">
      <c r="A677" s="8"/>
      <c r="B677" s="8"/>
      <c r="C677" s="16"/>
      <c r="D677" s="14"/>
      <c r="E677" s="14"/>
      <c r="F677" s="14"/>
      <c r="G677" s="14"/>
      <c r="H677" s="14"/>
    </row>
    <row r="678" ht="22.5" customHeight="1">
      <c r="A678" s="8"/>
      <c r="B678" s="8"/>
      <c r="C678" s="16"/>
      <c r="D678" s="14"/>
      <c r="E678" s="14"/>
      <c r="F678" s="14"/>
      <c r="G678" s="14"/>
      <c r="H678" s="14"/>
    </row>
    <row r="679" ht="22.5" customHeight="1">
      <c r="A679" s="8"/>
      <c r="B679" s="8"/>
      <c r="C679" s="16"/>
      <c r="D679" s="14"/>
      <c r="E679" s="14"/>
      <c r="F679" s="14"/>
      <c r="G679" s="14"/>
      <c r="H679" s="14"/>
    </row>
    <row r="680" ht="22.5" customHeight="1">
      <c r="A680" s="8"/>
      <c r="B680" s="8"/>
      <c r="C680" s="16"/>
      <c r="D680" s="14"/>
      <c r="E680" s="14"/>
      <c r="F680" s="14"/>
      <c r="G680" s="14"/>
      <c r="H680" s="14"/>
    </row>
    <row r="681" ht="22.5" customHeight="1">
      <c r="A681" s="8"/>
      <c r="B681" s="8"/>
      <c r="C681" s="16"/>
      <c r="D681" s="14"/>
      <c r="E681" s="14"/>
      <c r="F681" s="14"/>
      <c r="G681" s="14"/>
      <c r="H681" s="14"/>
    </row>
    <row r="682" ht="22.5" customHeight="1">
      <c r="A682" s="8"/>
      <c r="B682" s="8"/>
      <c r="C682" s="16"/>
      <c r="D682" s="14"/>
      <c r="E682" s="14"/>
      <c r="F682" s="14"/>
      <c r="G682" s="14"/>
      <c r="H682" s="14"/>
    </row>
    <row r="683" ht="22.5" customHeight="1">
      <c r="A683" s="8"/>
      <c r="B683" s="8"/>
      <c r="C683" s="16"/>
      <c r="D683" s="14"/>
      <c r="E683" s="14"/>
      <c r="F683" s="14"/>
      <c r="G683" s="14"/>
      <c r="H683" s="14"/>
    </row>
    <row r="684" ht="22.5" customHeight="1">
      <c r="A684" s="8"/>
      <c r="B684" s="8"/>
      <c r="C684" s="16"/>
      <c r="D684" s="14"/>
      <c r="E684" s="14"/>
      <c r="F684" s="14"/>
      <c r="G684" s="14"/>
      <c r="H684" s="14"/>
    </row>
    <row r="685" ht="22.5" customHeight="1">
      <c r="A685" s="8"/>
      <c r="B685" s="8"/>
      <c r="C685" s="16"/>
      <c r="D685" s="14"/>
      <c r="E685" s="14"/>
      <c r="F685" s="14"/>
      <c r="G685" s="14"/>
      <c r="H685" s="14"/>
    </row>
    <row r="686" ht="22.5" customHeight="1">
      <c r="A686" s="8"/>
      <c r="B686" s="8"/>
      <c r="C686" s="16"/>
      <c r="D686" s="14"/>
      <c r="E686" s="14"/>
      <c r="F686" s="14"/>
      <c r="G686" s="14"/>
      <c r="H686" s="14"/>
    </row>
    <row r="687" ht="22.5" customHeight="1">
      <c r="A687" s="8"/>
      <c r="B687" s="8"/>
      <c r="C687" s="16"/>
      <c r="D687" s="14"/>
      <c r="E687" s="14"/>
      <c r="F687" s="14"/>
      <c r="G687" s="14"/>
      <c r="H687" s="14"/>
    </row>
    <row r="688" ht="22.5" customHeight="1">
      <c r="A688" s="8"/>
      <c r="B688" s="8"/>
      <c r="C688" s="16"/>
      <c r="D688" s="14"/>
      <c r="E688" s="14"/>
      <c r="F688" s="14"/>
      <c r="G688" s="14"/>
      <c r="H688" s="14"/>
    </row>
    <row r="689" ht="22.5" customHeight="1">
      <c r="A689" s="8"/>
      <c r="B689" s="8"/>
      <c r="C689" s="16"/>
      <c r="D689" s="14"/>
      <c r="E689" s="14"/>
      <c r="F689" s="14"/>
      <c r="G689" s="14"/>
      <c r="H689" s="14"/>
    </row>
    <row r="690" ht="22.5" customHeight="1">
      <c r="A690" s="8"/>
      <c r="B690" s="8"/>
      <c r="C690" s="16"/>
      <c r="D690" s="14"/>
      <c r="E690" s="14"/>
      <c r="F690" s="14"/>
      <c r="G690" s="14"/>
      <c r="H690" s="14"/>
    </row>
    <row r="691" ht="22.5" customHeight="1">
      <c r="A691" s="8"/>
      <c r="B691" s="8"/>
      <c r="C691" s="16"/>
      <c r="D691" s="14"/>
      <c r="E691" s="14"/>
      <c r="F691" s="14"/>
      <c r="G691" s="14"/>
      <c r="H691" s="14"/>
    </row>
    <row r="692" ht="22.5" customHeight="1">
      <c r="A692" s="8"/>
      <c r="B692" s="8"/>
      <c r="C692" s="16"/>
      <c r="D692" s="14"/>
      <c r="E692" s="14"/>
      <c r="F692" s="14"/>
      <c r="G692" s="14"/>
      <c r="H692" s="14"/>
    </row>
    <row r="693" ht="22.5" customHeight="1">
      <c r="A693" s="8"/>
      <c r="B693" s="8"/>
      <c r="C693" s="16"/>
      <c r="D693" s="14"/>
      <c r="E693" s="14"/>
      <c r="F693" s="14"/>
      <c r="G693" s="14"/>
      <c r="H693" s="14"/>
    </row>
    <row r="694" ht="22.5" customHeight="1">
      <c r="A694" s="8"/>
      <c r="B694" s="8"/>
      <c r="C694" s="16"/>
      <c r="D694" s="14"/>
      <c r="E694" s="14"/>
      <c r="F694" s="14"/>
      <c r="G694" s="14"/>
      <c r="H694" s="14"/>
    </row>
    <row r="695" ht="22.5" customHeight="1">
      <c r="A695" s="8"/>
      <c r="B695" s="8"/>
      <c r="C695" s="16"/>
      <c r="D695" s="14"/>
      <c r="E695" s="14"/>
      <c r="F695" s="14"/>
      <c r="G695" s="14"/>
      <c r="H695" s="14"/>
    </row>
    <row r="696" ht="22.5" customHeight="1">
      <c r="A696" s="8"/>
      <c r="B696" s="8"/>
      <c r="C696" s="16"/>
      <c r="D696" s="14"/>
      <c r="E696" s="14"/>
      <c r="F696" s="14"/>
      <c r="G696" s="14"/>
      <c r="H696" s="14"/>
    </row>
    <row r="697" ht="22.5" customHeight="1">
      <c r="A697" s="8"/>
      <c r="B697" s="8"/>
      <c r="C697" s="16"/>
      <c r="D697" s="14"/>
      <c r="E697" s="14"/>
      <c r="F697" s="14"/>
      <c r="G697" s="14"/>
      <c r="H697" s="14"/>
    </row>
    <row r="698" ht="22.5" customHeight="1">
      <c r="A698" s="8"/>
      <c r="B698" s="8"/>
      <c r="C698" s="16"/>
      <c r="D698" s="14"/>
      <c r="E698" s="14"/>
      <c r="F698" s="14"/>
      <c r="G698" s="14"/>
      <c r="H698" s="14"/>
    </row>
    <row r="699" ht="22.5" customHeight="1">
      <c r="A699" s="8"/>
      <c r="B699" s="8"/>
      <c r="C699" s="16"/>
      <c r="D699" s="14"/>
      <c r="E699" s="14"/>
      <c r="F699" s="14"/>
      <c r="G699" s="14"/>
      <c r="H699" s="14"/>
    </row>
    <row r="700" ht="22.5" customHeight="1">
      <c r="A700" s="8"/>
      <c r="B700" s="8"/>
      <c r="C700" s="16"/>
      <c r="D700" s="14"/>
      <c r="E700" s="14"/>
      <c r="F700" s="14"/>
      <c r="G700" s="14"/>
      <c r="H700" s="14"/>
    </row>
    <row r="701" ht="22.5" customHeight="1">
      <c r="A701" s="8"/>
      <c r="B701" s="8"/>
      <c r="C701" s="16"/>
      <c r="D701" s="14"/>
      <c r="E701" s="14"/>
      <c r="F701" s="14"/>
      <c r="G701" s="14"/>
      <c r="H701" s="14"/>
    </row>
    <row r="702" ht="22.5" customHeight="1">
      <c r="A702" s="8"/>
      <c r="B702" s="8"/>
      <c r="C702" s="16"/>
      <c r="D702" s="14"/>
      <c r="E702" s="14"/>
      <c r="F702" s="14"/>
      <c r="G702" s="14"/>
      <c r="H702" s="14"/>
    </row>
    <row r="703" ht="22.5" customHeight="1">
      <c r="A703" s="8"/>
      <c r="B703" s="8"/>
      <c r="C703" s="16"/>
      <c r="D703" s="14"/>
      <c r="E703" s="14"/>
      <c r="F703" s="14"/>
      <c r="G703" s="14"/>
      <c r="H703" s="14"/>
    </row>
    <row r="704" ht="22.5" customHeight="1">
      <c r="A704" s="8"/>
      <c r="B704" s="8"/>
      <c r="C704" s="16"/>
      <c r="D704" s="14"/>
      <c r="E704" s="14"/>
      <c r="F704" s="14"/>
      <c r="G704" s="14"/>
      <c r="H704" s="14"/>
    </row>
    <row r="705" ht="22.5" customHeight="1">
      <c r="A705" s="8"/>
      <c r="B705" s="8"/>
      <c r="C705" s="16"/>
      <c r="D705" s="14"/>
      <c r="E705" s="14"/>
      <c r="F705" s="14"/>
      <c r="G705" s="14"/>
      <c r="H705" s="14"/>
    </row>
    <row r="706" ht="22.5" customHeight="1">
      <c r="A706" s="8"/>
      <c r="B706" s="8"/>
      <c r="C706" s="16"/>
      <c r="D706" s="14"/>
      <c r="E706" s="14"/>
      <c r="F706" s="14"/>
      <c r="G706" s="14"/>
      <c r="H706" s="14"/>
    </row>
    <row r="707" ht="22.5" customHeight="1">
      <c r="A707" s="8"/>
      <c r="B707" s="8"/>
      <c r="C707" s="16"/>
      <c r="D707" s="14"/>
      <c r="E707" s="14"/>
      <c r="F707" s="14"/>
      <c r="G707" s="14"/>
      <c r="H707" s="14"/>
    </row>
    <row r="708" ht="22.5" customHeight="1">
      <c r="A708" s="8"/>
      <c r="B708" s="8"/>
      <c r="C708" s="16"/>
      <c r="D708" s="14"/>
      <c r="E708" s="14"/>
      <c r="F708" s="14"/>
      <c r="G708" s="14"/>
      <c r="H708" s="14"/>
    </row>
    <row r="709" ht="22.5" customHeight="1">
      <c r="A709" s="8"/>
      <c r="B709" s="8"/>
      <c r="C709" s="16"/>
      <c r="D709" s="14"/>
      <c r="E709" s="14"/>
      <c r="F709" s="14"/>
      <c r="G709" s="14"/>
      <c r="H709" s="14"/>
    </row>
    <row r="710" ht="22.5" customHeight="1">
      <c r="A710" s="8"/>
      <c r="B710" s="8"/>
      <c r="C710" s="16"/>
      <c r="D710" s="14"/>
      <c r="E710" s="14"/>
      <c r="F710" s="14"/>
      <c r="G710" s="14"/>
      <c r="H710" s="14"/>
    </row>
    <row r="711" ht="22.5" customHeight="1">
      <c r="A711" s="8"/>
      <c r="B711" s="8"/>
      <c r="C711" s="16"/>
      <c r="D711" s="14"/>
      <c r="E711" s="14"/>
      <c r="F711" s="14"/>
      <c r="G711" s="14"/>
      <c r="H711" s="14"/>
    </row>
    <row r="712" ht="22.5" customHeight="1">
      <c r="A712" s="8"/>
      <c r="B712" s="8"/>
      <c r="C712" s="16"/>
      <c r="D712" s="14"/>
      <c r="E712" s="14"/>
      <c r="F712" s="14"/>
      <c r="G712" s="14"/>
      <c r="H712" s="14"/>
    </row>
    <row r="713" ht="22.5" customHeight="1">
      <c r="A713" s="8"/>
      <c r="B713" s="8"/>
      <c r="C713" s="16"/>
      <c r="D713" s="14"/>
      <c r="E713" s="14"/>
      <c r="F713" s="14"/>
      <c r="G713" s="14"/>
      <c r="H713" s="14"/>
    </row>
    <row r="714" ht="22.5" customHeight="1">
      <c r="A714" s="8"/>
      <c r="B714" s="8"/>
      <c r="C714" s="16"/>
      <c r="D714" s="14"/>
      <c r="E714" s="14"/>
      <c r="F714" s="14"/>
      <c r="G714" s="14"/>
      <c r="H714" s="14"/>
    </row>
    <row r="715" ht="22.5" customHeight="1">
      <c r="A715" s="8"/>
      <c r="B715" s="8"/>
      <c r="C715" s="16"/>
      <c r="D715" s="14"/>
      <c r="E715" s="14"/>
      <c r="F715" s="14"/>
      <c r="G715" s="14"/>
      <c r="H715" s="14"/>
    </row>
    <row r="716" ht="22.5" customHeight="1">
      <c r="A716" s="8"/>
      <c r="B716" s="8"/>
      <c r="C716" s="16"/>
      <c r="D716" s="14"/>
      <c r="E716" s="14"/>
      <c r="F716" s="14"/>
      <c r="G716" s="14"/>
      <c r="H716" s="14"/>
    </row>
    <row r="717" ht="22.5" customHeight="1">
      <c r="A717" s="8"/>
      <c r="B717" s="8"/>
      <c r="C717" s="16"/>
      <c r="D717" s="14"/>
      <c r="E717" s="14"/>
      <c r="F717" s="14"/>
      <c r="G717" s="14"/>
      <c r="H717" s="14"/>
    </row>
    <row r="718" ht="22.5" customHeight="1">
      <c r="A718" s="8"/>
      <c r="B718" s="8"/>
      <c r="C718" s="16"/>
      <c r="D718" s="14"/>
      <c r="E718" s="14"/>
      <c r="F718" s="14"/>
      <c r="G718" s="14"/>
      <c r="H718" s="14"/>
    </row>
    <row r="719" ht="22.5" customHeight="1">
      <c r="A719" s="8"/>
      <c r="B719" s="8"/>
      <c r="C719" s="16"/>
      <c r="D719" s="14"/>
      <c r="E719" s="14"/>
      <c r="F719" s="14"/>
      <c r="G719" s="14"/>
      <c r="H719" s="14"/>
    </row>
    <row r="720" ht="22.5" customHeight="1">
      <c r="A720" s="8"/>
      <c r="B720" s="8"/>
      <c r="C720" s="16"/>
      <c r="D720" s="14"/>
      <c r="E720" s="14"/>
      <c r="F720" s="14"/>
      <c r="G720" s="14"/>
      <c r="H720" s="14"/>
    </row>
    <row r="721" ht="22.5" customHeight="1">
      <c r="A721" s="8"/>
      <c r="B721" s="8"/>
      <c r="C721" s="16"/>
      <c r="D721" s="14"/>
      <c r="E721" s="14"/>
      <c r="F721" s="14"/>
      <c r="G721" s="14"/>
      <c r="H721" s="14"/>
    </row>
    <row r="722" ht="22.5" customHeight="1">
      <c r="A722" s="8"/>
      <c r="B722" s="8"/>
      <c r="C722" s="16"/>
      <c r="D722" s="14"/>
      <c r="E722" s="14"/>
      <c r="F722" s="14"/>
      <c r="G722" s="14"/>
      <c r="H722" s="14"/>
    </row>
    <row r="723" ht="22.5" customHeight="1">
      <c r="A723" s="8"/>
      <c r="B723" s="8"/>
      <c r="C723" s="16"/>
      <c r="D723" s="14"/>
      <c r="E723" s="14"/>
      <c r="F723" s="14"/>
      <c r="G723" s="14"/>
      <c r="H723" s="14"/>
    </row>
    <row r="724" ht="22.5" customHeight="1">
      <c r="A724" s="8"/>
      <c r="B724" s="8"/>
      <c r="C724" s="16"/>
      <c r="D724" s="14"/>
      <c r="E724" s="14"/>
      <c r="F724" s="14"/>
      <c r="G724" s="14"/>
      <c r="H724" s="14"/>
    </row>
    <row r="725" ht="22.5" customHeight="1">
      <c r="A725" s="8"/>
      <c r="B725" s="8"/>
      <c r="C725" s="16"/>
      <c r="D725" s="14"/>
      <c r="E725" s="14"/>
      <c r="F725" s="14"/>
      <c r="G725" s="14"/>
      <c r="H725" s="14"/>
    </row>
    <row r="726" ht="22.5" customHeight="1">
      <c r="A726" s="8"/>
      <c r="B726" s="8"/>
      <c r="C726" s="16"/>
      <c r="D726" s="14"/>
      <c r="E726" s="14"/>
      <c r="F726" s="14"/>
      <c r="G726" s="14"/>
      <c r="H726" s="14"/>
    </row>
    <row r="727" ht="22.5" customHeight="1">
      <c r="A727" s="8"/>
      <c r="B727" s="8"/>
      <c r="C727" s="16"/>
      <c r="D727" s="14"/>
      <c r="E727" s="14"/>
      <c r="F727" s="14"/>
      <c r="G727" s="14"/>
      <c r="H727" s="14"/>
    </row>
    <row r="728" ht="22.5" customHeight="1">
      <c r="A728" s="8"/>
      <c r="B728" s="8"/>
      <c r="C728" s="16"/>
      <c r="D728" s="14"/>
      <c r="E728" s="14"/>
      <c r="F728" s="14"/>
      <c r="G728" s="14"/>
      <c r="H728" s="14"/>
    </row>
    <row r="729" ht="22.5" customHeight="1">
      <c r="A729" s="8"/>
      <c r="B729" s="8"/>
      <c r="C729" s="16"/>
      <c r="D729" s="14"/>
      <c r="E729" s="14"/>
      <c r="F729" s="14"/>
      <c r="G729" s="14"/>
      <c r="H729" s="14"/>
    </row>
    <row r="730" ht="22.5" customHeight="1">
      <c r="A730" s="8"/>
      <c r="B730" s="8"/>
      <c r="C730" s="16"/>
      <c r="D730" s="14"/>
      <c r="E730" s="14"/>
      <c r="F730" s="14"/>
      <c r="G730" s="14"/>
      <c r="H730" s="14"/>
    </row>
    <row r="731" ht="22.5" customHeight="1">
      <c r="A731" s="8"/>
      <c r="B731" s="8"/>
      <c r="C731" s="16"/>
      <c r="D731" s="14"/>
      <c r="E731" s="14"/>
      <c r="F731" s="14"/>
      <c r="G731" s="14"/>
      <c r="H731" s="14"/>
    </row>
    <row r="732" ht="22.5" customHeight="1">
      <c r="A732" s="8"/>
      <c r="B732" s="8"/>
      <c r="C732" s="16"/>
      <c r="D732" s="14"/>
      <c r="E732" s="14"/>
      <c r="F732" s="14"/>
      <c r="G732" s="14"/>
      <c r="H732" s="14"/>
    </row>
    <row r="733" ht="22.5" customHeight="1">
      <c r="A733" s="8"/>
      <c r="B733" s="8"/>
      <c r="C733" s="16"/>
      <c r="D733" s="14"/>
      <c r="E733" s="14"/>
      <c r="F733" s="14"/>
      <c r="G733" s="14"/>
      <c r="H733" s="14"/>
    </row>
    <row r="734" ht="22.5" customHeight="1">
      <c r="A734" s="8"/>
      <c r="B734" s="8"/>
      <c r="C734" s="16"/>
      <c r="D734" s="14"/>
      <c r="E734" s="14"/>
      <c r="F734" s="14"/>
      <c r="G734" s="14"/>
      <c r="H734" s="14"/>
    </row>
    <row r="735" ht="22.5" customHeight="1">
      <c r="A735" s="8"/>
      <c r="B735" s="8"/>
      <c r="C735" s="16"/>
      <c r="D735" s="14"/>
      <c r="E735" s="14"/>
      <c r="F735" s="14"/>
      <c r="G735" s="14"/>
      <c r="H735" s="14"/>
    </row>
    <row r="736" ht="22.5" customHeight="1">
      <c r="A736" s="8"/>
      <c r="B736" s="8"/>
      <c r="C736" s="16"/>
      <c r="D736" s="14"/>
      <c r="E736" s="14"/>
      <c r="F736" s="14"/>
      <c r="G736" s="14"/>
      <c r="H736" s="14"/>
    </row>
    <row r="737" ht="22.5" customHeight="1">
      <c r="A737" s="8"/>
      <c r="B737" s="8"/>
      <c r="C737" s="16"/>
      <c r="D737" s="14"/>
      <c r="E737" s="14"/>
      <c r="F737" s="14"/>
      <c r="G737" s="14"/>
      <c r="H737" s="14"/>
    </row>
    <row r="738" ht="22.5" customHeight="1">
      <c r="A738" s="8"/>
      <c r="B738" s="8"/>
      <c r="C738" s="16"/>
      <c r="D738" s="14"/>
      <c r="E738" s="14"/>
      <c r="F738" s="14"/>
      <c r="G738" s="14"/>
      <c r="H738" s="14"/>
    </row>
    <row r="739" ht="22.5" customHeight="1">
      <c r="A739" s="8"/>
      <c r="B739" s="8"/>
      <c r="C739" s="16"/>
      <c r="D739" s="14"/>
      <c r="E739" s="14"/>
      <c r="F739" s="14"/>
      <c r="G739" s="14"/>
      <c r="H739" s="14"/>
    </row>
    <row r="740" ht="22.5" customHeight="1">
      <c r="A740" s="8"/>
      <c r="B740" s="8"/>
      <c r="C740" s="16"/>
      <c r="D740" s="14"/>
      <c r="E740" s="14"/>
      <c r="F740" s="14"/>
      <c r="G740" s="14"/>
      <c r="H740" s="14"/>
    </row>
    <row r="741" ht="22.5" customHeight="1">
      <c r="A741" s="8"/>
      <c r="B741" s="8"/>
      <c r="C741" s="16"/>
      <c r="D741" s="14"/>
      <c r="E741" s="14"/>
      <c r="F741" s="14"/>
      <c r="G741" s="14"/>
      <c r="H741" s="14"/>
    </row>
    <row r="742" ht="22.5" customHeight="1">
      <c r="A742" s="8"/>
      <c r="B742" s="8"/>
      <c r="C742" s="16"/>
      <c r="D742" s="14"/>
      <c r="E742" s="14"/>
      <c r="F742" s="14"/>
      <c r="G742" s="14"/>
      <c r="H742" s="14"/>
    </row>
    <row r="743" ht="22.5" customHeight="1">
      <c r="A743" s="8"/>
      <c r="B743" s="8"/>
      <c r="C743" s="16"/>
      <c r="D743" s="14"/>
      <c r="E743" s="14"/>
      <c r="F743" s="14"/>
      <c r="G743" s="14"/>
      <c r="H743" s="14"/>
    </row>
    <row r="744" ht="22.5" customHeight="1">
      <c r="A744" s="8"/>
      <c r="B744" s="8"/>
      <c r="C744" s="16"/>
      <c r="D744" s="14"/>
      <c r="E744" s="14"/>
      <c r="F744" s="14"/>
      <c r="G744" s="14"/>
      <c r="H744" s="14"/>
    </row>
    <row r="745" ht="22.5" customHeight="1">
      <c r="A745" s="8"/>
      <c r="B745" s="8"/>
      <c r="C745" s="16"/>
      <c r="D745" s="14"/>
      <c r="E745" s="14"/>
      <c r="F745" s="14"/>
      <c r="G745" s="14"/>
      <c r="H745" s="14"/>
    </row>
    <row r="746" ht="22.5" customHeight="1">
      <c r="A746" s="8"/>
      <c r="B746" s="8"/>
      <c r="C746" s="16"/>
      <c r="D746" s="14"/>
      <c r="E746" s="14"/>
      <c r="F746" s="14"/>
      <c r="G746" s="14"/>
      <c r="H746" s="14"/>
    </row>
    <row r="747" ht="22.5" customHeight="1">
      <c r="A747" s="8"/>
      <c r="B747" s="8"/>
      <c r="C747" s="16"/>
      <c r="D747" s="14"/>
      <c r="E747" s="14"/>
      <c r="F747" s="14"/>
      <c r="G747" s="14"/>
      <c r="H747" s="14"/>
    </row>
    <row r="748" ht="22.5" customHeight="1">
      <c r="A748" s="8"/>
      <c r="B748" s="8"/>
      <c r="C748" s="16"/>
      <c r="D748" s="14"/>
      <c r="E748" s="14"/>
      <c r="F748" s="14"/>
      <c r="G748" s="14"/>
      <c r="H748" s="14"/>
    </row>
    <row r="749" ht="22.5" customHeight="1">
      <c r="A749" s="8"/>
      <c r="B749" s="8"/>
      <c r="C749" s="16"/>
      <c r="D749" s="14"/>
      <c r="E749" s="14"/>
      <c r="F749" s="14"/>
      <c r="G749" s="14"/>
      <c r="H749" s="14"/>
    </row>
    <row r="750" ht="22.5" customHeight="1">
      <c r="A750" s="8"/>
      <c r="B750" s="8"/>
      <c r="C750" s="16"/>
      <c r="D750" s="14"/>
      <c r="E750" s="14"/>
      <c r="F750" s="14"/>
      <c r="G750" s="14"/>
      <c r="H750" s="14"/>
    </row>
    <row r="751" ht="22.5" customHeight="1">
      <c r="A751" s="8"/>
      <c r="B751" s="8"/>
      <c r="C751" s="16"/>
      <c r="D751" s="14"/>
      <c r="E751" s="14"/>
      <c r="F751" s="14"/>
      <c r="G751" s="14"/>
      <c r="H751" s="14"/>
    </row>
    <row r="752" ht="22.5" customHeight="1">
      <c r="A752" s="8"/>
      <c r="B752" s="8"/>
      <c r="C752" s="16"/>
      <c r="D752" s="14"/>
      <c r="E752" s="14"/>
      <c r="F752" s="14"/>
      <c r="G752" s="14"/>
      <c r="H752" s="14"/>
    </row>
    <row r="753" ht="22.5" customHeight="1">
      <c r="A753" s="8"/>
      <c r="B753" s="8"/>
      <c r="C753" s="16"/>
      <c r="D753" s="14"/>
      <c r="E753" s="14"/>
      <c r="F753" s="14"/>
      <c r="G753" s="14"/>
      <c r="H753" s="14"/>
    </row>
    <row r="754" ht="22.5" customHeight="1">
      <c r="A754" s="8"/>
      <c r="B754" s="8"/>
      <c r="C754" s="16"/>
      <c r="D754" s="14"/>
      <c r="E754" s="14"/>
      <c r="F754" s="14"/>
      <c r="G754" s="14"/>
      <c r="H754" s="14"/>
    </row>
    <row r="755" ht="22.5" customHeight="1">
      <c r="A755" s="8"/>
      <c r="B755" s="8"/>
      <c r="C755" s="16"/>
      <c r="D755" s="14"/>
      <c r="E755" s="14"/>
      <c r="F755" s="14"/>
      <c r="G755" s="14"/>
      <c r="H755" s="14"/>
    </row>
    <row r="756" ht="22.5" customHeight="1">
      <c r="A756" s="8"/>
      <c r="B756" s="8"/>
      <c r="C756" s="16"/>
      <c r="D756" s="14"/>
      <c r="E756" s="14"/>
      <c r="F756" s="14"/>
      <c r="G756" s="14"/>
      <c r="H756" s="14"/>
    </row>
    <row r="757" ht="22.5" customHeight="1">
      <c r="A757" s="8"/>
      <c r="B757" s="8"/>
      <c r="C757" s="16"/>
      <c r="D757" s="14"/>
      <c r="E757" s="14"/>
      <c r="F757" s="14"/>
      <c r="G757" s="14"/>
      <c r="H757" s="14"/>
    </row>
    <row r="758" ht="22.5" customHeight="1">
      <c r="A758" s="8"/>
      <c r="B758" s="8"/>
      <c r="C758" s="16"/>
      <c r="D758" s="14"/>
      <c r="E758" s="14"/>
      <c r="F758" s="14"/>
      <c r="G758" s="14"/>
      <c r="H758" s="14"/>
    </row>
    <row r="759" ht="22.5" customHeight="1">
      <c r="A759" s="8"/>
      <c r="B759" s="8"/>
      <c r="C759" s="16"/>
      <c r="D759" s="14"/>
      <c r="E759" s="14"/>
      <c r="F759" s="14"/>
      <c r="G759" s="14"/>
      <c r="H759" s="14"/>
    </row>
    <row r="760" ht="22.5" customHeight="1">
      <c r="A760" s="8"/>
      <c r="B760" s="8"/>
      <c r="C760" s="16"/>
      <c r="D760" s="14"/>
      <c r="E760" s="14"/>
      <c r="F760" s="14"/>
      <c r="G760" s="14"/>
      <c r="H760" s="14"/>
    </row>
    <row r="761" ht="22.5" customHeight="1">
      <c r="A761" s="8"/>
      <c r="B761" s="8"/>
      <c r="C761" s="16"/>
      <c r="D761" s="14"/>
      <c r="E761" s="14"/>
      <c r="F761" s="14"/>
      <c r="G761" s="14"/>
      <c r="H761" s="14"/>
    </row>
    <row r="762" ht="22.5" customHeight="1">
      <c r="A762" s="8"/>
      <c r="B762" s="8"/>
      <c r="C762" s="16"/>
      <c r="D762" s="14"/>
      <c r="E762" s="14"/>
      <c r="F762" s="14"/>
      <c r="G762" s="14"/>
      <c r="H762" s="14"/>
    </row>
    <row r="763" ht="22.5" customHeight="1">
      <c r="A763" s="8"/>
      <c r="B763" s="8"/>
      <c r="C763" s="16"/>
      <c r="D763" s="14"/>
      <c r="E763" s="14"/>
      <c r="F763" s="14"/>
      <c r="G763" s="14"/>
      <c r="H763" s="14"/>
    </row>
    <row r="764" ht="22.5" customHeight="1">
      <c r="A764" s="8"/>
      <c r="B764" s="8"/>
      <c r="C764" s="16"/>
      <c r="D764" s="14"/>
      <c r="E764" s="14"/>
      <c r="F764" s="14"/>
      <c r="G764" s="14"/>
      <c r="H764" s="14"/>
    </row>
    <row r="765" ht="22.5" customHeight="1">
      <c r="A765" s="8"/>
      <c r="B765" s="8"/>
      <c r="C765" s="16"/>
      <c r="D765" s="14"/>
      <c r="E765" s="14"/>
      <c r="F765" s="14"/>
      <c r="G765" s="14"/>
      <c r="H765" s="14"/>
    </row>
    <row r="766" ht="22.5" customHeight="1">
      <c r="A766" s="8"/>
      <c r="B766" s="8"/>
      <c r="C766" s="16"/>
      <c r="D766" s="14"/>
      <c r="E766" s="14"/>
      <c r="F766" s="14"/>
      <c r="G766" s="14"/>
      <c r="H766" s="14"/>
    </row>
    <row r="767" ht="22.5" customHeight="1">
      <c r="A767" s="8"/>
      <c r="B767" s="8"/>
      <c r="C767" s="16"/>
      <c r="D767" s="14"/>
      <c r="E767" s="14"/>
      <c r="F767" s="14"/>
      <c r="G767" s="14"/>
      <c r="H767" s="14"/>
    </row>
    <row r="768" ht="22.5" customHeight="1">
      <c r="A768" s="8"/>
      <c r="B768" s="8"/>
      <c r="C768" s="16"/>
      <c r="D768" s="14"/>
      <c r="E768" s="14"/>
      <c r="F768" s="14"/>
      <c r="G768" s="14"/>
      <c r="H768" s="14"/>
    </row>
    <row r="769" ht="22.5" customHeight="1">
      <c r="A769" s="8"/>
      <c r="B769" s="8"/>
      <c r="C769" s="16"/>
      <c r="D769" s="14"/>
      <c r="E769" s="14"/>
      <c r="F769" s="14"/>
      <c r="G769" s="14"/>
      <c r="H769" s="14"/>
    </row>
    <row r="770" ht="22.5" customHeight="1">
      <c r="A770" s="8"/>
      <c r="B770" s="8"/>
      <c r="C770" s="16"/>
      <c r="D770" s="14"/>
      <c r="E770" s="14"/>
      <c r="F770" s="14"/>
      <c r="G770" s="14"/>
      <c r="H770" s="14"/>
    </row>
    <row r="771" ht="22.5" customHeight="1">
      <c r="A771" s="8"/>
      <c r="B771" s="8"/>
      <c r="C771" s="16"/>
      <c r="D771" s="14"/>
      <c r="E771" s="14"/>
      <c r="F771" s="14"/>
      <c r="G771" s="14"/>
      <c r="H771" s="14"/>
    </row>
    <row r="772" ht="22.5" customHeight="1">
      <c r="A772" s="8"/>
      <c r="B772" s="8"/>
      <c r="C772" s="16"/>
      <c r="D772" s="14"/>
      <c r="E772" s="14"/>
      <c r="F772" s="14"/>
      <c r="G772" s="14"/>
      <c r="H772" s="14"/>
    </row>
    <row r="773" ht="22.5" customHeight="1">
      <c r="A773" s="8"/>
      <c r="B773" s="8"/>
      <c r="C773" s="16"/>
      <c r="D773" s="14"/>
      <c r="E773" s="14"/>
      <c r="F773" s="14"/>
      <c r="G773" s="14"/>
      <c r="H773" s="14"/>
    </row>
    <row r="774" ht="22.5" customHeight="1">
      <c r="A774" s="8"/>
      <c r="B774" s="8"/>
      <c r="C774" s="16"/>
      <c r="D774" s="14"/>
      <c r="E774" s="14"/>
      <c r="F774" s="14"/>
      <c r="G774" s="14"/>
      <c r="H774" s="14"/>
    </row>
    <row r="775" ht="22.5" customHeight="1">
      <c r="A775" s="8"/>
      <c r="B775" s="8"/>
      <c r="C775" s="16"/>
      <c r="D775" s="14"/>
      <c r="E775" s="14"/>
      <c r="F775" s="14"/>
      <c r="G775" s="14"/>
      <c r="H775" s="14"/>
    </row>
    <row r="776" ht="22.5" customHeight="1">
      <c r="A776" s="8"/>
      <c r="B776" s="8"/>
      <c r="C776" s="16"/>
      <c r="D776" s="14"/>
      <c r="E776" s="14"/>
      <c r="F776" s="14"/>
      <c r="G776" s="14"/>
      <c r="H776" s="14"/>
    </row>
    <row r="777" ht="22.5" customHeight="1">
      <c r="A777" s="8"/>
      <c r="B777" s="8"/>
      <c r="C777" s="16"/>
      <c r="D777" s="14"/>
      <c r="E777" s="14"/>
      <c r="F777" s="14"/>
      <c r="G777" s="14"/>
      <c r="H777" s="14"/>
    </row>
    <row r="778" ht="22.5" customHeight="1">
      <c r="A778" s="8"/>
      <c r="B778" s="8"/>
      <c r="C778" s="16"/>
      <c r="D778" s="14"/>
      <c r="E778" s="14"/>
      <c r="F778" s="14"/>
      <c r="G778" s="14"/>
      <c r="H778" s="14"/>
    </row>
    <row r="779" ht="22.5" customHeight="1">
      <c r="A779" s="8"/>
      <c r="B779" s="8"/>
      <c r="C779" s="16"/>
      <c r="D779" s="14"/>
      <c r="E779" s="14"/>
      <c r="F779" s="14"/>
      <c r="G779" s="14"/>
      <c r="H779" s="14"/>
    </row>
    <row r="780" ht="22.5" customHeight="1">
      <c r="A780" s="8"/>
      <c r="B780" s="8"/>
      <c r="C780" s="16"/>
      <c r="D780" s="14"/>
      <c r="E780" s="14"/>
      <c r="F780" s="14"/>
      <c r="G780" s="14"/>
      <c r="H780" s="14"/>
    </row>
    <row r="781" ht="22.5" customHeight="1">
      <c r="A781" s="8"/>
      <c r="B781" s="8"/>
      <c r="C781" s="16"/>
      <c r="D781" s="14"/>
      <c r="E781" s="14"/>
      <c r="F781" s="14"/>
      <c r="G781" s="14"/>
      <c r="H781" s="14"/>
    </row>
    <row r="782" ht="22.5" customHeight="1">
      <c r="A782" s="8"/>
      <c r="B782" s="8"/>
      <c r="C782" s="16"/>
      <c r="D782" s="14"/>
      <c r="E782" s="14"/>
      <c r="F782" s="14"/>
      <c r="G782" s="14"/>
      <c r="H782" s="14"/>
    </row>
    <row r="783" ht="22.5" customHeight="1">
      <c r="A783" s="8"/>
      <c r="B783" s="8"/>
      <c r="C783" s="16"/>
      <c r="D783" s="14"/>
      <c r="E783" s="14"/>
      <c r="F783" s="14"/>
      <c r="G783" s="14"/>
      <c r="H783" s="14"/>
    </row>
    <row r="784" ht="22.5" customHeight="1">
      <c r="A784" s="8"/>
      <c r="B784" s="8"/>
      <c r="C784" s="16"/>
      <c r="D784" s="14"/>
      <c r="E784" s="14"/>
      <c r="F784" s="14"/>
      <c r="G784" s="14"/>
      <c r="H784" s="14"/>
    </row>
    <row r="785" ht="22.5" customHeight="1">
      <c r="A785" s="8"/>
      <c r="B785" s="8"/>
      <c r="C785" s="16"/>
      <c r="D785" s="14"/>
      <c r="E785" s="14"/>
      <c r="F785" s="14"/>
      <c r="G785" s="14"/>
      <c r="H785" s="14"/>
    </row>
    <row r="786" ht="22.5" customHeight="1">
      <c r="A786" s="8"/>
      <c r="B786" s="8"/>
      <c r="C786" s="16"/>
      <c r="D786" s="14"/>
      <c r="E786" s="14"/>
      <c r="F786" s="14"/>
      <c r="G786" s="14"/>
      <c r="H786" s="14"/>
    </row>
    <row r="787" ht="22.5" customHeight="1">
      <c r="A787" s="8"/>
      <c r="B787" s="8"/>
      <c r="C787" s="16"/>
      <c r="D787" s="14"/>
      <c r="E787" s="14"/>
      <c r="F787" s="14"/>
      <c r="G787" s="14"/>
      <c r="H787" s="14"/>
    </row>
    <row r="788" ht="22.5" customHeight="1">
      <c r="A788" s="8"/>
      <c r="B788" s="8"/>
      <c r="C788" s="16"/>
      <c r="D788" s="14"/>
      <c r="E788" s="14"/>
      <c r="F788" s="14"/>
      <c r="G788" s="14"/>
      <c r="H788" s="14"/>
    </row>
    <row r="789" ht="22.5" customHeight="1">
      <c r="A789" s="8"/>
      <c r="B789" s="8"/>
      <c r="C789" s="16"/>
      <c r="D789" s="14"/>
      <c r="E789" s="14"/>
      <c r="F789" s="14"/>
      <c r="G789" s="14"/>
      <c r="H789" s="14"/>
    </row>
    <row r="790" ht="22.5" customHeight="1">
      <c r="A790" s="8"/>
      <c r="B790" s="8"/>
      <c r="C790" s="16"/>
      <c r="D790" s="14"/>
      <c r="E790" s="14"/>
      <c r="F790" s="14"/>
      <c r="G790" s="14"/>
      <c r="H790" s="14"/>
    </row>
    <row r="791" ht="22.5" customHeight="1">
      <c r="A791" s="8"/>
      <c r="B791" s="8"/>
      <c r="C791" s="16"/>
      <c r="D791" s="14"/>
      <c r="E791" s="14"/>
      <c r="F791" s="14"/>
      <c r="G791" s="14"/>
      <c r="H791" s="14"/>
    </row>
    <row r="792" ht="22.5" customHeight="1">
      <c r="A792" s="8"/>
      <c r="B792" s="8"/>
      <c r="C792" s="16"/>
      <c r="D792" s="14"/>
      <c r="E792" s="14"/>
      <c r="F792" s="14"/>
      <c r="G792" s="14"/>
      <c r="H792" s="14"/>
    </row>
    <row r="793" ht="22.5" customHeight="1">
      <c r="A793" s="8"/>
      <c r="B793" s="8"/>
      <c r="C793" s="16"/>
      <c r="D793" s="14"/>
      <c r="E793" s="14"/>
      <c r="F793" s="14"/>
      <c r="G793" s="14"/>
      <c r="H793" s="14"/>
    </row>
    <row r="794" ht="22.5" customHeight="1">
      <c r="A794" s="8"/>
      <c r="B794" s="8"/>
      <c r="C794" s="16"/>
      <c r="D794" s="14"/>
      <c r="E794" s="14"/>
      <c r="F794" s="14"/>
      <c r="G794" s="14"/>
      <c r="H794" s="14"/>
    </row>
    <row r="795" ht="22.5" customHeight="1">
      <c r="A795" s="8"/>
      <c r="B795" s="8"/>
      <c r="C795" s="16"/>
      <c r="D795" s="14"/>
      <c r="E795" s="14"/>
      <c r="F795" s="14"/>
      <c r="G795" s="14"/>
      <c r="H795" s="14"/>
    </row>
    <row r="796" ht="22.5" customHeight="1">
      <c r="A796" s="8"/>
      <c r="B796" s="8"/>
      <c r="C796" s="16"/>
      <c r="D796" s="14"/>
      <c r="E796" s="14"/>
      <c r="F796" s="14"/>
      <c r="G796" s="14"/>
      <c r="H796" s="14"/>
    </row>
    <row r="797" ht="22.5" customHeight="1">
      <c r="A797" s="8"/>
      <c r="B797" s="8"/>
      <c r="C797" s="16"/>
      <c r="D797" s="14"/>
      <c r="E797" s="14"/>
      <c r="F797" s="14"/>
      <c r="G797" s="14"/>
      <c r="H797" s="14"/>
    </row>
    <row r="798" ht="22.5" customHeight="1">
      <c r="A798" s="8"/>
      <c r="B798" s="8"/>
      <c r="C798" s="16"/>
      <c r="D798" s="14"/>
      <c r="E798" s="14"/>
      <c r="F798" s="14"/>
      <c r="G798" s="14"/>
      <c r="H798" s="14"/>
    </row>
    <row r="799" ht="22.5" customHeight="1">
      <c r="A799" s="8"/>
      <c r="B799" s="8"/>
      <c r="C799" s="16"/>
      <c r="D799" s="14"/>
      <c r="E799" s="14"/>
      <c r="F799" s="14"/>
      <c r="G799" s="14"/>
      <c r="H799" s="14"/>
    </row>
    <row r="800" ht="22.5" customHeight="1">
      <c r="A800" s="8"/>
      <c r="B800" s="8"/>
      <c r="C800" s="16"/>
      <c r="D800" s="14"/>
      <c r="E800" s="14"/>
      <c r="F800" s="14"/>
      <c r="G800" s="14"/>
      <c r="H800" s="14"/>
    </row>
    <row r="801" ht="22.5" customHeight="1">
      <c r="A801" s="8"/>
      <c r="B801" s="8"/>
      <c r="C801" s="16"/>
      <c r="D801" s="14"/>
      <c r="E801" s="14"/>
      <c r="F801" s="14"/>
      <c r="G801" s="14"/>
      <c r="H801" s="14"/>
    </row>
    <row r="802" ht="22.5" customHeight="1">
      <c r="A802" s="8"/>
      <c r="B802" s="8"/>
      <c r="C802" s="16"/>
      <c r="D802" s="14"/>
      <c r="E802" s="14"/>
      <c r="F802" s="14"/>
      <c r="G802" s="14"/>
      <c r="H802" s="14"/>
    </row>
    <row r="803" ht="22.5" customHeight="1">
      <c r="A803" s="8"/>
      <c r="B803" s="8"/>
      <c r="C803" s="16"/>
      <c r="D803" s="14"/>
      <c r="E803" s="14"/>
      <c r="F803" s="14"/>
      <c r="G803" s="14"/>
      <c r="H803" s="14"/>
    </row>
    <row r="804" ht="22.5" customHeight="1">
      <c r="A804" s="8"/>
      <c r="B804" s="8"/>
      <c r="C804" s="16"/>
      <c r="D804" s="14"/>
      <c r="E804" s="14"/>
      <c r="F804" s="14"/>
      <c r="G804" s="14"/>
      <c r="H804" s="14"/>
    </row>
    <row r="805" ht="22.5" customHeight="1">
      <c r="A805" s="8"/>
      <c r="B805" s="8"/>
      <c r="C805" s="16"/>
      <c r="D805" s="14"/>
      <c r="E805" s="14"/>
      <c r="F805" s="14"/>
      <c r="G805" s="14"/>
      <c r="H805" s="14"/>
    </row>
    <row r="806" ht="22.5" customHeight="1">
      <c r="A806" s="8"/>
      <c r="B806" s="8"/>
      <c r="C806" s="16"/>
      <c r="D806" s="14"/>
      <c r="E806" s="14"/>
      <c r="F806" s="14"/>
      <c r="G806" s="14"/>
      <c r="H806" s="14"/>
    </row>
    <row r="807" ht="22.5" customHeight="1">
      <c r="A807" s="8"/>
      <c r="B807" s="8"/>
      <c r="C807" s="16"/>
      <c r="D807" s="14"/>
      <c r="E807" s="14"/>
      <c r="F807" s="14"/>
      <c r="G807" s="14"/>
      <c r="H807" s="14"/>
    </row>
    <row r="808" ht="22.5" customHeight="1">
      <c r="A808" s="8"/>
      <c r="B808" s="8"/>
      <c r="C808" s="16"/>
      <c r="D808" s="14"/>
      <c r="E808" s="14"/>
      <c r="F808" s="14"/>
      <c r="G808" s="14"/>
      <c r="H808" s="14"/>
    </row>
    <row r="809" ht="22.5" customHeight="1">
      <c r="A809" s="8"/>
      <c r="B809" s="8"/>
      <c r="C809" s="16"/>
      <c r="D809" s="14"/>
      <c r="E809" s="14"/>
      <c r="F809" s="14"/>
      <c r="G809" s="14"/>
      <c r="H809" s="14"/>
    </row>
    <row r="810" ht="22.5" customHeight="1">
      <c r="A810" s="8"/>
      <c r="B810" s="8"/>
      <c r="C810" s="16"/>
      <c r="D810" s="14"/>
      <c r="E810" s="14"/>
      <c r="F810" s="14"/>
      <c r="G810" s="14"/>
      <c r="H810" s="14"/>
    </row>
    <row r="811" ht="22.5" customHeight="1">
      <c r="A811" s="8"/>
      <c r="B811" s="8"/>
      <c r="C811" s="16"/>
      <c r="D811" s="14"/>
      <c r="E811" s="14"/>
      <c r="F811" s="14"/>
      <c r="G811" s="14"/>
      <c r="H811" s="14"/>
    </row>
    <row r="812" ht="22.5" customHeight="1">
      <c r="A812" s="8"/>
      <c r="B812" s="8"/>
      <c r="C812" s="16"/>
      <c r="D812" s="14"/>
      <c r="E812" s="14"/>
      <c r="F812" s="14"/>
      <c r="G812" s="14"/>
      <c r="H812" s="14"/>
    </row>
    <row r="813" ht="22.5" customHeight="1">
      <c r="A813" s="8"/>
      <c r="B813" s="8"/>
      <c r="C813" s="16"/>
      <c r="D813" s="14"/>
      <c r="E813" s="14"/>
      <c r="F813" s="14"/>
      <c r="G813" s="14"/>
      <c r="H813" s="14"/>
    </row>
    <row r="814" ht="22.5" customHeight="1">
      <c r="A814" s="8"/>
      <c r="B814" s="8"/>
      <c r="C814" s="16"/>
      <c r="D814" s="14"/>
      <c r="E814" s="14"/>
      <c r="F814" s="14"/>
      <c r="G814" s="14"/>
      <c r="H814" s="14"/>
    </row>
    <row r="815" ht="22.5" customHeight="1">
      <c r="A815" s="8"/>
      <c r="B815" s="8"/>
      <c r="C815" s="16"/>
      <c r="D815" s="14"/>
      <c r="E815" s="14"/>
      <c r="F815" s="14"/>
      <c r="G815" s="14"/>
      <c r="H815" s="14"/>
    </row>
    <row r="816" ht="22.5" customHeight="1">
      <c r="A816" s="8"/>
      <c r="B816" s="8"/>
      <c r="C816" s="16"/>
      <c r="D816" s="14"/>
      <c r="E816" s="14"/>
      <c r="F816" s="14"/>
      <c r="G816" s="14"/>
      <c r="H816" s="14"/>
    </row>
    <row r="817" ht="22.5" customHeight="1">
      <c r="A817" s="8"/>
      <c r="B817" s="8"/>
      <c r="C817" s="16"/>
      <c r="D817" s="14"/>
      <c r="E817" s="14"/>
      <c r="F817" s="14"/>
      <c r="G817" s="14"/>
      <c r="H817" s="14"/>
    </row>
    <row r="818" ht="22.5" customHeight="1">
      <c r="A818" s="8"/>
      <c r="B818" s="8"/>
      <c r="C818" s="16"/>
      <c r="D818" s="14"/>
      <c r="E818" s="14"/>
      <c r="F818" s="14"/>
      <c r="G818" s="14"/>
      <c r="H818" s="14"/>
    </row>
    <row r="819" ht="22.5" customHeight="1">
      <c r="A819" s="8"/>
      <c r="B819" s="8"/>
      <c r="C819" s="16"/>
      <c r="D819" s="14"/>
      <c r="E819" s="14"/>
      <c r="F819" s="14"/>
      <c r="G819" s="14"/>
      <c r="H819" s="14"/>
    </row>
    <row r="820" ht="22.5" customHeight="1">
      <c r="A820" s="8"/>
      <c r="B820" s="8"/>
      <c r="C820" s="16"/>
      <c r="D820" s="14"/>
      <c r="E820" s="14"/>
      <c r="F820" s="14"/>
      <c r="G820" s="14"/>
      <c r="H820" s="14"/>
    </row>
    <row r="821" ht="22.5" customHeight="1">
      <c r="A821" s="8"/>
      <c r="B821" s="8"/>
      <c r="C821" s="16"/>
      <c r="D821" s="14"/>
      <c r="E821" s="14"/>
      <c r="F821" s="14"/>
      <c r="G821" s="14"/>
      <c r="H821" s="14"/>
    </row>
    <row r="822" ht="22.5" customHeight="1">
      <c r="A822" s="8"/>
      <c r="B822" s="8"/>
      <c r="C822" s="16"/>
      <c r="D822" s="14"/>
      <c r="E822" s="14"/>
      <c r="F822" s="14"/>
      <c r="G822" s="14"/>
      <c r="H822" s="14"/>
    </row>
    <row r="823" ht="22.5" customHeight="1">
      <c r="A823" s="8"/>
      <c r="B823" s="8"/>
      <c r="C823" s="16"/>
      <c r="D823" s="14"/>
      <c r="E823" s="14"/>
      <c r="F823" s="14"/>
      <c r="G823" s="14"/>
      <c r="H823" s="14"/>
    </row>
    <row r="824" ht="22.5" customHeight="1">
      <c r="A824" s="8"/>
      <c r="B824" s="8"/>
      <c r="C824" s="16"/>
      <c r="D824" s="14"/>
      <c r="E824" s="14"/>
      <c r="F824" s="14"/>
      <c r="G824" s="14"/>
      <c r="H824" s="14"/>
    </row>
    <row r="825" ht="22.5" customHeight="1">
      <c r="A825" s="8"/>
      <c r="B825" s="8"/>
      <c r="C825" s="16"/>
      <c r="D825" s="14"/>
      <c r="E825" s="14"/>
      <c r="F825" s="14"/>
      <c r="G825" s="14"/>
      <c r="H825" s="14"/>
    </row>
    <row r="826" ht="22.5" customHeight="1">
      <c r="A826" s="8"/>
      <c r="B826" s="8"/>
      <c r="C826" s="16"/>
      <c r="D826" s="14"/>
      <c r="E826" s="14"/>
      <c r="F826" s="14"/>
      <c r="G826" s="14"/>
      <c r="H826" s="14"/>
    </row>
    <row r="827" ht="22.5" customHeight="1">
      <c r="A827" s="8"/>
      <c r="B827" s="8"/>
      <c r="C827" s="16"/>
      <c r="D827" s="14"/>
      <c r="E827" s="14"/>
      <c r="F827" s="14"/>
      <c r="G827" s="14"/>
      <c r="H827" s="14"/>
    </row>
    <row r="828" ht="22.5" customHeight="1">
      <c r="A828" s="8"/>
      <c r="B828" s="8"/>
      <c r="C828" s="16"/>
      <c r="D828" s="14"/>
      <c r="E828" s="14"/>
      <c r="F828" s="14"/>
      <c r="G828" s="14"/>
      <c r="H828" s="14"/>
    </row>
    <row r="829" ht="22.5" customHeight="1">
      <c r="A829" s="8"/>
      <c r="B829" s="8"/>
      <c r="C829" s="16"/>
      <c r="D829" s="14"/>
      <c r="E829" s="14"/>
      <c r="F829" s="14"/>
      <c r="G829" s="14"/>
      <c r="H829" s="14"/>
    </row>
    <row r="830" ht="22.5" customHeight="1">
      <c r="A830" s="8"/>
      <c r="B830" s="8"/>
      <c r="C830" s="16"/>
      <c r="D830" s="14"/>
      <c r="E830" s="14"/>
      <c r="F830" s="14"/>
      <c r="G830" s="14"/>
      <c r="H830" s="14"/>
    </row>
    <row r="831" ht="22.5" customHeight="1">
      <c r="A831" s="8"/>
      <c r="B831" s="8"/>
      <c r="C831" s="16"/>
      <c r="D831" s="14"/>
      <c r="E831" s="14"/>
      <c r="F831" s="14"/>
      <c r="G831" s="14"/>
      <c r="H831" s="14"/>
    </row>
    <row r="832" ht="22.5" customHeight="1">
      <c r="A832" s="8"/>
      <c r="B832" s="8"/>
      <c r="C832" s="16"/>
      <c r="D832" s="14"/>
      <c r="E832" s="14"/>
      <c r="F832" s="14"/>
      <c r="G832" s="14"/>
      <c r="H832" s="14"/>
    </row>
    <row r="833" ht="22.5" customHeight="1">
      <c r="A833" s="8"/>
      <c r="B833" s="8"/>
      <c r="C833" s="16"/>
      <c r="D833" s="14"/>
      <c r="E833" s="14"/>
      <c r="F833" s="14"/>
      <c r="G833" s="14"/>
      <c r="H833" s="14"/>
    </row>
    <row r="834" ht="22.5" customHeight="1">
      <c r="A834" s="8"/>
      <c r="B834" s="8"/>
      <c r="C834" s="16"/>
      <c r="D834" s="14"/>
      <c r="E834" s="14"/>
      <c r="F834" s="14"/>
      <c r="G834" s="14"/>
      <c r="H834" s="14"/>
    </row>
    <row r="835" ht="22.5" customHeight="1">
      <c r="A835" s="8"/>
      <c r="B835" s="8"/>
      <c r="C835" s="16"/>
      <c r="D835" s="14"/>
      <c r="E835" s="14"/>
      <c r="F835" s="14"/>
      <c r="G835" s="14"/>
      <c r="H835" s="14"/>
    </row>
    <row r="836" ht="22.5" customHeight="1">
      <c r="A836" s="8"/>
      <c r="B836" s="8"/>
      <c r="C836" s="16"/>
      <c r="D836" s="14"/>
      <c r="E836" s="14"/>
      <c r="F836" s="14"/>
      <c r="G836" s="14"/>
      <c r="H836" s="14"/>
    </row>
    <row r="837" ht="22.5" customHeight="1">
      <c r="A837" s="8"/>
      <c r="B837" s="8"/>
      <c r="C837" s="16"/>
      <c r="D837" s="14"/>
      <c r="E837" s="14"/>
      <c r="F837" s="14"/>
      <c r="G837" s="14"/>
      <c r="H837" s="14"/>
    </row>
    <row r="838" ht="22.5" customHeight="1">
      <c r="A838" s="8"/>
      <c r="B838" s="8"/>
      <c r="C838" s="16"/>
      <c r="D838" s="14"/>
      <c r="E838" s="14"/>
      <c r="F838" s="14"/>
      <c r="G838" s="14"/>
      <c r="H838" s="14"/>
    </row>
    <row r="839" ht="22.5" customHeight="1">
      <c r="A839" s="8"/>
      <c r="B839" s="8"/>
      <c r="C839" s="16"/>
      <c r="D839" s="14"/>
      <c r="E839" s="14"/>
      <c r="F839" s="14"/>
      <c r="G839" s="14"/>
      <c r="H839" s="14"/>
    </row>
    <row r="840" ht="22.5" customHeight="1">
      <c r="A840" s="8"/>
      <c r="B840" s="8"/>
      <c r="C840" s="16"/>
      <c r="D840" s="14"/>
      <c r="E840" s="14"/>
      <c r="F840" s="14"/>
      <c r="G840" s="14"/>
      <c r="H840" s="14"/>
    </row>
    <row r="841" ht="22.5" customHeight="1">
      <c r="A841" s="8"/>
      <c r="B841" s="8"/>
      <c r="C841" s="16"/>
      <c r="D841" s="14"/>
      <c r="E841" s="14"/>
      <c r="F841" s="14"/>
      <c r="G841" s="14"/>
      <c r="H841" s="14"/>
    </row>
    <row r="842" ht="22.5" customHeight="1">
      <c r="A842" s="8"/>
      <c r="B842" s="8"/>
      <c r="C842" s="16"/>
      <c r="D842" s="14"/>
      <c r="E842" s="14"/>
      <c r="F842" s="14"/>
      <c r="G842" s="14"/>
      <c r="H842" s="14"/>
    </row>
    <row r="843" ht="22.5" customHeight="1">
      <c r="A843" s="8"/>
      <c r="B843" s="8"/>
      <c r="C843" s="16"/>
      <c r="D843" s="14"/>
      <c r="E843" s="14"/>
      <c r="F843" s="14"/>
      <c r="G843" s="14"/>
      <c r="H843" s="14"/>
    </row>
    <row r="844" ht="22.5" customHeight="1">
      <c r="A844" s="8"/>
      <c r="B844" s="8"/>
      <c r="C844" s="16"/>
      <c r="D844" s="14"/>
      <c r="E844" s="14"/>
      <c r="F844" s="14"/>
      <c r="G844" s="14"/>
      <c r="H844" s="14"/>
    </row>
    <row r="845" ht="22.5" customHeight="1">
      <c r="A845" s="8"/>
      <c r="B845" s="8"/>
      <c r="C845" s="16"/>
      <c r="D845" s="14"/>
      <c r="E845" s="14"/>
      <c r="F845" s="14"/>
      <c r="G845" s="14"/>
      <c r="H845" s="14"/>
    </row>
    <row r="846" ht="22.5" customHeight="1">
      <c r="A846" s="8"/>
      <c r="B846" s="8"/>
      <c r="C846" s="16"/>
      <c r="D846" s="14"/>
      <c r="E846" s="14"/>
      <c r="F846" s="14"/>
      <c r="G846" s="14"/>
      <c r="H846" s="14"/>
    </row>
    <row r="847" ht="22.5" customHeight="1">
      <c r="A847" s="8"/>
      <c r="B847" s="8"/>
      <c r="C847" s="16"/>
      <c r="D847" s="14"/>
      <c r="E847" s="14"/>
      <c r="F847" s="14"/>
      <c r="G847" s="14"/>
      <c r="H847" s="14"/>
    </row>
    <row r="848" ht="22.5" customHeight="1">
      <c r="A848" s="8"/>
      <c r="B848" s="8"/>
      <c r="C848" s="16"/>
      <c r="D848" s="14"/>
      <c r="E848" s="14"/>
      <c r="F848" s="14"/>
      <c r="G848" s="14"/>
      <c r="H848" s="14"/>
    </row>
    <row r="849" ht="22.5" customHeight="1">
      <c r="A849" s="8"/>
      <c r="B849" s="8"/>
      <c r="C849" s="16"/>
      <c r="D849" s="14"/>
      <c r="E849" s="14"/>
      <c r="F849" s="14"/>
      <c r="G849" s="14"/>
      <c r="H849" s="14"/>
    </row>
    <row r="850" ht="22.5" customHeight="1">
      <c r="A850" s="8"/>
      <c r="B850" s="8"/>
      <c r="C850" s="16"/>
      <c r="D850" s="14"/>
      <c r="E850" s="14"/>
      <c r="F850" s="14"/>
      <c r="G850" s="14"/>
      <c r="H850" s="14"/>
    </row>
    <row r="851" ht="22.5" customHeight="1">
      <c r="A851" s="8"/>
      <c r="B851" s="8"/>
      <c r="C851" s="16"/>
      <c r="D851" s="14"/>
      <c r="E851" s="14"/>
      <c r="F851" s="14"/>
      <c r="G851" s="14"/>
      <c r="H851" s="14"/>
    </row>
    <row r="852" ht="22.5" customHeight="1">
      <c r="A852" s="8"/>
      <c r="B852" s="8"/>
      <c r="C852" s="16"/>
      <c r="D852" s="14"/>
      <c r="E852" s="14"/>
      <c r="F852" s="14"/>
      <c r="G852" s="14"/>
      <c r="H852" s="14"/>
    </row>
    <row r="853" ht="22.5" customHeight="1">
      <c r="A853" s="8"/>
      <c r="B853" s="8"/>
      <c r="C853" s="16"/>
      <c r="D853" s="14"/>
      <c r="E853" s="14"/>
      <c r="F853" s="14"/>
      <c r="G853" s="14"/>
      <c r="H853" s="14"/>
    </row>
    <row r="854" ht="22.5" customHeight="1">
      <c r="A854" s="8"/>
      <c r="B854" s="8"/>
      <c r="C854" s="16"/>
      <c r="D854" s="14"/>
      <c r="E854" s="14"/>
      <c r="F854" s="14"/>
      <c r="G854" s="14"/>
      <c r="H854" s="14"/>
    </row>
    <row r="855" ht="22.5" customHeight="1">
      <c r="A855" s="8"/>
      <c r="B855" s="8"/>
      <c r="C855" s="16"/>
      <c r="D855" s="14"/>
      <c r="E855" s="14"/>
      <c r="F855" s="14"/>
      <c r="G855" s="14"/>
      <c r="H855" s="14"/>
    </row>
    <row r="856" ht="22.5" customHeight="1">
      <c r="A856" s="8"/>
      <c r="B856" s="8"/>
      <c r="C856" s="16"/>
      <c r="D856" s="14"/>
      <c r="E856" s="14"/>
      <c r="F856" s="14"/>
      <c r="G856" s="14"/>
      <c r="H856" s="14"/>
    </row>
    <row r="857" ht="22.5" customHeight="1">
      <c r="A857" s="8"/>
      <c r="B857" s="8"/>
      <c r="C857" s="16"/>
      <c r="D857" s="14"/>
      <c r="E857" s="14"/>
      <c r="F857" s="14"/>
      <c r="G857" s="14"/>
      <c r="H857" s="14"/>
    </row>
    <row r="858" ht="22.5" customHeight="1">
      <c r="A858" s="8"/>
      <c r="B858" s="8"/>
      <c r="C858" s="16"/>
      <c r="D858" s="14"/>
      <c r="E858" s="14"/>
      <c r="F858" s="14"/>
      <c r="G858" s="14"/>
      <c r="H858" s="14"/>
    </row>
    <row r="859" ht="22.5" customHeight="1">
      <c r="A859" s="8"/>
      <c r="B859" s="8"/>
      <c r="C859" s="16"/>
      <c r="D859" s="14"/>
      <c r="E859" s="14"/>
      <c r="F859" s="14"/>
      <c r="G859" s="14"/>
      <c r="H859" s="14"/>
    </row>
    <row r="860" ht="22.5" customHeight="1">
      <c r="A860" s="8"/>
      <c r="B860" s="8"/>
      <c r="C860" s="16"/>
      <c r="D860" s="14"/>
      <c r="E860" s="14"/>
      <c r="F860" s="14"/>
      <c r="G860" s="14"/>
      <c r="H860" s="14"/>
    </row>
    <row r="861" ht="22.5" customHeight="1">
      <c r="A861" s="8"/>
      <c r="B861" s="8"/>
      <c r="C861" s="16"/>
      <c r="D861" s="14"/>
      <c r="E861" s="14"/>
      <c r="F861" s="14"/>
      <c r="G861" s="14"/>
      <c r="H861" s="14"/>
    </row>
    <row r="862" ht="22.5" customHeight="1">
      <c r="A862" s="8"/>
      <c r="B862" s="8"/>
      <c r="C862" s="16"/>
      <c r="D862" s="14"/>
      <c r="E862" s="14"/>
      <c r="F862" s="14"/>
      <c r="G862" s="14"/>
      <c r="H862" s="14"/>
    </row>
    <row r="863" ht="22.5" customHeight="1">
      <c r="A863" s="8"/>
      <c r="B863" s="8"/>
      <c r="C863" s="16"/>
      <c r="D863" s="14"/>
      <c r="E863" s="14"/>
      <c r="F863" s="14"/>
      <c r="G863" s="14"/>
      <c r="H863" s="14"/>
    </row>
    <row r="864" ht="22.5" customHeight="1">
      <c r="A864" s="8"/>
      <c r="B864" s="8"/>
      <c r="C864" s="16"/>
      <c r="D864" s="14"/>
      <c r="E864" s="14"/>
      <c r="F864" s="14"/>
      <c r="G864" s="14"/>
      <c r="H864" s="14"/>
    </row>
    <row r="865" ht="22.5" customHeight="1">
      <c r="A865" s="8"/>
      <c r="B865" s="8"/>
      <c r="C865" s="16"/>
      <c r="D865" s="14"/>
      <c r="E865" s="14"/>
      <c r="F865" s="14"/>
      <c r="G865" s="14"/>
      <c r="H865" s="14"/>
    </row>
    <row r="866" ht="22.5" customHeight="1">
      <c r="A866" s="8"/>
      <c r="B866" s="8"/>
      <c r="C866" s="16"/>
      <c r="D866" s="14"/>
      <c r="E866" s="14"/>
      <c r="F866" s="14"/>
      <c r="G866" s="14"/>
      <c r="H866" s="14"/>
    </row>
    <row r="867" ht="22.5" customHeight="1">
      <c r="A867" s="8"/>
      <c r="B867" s="8"/>
      <c r="C867" s="16"/>
      <c r="D867" s="14"/>
      <c r="E867" s="14"/>
      <c r="F867" s="14"/>
      <c r="G867" s="14"/>
      <c r="H867" s="14"/>
    </row>
    <row r="868" ht="22.5" customHeight="1">
      <c r="A868" s="8"/>
      <c r="B868" s="8"/>
      <c r="C868" s="16"/>
      <c r="D868" s="14"/>
      <c r="E868" s="14"/>
      <c r="F868" s="14"/>
      <c r="G868" s="14"/>
      <c r="H868" s="14"/>
    </row>
    <row r="869" ht="22.5" customHeight="1">
      <c r="A869" s="8"/>
      <c r="B869" s="8"/>
      <c r="C869" s="16"/>
      <c r="D869" s="14"/>
      <c r="E869" s="14"/>
      <c r="F869" s="14"/>
      <c r="G869" s="14"/>
      <c r="H869" s="14"/>
    </row>
    <row r="870" ht="22.5" customHeight="1">
      <c r="A870" s="8"/>
      <c r="B870" s="8"/>
      <c r="C870" s="16"/>
      <c r="D870" s="14"/>
      <c r="E870" s="14"/>
      <c r="F870" s="14"/>
      <c r="G870" s="14"/>
      <c r="H870" s="14"/>
    </row>
    <row r="871" ht="22.5" customHeight="1">
      <c r="A871" s="8"/>
      <c r="B871" s="8"/>
      <c r="C871" s="16"/>
      <c r="D871" s="14"/>
      <c r="E871" s="14"/>
      <c r="F871" s="14"/>
      <c r="G871" s="14"/>
      <c r="H871" s="14"/>
    </row>
    <row r="872" ht="22.5" customHeight="1">
      <c r="A872" s="8"/>
      <c r="B872" s="8"/>
      <c r="C872" s="16"/>
      <c r="D872" s="14"/>
      <c r="E872" s="14"/>
      <c r="F872" s="14"/>
      <c r="G872" s="14"/>
      <c r="H872" s="14"/>
    </row>
    <row r="873" ht="22.5" customHeight="1">
      <c r="A873" s="8"/>
      <c r="B873" s="8"/>
      <c r="C873" s="16"/>
      <c r="D873" s="14"/>
      <c r="E873" s="14"/>
      <c r="F873" s="14"/>
      <c r="G873" s="14"/>
      <c r="H873" s="14"/>
    </row>
    <row r="874" ht="22.5" customHeight="1">
      <c r="A874" s="8"/>
      <c r="B874" s="8"/>
      <c r="C874" s="16"/>
      <c r="D874" s="14"/>
      <c r="E874" s="14"/>
      <c r="F874" s="14"/>
      <c r="G874" s="14"/>
      <c r="H874" s="14"/>
    </row>
    <row r="875" ht="22.5" customHeight="1">
      <c r="A875" s="8"/>
      <c r="B875" s="8"/>
      <c r="C875" s="16"/>
      <c r="D875" s="14"/>
      <c r="E875" s="14"/>
      <c r="F875" s="14"/>
      <c r="G875" s="14"/>
      <c r="H875" s="14"/>
    </row>
    <row r="876" ht="22.5" customHeight="1">
      <c r="A876" s="8"/>
      <c r="B876" s="8"/>
      <c r="C876" s="16"/>
      <c r="D876" s="14"/>
      <c r="E876" s="14"/>
      <c r="F876" s="14"/>
      <c r="G876" s="14"/>
      <c r="H876" s="14"/>
    </row>
    <row r="877" ht="22.5" customHeight="1">
      <c r="A877" s="8"/>
      <c r="B877" s="8"/>
      <c r="C877" s="16"/>
      <c r="D877" s="14"/>
      <c r="E877" s="14"/>
      <c r="F877" s="14"/>
      <c r="G877" s="14"/>
      <c r="H877" s="14"/>
    </row>
    <row r="878" ht="22.5" customHeight="1">
      <c r="A878" s="8"/>
      <c r="B878" s="8"/>
      <c r="C878" s="16"/>
      <c r="D878" s="14"/>
      <c r="E878" s="14"/>
      <c r="F878" s="14"/>
      <c r="G878" s="14"/>
      <c r="H878" s="14"/>
    </row>
    <row r="879" ht="22.5" customHeight="1">
      <c r="A879" s="8"/>
      <c r="B879" s="8"/>
      <c r="C879" s="16"/>
      <c r="D879" s="14"/>
      <c r="E879" s="14"/>
      <c r="F879" s="14"/>
      <c r="G879" s="14"/>
      <c r="H879" s="14"/>
    </row>
    <row r="880" ht="22.5" customHeight="1">
      <c r="A880" s="8"/>
      <c r="B880" s="8"/>
      <c r="C880" s="16"/>
      <c r="D880" s="14"/>
      <c r="E880" s="14"/>
      <c r="F880" s="14"/>
      <c r="G880" s="14"/>
      <c r="H880" s="14"/>
    </row>
    <row r="881" ht="22.5" customHeight="1">
      <c r="A881" s="8"/>
      <c r="B881" s="8"/>
      <c r="C881" s="16"/>
      <c r="D881" s="14"/>
      <c r="E881" s="14"/>
      <c r="F881" s="14"/>
      <c r="G881" s="14"/>
      <c r="H881" s="14"/>
    </row>
    <row r="882" ht="22.5" customHeight="1">
      <c r="A882" s="8"/>
      <c r="B882" s="8"/>
      <c r="C882" s="16"/>
      <c r="D882" s="14"/>
      <c r="E882" s="14"/>
      <c r="F882" s="14"/>
      <c r="G882" s="14"/>
      <c r="H882" s="14"/>
    </row>
    <row r="883" ht="22.5" customHeight="1">
      <c r="A883" s="8"/>
      <c r="B883" s="8"/>
      <c r="C883" s="16"/>
      <c r="D883" s="14"/>
      <c r="E883" s="14"/>
      <c r="F883" s="14"/>
      <c r="G883" s="14"/>
      <c r="H883" s="14"/>
    </row>
    <row r="884" ht="22.5" customHeight="1">
      <c r="A884" s="8"/>
      <c r="B884" s="8"/>
      <c r="C884" s="16"/>
      <c r="D884" s="14"/>
      <c r="E884" s="14"/>
      <c r="F884" s="14"/>
      <c r="G884" s="14"/>
      <c r="H884" s="14"/>
    </row>
    <row r="885" ht="22.5" customHeight="1">
      <c r="A885" s="8"/>
      <c r="B885" s="8"/>
      <c r="C885" s="16"/>
      <c r="D885" s="14"/>
      <c r="E885" s="14"/>
      <c r="F885" s="14"/>
      <c r="G885" s="14"/>
      <c r="H885" s="14"/>
    </row>
    <row r="886" ht="22.5" customHeight="1">
      <c r="A886" s="8"/>
      <c r="B886" s="8"/>
      <c r="C886" s="16"/>
      <c r="D886" s="14"/>
      <c r="E886" s="14"/>
      <c r="F886" s="14"/>
      <c r="G886" s="14"/>
      <c r="H886" s="14"/>
    </row>
    <row r="887" ht="22.5" customHeight="1">
      <c r="A887" s="8"/>
      <c r="B887" s="8"/>
      <c r="C887" s="16"/>
      <c r="D887" s="14"/>
      <c r="E887" s="14"/>
      <c r="F887" s="14"/>
      <c r="G887" s="14"/>
      <c r="H887" s="14"/>
    </row>
    <row r="888" ht="22.5" customHeight="1">
      <c r="A888" s="8"/>
      <c r="B888" s="8"/>
      <c r="C888" s="16"/>
      <c r="D888" s="14"/>
      <c r="E888" s="14"/>
      <c r="F888" s="14"/>
      <c r="G888" s="14"/>
      <c r="H888" s="14"/>
    </row>
    <row r="889" ht="22.5" customHeight="1">
      <c r="A889" s="8"/>
      <c r="B889" s="8"/>
      <c r="C889" s="16"/>
      <c r="D889" s="14"/>
      <c r="E889" s="14"/>
      <c r="F889" s="14"/>
      <c r="G889" s="14"/>
      <c r="H889" s="14"/>
    </row>
    <row r="890" ht="22.5" customHeight="1">
      <c r="A890" s="8"/>
      <c r="B890" s="8"/>
      <c r="C890" s="16"/>
      <c r="D890" s="14"/>
      <c r="E890" s="14"/>
      <c r="F890" s="14"/>
      <c r="G890" s="14"/>
      <c r="H890" s="14"/>
    </row>
    <row r="891" ht="22.5" customHeight="1">
      <c r="A891" s="8"/>
      <c r="B891" s="8"/>
      <c r="C891" s="16"/>
      <c r="D891" s="14"/>
      <c r="E891" s="14"/>
      <c r="F891" s="14"/>
      <c r="G891" s="14"/>
      <c r="H891" s="14"/>
    </row>
    <row r="892" ht="22.5" customHeight="1">
      <c r="A892" s="8"/>
      <c r="B892" s="8"/>
      <c r="C892" s="16"/>
      <c r="D892" s="14"/>
      <c r="E892" s="14"/>
      <c r="F892" s="14"/>
      <c r="G892" s="14"/>
      <c r="H892" s="14"/>
    </row>
    <row r="893" ht="22.5" customHeight="1">
      <c r="A893" s="8"/>
      <c r="B893" s="8"/>
      <c r="C893" s="16"/>
      <c r="D893" s="14"/>
      <c r="E893" s="14"/>
      <c r="F893" s="14"/>
      <c r="G893" s="14"/>
      <c r="H893" s="14"/>
    </row>
    <row r="894" ht="22.5" customHeight="1">
      <c r="A894" s="8"/>
      <c r="B894" s="8"/>
      <c r="C894" s="16"/>
      <c r="D894" s="14"/>
      <c r="E894" s="14"/>
      <c r="F894" s="14"/>
      <c r="G894" s="14"/>
      <c r="H894" s="14"/>
    </row>
    <row r="895" ht="22.5" customHeight="1">
      <c r="A895" s="8"/>
      <c r="B895" s="8"/>
      <c r="C895" s="16"/>
      <c r="D895" s="14"/>
      <c r="E895" s="14"/>
      <c r="F895" s="14"/>
      <c r="G895" s="14"/>
      <c r="H895" s="14"/>
    </row>
    <row r="896" ht="22.5" customHeight="1">
      <c r="A896" s="8"/>
      <c r="B896" s="8"/>
      <c r="C896" s="16"/>
      <c r="D896" s="14"/>
      <c r="E896" s="14"/>
      <c r="F896" s="14"/>
      <c r="G896" s="14"/>
      <c r="H896" s="14"/>
    </row>
    <row r="897" ht="22.5" customHeight="1">
      <c r="A897" s="8"/>
      <c r="B897" s="8"/>
      <c r="C897" s="16"/>
      <c r="D897" s="14"/>
      <c r="E897" s="14"/>
      <c r="F897" s="14"/>
      <c r="G897" s="14"/>
      <c r="H897" s="14"/>
    </row>
    <row r="898" ht="22.5" customHeight="1">
      <c r="A898" s="8"/>
      <c r="B898" s="8"/>
      <c r="C898" s="16"/>
      <c r="D898" s="14"/>
      <c r="E898" s="14"/>
      <c r="F898" s="14"/>
      <c r="G898" s="14"/>
      <c r="H898" s="14"/>
    </row>
    <row r="899" ht="22.5" customHeight="1">
      <c r="A899" s="8"/>
      <c r="B899" s="8"/>
      <c r="C899" s="16"/>
      <c r="D899" s="14"/>
      <c r="E899" s="14"/>
      <c r="F899" s="14"/>
      <c r="G899" s="14"/>
      <c r="H899" s="14"/>
    </row>
    <row r="900" ht="22.5" customHeight="1">
      <c r="A900" s="8"/>
      <c r="B900" s="8"/>
      <c r="C900" s="16"/>
      <c r="D900" s="14"/>
      <c r="E900" s="14"/>
      <c r="F900" s="14"/>
      <c r="G900" s="14"/>
      <c r="H900" s="14"/>
    </row>
    <row r="901" ht="22.5" customHeight="1">
      <c r="A901" s="8"/>
      <c r="B901" s="8"/>
      <c r="C901" s="16"/>
      <c r="D901" s="14"/>
      <c r="E901" s="14"/>
      <c r="F901" s="14"/>
      <c r="G901" s="14"/>
      <c r="H901" s="14"/>
    </row>
    <row r="902" ht="22.5" customHeight="1">
      <c r="A902" s="8"/>
      <c r="B902" s="8"/>
      <c r="C902" s="16"/>
      <c r="D902" s="14"/>
      <c r="E902" s="14"/>
      <c r="F902" s="14"/>
      <c r="G902" s="14"/>
      <c r="H902" s="14"/>
    </row>
    <row r="903" ht="22.5" customHeight="1">
      <c r="A903" s="8"/>
      <c r="B903" s="8"/>
      <c r="C903" s="16"/>
      <c r="D903" s="14"/>
      <c r="E903" s="14"/>
      <c r="F903" s="14"/>
      <c r="G903" s="14"/>
      <c r="H903" s="14"/>
    </row>
    <row r="904" ht="22.5" customHeight="1">
      <c r="A904" s="8"/>
      <c r="B904" s="8"/>
      <c r="C904" s="16"/>
      <c r="D904" s="14"/>
      <c r="E904" s="14"/>
      <c r="F904" s="14"/>
      <c r="G904" s="14"/>
      <c r="H904" s="14"/>
    </row>
    <row r="905" ht="22.5" customHeight="1">
      <c r="A905" s="8"/>
      <c r="B905" s="8"/>
      <c r="C905" s="16"/>
      <c r="D905" s="14"/>
      <c r="E905" s="14"/>
      <c r="F905" s="14"/>
      <c r="G905" s="14"/>
      <c r="H905" s="14"/>
    </row>
    <row r="906" ht="22.5" customHeight="1">
      <c r="A906" s="8"/>
      <c r="B906" s="8"/>
      <c r="C906" s="16"/>
      <c r="D906" s="14"/>
      <c r="E906" s="14"/>
      <c r="F906" s="14"/>
      <c r="G906" s="14"/>
      <c r="H906" s="14"/>
    </row>
    <row r="907" ht="22.5" customHeight="1">
      <c r="A907" s="8"/>
      <c r="B907" s="8"/>
      <c r="C907" s="16"/>
      <c r="D907" s="14"/>
      <c r="E907" s="14"/>
      <c r="F907" s="14"/>
      <c r="G907" s="14"/>
      <c r="H907" s="14"/>
    </row>
    <row r="908" ht="22.5" customHeight="1">
      <c r="A908" s="8"/>
      <c r="B908" s="8"/>
      <c r="C908" s="16"/>
      <c r="D908" s="14"/>
      <c r="E908" s="14"/>
      <c r="F908" s="14"/>
      <c r="G908" s="14"/>
      <c r="H908" s="14"/>
    </row>
    <row r="909" ht="22.5" customHeight="1">
      <c r="A909" s="8"/>
      <c r="B909" s="8"/>
      <c r="C909" s="16"/>
      <c r="D909" s="14"/>
      <c r="E909" s="14"/>
      <c r="F909" s="14"/>
      <c r="G909" s="14"/>
      <c r="H909" s="14"/>
    </row>
    <row r="910" ht="22.5" customHeight="1">
      <c r="A910" s="8"/>
      <c r="B910" s="8"/>
      <c r="C910" s="16"/>
      <c r="D910" s="14"/>
      <c r="E910" s="14"/>
      <c r="F910" s="14"/>
      <c r="G910" s="14"/>
      <c r="H910" s="14"/>
    </row>
    <row r="911" ht="22.5" customHeight="1">
      <c r="A911" s="8"/>
      <c r="B911" s="8"/>
      <c r="C911" s="16"/>
      <c r="D911" s="14"/>
      <c r="E911" s="14"/>
      <c r="F911" s="14"/>
      <c r="G911" s="14"/>
      <c r="H911" s="14"/>
    </row>
    <row r="912" ht="22.5" customHeight="1">
      <c r="A912" s="8"/>
      <c r="B912" s="8"/>
      <c r="C912" s="16"/>
      <c r="D912" s="14"/>
      <c r="E912" s="14"/>
      <c r="F912" s="14"/>
      <c r="G912" s="14"/>
      <c r="H912" s="14"/>
    </row>
    <row r="913" ht="22.5" customHeight="1">
      <c r="A913" s="8"/>
      <c r="B913" s="8"/>
      <c r="C913" s="16"/>
      <c r="D913" s="14"/>
      <c r="E913" s="14"/>
      <c r="F913" s="14"/>
      <c r="G913" s="14"/>
      <c r="H913" s="14"/>
    </row>
    <row r="914" ht="22.5" customHeight="1">
      <c r="A914" s="8"/>
      <c r="B914" s="8"/>
      <c r="C914" s="16"/>
      <c r="D914" s="14"/>
      <c r="E914" s="14"/>
      <c r="F914" s="14"/>
      <c r="G914" s="14"/>
      <c r="H914" s="14"/>
    </row>
    <row r="915" ht="22.5" customHeight="1">
      <c r="A915" s="8"/>
      <c r="B915" s="8"/>
      <c r="C915" s="16"/>
      <c r="D915" s="14"/>
      <c r="E915" s="14"/>
      <c r="F915" s="14"/>
      <c r="G915" s="14"/>
      <c r="H915" s="14"/>
    </row>
    <row r="916" ht="22.5" customHeight="1">
      <c r="A916" s="8"/>
      <c r="B916" s="8"/>
      <c r="C916" s="16"/>
      <c r="D916" s="14"/>
      <c r="E916" s="14"/>
      <c r="F916" s="14"/>
      <c r="G916" s="14"/>
      <c r="H916" s="14"/>
    </row>
    <row r="917" ht="22.5" customHeight="1">
      <c r="A917" s="8"/>
      <c r="B917" s="8"/>
      <c r="C917" s="16"/>
      <c r="D917" s="14"/>
      <c r="E917" s="14"/>
      <c r="F917" s="14"/>
      <c r="G917" s="14"/>
      <c r="H917" s="14"/>
    </row>
    <row r="918" ht="22.5" customHeight="1">
      <c r="A918" s="8"/>
      <c r="B918" s="8"/>
      <c r="C918" s="16"/>
      <c r="D918" s="14"/>
      <c r="E918" s="14"/>
      <c r="F918" s="14"/>
      <c r="G918" s="14"/>
      <c r="H918" s="14"/>
    </row>
    <row r="919" ht="22.5" customHeight="1">
      <c r="A919" s="8"/>
      <c r="B919" s="8"/>
      <c r="C919" s="16"/>
      <c r="D919" s="14"/>
      <c r="E919" s="14"/>
      <c r="F919" s="14"/>
      <c r="G919" s="14"/>
      <c r="H919" s="14"/>
    </row>
    <row r="920" ht="22.5" customHeight="1">
      <c r="A920" s="8"/>
      <c r="B920" s="8"/>
      <c r="C920" s="16"/>
      <c r="D920" s="14"/>
      <c r="E920" s="14"/>
      <c r="F920" s="14"/>
      <c r="G920" s="14"/>
      <c r="H920" s="14"/>
    </row>
    <row r="921" ht="22.5" customHeight="1">
      <c r="A921" s="8"/>
      <c r="B921" s="8"/>
      <c r="C921" s="16"/>
      <c r="D921" s="14"/>
      <c r="E921" s="14"/>
      <c r="F921" s="14"/>
      <c r="G921" s="14"/>
      <c r="H921" s="14"/>
    </row>
    <row r="922" ht="22.5" customHeight="1">
      <c r="A922" s="8"/>
      <c r="B922" s="8"/>
      <c r="C922" s="16"/>
      <c r="D922" s="14"/>
      <c r="E922" s="14"/>
      <c r="F922" s="14"/>
      <c r="G922" s="14"/>
      <c r="H922" s="14"/>
    </row>
    <row r="923" ht="22.5" customHeight="1">
      <c r="A923" s="8"/>
      <c r="B923" s="8"/>
      <c r="C923" s="16"/>
      <c r="D923" s="14"/>
      <c r="E923" s="14"/>
      <c r="F923" s="14"/>
      <c r="G923" s="14"/>
      <c r="H923" s="14"/>
    </row>
    <row r="924" ht="22.5" customHeight="1">
      <c r="A924" s="8"/>
      <c r="B924" s="8"/>
      <c r="C924" s="16"/>
      <c r="D924" s="14"/>
      <c r="E924" s="14"/>
      <c r="F924" s="14"/>
      <c r="G924" s="14"/>
      <c r="H924" s="14"/>
    </row>
    <row r="925" ht="22.5" customHeight="1">
      <c r="A925" s="8"/>
      <c r="B925" s="8"/>
      <c r="C925" s="16"/>
      <c r="D925" s="14"/>
      <c r="E925" s="14"/>
      <c r="F925" s="14"/>
      <c r="G925" s="14"/>
      <c r="H925" s="14"/>
    </row>
    <row r="926" ht="22.5" customHeight="1">
      <c r="A926" s="8"/>
      <c r="B926" s="8"/>
      <c r="C926" s="16"/>
      <c r="D926" s="14"/>
      <c r="E926" s="14"/>
      <c r="F926" s="14"/>
      <c r="G926" s="14"/>
      <c r="H926" s="14"/>
    </row>
    <row r="927" ht="22.5" customHeight="1">
      <c r="A927" s="8"/>
      <c r="B927" s="8"/>
      <c r="C927" s="16"/>
      <c r="D927" s="14"/>
      <c r="E927" s="14"/>
      <c r="F927" s="14"/>
      <c r="G927" s="14"/>
      <c r="H927" s="14"/>
    </row>
    <row r="928" ht="22.5" customHeight="1">
      <c r="A928" s="8"/>
      <c r="B928" s="8"/>
      <c r="C928" s="16"/>
      <c r="D928" s="14"/>
      <c r="E928" s="14"/>
      <c r="F928" s="14"/>
      <c r="G928" s="14"/>
      <c r="H928" s="14"/>
    </row>
    <row r="929" ht="22.5" customHeight="1">
      <c r="A929" s="8"/>
      <c r="B929" s="8"/>
      <c r="C929" s="16"/>
      <c r="D929" s="14"/>
      <c r="E929" s="14"/>
      <c r="F929" s="14"/>
      <c r="G929" s="14"/>
      <c r="H929" s="14"/>
    </row>
    <row r="930" ht="22.5" customHeight="1">
      <c r="A930" s="8"/>
      <c r="B930" s="8"/>
      <c r="C930" s="16"/>
      <c r="D930" s="14"/>
      <c r="E930" s="14"/>
      <c r="F930" s="14"/>
      <c r="G930" s="14"/>
      <c r="H930" s="14"/>
    </row>
    <row r="931" ht="22.5" customHeight="1">
      <c r="A931" s="8"/>
      <c r="B931" s="8"/>
      <c r="C931" s="16"/>
      <c r="D931" s="14"/>
      <c r="E931" s="14"/>
      <c r="F931" s="14"/>
      <c r="G931" s="14"/>
      <c r="H931" s="14"/>
    </row>
    <row r="932" ht="22.5" customHeight="1">
      <c r="A932" s="8"/>
      <c r="B932" s="8"/>
      <c r="C932" s="16"/>
      <c r="D932" s="14"/>
      <c r="E932" s="14"/>
      <c r="F932" s="14"/>
      <c r="G932" s="14"/>
      <c r="H932" s="14"/>
    </row>
    <row r="933" ht="22.5" customHeight="1">
      <c r="A933" s="8"/>
      <c r="B933" s="8"/>
      <c r="C933" s="16"/>
      <c r="D933" s="14"/>
      <c r="E933" s="14"/>
      <c r="F933" s="14"/>
      <c r="G933" s="14"/>
      <c r="H933" s="14"/>
    </row>
    <row r="934" ht="22.5" customHeight="1">
      <c r="A934" s="8"/>
      <c r="B934" s="8"/>
      <c r="C934" s="16"/>
      <c r="D934" s="14"/>
      <c r="E934" s="14"/>
      <c r="F934" s="14"/>
      <c r="G934" s="14"/>
      <c r="H934" s="14"/>
    </row>
    <row r="935" ht="22.5" customHeight="1">
      <c r="A935" s="8"/>
      <c r="B935" s="8"/>
      <c r="C935" s="16"/>
      <c r="D935" s="14"/>
      <c r="E935" s="14"/>
      <c r="F935" s="14"/>
      <c r="G935" s="14"/>
      <c r="H935" s="14"/>
    </row>
    <row r="936" ht="22.5" customHeight="1">
      <c r="A936" s="8"/>
      <c r="B936" s="8"/>
      <c r="C936" s="16"/>
      <c r="D936" s="14"/>
      <c r="E936" s="14"/>
      <c r="F936" s="14"/>
      <c r="G936" s="14"/>
      <c r="H936" s="14"/>
    </row>
    <row r="937" ht="22.5" customHeight="1">
      <c r="A937" s="8"/>
      <c r="B937" s="8"/>
      <c r="C937" s="16"/>
      <c r="D937" s="14"/>
      <c r="E937" s="14"/>
      <c r="F937" s="14"/>
      <c r="G937" s="14"/>
      <c r="H937" s="14"/>
    </row>
    <row r="938" ht="22.5" customHeight="1">
      <c r="A938" s="8"/>
      <c r="B938" s="8"/>
      <c r="C938" s="16"/>
      <c r="D938" s="14"/>
      <c r="E938" s="14"/>
      <c r="F938" s="14"/>
      <c r="G938" s="14"/>
      <c r="H938" s="14"/>
    </row>
    <row r="939" ht="22.5" customHeight="1">
      <c r="A939" s="8"/>
      <c r="B939" s="8"/>
      <c r="C939" s="16"/>
      <c r="D939" s="14"/>
      <c r="E939" s="14"/>
      <c r="F939" s="14"/>
      <c r="G939" s="14"/>
      <c r="H939" s="14"/>
    </row>
    <row r="940" ht="22.5" customHeight="1">
      <c r="A940" s="8"/>
      <c r="B940" s="8"/>
      <c r="C940" s="16"/>
      <c r="D940" s="14"/>
      <c r="E940" s="14"/>
      <c r="F940" s="14"/>
      <c r="G940" s="14"/>
      <c r="H940" s="14"/>
    </row>
    <row r="941" ht="22.5" customHeight="1">
      <c r="A941" s="8"/>
      <c r="B941" s="8"/>
      <c r="C941" s="16"/>
      <c r="D941" s="14"/>
      <c r="E941" s="14"/>
      <c r="F941" s="14"/>
      <c r="G941" s="14"/>
      <c r="H941" s="14"/>
    </row>
    <row r="942" ht="22.5" customHeight="1">
      <c r="A942" s="8"/>
      <c r="B942" s="8"/>
      <c r="C942" s="16"/>
      <c r="D942" s="14"/>
      <c r="E942" s="14"/>
      <c r="F942" s="14"/>
      <c r="G942" s="14"/>
      <c r="H942" s="14"/>
    </row>
    <row r="943" ht="22.5" customHeight="1">
      <c r="A943" s="8"/>
      <c r="B943" s="8"/>
      <c r="C943" s="16"/>
      <c r="D943" s="14"/>
      <c r="E943" s="14"/>
      <c r="F943" s="14"/>
      <c r="G943" s="14"/>
      <c r="H943" s="14"/>
    </row>
    <row r="944" ht="22.5" customHeight="1">
      <c r="A944" s="8"/>
      <c r="B944" s="8"/>
      <c r="C944" s="16"/>
      <c r="D944" s="14"/>
      <c r="E944" s="14"/>
      <c r="F944" s="14"/>
      <c r="G944" s="14"/>
      <c r="H944" s="14"/>
    </row>
    <row r="945" ht="22.5" customHeight="1">
      <c r="A945" s="8"/>
      <c r="B945" s="8"/>
      <c r="C945" s="16"/>
      <c r="D945" s="14"/>
      <c r="E945" s="14"/>
      <c r="F945" s="14"/>
      <c r="G945" s="14"/>
      <c r="H945" s="14"/>
    </row>
    <row r="946" ht="22.5" customHeight="1">
      <c r="A946" s="8"/>
      <c r="B946" s="8"/>
      <c r="C946" s="16"/>
      <c r="D946" s="14"/>
      <c r="E946" s="14"/>
      <c r="F946" s="14"/>
      <c r="G946" s="14"/>
      <c r="H946" s="14"/>
    </row>
    <row r="947" ht="22.5" customHeight="1">
      <c r="A947" s="8"/>
      <c r="B947" s="8"/>
      <c r="C947" s="16"/>
      <c r="D947" s="14"/>
      <c r="E947" s="14"/>
      <c r="F947" s="14"/>
      <c r="G947" s="14"/>
      <c r="H947" s="14"/>
    </row>
    <row r="948" ht="22.5" customHeight="1">
      <c r="A948" s="8"/>
      <c r="B948" s="8"/>
      <c r="C948" s="16"/>
      <c r="D948" s="14"/>
      <c r="E948" s="14"/>
      <c r="F948" s="14"/>
      <c r="G948" s="14"/>
      <c r="H948" s="14"/>
    </row>
    <row r="949" ht="22.5" customHeight="1">
      <c r="A949" s="8"/>
      <c r="B949" s="8"/>
      <c r="C949" s="16"/>
      <c r="D949" s="14"/>
      <c r="E949" s="14"/>
      <c r="F949" s="14"/>
      <c r="G949" s="14"/>
      <c r="H949" s="14"/>
    </row>
    <row r="950" ht="22.5" customHeight="1">
      <c r="A950" s="8"/>
      <c r="B950" s="8"/>
      <c r="C950" s="16"/>
      <c r="D950" s="14"/>
      <c r="E950" s="14"/>
      <c r="F950" s="14"/>
      <c r="G950" s="14"/>
      <c r="H950" s="14"/>
    </row>
    <row r="951" ht="22.5" customHeight="1">
      <c r="A951" s="8"/>
      <c r="B951" s="8"/>
      <c r="C951" s="16"/>
      <c r="D951" s="14"/>
      <c r="E951" s="14"/>
      <c r="F951" s="14"/>
      <c r="G951" s="14"/>
      <c r="H951" s="14"/>
    </row>
    <row r="952" ht="22.5" customHeight="1">
      <c r="A952" s="8"/>
      <c r="B952" s="8"/>
      <c r="C952" s="16"/>
      <c r="D952" s="14"/>
      <c r="E952" s="14"/>
      <c r="F952" s="14"/>
      <c r="G952" s="14"/>
      <c r="H952" s="14"/>
    </row>
    <row r="953" ht="22.5" customHeight="1">
      <c r="A953" s="8"/>
      <c r="B953" s="8"/>
      <c r="C953" s="16"/>
      <c r="D953" s="14"/>
      <c r="E953" s="14"/>
      <c r="F953" s="14"/>
      <c r="G953" s="14"/>
      <c r="H953" s="14"/>
    </row>
    <row r="954" ht="22.5" customHeight="1">
      <c r="A954" s="8"/>
      <c r="B954" s="8"/>
      <c r="C954" s="16"/>
      <c r="D954" s="14"/>
      <c r="E954" s="14"/>
      <c r="F954" s="14"/>
      <c r="G954" s="14"/>
      <c r="H954" s="14"/>
    </row>
    <row r="955" ht="22.5" customHeight="1">
      <c r="A955" s="8"/>
      <c r="B955" s="8"/>
      <c r="C955" s="16"/>
      <c r="D955" s="14"/>
      <c r="E955" s="14"/>
      <c r="F955" s="14"/>
      <c r="G955" s="14"/>
      <c r="H955" s="14"/>
    </row>
    <row r="956" ht="22.5" customHeight="1">
      <c r="A956" s="8"/>
      <c r="B956" s="8"/>
      <c r="C956" s="16"/>
      <c r="D956" s="14"/>
      <c r="E956" s="14"/>
      <c r="F956" s="14"/>
      <c r="G956" s="14"/>
      <c r="H956" s="14"/>
    </row>
    <row r="957" ht="22.5" customHeight="1">
      <c r="A957" s="8"/>
      <c r="B957" s="8"/>
      <c r="C957" s="16"/>
      <c r="D957" s="14"/>
      <c r="E957" s="14"/>
      <c r="F957" s="14"/>
      <c r="G957" s="14"/>
      <c r="H957" s="14"/>
    </row>
    <row r="958" ht="22.5" customHeight="1">
      <c r="A958" s="8"/>
      <c r="B958" s="8"/>
      <c r="C958" s="16"/>
      <c r="D958" s="14"/>
      <c r="E958" s="14"/>
      <c r="F958" s="14"/>
      <c r="G958" s="14"/>
      <c r="H958" s="14"/>
    </row>
    <row r="959" ht="22.5" customHeight="1">
      <c r="A959" s="8"/>
      <c r="B959" s="8"/>
      <c r="C959" s="16"/>
      <c r="D959" s="14"/>
      <c r="E959" s="14"/>
      <c r="F959" s="14"/>
      <c r="G959" s="14"/>
      <c r="H959" s="14"/>
    </row>
    <row r="960" ht="22.5" customHeight="1">
      <c r="A960" s="8"/>
      <c r="B960" s="8"/>
      <c r="C960" s="16"/>
      <c r="D960" s="14"/>
      <c r="E960" s="14"/>
      <c r="F960" s="14"/>
      <c r="G960" s="14"/>
      <c r="H960" s="14"/>
    </row>
    <row r="961" ht="22.5" customHeight="1">
      <c r="A961" s="8"/>
      <c r="B961" s="8"/>
      <c r="C961" s="16"/>
      <c r="D961" s="14"/>
      <c r="E961" s="14"/>
      <c r="F961" s="14"/>
      <c r="G961" s="14"/>
      <c r="H961" s="14"/>
    </row>
    <row r="962" ht="22.5" customHeight="1">
      <c r="A962" s="8"/>
      <c r="B962" s="8"/>
      <c r="C962" s="16"/>
      <c r="D962" s="14"/>
      <c r="E962" s="14"/>
      <c r="F962" s="14"/>
      <c r="G962" s="14"/>
      <c r="H962" s="14"/>
    </row>
    <row r="963" ht="22.5" customHeight="1">
      <c r="A963" s="8"/>
      <c r="B963" s="8"/>
      <c r="C963" s="16"/>
      <c r="D963" s="14"/>
      <c r="E963" s="14"/>
      <c r="F963" s="14"/>
      <c r="G963" s="14"/>
      <c r="H963" s="14"/>
    </row>
    <row r="964" ht="22.5" customHeight="1">
      <c r="A964" s="8"/>
      <c r="B964" s="8"/>
      <c r="C964" s="16"/>
      <c r="D964" s="14"/>
      <c r="E964" s="14"/>
      <c r="F964" s="14"/>
      <c r="G964" s="14"/>
      <c r="H964" s="14"/>
    </row>
    <row r="965" ht="22.5" customHeight="1">
      <c r="A965" s="8"/>
      <c r="B965" s="8"/>
      <c r="C965" s="16"/>
      <c r="D965" s="14"/>
      <c r="E965" s="14"/>
      <c r="F965" s="14"/>
      <c r="G965" s="14"/>
      <c r="H965" s="14"/>
    </row>
    <row r="966" ht="22.5" customHeight="1">
      <c r="A966" s="8"/>
      <c r="B966" s="8"/>
      <c r="C966" s="16"/>
      <c r="D966" s="14"/>
      <c r="E966" s="14"/>
      <c r="F966" s="14"/>
      <c r="G966" s="14"/>
      <c r="H966" s="14"/>
    </row>
    <row r="967" ht="22.5" customHeight="1">
      <c r="A967" s="8"/>
      <c r="B967" s="8"/>
      <c r="C967" s="16"/>
      <c r="D967" s="14"/>
      <c r="E967" s="14"/>
      <c r="F967" s="14"/>
      <c r="G967" s="14"/>
      <c r="H967" s="14"/>
    </row>
    <row r="968" ht="22.5" customHeight="1">
      <c r="A968" s="8"/>
      <c r="B968" s="8"/>
      <c r="C968" s="16"/>
      <c r="D968" s="14"/>
      <c r="E968" s="14"/>
      <c r="F968" s="14"/>
      <c r="G968" s="14"/>
      <c r="H968" s="14"/>
    </row>
    <row r="969" ht="22.5" customHeight="1">
      <c r="A969" s="8"/>
      <c r="B969" s="8"/>
      <c r="C969" s="16"/>
      <c r="D969" s="14"/>
      <c r="E969" s="14"/>
      <c r="F969" s="14"/>
      <c r="G969" s="14"/>
      <c r="H969" s="14"/>
    </row>
    <row r="970" ht="22.5" customHeight="1">
      <c r="A970" s="8"/>
      <c r="B970" s="8"/>
      <c r="C970" s="16"/>
      <c r="D970" s="14"/>
      <c r="E970" s="14"/>
      <c r="F970" s="14"/>
      <c r="G970" s="14"/>
      <c r="H970" s="14"/>
    </row>
    <row r="971" ht="22.5" customHeight="1">
      <c r="A971" s="8"/>
      <c r="B971" s="8"/>
      <c r="C971" s="16"/>
      <c r="D971" s="14"/>
      <c r="E971" s="14"/>
      <c r="F971" s="14"/>
      <c r="G971" s="14"/>
      <c r="H971" s="14"/>
    </row>
    <row r="972" ht="22.5" customHeight="1">
      <c r="A972" s="8"/>
      <c r="B972" s="8"/>
      <c r="C972" s="16"/>
      <c r="D972" s="14"/>
      <c r="E972" s="14"/>
      <c r="F972" s="14"/>
      <c r="G972" s="14"/>
      <c r="H972" s="14"/>
    </row>
    <row r="973" ht="22.5" customHeight="1">
      <c r="A973" s="8"/>
      <c r="B973" s="8"/>
      <c r="C973" s="16"/>
      <c r="D973" s="14"/>
      <c r="E973" s="14"/>
      <c r="F973" s="14"/>
      <c r="G973" s="14"/>
      <c r="H973" s="14"/>
    </row>
    <row r="974" ht="22.5" customHeight="1">
      <c r="A974" s="8"/>
      <c r="B974" s="8"/>
      <c r="C974" s="16"/>
      <c r="D974" s="14"/>
      <c r="E974" s="14"/>
      <c r="F974" s="14"/>
      <c r="G974" s="14"/>
      <c r="H974" s="14"/>
    </row>
    <row r="975" ht="22.5" customHeight="1">
      <c r="A975" s="8"/>
      <c r="B975" s="8"/>
      <c r="C975" s="16"/>
      <c r="D975" s="14"/>
      <c r="E975" s="14"/>
      <c r="F975" s="14"/>
      <c r="G975" s="14"/>
      <c r="H975" s="14"/>
    </row>
    <row r="976" ht="22.5" customHeight="1">
      <c r="A976" s="8"/>
      <c r="B976" s="8"/>
      <c r="C976" s="16"/>
      <c r="D976" s="14"/>
      <c r="E976" s="14"/>
      <c r="F976" s="14"/>
      <c r="G976" s="14"/>
      <c r="H976" s="14"/>
    </row>
    <row r="977" ht="22.5" customHeight="1">
      <c r="A977" s="8"/>
      <c r="B977" s="8"/>
      <c r="C977" s="16"/>
      <c r="D977" s="14"/>
      <c r="E977" s="14"/>
      <c r="F977" s="14"/>
      <c r="G977" s="14"/>
      <c r="H977" s="14"/>
    </row>
    <row r="978" ht="22.5" customHeight="1">
      <c r="A978" s="8"/>
      <c r="B978" s="8"/>
      <c r="C978" s="16"/>
      <c r="D978" s="14"/>
      <c r="E978" s="14"/>
      <c r="F978" s="14"/>
      <c r="G978" s="14"/>
      <c r="H978" s="14"/>
    </row>
    <row r="979" ht="22.5" customHeight="1">
      <c r="A979" s="8"/>
      <c r="B979" s="8"/>
      <c r="C979" s="16"/>
      <c r="D979" s="14"/>
      <c r="E979" s="14"/>
      <c r="F979" s="14"/>
      <c r="G979" s="14"/>
      <c r="H979" s="14"/>
    </row>
    <row r="980" ht="22.5" customHeight="1">
      <c r="A980" s="8"/>
      <c r="B980" s="8"/>
      <c r="C980" s="16"/>
      <c r="D980" s="14"/>
      <c r="E980" s="14"/>
      <c r="F980" s="14"/>
      <c r="G980" s="14"/>
      <c r="H980" s="14"/>
    </row>
    <row r="981" ht="22.5" customHeight="1">
      <c r="A981" s="8"/>
      <c r="B981" s="8"/>
      <c r="C981" s="16"/>
      <c r="D981" s="14"/>
      <c r="E981" s="14"/>
      <c r="F981" s="14"/>
      <c r="G981" s="14"/>
      <c r="H981" s="14"/>
    </row>
    <row r="982" ht="22.5" customHeight="1">
      <c r="A982" s="8"/>
      <c r="B982" s="8"/>
      <c r="C982" s="16"/>
      <c r="D982" s="14"/>
      <c r="E982" s="14"/>
      <c r="F982" s="14"/>
      <c r="G982" s="14"/>
      <c r="H982" s="14"/>
    </row>
    <row r="983" ht="22.5" customHeight="1">
      <c r="A983" s="8"/>
      <c r="B983" s="8"/>
      <c r="C983" s="16"/>
      <c r="D983" s="14"/>
      <c r="E983" s="14"/>
      <c r="F983" s="14"/>
      <c r="G983" s="14"/>
      <c r="H983" s="14"/>
    </row>
    <row r="984" ht="22.5" customHeight="1">
      <c r="A984" s="8"/>
      <c r="B984" s="8"/>
      <c r="C984" s="16"/>
      <c r="D984" s="14"/>
      <c r="E984" s="14"/>
      <c r="F984" s="14"/>
      <c r="G984" s="14"/>
      <c r="H984" s="14"/>
    </row>
    <row r="985" ht="22.5" customHeight="1">
      <c r="A985" s="8"/>
      <c r="B985" s="8"/>
      <c r="C985" s="16"/>
      <c r="D985" s="14"/>
      <c r="E985" s="14"/>
      <c r="F985" s="14"/>
      <c r="G985" s="14"/>
      <c r="H985" s="14"/>
    </row>
    <row r="986" ht="22.5" customHeight="1">
      <c r="A986" s="8"/>
      <c r="B986" s="8"/>
      <c r="C986" s="16"/>
      <c r="D986" s="14"/>
      <c r="E986" s="14"/>
      <c r="F986" s="14"/>
      <c r="G986" s="14"/>
      <c r="H986" s="14"/>
    </row>
    <row r="987" ht="22.5" customHeight="1">
      <c r="A987" s="8"/>
      <c r="B987" s="8"/>
      <c r="C987" s="16"/>
      <c r="D987" s="14"/>
      <c r="E987" s="14"/>
      <c r="F987" s="14"/>
      <c r="G987" s="14"/>
      <c r="H987" s="14"/>
    </row>
    <row r="988" ht="22.5" customHeight="1">
      <c r="A988" s="8"/>
      <c r="B988" s="8"/>
      <c r="C988" s="16"/>
      <c r="D988" s="14"/>
      <c r="E988" s="14"/>
      <c r="F988" s="14"/>
      <c r="G988" s="14"/>
      <c r="H988" s="14"/>
    </row>
    <row r="989" ht="22.5" customHeight="1">
      <c r="A989" s="8"/>
      <c r="B989" s="8"/>
      <c r="C989" s="16"/>
      <c r="D989" s="14"/>
      <c r="E989" s="14"/>
      <c r="F989" s="14"/>
      <c r="G989" s="14"/>
      <c r="H989" s="14"/>
    </row>
    <row r="990" ht="22.5" customHeight="1">
      <c r="A990" s="8"/>
      <c r="B990" s="8"/>
      <c r="C990" s="16"/>
      <c r="D990" s="14"/>
      <c r="E990" s="14"/>
      <c r="F990" s="14"/>
      <c r="G990" s="14"/>
      <c r="H990" s="14"/>
    </row>
    <row r="991" ht="22.5" customHeight="1">
      <c r="A991" s="8"/>
      <c r="B991" s="8"/>
      <c r="C991" s="16"/>
      <c r="D991" s="14"/>
      <c r="E991" s="14"/>
      <c r="F991" s="14"/>
      <c r="G991" s="14"/>
      <c r="H991" s="14"/>
    </row>
    <row r="992" ht="22.5" customHeight="1">
      <c r="A992" s="8"/>
      <c r="B992" s="8"/>
      <c r="C992" s="16"/>
      <c r="D992" s="14"/>
      <c r="E992" s="14"/>
      <c r="F992" s="14"/>
      <c r="G992" s="14"/>
      <c r="H992" s="14"/>
    </row>
    <row r="993" ht="22.5" customHeight="1">
      <c r="A993" s="8"/>
      <c r="B993" s="8"/>
      <c r="C993" s="16"/>
      <c r="D993" s="14"/>
      <c r="E993" s="14"/>
      <c r="F993" s="14"/>
      <c r="G993" s="14"/>
      <c r="H993" s="14"/>
    </row>
    <row r="994" ht="22.5" customHeight="1">
      <c r="A994" s="8"/>
      <c r="B994" s="8"/>
      <c r="C994" s="16"/>
      <c r="D994" s="14"/>
      <c r="E994" s="14"/>
      <c r="F994" s="14"/>
      <c r="G994" s="14"/>
      <c r="H994" s="14"/>
    </row>
    <row r="995" ht="22.5" customHeight="1">
      <c r="A995" s="8"/>
      <c r="B995" s="8"/>
      <c r="C995" s="16"/>
      <c r="D995" s="14"/>
      <c r="E995" s="14"/>
      <c r="F995" s="14"/>
      <c r="G995" s="14"/>
      <c r="H995" s="14"/>
    </row>
    <row r="996" ht="22.5" customHeight="1">
      <c r="A996" s="8"/>
      <c r="B996" s="8"/>
      <c r="C996" s="16"/>
      <c r="D996" s="14"/>
      <c r="E996" s="14"/>
      <c r="F996" s="14"/>
      <c r="G996" s="14"/>
      <c r="H996" s="14"/>
    </row>
    <row r="997" ht="22.5" customHeight="1">
      <c r="A997" s="8"/>
      <c r="B997" s="8"/>
      <c r="C997" s="16"/>
      <c r="D997" s="14"/>
      <c r="E997" s="14"/>
      <c r="F997" s="14"/>
      <c r="G997" s="14"/>
      <c r="H997" s="14"/>
    </row>
    <row r="998" ht="22.5" customHeight="1">
      <c r="A998" s="8"/>
      <c r="B998" s="8"/>
      <c r="C998" s="16"/>
      <c r="D998" s="14"/>
      <c r="E998" s="14"/>
      <c r="F998" s="14"/>
      <c r="G998" s="14"/>
      <c r="H998" s="14"/>
    </row>
    <row r="999" ht="22.5" customHeight="1">
      <c r="A999" s="8"/>
      <c r="B999" s="8"/>
      <c r="C999" s="16"/>
      <c r="D999" s="14"/>
      <c r="E999" s="14"/>
      <c r="F999" s="14"/>
      <c r="G999" s="14"/>
      <c r="H999" s="14"/>
    </row>
    <row r="1000" ht="22.5" customHeight="1">
      <c r="A1000" s="8"/>
      <c r="B1000" s="8"/>
      <c r="C1000" s="16"/>
      <c r="D1000" s="14"/>
      <c r="E1000" s="14"/>
      <c r="F1000" s="14"/>
      <c r="G1000" s="14"/>
      <c r="H1000" s="14"/>
    </row>
    <row r="1001" ht="22.5" customHeight="1">
      <c r="A1001" s="8"/>
      <c r="B1001" s="8"/>
      <c r="C1001" s="16"/>
      <c r="D1001" s="14"/>
      <c r="E1001" s="14"/>
      <c r="F1001" s="14"/>
      <c r="G1001" s="14"/>
      <c r="H1001" s="14"/>
    </row>
    <row r="1002" ht="22.5" customHeight="1">
      <c r="A1002" s="8"/>
      <c r="B1002" s="8"/>
      <c r="C1002" s="16"/>
      <c r="D1002" s="14"/>
      <c r="E1002" s="14"/>
      <c r="F1002" s="14"/>
      <c r="G1002" s="14"/>
      <c r="H1002" s="14"/>
    </row>
    <row r="1003" ht="22.5" customHeight="1">
      <c r="A1003" s="8"/>
      <c r="B1003" s="8"/>
      <c r="C1003" s="16"/>
      <c r="D1003" s="14"/>
      <c r="E1003" s="14"/>
      <c r="F1003" s="14"/>
      <c r="G1003" s="14"/>
      <c r="H1003" s="14"/>
    </row>
    <row r="1004" ht="22.5" customHeight="1">
      <c r="A1004" s="8"/>
      <c r="B1004" s="8"/>
      <c r="C1004" s="16"/>
      <c r="D1004" s="14"/>
      <c r="E1004" s="14"/>
      <c r="F1004" s="14"/>
      <c r="G1004" s="14"/>
      <c r="H1004" s="14"/>
    </row>
    <row r="1005" ht="22.5" customHeight="1">
      <c r="A1005" s="8"/>
      <c r="B1005" s="8"/>
      <c r="C1005" s="16"/>
      <c r="D1005" s="14"/>
      <c r="E1005" s="14"/>
      <c r="F1005" s="14"/>
      <c r="G1005" s="14"/>
      <c r="H1005" s="14"/>
    </row>
    <row r="1006" ht="22.5" customHeight="1">
      <c r="A1006" s="8"/>
      <c r="B1006" s="8"/>
      <c r="C1006" s="16"/>
      <c r="D1006" s="14"/>
      <c r="E1006" s="14"/>
      <c r="F1006" s="14"/>
      <c r="G1006" s="14"/>
      <c r="H1006" s="14"/>
    </row>
    <row r="1007" ht="22.5" customHeight="1">
      <c r="A1007" s="8"/>
      <c r="B1007" s="8"/>
      <c r="C1007" s="16"/>
      <c r="D1007" s="14"/>
      <c r="E1007" s="14"/>
      <c r="F1007" s="14"/>
      <c r="G1007" s="14"/>
      <c r="H1007" s="14"/>
    </row>
    <row r="1008" ht="22.5" customHeight="1">
      <c r="A1008" s="8"/>
      <c r="B1008" s="8"/>
      <c r="C1008" s="16"/>
      <c r="D1008" s="14"/>
      <c r="E1008" s="14"/>
      <c r="F1008" s="14"/>
      <c r="G1008" s="14"/>
      <c r="H1008" s="14"/>
    </row>
    <row r="1009" ht="22.5" customHeight="1">
      <c r="A1009" s="8"/>
      <c r="B1009" s="8"/>
      <c r="C1009" s="16"/>
      <c r="D1009" s="14"/>
      <c r="E1009" s="14"/>
      <c r="F1009" s="14"/>
      <c r="G1009" s="14"/>
      <c r="H1009" s="14"/>
    </row>
    <row r="1010" ht="22.5" customHeight="1">
      <c r="A1010" s="8"/>
      <c r="B1010" s="8"/>
      <c r="C1010" s="16"/>
      <c r="D1010" s="14"/>
      <c r="E1010" s="14"/>
      <c r="F1010" s="14"/>
      <c r="G1010" s="14"/>
      <c r="H1010" s="14"/>
    </row>
    <row r="1011" ht="22.5" customHeight="1">
      <c r="A1011" s="8"/>
      <c r="B1011" s="8"/>
      <c r="C1011" s="16"/>
      <c r="D1011" s="14"/>
      <c r="E1011" s="14"/>
      <c r="F1011" s="14"/>
      <c r="G1011" s="14"/>
      <c r="H1011" s="14"/>
    </row>
    <row r="1012" ht="22.5" customHeight="1">
      <c r="A1012" s="8"/>
      <c r="B1012" s="8"/>
      <c r="C1012" s="16"/>
      <c r="D1012" s="14"/>
      <c r="E1012" s="14"/>
      <c r="F1012" s="14"/>
      <c r="G1012" s="14"/>
      <c r="H1012" s="14"/>
    </row>
    <row r="1013" ht="22.5" customHeight="1">
      <c r="A1013" s="8"/>
      <c r="B1013" s="8"/>
      <c r="C1013" s="16"/>
      <c r="D1013" s="14"/>
      <c r="E1013" s="14"/>
      <c r="F1013" s="14"/>
      <c r="G1013" s="14"/>
      <c r="H1013" s="14"/>
    </row>
    <row r="1014" ht="22.5" customHeight="1">
      <c r="A1014" s="8"/>
      <c r="B1014" s="8"/>
      <c r="C1014" s="16"/>
      <c r="D1014" s="14"/>
      <c r="E1014" s="14"/>
      <c r="F1014" s="14"/>
      <c r="G1014" s="14"/>
      <c r="H1014" s="14"/>
    </row>
    <row r="1015" ht="22.5" customHeight="1">
      <c r="A1015" s="8"/>
      <c r="B1015" s="8"/>
      <c r="C1015" s="16"/>
      <c r="D1015" s="14"/>
      <c r="E1015" s="14"/>
      <c r="F1015" s="14"/>
      <c r="G1015" s="14"/>
      <c r="H1015" s="14"/>
    </row>
    <row r="1016" ht="22.5" customHeight="1">
      <c r="A1016" s="8"/>
      <c r="B1016" s="8"/>
      <c r="C1016" s="16"/>
      <c r="D1016" s="14"/>
      <c r="E1016" s="14"/>
      <c r="F1016" s="14"/>
      <c r="G1016" s="14"/>
      <c r="H1016" s="14"/>
    </row>
    <row r="1017" ht="22.5" customHeight="1">
      <c r="A1017" s="8"/>
      <c r="B1017" s="8"/>
      <c r="C1017" s="16"/>
      <c r="D1017" s="14"/>
      <c r="E1017" s="14"/>
      <c r="F1017" s="14"/>
      <c r="G1017" s="14"/>
      <c r="H1017" s="14"/>
    </row>
    <row r="1018" ht="22.5" customHeight="1">
      <c r="A1018" s="8"/>
      <c r="B1018" s="8"/>
      <c r="C1018" s="16"/>
      <c r="D1018" s="14"/>
      <c r="E1018" s="14"/>
      <c r="F1018" s="14"/>
      <c r="G1018" s="14"/>
      <c r="H1018" s="14"/>
    </row>
    <row r="1019" ht="22.5" customHeight="1">
      <c r="A1019" s="8"/>
      <c r="B1019" s="8"/>
      <c r="C1019" s="16"/>
      <c r="D1019" s="14"/>
      <c r="E1019" s="14"/>
      <c r="F1019" s="14"/>
      <c r="G1019" s="14"/>
      <c r="H1019" s="14"/>
    </row>
    <row r="1020" ht="22.5" customHeight="1">
      <c r="A1020" s="8"/>
      <c r="B1020" s="8"/>
      <c r="C1020" s="16"/>
      <c r="D1020" s="14"/>
      <c r="E1020" s="14"/>
      <c r="F1020" s="14"/>
      <c r="G1020" s="14"/>
      <c r="H1020" s="14"/>
    </row>
    <row r="1021" ht="22.5" customHeight="1">
      <c r="A1021" s="8"/>
      <c r="B1021" s="8"/>
      <c r="C1021" s="16"/>
      <c r="D1021" s="14"/>
      <c r="E1021" s="14"/>
      <c r="F1021" s="14"/>
      <c r="G1021" s="14"/>
      <c r="H1021" s="14"/>
    </row>
    <row r="1022" ht="22.5" customHeight="1">
      <c r="A1022" s="8"/>
      <c r="B1022" s="8"/>
      <c r="C1022" s="16"/>
      <c r="D1022" s="14"/>
      <c r="E1022" s="14"/>
      <c r="F1022" s="14"/>
      <c r="G1022" s="14"/>
      <c r="H1022" s="14"/>
    </row>
    <row r="1023" ht="22.5" customHeight="1">
      <c r="A1023" s="8"/>
      <c r="B1023" s="8"/>
      <c r="C1023" s="16"/>
      <c r="D1023" s="14"/>
      <c r="E1023" s="14"/>
      <c r="F1023" s="14"/>
      <c r="G1023" s="14"/>
      <c r="H1023" s="14"/>
    </row>
    <row r="1024" ht="22.5" customHeight="1">
      <c r="A1024" s="8"/>
      <c r="B1024" s="8"/>
      <c r="C1024" s="16"/>
      <c r="D1024" s="14"/>
      <c r="E1024" s="14"/>
      <c r="F1024" s="14"/>
      <c r="G1024" s="14"/>
      <c r="H1024" s="14"/>
    </row>
    <row r="1025" ht="22.5" customHeight="1">
      <c r="A1025" s="8"/>
      <c r="B1025" s="8"/>
      <c r="C1025" s="16"/>
      <c r="D1025" s="14"/>
      <c r="E1025" s="14"/>
      <c r="F1025" s="14"/>
      <c r="G1025" s="14"/>
      <c r="H1025" s="14"/>
    </row>
    <row r="1026" ht="22.5" customHeight="1">
      <c r="A1026" s="8"/>
      <c r="B1026" s="8"/>
      <c r="C1026" s="16"/>
      <c r="D1026" s="14"/>
      <c r="E1026" s="14"/>
      <c r="F1026" s="14"/>
      <c r="G1026" s="14"/>
      <c r="H1026" s="14"/>
    </row>
    <row r="1027" ht="22.5" customHeight="1">
      <c r="A1027" s="8"/>
      <c r="B1027" s="8"/>
      <c r="C1027" s="16"/>
      <c r="D1027" s="14"/>
      <c r="E1027" s="14"/>
      <c r="F1027" s="14"/>
      <c r="G1027" s="14"/>
      <c r="H1027" s="14"/>
    </row>
    <row r="1028" ht="22.5" customHeight="1">
      <c r="A1028" s="8"/>
      <c r="B1028" s="8"/>
      <c r="C1028" s="16"/>
      <c r="D1028" s="14"/>
      <c r="E1028" s="14"/>
      <c r="F1028" s="14"/>
      <c r="G1028" s="14"/>
      <c r="H1028" s="14"/>
    </row>
    <row r="1029" ht="22.5" customHeight="1">
      <c r="A1029" s="8"/>
      <c r="B1029" s="8"/>
      <c r="C1029" s="16"/>
      <c r="D1029" s="14"/>
      <c r="E1029" s="14"/>
      <c r="F1029" s="14"/>
      <c r="G1029" s="14"/>
      <c r="H1029" s="14"/>
    </row>
    <row r="1030" ht="22.5" customHeight="1">
      <c r="A1030" s="8"/>
      <c r="B1030" s="8"/>
      <c r="C1030" s="16"/>
      <c r="D1030" s="14"/>
      <c r="E1030" s="14"/>
      <c r="F1030" s="14"/>
      <c r="G1030" s="14"/>
      <c r="H1030" s="14"/>
    </row>
    <row r="1031" ht="22.5" customHeight="1">
      <c r="A1031" s="8"/>
      <c r="B1031" s="8"/>
      <c r="C1031" s="16"/>
      <c r="D1031" s="14"/>
      <c r="E1031" s="14"/>
      <c r="F1031" s="14"/>
      <c r="G1031" s="14"/>
      <c r="H1031" s="14"/>
    </row>
    <row r="1032" ht="22.5" customHeight="1">
      <c r="A1032" s="8"/>
      <c r="B1032" s="8"/>
      <c r="C1032" s="16"/>
      <c r="D1032" s="14"/>
      <c r="E1032" s="14"/>
      <c r="F1032" s="14"/>
      <c r="G1032" s="14"/>
      <c r="H1032" s="14"/>
    </row>
    <row r="1033" ht="22.5" customHeight="1">
      <c r="A1033" s="8"/>
      <c r="B1033" s="8"/>
      <c r="C1033" s="16"/>
      <c r="D1033" s="14"/>
      <c r="E1033" s="14"/>
      <c r="F1033" s="14"/>
      <c r="G1033" s="14"/>
      <c r="H1033" s="14"/>
    </row>
    <row r="1034" ht="22.5" customHeight="1">
      <c r="A1034" s="8"/>
      <c r="B1034" s="8"/>
      <c r="C1034" s="16"/>
      <c r="D1034" s="14"/>
      <c r="E1034" s="14"/>
      <c r="F1034" s="14"/>
      <c r="G1034" s="14"/>
      <c r="H1034" s="14"/>
    </row>
    <row r="1035" ht="22.5" customHeight="1">
      <c r="A1035" s="8"/>
      <c r="B1035" s="8"/>
      <c r="C1035" s="16"/>
      <c r="D1035" s="14"/>
      <c r="E1035" s="14"/>
      <c r="F1035" s="14"/>
      <c r="G1035" s="14"/>
      <c r="H1035" s="14"/>
    </row>
    <row r="1036" ht="22.5" customHeight="1">
      <c r="A1036" s="8"/>
      <c r="B1036" s="8"/>
      <c r="C1036" s="16"/>
      <c r="D1036" s="14"/>
      <c r="E1036" s="14"/>
      <c r="F1036" s="14"/>
      <c r="G1036" s="14"/>
      <c r="H1036" s="14"/>
    </row>
    <row r="1037" ht="22.5" customHeight="1">
      <c r="A1037" s="8"/>
      <c r="B1037" s="8"/>
      <c r="C1037" s="16"/>
      <c r="D1037" s="14"/>
      <c r="E1037" s="14"/>
      <c r="F1037" s="14"/>
      <c r="G1037" s="14"/>
      <c r="H1037" s="14"/>
    </row>
    <row r="1038" ht="22.5" customHeight="1">
      <c r="A1038" s="8"/>
      <c r="B1038" s="8"/>
      <c r="C1038" s="16"/>
      <c r="D1038" s="14"/>
      <c r="E1038" s="14"/>
      <c r="F1038" s="14"/>
      <c r="G1038" s="14"/>
      <c r="H1038" s="14"/>
    </row>
    <row r="1039" ht="22.5" customHeight="1">
      <c r="A1039" s="8"/>
      <c r="B1039" s="8"/>
      <c r="C1039" s="16"/>
      <c r="D1039" s="14"/>
      <c r="E1039" s="14"/>
      <c r="F1039" s="14"/>
      <c r="G1039" s="14"/>
      <c r="H1039" s="14"/>
    </row>
    <row r="1040" ht="22.5" customHeight="1">
      <c r="A1040" s="8"/>
      <c r="B1040" s="8"/>
      <c r="C1040" s="16"/>
      <c r="D1040" s="14"/>
      <c r="E1040" s="14"/>
      <c r="F1040" s="14"/>
      <c r="G1040" s="14"/>
      <c r="H1040" s="14"/>
    </row>
    <row r="1041" ht="22.5" customHeight="1">
      <c r="A1041" s="8"/>
      <c r="B1041" s="8"/>
      <c r="C1041" s="16"/>
      <c r="D1041" s="14"/>
      <c r="E1041" s="14"/>
      <c r="F1041" s="14"/>
      <c r="G1041" s="14"/>
      <c r="H1041" s="14"/>
    </row>
    <row r="1042" ht="22.5" customHeight="1">
      <c r="A1042" s="8"/>
      <c r="B1042" s="8"/>
      <c r="C1042" s="16"/>
      <c r="D1042" s="14"/>
      <c r="E1042" s="14"/>
      <c r="F1042" s="14"/>
      <c r="G1042" s="14"/>
      <c r="H1042" s="14"/>
    </row>
    <row r="1043" ht="22.5" customHeight="1">
      <c r="A1043" s="8"/>
      <c r="B1043" s="8"/>
      <c r="C1043" s="16"/>
      <c r="D1043" s="14"/>
      <c r="E1043" s="14"/>
      <c r="F1043" s="14"/>
      <c r="G1043" s="14"/>
      <c r="H1043" s="14"/>
    </row>
    <row r="1044" ht="22.5" customHeight="1">
      <c r="A1044" s="8"/>
      <c r="B1044" s="8"/>
      <c r="C1044" s="16"/>
      <c r="D1044" s="14"/>
      <c r="E1044" s="14"/>
      <c r="F1044" s="14"/>
      <c r="G1044" s="14"/>
      <c r="H1044" s="14"/>
    </row>
    <row r="1045" ht="22.5" customHeight="1">
      <c r="A1045" s="8"/>
      <c r="B1045" s="8"/>
      <c r="C1045" s="16"/>
      <c r="D1045" s="14"/>
      <c r="E1045" s="14"/>
      <c r="F1045" s="14"/>
      <c r="G1045" s="14"/>
      <c r="H1045" s="14"/>
    </row>
    <row r="1046" ht="22.5" customHeight="1">
      <c r="A1046" s="8"/>
      <c r="B1046" s="8"/>
      <c r="C1046" s="16"/>
      <c r="D1046" s="14"/>
      <c r="E1046" s="14"/>
      <c r="F1046" s="14"/>
      <c r="G1046" s="14"/>
      <c r="H1046" s="14"/>
    </row>
    <row r="1047" ht="22.5" customHeight="1">
      <c r="A1047" s="8"/>
      <c r="B1047" s="8"/>
      <c r="C1047" s="16"/>
      <c r="D1047" s="14"/>
      <c r="E1047" s="14"/>
      <c r="F1047" s="14"/>
      <c r="G1047" s="14"/>
      <c r="H1047" s="14"/>
    </row>
    <row r="1048" ht="22.5" customHeight="1">
      <c r="A1048" s="8"/>
      <c r="B1048" s="8"/>
      <c r="C1048" s="16"/>
      <c r="D1048" s="14"/>
      <c r="E1048" s="14"/>
      <c r="F1048" s="14"/>
      <c r="G1048" s="14"/>
      <c r="H1048" s="14"/>
    </row>
    <row r="1049" ht="22.5" customHeight="1">
      <c r="A1049" s="8"/>
      <c r="B1049" s="8"/>
      <c r="C1049" s="16"/>
      <c r="D1049" s="14"/>
      <c r="E1049" s="14"/>
      <c r="F1049" s="14"/>
      <c r="G1049" s="14"/>
      <c r="H1049" s="14"/>
    </row>
    <row r="1050" ht="22.5" customHeight="1">
      <c r="A1050" s="8"/>
      <c r="B1050" s="8"/>
      <c r="C1050" s="16"/>
      <c r="D1050" s="14"/>
      <c r="E1050" s="14"/>
      <c r="F1050" s="14"/>
      <c r="G1050" s="14"/>
      <c r="H1050" s="14"/>
    </row>
  </sheetData>
  <conditionalFormatting sqref="A3:H1050">
    <cfRule type="expression" dxfId="0" priority="1">
      <formula>$B3=TRUE</formula>
    </cfRule>
  </conditionalFormatting>
  <hyperlinks>
    <hyperlink r:id="rId1" ref="F4"/>
    <hyperlink r:id="rId2" ref="F5"/>
    <hyperlink r:id="rId3" ref="F6"/>
    <hyperlink r:id="rId4" ref="F7"/>
    <hyperlink r:id="rId5" ref="F9"/>
    <hyperlink r:id="rId6" ref="F15"/>
    <hyperlink r:id="rId7" ref="F16"/>
    <hyperlink r:id="rId8" ref="F18"/>
    <hyperlink r:id="rId9" ref="F20"/>
    <hyperlink r:id="rId10" ref="F21"/>
    <hyperlink r:id="rId11" ref="F22"/>
    <hyperlink r:id="rId12" ref="F24"/>
    <hyperlink r:id="rId13" ref="F27"/>
    <hyperlink r:id="rId14" ref="F28"/>
    <hyperlink r:id="rId15" ref="F29"/>
    <hyperlink r:id="rId16" ref="F31"/>
    <hyperlink r:id="rId17" ref="F33"/>
    <hyperlink r:id="rId18" ref="F36"/>
    <hyperlink r:id="rId19" ref="F39"/>
    <hyperlink r:id="rId20" ref="F43"/>
    <hyperlink r:id="rId21" ref="F46"/>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2" width="6.88"/>
    <col customWidth="1" min="3" max="3" width="34.0"/>
    <col customWidth="1" min="4" max="4" width="32.75"/>
    <col customWidth="1" min="5" max="7" width="21.38"/>
    <col customWidth="1" min="8" max="8" width="99.63"/>
  </cols>
  <sheetData>
    <row r="1" ht="57.0" customHeight="1">
      <c r="A1" s="1"/>
      <c r="B1" s="2"/>
      <c r="C1" s="2">
        <v>2021.0</v>
      </c>
      <c r="D1" s="2"/>
      <c r="E1" s="2"/>
      <c r="F1" s="3"/>
      <c r="G1" s="3"/>
      <c r="H1" s="4"/>
    </row>
    <row r="2" ht="30.0" customHeight="1">
      <c r="A2" s="5"/>
      <c r="B2" s="5" t="s">
        <v>0</v>
      </c>
      <c r="C2" s="5" t="s">
        <v>1</v>
      </c>
      <c r="D2" s="6" t="s">
        <v>2</v>
      </c>
      <c r="E2" s="6" t="s">
        <v>3</v>
      </c>
      <c r="F2" s="6" t="s">
        <v>4</v>
      </c>
      <c r="G2" s="6" t="s">
        <v>5</v>
      </c>
      <c r="H2" s="6" t="s">
        <v>6</v>
      </c>
    </row>
    <row r="3" ht="26.25" customHeight="1">
      <c r="A3" s="7">
        <v>1.0</v>
      </c>
      <c r="B3" s="8" t="b">
        <v>0</v>
      </c>
      <c r="C3" s="17" t="s">
        <v>152</v>
      </c>
      <c r="D3" s="18"/>
      <c r="E3" s="17">
        <v>7.504304422E9</v>
      </c>
      <c r="F3" s="11"/>
      <c r="G3" s="14"/>
      <c r="H3" s="14"/>
    </row>
    <row r="4" ht="26.25" customHeight="1">
      <c r="A4" s="7">
        <v>2.0</v>
      </c>
      <c r="B4" s="8" t="b">
        <v>0</v>
      </c>
      <c r="C4" s="17" t="s">
        <v>153</v>
      </c>
      <c r="D4" s="18"/>
      <c r="E4" s="17">
        <v>7.506500121E9</v>
      </c>
      <c r="F4" s="13"/>
      <c r="G4" s="14"/>
      <c r="H4" s="14"/>
    </row>
    <row r="5" ht="26.25" customHeight="1">
      <c r="A5" s="7">
        <v>3.0</v>
      </c>
      <c r="B5" s="8" t="b">
        <v>0</v>
      </c>
      <c r="C5" s="17" t="s">
        <v>154</v>
      </c>
      <c r="D5" s="19"/>
      <c r="E5" s="19"/>
      <c r="F5" s="13"/>
      <c r="G5" s="14"/>
      <c r="H5" s="14"/>
    </row>
    <row r="6" ht="26.25" customHeight="1">
      <c r="A6" s="7">
        <v>4.0</v>
      </c>
      <c r="B6" s="8" t="b">
        <v>0</v>
      </c>
      <c r="C6" s="17" t="s">
        <v>155</v>
      </c>
      <c r="D6" s="18"/>
      <c r="E6" s="17">
        <v>7.508611111E9</v>
      </c>
      <c r="F6" s="13"/>
      <c r="G6" s="14"/>
      <c r="H6" s="14"/>
    </row>
    <row r="7" ht="26.25" customHeight="1">
      <c r="A7" s="7">
        <v>5.0</v>
      </c>
      <c r="B7" s="8" t="b">
        <v>0</v>
      </c>
      <c r="C7" s="17" t="s">
        <v>156</v>
      </c>
      <c r="D7" s="18"/>
      <c r="E7" s="17">
        <v>7.510066073E9</v>
      </c>
      <c r="F7" s="13"/>
      <c r="G7" s="14"/>
      <c r="H7" s="14"/>
    </row>
    <row r="8" ht="26.25" customHeight="1">
      <c r="A8" s="7">
        <v>6.0</v>
      </c>
      <c r="B8" s="8" t="b">
        <v>0</v>
      </c>
      <c r="C8" s="17" t="s">
        <v>157</v>
      </c>
      <c r="D8" s="18"/>
      <c r="E8" s="17">
        <v>7.50468291E9</v>
      </c>
      <c r="F8" s="11"/>
      <c r="G8" s="14"/>
      <c r="H8" s="14"/>
    </row>
    <row r="9" ht="26.25" customHeight="1">
      <c r="A9" s="7">
        <v>7.0</v>
      </c>
      <c r="B9" s="8" t="b">
        <v>0</v>
      </c>
      <c r="C9" s="17" t="s">
        <v>158</v>
      </c>
      <c r="D9" s="19"/>
      <c r="E9" s="19"/>
      <c r="F9" s="13"/>
      <c r="G9" s="14"/>
      <c r="H9" s="14"/>
    </row>
    <row r="10" ht="26.25" customHeight="1">
      <c r="A10" s="7">
        <v>8.0</v>
      </c>
      <c r="B10" s="8" t="b">
        <v>0</v>
      </c>
      <c r="C10" s="17" t="s">
        <v>159</v>
      </c>
      <c r="D10" s="18"/>
      <c r="E10" s="17">
        <v>7.503311E9</v>
      </c>
      <c r="F10" s="11"/>
      <c r="G10" s="14"/>
      <c r="H10" s="14"/>
    </row>
    <row r="11" ht="26.25" customHeight="1">
      <c r="A11" s="7">
        <v>9.0</v>
      </c>
      <c r="B11" s="8" t="b">
        <v>0</v>
      </c>
      <c r="C11" s="17" t="s">
        <v>160</v>
      </c>
      <c r="D11" s="18"/>
      <c r="E11" s="17">
        <v>7.504857626E9</v>
      </c>
      <c r="F11" s="11"/>
      <c r="G11" s="14"/>
      <c r="H11" s="14"/>
    </row>
    <row r="12" ht="26.25" customHeight="1">
      <c r="A12" s="7">
        <v>10.0</v>
      </c>
      <c r="B12" s="8" t="b">
        <v>0</v>
      </c>
      <c r="C12" s="17" t="s">
        <v>161</v>
      </c>
      <c r="D12" s="18"/>
      <c r="E12" s="17">
        <v>7.5011453E9</v>
      </c>
      <c r="F12" s="11"/>
      <c r="G12" s="14"/>
      <c r="H12" s="14"/>
    </row>
    <row r="13" ht="26.25" customHeight="1">
      <c r="A13" s="7">
        <v>11.0</v>
      </c>
      <c r="B13" s="8" t="b">
        <v>0</v>
      </c>
      <c r="C13" s="17" t="s">
        <v>162</v>
      </c>
      <c r="D13" s="19"/>
      <c r="E13" s="17">
        <v>7.50700002E9</v>
      </c>
      <c r="F13" s="11"/>
      <c r="G13" s="14"/>
      <c r="H13" s="14"/>
    </row>
    <row r="14" ht="26.25" customHeight="1">
      <c r="A14" s="7">
        <v>12.0</v>
      </c>
      <c r="B14" s="8" t="b">
        <v>0</v>
      </c>
      <c r="C14" s="17" t="s">
        <v>22</v>
      </c>
      <c r="D14" s="19"/>
      <c r="E14" s="17">
        <v>7.504638884E9</v>
      </c>
      <c r="F14" s="11"/>
      <c r="G14" s="14"/>
      <c r="H14" s="14"/>
    </row>
    <row r="15" ht="26.25" customHeight="1">
      <c r="A15" s="7">
        <v>13.0</v>
      </c>
      <c r="B15" s="8" t="b">
        <v>0</v>
      </c>
      <c r="C15" s="17" t="s">
        <v>163</v>
      </c>
      <c r="D15" s="19"/>
      <c r="E15" s="17">
        <v>7.503005004E9</v>
      </c>
      <c r="F15" s="13"/>
      <c r="G15" s="14"/>
      <c r="H15" s="14"/>
    </row>
    <row r="16" ht="26.25" customHeight="1">
      <c r="A16" s="7">
        <v>14.0</v>
      </c>
      <c r="B16" s="8" t="b">
        <v>0</v>
      </c>
      <c r="C16" s="17" t="s">
        <v>164</v>
      </c>
      <c r="D16" s="19"/>
      <c r="E16" s="17">
        <v>7.504662282E9</v>
      </c>
      <c r="F16" s="13"/>
      <c r="G16" s="14"/>
      <c r="H16" s="14"/>
    </row>
    <row r="17" ht="26.25" customHeight="1">
      <c r="A17" s="7">
        <v>15.0</v>
      </c>
      <c r="B17" s="8" t="b">
        <v>0</v>
      </c>
      <c r="C17" s="17" t="s">
        <v>165</v>
      </c>
      <c r="D17" s="19"/>
      <c r="E17" s="17">
        <v>7.505111777E9</v>
      </c>
      <c r="F17" s="11"/>
      <c r="G17" s="14"/>
      <c r="H17" s="14"/>
    </row>
    <row r="18" ht="26.25" customHeight="1">
      <c r="A18" s="7">
        <v>16.0</v>
      </c>
      <c r="B18" s="8" t="b">
        <v>0</v>
      </c>
      <c r="C18" s="17" t="s">
        <v>166</v>
      </c>
      <c r="D18" s="19"/>
      <c r="E18" s="17">
        <v>7.506565426E9</v>
      </c>
      <c r="F18" s="13"/>
      <c r="G18" s="14"/>
      <c r="H18" s="14"/>
    </row>
    <row r="19" ht="26.25" customHeight="1">
      <c r="A19" s="7">
        <v>17.0</v>
      </c>
      <c r="B19" s="8" t="b">
        <v>0</v>
      </c>
      <c r="C19" s="17" t="s">
        <v>167</v>
      </c>
      <c r="D19" s="19"/>
      <c r="E19" s="17">
        <v>7.508331415E9</v>
      </c>
      <c r="F19" s="11"/>
      <c r="G19" s="14"/>
      <c r="H19" s="14"/>
    </row>
    <row r="20" ht="26.25" customHeight="1">
      <c r="A20" s="7">
        <v>18.0</v>
      </c>
      <c r="B20" s="8" t="b">
        <v>0</v>
      </c>
      <c r="C20" s="17" t="s">
        <v>168</v>
      </c>
      <c r="D20" s="19"/>
      <c r="E20" s="17">
        <v>7.504459912E9</v>
      </c>
      <c r="F20" s="13"/>
      <c r="G20" s="14"/>
      <c r="H20" s="14"/>
    </row>
    <row r="21" ht="26.25" customHeight="1">
      <c r="A21" s="7">
        <v>19.0</v>
      </c>
      <c r="B21" s="8" t="b">
        <v>0</v>
      </c>
      <c r="C21" s="17" t="s">
        <v>169</v>
      </c>
      <c r="D21" s="19"/>
      <c r="E21" s="17">
        <v>7.73300002E9</v>
      </c>
      <c r="F21" s="13"/>
      <c r="G21" s="14"/>
      <c r="H21" s="14"/>
    </row>
    <row r="22" ht="26.25" customHeight="1">
      <c r="A22" s="7">
        <v>20.0</v>
      </c>
      <c r="B22" s="8" t="b">
        <v>0</v>
      </c>
      <c r="C22" s="17" t="s">
        <v>170</v>
      </c>
      <c r="D22" s="19"/>
      <c r="E22" s="17">
        <v>7.504656559E9</v>
      </c>
      <c r="F22" s="13"/>
      <c r="G22" s="14"/>
      <c r="H22" s="14"/>
    </row>
    <row r="23" ht="26.25" customHeight="1">
      <c r="A23" s="7">
        <v>21.0</v>
      </c>
      <c r="B23" s="8" t="b">
        <v>0</v>
      </c>
      <c r="C23" s="17" t="s">
        <v>171</v>
      </c>
      <c r="D23" s="19"/>
      <c r="E23" s="19"/>
      <c r="F23" s="11"/>
      <c r="G23" s="14"/>
      <c r="H23" s="14"/>
    </row>
    <row r="24" ht="26.25" customHeight="1">
      <c r="A24" s="7">
        <v>22.0</v>
      </c>
      <c r="B24" s="8" t="b">
        <v>0</v>
      </c>
      <c r="C24" s="17" t="s">
        <v>172</v>
      </c>
      <c r="D24" s="19"/>
      <c r="E24" s="17">
        <v>7.508700222E9</v>
      </c>
      <c r="F24" s="13"/>
      <c r="G24" s="14"/>
      <c r="H24" s="14"/>
    </row>
    <row r="25" ht="26.25" customHeight="1">
      <c r="A25" s="7">
        <v>23.0</v>
      </c>
      <c r="B25" s="8" t="b">
        <v>0</v>
      </c>
      <c r="C25" s="17" t="s">
        <v>173</v>
      </c>
      <c r="D25" s="19"/>
      <c r="E25" s="17">
        <v>7.517417624E9</v>
      </c>
      <c r="F25" s="11"/>
      <c r="G25" s="14"/>
      <c r="H25" s="14"/>
    </row>
    <row r="26" ht="26.25" customHeight="1">
      <c r="A26" s="7">
        <v>24.0</v>
      </c>
      <c r="B26" s="8" t="b">
        <v>0</v>
      </c>
      <c r="C26" s="17" t="s">
        <v>174</v>
      </c>
      <c r="D26" s="19"/>
      <c r="E26" s="17">
        <v>7.501004111E9</v>
      </c>
      <c r="F26" s="11"/>
      <c r="G26" s="14"/>
      <c r="H26" s="14"/>
    </row>
    <row r="27" ht="26.25" customHeight="1">
      <c r="A27" s="7">
        <v>25.0</v>
      </c>
      <c r="B27" s="8" t="b">
        <v>0</v>
      </c>
      <c r="C27" s="17" t="s">
        <v>175</v>
      </c>
      <c r="D27" s="19"/>
      <c r="E27" s="17">
        <v>7.706546767E9</v>
      </c>
      <c r="F27" s="13"/>
      <c r="G27" s="14"/>
      <c r="H27" s="14"/>
    </row>
    <row r="28" ht="26.25" customHeight="1">
      <c r="A28" s="7">
        <v>26.0</v>
      </c>
      <c r="B28" s="8" t="b">
        <v>0</v>
      </c>
      <c r="C28" s="17" t="s">
        <v>176</v>
      </c>
      <c r="D28" s="19"/>
      <c r="E28" s="17">
        <v>7.701544414E9</v>
      </c>
      <c r="F28" s="13"/>
      <c r="G28" s="14"/>
      <c r="H28" s="14"/>
    </row>
    <row r="29" ht="26.25" customHeight="1">
      <c r="A29" s="7">
        <v>27.0</v>
      </c>
      <c r="B29" s="8" t="b">
        <v>0</v>
      </c>
      <c r="C29" s="17" t="s">
        <v>177</v>
      </c>
      <c r="D29" s="19"/>
      <c r="E29" s="17">
        <v>7.701503438E9</v>
      </c>
      <c r="F29" s="13"/>
      <c r="G29" s="14"/>
      <c r="H29" s="14"/>
    </row>
    <row r="30" ht="26.25" customHeight="1">
      <c r="A30" s="7">
        <v>28.0</v>
      </c>
      <c r="B30" s="8" t="b">
        <v>0</v>
      </c>
      <c r="C30" s="17" t="s">
        <v>178</v>
      </c>
      <c r="D30" s="19"/>
      <c r="E30" s="19"/>
      <c r="F30" s="11"/>
      <c r="G30" s="14"/>
      <c r="H30" s="14"/>
    </row>
    <row r="31" ht="26.25" customHeight="1">
      <c r="A31" s="7">
        <v>29.0</v>
      </c>
      <c r="B31" s="8" t="b">
        <v>0</v>
      </c>
      <c r="C31" s="17" t="s">
        <v>179</v>
      </c>
      <c r="D31" s="19"/>
      <c r="E31" s="19"/>
      <c r="F31" s="13"/>
      <c r="G31" s="14"/>
      <c r="H31" s="14"/>
    </row>
    <row r="32" ht="26.25" customHeight="1">
      <c r="A32" s="7">
        <v>30.0</v>
      </c>
      <c r="B32" s="8" t="b">
        <v>0</v>
      </c>
      <c r="C32" s="17" t="s">
        <v>180</v>
      </c>
      <c r="D32" s="19"/>
      <c r="E32" s="17">
        <v>7.719688556E9</v>
      </c>
      <c r="F32" s="11"/>
      <c r="G32" s="14"/>
      <c r="H32" s="14"/>
    </row>
    <row r="33" ht="26.25" customHeight="1">
      <c r="A33" s="7">
        <v>31.0</v>
      </c>
      <c r="B33" s="8" t="b">
        <v>0</v>
      </c>
      <c r="C33" s="17" t="s">
        <v>181</v>
      </c>
      <c r="D33" s="19"/>
      <c r="E33" s="17">
        <v>7.504491769E9</v>
      </c>
      <c r="F33" s="13"/>
      <c r="G33" s="14"/>
      <c r="H33" s="14"/>
    </row>
    <row r="34" ht="26.25" customHeight="1">
      <c r="A34" s="7">
        <v>32.0</v>
      </c>
      <c r="B34" s="8" t="b">
        <v>0</v>
      </c>
      <c r="C34" s="17" t="s">
        <v>182</v>
      </c>
      <c r="D34" s="19"/>
      <c r="E34" s="19"/>
      <c r="F34" s="11"/>
      <c r="G34" s="14"/>
      <c r="H34" s="14"/>
    </row>
    <row r="35" ht="26.25" customHeight="1">
      <c r="A35" s="7">
        <v>33.0</v>
      </c>
      <c r="B35" s="8" t="b">
        <v>0</v>
      </c>
      <c r="C35" s="17" t="s">
        <v>183</v>
      </c>
      <c r="D35" s="19"/>
      <c r="E35" s="19"/>
      <c r="F35" s="11"/>
      <c r="G35" s="14"/>
      <c r="H35" s="14"/>
    </row>
    <row r="36" ht="26.25" customHeight="1">
      <c r="A36" s="7">
        <v>34.0</v>
      </c>
      <c r="B36" s="8" t="b">
        <v>0</v>
      </c>
      <c r="C36" s="17" t="s">
        <v>184</v>
      </c>
      <c r="D36" s="19"/>
      <c r="E36" s="19"/>
      <c r="F36" s="13"/>
      <c r="G36" s="14"/>
      <c r="H36" s="14"/>
    </row>
    <row r="37" ht="26.25" customHeight="1">
      <c r="A37" s="7">
        <v>35.0</v>
      </c>
      <c r="B37" s="8" t="b">
        <v>0</v>
      </c>
      <c r="C37" s="17" t="s">
        <v>185</v>
      </c>
      <c r="D37" s="19"/>
      <c r="E37" s="17">
        <v>7.707706266E9</v>
      </c>
      <c r="F37" s="11"/>
      <c r="G37" s="14"/>
      <c r="H37" s="14"/>
    </row>
    <row r="38" ht="26.25" customHeight="1">
      <c r="A38" s="7">
        <v>36.0</v>
      </c>
      <c r="B38" s="8" t="b">
        <v>0</v>
      </c>
      <c r="C38" s="17" t="s">
        <v>48</v>
      </c>
      <c r="D38" s="19"/>
      <c r="E38" s="17">
        <v>7.519002299E9</v>
      </c>
      <c r="F38" s="11"/>
      <c r="G38" s="14"/>
      <c r="H38" s="14"/>
    </row>
    <row r="39" ht="26.25" customHeight="1">
      <c r="A39" s="7">
        <v>37.0</v>
      </c>
      <c r="B39" s="8" t="b">
        <v>0</v>
      </c>
      <c r="C39" s="17" t="s">
        <v>186</v>
      </c>
      <c r="D39" s="19"/>
      <c r="E39" s="17">
        <v>7.504486936E9</v>
      </c>
      <c r="F39" s="13"/>
      <c r="G39" s="14"/>
      <c r="H39" s="14"/>
    </row>
    <row r="40" ht="26.25" customHeight="1">
      <c r="A40" s="7">
        <v>38.0</v>
      </c>
      <c r="B40" s="8" t="b">
        <v>0</v>
      </c>
      <c r="C40" s="17" t="s">
        <v>187</v>
      </c>
      <c r="D40" s="19"/>
      <c r="E40" s="17">
        <v>7.502002007E9</v>
      </c>
      <c r="F40" s="11"/>
      <c r="G40" s="14"/>
      <c r="H40" s="14"/>
    </row>
    <row r="41" ht="26.25" customHeight="1">
      <c r="A41" s="7">
        <v>39.0</v>
      </c>
      <c r="B41" s="8" t="b">
        <v>0</v>
      </c>
      <c r="C41" s="17" t="s">
        <v>188</v>
      </c>
      <c r="D41" s="19"/>
      <c r="E41" s="17">
        <v>7.502749999E9</v>
      </c>
      <c r="F41" s="11"/>
      <c r="G41" s="14"/>
      <c r="H41" s="14"/>
    </row>
    <row r="42" ht="26.25" customHeight="1">
      <c r="A42" s="7">
        <v>40.0</v>
      </c>
      <c r="B42" s="8" t="b">
        <v>0</v>
      </c>
      <c r="C42" s="17" t="s">
        <v>189</v>
      </c>
      <c r="D42" s="19"/>
      <c r="E42" s="17">
        <v>7.504464203E9</v>
      </c>
      <c r="F42" s="11"/>
      <c r="G42" s="14"/>
      <c r="H42" s="14"/>
    </row>
    <row r="43" ht="26.25" customHeight="1">
      <c r="A43" s="7">
        <v>41.0</v>
      </c>
      <c r="B43" s="8" t="b">
        <v>0</v>
      </c>
      <c r="C43" s="17" t="s">
        <v>190</v>
      </c>
      <c r="D43" s="19"/>
      <c r="E43" s="17">
        <v>7.504040446E9</v>
      </c>
      <c r="F43" s="13"/>
      <c r="G43" s="14"/>
      <c r="H43" s="14"/>
    </row>
    <row r="44" ht="26.25" customHeight="1">
      <c r="A44" s="7">
        <v>42.0</v>
      </c>
      <c r="B44" s="8" t="b">
        <v>0</v>
      </c>
      <c r="C44" s="17" t="s">
        <v>191</v>
      </c>
      <c r="D44" s="19"/>
      <c r="E44" s="17">
        <v>7.504450203E9</v>
      </c>
      <c r="F44" s="13"/>
      <c r="G44" s="14"/>
      <c r="H44" s="14"/>
    </row>
    <row r="45" ht="26.25" customHeight="1">
      <c r="A45" s="7">
        <v>43.0</v>
      </c>
      <c r="B45" s="8" t="b">
        <v>0</v>
      </c>
      <c r="C45" s="17" t="s">
        <v>192</v>
      </c>
      <c r="D45" s="19"/>
      <c r="E45" s="17">
        <v>7.711546217E9</v>
      </c>
      <c r="F45" s="11"/>
      <c r="G45" s="14"/>
      <c r="H45" s="14"/>
    </row>
    <row r="46" ht="26.25" customHeight="1">
      <c r="A46" s="7">
        <v>44.0</v>
      </c>
      <c r="B46" s="8" t="b">
        <v>0</v>
      </c>
      <c r="C46" s="17" t="s">
        <v>193</v>
      </c>
      <c r="D46" s="19"/>
      <c r="E46" s="17">
        <v>7.512498161E9</v>
      </c>
      <c r="F46" s="13"/>
      <c r="G46" s="14"/>
      <c r="H46" s="14"/>
    </row>
    <row r="47" ht="26.25" customHeight="1">
      <c r="A47" s="7">
        <v>45.0</v>
      </c>
      <c r="B47" s="8" t="b">
        <v>0</v>
      </c>
      <c r="C47" s="17" t="s">
        <v>194</v>
      </c>
      <c r="D47" s="19"/>
      <c r="E47" s="17">
        <v>7.504460414E9</v>
      </c>
      <c r="F47" s="14"/>
      <c r="G47" s="14"/>
      <c r="H47" s="14"/>
    </row>
    <row r="48" ht="26.25" customHeight="1">
      <c r="A48" s="7">
        <v>46.0</v>
      </c>
      <c r="B48" s="8" t="b">
        <v>0</v>
      </c>
      <c r="C48" s="17" t="s">
        <v>195</v>
      </c>
      <c r="D48" s="19"/>
      <c r="E48" s="17">
        <v>7.512853444E9</v>
      </c>
      <c r="F48" s="14"/>
      <c r="G48" s="14"/>
      <c r="H48" s="14"/>
    </row>
    <row r="49" ht="22.5" hidden="1" customHeight="1">
      <c r="A49" s="7">
        <v>47.0</v>
      </c>
      <c r="B49" s="8" t="b">
        <v>0</v>
      </c>
      <c r="C49" s="17" t="s">
        <v>196</v>
      </c>
      <c r="D49" s="19"/>
      <c r="E49" s="19"/>
      <c r="F49" s="14"/>
      <c r="G49" s="14"/>
      <c r="H49" s="14"/>
    </row>
    <row r="50" ht="22.5" customHeight="1">
      <c r="A50" s="7">
        <v>48.0</v>
      </c>
      <c r="B50" s="8" t="b">
        <v>0</v>
      </c>
      <c r="C50" s="17" t="s">
        <v>197</v>
      </c>
      <c r="D50" s="19"/>
      <c r="E50" s="17">
        <v>7.701487272E9</v>
      </c>
      <c r="F50" s="14"/>
      <c r="G50" s="14"/>
      <c r="H50" s="14"/>
    </row>
    <row r="51" ht="22.5" customHeight="1">
      <c r="A51" s="7">
        <v>49.0</v>
      </c>
      <c r="B51" s="8" t="b">
        <v>0</v>
      </c>
      <c r="C51" s="17" t="s">
        <v>198</v>
      </c>
      <c r="D51" s="19"/>
      <c r="E51" s="17">
        <v>7.504255465E9</v>
      </c>
      <c r="F51" s="14"/>
      <c r="G51" s="14"/>
      <c r="H51" s="14"/>
    </row>
    <row r="52" ht="22.5" customHeight="1">
      <c r="A52" s="7">
        <v>50.0</v>
      </c>
      <c r="B52" s="8" t="b">
        <v>0</v>
      </c>
      <c r="C52" s="17" t="s">
        <v>199</v>
      </c>
      <c r="D52" s="19"/>
      <c r="E52" s="17">
        <v>7.5022525E9</v>
      </c>
      <c r="F52" s="14"/>
      <c r="G52" s="14"/>
      <c r="H52" s="14"/>
    </row>
    <row r="53" ht="22.5" customHeight="1">
      <c r="A53" s="7">
        <v>51.0</v>
      </c>
      <c r="B53" s="8" t="b">
        <v>0</v>
      </c>
      <c r="C53" s="17" t="s">
        <v>200</v>
      </c>
      <c r="D53" s="19"/>
      <c r="E53" s="19"/>
      <c r="F53" s="14"/>
      <c r="G53" s="14"/>
      <c r="H53" s="14"/>
    </row>
    <row r="54" ht="22.5" customHeight="1">
      <c r="A54" s="7">
        <v>52.0</v>
      </c>
      <c r="B54" s="8" t="b">
        <v>0</v>
      </c>
      <c r="C54" s="17" t="s">
        <v>201</v>
      </c>
      <c r="D54" s="19"/>
      <c r="E54" s="17">
        <v>7.709767829E9</v>
      </c>
      <c r="F54" s="14"/>
      <c r="G54" s="14"/>
      <c r="H54" s="14"/>
    </row>
    <row r="55" ht="22.5" customHeight="1">
      <c r="A55" s="7">
        <v>53.0</v>
      </c>
      <c r="B55" s="8" t="b">
        <v>0</v>
      </c>
      <c r="C55" s="17" t="s">
        <v>202</v>
      </c>
      <c r="D55" s="19"/>
      <c r="E55" s="17">
        <v>7.50300717E9</v>
      </c>
      <c r="F55" s="14"/>
      <c r="G55" s="14"/>
      <c r="H55" s="14"/>
    </row>
    <row r="56" ht="22.5" customHeight="1">
      <c r="A56" s="7">
        <v>54.0</v>
      </c>
      <c r="B56" s="8" t="b">
        <v>0</v>
      </c>
      <c r="C56" s="17" t="s">
        <v>203</v>
      </c>
      <c r="D56" s="19"/>
      <c r="E56" s="17">
        <v>7.50890321E9</v>
      </c>
      <c r="F56" s="14"/>
      <c r="G56" s="14"/>
      <c r="H56" s="14"/>
    </row>
    <row r="57" ht="22.5" customHeight="1">
      <c r="A57" s="7">
        <v>55.0</v>
      </c>
      <c r="B57" s="8" t="b">
        <v>0</v>
      </c>
      <c r="C57" s="17" t="s">
        <v>204</v>
      </c>
      <c r="D57" s="19"/>
      <c r="E57" s="19"/>
      <c r="F57" s="14"/>
      <c r="G57" s="14"/>
      <c r="H57" s="14"/>
    </row>
    <row r="58" ht="22.5" customHeight="1">
      <c r="A58" s="7">
        <v>56.0</v>
      </c>
      <c r="B58" s="8" t="b">
        <v>0</v>
      </c>
      <c r="C58" s="17" t="s">
        <v>205</v>
      </c>
      <c r="D58" s="19"/>
      <c r="E58" s="17">
        <v>7.504468482E9</v>
      </c>
      <c r="F58" s="14"/>
      <c r="G58" s="14"/>
      <c r="H58" s="14"/>
    </row>
    <row r="59" ht="22.5" customHeight="1">
      <c r="A59" s="7">
        <v>57.0</v>
      </c>
      <c r="B59" s="8" t="b">
        <v>0</v>
      </c>
      <c r="C59" s="17" t="s">
        <v>206</v>
      </c>
      <c r="D59" s="19"/>
      <c r="E59" s="19"/>
      <c r="F59" s="14"/>
      <c r="G59" s="14"/>
      <c r="H59" s="14"/>
    </row>
    <row r="60" ht="22.5" customHeight="1">
      <c r="A60" s="7">
        <v>58.0</v>
      </c>
      <c r="B60" s="8" t="b">
        <v>0</v>
      </c>
      <c r="C60" s="17" t="s">
        <v>207</v>
      </c>
      <c r="D60" s="19"/>
      <c r="E60" s="19"/>
      <c r="F60" s="14"/>
      <c r="G60" s="14"/>
      <c r="H60" s="14"/>
    </row>
    <row r="61" ht="22.5" customHeight="1">
      <c r="A61" s="7">
        <v>59.0</v>
      </c>
      <c r="B61" s="8" t="b">
        <v>0</v>
      </c>
      <c r="C61" s="17" t="s">
        <v>208</v>
      </c>
      <c r="D61" s="19"/>
      <c r="E61" s="17">
        <v>7.501339005E9</v>
      </c>
      <c r="F61" s="14"/>
      <c r="G61" s="14"/>
      <c r="H61" s="14"/>
    </row>
    <row r="62" ht="22.5" customHeight="1">
      <c r="A62" s="7">
        <v>60.0</v>
      </c>
      <c r="B62" s="8" t="b">
        <v>0</v>
      </c>
      <c r="C62" s="17" t="s">
        <v>209</v>
      </c>
      <c r="D62" s="19"/>
      <c r="E62" s="19"/>
      <c r="F62" s="14"/>
      <c r="G62" s="14"/>
      <c r="H62" s="14"/>
    </row>
    <row r="63" ht="22.5" customHeight="1">
      <c r="A63" s="7">
        <v>61.0</v>
      </c>
      <c r="B63" s="8" t="b">
        <v>0</v>
      </c>
      <c r="C63" s="17" t="s">
        <v>210</v>
      </c>
      <c r="D63" s="19"/>
      <c r="E63" s="17">
        <v>7.504119944E9</v>
      </c>
      <c r="F63" s="14"/>
      <c r="G63" s="14"/>
      <c r="H63" s="14"/>
    </row>
    <row r="64" ht="22.5" customHeight="1">
      <c r="A64" s="7">
        <v>62.0</v>
      </c>
      <c r="B64" s="8" t="b">
        <v>0</v>
      </c>
      <c r="C64" s="17" t="s">
        <v>211</v>
      </c>
      <c r="D64" s="19"/>
      <c r="E64" s="19"/>
      <c r="F64" s="14"/>
      <c r="G64" s="14"/>
      <c r="H64" s="14"/>
    </row>
    <row r="65" ht="22.5" customHeight="1">
      <c r="A65" s="7">
        <v>63.0</v>
      </c>
      <c r="B65" s="8" t="b">
        <v>0</v>
      </c>
      <c r="C65" s="17" t="s">
        <v>212</v>
      </c>
      <c r="D65" s="19"/>
      <c r="E65" s="17">
        <v>7.829963315E9</v>
      </c>
      <c r="F65" s="14"/>
      <c r="G65" s="14"/>
      <c r="H65" s="14"/>
    </row>
    <row r="66" ht="22.5" customHeight="1">
      <c r="A66" s="7">
        <v>64.0</v>
      </c>
      <c r="B66" s="8" t="b">
        <v>0</v>
      </c>
      <c r="C66" s="17" t="s">
        <v>213</v>
      </c>
      <c r="D66" s="19"/>
      <c r="E66" s="17">
        <v>7.723335208E9</v>
      </c>
      <c r="F66" s="14"/>
      <c r="G66" s="14"/>
      <c r="H66" s="14"/>
    </row>
    <row r="67" ht="22.5" customHeight="1">
      <c r="A67" s="7">
        <v>65.0</v>
      </c>
      <c r="B67" s="8" t="b">
        <v>0</v>
      </c>
      <c r="C67" s="17" t="s">
        <v>214</v>
      </c>
      <c r="D67" s="19"/>
      <c r="E67" s="17">
        <v>7.5047588E9</v>
      </c>
      <c r="F67" s="14"/>
      <c r="G67" s="14"/>
      <c r="H67" s="14"/>
    </row>
    <row r="68" ht="22.5" customHeight="1">
      <c r="A68" s="7">
        <v>66.0</v>
      </c>
      <c r="B68" s="8" t="b">
        <v>0</v>
      </c>
      <c r="C68" s="17" t="s">
        <v>215</v>
      </c>
      <c r="D68" s="19"/>
      <c r="E68" s="17">
        <v>7.501914258E9</v>
      </c>
      <c r="F68" s="14"/>
      <c r="G68" s="14"/>
      <c r="H68" s="14"/>
    </row>
    <row r="69" ht="22.5" customHeight="1">
      <c r="A69" s="7">
        <v>67.0</v>
      </c>
      <c r="B69" s="8" t="b">
        <v>0</v>
      </c>
      <c r="C69" s="17" t="s">
        <v>216</v>
      </c>
      <c r="D69" s="19"/>
      <c r="E69" s="19"/>
      <c r="F69" s="14"/>
      <c r="G69" s="14"/>
      <c r="H69" s="14"/>
    </row>
    <row r="70" ht="22.5" customHeight="1">
      <c r="A70" s="7">
        <v>68.0</v>
      </c>
      <c r="B70" s="8" t="b">
        <v>0</v>
      </c>
      <c r="C70" s="17" t="s">
        <v>217</v>
      </c>
      <c r="D70" s="19"/>
      <c r="E70" s="17">
        <v>7.514495844E9</v>
      </c>
      <c r="F70" s="14"/>
      <c r="G70" s="14"/>
      <c r="H70" s="14"/>
    </row>
    <row r="71" ht="22.5" customHeight="1">
      <c r="A71" s="7">
        <v>69.0</v>
      </c>
      <c r="B71" s="8" t="b">
        <v>0</v>
      </c>
      <c r="C71" s="17" t="s">
        <v>218</v>
      </c>
      <c r="D71" s="19"/>
      <c r="E71" s="19"/>
      <c r="F71" s="14"/>
      <c r="G71" s="14"/>
      <c r="H71" s="14"/>
    </row>
    <row r="72" ht="22.5" customHeight="1">
      <c r="A72" s="7">
        <v>70.0</v>
      </c>
      <c r="B72" s="8" t="b">
        <v>0</v>
      </c>
      <c r="C72" s="17" t="s">
        <v>219</v>
      </c>
      <c r="D72" s="19"/>
      <c r="E72" s="17">
        <v>7.704066517E9</v>
      </c>
      <c r="F72" s="14"/>
      <c r="G72" s="14"/>
      <c r="H72" s="14"/>
    </row>
    <row r="73" ht="22.5" customHeight="1">
      <c r="A73" s="7">
        <v>71.0</v>
      </c>
      <c r="B73" s="8" t="b">
        <v>0</v>
      </c>
      <c r="C73" s="17" t="s">
        <v>220</v>
      </c>
      <c r="D73" s="19"/>
      <c r="E73" s="17">
        <v>7.504489353E9</v>
      </c>
      <c r="F73" s="14"/>
      <c r="G73" s="14"/>
      <c r="H73" s="14"/>
    </row>
    <row r="74" ht="22.5" customHeight="1">
      <c r="A74" s="7">
        <v>72.0</v>
      </c>
      <c r="B74" s="8" t="b">
        <v>0</v>
      </c>
      <c r="C74" s="17" t="s">
        <v>221</v>
      </c>
      <c r="D74" s="19"/>
      <c r="E74" s="17">
        <v>7.504459055E9</v>
      </c>
      <c r="F74" s="14"/>
      <c r="G74" s="14"/>
      <c r="H74" s="14"/>
    </row>
    <row r="75" ht="22.5" customHeight="1">
      <c r="A75" s="7">
        <v>73.0</v>
      </c>
      <c r="B75" s="8" t="b">
        <v>0</v>
      </c>
      <c r="C75" s="17" t="s">
        <v>222</v>
      </c>
      <c r="D75" s="19"/>
      <c r="E75" s="17">
        <v>7.504506828E9</v>
      </c>
      <c r="F75" s="14"/>
      <c r="G75" s="14"/>
      <c r="H75" s="14"/>
    </row>
    <row r="76" ht="22.5" customHeight="1">
      <c r="A76" s="7">
        <v>74.0</v>
      </c>
      <c r="B76" s="8" t="b">
        <v>0</v>
      </c>
      <c r="C76" s="17" t="s">
        <v>223</v>
      </c>
      <c r="D76" s="19"/>
      <c r="E76" s="17">
        <v>7.50919E9</v>
      </c>
      <c r="F76" s="14"/>
      <c r="G76" s="14"/>
      <c r="H76" s="14"/>
    </row>
    <row r="77" ht="22.5" customHeight="1">
      <c r="A77" s="7">
        <v>75.0</v>
      </c>
      <c r="B77" s="8" t="b">
        <v>0</v>
      </c>
      <c r="C77" s="17" t="s">
        <v>224</v>
      </c>
      <c r="D77" s="19"/>
      <c r="E77" s="17">
        <v>7.504544392E9</v>
      </c>
      <c r="F77" s="14"/>
      <c r="G77" s="14"/>
      <c r="H77" s="14"/>
    </row>
    <row r="78" ht="22.5" customHeight="1">
      <c r="A78" s="7">
        <v>76.0</v>
      </c>
      <c r="B78" s="8" t="b">
        <v>0</v>
      </c>
      <c r="C78" s="17" t="s">
        <v>225</v>
      </c>
      <c r="D78" s="19"/>
      <c r="E78" s="17">
        <v>7.50819644E9</v>
      </c>
      <c r="F78" s="14"/>
      <c r="G78" s="14"/>
      <c r="H78" s="14"/>
    </row>
    <row r="79" ht="22.5" customHeight="1">
      <c r="A79" s="7">
        <v>77.0</v>
      </c>
      <c r="B79" s="8" t="b">
        <v>0</v>
      </c>
      <c r="C79" s="17" t="s">
        <v>226</v>
      </c>
      <c r="D79" s="19"/>
      <c r="E79" s="19"/>
      <c r="F79" s="14"/>
      <c r="G79" s="14"/>
      <c r="H79" s="14"/>
    </row>
    <row r="80" ht="22.5" customHeight="1">
      <c r="A80" s="7">
        <v>78.0</v>
      </c>
      <c r="B80" s="8" t="b">
        <v>0</v>
      </c>
      <c r="C80" s="17" t="s">
        <v>227</v>
      </c>
      <c r="D80" s="19"/>
      <c r="E80" s="17">
        <v>7.502019481E9</v>
      </c>
      <c r="F80" s="14"/>
      <c r="G80" s="14"/>
      <c r="H80" s="14"/>
    </row>
    <row r="81" ht="22.5" customHeight="1">
      <c r="A81" s="7">
        <v>79.0</v>
      </c>
      <c r="B81" s="8" t="b">
        <v>0</v>
      </c>
      <c r="C81" s="17" t="s">
        <v>228</v>
      </c>
      <c r="D81" s="19"/>
      <c r="E81" s="17">
        <v>7.504470023E9</v>
      </c>
      <c r="F81" s="14"/>
      <c r="G81" s="14"/>
      <c r="H81" s="14"/>
    </row>
    <row r="82" ht="22.5" customHeight="1">
      <c r="A82" s="7">
        <v>80.0</v>
      </c>
      <c r="B82" s="8" t="b">
        <v>0</v>
      </c>
      <c r="C82" s="17" t="s">
        <v>229</v>
      </c>
      <c r="D82" s="19"/>
      <c r="E82" s="17">
        <v>7.504470023E9</v>
      </c>
      <c r="F82" s="14"/>
      <c r="G82" s="14"/>
      <c r="H82" s="14"/>
    </row>
    <row r="83" ht="22.5" customHeight="1">
      <c r="A83" s="7">
        <v>81.0</v>
      </c>
      <c r="B83" s="8" t="b">
        <v>0</v>
      </c>
      <c r="C83" s="17" t="s">
        <v>230</v>
      </c>
      <c r="D83" s="19"/>
      <c r="E83" s="19"/>
      <c r="F83" s="14"/>
      <c r="G83" s="14"/>
      <c r="H83" s="14"/>
    </row>
    <row r="84" ht="22.5" customHeight="1">
      <c r="A84" s="7">
        <v>82.0</v>
      </c>
      <c r="B84" s="8" t="b">
        <v>0</v>
      </c>
      <c r="C84" s="17" t="s">
        <v>231</v>
      </c>
      <c r="D84" s="19"/>
      <c r="E84" s="17">
        <v>7.507233223E9</v>
      </c>
      <c r="F84" s="14"/>
      <c r="G84" s="14"/>
      <c r="H84" s="14"/>
    </row>
    <row r="85" ht="22.5" customHeight="1">
      <c r="A85" s="7">
        <v>83.0</v>
      </c>
      <c r="B85" s="8" t="b">
        <v>0</v>
      </c>
      <c r="C85" s="17" t="s">
        <v>232</v>
      </c>
      <c r="D85" s="19"/>
      <c r="E85" s="19"/>
      <c r="F85" s="14"/>
      <c r="G85" s="14"/>
      <c r="H85" s="14"/>
    </row>
    <row r="86" ht="22.5" customHeight="1">
      <c r="A86" s="7">
        <v>84.0</v>
      </c>
      <c r="B86" s="8" t="b">
        <v>0</v>
      </c>
      <c r="C86" s="17" t="s">
        <v>233</v>
      </c>
      <c r="D86" s="19"/>
      <c r="E86" s="17">
        <v>7.50434745E9</v>
      </c>
      <c r="F86" s="14"/>
      <c r="G86" s="14"/>
      <c r="H86" s="14"/>
    </row>
    <row r="87" ht="22.5" customHeight="1">
      <c r="A87" s="7">
        <v>85.0</v>
      </c>
      <c r="B87" s="8" t="b">
        <v>0</v>
      </c>
      <c r="C87" s="17" t="s">
        <v>234</v>
      </c>
      <c r="D87" s="19"/>
      <c r="E87" s="17">
        <v>7.701929002E9</v>
      </c>
      <c r="F87" s="14"/>
      <c r="G87" s="14"/>
      <c r="H87" s="14"/>
    </row>
    <row r="88" ht="22.5" customHeight="1">
      <c r="A88" s="7">
        <v>86.0</v>
      </c>
      <c r="B88" s="8" t="b">
        <v>0</v>
      </c>
      <c r="C88" s="17" t="s">
        <v>235</v>
      </c>
      <c r="D88" s="19"/>
      <c r="E88" s="17">
        <v>7.504559671E9</v>
      </c>
      <c r="F88" s="14"/>
      <c r="G88" s="14"/>
      <c r="H88" s="14"/>
    </row>
    <row r="89" ht="22.5" customHeight="1">
      <c r="A89" s="7">
        <v>87.0</v>
      </c>
      <c r="B89" s="8" t="b">
        <v>0</v>
      </c>
      <c r="C89" s="17" t="s">
        <v>236</v>
      </c>
      <c r="D89" s="19"/>
      <c r="E89" s="17">
        <v>7.50190393E9</v>
      </c>
      <c r="F89" s="14"/>
      <c r="G89" s="14"/>
      <c r="H89" s="14"/>
    </row>
    <row r="90" ht="22.5" customHeight="1">
      <c r="A90" s="7">
        <v>88.0</v>
      </c>
      <c r="B90" s="8" t="b">
        <v>0</v>
      </c>
      <c r="C90" s="17" t="s">
        <v>237</v>
      </c>
      <c r="D90" s="19"/>
      <c r="E90" s="19"/>
      <c r="F90" s="14"/>
      <c r="G90" s="14"/>
      <c r="H90" s="14"/>
    </row>
    <row r="91" ht="22.5" customHeight="1">
      <c r="A91" s="7">
        <v>89.0</v>
      </c>
      <c r="B91" s="8" t="b">
        <v>0</v>
      </c>
      <c r="C91" s="17" t="s">
        <v>238</v>
      </c>
      <c r="D91" s="19"/>
      <c r="E91" s="17">
        <v>7.50177442E9</v>
      </c>
      <c r="F91" s="14"/>
      <c r="G91" s="14"/>
      <c r="H91" s="14"/>
    </row>
    <row r="92" ht="22.5" customHeight="1">
      <c r="A92" s="7">
        <v>90.0</v>
      </c>
      <c r="B92" s="8" t="b">
        <v>0</v>
      </c>
      <c r="C92" s="17" t="s">
        <v>239</v>
      </c>
      <c r="D92" s="19"/>
      <c r="E92" s="17">
        <v>7.504294605E9</v>
      </c>
      <c r="F92" s="14"/>
      <c r="G92" s="14"/>
      <c r="H92" s="14"/>
    </row>
    <row r="93" ht="22.5" customHeight="1">
      <c r="A93" s="7">
        <v>91.0</v>
      </c>
      <c r="B93" s="8" t="b">
        <v>0</v>
      </c>
      <c r="C93" s="17" t="s">
        <v>240</v>
      </c>
      <c r="D93" s="19"/>
      <c r="E93" s="19"/>
      <c r="F93" s="14"/>
      <c r="G93" s="14"/>
      <c r="H93" s="14"/>
    </row>
    <row r="94" ht="22.5" customHeight="1">
      <c r="A94" s="7">
        <v>92.0</v>
      </c>
      <c r="B94" s="8" t="b">
        <v>0</v>
      </c>
      <c r="C94" s="17" t="s">
        <v>241</v>
      </c>
      <c r="D94" s="19"/>
      <c r="E94" s="17">
        <v>7.504938939E9</v>
      </c>
      <c r="F94" s="14"/>
      <c r="G94" s="14"/>
      <c r="H94" s="14"/>
    </row>
    <row r="95" ht="22.5" customHeight="1">
      <c r="A95" s="7">
        <v>93.0</v>
      </c>
      <c r="B95" s="8" t="b">
        <v>0</v>
      </c>
      <c r="C95" s="17" t="s">
        <v>242</v>
      </c>
      <c r="D95" s="19"/>
      <c r="E95" s="19"/>
      <c r="F95" s="14"/>
      <c r="G95" s="14"/>
      <c r="H95" s="14"/>
    </row>
    <row r="96" ht="22.5" customHeight="1">
      <c r="A96" s="7">
        <v>94.0</v>
      </c>
      <c r="B96" s="8" t="b">
        <v>0</v>
      </c>
      <c r="C96" s="17" t="s">
        <v>243</v>
      </c>
      <c r="D96" s="19"/>
      <c r="E96" s="17">
        <v>7.50610202E9</v>
      </c>
      <c r="F96" s="14"/>
      <c r="G96" s="14"/>
      <c r="H96" s="14"/>
    </row>
    <row r="97" ht="22.5" customHeight="1">
      <c r="A97" s="7">
        <v>95.0</v>
      </c>
      <c r="B97" s="8" t="b">
        <v>0</v>
      </c>
      <c r="C97" s="17" t="s">
        <v>244</v>
      </c>
      <c r="D97" s="19"/>
      <c r="E97" s="17">
        <v>7.504164845E9</v>
      </c>
      <c r="F97" s="14"/>
      <c r="G97" s="14"/>
      <c r="H97" s="14"/>
    </row>
    <row r="98" ht="22.5" customHeight="1">
      <c r="A98" s="7">
        <v>96.0</v>
      </c>
      <c r="B98" s="8" t="b">
        <v>0</v>
      </c>
      <c r="C98" s="17" t="s">
        <v>245</v>
      </c>
      <c r="D98" s="19"/>
      <c r="E98" s="19"/>
      <c r="F98" s="14"/>
      <c r="G98" s="14"/>
      <c r="H98" s="14"/>
    </row>
    <row r="99" ht="22.5" customHeight="1">
      <c r="A99" s="7">
        <v>97.0</v>
      </c>
      <c r="B99" s="8" t="b">
        <v>0</v>
      </c>
      <c r="C99" s="17" t="s">
        <v>246</v>
      </c>
      <c r="D99" s="19"/>
      <c r="E99" s="19"/>
      <c r="F99" s="14"/>
      <c r="G99" s="14"/>
      <c r="H99" s="14"/>
    </row>
    <row r="100" ht="22.5" customHeight="1">
      <c r="A100" s="7">
        <v>98.0</v>
      </c>
      <c r="B100" s="8" t="b">
        <v>0</v>
      </c>
      <c r="C100" s="17" t="s">
        <v>247</v>
      </c>
      <c r="D100" s="19"/>
      <c r="E100" s="19"/>
      <c r="F100" s="14"/>
      <c r="G100" s="14"/>
      <c r="H100" s="14"/>
    </row>
    <row r="101" ht="22.5" customHeight="1">
      <c r="A101" s="7">
        <v>99.0</v>
      </c>
      <c r="B101" s="8" t="b">
        <v>0</v>
      </c>
      <c r="C101" s="17" t="s">
        <v>248</v>
      </c>
      <c r="D101" s="19"/>
      <c r="E101" s="17">
        <v>7.501653446E9</v>
      </c>
      <c r="F101" s="14"/>
      <c r="G101" s="14"/>
      <c r="H101" s="14"/>
    </row>
    <row r="102" ht="22.5" customHeight="1">
      <c r="A102" s="7">
        <v>100.0</v>
      </c>
      <c r="B102" s="8" t="b">
        <v>0</v>
      </c>
      <c r="C102" s="17" t="s">
        <v>249</v>
      </c>
      <c r="D102" s="19"/>
      <c r="E102" s="19"/>
      <c r="F102" s="14"/>
      <c r="G102" s="14"/>
      <c r="H102" s="14"/>
    </row>
    <row r="103" ht="22.5" customHeight="1">
      <c r="A103" s="7">
        <v>101.0</v>
      </c>
      <c r="B103" s="8" t="b">
        <v>0</v>
      </c>
      <c r="C103" s="17"/>
      <c r="D103" s="19"/>
      <c r="E103" s="19"/>
      <c r="F103" s="14"/>
      <c r="G103" s="14"/>
      <c r="H103" s="14"/>
    </row>
    <row r="104" ht="22.5" customHeight="1">
      <c r="A104" s="7">
        <v>102.0</v>
      </c>
      <c r="B104" s="8" t="b">
        <v>0</v>
      </c>
      <c r="C104" s="17"/>
      <c r="D104" s="20"/>
      <c r="E104" s="21"/>
      <c r="F104" s="14"/>
      <c r="G104" s="14"/>
      <c r="H104" s="14"/>
    </row>
    <row r="105" ht="22.5" customHeight="1">
      <c r="A105" s="7">
        <v>103.0</v>
      </c>
      <c r="B105" s="8" t="b">
        <v>0</v>
      </c>
      <c r="C105" s="17"/>
      <c r="D105" s="20"/>
      <c r="E105" s="21"/>
      <c r="F105" s="14"/>
      <c r="G105" s="14"/>
      <c r="H105" s="14"/>
    </row>
    <row r="106" ht="22.5" customHeight="1">
      <c r="A106" s="7">
        <v>104.0</v>
      </c>
      <c r="B106" s="8" t="b">
        <v>0</v>
      </c>
      <c r="C106" s="17"/>
      <c r="D106" s="20"/>
      <c r="E106" s="21"/>
      <c r="F106" s="14"/>
      <c r="G106" s="14"/>
      <c r="H106" s="14"/>
    </row>
    <row r="107" ht="22.5" customHeight="1">
      <c r="A107" s="7">
        <v>105.0</v>
      </c>
      <c r="B107" s="8" t="b">
        <v>0</v>
      </c>
      <c r="C107" s="17"/>
      <c r="D107" s="20"/>
      <c r="E107" s="20"/>
      <c r="F107" s="14"/>
      <c r="G107" s="14"/>
      <c r="H107" s="14"/>
    </row>
    <row r="108" ht="22.5" customHeight="1">
      <c r="A108" s="7">
        <v>106.0</v>
      </c>
      <c r="B108" s="8" t="b">
        <v>0</v>
      </c>
      <c r="C108" s="17"/>
      <c r="D108" s="20"/>
      <c r="E108" s="21"/>
      <c r="F108" s="14"/>
      <c r="G108" s="14"/>
      <c r="H108" s="14"/>
    </row>
    <row r="109" ht="22.5" customHeight="1">
      <c r="A109" s="7">
        <v>107.0</v>
      </c>
      <c r="B109" s="8" t="b">
        <v>0</v>
      </c>
      <c r="C109" s="17"/>
      <c r="D109" s="20"/>
      <c r="E109" s="21"/>
      <c r="F109" s="14"/>
      <c r="G109" s="14"/>
      <c r="H109" s="14"/>
    </row>
    <row r="110" ht="22.5" customHeight="1">
      <c r="A110" s="7">
        <v>108.0</v>
      </c>
      <c r="B110" s="8" t="b">
        <v>0</v>
      </c>
      <c r="C110" s="17"/>
      <c r="D110" s="20"/>
      <c r="E110" s="21"/>
      <c r="F110" s="14"/>
      <c r="G110" s="14"/>
      <c r="H110" s="14"/>
    </row>
    <row r="111" ht="22.5" customHeight="1">
      <c r="A111" s="7">
        <v>109.0</v>
      </c>
      <c r="B111" s="8" t="b">
        <v>0</v>
      </c>
      <c r="C111" s="17"/>
      <c r="D111" s="20"/>
      <c r="E111" s="20"/>
      <c r="F111" s="14"/>
      <c r="G111" s="14"/>
      <c r="H111" s="14"/>
    </row>
    <row r="112" ht="22.5" customHeight="1">
      <c r="A112" s="7">
        <v>110.0</v>
      </c>
      <c r="B112" s="8" t="b">
        <v>0</v>
      </c>
      <c r="C112" s="17"/>
      <c r="D112" s="20"/>
      <c r="E112" s="21"/>
      <c r="F112" s="14"/>
      <c r="G112" s="14"/>
      <c r="H112" s="14"/>
    </row>
    <row r="113" ht="22.5" customHeight="1">
      <c r="A113" s="7">
        <v>111.0</v>
      </c>
      <c r="B113" s="8" t="b">
        <v>0</v>
      </c>
      <c r="C113" s="17"/>
      <c r="D113" s="20"/>
      <c r="E113" s="20"/>
      <c r="F113" s="14"/>
      <c r="G113" s="14"/>
      <c r="H113" s="14"/>
    </row>
    <row r="114" ht="22.5" customHeight="1">
      <c r="A114" s="7">
        <v>112.0</v>
      </c>
      <c r="B114" s="8" t="b">
        <v>0</v>
      </c>
      <c r="C114" s="17"/>
      <c r="D114" s="20"/>
      <c r="E114" s="20"/>
      <c r="F114" s="14"/>
      <c r="G114" s="14"/>
      <c r="H114" s="14"/>
    </row>
    <row r="115" ht="22.5" customHeight="1">
      <c r="A115" s="7">
        <v>113.0</v>
      </c>
      <c r="B115" s="8" t="b">
        <v>0</v>
      </c>
      <c r="C115" s="17"/>
      <c r="D115" s="20"/>
      <c r="E115" s="21"/>
      <c r="F115" s="14"/>
      <c r="G115" s="14"/>
      <c r="H115" s="14"/>
    </row>
    <row r="116" ht="22.5" customHeight="1">
      <c r="A116" s="7">
        <v>114.0</v>
      </c>
      <c r="B116" s="8" t="b">
        <v>0</v>
      </c>
      <c r="C116" s="17"/>
      <c r="D116" s="20"/>
      <c r="E116" s="20"/>
      <c r="F116" s="14"/>
      <c r="G116" s="14"/>
      <c r="H116" s="14"/>
    </row>
    <row r="117" ht="22.5" customHeight="1">
      <c r="A117" s="7">
        <v>115.0</v>
      </c>
      <c r="B117" s="8" t="b">
        <v>0</v>
      </c>
      <c r="C117" s="17"/>
      <c r="D117" s="20"/>
      <c r="E117" s="21"/>
      <c r="F117" s="14"/>
      <c r="G117" s="14"/>
      <c r="H117" s="14"/>
    </row>
    <row r="118" ht="22.5" customHeight="1">
      <c r="A118" s="7">
        <v>116.0</v>
      </c>
      <c r="B118" s="8" t="b">
        <v>0</v>
      </c>
      <c r="C118" s="17"/>
      <c r="D118" s="20"/>
      <c r="E118" s="20"/>
      <c r="F118" s="14"/>
      <c r="G118" s="14"/>
      <c r="H118" s="14"/>
    </row>
    <row r="119" ht="22.5" customHeight="1">
      <c r="A119" s="7">
        <v>117.0</v>
      </c>
      <c r="B119" s="8" t="b">
        <v>0</v>
      </c>
      <c r="C119" s="17"/>
      <c r="D119" s="20"/>
      <c r="E119" s="21"/>
      <c r="F119" s="14"/>
      <c r="G119" s="14"/>
      <c r="H119" s="14"/>
    </row>
    <row r="120" ht="22.5" customHeight="1">
      <c r="A120" s="7">
        <v>118.0</v>
      </c>
      <c r="B120" s="8" t="b">
        <v>0</v>
      </c>
      <c r="C120" s="17"/>
      <c r="D120" s="20"/>
      <c r="E120" s="21"/>
      <c r="F120" s="14"/>
      <c r="G120" s="14"/>
      <c r="H120" s="14"/>
    </row>
    <row r="121" ht="22.5" customHeight="1">
      <c r="A121" s="7">
        <v>119.0</v>
      </c>
      <c r="B121" s="8" t="b">
        <v>0</v>
      </c>
      <c r="C121" s="17"/>
      <c r="D121" s="20"/>
      <c r="E121" s="21"/>
      <c r="F121" s="14"/>
      <c r="G121" s="14"/>
      <c r="H121" s="14"/>
    </row>
    <row r="122" ht="22.5" customHeight="1">
      <c r="A122" s="7">
        <v>120.0</v>
      </c>
      <c r="B122" s="8" t="b">
        <v>0</v>
      </c>
      <c r="C122" s="17"/>
      <c r="D122" s="20"/>
      <c r="E122" s="21"/>
      <c r="F122" s="14"/>
      <c r="G122" s="14"/>
      <c r="H122" s="14"/>
    </row>
    <row r="123" ht="22.5" customHeight="1">
      <c r="A123" s="7">
        <v>121.0</v>
      </c>
      <c r="B123" s="8" t="b">
        <v>0</v>
      </c>
      <c r="C123" s="17"/>
      <c r="D123" s="20"/>
      <c r="E123" s="20"/>
      <c r="F123" s="14"/>
      <c r="G123" s="14"/>
      <c r="H123" s="14"/>
    </row>
    <row r="124" ht="22.5" customHeight="1">
      <c r="A124" s="7">
        <v>122.0</v>
      </c>
      <c r="B124" s="8" t="b">
        <v>0</v>
      </c>
      <c r="C124" s="17"/>
      <c r="D124" s="20"/>
      <c r="E124" s="21"/>
      <c r="F124" s="14"/>
      <c r="G124" s="14"/>
      <c r="H124" s="14"/>
    </row>
    <row r="125" ht="22.5" customHeight="1">
      <c r="A125" s="7">
        <v>123.0</v>
      </c>
      <c r="B125" s="8" t="b">
        <v>0</v>
      </c>
      <c r="C125" s="17"/>
      <c r="D125" s="20"/>
      <c r="E125" s="20"/>
      <c r="F125" s="14"/>
      <c r="G125" s="14"/>
      <c r="H125" s="14"/>
    </row>
    <row r="126" ht="22.5" customHeight="1">
      <c r="A126" s="7">
        <v>124.0</v>
      </c>
      <c r="B126" s="8" t="b">
        <v>0</v>
      </c>
      <c r="C126" s="17"/>
      <c r="D126" s="20"/>
      <c r="E126" s="21"/>
      <c r="F126" s="14"/>
      <c r="G126" s="14"/>
      <c r="H126" s="14"/>
    </row>
    <row r="127" ht="22.5" customHeight="1">
      <c r="A127" s="7">
        <v>125.0</v>
      </c>
      <c r="B127" s="8" t="b">
        <v>0</v>
      </c>
      <c r="C127" s="17"/>
      <c r="D127" s="20"/>
      <c r="E127" s="21"/>
      <c r="F127" s="14"/>
      <c r="G127" s="14"/>
      <c r="H127" s="14"/>
    </row>
    <row r="128" ht="22.5" customHeight="1">
      <c r="A128" s="7">
        <v>126.0</v>
      </c>
      <c r="B128" s="8" t="b">
        <v>0</v>
      </c>
      <c r="C128" s="17"/>
      <c r="D128" s="20"/>
      <c r="E128" s="21"/>
      <c r="F128" s="14"/>
      <c r="G128" s="14"/>
      <c r="H128" s="14"/>
    </row>
    <row r="129" ht="22.5" customHeight="1">
      <c r="A129" s="7">
        <v>127.0</v>
      </c>
      <c r="B129" s="8" t="b">
        <v>0</v>
      </c>
      <c r="C129" s="17"/>
      <c r="D129" s="20"/>
      <c r="E129" s="21"/>
      <c r="F129" s="14"/>
      <c r="G129" s="14"/>
      <c r="H129" s="14"/>
    </row>
    <row r="130" ht="22.5" customHeight="1">
      <c r="A130" s="7">
        <v>128.0</v>
      </c>
      <c r="B130" s="8" t="b">
        <v>0</v>
      </c>
      <c r="C130" s="17"/>
      <c r="D130" s="20"/>
      <c r="E130" s="21"/>
      <c r="F130" s="14"/>
      <c r="G130" s="14"/>
      <c r="H130" s="14"/>
    </row>
    <row r="131" ht="22.5" customHeight="1">
      <c r="A131" s="7">
        <v>129.0</v>
      </c>
      <c r="B131" s="8" t="b">
        <v>0</v>
      </c>
      <c r="C131" s="22"/>
      <c r="D131" s="23"/>
      <c r="E131" s="24"/>
      <c r="F131" s="14"/>
      <c r="G131" s="14"/>
      <c r="H131" s="14"/>
    </row>
    <row r="132" ht="22.5" customHeight="1">
      <c r="A132" s="7">
        <v>130.0</v>
      </c>
      <c r="B132" s="8" t="b">
        <v>0</v>
      </c>
      <c r="C132" s="17"/>
      <c r="D132" s="20"/>
      <c r="E132" s="21"/>
      <c r="F132" s="14"/>
      <c r="G132" s="14"/>
      <c r="H132" s="14"/>
    </row>
    <row r="133" ht="22.5" customHeight="1">
      <c r="A133" s="7">
        <v>131.0</v>
      </c>
      <c r="B133" s="8" t="b">
        <v>0</v>
      </c>
      <c r="C133" s="17"/>
      <c r="D133" s="20"/>
      <c r="E133" s="20"/>
      <c r="F133" s="14"/>
      <c r="G133" s="14"/>
      <c r="H133" s="14"/>
    </row>
    <row r="134" ht="22.5" customHeight="1">
      <c r="A134" s="7">
        <v>132.0</v>
      </c>
      <c r="B134" s="8" t="b">
        <v>0</v>
      </c>
      <c r="C134" s="17"/>
      <c r="D134" s="20"/>
      <c r="E134" s="21"/>
      <c r="F134" s="14"/>
      <c r="G134" s="14"/>
      <c r="H134" s="14"/>
    </row>
    <row r="135" ht="22.5" customHeight="1">
      <c r="A135" s="7">
        <v>133.0</v>
      </c>
      <c r="B135" s="8" t="b">
        <v>0</v>
      </c>
      <c r="C135" s="17"/>
      <c r="D135" s="20"/>
      <c r="E135" s="21"/>
      <c r="F135" s="14"/>
      <c r="G135" s="14"/>
      <c r="H135" s="14"/>
    </row>
    <row r="136" ht="22.5" customHeight="1">
      <c r="A136" s="7">
        <v>134.0</v>
      </c>
      <c r="B136" s="8" t="b">
        <v>0</v>
      </c>
      <c r="C136" s="17"/>
      <c r="D136" s="20"/>
      <c r="E136" s="21"/>
      <c r="F136" s="14"/>
      <c r="G136" s="14"/>
      <c r="H136" s="14"/>
    </row>
    <row r="137" ht="22.5" customHeight="1">
      <c r="A137" s="7">
        <v>135.0</v>
      </c>
      <c r="B137" s="8" t="b">
        <v>0</v>
      </c>
      <c r="C137" s="17"/>
      <c r="D137" s="20"/>
      <c r="E137" s="20"/>
      <c r="F137" s="14"/>
      <c r="G137" s="14"/>
      <c r="H137" s="14"/>
    </row>
    <row r="138" ht="22.5" customHeight="1">
      <c r="A138" s="7">
        <v>136.0</v>
      </c>
      <c r="B138" s="8" t="b">
        <v>0</v>
      </c>
      <c r="C138" s="17"/>
      <c r="D138" s="20"/>
      <c r="E138" s="21"/>
      <c r="F138" s="14"/>
      <c r="G138" s="14"/>
      <c r="H138" s="14"/>
    </row>
    <row r="139" ht="22.5" customHeight="1">
      <c r="A139" s="7">
        <v>137.0</v>
      </c>
      <c r="B139" s="8" t="b">
        <v>0</v>
      </c>
      <c r="C139" s="17"/>
      <c r="D139" s="20"/>
      <c r="E139" s="20"/>
      <c r="F139" s="14"/>
      <c r="G139" s="14"/>
      <c r="H139" s="14"/>
    </row>
    <row r="140" ht="22.5" customHeight="1">
      <c r="A140" s="7">
        <v>138.0</v>
      </c>
      <c r="B140" s="8" t="b">
        <v>0</v>
      </c>
      <c r="C140" s="17"/>
      <c r="D140" s="20"/>
      <c r="E140" s="21"/>
      <c r="F140" s="14"/>
      <c r="G140" s="14"/>
      <c r="H140" s="14"/>
    </row>
    <row r="141" ht="22.5" customHeight="1">
      <c r="A141" s="7">
        <v>139.0</v>
      </c>
      <c r="B141" s="8" t="b">
        <v>0</v>
      </c>
      <c r="C141" s="17"/>
      <c r="D141" s="20"/>
      <c r="E141" s="21"/>
      <c r="F141" s="14"/>
      <c r="G141" s="14"/>
      <c r="H141" s="14"/>
    </row>
    <row r="142" ht="22.5" customHeight="1">
      <c r="A142" s="7">
        <v>140.0</v>
      </c>
      <c r="B142" s="8" t="b">
        <v>0</v>
      </c>
      <c r="C142" s="17"/>
      <c r="D142" s="20"/>
      <c r="E142" s="21"/>
      <c r="F142" s="14"/>
      <c r="G142" s="14"/>
      <c r="H142" s="14"/>
    </row>
    <row r="143" ht="22.5" customHeight="1">
      <c r="A143" s="7">
        <v>141.0</v>
      </c>
      <c r="B143" s="8" t="b">
        <v>0</v>
      </c>
      <c r="C143" s="17"/>
      <c r="D143" s="20"/>
      <c r="E143" s="21"/>
      <c r="F143" s="14"/>
      <c r="G143" s="14"/>
      <c r="H143" s="14"/>
    </row>
    <row r="144" ht="22.5" customHeight="1">
      <c r="A144" s="7">
        <v>142.0</v>
      </c>
      <c r="B144" s="8" t="b">
        <v>0</v>
      </c>
      <c r="C144" s="17"/>
      <c r="D144" s="20"/>
      <c r="E144" s="20"/>
      <c r="F144" s="14"/>
      <c r="G144" s="14"/>
      <c r="H144" s="14"/>
    </row>
    <row r="145" ht="22.5" customHeight="1">
      <c r="A145" s="7">
        <v>143.0</v>
      </c>
      <c r="B145" s="8" t="b">
        <v>0</v>
      </c>
      <c r="C145" s="17"/>
      <c r="D145" s="20"/>
      <c r="E145" s="21"/>
      <c r="F145" s="14"/>
      <c r="G145" s="14"/>
      <c r="H145" s="14"/>
    </row>
    <row r="146" ht="22.5" customHeight="1">
      <c r="A146" s="7">
        <v>144.0</v>
      </c>
      <c r="B146" s="8" t="b">
        <v>0</v>
      </c>
      <c r="C146" s="17"/>
      <c r="D146" s="20"/>
      <c r="E146" s="21"/>
      <c r="F146" s="14"/>
      <c r="G146" s="14"/>
      <c r="H146" s="14"/>
    </row>
    <row r="147" ht="22.5" customHeight="1">
      <c r="A147" s="7">
        <v>145.0</v>
      </c>
      <c r="B147" s="8" t="b">
        <v>0</v>
      </c>
      <c r="C147" s="17"/>
      <c r="D147" s="20"/>
      <c r="E147" s="20"/>
      <c r="F147" s="14"/>
      <c r="G147" s="14"/>
      <c r="H147" s="14"/>
    </row>
    <row r="148" ht="22.5" customHeight="1">
      <c r="A148" s="7">
        <v>146.0</v>
      </c>
      <c r="B148" s="8" t="b">
        <v>0</v>
      </c>
      <c r="C148" s="17"/>
      <c r="D148" s="20"/>
      <c r="E148" s="21"/>
      <c r="F148" s="14"/>
      <c r="G148" s="14"/>
      <c r="H148" s="14"/>
    </row>
    <row r="149" ht="22.5" customHeight="1">
      <c r="A149" s="7">
        <v>147.0</v>
      </c>
      <c r="B149" s="8" t="b">
        <v>0</v>
      </c>
      <c r="C149" s="17"/>
      <c r="D149" s="20"/>
      <c r="E149" s="20"/>
      <c r="F149" s="14"/>
      <c r="G149" s="14"/>
      <c r="H149" s="14"/>
    </row>
    <row r="150" ht="22.5" customHeight="1">
      <c r="A150" s="7">
        <v>148.0</v>
      </c>
      <c r="B150" s="8" t="b">
        <v>0</v>
      </c>
      <c r="C150" s="17"/>
      <c r="D150" s="20"/>
      <c r="E150" s="21"/>
      <c r="F150" s="14"/>
      <c r="G150" s="14"/>
      <c r="H150" s="14"/>
    </row>
    <row r="151" ht="22.5" customHeight="1">
      <c r="A151" s="7">
        <v>149.0</v>
      </c>
      <c r="B151" s="8" t="b">
        <v>0</v>
      </c>
      <c r="C151" s="17"/>
      <c r="D151" s="20"/>
      <c r="E151" s="21"/>
      <c r="F151" s="14"/>
      <c r="G151" s="14"/>
      <c r="H151" s="14"/>
    </row>
    <row r="152" ht="22.5" customHeight="1">
      <c r="A152" s="7">
        <v>150.0</v>
      </c>
      <c r="B152" s="8" t="b">
        <v>0</v>
      </c>
      <c r="C152" s="17"/>
      <c r="D152" s="20"/>
      <c r="E152" s="20"/>
      <c r="F152" s="14"/>
      <c r="G152" s="14"/>
      <c r="H152" s="14"/>
    </row>
    <row r="153" ht="22.5" customHeight="1">
      <c r="A153" s="7">
        <v>151.0</v>
      </c>
      <c r="B153" s="8" t="b">
        <v>0</v>
      </c>
      <c r="C153" s="25"/>
      <c r="D153" s="20"/>
      <c r="E153" s="20"/>
      <c r="F153" s="14"/>
      <c r="G153" s="14"/>
      <c r="H153" s="14"/>
    </row>
    <row r="154" ht="22.5" customHeight="1">
      <c r="A154" s="7">
        <v>152.0</v>
      </c>
      <c r="B154" s="8" t="b">
        <v>0</v>
      </c>
      <c r="C154" s="17"/>
      <c r="D154" s="20"/>
      <c r="E154" s="20"/>
      <c r="F154" s="14"/>
      <c r="G154" s="14"/>
      <c r="H154" s="14"/>
    </row>
    <row r="155" ht="22.5" customHeight="1">
      <c r="A155" s="7">
        <v>153.0</v>
      </c>
      <c r="B155" s="8" t="b">
        <v>0</v>
      </c>
      <c r="C155" s="17"/>
      <c r="D155" s="20"/>
      <c r="E155" s="21"/>
      <c r="F155" s="14"/>
      <c r="G155" s="14"/>
      <c r="H155" s="14"/>
    </row>
    <row r="156" ht="22.5" customHeight="1">
      <c r="A156" s="7">
        <v>154.0</v>
      </c>
      <c r="B156" s="8" t="b">
        <v>0</v>
      </c>
      <c r="C156" s="17"/>
      <c r="D156" s="20"/>
      <c r="E156" s="20"/>
      <c r="F156" s="14"/>
      <c r="G156" s="14"/>
      <c r="H156" s="14"/>
    </row>
    <row r="157" ht="22.5" customHeight="1">
      <c r="A157" s="7">
        <v>155.0</v>
      </c>
      <c r="B157" s="8" t="b">
        <v>0</v>
      </c>
      <c r="C157" s="16"/>
      <c r="D157" s="14"/>
      <c r="E157" s="14"/>
      <c r="F157" s="14"/>
      <c r="G157" s="14"/>
      <c r="H157" s="14"/>
    </row>
    <row r="158" ht="22.5" customHeight="1">
      <c r="A158" s="7">
        <v>156.0</v>
      </c>
      <c r="B158" s="8" t="b">
        <v>0</v>
      </c>
      <c r="C158" s="16"/>
      <c r="D158" s="14"/>
      <c r="E158" s="14"/>
      <c r="F158" s="14"/>
      <c r="G158" s="14"/>
      <c r="H158" s="14"/>
    </row>
    <row r="159" ht="22.5" customHeight="1">
      <c r="A159" s="7">
        <v>157.0</v>
      </c>
      <c r="B159" s="8" t="b">
        <v>0</v>
      </c>
      <c r="C159" s="16"/>
      <c r="D159" s="14"/>
      <c r="E159" s="14"/>
      <c r="F159" s="14"/>
      <c r="G159" s="14"/>
      <c r="H159" s="14"/>
    </row>
    <row r="160" ht="22.5" customHeight="1">
      <c r="A160" s="7">
        <v>158.0</v>
      </c>
      <c r="B160" s="8" t="b">
        <v>0</v>
      </c>
      <c r="C160" s="16"/>
      <c r="D160" s="14"/>
      <c r="E160" s="14"/>
      <c r="F160" s="14"/>
      <c r="G160" s="14"/>
      <c r="H160" s="14"/>
    </row>
    <row r="161" ht="22.5" customHeight="1">
      <c r="A161" s="7">
        <v>159.0</v>
      </c>
      <c r="B161" s="8" t="b">
        <v>0</v>
      </c>
      <c r="C161" s="16"/>
      <c r="D161" s="14"/>
      <c r="E161" s="14"/>
      <c r="F161" s="14"/>
      <c r="G161" s="14"/>
      <c r="H161" s="14"/>
    </row>
    <row r="162" ht="22.5" customHeight="1">
      <c r="A162" s="7">
        <v>160.0</v>
      </c>
      <c r="B162" s="8" t="b">
        <v>0</v>
      </c>
      <c r="C162" s="16"/>
      <c r="D162" s="14"/>
      <c r="E162" s="14"/>
      <c r="F162" s="14"/>
      <c r="G162" s="14"/>
      <c r="H162" s="14"/>
    </row>
    <row r="163" ht="22.5" customHeight="1">
      <c r="A163" s="7">
        <v>161.0</v>
      </c>
      <c r="B163" s="8" t="b">
        <v>0</v>
      </c>
      <c r="C163" s="16"/>
      <c r="D163" s="14"/>
      <c r="E163" s="14"/>
      <c r="F163" s="14"/>
      <c r="G163" s="14"/>
      <c r="H163" s="14"/>
    </row>
    <row r="164" ht="22.5" customHeight="1">
      <c r="A164" s="7">
        <v>162.0</v>
      </c>
      <c r="B164" s="8" t="b">
        <v>0</v>
      </c>
      <c r="C164" s="16"/>
      <c r="D164" s="14"/>
      <c r="E164" s="14"/>
      <c r="F164" s="14"/>
      <c r="G164" s="14"/>
      <c r="H164" s="14"/>
    </row>
    <row r="165" ht="22.5" customHeight="1">
      <c r="A165" s="7">
        <v>163.0</v>
      </c>
      <c r="B165" s="8" t="b">
        <v>0</v>
      </c>
      <c r="C165" s="16"/>
      <c r="D165" s="14"/>
      <c r="E165" s="14"/>
      <c r="F165" s="14"/>
      <c r="G165" s="14"/>
      <c r="H165" s="14"/>
    </row>
    <row r="166" ht="22.5" customHeight="1">
      <c r="A166" s="7">
        <v>164.0</v>
      </c>
      <c r="B166" s="8" t="b">
        <v>0</v>
      </c>
      <c r="C166" s="16"/>
      <c r="D166" s="14"/>
      <c r="E166" s="14"/>
      <c r="F166" s="14"/>
      <c r="G166" s="14"/>
      <c r="H166" s="14"/>
    </row>
    <row r="167" ht="22.5" customHeight="1">
      <c r="A167" s="7">
        <v>165.0</v>
      </c>
      <c r="B167" s="8" t="b">
        <v>0</v>
      </c>
      <c r="C167" s="16"/>
      <c r="D167" s="14"/>
      <c r="E167" s="14"/>
      <c r="F167" s="14"/>
      <c r="G167" s="14"/>
      <c r="H167" s="14"/>
    </row>
    <row r="168" ht="22.5" customHeight="1">
      <c r="A168" s="7">
        <v>166.0</v>
      </c>
      <c r="B168" s="8" t="b">
        <v>0</v>
      </c>
      <c r="C168" s="16"/>
      <c r="D168" s="14"/>
      <c r="E168" s="14"/>
      <c r="F168" s="14"/>
      <c r="G168" s="14"/>
      <c r="H168" s="14"/>
    </row>
    <row r="169" ht="22.5" customHeight="1">
      <c r="A169" s="7">
        <v>167.0</v>
      </c>
      <c r="B169" s="8" t="b">
        <v>0</v>
      </c>
      <c r="C169" s="16"/>
      <c r="D169" s="14"/>
      <c r="E169" s="14"/>
      <c r="F169" s="14"/>
      <c r="G169" s="14"/>
      <c r="H169" s="14"/>
    </row>
    <row r="170" ht="22.5" customHeight="1">
      <c r="A170" s="7">
        <v>168.0</v>
      </c>
      <c r="B170" s="8" t="b">
        <v>0</v>
      </c>
      <c r="C170" s="16"/>
      <c r="D170" s="14"/>
      <c r="E170" s="14"/>
      <c r="F170" s="14"/>
      <c r="G170" s="14"/>
      <c r="H170" s="14"/>
    </row>
    <row r="171" ht="22.5" customHeight="1">
      <c r="A171" s="7">
        <v>169.0</v>
      </c>
      <c r="B171" s="8" t="b">
        <v>0</v>
      </c>
      <c r="C171" s="16"/>
      <c r="D171" s="14"/>
      <c r="E171" s="14"/>
      <c r="F171" s="14"/>
      <c r="G171" s="14"/>
      <c r="H171" s="14"/>
    </row>
    <row r="172" ht="22.5" customHeight="1">
      <c r="A172" s="7">
        <v>170.0</v>
      </c>
      <c r="B172" s="8" t="b">
        <v>0</v>
      </c>
      <c r="C172" s="16"/>
      <c r="D172" s="14"/>
      <c r="E172" s="14"/>
      <c r="F172" s="14"/>
      <c r="G172" s="14"/>
      <c r="H172" s="14"/>
    </row>
    <row r="173" ht="22.5" customHeight="1">
      <c r="A173" s="7">
        <v>171.0</v>
      </c>
      <c r="B173" s="8" t="b">
        <v>0</v>
      </c>
      <c r="C173" s="16"/>
      <c r="D173" s="14"/>
      <c r="E173" s="14"/>
      <c r="F173" s="14"/>
      <c r="G173" s="14"/>
      <c r="H173" s="14"/>
    </row>
    <row r="174" ht="22.5" customHeight="1">
      <c r="A174" s="7">
        <v>172.0</v>
      </c>
      <c r="B174" s="8" t="b">
        <v>0</v>
      </c>
      <c r="C174" s="16"/>
      <c r="D174" s="14"/>
      <c r="E174" s="14"/>
      <c r="F174" s="14"/>
      <c r="G174" s="14"/>
      <c r="H174" s="14"/>
    </row>
    <row r="175" ht="22.5" customHeight="1">
      <c r="A175" s="7">
        <v>173.0</v>
      </c>
      <c r="B175" s="8" t="b">
        <v>0</v>
      </c>
      <c r="C175" s="16"/>
      <c r="D175" s="14"/>
      <c r="E175" s="14"/>
      <c r="F175" s="14"/>
      <c r="G175" s="14"/>
      <c r="H175" s="14"/>
    </row>
    <row r="176" ht="22.5" customHeight="1">
      <c r="A176" s="7">
        <v>174.0</v>
      </c>
      <c r="B176" s="8" t="b">
        <v>0</v>
      </c>
      <c r="C176" s="16"/>
      <c r="D176" s="14"/>
      <c r="E176" s="14"/>
      <c r="F176" s="14"/>
      <c r="G176" s="14"/>
      <c r="H176" s="14"/>
    </row>
    <row r="177" ht="22.5" customHeight="1">
      <c r="A177" s="7">
        <v>175.0</v>
      </c>
      <c r="B177" s="8" t="b">
        <v>0</v>
      </c>
      <c r="C177" s="16"/>
      <c r="D177" s="14"/>
      <c r="E177" s="14"/>
      <c r="F177" s="14"/>
      <c r="G177" s="14"/>
      <c r="H177" s="14"/>
    </row>
    <row r="178" ht="22.5" customHeight="1">
      <c r="A178" s="7">
        <v>176.0</v>
      </c>
      <c r="B178" s="8" t="b">
        <v>0</v>
      </c>
      <c r="C178" s="16"/>
      <c r="D178" s="14"/>
      <c r="E178" s="14"/>
      <c r="F178" s="14"/>
      <c r="G178" s="14"/>
      <c r="H178" s="14"/>
    </row>
    <row r="179" ht="22.5" customHeight="1">
      <c r="A179" s="7">
        <v>177.0</v>
      </c>
      <c r="B179" s="8" t="b">
        <v>0</v>
      </c>
      <c r="C179" s="16"/>
      <c r="D179" s="14"/>
      <c r="E179" s="14"/>
      <c r="F179" s="14"/>
      <c r="G179" s="14"/>
      <c r="H179" s="14"/>
    </row>
    <row r="180" ht="22.5" customHeight="1">
      <c r="A180" s="7">
        <v>178.0</v>
      </c>
      <c r="B180" s="8" t="b">
        <v>0</v>
      </c>
      <c r="C180" s="16"/>
      <c r="D180" s="14"/>
      <c r="E180" s="14"/>
      <c r="F180" s="14"/>
      <c r="G180" s="14"/>
      <c r="H180" s="14"/>
    </row>
    <row r="181" ht="22.5" customHeight="1">
      <c r="A181" s="7">
        <v>179.0</v>
      </c>
      <c r="B181" s="8" t="b">
        <v>0</v>
      </c>
      <c r="C181" s="16"/>
      <c r="D181" s="14"/>
      <c r="E181" s="14"/>
      <c r="F181" s="14"/>
      <c r="G181" s="14"/>
      <c r="H181" s="14"/>
    </row>
    <row r="182" ht="22.5" customHeight="1">
      <c r="A182" s="7">
        <v>180.0</v>
      </c>
      <c r="B182" s="8" t="b">
        <v>0</v>
      </c>
      <c r="C182" s="16"/>
      <c r="D182" s="14"/>
      <c r="E182" s="14"/>
      <c r="F182" s="14"/>
      <c r="G182" s="14"/>
      <c r="H182" s="14"/>
    </row>
    <row r="183" ht="22.5" customHeight="1">
      <c r="A183" s="7">
        <v>181.0</v>
      </c>
      <c r="B183" s="8" t="b">
        <v>0</v>
      </c>
      <c r="C183" s="16"/>
      <c r="D183" s="14"/>
      <c r="E183" s="14"/>
      <c r="F183" s="14"/>
      <c r="G183" s="14"/>
      <c r="H183" s="14"/>
    </row>
    <row r="184" ht="22.5" customHeight="1">
      <c r="A184" s="7">
        <v>182.0</v>
      </c>
      <c r="B184" s="8" t="b">
        <v>0</v>
      </c>
      <c r="C184" s="16"/>
      <c r="D184" s="14"/>
      <c r="E184" s="14"/>
      <c r="F184" s="14"/>
      <c r="G184" s="14"/>
      <c r="H184" s="14"/>
    </row>
    <row r="185" ht="22.5" customHeight="1">
      <c r="A185" s="7">
        <v>183.0</v>
      </c>
      <c r="B185" s="8" t="b">
        <v>0</v>
      </c>
      <c r="C185" s="16"/>
      <c r="D185" s="14"/>
      <c r="E185" s="14"/>
      <c r="F185" s="14"/>
      <c r="G185" s="14"/>
      <c r="H185" s="14"/>
    </row>
    <row r="186" ht="22.5" customHeight="1">
      <c r="A186" s="7">
        <v>184.0</v>
      </c>
      <c r="B186" s="8" t="b">
        <v>0</v>
      </c>
      <c r="C186" s="16"/>
      <c r="D186" s="14"/>
      <c r="E186" s="14"/>
      <c r="F186" s="14"/>
      <c r="G186" s="14"/>
      <c r="H186" s="14"/>
    </row>
    <row r="187" ht="22.5" customHeight="1">
      <c r="A187" s="7">
        <v>185.0</v>
      </c>
      <c r="B187" s="8" t="b">
        <v>0</v>
      </c>
      <c r="C187" s="16"/>
      <c r="D187" s="14"/>
      <c r="E187" s="14"/>
      <c r="F187" s="14"/>
      <c r="G187" s="14"/>
      <c r="H187" s="14"/>
    </row>
    <row r="188" ht="22.5" customHeight="1">
      <c r="A188" s="7">
        <v>186.0</v>
      </c>
      <c r="B188" s="8" t="b">
        <v>0</v>
      </c>
      <c r="C188" s="16"/>
      <c r="D188" s="14"/>
      <c r="E188" s="14"/>
      <c r="F188" s="14"/>
      <c r="G188" s="14"/>
      <c r="H188" s="14"/>
    </row>
    <row r="189" ht="22.5" customHeight="1">
      <c r="A189" s="7">
        <v>187.0</v>
      </c>
      <c r="B189" s="8" t="b">
        <v>0</v>
      </c>
      <c r="C189" s="16"/>
      <c r="D189" s="14"/>
      <c r="E189" s="14"/>
      <c r="F189" s="14"/>
      <c r="G189" s="14"/>
      <c r="H189" s="14"/>
    </row>
    <row r="190" ht="22.5" customHeight="1">
      <c r="A190" s="7">
        <v>188.0</v>
      </c>
      <c r="B190" s="8" t="b">
        <v>0</v>
      </c>
      <c r="C190" s="16"/>
      <c r="D190" s="14"/>
      <c r="E190" s="14"/>
      <c r="F190" s="14"/>
      <c r="G190" s="14"/>
      <c r="H190" s="14"/>
    </row>
    <row r="191" ht="22.5" customHeight="1">
      <c r="A191" s="7">
        <v>189.0</v>
      </c>
      <c r="B191" s="8" t="b">
        <v>0</v>
      </c>
      <c r="C191" s="16"/>
      <c r="D191" s="14"/>
      <c r="E191" s="14"/>
      <c r="F191" s="14"/>
      <c r="G191" s="14"/>
      <c r="H191" s="14"/>
    </row>
    <row r="192" ht="22.5" customHeight="1">
      <c r="A192" s="7">
        <v>190.0</v>
      </c>
      <c r="B192" s="8" t="b">
        <v>0</v>
      </c>
      <c r="C192" s="16"/>
      <c r="D192" s="14"/>
      <c r="E192" s="14"/>
      <c r="F192" s="14"/>
      <c r="G192" s="14"/>
      <c r="H192" s="14"/>
    </row>
    <row r="193" ht="22.5" customHeight="1">
      <c r="A193" s="7">
        <v>191.0</v>
      </c>
      <c r="B193" s="8" t="b">
        <v>0</v>
      </c>
      <c r="C193" s="16"/>
      <c r="D193" s="14"/>
      <c r="E193" s="14"/>
      <c r="F193" s="14"/>
      <c r="G193" s="14"/>
      <c r="H193" s="14"/>
    </row>
    <row r="194" ht="22.5" customHeight="1">
      <c r="A194" s="7">
        <v>192.0</v>
      </c>
      <c r="B194" s="8" t="b">
        <v>0</v>
      </c>
      <c r="C194" s="16"/>
      <c r="D194" s="14"/>
      <c r="E194" s="14"/>
      <c r="F194" s="14"/>
      <c r="G194" s="14"/>
      <c r="H194" s="14"/>
    </row>
    <row r="195" ht="22.5" customHeight="1">
      <c r="A195" s="7">
        <v>193.0</v>
      </c>
      <c r="B195" s="8" t="b">
        <v>0</v>
      </c>
      <c r="C195" s="16"/>
      <c r="D195" s="14"/>
      <c r="E195" s="14"/>
      <c r="F195" s="14"/>
      <c r="G195" s="14"/>
      <c r="H195" s="14"/>
    </row>
    <row r="196" ht="22.5" customHeight="1">
      <c r="A196" s="7">
        <v>194.0</v>
      </c>
      <c r="B196" s="8" t="b">
        <v>0</v>
      </c>
      <c r="C196" s="16"/>
      <c r="D196" s="14"/>
      <c r="E196" s="14"/>
      <c r="F196" s="14"/>
      <c r="G196" s="14"/>
      <c r="H196" s="14"/>
    </row>
    <row r="197" ht="22.5" customHeight="1">
      <c r="A197" s="7">
        <v>195.0</v>
      </c>
      <c r="B197" s="8" t="b">
        <v>0</v>
      </c>
      <c r="C197" s="16"/>
      <c r="D197" s="14"/>
      <c r="E197" s="14"/>
      <c r="F197" s="14"/>
      <c r="G197" s="14"/>
      <c r="H197" s="14"/>
    </row>
    <row r="198" ht="22.5" customHeight="1">
      <c r="A198" s="7">
        <v>196.0</v>
      </c>
      <c r="B198" s="8" t="b">
        <v>0</v>
      </c>
      <c r="C198" s="16"/>
      <c r="D198" s="14"/>
      <c r="E198" s="14"/>
      <c r="F198" s="14"/>
      <c r="G198" s="14"/>
      <c r="H198" s="14"/>
    </row>
    <row r="199" ht="22.5" customHeight="1">
      <c r="A199" s="7">
        <v>197.0</v>
      </c>
      <c r="B199" s="8" t="b">
        <v>0</v>
      </c>
      <c r="C199" s="16"/>
      <c r="D199" s="14"/>
      <c r="E199" s="14"/>
      <c r="F199" s="14"/>
      <c r="G199" s="14"/>
      <c r="H199" s="14"/>
    </row>
    <row r="200" ht="22.5" customHeight="1">
      <c r="A200" s="7">
        <v>198.0</v>
      </c>
      <c r="B200" s="8" t="b">
        <v>0</v>
      </c>
      <c r="C200" s="16"/>
      <c r="D200" s="14"/>
      <c r="E200" s="14"/>
      <c r="F200" s="14"/>
      <c r="G200" s="14"/>
      <c r="H200" s="14"/>
    </row>
    <row r="201" ht="22.5" customHeight="1">
      <c r="A201" s="7">
        <v>199.0</v>
      </c>
      <c r="B201" s="8" t="b">
        <v>0</v>
      </c>
      <c r="C201" s="16"/>
      <c r="D201" s="14"/>
      <c r="E201" s="14"/>
      <c r="F201" s="14"/>
      <c r="G201" s="14"/>
      <c r="H201" s="14"/>
    </row>
    <row r="202" ht="22.5" customHeight="1">
      <c r="A202" s="7">
        <v>200.0</v>
      </c>
      <c r="B202" s="8" t="b">
        <v>0</v>
      </c>
      <c r="C202" s="16"/>
      <c r="D202" s="14"/>
      <c r="E202" s="14"/>
      <c r="F202" s="14"/>
      <c r="G202" s="14"/>
      <c r="H202" s="14"/>
    </row>
    <row r="203" ht="22.5" customHeight="1">
      <c r="A203" s="7">
        <v>201.0</v>
      </c>
      <c r="B203" s="8" t="b">
        <v>0</v>
      </c>
      <c r="C203" s="16"/>
      <c r="D203" s="14"/>
      <c r="E203" s="14"/>
      <c r="F203" s="14"/>
      <c r="G203" s="14"/>
      <c r="H203" s="14"/>
    </row>
    <row r="204" ht="22.5" customHeight="1">
      <c r="A204" s="7">
        <v>202.0</v>
      </c>
      <c r="B204" s="8" t="b">
        <v>0</v>
      </c>
      <c r="C204" s="16"/>
      <c r="D204" s="14"/>
      <c r="E204" s="14"/>
      <c r="F204" s="14"/>
      <c r="G204" s="14"/>
      <c r="H204" s="14"/>
    </row>
    <row r="205" ht="22.5" customHeight="1">
      <c r="A205" s="7">
        <v>203.0</v>
      </c>
      <c r="B205" s="8" t="b">
        <v>0</v>
      </c>
      <c r="C205" s="16"/>
      <c r="D205" s="14"/>
      <c r="E205" s="14"/>
      <c r="F205" s="14"/>
      <c r="G205" s="14"/>
      <c r="H205" s="14"/>
    </row>
    <row r="206" ht="22.5" customHeight="1">
      <c r="A206" s="7">
        <v>204.0</v>
      </c>
      <c r="B206" s="8" t="b">
        <v>0</v>
      </c>
      <c r="C206" s="16"/>
      <c r="D206" s="14"/>
      <c r="E206" s="14"/>
      <c r="F206" s="14"/>
      <c r="G206" s="14"/>
      <c r="H206" s="14"/>
    </row>
    <row r="207" ht="22.5" customHeight="1">
      <c r="A207" s="7">
        <v>205.0</v>
      </c>
      <c r="B207" s="8" t="b">
        <v>0</v>
      </c>
      <c r="C207" s="16"/>
      <c r="D207" s="14"/>
      <c r="E207" s="14"/>
      <c r="F207" s="14"/>
      <c r="G207" s="14"/>
      <c r="H207" s="14"/>
    </row>
    <row r="208" ht="22.5" customHeight="1">
      <c r="A208" s="7">
        <v>206.0</v>
      </c>
      <c r="B208" s="8" t="b">
        <v>0</v>
      </c>
      <c r="C208" s="16"/>
      <c r="D208" s="14"/>
      <c r="E208" s="14"/>
      <c r="F208" s="14"/>
      <c r="G208" s="14"/>
      <c r="H208" s="14"/>
    </row>
    <row r="209" ht="22.5" customHeight="1">
      <c r="A209" s="7">
        <v>207.0</v>
      </c>
      <c r="B209" s="8" t="b">
        <v>0</v>
      </c>
      <c r="C209" s="16"/>
      <c r="D209" s="14"/>
      <c r="E209" s="14"/>
      <c r="F209" s="14"/>
      <c r="G209" s="14"/>
      <c r="H209" s="14"/>
    </row>
    <row r="210" ht="22.5" customHeight="1">
      <c r="A210" s="7">
        <v>208.0</v>
      </c>
      <c r="B210" s="8" t="b">
        <v>0</v>
      </c>
      <c r="C210" s="16"/>
      <c r="D210" s="14"/>
      <c r="E210" s="14"/>
      <c r="F210" s="14"/>
      <c r="G210" s="14"/>
      <c r="H210" s="14"/>
    </row>
    <row r="211" ht="22.5" customHeight="1">
      <c r="A211" s="7">
        <v>209.0</v>
      </c>
      <c r="B211" s="8" t="b">
        <v>0</v>
      </c>
      <c r="C211" s="16"/>
      <c r="D211" s="14"/>
      <c r="E211" s="14"/>
      <c r="F211" s="14"/>
      <c r="G211" s="14"/>
      <c r="H211" s="14"/>
    </row>
    <row r="212" ht="22.5" customHeight="1">
      <c r="A212" s="7">
        <v>210.0</v>
      </c>
      <c r="B212" s="8" t="b">
        <v>0</v>
      </c>
      <c r="C212" s="16"/>
      <c r="D212" s="14"/>
      <c r="E212" s="14"/>
      <c r="F212" s="14"/>
      <c r="G212" s="14"/>
      <c r="H212" s="14"/>
    </row>
    <row r="213" ht="22.5" customHeight="1">
      <c r="A213" s="7">
        <v>211.0</v>
      </c>
      <c r="B213" s="8" t="b">
        <v>0</v>
      </c>
      <c r="C213" s="16"/>
      <c r="D213" s="14"/>
      <c r="E213" s="14"/>
      <c r="F213" s="14"/>
      <c r="G213" s="14"/>
      <c r="H213" s="14"/>
    </row>
    <row r="214" ht="22.5" customHeight="1">
      <c r="A214" s="7">
        <v>212.0</v>
      </c>
      <c r="B214" s="8" t="b">
        <v>0</v>
      </c>
      <c r="C214" s="16"/>
      <c r="D214" s="14"/>
      <c r="E214" s="14"/>
      <c r="F214" s="14"/>
      <c r="G214" s="14"/>
      <c r="H214" s="14"/>
    </row>
    <row r="215" ht="22.5" customHeight="1">
      <c r="A215" s="7">
        <v>213.0</v>
      </c>
      <c r="B215" s="8" t="b">
        <v>0</v>
      </c>
      <c r="C215" s="16"/>
      <c r="D215" s="14"/>
      <c r="E215" s="14"/>
      <c r="F215" s="14"/>
      <c r="G215" s="14"/>
      <c r="H215" s="14"/>
    </row>
    <row r="216" ht="22.5" customHeight="1">
      <c r="A216" s="7">
        <v>214.0</v>
      </c>
      <c r="B216" s="8" t="b">
        <v>0</v>
      </c>
      <c r="C216" s="16"/>
      <c r="D216" s="14"/>
      <c r="E216" s="14"/>
      <c r="F216" s="14"/>
      <c r="G216" s="14"/>
      <c r="H216" s="14"/>
    </row>
    <row r="217" ht="22.5" customHeight="1">
      <c r="A217" s="7">
        <v>215.0</v>
      </c>
      <c r="B217" s="8" t="b">
        <v>0</v>
      </c>
      <c r="C217" s="16"/>
      <c r="D217" s="14"/>
      <c r="E217" s="14"/>
      <c r="F217" s="14"/>
      <c r="G217" s="14"/>
      <c r="H217" s="14"/>
    </row>
    <row r="218" ht="22.5" customHeight="1">
      <c r="A218" s="7">
        <v>216.0</v>
      </c>
      <c r="B218" s="8" t="b">
        <v>0</v>
      </c>
      <c r="C218" s="16"/>
      <c r="D218" s="14"/>
      <c r="E218" s="14"/>
      <c r="F218" s="14"/>
      <c r="G218" s="14"/>
      <c r="H218" s="14"/>
    </row>
    <row r="219" ht="22.5" customHeight="1">
      <c r="A219" s="7">
        <v>217.0</v>
      </c>
      <c r="B219" s="8" t="b">
        <v>0</v>
      </c>
      <c r="C219" s="16"/>
      <c r="D219" s="14"/>
      <c r="E219" s="14"/>
      <c r="F219" s="14"/>
      <c r="G219" s="14"/>
      <c r="H219" s="14"/>
    </row>
    <row r="220" ht="22.5" customHeight="1">
      <c r="A220" s="7">
        <v>218.0</v>
      </c>
      <c r="B220" s="8" t="b">
        <v>0</v>
      </c>
      <c r="C220" s="16"/>
      <c r="D220" s="14"/>
      <c r="E220" s="14"/>
      <c r="F220" s="14"/>
      <c r="G220" s="14"/>
      <c r="H220" s="14"/>
    </row>
    <row r="221" ht="22.5" customHeight="1">
      <c r="A221" s="7">
        <v>219.0</v>
      </c>
      <c r="B221" s="8" t="b">
        <v>0</v>
      </c>
      <c r="C221" s="16"/>
      <c r="D221" s="14"/>
      <c r="E221" s="14"/>
      <c r="F221" s="14"/>
      <c r="G221" s="14"/>
      <c r="H221" s="14"/>
    </row>
    <row r="222" ht="22.5" customHeight="1">
      <c r="A222" s="7">
        <v>220.0</v>
      </c>
      <c r="B222" s="8" t="b">
        <v>0</v>
      </c>
      <c r="C222" s="16"/>
      <c r="D222" s="14"/>
      <c r="E222" s="14"/>
      <c r="F222" s="14"/>
      <c r="G222" s="14"/>
      <c r="H222" s="14"/>
    </row>
    <row r="223" ht="22.5" customHeight="1">
      <c r="A223" s="7">
        <v>221.0</v>
      </c>
      <c r="B223" s="8" t="b">
        <v>0</v>
      </c>
      <c r="C223" s="16"/>
      <c r="D223" s="14"/>
      <c r="E223" s="14"/>
      <c r="F223" s="14"/>
      <c r="G223" s="14"/>
      <c r="H223" s="14"/>
    </row>
    <row r="224" ht="22.5" customHeight="1">
      <c r="A224" s="7">
        <v>222.0</v>
      </c>
      <c r="B224" s="8" t="b">
        <v>0</v>
      </c>
      <c r="C224" s="16"/>
      <c r="D224" s="14"/>
      <c r="E224" s="14"/>
      <c r="F224" s="14"/>
      <c r="G224" s="14"/>
      <c r="H224" s="14"/>
    </row>
    <row r="225" ht="22.5" customHeight="1">
      <c r="A225" s="7">
        <v>223.0</v>
      </c>
      <c r="B225" s="8" t="b">
        <v>0</v>
      </c>
      <c r="C225" s="16"/>
      <c r="D225" s="14"/>
      <c r="E225" s="14"/>
      <c r="F225" s="14"/>
      <c r="G225" s="14"/>
      <c r="H225" s="14"/>
    </row>
    <row r="226" ht="22.5" customHeight="1">
      <c r="A226" s="7">
        <v>224.0</v>
      </c>
      <c r="B226" s="8" t="b">
        <v>0</v>
      </c>
      <c r="C226" s="16"/>
      <c r="D226" s="14"/>
      <c r="E226" s="14"/>
      <c r="F226" s="14"/>
      <c r="G226" s="14"/>
      <c r="H226" s="14"/>
    </row>
    <row r="227" ht="22.5" customHeight="1">
      <c r="A227" s="7">
        <v>225.0</v>
      </c>
      <c r="B227" s="8" t="b">
        <v>0</v>
      </c>
      <c r="C227" s="16"/>
      <c r="D227" s="14"/>
      <c r="E227" s="14"/>
      <c r="F227" s="14"/>
      <c r="G227" s="14"/>
      <c r="H227" s="14"/>
    </row>
    <row r="228" ht="22.5" customHeight="1">
      <c r="A228" s="7">
        <v>226.0</v>
      </c>
      <c r="B228" s="8" t="b">
        <v>0</v>
      </c>
      <c r="C228" s="16"/>
      <c r="D228" s="14"/>
      <c r="E228" s="14"/>
      <c r="F228" s="14"/>
      <c r="G228" s="14"/>
      <c r="H228" s="14"/>
    </row>
    <row r="229" ht="22.5" customHeight="1">
      <c r="A229" s="7">
        <v>227.0</v>
      </c>
      <c r="B229" s="8" t="b">
        <v>0</v>
      </c>
      <c r="C229" s="16"/>
      <c r="D229" s="14"/>
      <c r="E229" s="14"/>
      <c r="F229" s="14"/>
      <c r="G229" s="14"/>
      <c r="H229" s="14"/>
    </row>
    <row r="230" ht="22.5" customHeight="1">
      <c r="A230" s="7">
        <v>228.0</v>
      </c>
      <c r="B230" s="8" t="b">
        <v>0</v>
      </c>
      <c r="C230" s="16"/>
      <c r="D230" s="14"/>
      <c r="E230" s="14"/>
      <c r="F230" s="14"/>
      <c r="G230" s="14"/>
      <c r="H230" s="14"/>
    </row>
    <row r="231" ht="22.5" customHeight="1">
      <c r="A231" s="7">
        <v>229.0</v>
      </c>
      <c r="B231" s="8" t="b">
        <v>0</v>
      </c>
      <c r="C231" s="16"/>
      <c r="D231" s="14"/>
      <c r="E231" s="14"/>
      <c r="F231" s="14"/>
      <c r="G231" s="14"/>
      <c r="H231" s="14"/>
    </row>
    <row r="232" ht="22.5" customHeight="1">
      <c r="A232" s="7">
        <v>230.0</v>
      </c>
      <c r="B232" s="8" t="b">
        <v>0</v>
      </c>
      <c r="C232" s="16"/>
      <c r="D232" s="14"/>
      <c r="E232" s="14"/>
      <c r="F232" s="14"/>
      <c r="G232" s="14"/>
      <c r="H232" s="14"/>
    </row>
    <row r="233" ht="22.5" customHeight="1">
      <c r="A233" s="7">
        <v>231.0</v>
      </c>
      <c r="B233" s="8" t="b">
        <v>0</v>
      </c>
      <c r="C233" s="16"/>
      <c r="D233" s="14"/>
      <c r="E233" s="14"/>
      <c r="F233" s="14"/>
      <c r="G233" s="14"/>
      <c r="H233" s="14"/>
    </row>
    <row r="234" ht="22.5" customHeight="1">
      <c r="A234" s="7">
        <v>232.0</v>
      </c>
      <c r="B234" s="8" t="b">
        <v>0</v>
      </c>
      <c r="C234" s="16"/>
      <c r="D234" s="14"/>
      <c r="E234" s="14"/>
      <c r="F234" s="14"/>
      <c r="G234" s="14"/>
      <c r="H234" s="14"/>
    </row>
    <row r="235" ht="22.5" customHeight="1">
      <c r="A235" s="7">
        <v>233.0</v>
      </c>
      <c r="B235" s="8" t="b">
        <v>0</v>
      </c>
      <c r="C235" s="16"/>
      <c r="D235" s="14"/>
      <c r="E235" s="14"/>
      <c r="F235" s="14"/>
      <c r="G235" s="14"/>
      <c r="H235" s="14"/>
    </row>
    <row r="236" ht="22.5" customHeight="1">
      <c r="A236" s="7">
        <v>234.0</v>
      </c>
      <c r="B236" s="8" t="b">
        <v>0</v>
      </c>
      <c r="C236" s="16"/>
      <c r="D236" s="14"/>
      <c r="E236" s="14"/>
      <c r="F236" s="14"/>
      <c r="G236" s="14"/>
      <c r="H236" s="14"/>
    </row>
    <row r="237" ht="22.5" customHeight="1">
      <c r="A237" s="7">
        <v>235.0</v>
      </c>
      <c r="B237" s="8" t="b">
        <v>0</v>
      </c>
      <c r="C237" s="16"/>
      <c r="D237" s="14"/>
      <c r="E237" s="14"/>
      <c r="F237" s="14"/>
      <c r="G237" s="14"/>
      <c r="H237" s="14"/>
    </row>
    <row r="238" ht="22.5" customHeight="1">
      <c r="A238" s="7">
        <v>236.0</v>
      </c>
      <c r="B238" s="8" t="b">
        <v>0</v>
      </c>
      <c r="C238" s="16"/>
      <c r="D238" s="14"/>
      <c r="E238" s="14"/>
      <c r="F238" s="14"/>
      <c r="G238" s="14"/>
      <c r="H238" s="14"/>
    </row>
    <row r="239" ht="22.5" customHeight="1">
      <c r="A239" s="7">
        <v>237.0</v>
      </c>
      <c r="B239" s="8" t="b">
        <v>0</v>
      </c>
      <c r="C239" s="16"/>
      <c r="D239" s="14"/>
      <c r="E239" s="14"/>
      <c r="F239" s="14"/>
      <c r="G239" s="14"/>
      <c r="H239" s="14"/>
    </row>
    <row r="240" ht="22.5" customHeight="1">
      <c r="A240" s="7">
        <v>238.0</v>
      </c>
      <c r="B240" s="8" t="b">
        <v>0</v>
      </c>
      <c r="C240" s="16"/>
      <c r="D240" s="14"/>
      <c r="E240" s="14"/>
      <c r="F240" s="14"/>
      <c r="G240" s="14"/>
      <c r="H240" s="14"/>
    </row>
    <row r="241" ht="22.5" customHeight="1">
      <c r="A241" s="7">
        <v>239.0</v>
      </c>
      <c r="B241" s="8" t="b">
        <v>0</v>
      </c>
      <c r="C241" s="16"/>
      <c r="D241" s="14"/>
      <c r="E241" s="14"/>
      <c r="F241" s="14"/>
      <c r="G241" s="14"/>
      <c r="H241" s="14"/>
    </row>
    <row r="242" ht="22.5" customHeight="1">
      <c r="A242" s="7">
        <v>240.0</v>
      </c>
      <c r="B242" s="8" t="b">
        <v>0</v>
      </c>
      <c r="C242" s="16"/>
      <c r="D242" s="14"/>
      <c r="E242" s="14"/>
      <c r="F242" s="14"/>
      <c r="G242" s="14"/>
      <c r="H242" s="14"/>
    </row>
    <row r="243" ht="22.5" customHeight="1">
      <c r="A243" s="7">
        <v>241.0</v>
      </c>
      <c r="B243" s="8" t="b">
        <v>0</v>
      </c>
      <c r="C243" s="16"/>
      <c r="D243" s="14"/>
      <c r="E243" s="14"/>
      <c r="F243" s="14"/>
      <c r="G243" s="14"/>
      <c r="H243" s="14"/>
    </row>
    <row r="244" ht="22.5" customHeight="1">
      <c r="A244" s="7">
        <v>242.0</v>
      </c>
      <c r="B244" s="8" t="b">
        <v>0</v>
      </c>
      <c r="C244" s="16"/>
      <c r="D244" s="14"/>
      <c r="E244" s="14"/>
      <c r="F244" s="14"/>
      <c r="G244" s="14"/>
      <c r="H244" s="14"/>
    </row>
    <row r="245" ht="22.5" customHeight="1">
      <c r="A245" s="7">
        <v>243.0</v>
      </c>
      <c r="B245" s="8" t="b">
        <v>0</v>
      </c>
      <c r="C245" s="16"/>
      <c r="D245" s="14"/>
      <c r="E245" s="14"/>
      <c r="F245" s="14"/>
      <c r="G245" s="14"/>
      <c r="H245" s="14"/>
    </row>
    <row r="246" ht="22.5" customHeight="1">
      <c r="A246" s="7">
        <v>244.0</v>
      </c>
      <c r="B246" s="8" t="b">
        <v>0</v>
      </c>
      <c r="C246" s="16"/>
      <c r="D246" s="14"/>
      <c r="E246" s="14"/>
      <c r="F246" s="14"/>
      <c r="G246" s="14"/>
      <c r="H246" s="14"/>
    </row>
    <row r="247" ht="22.5" customHeight="1">
      <c r="A247" s="7">
        <v>245.0</v>
      </c>
      <c r="B247" s="8" t="b">
        <v>0</v>
      </c>
      <c r="C247" s="16"/>
      <c r="D247" s="14"/>
      <c r="E247" s="14"/>
      <c r="F247" s="14"/>
      <c r="G247" s="14"/>
      <c r="H247" s="14"/>
    </row>
    <row r="248" ht="22.5" customHeight="1">
      <c r="A248" s="7">
        <v>246.0</v>
      </c>
      <c r="B248" s="8" t="b">
        <v>0</v>
      </c>
      <c r="C248" s="16"/>
      <c r="D248" s="14"/>
      <c r="E248" s="14"/>
      <c r="F248" s="14"/>
      <c r="G248" s="14"/>
      <c r="H248" s="14"/>
    </row>
    <row r="249" ht="22.5" customHeight="1">
      <c r="A249" s="7">
        <v>247.0</v>
      </c>
      <c r="B249" s="8" t="b">
        <v>0</v>
      </c>
      <c r="C249" s="16"/>
      <c r="D249" s="14"/>
      <c r="E249" s="14"/>
      <c r="F249" s="14"/>
      <c r="G249" s="14"/>
      <c r="H249" s="14"/>
    </row>
    <row r="250" ht="22.5" customHeight="1">
      <c r="A250" s="7">
        <v>248.0</v>
      </c>
      <c r="B250" s="8" t="b">
        <v>0</v>
      </c>
      <c r="C250" s="16"/>
      <c r="D250" s="14"/>
      <c r="E250" s="14"/>
      <c r="F250" s="14"/>
      <c r="G250" s="14"/>
      <c r="H250" s="14"/>
    </row>
    <row r="251" ht="22.5" customHeight="1">
      <c r="A251" s="7">
        <v>249.0</v>
      </c>
      <c r="B251" s="8" t="b">
        <v>0</v>
      </c>
      <c r="C251" s="16"/>
      <c r="D251" s="14"/>
      <c r="E251" s="14"/>
      <c r="F251" s="14"/>
      <c r="G251" s="14"/>
      <c r="H251" s="14"/>
    </row>
    <row r="252" ht="22.5" customHeight="1">
      <c r="A252" s="7">
        <v>250.0</v>
      </c>
      <c r="B252" s="8" t="b">
        <v>0</v>
      </c>
      <c r="C252" s="16"/>
      <c r="D252" s="14"/>
      <c r="E252" s="14"/>
      <c r="F252" s="14"/>
      <c r="G252" s="14"/>
      <c r="H252" s="14"/>
    </row>
    <row r="253" ht="22.5" customHeight="1">
      <c r="A253" s="7">
        <v>251.0</v>
      </c>
      <c r="B253" s="8" t="b">
        <v>0</v>
      </c>
      <c r="C253" s="16"/>
      <c r="D253" s="14"/>
      <c r="E253" s="14"/>
      <c r="F253" s="14"/>
      <c r="G253" s="14"/>
      <c r="H253" s="14"/>
    </row>
    <row r="254" ht="22.5" customHeight="1">
      <c r="A254" s="7">
        <v>252.0</v>
      </c>
      <c r="B254" s="8" t="b">
        <v>0</v>
      </c>
      <c r="C254" s="16"/>
      <c r="D254" s="14"/>
      <c r="E254" s="14"/>
      <c r="F254" s="14"/>
      <c r="G254" s="14"/>
      <c r="H254" s="14"/>
    </row>
    <row r="255" ht="22.5" customHeight="1">
      <c r="A255" s="7">
        <v>253.0</v>
      </c>
      <c r="B255" s="8" t="b">
        <v>0</v>
      </c>
      <c r="C255" s="16"/>
      <c r="D255" s="14"/>
      <c r="E255" s="14"/>
      <c r="F255" s="14"/>
      <c r="G255" s="14"/>
      <c r="H255" s="14"/>
    </row>
    <row r="256" ht="22.5" customHeight="1">
      <c r="A256" s="7">
        <v>254.0</v>
      </c>
      <c r="B256" s="8" t="b">
        <v>0</v>
      </c>
      <c r="C256" s="16"/>
      <c r="D256" s="14"/>
      <c r="E256" s="14"/>
      <c r="F256" s="14"/>
      <c r="G256" s="14"/>
      <c r="H256" s="14"/>
    </row>
    <row r="257" ht="22.5" customHeight="1">
      <c r="A257" s="7">
        <v>255.0</v>
      </c>
      <c r="B257" s="8" t="b">
        <v>0</v>
      </c>
      <c r="C257" s="16"/>
      <c r="D257" s="14"/>
      <c r="E257" s="14"/>
      <c r="F257" s="14"/>
      <c r="G257" s="14"/>
      <c r="H257" s="14"/>
    </row>
    <row r="258" ht="22.5" customHeight="1">
      <c r="A258" s="7">
        <v>256.0</v>
      </c>
      <c r="B258" s="8" t="b">
        <v>0</v>
      </c>
      <c r="C258" s="16"/>
      <c r="D258" s="14"/>
      <c r="E258" s="14"/>
      <c r="F258" s="14"/>
      <c r="G258" s="14"/>
      <c r="H258" s="14"/>
    </row>
    <row r="259" ht="22.5" customHeight="1">
      <c r="A259" s="7">
        <v>257.0</v>
      </c>
      <c r="B259" s="8" t="b">
        <v>0</v>
      </c>
      <c r="C259" s="16"/>
      <c r="D259" s="14"/>
      <c r="E259" s="14"/>
      <c r="F259" s="14"/>
      <c r="G259" s="14"/>
      <c r="H259" s="14"/>
    </row>
    <row r="260" ht="22.5" customHeight="1">
      <c r="A260" s="7">
        <v>258.0</v>
      </c>
      <c r="B260" s="8" t="b">
        <v>0</v>
      </c>
      <c r="C260" s="16"/>
      <c r="D260" s="14"/>
      <c r="E260" s="14"/>
      <c r="F260" s="14"/>
      <c r="G260" s="14"/>
      <c r="H260" s="14"/>
    </row>
    <row r="261" ht="22.5" customHeight="1">
      <c r="A261" s="7">
        <v>259.0</v>
      </c>
      <c r="B261" s="8" t="b">
        <v>0</v>
      </c>
      <c r="C261" s="16"/>
      <c r="D261" s="14"/>
      <c r="E261" s="14"/>
      <c r="F261" s="14"/>
      <c r="G261" s="14"/>
      <c r="H261" s="14"/>
    </row>
    <row r="262" ht="22.5" customHeight="1">
      <c r="A262" s="7">
        <v>260.0</v>
      </c>
      <c r="B262" s="8" t="b">
        <v>0</v>
      </c>
      <c r="C262" s="16"/>
      <c r="D262" s="14"/>
      <c r="E262" s="14"/>
      <c r="F262" s="14"/>
      <c r="G262" s="14"/>
      <c r="H262" s="14"/>
    </row>
    <row r="263" ht="22.5" customHeight="1">
      <c r="A263" s="7">
        <v>261.0</v>
      </c>
      <c r="B263" s="8" t="b">
        <v>0</v>
      </c>
      <c r="C263" s="16"/>
      <c r="D263" s="14"/>
      <c r="E263" s="14"/>
      <c r="F263" s="14"/>
      <c r="G263" s="14"/>
      <c r="H263" s="14"/>
    </row>
    <row r="264" ht="22.5" customHeight="1">
      <c r="A264" s="7">
        <v>262.0</v>
      </c>
      <c r="B264" s="8" t="b">
        <v>0</v>
      </c>
      <c r="C264" s="16"/>
      <c r="D264" s="14"/>
      <c r="E264" s="14"/>
      <c r="F264" s="14"/>
      <c r="G264" s="14"/>
      <c r="H264" s="14"/>
    </row>
    <row r="265" ht="22.5" customHeight="1">
      <c r="A265" s="7">
        <v>263.0</v>
      </c>
      <c r="B265" s="8" t="b">
        <v>0</v>
      </c>
      <c r="C265" s="16"/>
      <c r="D265" s="14"/>
      <c r="E265" s="14"/>
      <c r="F265" s="14"/>
      <c r="G265" s="14"/>
      <c r="H265" s="14"/>
    </row>
    <row r="266" ht="22.5" customHeight="1">
      <c r="A266" s="7">
        <v>264.0</v>
      </c>
      <c r="B266" s="8" t="b">
        <v>0</v>
      </c>
      <c r="C266" s="16"/>
      <c r="D266" s="14"/>
      <c r="E266" s="14"/>
      <c r="F266" s="14"/>
      <c r="G266" s="14"/>
      <c r="H266" s="14"/>
    </row>
    <row r="267" ht="22.5" customHeight="1">
      <c r="A267" s="7">
        <v>265.0</v>
      </c>
      <c r="B267" s="8" t="b">
        <v>0</v>
      </c>
      <c r="C267" s="16"/>
      <c r="D267" s="14"/>
      <c r="E267" s="14"/>
      <c r="F267" s="14"/>
      <c r="G267" s="14"/>
      <c r="H267" s="14"/>
    </row>
    <row r="268" ht="22.5" customHeight="1">
      <c r="A268" s="7">
        <v>266.0</v>
      </c>
      <c r="B268" s="8" t="b">
        <v>0</v>
      </c>
      <c r="C268" s="16"/>
      <c r="D268" s="14"/>
      <c r="E268" s="14"/>
      <c r="F268" s="14"/>
      <c r="G268" s="14"/>
      <c r="H268" s="14"/>
    </row>
    <row r="269" ht="22.5" customHeight="1">
      <c r="A269" s="7">
        <v>267.0</v>
      </c>
      <c r="B269" s="8" t="b">
        <v>0</v>
      </c>
      <c r="C269" s="16"/>
      <c r="D269" s="14"/>
      <c r="E269" s="14"/>
      <c r="F269" s="14"/>
      <c r="G269" s="14"/>
      <c r="H269" s="14"/>
    </row>
    <row r="270" ht="22.5" customHeight="1">
      <c r="A270" s="7">
        <v>268.0</v>
      </c>
      <c r="B270" s="8" t="b">
        <v>0</v>
      </c>
      <c r="C270" s="16"/>
      <c r="D270" s="14"/>
      <c r="E270" s="14"/>
      <c r="F270" s="14"/>
      <c r="G270" s="14"/>
      <c r="H270" s="14"/>
    </row>
    <row r="271" ht="22.5" customHeight="1">
      <c r="A271" s="7">
        <v>269.0</v>
      </c>
      <c r="B271" s="8" t="b">
        <v>0</v>
      </c>
      <c r="C271" s="16"/>
      <c r="D271" s="14"/>
      <c r="E271" s="14"/>
      <c r="F271" s="14"/>
      <c r="G271" s="14"/>
      <c r="H271" s="14"/>
    </row>
    <row r="272" ht="22.5" customHeight="1">
      <c r="A272" s="7">
        <v>270.0</v>
      </c>
      <c r="B272" s="8" t="b">
        <v>0</v>
      </c>
      <c r="C272" s="16"/>
      <c r="D272" s="14"/>
      <c r="E272" s="14"/>
      <c r="F272" s="14"/>
      <c r="G272" s="14"/>
      <c r="H272" s="14"/>
    </row>
    <row r="273" ht="22.5" customHeight="1">
      <c r="A273" s="7">
        <v>271.0</v>
      </c>
      <c r="B273" s="8" t="b">
        <v>0</v>
      </c>
      <c r="C273" s="16"/>
      <c r="D273" s="14"/>
      <c r="E273" s="14"/>
      <c r="F273" s="14"/>
      <c r="G273" s="14"/>
      <c r="H273" s="14"/>
    </row>
    <row r="274" ht="22.5" customHeight="1">
      <c r="A274" s="7">
        <v>272.0</v>
      </c>
      <c r="B274" s="8" t="b">
        <v>0</v>
      </c>
      <c r="C274" s="16"/>
      <c r="D274" s="14"/>
      <c r="E274" s="14"/>
      <c r="F274" s="14"/>
      <c r="G274" s="14"/>
      <c r="H274" s="14"/>
    </row>
    <row r="275" ht="22.5" customHeight="1">
      <c r="A275" s="7">
        <v>273.0</v>
      </c>
      <c r="B275" s="8" t="b">
        <v>0</v>
      </c>
      <c r="C275" s="16"/>
      <c r="D275" s="14"/>
      <c r="E275" s="14"/>
      <c r="F275" s="14"/>
      <c r="G275" s="14"/>
      <c r="H275" s="14"/>
    </row>
    <row r="276" ht="22.5" customHeight="1">
      <c r="A276" s="7">
        <v>274.0</v>
      </c>
      <c r="B276" s="8" t="b">
        <v>0</v>
      </c>
      <c r="C276" s="16"/>
      <c r="D276" s="14"/>
      <c r="E276" s="14"/>
      <c r="F276" s="14"/>
      <c r="G276" s="14"/>
      <c r="H276" s="14"/>
    </row>
    <row r="277" ht="22.5" customHeight="1">
      <c r="A277" s="7">
        <v>275.0</v>
      </c>
      <c r="B277" s="8" t="b">
        <v>0</v>
      </c>
      <c r="C277" s="16"/>
      <c r="D277" s="14"/>
      <c r="E277" s="14"/>
      <c r="F277" s="14"/>
      <c r="G277" s="14"/>
      <c r="H277" s="14"/>
    </row>
    <row r="278" ht="22.5" customHeight="1">
      <c r="A278" s="7">
        <v>276.0</v>
      </c>
      <c r="B278" s="8" t="b">
        <v>0</v>
      </c>
      <c r="C278" s="16"/>
      <c r="D278" s="14"/>
      <c r="E278" s="14"/>
      <c r="F278" s="14"/>
      <c r="G278" s="14"/>
      <c r="H278" s="14"/>
    </row>
    <row r="279" ht="22.5" customHeight="1">
      <c r="A279" s="7">
        <v>277.0</v>
      </c>
      <c r="B279" s="8" t="b">
        <v>0</v>
      </c>
      <c r="C279" s="16"/>
      <c r="D279" s="14"/>
      <c r="E279" s="14"/>
      <c r="F279" s="14"/>
      <c r="G279" s="14"/>
      <c r="H279" s="14"/>
    </row>
    <row r="280" ht="22.5" customHeight="1">
      <c r="A280" s="7">
        <v>278.0</v>
      </c>
      <c r="B280" s="8" t="b">
        <v>0</v>
      </c>
      <c r="C280" s="16"/>
      <c r="D280" s="14"/>
      <c r="E280" s="14"/>
      <c r="F280" s="14"/>
      <c r="G280" s="14"/>
      <c r="H280" s="14"/>
    </row>
    <row r="281" ht="22.5" customHeight="1">
      <c r="A281" s="7">
        <v>279.0</v>
      </c>
      <c r="B281" s="8" t="b">
        <v>0</v>
      </c>
      <c r="C281" s="16"/>
      <c r="D281" s="14"/>
      <c r="E281" s="14"/>
      <c r="F281" s="14"/>
      <c r="G281" s="14"/>
      <c r="H281" s="14"/>
    </row>
    <row r="282" ht="22.5" customHeight="1">
      <c r="A282" s="7">
        <v>280.0</v>
      </c>
      <c r="B282" s="8" t="b">
        <v>0</v>
      </c>
      <c r="C282" s="16"/>
      <c r="D282" s="14"/>
      <c r="E282" s="14"/>
      <c r="F282" s="14"/>
      <c r="G282" s="14"/>
      <c r="H282" s="14"/>
    </row>
    <row r="283" ht="22.5" customHeight="1">
      <c r="A283" s="7">
        <v>281.0</v>
      </c>
      <c r="B283" s="8" t="b">
        <v>0</v>
      </c>
      <c r="C283" s="16"/>
      <c r="D283" s="14"/>
      <c r="E283" s="14"/>
      <c r="F283" s="14"/>
      <c r="G283" s="14"/>
      <c r="H283" s="14"/>
    </row>
    <row r="284" ht="22.5" customHeight="1">
      <c r="A284" s="7">
        <v>282.0</v>
      </c>
      <c r="B284" s="8" t="b">
        <v>0</v>
      </c>
      <c r="C284" s="16"/>
      <c r="D284" s="14"/>
      <c r="E284" s="14"/>
      <c r="F284" s="14"/>
      <c r="G284" s="14"/>
      <c r="H284" s="14"/>
    </row>
    <row r="285" ht="22.5" customHeight="1">
      <c r="A285" s="7">
        <v>283.0</v>
      </c>
      <c r="B285" s="8" t="b">
        <v>0</v>
      </c>
      <c r="C285" s="16"/>
      <c r="D285" s="14"/>
      <c r="E285" s="14"/>
      <c r="F285" s="14"/>
      <c r="G285" s="14"/>
      <c r="H285" s="14"/>
    </row>
    <row r="286" ht="22.5" customHeight="1">
      <c r="A286" s="7">
        <v>284.0</v>
      </c>
      <c r="B286" s="8" t="b">
        <v>0</v>
      </c>
      <c r="C286" s="16"/>
      <c r="D286" s="14"/>
      <c r="E286" s="14"/>
      <c r="F286" s="14"/>
      <c r="G286" s="14"/>
      <c r="H286" s="14"/>
    </row>
    <row r="287" ht="22.5" customHeight="1">
      <c r="A287" s="7">
        <v>285.0</v>
      </c>
      <c r="B287" s="8" t="b">
        <v>0</v>
      </c>
      <c r="C287" s="16"/>
      <c r="D287" s="14"/>
      <c r="E287" s="14"/>
      <c r="F287" s="14"/>
      <c r="G287" s="14"/>
      <c r="H287" s="14"/>
    </row>
    <row r="288" ht="22.5" customHeight="1">
      <c r="A288" s="7">
        <v>286.0</v>
      </c>
      <c r="B288" s="8" t="b">
        <v>0</v>
      </c>
      <c r="C288" s="16"/>
      <c r="D288" s="14"/>
      <c r="E288" s="14"/>
      <c r="F288" s="14"/>
      <c r="G288" s="14"/>
      <c r="H288" s="14"/>
    </row>
    <row r="289" ht="22.5" customHeight="1">
      <c r="A289" s="7">
        <v>287.0</v>
      </c>
      <c r="B289" s="8" t="b">
        <v>0</v>
      </c>
      <c r="C289" s="16"/>
      <c r="D289" s="14"/>
      <c r="E289" s="14"/>
      <c r="F289" s="14"/>
      <c r="G289" s="14"/>
      <c r="H289" s="14"/>
    </row>
    <row r="290" ht="22.5" customHeight="1">
      <c r="A290" s="7">
        <v>288.0</v>
      </c>
      <c r="B290" s="8" t="b">
        <v>0</v>
      </c>
      <c r="C290" s="16"/>
      <c r="D290" s="14"/>
      <c r="E290" s="14"/>
      <c r="F290" s="14"/>
      <c r="G290" s="14"/>
      <c r="H290" s="14"/>
    </row>
    <row r="291" ht="22.5" customHeight="1">
      <c r="A291" s="7">
        <v>289.0</v>
      </c>
      <c r="B291" s="8" t="b">
        <v>0</v>
      </c>
      <c r="C291" s="16"/>
      <c r="D291" s="14"/>
      <c r="E291" s="14"/>
      <c r="F291" s="14"/>
      <c r="G291" s="14"/>
      <c r="H291" s="14"/>
    </row>
    <row r="292" ht="22.5" customHeight="1">
      <c r="A292" s="7">
        <v>290.0</v>
      </c>
      <c r="B292" s="8" t="b">
        <v>0</v>
      </c>
      <c r="C292" s="16"/>
      <c r="D292" s="14"/>
      <c r="E292" s="14"/>
      <c r="F292" s="14"/>
      <c r="G292" s="14"/>
      <c r="H292" s="14"/>
    </row>
    <row r="293" ht="22.5" customHeight="1">
      <c r="A293" s="7">
        <v>291.0</v>
      </c>
      <c r="B293" s="8" t="b">
        <v>0</v>
      </c>
      <c r="C293" s="16"/>
      <c r="D293" s="14"/>
      <c r="E293" s="14"/>
      <c r="F293" s="14"/>
      <c r="G293" s="14"/>
      <c r="H293" s="14"/>
    </row>
    <row r="294" ht="22.5" customHeight="1">
      <c r="A294" s="7">
        <v>292.0</v>
      </c>
      <c r="B294" s="8" t="b">
        <v>0</v>
      </c>
      <c r="C294" s="16"/>
      <c r="D294" s="14"/>
      <c r="E294" s="14"/>
      <c r="F294" s="14"/>
      <c r="G294" s="14"/>
      <c r="H294" s="14"/>
    </row>
    <row r="295" ht="22.5" customHeight="1">
      <c r="A295" s="7">
        <v>293.0</v>
      </c>
      <c r="B295" s="8" t="b">
        <v>0</v>
      </c>
      <c r="C295" s="16"/>
      <c r="D295" s="14"/>
      <c r="E295" s="14"/>
      <c r="F295" s="14"/>
      <c r="G295" s="14"/>
      <c r="H295" s="14"/>
    </row>
    <row r="296" ht="22.5" customHeight="1">
      <c r="A296" s="7">
        <v>294.0</v>
      </c>
      <c r="B296" s="8" t="b">
        <v>0</v>
      </c>
      <c r="C296" s="16"/>
      <c r="D296" s="14"/>
      <c r="E296" s="14"/>
      <c r="F296" s="14"/>
      <c r="G296" s="14"/>
      <c r="H296" s="14"/>
    </row>
    <row r="297" ht="22.5" customHeight="1">
      <c r="A297" s="7">
        <v>295.0</v>
      </c>
      <c r="B297" s="8" t="b">
        <v>0</v>
      </c>
      <c r="C297" s="16"/>
      <c r="D297" s="14"/>
      <c r="E297" s="14"/>
      <c r="F297" s="14"/>
      <c r="G297" s="14"/>
      <c r="H297" s="14"/>
    </row>
    <row r="298" ht="22.5" customHeight="1">
      <c r="A298" s="7">
        <v>296.0</v>
      </c>
      <c r="B298" s="8" t="b">
        <v>0</v>
      </c>
      <c r="C298" s="16"/>
      <c r="D298" s="14"/>
      <c r="E298" s="14"/>
      <c r="F298" s="14"/>
      <c r="G298" s="14"/>
      <c r="H298" s="14"/>
    </row>
    <row r="299" ht="22.5" customHeight="1">
      <c r="A299" s="7">
        <v>297.0</v>
      </c>
      <c r="B299" s="8" t="b">
        <v>0</v>
      </c>
      <c r="C299" s="16"/>
      <c r="D299" s="14"/>
      <c r="E299" s="14"/>
      <c r="F299" s="14"/>
      <c r="G299" s="14"/>
      <c r="H299" s="14"/>
    </row>
    <row r="300" ht="22.5" customHeight="1">
      <c r="A300" s="7">
        <v>298.0</v>
      </c>
      <c r="B300" s="8" t="b">
        <v>0</v>
      </c>
      <c r="C300" s="16"/>
      <c r="D300" s="14"/>
      <c r="E300" s="14"/>
      <c r="F300" s="14"/>
      <c r="G300" s="14"/>
      <c r="H300" s="14"/>
    </row>
    <row r="301" ht="22.5" customHeight="1">
      <c r="A301" s="7">
        <v>299.0</v>
      </c>
      <c r="B301" s="8" t="b">
        <v>0</v>
      </c>
      <c r="C301" s="16"/>
      <c r="D301" s="14"/>
      <c r="E301" s="14"/>
      <c r="F301" s="14"/>
      <c r="G301" s="14"/>
      <c r="H301" s="14"/>
    </row>
    <row r="302" ht="22.5" customHeight="1">
      <c r="A302" s="7">
        <v>300.0</v>
      </c>
      <c r="B302" s="8" t="b">
        <v>0</v>
      </c>
      <c r="C302" s="16"/>
      <c r="D302" s="14"/>
      <c r="E302" s="14"/>
      <c r="F302" s="14"/>
      <c r="G302" s="14"/>
      <c r="H302" s="14"/>
    </row>
    <row r="303" ht="22.5" customHeight="1">
      <c r="A303" s="7">
        <v>301.0</v>
      </c>
      <c r="B303" s="8" t="b">
        <v>0</v>
      </c>
      <c r="C303" s="16"/>
      <c r="D303" s="14"/>
      <c r="E303" s="14"/>
      <c r="F303" s="14"/>
      <c r="G303" s="14"/>
      <c r="H303" s="14"/>
    </row>
    <row r="304" ht="22.5" customHeight="1">
      <c r="A304" s="7">
        <v>302.0</v>
      </c>
      <c r="B304" s="8" t="b">
        <v>0</v>
      </c>
      <c r="C304" s="16"/>
      <c r="D304" s="14"/>
      <c r="E304" s="14"/>
      <c r="F304" s="14"/>
      <c r="G304" s="14"/>
      <c r="H304" s="14"/>
    </row>
    <row r="305" ht="22.5" customHeight="1">
      <c r="A305" s="7">
        <v>303.0</v>
      </c>
      <c r="B305" s="8" t="b">
        <v>0</v>
      </c>
      <c r="C305" s="16"/>
      <c r="D305" s="14"/>
      <c r="E305" s="14"/>
      <c r="F305" s="14"/>
      <c r="G305" s="14"/>
      <c r="H305" s="14"/>
    </row>
    <row r="306" ht="22.5" customHeight="1">
      <c r="A306" s="7">
        <v>304.0</v>
      </c>
      <c r="B306" s="8" t="b">
        <v>0</v>
      </c>
      <c r="C306" s="16"/>
      <c r="D306" s="14"/>
      <c r="E306" s="14"/>
      <c r="F306" s="14"/>
      <c r="G306" s="14"/>
      <c r="H306" s="14"/>
    </row>
    <row r="307" ht="22.5" customHeight="1">
      <c r="A307" s="7">
        <v>305.0</v>
      </c>
      <c r="B307" s="8" t="b">
        <v>0</v>
      </c>
      <c r="C307" s="16"/>
      <c r="D307" s="14"/>
      <c r="E307" s="14"/>
      <c r="F307" s="14"/>
      <c r="G307" s="14"/>
      <c r="H307" s="14"/>
    </row>
    <row r="308" ht="22.5" customHeight="1">
      <c r="A308" s="7">
        <v>306.0</v>
      </c>
      <c r="B308" s="8" t="b">
        <v>0</v>
      </c>
      <c r="C308" s="16"/>
      <c r="D308" s="14"/>
      <c r="E308" s="14"/>
      <c r="F308" s="14"/>
      <c r="G308" s="14"/>
      <c r="H308" s="14"/>
    </row>
    <row r="309" ht="22.5" customHeight="1">
      <c r="A309" s="7">
        <v>307.0</v>
      </c>
      <c r="B309" s="8" t="b">
        <v>0</v>
      </c>
      <c r="C309" s="16"/>
      <c r="D309" s="14"/>
      <c r="E309" s="14"/>
      <c r="F309" s="14"/>
      <c r="G309" s="14"/>
      <c r="H309" s="14"/>
    </row>
    <row r="310" ht="22.5" customHeight="1">
      <c r="A310" s="7">
        <v>308.0</v>
      </c>
      <c r="B310" s="8" t="b">
        <v>0</v>
      </c>
      <c r="C310" s="16"/>
      <c r="D310" s="14"/>
      <c r="E310" s="14"/>
      <c r="F310" s="14"/>
      <c r="G310" s="14"/>
      <c r="H310" s="14"/>
    </row>
    <row r="311" ht="22.5" customHeight="1">
      <c r="A311" s="7">
        <v>309.0</v>
      </c>
      <c r="B311" s="8"/>
      <c r="C311" s="16"/>
      <c r="D311" s="14"/>
      <c r="E311" s="14"/>
      <c r="F311" s="14"/>
      <c r="G311" s="14"/>
      <c r="H311" s="14"/>
    </row>
    <row r="312" ht="22.5" customHeight="1">
      <c r="A312" s="7">
        <v>310.0</v>
      </c>
      <c r="B312" s="8"/>
      <c r="C312" s="16"/>
      <c r="D312" s="14"/>
      <c r="E312" s="14"/>
      <c r="F312" s="14"/>
      <c r="G312" s="14"/>
      <c r="H312" s="14"/>
    </row>
    <row r="313" ht="22.5" customHeight="1">
      <c r="A313" s="7">
        <v>311.0</v>
      </c>
      <c r="B313" s="8"/>
      <c r="C313" s="16"/>
      <c r="D313" s="14"/>
      <c r="E313" s="14"/>
      <c r="F313" s="14"/>
      <c r="G313" s="14"/>
      <c r="H313" s="14"/>
    </row>
    <row r="314" ht="22.5" customHeight="1">
      <c r="A314" s="7">
        <v>312.0</v>
      </c>
      <c r="B314" s="8"/>
      <c r="C314" s="16"/>
      <c r="D314" s="14"/>
      <c r="E314" s="14"/>
      <c r="F314" s="14"/>
      <c r="G314" s="14"/>
      <c r="H314" s="14"/>
    </row>
    <row r="315" ht="22.5" customHeight="1">
      <c r="A315" s="7">
        <v>313.0</v>
      </c>
      <c r="B315" s="8"/>
      <c r="C315" s="16"/>
      <c r="D315" s="14"/>
      <c r="E315" s="14"/>
      <c r="F315" s="14"/>
      <c r="G315" s="14"/>
      <c r="H315" s="14"/>
    </row>
    <row r="316" ht="22.5" customHeight="1">
      <c r="A316" s="7">
        <v>314.0</v>
      </c>
      <c r="B316" s="8"/>
      <c r="C316" s="16"/>
      <c r="D316" s="14"/>
      <c r="E316" s="14"/>
      <c r="F316" s="14"/>
      <c r="G316" s="14"/>
      <c r="H316" s="14"/>
    </row>
    <row r="317" ht="22.5" customHeight="1">
      <c r="A317" s="7">
        <v>315.0</v>
      </c>
      <c r="B317" s="8"/>
      <c r="C317" s="16"/>
      <c r="D317" s="14"/>
      <c r="E317" s="14"/>
      <c r="F317" s="14"/>
      <c r="G317" s="14"/>
      <c r="H317" s="14"/>
    </row>
    <row r="318" ht="22.5" customHeight="1">
      <c r="A318" s="7">
        <v>316.0</v>
      </c>
      <c r="B318" s="8"/>
      <c r="C318" s="16"/>
      <c r="D318" s="14"/>
      <c r="E318" s="14"/>
      <c r="F318" s="14"/>
      <c r="G318" s="14"/>
      <c r="H318" s="14"/>
    </row>
    <row r="319" ht="22.5" customHeight="1">
      <c r="A319" s="7">
        <v>317.0</v>
      </c>
      <c r="B319" s="8"/>
      <c r="C319" s="16"/>
      <c r="D319" s="14"/>
      <c r="E319" s="14"/>
      <c r="F319" s="14"/>
      <c r="G319" s="14"/>
      <c r="H319" s="14"/>
    </row>
    <row r="320" ht="22.5" customHeight="1">
      <c r="A320" s="7">
        <v>318.0</v>
      </c>
      <c r="B320" s="8"/>
      <c r="C320" s="16"/>
      <c r="D320" s="14"/>
      <c r="E320" s="14"/>
      <c r="F320" s="14"/>
      <c r="G320" s="14"/>
      <c r="H320" s="14"/>
    </row>
    <row r="321" ht="22.5" customHeight="1">
      <c r="A321" s="7">
        <v>319.0</v>
      </c>
      <c r="B321" s="8"/>
      <c r="C321" s="16"/>
      <c r="D321" s="14"/>
      <c r="E321" s="14"/>
      <c r="F321" s="14"/>
      <c r="G321" s="14"/>
      <c r="H321" s="14"/>
    </row>
    <row r="322" ht="22.5" customHeight="1">
      <c r="A322" s="7">
        <v>320.0</v>
      </c>
      <c r="B322" s="8"/>
      <c r="C322" s="16"/>
      <c r="D322" s="14"/>
      <c r="E322" s="14"/>
      <c r="F322" s="14"/>
      <c r="G322" s="14"/>
      <c r="H322" s="14"/>
    </row>
    <row r="323" ht="22.5" customHeight="1">
      <c r="A323" s="7">
        <v>321.0</v>
      </c>
      <c r="B323" s="8"/>
      <c r="C323" s="16"/>
      <c r="D323" s="14"/>
      <c r="E323" s="14"/>
      <c r="F323" s="14"/>
      <c r="G323" s="14"/>
      <c r="H323" s="14"/>
    </row>
    <row r="324" ht="22.5" customHeight="1">
      <c r="A324" s="7">
        <v>322.0</v>
      </c>
      <c r="B324" s="8"/>
      <c r="C324" s="16"/>
      <c r="D324" s="14"/>
      <c r="E324" s="14"/>
      <c r="F324" s="14"/>
      <c r="G324" s="14"/>
      <c r="H324" s="14"/>
    </row>
    <row r="325" ht="22.5" customHeight="1">
      <c r="A325" s="7">
        <v>323.0</v>
      </c>
      <c r="B325" s="8"/>
      <c r="C325" s="16"/>
      <c r="D325" s="14"/>
      <c r="E325" s="14"/>
      <c r="F325" s="14"/>
      <c r="G325" s="14"/>
      <c r="H325" s="14"/>
    </row>
    <row r="326" ht="22.5" customHeight="1">
      <c r="A326" s="7">
        <v>324.0</v>
      </c>
      <c r="B326" s="8"/>
      <c r="C326" s="16"/>
      <c r="D326" s="14"/>
      <c r="E326" s="14"/>
      <c r="F326" s="14"/>
      <c r="G326" s="14"/>
      <c r="H326" s="14"/>
    </row>
    <row r="327" ht="22.5" customHeight="1">
      <c r="A327" s="7">
        <v>325.0</v>
      </c>
      <c r="B327" s="8"/>
      <c r="C327" s="16"/>
      <c r="D327" s="14"/>
      <c r="E327" s="14"/>
      <c r="F327" s="14"/>
      <c r="G327" s="14"/>
      <c r="H327" s="14"/>
    </row>
    <row r="328" ht="22.5" customHeight="1">
      <c r="A328" s="7">
        <v>326.0</v>
      </c>
      <c r="B328" s="8"/>
      <c r="C328" s="16"/>
      <c r="D328" s="14"/>
      <c r="E328" s="14"/>
      <c r="F328" s="14"/>
      <c r="G328" s="14"/>
      <c r="H328" s="14"/>
    </row>
    <row r="329" ht="22.5" customHeight="1">
      <c r="A329" s="7">
        <v>327.0</v>
      </c>
      <c r="B329" s="8"/>
      <c r="C329" s="16"/>
      <c r="D329" s="14"/>
      <c r="E329" s="14"/>
      <c r="F329" s="14"/>
      <c r="G329" s="14"/>
      <c r="H329" s="14"/>
    </row>
    <row r="330" ht="22.5" customHeight="1">
      <c r="A330" s="7">
        <v>328.0</v>
      </c>
      <c r="B330" s="8"/>
      <c r="C330" s="16"/>
      <c r="D330" s="14"/>
      <c r="E330" s="14"/>
      <c r="F330" s="14"/>
      <c r="G330" s="14"/>
      <c r="H330" s="14"/>
    </row>
    <row r="331" ht="22.5" customHeight="1">
      <c r="A331" s="7">
        <v>329.0</v>
      </c>
      <c r="B331" s="8"/>
      <c r="C331" s="16"/>
      <c r="D331" s="14"/>
      <c r="E331" s="14"/>
      <c r="F331" s="14"/>
      <c r="G331" s="14"/>
      <c r="H331" s="14"/>
    </row>
    <row r="332" ht="22.5" customHeight="1">
      <c r="A332" s="7">
        <v>330.0</v>
      </c>
      <c r="B332" s="8"/>
      <c r="C332" s="16"/>
      <c r="D332" s="14"/>
      <c r="E332" s="14"/>
      <c r="F332" s="14"/>
      <c r="G332" s="14"/>
      <c r="H332" s="14"/>
    </row>
    <row r="333" ht="22.5" customHeight="1">
      <c r="A333" s="7">
        <v>331.0</v>
      </c>
      <c r="B333" s="8"/>
      <c r="C333" s="16"/>
      <c r="D333" s="14"/>
      <c r="E333" s="14"/>
      <c r="F333" s="14"/>
      <c r="G333" s="14"/>
      <c r="H333" s="14"/>
    </row>
    <row r="334" ht="22.5" customHeight="1">
      <c r="A334" s="7">
        <v>332.0</v>
      </c>
      <c r="B334" s="8"/>
      <c r="C334" s="16"/>
      <c r="D334" s="14"/>
      <c r="E334" s="14"/>
      <c r="F334" s="14"/>
      <c r="G334" s="14"/>
      <c r="H334" s="14"/>
    </row>
    <row r="335" ht="22.5" customHeight="1">
      <c r="A335" s="7">
        <v>333.0</v>
      </c>
      <c r="B335" s="8"/>
      <c r="C335" s="16"/>
      <c r="D335" s="14"/>
      <c r="E335" s="14"/>
      <c r="F335" s="14"/>
      <c r="G335" s="14"/>
      <c r="H335" s="14"/>
    </row>
    <row r="336" ht="22.5" customHeight="1">
      <c r="A336" s="7">
        <v>334.0</v>
      </c>
      <c r="B336" s="8"/>
      <c r="C336" s="16"/>
      <c r="D336" s="14"/>
      <c r="E336" s="14"/>
      <c r="F336" s="14"/>
      <c r="G336" s="14"/>
      <c r="H336" s="14"/>
    </row>
    <row r="337" ht="22.5" customHeight="1">
      <c r="A337" s="7">
        <v>335.0</v>
      </c>
      <c r="B337" s="8"/>
      <c r="C337" s="16"/>
      <c r="D337" s="14"/>
      <c r="E337" s="14"/>
      <c r="F337" s="14"/>
      <c r="G337" s="14"/>
      <c r="H337" s="14"/>
    </row>
    <row r="338" ht="22.5" customHeight="1">
      <c r="A338" s="7">
        <v>336.0</v>
      </c>
      <c r="B338" s="8"/>
      <c r="C338" s="16"/>
      <c r="D338" s="14"/>
      <c r="E338" s="14"/>
      <c r="F338" s="14"/>
      <c r="G338" s="14"/>
      <c r="H338" s="14"/>
    </row>
    <row r="339" ht="22.5" customHeight="1">
      <c r="A339" s="7">
        <v>337.0</v>
      </c>
      <c r="B339" s="8"/>
      <c r="C339" s="16"/>
      <c r="D339" s="14"/>
      <c r="E339" s="14"/>
      <c r="F339" s="14"/>
      <c r="G339" s="14"/>
      <c r="H339" s="14"/>
    </row>
    <row r="340" ht="22.5" customHeight="1">
      <c r="A340" s="7">
        <v>338.0</v>
      </c>
      <c r="B340" s="8"/>
      <c r="C340" s="16"/>
      <c r="D340" s="14"/>
      <c r="E340" s="14"/>
      <c r="F340" s="14"/>
      <c r="G340" s="14"/>
      <c r="H340" s="14"/>
    </row>
    <row r="341" ht="22.5" customHeight="1">
      <c r="A341" s="7">
        <v>339.0</v>
      </c>
      <c r="B341" s="8"/>
      <c r="C341" s="16"/>
      <c r="D341" s="14"/>
      <c r="E341" s="14"/>
      <c r="F341" s="14"/>
      <c r="G341" s="14"/>
      <c r="H341" s="14"/>
    </row>
    <row r="342" ht="22.5" customHeight="1">
      <c r="A342" s="7">
        <v>340.0</v>
      </c>
      <c r="B342" s="8"/>
      <c r="C342" s="16"/>
      <c r="D342" s="14"/>
      <c r="E342" s="14"/>
      <c r="F342" s="14"/>
      <c r="G342" s="14"/>
      <c r="H342" s="14"/>
    </row>
    <row r="343" ht="22.5" customHeight="1">
      <c r="A343" s="7">
        <v>341.0</v>
      </c>
      <c r="B343" s="8"/>
      <c r="C343" s="16"/>
      <c r="D343" s="14"/>
      <c r="E343" s="14"/>
      <c r="F343" s="14"/>
      <c r="G343" s="14"/>
      <c r="H343" s="14"/>
    </row>
    <row r="344" ht="22.5" customHeight="1">
      <c r="A344" s="7">
        <v>342.0</v>
      </c>
      <c r="B344" s="8"/>
      <c r="C344" s="16"/>
      <c r="D344" s="14"/>
      <c r="E344" s="14"/>
      <c r="F344" s="14"/>
      <c r="G344" s="14"/>
      <c r="H344" s="14"/>
    </row>
    <row r="345" ht="22.5" customHeight="1">
      <c r="A345" s="7">
        <v>343.0</v>
      </c>
      <c r="B345" s="8"/>
      <c r="C345" s="16"/>
      <c r="D345" s="14"/>
      <c r="E345" s="14"/>
      <c r="F345" s="14"/>
      <c r="G345" s="14"/>
      <c r="H345" s="14"/>
    </row>
    <row r="346" ht="22.5" customHeight="1">
      <c r="A346" s="7">
        <v>344.0</v>
      </c>
      <c r="B346" s="8"/>
      <c r="C346" s="16"/>
      <c r="D346" s="14"/>
      <c r="E346" s="14"/>
      <c r="F346" s="14"/>
      <c r="G346" s="14"/>
      <c r="H346" s="14"/>
    </row>
    <row r="347" ht="22.5" customHeight="1">
      <c r="A347" s="7">
        <v>345.0</v>
      </c>
      <c r="B347" s="8"/>
      <c r="C347" s="16"/>
      <c r="D347" s="14"/>
      <c r="E347" s="14"/>
      <c r="F347" s="14"/>
      <c r="G347" s="14"/>
      <c r="H347" s="14"/>
    </row>
    <row r="348" ht="22.5" customHeight="1">
      <c r="A348" s="7">
        <v>346.0</v>
      </c>
      <c r="B348" s="8"/>
      <c r="C348" s="16"/>
      <c r="D348" s="14"/>
      <c r="E348" s="14"/>
      <c r="F348" s="14"/>
      <c r="G348" s="14"/>
      <c r="H348" s="14"/>
    </row>
    <row r="349" ht="22.5" customHeight="1">
      <c r="A349" s="7">
        <v>347.0</v>
      </c>
      <c r="B349" s="8"/>
      <c r="C349" s="16"/>
      <c r="D349" s="14"/>
      <c r="E349" s="14"/>
      <c r="F349" s="14"/>
      <c r="G349" s="14"/>
      <c r="H349" s="14"/>
    </row>
    <row r="350" ht="22.5" customHeight="1">
      <c r="A350" s="7">
        <v>348.0</v>
      </c>
      <c r="B350" s="8"/>
      <c r="C350" s="16"/>
      <c r="D350" s="14"/>
      <c r="E350" s="14"/>
      <c r="F350" s="14"/>
      <c r="G350" s="14"/>
      <c r="H350" s="14"/>
    </row>
    <row r="351" ht="22.5" customHeight="1">
      <c r="A351" s="7">
        <v>349.0</v>
      </c>
      <c r="B351" s="8"/>
      <c r="C351" s="16"/>
      <c r="D351" s="14"/>
      <c r="E351" s="14"/>
      <c r="F351" s="14"/>
      <c r="G351" s="14"/>
      <c r="H351" s="14"/>
    </row>
    <row r="352" ht="22.5" customHeight="1">
      <c r="A352" s="7">
        <v>350.0</v>
      </c>
      <c r="B352" s="8"/>
      <c r="C352" s="16"/>
      <c r="D352" s="14"/>
      <c r="E352" s="14"/>
      <c r="F352" s="14"/>
      <c r="G352" s="14"/>
      <c r="H352" s="14"/>
    </row>
    <row r="353" ht="22.5" customHeight="1">
      <c r="A353" s="7">
        <v>351.0</v>
      </c>
      <c r="B353" s="8"/>
      <c r="C353" s="16"/>
      <c r="D353" s="14"/>
      <c r="E353" s="14"/>
      <c r="F353" s="14"/>
      <c r="G353" s="14"/>
      <c r="H353" s="14"/>
    </row>
    <row r="354" ht="22.5" customHeight="1">
      <c r="A354" s="7">
        <v>352.0</v>
      </c>
      <c r="B354" s="8"/>
      <c r="C354" s="16"/>
      <c r="D354" s="14"/>
      <c r="E354" s="14"/>
      <c r="F354" s="14"/>
      <c r="G354" s="14"/>
      <c r="H354" s="14"/>
    </row>
    <row r="355" ht="22.5" customHeight="1">
      <c r="A355" s="7">
        <v>353.0</v>
      </c>
      <c r="B355" s="8"/>
      <c r="C355" s="16"/>
      <c r="D355" s="14"/>
      <c r="E355" s="14"/>
      <c r="F355" s="14"/>
      <c r="G355" s="14"/>
      <c r="H355" s="14"/>
    </row>
    <row r="356" ht="22.5" customHeight="1">
      <c r="A356" s="7">
        <v>354.0</v>
      </c>
      <c r="B356" s="8"/>
      <c r="C356" s="16"/>
      <c r="D356" s="14"/>
      <c r="E356" s="14"/>
      <c r="F356" s="14"/>
      <c r="G356" s="14"/>
      <c r="H356" s="14"/>
    </row>
    <row r="357" ht="22.5" customHeight="1">
      <c r="A357" s="7">
        <v>355.0</v>
      </c>
      <c r="B357" s="8"/>
      <c r="C357" s="16"/>
      <c r="D357" s="14"/>
      <c r="E357" s="14"/>
      <c r="F357" s="14"/>
      <c r="G357" s="14"/>
      <c r="H357" s="14"/>
    </row>
    <row r="358" ht="22.5" customHeight="1">
      <c r="A358" s="7">
        <v>356.0</v>
      </c>
      <c r="B358" s="8"/>
      <c r="C358" s="16"/>
      <c r="D358" s="14"/>
      <c r="E358" s="14"/>
      <c r="F358" s="14"/>
      <c r="G358" s="14"/>
      <c r="H358" s="14"/>
    </row>
    <row r="359" ht="22.5" customHeight="1">
      <c r="A359" s="7">
        <v>357.0</v>
      </c>
      <c r="B359" s="8"/>
      <c r="C359" s="16"/>
      <c r="D359" s="14"/>
      <c r="E359" s="14"/>
      <c r="F359" s="14"/>
      <c r="G359" s="14"/>
      <c r="H359" s="14"/>
    </row>
    <row r="360" ht="22.5" customHeight="1">
      <c r="A360" s="7">
        <v>358.0</v>
      </c>
      <c r="B360" s="8"/>
      <c r="C360" s="16"/>
      <c r="D360" s="14"/>
      <c r="E360" s="14"/>
      <c r="F360" s="14"/>
      <c r="G360" s="14"/>
      <c r="H360" s="14"/>
    </row>
    <row r="361" ht="22.5" customHeight="1">
      <c r="A361" s="7">
        <v>359.0</v>
      </c>
      <c r="B361" s="8"/>
      <c r="C361" s="16"/>
      <c r="D361" s="14"/>
      <c r="E361" s="14"/>
      <c r="F361" s="14"/>
      <c r="G361" s="14"/>
      <c r="H361" s="14"/>
    </row>
    <row r="362" ht="22.5" customHeight="1">
      <c r="A362" s="7">
        <v>360.0</v>
      </c>
      <c r="B362" s="8"/>
      <c r="C362" s="16"/>
      <c r="D362" s="14"/>
      <c r="E362" s="14"/>
      <c r="F362" s="14"/>
      <c r="G362" s="14"/>
      <c r="H362" s="14"/>
    </row>
    <row r="363" ht="22.5" customHeight="1">
      <c r="A363" s="7">
        <v>361.0</v>
      </c>
      <c r="B363" s="8"/>
      <c r="C363" s="16"/>
      <c r="D363" s="14"/>
      <c r="E363" s="14"/>
      <c r="F363" s="14"/>
      <c r="G363" s="14"/>
      <c r="H363" s="14"/>
    </row>
    <row r="364" ht="22.5" customHeight="1">
      <c r="A364" s="7">
        <v>362.0</v>
      </c>
      <c r="B364" s="8"/>
      <c r="C364" s="16"/>
      <c r="D364" s="14"/>
      <c r="E364" s="14"/>
      <c r="F364" s="14"/>
      <c r="G364" s="14"/>
      <c r="H364" s="14"/>
    </row>
    <row r="365" ht="22.5" customHeight="1">
      <c r="A365" s="7">
        <v>363.0</v>
      </c>
      <c r="B365" s="8"/>
      <c r="C365" s="16"/>
      <c r="D365" s="14"/>
      <c r="E365" s="14"/>
      <c r="F365" s="14"/>
      <c r="G365" s="14"/>
      <c r="H365" s="14"/>
    </row>
    <row r="366" ht="22.5" customHeight="1">
      <c r="A366" s="7">
        <v>364.0</v>
      </c>
      <c r="B366" s="8"/>
      <c r="C366" s="16"/>
      <c r="D366" s="14"/>
      <c r="E366" s="14"/>
      <c r="F366" s="14"/>
      <c r="G366" s="14"/>
      <c r="H366" s="14"/>
    </row>
    <row r="367" ht="22.5" customHeight="1">
      <c r="A367" s="7">
        <v>365.0</v>
      </c>
      <c r="B367" s="8"/>
      <c r="C367" s="16"/>
      <c r="D367" s="14"/>
      <c r="E367" s="14"/>
      <c r="F367" s="14"/>
      <c r="G367" s="14"/>
      <c r="H367" s="14"/>
    </row>
    <row r="368" ht="22.5" customHeight="1">
      <c r="A368" s="7">
        <v>366.0</v>
      </c>
      <c r="B368" s="8"/>
      <c r="C368" s="16"/>
      <c r="D368" s="14"/>
      <c r="E368" s="14"/>
      <c r="F368" s="14"/>
      <c r="G368" s="14"/>
      <c r="H368" s="14"/>
    </row>
    <row r="369" ht="22.5" customHeight="1">
      <c r="A369" s="7">
        <v>367.0</v>
      </c>
      <c r="B369" s="8"/>
      <c r="C369" s="16"/>
      <c r="D369" s="14"/>
      <c r="E369" s="14"/>
      <c r="F369" s="14"/>
      <c r="G369" s="14"/>
      <c r="H369" s="14"/>
    </row>
    <row r="370" ht="22.5" customHeight="1">
      <c r="A370" s="7">
        <v>368.0</v>
      </c>
      <c r="B370" s="8"/>
      <c r="C370" s="16"/>
      <c r="D370" s="14"/>
      <c r="E370" s="14"/>
      <c r="F370" s="14"/>
      <c r="G370" s="14"/>
      <c r="H370" s="14"/>
    </row>
    <row r="371" ht="22.5" customHeight="1">
      <c r="A371" s="7">
        <v>369.0</v>
      </c>
      <c r="B371" s="8"/>
      <c r="C371" s="16"/>
      <c r="D371" s="14"/>
      <c r="E371" s="14"/>
      <c r="F371" s="14"/>
      <c r="G371" s="14"/>
      <c r="H371" s="14"/>
    </row>
    <row r="372" ht="22.5" customHeight="1">
      <c r="A372" s="7">
        <v>370.0</v>
      </c>
      <c r="B372" s="8"/>
      <c r="C372" s="16"/>
      <c r="D372" s="14"/>
      <c r="E372" s="14"/>
      <c r="F372" s="14"/>
      <c r="G372" s="14"/>
      <c r="H372" s="14"/>
    </row>
    <row r="373" ht="22.5" customHeight="1">
      <c r="A373" s="7">
        <v>371.0</v>
      </c>
      <c r="B373" s="8"/>
      <c r="C373" s="16"/>
      <c r="D373" s="14"/>
      <c r="E373" s="14"/>
      <c r="F373" s="14"/>
      <c r="G373" s="14"/>
      <c r="H373" s="14"/>
    </row>
    <row r="374" ht="22.5" customHeight="1">
      <c r="A374" s="7">
        <v>372.0</v>
      </c>
      <c r="B374" s="8"/>
      <c r="C374" s="16"/>
      <c r="D374" s="14"/>
      <c r="E374" s="14"/>
      <c r="F374" s="14"/>
      <c r="G374" s="14"/>
      <c r="H374" s="14"/>
    </row>
    <row r="375" ht="22.5" customHeight="1">
      <c r="A375" s="7">
        <v>373.0</v>
      </c>
      <c r="B375" s="8"/>
      <c r="C375" s="16"/>
      <c r="D375" s="14"/>
      <c r="E375" s="14"/>
      <c r="F375" s="14"/>
      <c r="G375" s="14"/>
      <c r="H375" s="14"/>
    </row>
    <row r="376" ht="22.5" customHeight="1">
      <c r="A376" s="7">
        <v>374.0</v>
      </c>
      <c r="B376" s="8"/>
      <c r="C376" s="16"/>
      <c r="D376" s="14"/>
      <c r="E376" s="14"/>
      <c r="F376" s="14"/>
      <c r="G376" s="14"/>
      <c r="H376" s="14"/>
    </row>
    <row r="377" ht="22.5" customHeight="1">
      <c r="A377" s="7">
        <v>375.0</v>
      </c>
      <c r="B377" s="8"/>
      <c r="C377" s="16"/>
      <c r="D377" s="14"/>
      <c r="E377" s="14"/>
      <c r="F377" s="14"/>
      <c r="G377" s="14"/>
      <c r="H377" s="14"/>
    </row>
    <row r="378" ht="22.5" customHeight="1">
      <c r="A378" s="7">
        <v>376.0</v>
      </c>
      <c r="B378" s="8"/>
      <c r="C378" s="16"/>
      <c r="D378" s="14"/>
      <c r="E378" s="14"/>
      <c r="F378" s="14"/>
      <c r="G378" s="14"/>
      <c r="H378" s="14"/>
    </row>
    <row r="379" ht="22.5" customHeight="1">
      <c r="A379" s="7">
        <v>377.0</v>
      </c>
      <c r="B379" s="8"/>
      <c r="C379" s="16"/>
      <c r="D379" s="14"/>
      <c r="E379" s="14"/>
      <c r="F379" s="14"/>
      <c r="G379" s="14"/>
      <c r="H379" s="14"/>
    </row>
    <row r="380" ht="22.5" customHeight="1">
      <c r="A380" s="7">
        <v>378.0</v>
      </c>
      <c r="B380" s="8"/>
      <c r="C380" s="16"/>
      <c r="D380" s="14"/>
      <c r="E380" s="14"/>
      <c r="F380" s="14"/>
      <c r="G380" s="14"/>
      <c r="H380" s="14"/>
    </row>
    <row r="381" ht="22.5" customHeight="1">
      <c r="A381" s="7">
        <v>379.0</v>
      </c>
      <c r="B381" s="8"/>
      <c r="C381" s="16"/>
      <c r="D381" s="14"/>
      <c r="E381" s="14"/>
      <c r="F381" s="14"/>
      <c r="G381" s="14"/>
      <c r="H381" s="14"/>
    </row>
    <row r="382" ht="22.5" customHeight="1">
      <c r="A382" s="7">
        <v>380.0</v>
      </c>
      <c r="B382" s="8"/>
      <c r="C382" s="16"/>
      <c r="D382" s="14"/>
      <c r="E382" s="14"/>
      <c r="F382" s="14"/>
      <c r="G382" s="14"/>
      <c r="H382" s="14"/>
    </row>
    <row r="383" ht="22.5" customHeight="1">
      <c r="A383" s="7">
        <v>381.0</v>
      </c>
      <c r="B383" s="8"/>
      <c r="C383" s="16"/>
      <c r="D383" s="14"/>
      <c r="E383" s="14"/>
      <c r="F383" s="14"/>
      <c r="G383" s="14"/>
      <c r="H383" s="14"/>
    </row>
    <row r="384" ht="22.5" customHeight="1">
      <c r="A384" s="7">
        <v>382.0</v>
      </c>
      <c r="B384" s="8"/>
      <c r="C384" s="16"/>
      <c r="D384" s="14"/>
      <c r="E384" s="14"/>
      <c r="F384" s="14"/>
      <c r="G384" s="14"/>
      <c r="H384" s="14"/>
    </row>
    <row r="385" ht="22.5" customHeight="1">
      <c r="A385" s="7">
        <v>383.0</v>
      </c>
      <c r="B385" s="8"/>
      <c r="C385" s="16"/>
      <c r="D385" s="14"/>
      <c r="E385" s="14"/>
      <c r="F385" s="14"/>
      <c r="G385" s="14"/>
      <c r="H385" s="14"/>
    </row>
    <row r="386" ht="22.5" customHeight="1">
      <c r="A386" s="7">
        <v>384.0</v>
      </c>
      <c r="B386" s="8"/>
      <c r="C386" s="16"/>
      <c r="D386" s="14"/>
      <c r="E386" s="14"/>
      <c r="F386" s="14"/>
      <c r="G386" s="14"/>
      <c r="H386" s="14"/>
    </row>
    <row r="387" ht="22.5" customHeight="1">
      <c r="A387" s="7">
        <v>385.0</v>
      </c>
      <c r="B387" s="8"/>
      <c r="C387" s="16"/>
      <c r="D387" s="14"/>
      <c r="E387" s="14"/>
      <c r="F387" s="14"/>
      <c r="G387" s="14"/>
      <c r="H387" s="14"/>
    </row>
    <row r="388" ht="22.5" customHeight="1">
      <c r="A388" s="7">
        <v>386.0</v>
      </c>
      <c r="B388" s="8"/>
      <c r="C388" s="16"/>
      <c r="D388" s="14"/>
      <c r="E388" s="14"/>
      <c r="F388" s="14"/>
      <c r="G388" s="14"/>
      <c r="H388" s="14"/>
    </row>
    <row r="389" ht="22.5" customHeight="1">
      <c r="A389" s="7">
        <v>387.0</v>
      </c>
      <c r="B389" s="8"/>
      <c r="C389" s="16"/>
      <c r="D389" s="14"/>
      <c r="E389" s="14"/>
      <c r="F389" s="14"/>
      <c r="G389" s="14"/>
      <c r="H389" s="14"/>
    </row>
    <row r="390" ht="22.5" customHeight="1">
      <c r="A390" s="7">
        <v>388.0</v>
      </c>
      <c r="B390" s="8"/>
      <c r="C390" s="16"/>
      <c r="D390" s="14"/>
      <c r="E390" s="14"/>
      <c r="F390" s="14"/>
      <c r="G390" s="14"/>
      <c r="H390" s="14"/>
    </row>
    <row r="391" ht="22.5" customHeight="1">
      <c r="A391" s="7">
        <v>389.0</v>
      </c>
      <c r="B391" s="8"/>
      <c r="C391" s="16"/>
      <c r="D391" s="14"/>
      <c r="E391" s="14"/>
      <c r="F391" s="14"/>
      <c r="G391" s="14"/>
      <c r="H391" s="14"/>
    </row>
    <row r="392" ht="22.5" customHeight="1">
      <c r="A392" s="7">
        <v>390.0</v>
      </c>
      <c r="B392" s="8"/>
      <c r="C392" s="16"/>
      <c r="D392" s="14"/>
      <c r="E392" s="14"/>
      <c r="F392" s="14"/>
      <c r="G392" s="14"/>
      <c r="H392" s="14"/>
    </row>
    <row r="393" ht="22.5" customHeight="1">
      <c r="A393" s="7">
        <v>391.0</v>
      </c>
      <c r="B393" s="8"/>
      <c r="C393" s="16"/>
      <c r="D393" s="14"/>
      <c r="E393" s="14"/>
      <c r="F393" s="14"/>
      <c r="G393" s="14"/>
      <c r="H393" s="14"/>
    </row>
    <row r="394" ht="22.5" customHeight="1">
      <c r="A394" s="7">
        <v>392.0</v>
      </c>
      <c r="B394" s="8"/>
      <c r="C394" s="16"/>
      <c r="D394" s="14"/>
      <c r="E394" s="14"/>
      <c r="F394" s="14"/>
      <c r="G394" s="14"/>
      <c r="H394" s="14"/>
    </row>
    <row r="395" ht="22.5" customHeight="1">
      <c r="A395" s="7">
        <v>393.0</v>
      </c>
      <c r="B395" s="8"/>
      <c r="C395" s="16"/>
      <c r="D395" s="14"/>
      <c r="E395" s="14"/>
      <c r="F395" s="14"/>
      <c r="G395" s="14"/>
      <c r="H395" s="14"/>
    </row>
    <row r="396" ht="22.5" customHeight="1">
      <c r="A396" s="7">
        <v>394.0</v>
      </c>
      <c r="B396" s="8"/>
      <c r="C396" s="16"/>
      <c r="D396" s="14"/>
      <c r="E396" s="14"/>
      <c r="F396" s="14"/>
      <c r="G396" s="14"/>
      <c r="H396" s="14"/>
    </row>
    <row r="397" ht="22.5" customHeight="1">
      <c r="A397" s="7">
        <v>395.0</v>
      </c>
      <c r="B397" s="8"/>
      <c r="C397" s="16"/>
      <c r="D397" s="14"/>
      <c r="E397" s="14"/>
      <c r="F397" s="14"/>
      <c r="G397" s="14"/>
      <c r="H397" s="14"/>
    </row>
    <row r="398" ht="22.5" customHeight="1">
      <c r="A398" s="7">
        <v>396.0</v>
      </c>
      <c r="B398" s="8"/>
      <c r="C398" s="16"/>
      <c r="D398" s="14"/>
      <c r="E398" s="14"/>
      <c r="F398" s="14"/>
      <c r="G398" s="14"/>
      <c r="H398" s="14"/>
    </row>
    <row r="399" ht="22.5" customHeight="1">
      <c r="A399" s="7">
        <v>397.0</v>
      </c>
      <c r="B399" s="8"/>
      <c r="C399" s="16"/>
      <c r="D399" s="14"/>
      <c r="E399" s="14"/>
      <c r="F399" s="14"/>
      <c r="G399" s="14"/>
      <c r="H399" s="14"/>
    </row>
    <row r="400" ht="22.5" customHeight="1">
      <c r="A400" s="7">
        <v>398.0</v>
      </c>
      <c r="B400" s="8"/>
      <c r="C400" s="16"/>
      <c r="D400" s="14"/>
      <c r="E400" s="14"/>
      <c r="F400" s="14"/>
      <c r="G400" s="14"/>
      <c r="H400" s="14"/>
    </row>
    <row r="401" ht="22.5" customHeight="1">
      <c r="A401" s="7">
        <v>399.0</v>
      </c>
      <c r="B401" s="8"/>
      <c r="C401" s="16"/>
      <c r="D401" s="14"/>
      <c r="E401" s="14"/>
      <c r="F401" s="14"/>
      <c r="G401" s="14"/>
      <c r="H401" s="14"/>
    </row>
    <row r="402" ht="22.5" customHeight="1">
      <c r="A402" s="7">
        <v>400.0</v>
      </c>
      <c r="B402" s="8"/>
      <c r="C402" s="16"/>
      <c r="D402" s="14"/>
      <c r="E402" s="14"/>
      <c r="F402" s="14"/>
      <c r="G402" s="14"/>
      <c r="H402" s="14"/>
    </row>
    <row r="403" ht="22.5" customHeight="1">
      <c r="A403" s="7">
        <v>401.0</v>
      </c>
      <c r="B403" s="8"/>
      <c r="C403" s="16"/>
      <c r="D403" s="14"/>
      <c r="E403" s="14"/>
      <c r="F403" s="14"/>
      <c r="G403" s="14"/>
      <c r="H403" s="14"/>
    </row>
    <row r="404" ht="22.5" customHeight="1">
      <c r="A404" s="7">
        <v>402.0</v>
      </c>
      <c r="B404" s="8"/>
      <c r="C404" s="16"/>
      <c r="D404" s="14"/>
      <c r="E404" s="14"/>
      <c r="F404" s="14"/>
      <c r="G404" s="14"/>
      <c r="H404" s="14"/>
    </row>
    <row r="405" ht="22.5" customHeight="1">
      <c r="A405" s="7">
        <v>403.0</v>
      </c>
      <c r="B405" s="8"/>
      <c r="C405" s="16"/>
      <c r="D405" s="14"/>
      <c r="E405" s="14"/>
      <c r="F405" s="14"/>
      <c r="G405" s="14"/>
      <c r="H405" s="14"/>
    </row>
    <row r="406" ht="22.5" customHeight="1">
      <c r="A406" s="7">
        <v>404.0</v>
      </c>
      <c r="B406" s="8"/>
      <c r="C406" s="16"/>
      <c r="D406" s="14"/>
      <c r="E406" s="14"/>
      <c r="F406" s="14"/>
      <c r="G406" s="14"/>
      <c r="H406" s="14"/>
    </row>
    <row r="407" ht="22.5" customHeight="1">
      <c r="A407" s="7">
        <v>405.0</v>
      </c>
      <c r="B407" s="8"/>
      <c r="C407" s="16"/>
      <c r="D407" s="14"/>
      <c r="E407" s="14"/>
      <c r="F407" s="14"/>
      <c r="G407" s="14"/>
      <c r="H407" s="14"/>
    </row>
    <row r="408" ht="22.5" customHeight="1">
      <c r="A408" s="7">
        <v>406.0</v>
      </c>
      <c r="B408" s="8"/>
      <c r="C408" s="16"/>
      <c r="D408" s="14"/>
      <c r="E408" s="14"/>
      <c r="F408" s="14"/>
      <c r="G408" s="14"/>
      <c r="H408" s="14"/>
    </row>
    <row r="409" ht="22.5" customHeight="1">
      <c r="A409" s="7">
        <v>407.0</v>
      </c>
      <c r="B409" s="8"/>
      <c r="C409" s="16"/>
      <c r="D409" s="14"/>
      <c r="E409" s="14"/>
      <c r="F409" s="14"/>
      <c r="G409" s="14"/>
      <c r="H409" s="14"/>
    </row>
    <row r="410" ht="22.5" customHeight="1">
      <c r="A410" s="7">
        <v>408.0</v>
      </c>
      <c r="B410" s="8"/>
      <c r="C410" s="16"/>
      <c r="D410" s="14"/>
      <c r="E410" s="14"/>
      <c r="F410" s="14"/>
      <c r="G410" s="14"/>
      <c r="H410" s="14"/>
    </row>
    <row r="411" ht="22.5" customHeight="1">
      <c r="A411" s="7">
        <v>409.0</v>
      </c>
      <c r="B411" s="8"/>
      <c r="C411" s="16"/>
      <c r="D411" s="14"/>
      <c r="E411" s="14"/>
      <c r="F411" s="14"/>
      <c r="G411" s="14"/>
      <c r="H411" s="14"/>
    </row>
    <row r="412" ht="22.5" customHeight="1">
      <c r="A412" s="7">
        <v>410.0</v>
      </c>
      <c r="B412" s="8"/>
      <c r="C412" s="16"/>
      <c r="D412" s="14"/>
      <c r="E412" s="14"/>
      <c r="F412" s="14"/>
      <c r="G412" s="14"/>
      <c r="H412" s="14"/>
    </row>
    <row r="413" ht="22.5" customHeight="1">
      <c r="A413" s="7">
        <v>411.0</v>
      </c>
      <c r="B413" s="8"/>
      <c r="C413" s="16"/>
      <c r="D413" s="14"/>
      <c r="E413" s="14"/>
      <c r="F413" s="14"/>
      <c r="G413" s="14"/>
      <c r="H413" s="14"/>
    </row>
    <row r="414" ht="22.5" customHeight="1">
      <c r="A414" s="7">
        <v>412.0</v>
      </c>
      <c r="B414" s="8"/>
      <c r="C414" s="16"/>
      <c r="D414" s="14"/>
      <c r="E414" s="14"/>
      <c r="F414" s="14"/>
      <c r="G414" s="14"/>
      <c r="H414" s="14"/>
    </row>
    <row r="415" ht="22.5" customHeight="1">
      <c r="A415" s="7">
        <v>413.0</v>
      </c>
      <c r="B415" s="8"/>
      <c r="C415" s="16"/>
      <c r="D415" s="14"/>
      <c r="E415" s="14"/>
      <c r="F415" s="14"/>
      <c r="G415" s="14"/>
      <c r="H415" s="14"/>
    </row>
    <row r="416" ht="22.5" customHeight="1">
      <c r="A416" s="7">
        <v>414.0</v>
      </c>
      <c r="B416" s="8"/>
      <c r="C416" s="16"/>
      <c r="D416" s="14"/>
      <c r="E416" s="14"/>
      <c r="F416" s="14"/>
      <c r="G416" s="14"/>
      <c r="H416" s="14"/>
    </row>
    <row r="417" ht="22.5" customHeight="1">
      <c r="A417" s="7">
        <v>415.0</v>
      </c>
      <c r="B417" s="8"/>
      <c r="C417" s="16"/>
      <c r="D417" s="14"/>
      <c r="E417" s="14"/>
      <c r="F417" s="14"/>
      <c r="G417" s="14"/>
      <c r="H417" s="14"/>
    </row>
    <row r="418" ht="22.5" customHeight="1">
      <c r="A418" s="7">
        <v>416.0</v>
      </c>
      <c r="B418" s="8"/>
      <c r="C418" s="16"/>
      <c r="D418" s="14"/>
      <c r="E418" s="14"/>
      <c r="F418" s="14"/>
      <c r="G418" s="14"/>
      <c r="H418" s="14"/>
    </row>
    <row r="419" ht="22.5" customHeight="1">
      <c r="A419" s="7">
        <v>417.0</v>
      </c>
      <c r="B419" s="8"/>
      <c r="C419" s="16"/>
      <c r="D419" s="14"/>
      <c r="E419" s="14"/>
      <c r="F419" s="14"/>
      <c r="G419" s="14"/>
      <c r="H419" s="14"/>
    </row>
    <row r="420" ht="22.5" customHeight="1">
      <c r="A420" s="7">
        <v>418.0</v>
      </c>
      <c r="B420" s="8"/>
      <c r="C420" s="16"/>
      <c r="D420" s="14"/>
      <c r="E420" s="14"/>
      <c r="F420" s="14"/>
      <c r="G420" s="14"/>
      <c r="H420" s="14"/>
    </row>
    <row r="421" ht="22.5" customHeight="1">
      <c r="A421" s="7">
        <v>419.0</v>
      </c>
      <c r="B421" s="8"/>
      <c r="C421" s="16"/>
      <c r="D421" s="14"/>
      <c r="E421" s="14"/>
      <c r="F421" s="14"/>
      <c r="G421" s="14"/>
      <c r="H421" s="14"/>
    </row>
    <row r="422" ht="22.5" customHeight="1">
      <c r="A422" s="7">
        <v>420.0</v>
      </c>
      <c r="B422" s="8"/>
      <c r="C422" s="16"/>
      <c r="D422" s="14"/>
      <c r="E422" s="14"/>
      <c r="F422" s="14"/>
      <c r="G422" s="14"/>
      <c r="H422" s="14"/>
    </row>
    <row r="423" ht="22.5" customHeight="1">
      <c r="A423" s="7">
        <v>421.0</v>
      </c>
      <c r="B423" s="8"/>
      <c r="C423" s="16"/>
      <c r="D423" s="14"/>
      <c r="E423" s="14"/>
      <c r="F423" s="14"/>
      <c r="G423" s="14"/>
      <c r="H423" s="14"/>
    </row>
    <row r="424" ht="22.5" customHeight="1">
      <c r="A424" s="7">
        <v>422.0</v>
      </c>
      <c r="B424" s="8"/>
      <c r="C424" s="16"/>
      <c r="D424" s="14"/>
      <c r="E424" s="14"/>
      <c r="F424" s="14"/>
      <c r="G424" s="14"/>
      <c r="H424" s="14"/>
    </row>
    <row r="425" ht="22.5" customHeight="1">
      <c r="A425" s="7">
        <v>423.0</v>
      </c>
      <c r="B425" s="8"/>
      <c r="C425" s="16"/>
      <c r="D425" s="14"/>
      <c r="E425" s="14"/>
      <c r="F425" s="14"/>
      <c r="G425" s="14"/>
      <c r="H425" s="14"/>
    </row>
    <row r="426" ht="22.5" customHeight="1">
      <c r="A426" s="7">
        <v>424.0</v>
      </c>
      <c r="B426" s="8"/>
      <c r="C426" s="16"/>
      <c r="D426" s="14"/>
      <c r="E426" s="14"/>
      <c r="F426" s="14"/>
      <c r="G426" s="14"/>
      <c r="H426" s="14"/>
    </row>
    <row r="427" ht="22.5" customHeight="1">
      <c r="A427" s="7">
        <v>425.0</v>
      </c>
      <c r="B427" s="8"/>
      <c r="C427" s="16"/>
      <c r="D427" s="14"/>
      <c r="E427" s="14"/>
      <c r="F427" s="14"/>
      <c r="G427" s="14"/>
      <c r="H427" s="14"/>
    </row>
    <row r="428" ht="22.5" customHeight="1">
      <c r="A428" s="7">
        <v>426.0</v>
      </c>
      <c r="B428" s="8"/>
      <c r="C428" s="16"/>
      <c r="D428" s="14"/>
      <c r="E428" s="14"/>
      <c r="F428" s="14"/>
      <c r="G428" s="14"/>
      <c r="H428" s="14"/>
    </row>
    <row r="429" ht="22.5" customHeight="1">
      <c r="A429" s="7">
        <v>427.0</v>
      </c>
      <c r="B429" s="8"/>
      <c r="C429" s="16"/>
      <c r="D429" s="14"/>
      <c r="E429" s="14"/>
      <c r="F429" s="14"/>
      <c r="G429" s="14"/>
      <c r="H429" s="14"/>
    </row>
    <row r="430" ht="22.5" customHeight="1">
      <c r="A430" s="7">
        <v>428.0</v>
      </c>
      <c r="B430" s="8"/>
      <c r="C430" s="16"/>
      <c r="D430" s="14"/>
      <c r="E430" s="14"/>
      <c r="F430" s="14"/>
      <c r="G430" s="14"/>
      <c r="H430" s="14"/>
    </row>
    <row r="431" ht="22.5" customHeight="1">
      <c r="A431" s="7">
        <v>429.0</v>
      </c>
      <c r="B431" s="8"/>
      <c r="C431" s="16"/>
      <c r="D431" s="14"/>
      <c r="E431" s="14"/>
      <c r="F431" s="14"/>
      <c r="G431" s="14"/>
      <c r="H431" s="14"/>
    </row>
    <row r="432" ht="22.5" customHeight="1">
      <c r="A432" s="7">
        <v>430.0</v>
      </c>
      <c r="B432" s="8"/>
      <c r="C432" s="16"/>
      <c r="D432" s="14"/>
      <c r="E432" s="14"/>
      <c r="F432" s="14"/>
      <c r="G432" s="14"/>
      <c r="H432" s="14"/>
    </row>
    <row r="433" ht="22.5" customHeight="1">
      <c r="A433" s="7">
        <v>431.0</v>
      </c>
      <c r="B433" s="8"/>
      <c r="C433" s="16"/>
      <c r="D433" s="14"/>
      <c r="E433" s="14"/>
      <c r="F433" s="14"/>
      <c r="G433" s="14"/>
      <c r="H433" s="14"/>
    </row>
    <row r="434" ht="22.5" customHeight="1">
      <c r="A434" s="7">
        <v>432.0</v>
      </c>
      <c r="B434" s="8"/>
      <c r="C434" s="16"/>
      <c r="D434" s="14"/>
      <c r="E434" s="14"/>
      <c r="F434" s="14"/>
      <c r="G434" s="14"/>
      <c r="H434" s="14"/>
    </row>
    <row r="435" ht="22.5" customHeight="1">
      <c r="A435" s="7">
        <v>433.0</v>
      </c>
      <c r="B435" s="8"/>
      <c r="C435" s="16"/>
      <c r="D435" s="14"/>
      <c r="E435" s="14"/>
      <c r="F435" s="14"/>
      <c r="G435" s="14"/>
      <c r="H435" s="14"/>
    </row>
    <row r="436" ht="22.5" customHeight="1">
      <c r="A436" s="7">
        <v>434.0</v>
      </c>
      <c r="B436" s="8"/>
      <c r="C436" s="16"/>
      <c r="D436" s="14"/>
      <c r="E436" s="14"/>
      <c r="F436" s="14"/>
      <c r="G436" s="14"/>
      <c r="H436" s="14"/>
    </row>
    <row r="437" ht="22.5" customHeight="1">
      <c r="A437" s="7">
        <v>435.0</v>
      </c>
      <c r="B437" s="8"/>
      <c r="C437" s="16"/>
      <c r="D437" s="14"/>
      <c r="E437" s="14"/>
      <c r="F437" s="14"/>
      <c r="G437" s="14"/>
      <c r="H437" s="14"/>
    </row>
    <row r="438" ht="22.5" customHeight="1">
      <c r="A438" s="7">
        <v>436.0</v>
      </c>
      <c r="B438" s="8"/>
      <c r="C438" s="16"/>
      <c r="D438" s="14"/>
      <c r="E438" s="14"/>
      <c r="F438" s="14"/>
      <c r="G438" s="14"/>
      <c r="H438" s="14"/>
    </row>
    <row r="439" ht="22.5" customHeight="1">
      <c r="A439" s="7">
        <v>437.0</v>
      </c>
      <c r="B439" s="8"/>
      <c r="C439" s="16"/>
      <c r="D439" s="14"/>
      <c r="E439" s="14"/>
      <c r="F439" s="14"/>
      <c r="G439" s="14"/>
      <c r="H439" s="14"/>
    </row>
    <row r="440" ht="22.5" customHeight="1">
      <c r="A440" s="7">
        <v>438.0</v>
      </c>
      <c r="B440" s="8"/>
      <c r="C440" s="16"/>
      <c r="D440" s="14"/>
      <c r="E440" s="14"/>
      <c r="F440" s="14"/>
      <c r="G440" s="14"/>
      <c r="H440" s="14"/>
    </row>
    <row r="441" ht="22.5" customHeight="1">
      <c r="A441" s="7">
        <v>439.0</v>
      </c>
      <c r="B441" s="8"/>
      <c r="C441" s="16"/>
      <c r="D441" s="14"/>
      <c r="E441" s="14"/>
      <c r="F441" s="14"/>
      <c r="G441" s="14"/>
      <c r="H441" s="14"/>
    </row>
    <row r="442" ht="22.5" customHeight="1">
      <c r="A442" s="7">
        <v>440.0</v>
      </c>
      <c r="B442" s="8"/>
      <c r="C442" s="16"/>
      <c r="D442" s="14"/>
      <c r="E442" s="14"/>
      <c r="F442" s="14"/>
      <c r="G442" s="14"/>
      <c r="H442" s="14"/>
    </row>
    <row r="443" ht="22.5" customHeight="1">
      <c r="A443" s="7">
        <v>441.0</v>
      </c>
      <c r="B443" s="8"/>
      <c r="C443" s="16"/>
      <c r="D443" s="14"/>
      <c r="E443" s="14"/>
      <c r="F443" s="14"/>
      <c r="G443" s="14"/>
      <c r="H443" s="14"/>
    </row>
    <row r="444" ht="22.5" customHeight="1">
      <c r="A444" s="7">
        <v>442.0</v>
      </c>
      <c r="B444" s="8"/>
      <c r="C444" s="16"/>
      <c r="D444" s="14"/>
      <c r="E444" s="14"/>
      <c r="F444" s="14"/>
      <c r="G444" s="14"/>
      <c r="H444" s="14"/>
    </row>
    <row r="445" ht="22.5" customHeight="1">
      <c r="A445" s="7">
        <v>443.0</v>
      </c>
      <c r="B445" s="8"/>
      <c r="C445" s="16"/>
      <c r="D445" s="14"/>
      <c r="E445" s="14"/>
      <c r="F445" s="14"/>
      <c r="G445" s="14"/>
      <c r="H445" s="14"/>
    </row>
    <row r="446" ht="22.5" customHeight="1">
      <c r="A446" s="7">
        <v>444.0</v>
      </c>
      <c r="B446" s="8"/>
      <c r="C446" s="16"/>
      <c r="D446" s="14"/>
      <c r="E446" s="14"/>
      <c r="F446" s="14"/>
      <c r="G446" s="14"/>
      <c r="H446" s="14"/>
    </row>
    <row r="447" ht="22.5" customHeight="1">
      <c r="A447" s="7">
        <v>445.0</v>
      </c>
      <c r="B447" s="8"/>
      <c r="C447" s="16"/>
      <c r="D447" s="14"/>
      <c r="E447" s="14"/>
      <c r="F447" s="14"/>
      <c r="G447" s="14"/>
      <c r="H447" s="14"/>
    </row>
    <row r="448" ht="22.5" customHeight="1">
      <c r="A448" s="7">
        <v>446.0</v>
      </c>
      <c r="B448" s="8"/>
      <c r="C448" s="16"/>
      <c r="D448" s="14"/>
      <c r="E448" s="14"/>
      <c r="F448" s="14"/>
      <c r="G448" s="14"/>
      <c r="H448" s="14"/>
    </row>
    <row r="449" ht="22.5" customHeight="1">
      <c r="A449" s="7">
        <v>447.0</v>
      </c>
      <c r="B449" s="8"/>
      <c r="C449" s="16"/>
      <c r="D449" s="14"/>
      <c r="E449" s="14"/>
      <c r="F449" s="14"/>
      <c r="G449" s="14"/>
      <c r="H449" s="14"/>
    </row>
    <row r="450" ht="22.5" customHeight="1">
      <c r="A450" s="7">
        <v>448.0</v>
      </c>
      <c r="B450" s="8"/>
      <c r="C450" s="16"/>
      <c r="D450" s="14"/>
      <c r="E450" s="14"/>
      <c r="F450" s="14"/>
      <c r="G450" s="14"/>
      <c r="H450" s="14"/>
    </row>
    <row r="451" ht="22.5" customHeight="1">
      <c r="A451" s="7">
        <v>449.0</v>
      </c>
      <c r="B451" s="8"/>
      <c r="C451" s="16"/>
      <c r="D451" s="14"/>
      <c r="E451" s="14"/>
      <c r="F451" s="14"/>
      <c r="G451" s="14"/>
      <c r="H451" s="14"/>
    </row>
    <row r="452" ht="22.5" customHeight="1">
      <c r="A452" s="7">
        <v>450.0</v>
      </c>
      <c r="B452" s="8"/>
      <c r="C452" s="16"/>
      <c r="D452" s="14"/>
      <c r="E452" s="14"/>
      <c r="F452" s="14"/>
      <c r="G452" s="14"/>
      <c r="H452" s="14"/>
    </row>
    <row r="453" ht="22.5" customHeight="1">
      <c r="A453" s="7">
        <v>451.0</v>
      </c>
      <c r="B453" s="8"/>
      <c r="C453" s="16"/>
      <c r="D453" s="14"/>
      <c r="E453" s="14"/>
      <c r="F453" s="14"/>
      <c r="G453" s="14"/>
      <c r="H453" s="14"/>
    </row>
    <row r="454" ht="22.5" customHeight="1">
      <c r="A454" s="7">
        <v>452.0</v>
      </c>
      <c r="B454" s="8"/>
      <c r="C454" s="16"/>
      <c r="D454" s="14"/>
      <c r="E454" s="14"/>
      <c r="F454" s="14"/>
      <c r="G454" s="14"/>
      <c r="H454" s="14"/>
    </row>
    <row r="455" ht="22.5" customHeight="1">
      <c r="A455" s="7">
        <v>453.0</v>
      </c>
      <c r="B455" s="8"/>
      <c r="C455" s="16"/>
      <c r="D455" s="14"/>
      <c r="E455" s="14"/>
      <c r="F455" s="14"/>
      <c r="G455" s="14"/>
      <c r="H455" s="14"/>
    </row>
    <row r="456" ht="22.5" customHeight="1">
      <c r="A456" s="7">
        <v>454.0</v>
      </c>
      <c r="B456" s="8"/>
      <c r="C456" s="16"/>
      <c r="D456" s="14"/>
      <c r="E456" s="14"/>
      <c r="F456" s="14"/>
      <c r="G456" s="14"/>
      <c r="H456" s="14"/>
    </row>
    <row r="457" ht="22.5" customHeight="1">
      <c r="A457" s="7">
        <v>455.0</v>
      </c>
      <c r="B457" s="8"/>
      <c r="C457" s="16"/>
      <c r="D457" s="14"/>
      <c r="E457" s="14"/>
      <c r="F457" s="14"/>
      <c r="G457" s="14"/>
      <c r="H457" s="14"/>
    </row>
    <row r="458" ht="22.5" customHeight="1">
      <c r="A458" s="7">
        <v>456.0</v>
      </c>
      <c r="B458" s="8"/>
      <c r="C458" s="16"/>
      <c r="D458" s="14"/>
      <c r="E458" s="14"/>
      <c r="F458" s="14"/>
      <c r="G458" s="14"/>
      <c r="H458" s="14"/>
    </row>
    <row r="459" ht="22.5" customHeight="1">
      <c r="A459" s="7">
        <v>457.0</v>
      </c>
      <c r="B459" s="8"/>
      <c r="C459" s="16"/>
      <c r="D459" s="14"/>
      <c r="E459" s="14"/>
      <c r="F459" s="14"/>
      <c r="G459" s="14"/>
      <c r="H459" s="14"/>
    </row>
    <row r="460" ht="22.5" customHeight="1">
      <c r="A460" s="7">
        <v>458.0</v>
      </c>
      <c r="B460" s="8"/>
      <c r="C460" s="16"/>
      <c r="D460" s="14"/>
      <c r="E460" s="14"/>
      <c r="F460" s="14"/>
      <c r="G460" s="14"/>
      <c r="H460" s="14"/>
    </row>
    <row r="461" ht="22.5" customHeight="1">
      <c r="A461" s="7">
        <v>459.0</v>
      </c>
      <c r="B461" s="8"/>
      <c r="C461" s="16"/>
      <c r="D461" s="14"/>
      <c r="E461" s="14"/>
      <c r="F461" s="14"/>
      <c r="G461" s="14"/>
      <c r="H461" s="14"/>
    </row>
    <row r="462" ht="22.5" customHeight="1">
      <c r="A462" s="7">
        <v>460.0</v>
      </c>
      <c r="B462" s="8"/>
      <c r="C462" s="16"/>
      <c r="D462" s="14"/>
      <c r="E462" s="14"/>
      <c r="F462" s="14"/>
      <c r="G462" s="14"/>
      <c r="H462" s="14"/>
    </row>
    <row r="463" ht="22.5" customHeight="1">
      <c r="A463" s="7">
        <v>461.0</v>
      </c>
      <c r="B463" s="8"/>
      <c r="C463" s="16"/>
      <c r="D463" s="14"/>
      <c r="E463" s="14"/>
      <c r="F463" s="14"/>
      <c r="G463" s="14"/>
      <c r="H463" s="14"/>
    </row>
    <row r="464" ht="22.5" customHeight="1">
      <c r="A464" s="7">
        <v>462.0</v>
      </c>
      <c r="B464" s="8"/>
      <c r="C464" s="16"/>
      <c r="D464" s="14"/>
      <c r="E464" s="14"/>
      <c r="F464" s="14"/>
      <c r="G464" s="14"/>
      <c r="H464" s="14"/>
    </row>
    <row r="465" ht="22.5" customHeight="1">
      <c r="A465" s="7">
        <v>463.0</v>
      </c>
      <c r="B465" s="8"/>
      <c r="C465" s="16"/>
      <c r="D465" s="14"/>
      <c r="E465" s="14"/>
      <c r="F465" s="14"/>
      <c r="G465" s="14"/>
      <c r="H465" s="14"/>
    </row>
    <row r="466" ht="22.5" customHeight="1">
      <c r="A466" s="7">
        <v>464.0</v>
      </c>
      <c r="B466" s="8"/>
      <c r="C466" s="16"/>
      <c r="D466" s="14"/>
      <c r="E466" s="14"/>
      <c r="F466" s="14"/>
      <c r="G466" s="14"/>
      <c r="H466" s="14"/>
    </row>
    <row r="467" ht="22.5" customHeight="1">
      <c r="A467" s="7">
        <v>465.0</v>
      </c>
      <c r="B467" s="8"/>
      <c r="C467" s="16"/>
      <c r="D467" s="14"/>
      <c r="E467" s="14"/>
      <c r="F467" s="14"/>
      <c r="G467" s="14"/>
      <c r="H467" s="14"/>
    </row>
    <row r="468" ht="22.5" customHeight="1">
      <c r="A468" s="7">
        <v>466.0</v>
      </c>
      <c r="B468" s="8"/>
      <c r="C468" s="16"/>
      <c r="D468" s="14"/>
      <c r="E468" s="14"/>
      <c r="F468" s="14"/>
      <c r="G468" s="14"/>
      <c r="H468" s="14"/>
    </row>
    <row r="469" ht="22.5" customHeight="1">
      <c r="A469" s="7">
        <v>467.0</v>
      </c>
      <c r="B469" s="8"/>
      <c r="C469" s="16"/>
      <c r="D469" s="14"/>
      <c r="E469" s="14"/>
      <c r="F469" s="14"/>
      <c r="G469" s="14"/>
      <c r="H469" s="14"/>
    </row>
    <row r="470" ht="22.5" customHeight="1">
      <c r="A470" s="7">
        <v>468.0</v>
      </c>
      <c r="B470" s="8"/>
      <c r="C470" s="16"/>
      <c r="D470" s="14"/>
      <c r="E470" s="14"/>
      <c r="F470" s="14"/>
      <c r="G470" s="14"/>
      <c r="H470" s="14"/>
    </row>
    <row r="471" ht="22.5" customHeight="1">
      <c r="A471" s="7">
        <v>469.0</v>
      </c>
      <c r="B471" s="8"/>
      <c r="C471" s="16"/>
      <c r="D471" s="14"/>
      <c r="E471" s="14"/>
      <c r="F471" s="14"/>
      <c r="G471" s="14"/>
      <c r="H471" s="14"/>
    </row>
    <row r="472" ht="22.5" customHeight="1">
      <c r="A472" s="7">
        <v>470.0</v>
      </c>
      <c r="B472" s="8"/>
      <c r="C472" s="16"/>
      <c r="D472" s="14"/>
      <c r="E472" s="14"/>
      <c r="F472" s="14"/>
      <c r="G472" s="14"/>
      <c r="H472" s="14"/>
    </row>
    <row r="473" ht="22.5" customHeight="1">
      <c r="A473" s="7">
        <v>471.0</v>
      </c>
      <c r="B473" s="8"/>
      <c r="C473" s="16"/>
      <c r="D473" s="14"/>
      <c r="E473" s="14"/>
      <c r="F473" s="14"/>
      <c r="G473" s="14"/>
      <c r="H473" s="14"/>
    </row>
    <row r="474" ht="22.5" customHeight="1">
      <c r="A474" s="7">
        <v>472.0</v>
      </c>
      <c r="B474" s="8"/>
      <c r="C474" s="16"/>
      <c r="D474" s="14"/>
      <c r="E474" s="14"/>
      <c r="F474" s="14"/>
      <c r="G474" s="14"/>
      <c r="H474" s="14"/>
    </row>
    <row r="475" ht="22.5" customHeight="1">
      <c r="A475" s="7">
        <v>473.0</v>
      </c>
      <c r="B475" s="8"/>
      <c r="C475" s="16"/>
      <c r="D475" s="14"/>
      <c r="E475" s="14"/>
      <c r="F475" s="14"/>
      <c r="G475" s="14"/>
      <c r="H475" s="14"/>
    </row>
    <row r="476" ht="22.5" customHeight="1">
      <c r="A476" s="7">
        <v>474.0</v>
      </c>
      <c r="B476" s="8"/>
      <c r="C476" s="16"/>
      <c r="D476" s="14"/>
      <c r="E476" s="14"/>
      <c r="F476" s="14"/>
      <c r="G476" s="14"/>
      <c r="H476" s="14"/>
    </row>
    <row r="477" ht="22.5" customHeight="1">
      <c r="A477" s="7">
        <v>475.0</v>
      </c>
      <c r="B477" s="8"/>
      <c r="C477" s="16"/>
      <c r="D477" s="14"/>
      <c r="E477" s="14"/>
      <c r="F477" s="14"/>
      <c r="G477" s="14"/>
      <c r="H477" s="14"/>
    </row>
    <row r="478" ht="22.5" customHeight="1">
      <c r="A478" s="7">
        <v>476.0</v>
      </c>
      <c r="B478" s="8"/>
      <c r="C478" s="16"/>
      <c r="D478" s="14"/>
      <c r="E478" s="14"/>
      <c r="F478" s="14"/>
      <c r="G478" s="14"/>
      <c r="H478" s="14"/>
    </row>
    <row r="479" ht="22.5" customHeight="1">
      <c r="A479" s="7">
        <v>477.0</v>
      </c>
      <c r="B479" s="8"/>
      <c r="C479" s="16"/>
      <c r="D479" s="14"/>
      <c r="E479" s="14"/>
      <c r="F479" s="14"/>
      <c r="G479" s="14"/>
      <c r="H479" s="14"/>
    </row>
    <row r="480" ht="22.5" customHeight="1">
      <c r="A480" s="7">
        <v>478.0</v>
      </c>
      <c r="B480" s="8"/>
      <c r="C480" s="16"/>
      <c r="D480" s="14"/>
      <c r="E480" s="14"/>
      <c r="F480" s="14"/>
      <c r="G480" s="14"/>
      <c r="H480" s="14"/>
    </row>
    <row r="481" ht="22.5" customHeight="1">
      <c r="A481" s="7">
        <v>479.0</v>
      </c>
      <c r="B481" s="8"/>
      <c r="C481" s="16"/>
      <c r="D481" s="14"/>
      <c r="E481" s="14"/>
      <c r="F481" s="14"/>
      <c r="G481" s="14"/>
      <c r="H481" s="14"/>
    </row>
    <row r="482" ht="22.5" customHeight="1">
      <c r="A482" s="7">
        <v>480.0</v>
      </c>
      <c r="B482" s="8"/>
      <c r="C482" s="16"/>
      <c r="D482" s="14"/>
      <c r="E482" s="14"/>
      <c r="F482" s="14"/>
      <c r="G482" s="14"/>
      <c r="H482" s="14"/>
    </row>
    <row r="483" ht="22.5" customHeight="1">
      <c r="A483" s="7">
        <v>481.0</v>
      </c>
      <c r="B483" s="8"/>
      <c r="C483" s="16"/>
      <c r="D483" s="14"/>
      <c r="E483" s="14"/>
      <c r="F483" s="14"/>
      <c r="G483" s="14"/>
      <c r="H483" s="14"/>
    </row>
    <row r="484" ht="22.5" customHeight="1">
      <c r="A484" s="7">
        <v>482.0</v>
      </c>
      <c r="B484" s="8"/>
      <c r="C484" s="16"/>
      <c r="D484" s="14"/>
      <c r="E484" s="14"/>
      <c r="F484" s="14"/>
      <c r="G484" s="14"/>
      <c r="H484" s="14"/>
    </row>
    <row r="485" ht="22.5" customHeight="1">
      <c r="A485" s="7">
        <v>483.0</v>
      </c>
      <c r="B485" s="8"/>
      <c r="C485" s="16"/>
      <c r="D485" s="14"/>
      <c r="E485" s="14"/>
      <c r="F485" s="14"/>
      <c r="G485" s="14"/>
      <c r="H485" s="14"/>
    </row>
    <row r="486" ht="22.5" customHeight="1">
      <c r="A486" s="7">
        <v>484.0</v>
      </c>
      <c r="B486" s="8"/>
      <c r="C486" s="16"/>
      <c r="D486" s="14"/>
      <c r="E486" s="14"/>
      <c r="F486" s="14"/>
      <c r="G486" s="14"/>
      <c r="H486" s="14"/>
    </row>
    <row r="487" ht="22.5" customHeight="1">
      <c r="A487" s="7">
        <v>485.0</v>
      </c>
      <c r="B487" s="8"/>
      <c r="C487" s="16"/>
      <c r="D487" s="14"/>
      <c r="E487" s="14"/>
      <c r="F487" s="14"/>
      <c r="G487" s="14"/>
      <c r="H487" s="14"/>
    </row>
    <row r="488" ht="22.5" customHeight="1">
      <c r="A488" s="7">
        <v>486.0</v>
      </c>
      <c r="B488" s="8"/>
      <c r="C488" s="16"/>
      <c r="D488" s="14"/>
      <c r="E488" s="14"/>
      <c r="F488" s="14"/>
      <c r="G488" s="14"/>
      <c r="H488" s="14"/>
    </row>
    <row r="489" ht="22.5" customHeight="1">
      <c r="A489" s="7">
        <v>487.0</v>
      </c>
      <c r="B489" s="8"/>
      <c r="C489" s="16"/>
      <c r="D489" s="14"/>
      <c r="E489" s="14"/>
      <c r="F489" s="14"/>
      <c r="G489" s="14"/>
      <c r="H489" s="14"/>
    </row>
    <row r="490" ht="22.5" customHeight="1">
      <c r="A490" s="7">
        <v>488.0</v>
      </c>
      <c r="B490" s="8"/>
      <c r="C490" s="16"/>
      <c r="D490" s="14"/>
      <c r="E490" s="14"/>
      <c r="F490" s="14"/>
      <c r="G490" s="14"/>
      <c r="H490" s="14"/>
    </row>
    <row r="491" ht="22.5" customHeight="1">
      <c r="A491" s="7">
        <v>489.0</v>
      </c>
      <c r="B491" s="8"/>
      <c r="C491" s="16"/>
      <c r="D491" s="14"/>
      <c r="E491" s="14"/>
      <c r="F491" s="14"/>
      <c r="G491" s="14"/>
      <c r="H491" s="14"/>
    </row>
    <row r="492" ht="22.5" customHeight="1">
      <c r="A492" s="7">
        <v>490.0</v>
      </c>
      <c r="B492" s="8"/>
      <c r="C492" s="16"/>
      <c r="D492" s="14"/>
      <c r="E492" s="14"/>
      <c r="F492" s="14"/>
      <c r="G492" s="14"/>
      <c r="H492" s="14"/>
    </row>
    <row r="493" ht="22.5" customHeight="1">
      <c r="A493" s="7">
        <v>491.0</v>
      </c>
      <c r="B493" s="8"/>
      <c r="C493" s="16"/>
      <c r="D493" s="14"/>
      <c r="E493" s="14"/>
      <c r="F493" s="14"/>
      <c r="G493" s="14"/>
      <c r="H493" s="14"/>
    </row>
    <row r="494" ht="22.5" customHeight="1">
      <c r="A494" s="7">
        <v>492.0</v>
      </c>
      <c r="B494" s="8"/>
      <c r="C494" s="16"/>
      <c r="D494" s="14"/>
      <c r="E494" s="14"/>
      <c r="F494" s="14"/>
      <c r="G494" s="14"/>
      <c r="H494" s="14"/>
    </row>
    <row r="495" ht="22.5" customHeight="1">
      <c r="A495" s="7">
        <v>493.0</v>
      </c>
      <c r="B495" s="8"/>
      <c r="C495" s="16"/>
      <c r="D495" s="14"/>
      <c r="E495" s="14"/>
      <c r="F495" s="14"/>
      <c r="G495" s="14"/>
      <c r="H495" s="14"/>
    </row>
    <row r="496" ht="22.5" customHeight="1">
      <c r="A496" s="7">
        <v>494.0</v>
      </c>
      <c r="B496" s="8"/>
      <c r="C496" s="16"/>
      <c r="D496" s="14"/>
      <c r="E496" s="14"/>
      <c r="F496" s="14"/>
      <c r="G496" s="14"/>
      <c r="H496" s="14"/>
    </row>
    <row r="497" ht="22.5" customHeight="1">
      <c r="A497" s="7">
        <v>495.0</v>
      </c>
      <c r="B497" s="8"/>
      <c r="C497" s="16"/>
      <c r="D497" s="14"/>
      <c r="E497" s="14"/>
      <c r="F497" s="14"/>
      <c r="G497" s="14"/>
      <c r="H497" s="14"/>
    </row>
    <row r="498" ht="22.5" customHeight="1">
      <c r="A498" s="7">
        <v>496.0</v>
      </c>
      <c r="B498" s="8"/>
      <c r="C498" s="16"/>
      <c r="D498" s="14"/>
      <c r="E498" s="14"/>
      <c r="F498" s="14"/>
      <c r="G498" s="14"/>
      <c r="H498" s="14"/>
    </row>
    <row r="499" ht="22.5" customHeight="1">
      <c r="A499" s="7">
        <v>497.0</v>
      </c>
      <c r="B499" s="8"/>
      <c r="C499" s="16"/>
      <c r="D499" s="14"/>
      <c r="E499" s="14"/>
      <c r="F499" s="14"/>
      <c r="G499" s="14"/>
      <c r="H499" s="14"/>
    </row>
    <row r="500" ht="22.5" customHeight="1">
      <c r="A500" s="7">
        <v>498.0</v>
      </c>
      <c r="B500" s="8"/>
      <c r="C500" s="16"/>
      <c r="D500" s="14"/>
      <c r="E500" s="14"/>
      <c r="F500" s="14"/>
      <c r="G500" s="14"/>
      <c r="H500" s="14"/>
    </row>
    <row r="501" ht="22.5" customHeight="1">
      <c r="A501" s="7">
        <v>499.0</v>
      </c>
      <c r="B501" s="8"/>
      <c r="C501" s="16"/>
      <c r="D501" s="14"/>
      <c r="E501" s="14"/>
      <c r="F501" s="14"/>
      <c r="G501" s="14"/>
      <c r="H501" s="14"/>
    </row>
    <row r="502" ht="22.5" customHeight="1">
      <c r="A502" s="7">
        <v>500.0</v>
      </c>
      <c r="B502" s="8"/>
      <c r="C502" s="16"/>
      <c r="D502" s="14"/>
      <c r="E502" s="14"/>
      <c r="F502" s="14"/>
      <c r="G502" s="14"/>
      <c r="H502" s="14"/>
    </row>
    <row r="503" ht="22.5" customHeight="1">
      <c r="A503" s="7">
        <v>501.0</v>
      </c>
      <c r="B503" s="8"/>
      <c r="C503" s="16"/>
      <c r="D503" s="14"/>
      <c r="E503" s="14"/>
      <c r="F503" s="14"/>
      <c r="G503" s="14"/>
      <c r="H503" s="14"/>
    </row>
    <row r="504" ht="22.5" customHeight="1">
      <c r="A504" s="7">
        <v>502.0</v>
      </c>
      <c r="B504" s="8"/>
      <c r="C504" s="16"/>
      <c r="D504" s="14"/>
      <c r="E504" s="14"/>
      <c r="F504" s="14"/>
      <c r="G504" s="14"/>
      <c r="H504" s="14"/>
    </row>
    <row r="505" ht="22.5" customHeight="1">
      <c r="A505" s="7">
        <v>503.0</v>
      </c>
      <c r="B505" s="8"/>
      <c r="C505" s="16"/>
      <c r="D505" s="14"/>
      <c r="E505" s="14"/>
      <c r="F505" s="14"/>
      <c r="G505" s="14"/>
      <c r="H505" s="14"/>
    </row>
    <row r="506" ht="22.5" customHeight="1">
      <c r="A506" s="7">
        <v>504.0</v>
      </c>
      <c r="B506" s="8"/>
      <c r="C506" s="16"/>
      <c r="D506" s="14"/>
      <c r="E506" s="14"/>
      <c r="F506" s="14"/>
      <c r="G506" s="14"/>
      <c r="H506" s="14"/>
    </row>
    <row r="507" ht="22.5" customHeight="1">
      <c r="A507" s="7">
        <v>505.0</v>
      </c>
      <c r="B507" s="8"/>
      <c r="C507" s="16"/>
      <c r="D507" s="14"/>
      <c r="E507" s="14"/>
      <c r="F507" s="14"/>
      <c r="G507" s="14"/>
      <c r="H507" s="14"/>
    </row>
    <row r="508" ht="22.5" customHeight="1">
      <c r="A508" s="7">
        <v>506.0</v>
      </c>
      <c r="B508" s="8"/>
      <c r="C508" s="16"/>
      <c r="D508" s="14"/>
      <c r="E508" s="14"/>
      <c r="F508" s="14"/>
      <c r="G508" s="14"/>
      <c r="H508" s="14"/>
    </row>
    <row r="509" ht="22.5" customHeight="1">
      <c r="A509" s="7">
        <v>507.0</v>
      </c>
      <c r="B509" s="8"/>
      <c r="C509" s="16"/>
      <c r="D509" s="14"/>
      <c r="E509" s="14"/>
      <c r="F509" s="14"/>
      <c r="G509" s="14"/>
      <c r="H509" s="14"/>
    </row>
    <row r="510" ht="22.5" customHeight="1">
      <c r="A510" s="7">
        <v>508.0</v>
      </c>
      <c r="B510" s="8"/>
      <c r="C510" s="16"/>
      <c r="D510" s="14"/>
      <c r="E510" s="14"/>
      <c r="F510" s="14"/>
      <c r="G510" s="14"/>
      <c r="H510" s="14"/>
    </row>
    <row r="511" ht="22.5" customHeight="1">
      <c r="A511" s="7">
        <v>509.0</v>
      </c>
      <c r="B511" s="8"/>
      <c r="C511" s="16"/>
      <c r="D511" s="14"/>
      <c r="E511" s="14"/>
      <c r="F511" s="14"/>
      <c r="G511" s="14"/>
      <c r="H511" s="14"/>
    </row>
    <row r="512" ht="22.5" customHeight="1">
      <c r="A512" s="7">
        <v>510.0</v>
      </c>
      <c r="B512" s="8"/>
      <c r="C512" s="16"/>
      <c r="D512" s="14"/>
      <c r="E512" s="14"/>
      <c r="F512" s="14"/>
      <c r="G512" s="14"/>
      <c r="H512" s="14"/>
    </row>
    <row r="513" ht="22.5" customHeight="1">
      <c r="A513" s="7">
        <v>511.0</v>
      </c>
      <c r="B513" s="8"/>
      <c r="C513" s="16"/>
      <c r="D513" s="14"/>
      <c r="E513" s="14"/>
      <c r="F513" s="14"/>
      <c r="G513" s="14"/>
      <c r="H513" s="14"/>
    </row>
    <row r="514" ht="22.5" customHeight="1">
      <c r="A514" s="7">
        <v>512.0</v>
      </c>
      <c r="B514" s="8"/>
      <c r="C514" s="16"/>
      <c r="D514" s="14"/>
      <c r="E514" s="14"/>
      <c r="F514" s="14"/>
      <c r="G514" s="14"/>
      <c r="H514" s="14"/>
    </row>
    <row r="515" ht="22.5" customHeight="1">
      <c r="A515" s="7">
        <v>513.0</v>
      </c>
      <c r="B515" s="8"/>
      <c r="C515" s="16"/>
      <c r="D515" s="14"/>
      <c r="E515" s="14"/>
      <c r="F515" s="14"/>
      <c r="G515" s="14"/>
      <c r="H515" s="14"/>
    </row>
    <row r="516" ht="22.5" customHeight="1">
      <c r="A516" s="7">
        <v>514.0</v>
      </c>
      <c r="B516" s="8"/>
      <c r="C516" s="16"/>
      <c r="D516" s="14"/>
      <c r="E516" s="14"/>
      <c r="F516" s="14"/>
      <c r="G516" s="14"/>
      <c r="H516" s="14"/>
    </row>
    <row r="517" ht="22.5" customHeight="1">
      <c r="A517" s="7">
        <v>515.0</v>
      </c>
      <c r="B517" s="8"/>
      <c r="C517" s="16"/>
      <c r="D517" s="14"/>
      <c r="E517" s="14"/>
      <c r="F517" s="14"/>
      <c r="G517" s="14"/>
      <c r="H517" s="14"/>
    </row>
    <row r="518" ht="22.5" customHeight="1">
      <c r="A518" s="7">
        <v>516.0</v>
      </c>
      <c r="B518" s="8"/>
      <c r="C518" s="16"/>
      <c r="D518" s="14"/>
      <c r="E518" s="14"/>
      <c r="F518" s="14"/>
      <c r="G518" s="14"/>
      <c r="H518" s="14"/>
    </row>
    <row r="519" ht="22.5" customHeight="1">
      <c r="A519" s="7">
        <v>517.0</v>
      </c>
      <c r="B519" s="8"/>
      <c r="C519" s="16"/>
      <c r="D519" s="14"/>
      <c r="E519" s="14"/>
      <c r="F519" s="14"/>
      <c r="G519" s="14"/>
      <c r="H519" s="14"/>
    </row>
    <row r="520" ht="22.5" customHeight="1">
      <c r="A520" s="7">
        <v>518.0</v>
      </c>
      <c r="B520" s="8"/>
      <c r="C520" s="16"/>
      <c r="D520" s="14"/>
      <c r="E520" s="14"/>
      <c r="F520" s="14"/>
      <c r="G520" s="14"/>
      <c r="H520" s="14"/>
    </row>
    <row r="521" ht="22.5" customHeight="1">
      <c r="A521" s="7">
        <v>519.0</v>
      </c>
      <c r="B521" s="8"/>
      <c r="C521" s="16"/>
      <c r="D521" s="14"/>
      <c r="E521" s="14"/>
      <c r="F521" s="14"/>
      <c r="G521" s="14"/>
      <c r="H521" s="14"/>
    </row>
    <row r="522" ht="22.5" customHeight="1">
      <c r="A522" s="7">
        <v>520.0</v>
      </c>
      <c r="B522" s="8"/>
      <c r="C522" s="16"/>
      <c r="D522" s="14"/>
      <c r="E522" s="14"/>
      <c r="F522" s="14"/>
      <c r="G522" s="14"/>
      <c r="H522" s="14"/>
    </row>
    <row r="523" ht="22.5" customHeight="1">
      <c r="A523" s="7">
        <v>521.0</v>
      </c>
      <c r="B523" s="8"/>
      <c r="C523" s="16"/>
      <c r="D523" s="14"/>
      <c r="E523" s="14"/>
      <c r="F523" s="14"/>
      <c r="G523" s="14"/>
      <c r="H523" s="14"/>
    </row>
    <row r="524" ht="22.5" customHeight="1">
      <c r="A524" s="7">
        <v>522.0</v>
      </c>
      <c r="B524" s="8"/>
      <c r="C524" s="16"/>
      <c r="D524" s="14"/>
      <c r="E524" s="14"/>
      <c r="F524" s="14"/>
      <c r="G524" s="14"/>
      <c r="H524" s="14"/>
    </row>
    <row r="525" ht="22.5" customHeight="1">
      <c r="A525" s="7">
        <v>523.0</v>
      </c>
      <c r="B525" s="8"/>
      <c r="C525" s="16"/>
      <c r="D525" s="14"/>
      <c r="E525" s="14"/>
      <c r="F525" s="14"/>
      <c r="G525" s="14"/>
      <c r="H525" s="14"/>
    </row>
    <row r="526" ht="22.5" customHeight="1">
      <c r="A526" s="7">
        <v>524.0</v>
      </c>
      <c r="B526" s="8"/>
      <c r="C526" s="16"/>
      <c r="D526" s="14"/>
      <c r="E526" s="14"/>
      <c r="F526" s="14"/>
      <c r="G526" s="14"/>
      <c r="H526" s="14"/>
    </row>
    <row r="527" ht="22.5" customHeight="1">
      <c r="A527" s="7">
        <v>525.0</v>
      </c>
      <c r="B527" s="8"/>
      <c r="C527" s="16"/>
      <c r="D527" s="14"/>
      <c r="E527" s="14"/>
      <c r="F527" s="14"/>
      <c r="G527" s="14"/>
      <c r="H527" s="14"/>
    </row>
    <row r="528" ht="22.5" customHeight="1">
      <c r="A528" s="7">
        <v>526.0</v>
      </c>
      <c r="B528" s="8"/>
      <c r="C528" s="16"/>
      <c r="D528" s="14"/>
      <c r="E528" s="14"/>
      <c r="F528" s="14"/>
      <c r="G528" s="14"/>
      <c r="H528" s="14"/>
    </row>
    <row r="529" ht="22.5" customHeight="1">
      <c r="A529" s="7">
        <v>527.0</v>
      </c>
      <c r="B529" s="8"/>
      <c r="C529" s="16"/>
      <c r="D529" s="14"/>
      <c r="E529" s="14"/>
      <c r="F529" s="14"/>
      <c r="G529" s="14"/>
      <c r="H529" s="14"/>
    </row>
    <row r="530" ht="22.5" customHeight="1">
      <c r="A530" s="7">
        <v>528.0</v>
      </c>
      <c r="B530" s="8"/>
      <c r="C530" s="16"/>
      <c r="D530" s="14"/>
      <c r="E530" s="14"/>
      <c r="F530" s="14"/>
      <c r="G530" s="14"/>
      <c r="H530" s="14"/>
    </row>
    <row r="531" ht="22.5" customHeight="1">
      <c r="A531" s="7">
        <v>529.0</v>
      </c>
      <c r="B531" s="8"/>
      <c r="C531" s="16"/>
      <c r="D531" s="14"/>
      <c r="E531" s="14"/>
      <c r="F531" s="14"/>
      <c r="G531" s="14"/>
      <c r="H531" s="14"/>
    </row>
    <row r="532" ht="22.5" customHeight="1">
      <c r="A532" s="7">
        <v>530.0</v>
      </c>
      <c r="B532" s="8"/>
      <c r="C532" s="16"/>
      <c r="D532" s="14"/>
      <c r="E532" s="14"/>
      <c r="F532" s="14"/>
      <c r="G532" s="14"/>
      <c r="H532" s="14"/>
    </row>
    <row r="533" ht="22.5" customHeight="1">
      <c r="A533" s="7">
        <v>531.0</v>
      </c>
      <c r="B533" s="8"/>
      <c r="C533" s="16"/>
      <c r="D533" s="14"/>
      <c r="E533" s="14"/>
      <c r="F533" s="14"/>
      <c r="G533" s="14"/>
      <c r="H533" s="14"/>
    </row>
    <row r="534" ht="22.5" customHeight="1">
      <c r="A534" s="7">
        <v>532.0</v>
      </c>
      <c r="B534" s="8"/>
      <c r="C534" s="16"/>
      <c r="D534" s="14"/>
      <c r="E534" s="14"/>
      <c r="F534" s="14"/>
      <c r="G534" s="14"/>
      <c r="H534" s="14"/>
    </row>
    <row r="535" ht="22.5" customHeight="1">
      <c r="A535" s="7">
        <v>533.0</v>
      </c>
      <c r="B535" s="8"/>
      <c r="C535" s="16"/>
      <c r="D535" s="14"/>
      <c r="E535" s="14"/>
      <c r="F535" s="14"/>
      <c r="G535" s="14"/>
      <c r="H535" s="14"/>
    </row>
    <row r="536" ht="22.5" customHeight="1">
      <c r="A536" s="7">
        <v>534.0</v>
      </c>
      <c r="B536" s="8"/>
      <c r="C536" s="16"/>
      <c r="D536" s="14"/>
      <c r="E536" s="14"/>
      <c r="F536" s="14"/>
      <c r="G536" s="14"/>
      <c r="H536" s="14"/>
    </row>
    <row r="537" ht="22.5" customHeight="1">
      <c r="A537" s="7">
        <v>535.0</v>
      </c>
      <c r="B537" s="8"/>
      <c r="C537" s="16"/>
      <c r="D537" s="14"/>
      <c r="E537" s="14"/>
      <c r="F537" s="14"/>
      <c r="G537" s="14"/>
      <c r="H537" s="14"/>
    </row>
    <row r="538" ht="22.5" customHeight="1">
      <c r="A538" s="7">
        <v>536.0</v>
      </c>
      <c r="B538" s="8"/>
      <c r="C538" s="16"/>
      <c r="D538" s="14"/>
      <c r="E538" s="14"/>
      <c r="F538" s="14"/>
      <c r="G538" s="14"/>
      <c r="H538" s="14"/>
    </row>
    <row r="539" ht="22.5" customHeight="1">
      <c r="A539" s="7">
        <v>537.0</v>
      </c>
      <c r="B539" s="8"/>
      <c r="C539" s="16"/>
      <c r="D539" s="14"/>
      <c r="E539" s="14"/>
      <c r="F539" s="14"/>
      <c r="G539" s="14"/>
      <c r="H539" s="14"/>
    </row>
    <row r="540" ht="22.5" customHeight="1">
      <c r="A540" s="7">
        <v>538.0</v>
      </c>
      <c r="B540" s="8"/>
      <c r="C540" s="16"/>
      <c r="D540" s="14"/>
      <c r="E540" s="14"/>
      <c r="F540" s="14"/>
      <c r="G540" s="14"/>
      <c r="H540" s="14"/>
    </row>
    <row r="541" ht="22.5" customHeight="1">
      <c r="A541" s="7">
        <v>539.0</v>
      </c>
      <c r="B541" s="8"/>
      <c r="C541" s="16"/>
      <c r="D541" s="14"/>
      <c r="E541" s="14"/>
      <c r="F541" s="14"/>
      <c r="G541" s="14"/>
      <c r="H541" s="14"/>
    </row>
    <row r="542" ht="22.5" customHeight="1">
      <c r="A542" s="7">
        <v>540.0</v>
      </c>
      <c r="B542" s="8"/>
      <c r="C542" s="16"/>
      <c r="D542" s="14"/>
      <c r="E542" s="14"/>
      <c r="F542" s="14"/>
      <c r="G542" s="14"/>
      <c r="H542" s="14"/>
    </row>
    <row r="543" ht="22.5" customHeight="1">
      <c r="A543" s="7">
        <v>541.0</v>
      </c>
      <c r="B543" s="8"/>
      <c r="C543" s="16"/>
      <c r="D543" s="14"/>
      <c r="E543" s="14"/>
      <c r="F543" s="14"/>
      <c r="G543" s="14"/>
      <c r="H543" s="14"/>
    </row>
    <row r="544" ht="22.5" customHeight="1">
      <c r="A544" s="7">
        <v>542.0</v>
      </c>
      <c r="B544" s="8"/>
      <c r="C544" s="16"/>
      <c r="D544" s="14"/>
      <c r="E544" s="14"/>
      <c r="F544" s="14"/>
      <c r="G544" s="14"/>
      <c r="H544" s="14"/>
    </row>
    <row r="545" ht="22.5" customHeight="1">
      <c r="A545" s="7">
        <v>543.0</v>
      </c>
      <c r="B545" s="8"/>
      <c r="C545" s="16"/>
      <c r="D545" s="14"/>
      <c r="E545" s="14"/>
      <c r="F545" s="14"/>
      <c r="G545" s="14"/>
      <c r="H545" s="14"/>
    </row>
    <row r="546" ht="22.5" customHeight="1">
      <c r="A546" s="7">
        <v>544.0</v>
      </c>
      <c r="B546" s="8"/>
      <c r="C546" s="16"/>
      <c r="D546" s="14"/>
      <c r="E546" s="14"/>
      <c r="F546" s="14"/>
      <c r="G546" s="14"/>
      <c r="H546" s="14"/>
    </row>
    <row r="547" ht="22.5" customHeight="1">
      <c r="A547" s="7">
        <v>545.0</v>
      </c>
      <c r="B547" s="8"/>
      <c r="C547" s="16"/>
      <c r="D547" s="14"/>
      <c r="E547" s="14"/>
      <c r="F547" s="14"/>
      <c r="G547" s="14"/>
      <c r="H547" s="14"/>
    </row>
    <row r="548" ht="22.5" customHeight="1">
      <c r="A548" s="7">
        <v>546.0</v>
      </c>
      <c r="B548" s="8"/>
      <c r="C548" s="16"/>
      <c r="D548" s="14"/>
      <c r="E548" s="14"/>
      <c r="F548" s="14"/>
      <c r="G548" s="14"/>
      <c r="H548" s="14"/>
    </row>
    <row r="549" ht="22.5" customHeight="1">
      <c r="A549" s="7">
        <v>547.0</v>
      </c>
      <c r="B549" s="8"/>
      <c r="C549" s="16"/>
      <c r="D549" s="14"/>
      <c r="E549" s="14"/>
      <c r="F549" s="14"/>
      <c r="G549" s="14"/>
      <c r="H549" s="14"/>
    </row>
    <row r="550" ht="22.5" customHeight="1">
      <c r="A550" s="7">
        <v>548.0</v>
      </c>
      <c r="B550" s="8"/>
      <c r="C550" s="16"/>
      <c r="D550" s="14"/>
      <c r="E550" s="14"/>
      <c r="F550" s="14"/>
      <c r="G550" s="14"/>
      <c r="H550" s="14"/>
    </row>
    <row r="551" ht="22.5" customHeight="1">
      <c r="A551" s="7">
        <v>549.0</v>
      </c>
      <c r="B551" s="8"/>
      <c r="C551" s="16"/>
      <c r="D551" s="14"/>
      <c r="E551" s="14"/>
      <c r="F551" s="14"/>
      <c r="G551" s="14"/>
      <c r="H551" s="14"/>
    </row>
    <row r="552" ht="22.5" customHeight="1">
      <c r="A552" s="7">
        <v>550.0</v>
      </c>
      <c r="B552" s="8"/>
      <c r="C552" s="16"/>
      <c r="D552" s="14"/>
      <c r="E552" s="14"/>
      <c r="F552" s="14"/>
      <c r="G552" s="14"/>
      <c r="H552" s="14"/>
    </row>
    <row r="553" ht="22.5" customHeight="1">
      <c r="A553" s="7">
        <v>551.0</v>
      </c>
      <c r="B553" s="8"/>
      <c r="C553" s="16"/>
      <c r="D553" s="14"/>
      <c r="E553" s="14"/>
      <c r="F553" s="14"/>
      <c r="G553" s="14"/>
      <c r="H553" s="14"/>
    </row>
    <row r="554" ht="22.5" customHeight="1">
      <c r="A554" s="7">
        <v>552.0</v>
      </c>
      <c r="B554" s="8"/>
      <c r="C554" s="16"/>
      <c r="D554" s="14"/>
      <c r="E554" s="14"/>
      <c r="F554" s="14"/>
      <c r="G554" s="14"/>
      <c r="H554" s="14"/>
    </row>
    <row r="555" ht="22.5" customHeight="1">
      <c r="A555" s="7">
        <v>553.0</v>
      </c>
      <c r="B555" s="8"/>
      <c r="C555" s="16"/>
      <c r="D555" s="14"/>
      <c r="E555" s="14"/>
      <c r="F555" s="14"/>
      <c r="G555" s="14"/>
      <c r="H555" s="14"/>
    </row>
    <row r="556" ht="22.5" customHeight="1">
      <c r="A556" s="7">
        <v>554.0</v>
      </c>
      <c r="B556" s="8"/>
      <c r="C556" s="16"/>
      <c r="D556" s="14"/>
      <c r="E556" s="14"/>
      <c r="F556" s="14"/>
      <c r="G556" s="14"/>
      <c r="H556" s="14"/>
    </row>
    <row r="557" ht="22.5" customHeight="1">
      <c r="A557" s="7">
        <v>555.0</v>
      </c>
      <c r="B557" s="8"/>
      <c r="C557" s="16"/>
      <c r="D557" s="14"/>
      <c r="E557" s="14"/>
      <c r="F557" s="14"/>
      <c r="G557" s="14"/>
      <c r="H557" s="14"/>
    </row>
    <row r="558" ht="22.5" customHeight="1">
      <c r="A558" s="7">
        <v>556.0</v>
      </c>
      <c r="B558" s="8"/>
      <c r="C558" s="16"/>
      <c r="D558" s="14"/>
      <c r="E558" s="14"/>
      <c r="F558" s="14"/>
      <c r="G558" s="14"/>
      <c r="H558" s="14"/>
    </row>
    <row r="559" ht="22.5" customHeight="1">
      <c r="A559" s="7">
        <v>557.0</v>
      </c>
      <c r="B559" s="8"/>
      <c r="C559" s="16"/>
      <c r="D559" s="14"/>
      <c r="E559" s="14"/>
      <c r="F559" s="14"/>
      <c r="G559" s="14"/>
      <c r="H559" s="14"/>
    </row>
    <row r="560" ht="22.5" customHeight="1">
      <c r="A560" s="7">
        <v>558.0</v>
      </c>
      <c r="B560" s="8"/>
      <c r="C560" s="16"/>
      <c r="D560" s="14"/>
      <c r="E560" s="14"/>
      <c r="F560" s="14"/>
      <c r="G560" s="14"/>
      <c r="H560" s="14"/>
    </row>
    <row r="561" ht="22.5" customHeight="1">
      <c r="A561" s="7">
        <v>559.0</v>
      </c>
      <c r="B561" s="8"/>
      <c r="C561" s="16"/>
      <c r="D561" s="14"/>
      <c r="E561" s="14"/>
      <c r="F561" s="14"/>
      <c r="G561" s="14"/>
      <c r="H561" s="14"/>
    </row>
    <row r="562" ht="22.5" customHeight="1">
      <c r="A562" s="7">
        <v>560.0</v>
      </c>
      <c r="B562" s="8"/>
      <c r="C562" s="16"/>
      <c r="D562" s="14"/>
      <c r="E562" s="14"/>
      <c r="F562" s="14"/>
      <c r="G562" s="14"/>
      <c r="H562" s="14"/>
    </row>
    <row r="563" ht="22.5" customHeight="1">
      <c r="A563" s="7">
        <v>561.0</v>
      </c>
      <c r="B563" s="8"/>
      <c r="C563" s="16"/>
      <c r="D563" s="14"/>
      <c r="E563" s="14"/>
      <c r="F563" s="14"/>
      <c r="G563" s="14"/>
      <c r="H563" s="14"/>
    </row>
    <row r="564" ht="22.5" customHeight="1">
      <c r="A564" s="7">
        <v>562.0</v>
      </c>
      <c r="B564" s="8"/>
      <c r="C564" s="16"/>
      <c r="D564" s="14"/>
      <c r="E564" s="14"/>
      <c r="F564" s="14"/>
      <c r="G564" s="14"/>
      <c r="H564" s="14"/>
    </row>
    <row r="565" ht="22.5" customHeight="1">
      <c r="A565" s="7">
        <v>563.0</v>
      </c>
      <c r="B565" s="8"/>
      <c r="C565" s="16"/>
      <c r="D565" s="14"/>
      <c r="E565" s="14"/>
      <c r="F565" s="14"/>
      <c r="G565" s="14"/>
      <c r="H565" s="14"/>
    </row>
    <row r="566" ht="22.5" customHeight="1">
      <c r="A566" s="7">
        <v>564.0</v>
      </c>
      <c r="B566" s="8"/>
      <c r="C566" s="16"/>
      <c r="D566" s="14"/>
      <c r="E566" s="14"/>
      <c r="F566" s="14"/>
      <c r="G566" s="14"/>
      <c r="H566" s="14"/>
    </row>
    <row r="567" ht="22.5" customHeight="1">
      <c r="A567" s="7">
        <v>565.0</v>
      </c>
      <c r="B567" s="8"/>
      <c r="C567" s="16"/>
      <c r="D567" s="14"/>
      <c r="E567" s="14"/>
      <c r="F567" s="14"/>
      <c r="G567" s="14"/>
      <c r="H567" s="14"/>
    </row>
    <row r="568" ht="22.5" customHeight="1">
      <c r="A568" s="7">
        <v>566.0</v>
      </c>
      <c r="B568" s="8"/>
      <c r="C568" s="16"/>
      <c r="D568" s="14"/>
      <c r="E568" s="14"/>
      <c r="F568" s="14"/>
      <c r="G568" s="14"/>
      <c r="H568" s="14"/>
    </row>
    <row r="569" ht="22.5" customHeight="1">
      <c r="A569" s="7">
        <v>567.0</v>
      </c>
      <c r="B569" s="8"/>
      <c r="C569" s="16"/>
      <c r="D569" s="14"/>
      <c r="E569" s="14"/>
      <c r="F569" s="14"/>
      <c r="G569" s="14"/>
      <c r="H569" s="14"/>
    </row>
    <row r="570" ht="22.5" customHeight="1">
      <c r="A570" s="7">
        <v>568.0</v>
      </c>
      <c r="B570" s="8"/>
      <c r="C570" s="16"/>
      <c r="D570" s="14"/>
      <c r="E570" s="14"/>
      <c r="F570" s="14"/>
      <c r="G570" s="14"/>
      <c r="H570" s="14"/>
    </row>
    <row r="571" ht="22.5" customHeight="1">
      <c r="A571" s="7">
        <v>569.0</v>
      </c>
      <c r="B571" s="8"/>
      <c r="C571" s="16"/>
      <c r="D571" s="14"/>
      <c r="E571" s="14"/>
      <c r="F571" s="14"/>
      <c r="G571" s="14"/>
      <c r="H571" s="14"/>
    </row>
    <row r="572" ht="22.5" customHeight="1">
      <c r="A572" s="7">
        <v>570.0</v>
      </c>
      <c r="B572" s="8"/>
      <c r="C572" s="16"/>
      <c r="D572" s="14"/>
      <c r="E572" s="14"/>
      <c r="F572" s="14"/>
      <c r="G572" s="14"/>
      <c r="H572" s="14"/>
    </row>
    <row r="573" ht="22.5" customHeight="1">
      <c r="A573" s="7">
        <v>571.0</v>
      </c>
      <c r="B573" s="8"/>
      <c r="C573" s="16"/>
      <c r="D573" s="14"/>
      <c r="E573" s="14"/>
      <c r="F573" s="14"/>
      <c r="G573" s="14"/>
      <c r="H573" s="14"/>
    </row>
    <row r="574" ht="22.5" customHeight="1">
      <c r="A574" s="7">
        <v>572.0</v>
      </c>
      <c r="B574" s="8"/>
      <c r="C574" s="16"/>
      <c r="D574" s="14"/>
      <c r="E574" s="14"/>
      <c r="F574" s="14"/>
      <c r="G574" s="14"/>
      <c r="H574" s="14"/>
    </row>
    <row r="575" ht="22.5" customHeight="1">
      <c r="A575" s="7">
        <v>573.0</v>
      </c>
      <c r="B575" s="8"/>
      <c r="C575" s="16"/>
      <c r="D575" s="14"/>
      <c r="E575" s="14"/>
      <c r="F575" s="14"/>
      <c r="G575" s="14"/>
      <c r="H575" s="14"/>
    </row>
    <row r="576" ht="22.5" customHeight="1">
      <c r="A576" s="7">
        <v>574.0</v>
      </c>
      <c r="B576" s="8"/>
      <c r="C576" s="16"/>
      <c r="D576" s="14"/>
      <c r="E576" s="14"/>
      <c r="F576" s="14"/>
      <c r="G576" s="14"/>
      <c r="H576" s="14"/>
    </row>
    <row r="577" ht="22.5" customHeight="1">
      <c r="A577" s="7">
        <v>575.0</v>
      </c>
      <c r="B577" s="8"/>
      <c r="C577" s="16"/>
      <c r="D577" s="14"/>
      <c r="E577" s="14"/>
      <c r="F577" s="14"/>
      <c r="G577" s="14"/>
      <c r="H577" s="14"/>
    </row>
    <row r="578" ht="22.5" customHeight="1">
      <c r="A578" s="7">
        <v>576.0</v>
      </c>
      <c r="B578" s="8"/>
      <c r="C578" s="16"/>
      <c r="D578" s="14"/>
      <c r="E578" s="14"/>
      <c r="F578" s="14"/>
      <c r="G578" s="14"/>
      <c r="H578" s="14"/>
    </row>
    <row r="579" ht="22.5" customHeight="1">
      <c r="A579" s="7">
        <v>577.0</v>
      </c>
      <c r="B579" s="8"/>
      <c r="C579" s="16"/>
      <c r="D579" s="14"/>
      <c r="E579" s="14"/>
      <c r="F579" s="14"/>
      <c r="G579" s="14"/>
      <c r="H579" s="14"/>
    </row>
    <row r="580" ht="22.5" customHeight="1">
      <c r="A580" s="7">
        <v>578.0</v>
      </c>
      <c r="B580" s="8"/>
      <c r="C580" s="16"/>
      <c r="D580" s="14"/>
      <c r="E580" s="14"/>
      <c r="F580" s="14"/>
      <c r="G580" s="14"/>
      <c r="H580" s="14"/>
    </row>
    <row r="581" ht="22.5" customHeight="1">
      <c r="A581" s="7">
        <v>579.0</v>
      </c>
      <c r="B581" s="8"/>
      <c r="C581" s="16"/>
      <c r="D581" s="14"/>
      <c r="E581" s="14"/>
      <c r="F581" s="14"/>
      <c r="G581" s="14"/>
      <c r="H581" s="14"/>
    </row>
    <row r="582" ht="22.5" customHeight="1">
      <c r="A582" s="7">
        <v>580.0</v>
      </c>
      <c r="B582" s="8"/>
      <c r="C582" s="16"/>
      <c r="D582" s="14"/>
      <c r="E582" s="14"/>
      <c r="F582" s="14"/>
      <c r="G582" s="14"/>
      <c r="H582" s="14"/>
    </row>
    <row r="583" ht="22.5" customHeight="1">
      <c r="A583" s="7">
        <v>581.0</v>
      </c>
      <c r="B583" s="8"/>
      <c r="C583" s="16"/>
      <c r="D583" s="14"/>
      <c r="E583" s="14"/>
      <c r="F583" s="14"/>
      <c r="G583" s="14"/>
      <c r="H583" s="14"/>
    </row>
    <row r="584" ht="22.5" customHeight="1">
      <c r="A584" s="7">
        <v>582.0</v>
      </c>
      <c r="B584" s="8"/>
      <c r="C584" s="16"/>
      <c r="D584" s="14"/>
      <c r="E584" s="14"/>
      <c r="F584" s="14"/>
      <c r="G584" s="14"/>
      <c r="H584" s="14"/>
    </row>
    <row r="585" ht="22.5" customHeight="1">
      <c r="A585" s="7">
        <v>583.0</v>
      </c>
      <c r="B585" s="8"/>
      <c r="C585" s="16"/>
      <c r="D585" s="14"/>
      <c r="E585" s="14"/>
      <c r="F585" s="14"/>
      <c r="G585" s="14"/>
      <c r="H585" s="14"/>
    </row>
    <row r="586" ht="22.5" customHeight="1">
      <c r="A586" s="7">
        <v>584.0</v>
      </c>
      <c r="B586" s="8"/>
      <c r="C586" s="16"/>
      <c r="D586" s="14"/>
      <c r="E586" s="14"/>
      <c r="F586" s="14"/>
      <c r="G586" s="14"/>
      <c r="H586" s="14"/>
    </row>
    <row r="587" ht="22.5" customHeight="1">
      <c r="A587" s="7">
        <v>585.0</v>
      </c>
      <c r="B587" s="8"/>
      <c r="C587" s="16"/>
      <c r="D587" s="14"/>
      <c r="E587" s="14"/>
      <c r="F587" s="14"/>
      <c r="G587" s="14"/>
      <c r="H587" s="14"/>
    </row>
    <row r="588" ht="22.5" customHeight="1">
      <c r="A588" s="7">
        <v>586.0</v>
      </c>
      <c r="B588" s="8"/>
      <c r="C588" s="16"/>
      <c r="D588" s="14"/>
      <c r="E588" s="14"/>
      <c r="F588" s="14"/>
      <c r="G588" s="14"/>
      <c r="H588" s="14"/>
    </row>
    <row r="589" ht="22.5" customHeight="1">
      <c r="A589" s="7">
        <v>587.0</v>
      </c>
      <c r="B589" s="8"/>
      <c r="C589" s="16"/>
      <c r="D589" s="14"/>
      <c r="E589" s="14"/>
      <c r="F589" s="14"/>
      <c r="G589" s="14"/>
      <c r="H589" s="14"/>
    </row>
    <row r="590" ht="22.5" customHeight="1">
      <c r="A590" s="7">
        <v>588.0</v>
      </c>
      <c r="B590" s="8"/>
      <c r="C590" s="16"/>
      <c r="D590" s="14"/>
      <c r="E590" s="14"/>
      <c r="F590" s="14"/>
      <c r="G590" s="14"/>
      <c r="H590" s="14"/>
    </row>
    <row r="591" ht="22.5" customHeight="1">
      <c r="A591" s="7">
        <v>589.0</v>
      </c>
      <c r="B591" s="8"/>
      <c r="C591" s="16"/>
      <c r="D591" s="14"/>
      <c r="E591" s="14"/>
      <c r="F591" s="14"/>
      <c r="G591" s="14"/>
      <c r="H591" s="14"/>
    </row>
    <row r="592" ht="22.5" customHeight="1">
      <c r="A592" s="7">
        <v>590.0</v>
      </c>
      <c r="B592" s="8"/>
      <c r="C592" s="16"/>
      <c r="D592" s="14"/>
      <c r="E592" s="14"/>
      <c r="F592" s="14"/>
      <c r="G592" s="14"/>
      <c r="H592" s="14"/>
    </row>
    <row r="593" ht="22.5" customHeight="1">
      <c r="A593" s="7">
        <v>591.0</v>
      </c>
      <c r="B593" s="8"/>
      <c r="C593" s="16"/>
      <c r="D593" s="14"/>
      <c r="E593" s="14"/>
      <c r="F593" s="14"/>
      <c r="G593" s="14"/>
      <c r="H593" s="14"/>
    </row>
    <row r="594" ht="22.5" customHeight="1">
      <c r="A594" s="7">
        <v>592.0</v>
      </c>
      <c r="B594" s="8"/>
      <c r="C594" s="16"/>
      <c r="D594" s="14"/>
      <c r="E594" s="14"/>
      <c r="F594" s="14"/>
      <c r="G594" s="14"/>
      <c r="H594" s="14"/>
    </row>
    <row r="595" ht="22.5" customHeight="1">
      <c r="A595" s="7">
        <v>593.0</v>
      </c>
      <c r="B595" s="8"/>
      <c r="C595" s="16"/>
      <c r="D595" s="14"/>
      <c r="E595" s="14"/>
      <c r="F595" s="14"/>
      <c r="G595" s="14"/>
      <c r="H595" s="14"/>
    </row>
    <row r="596" ht="22.5" customHeight="1">
      <c r="A596" s="7">
        <v>594.0</v>
      </c>
      <c r="B596" s="8"/>
      <c r="C596" s="16"/>
      <c r="D596" s="14"/>
      <c r="E596" s="14"/>
      <c r="F596" s="14"/>
      <c r="G596" s="14"/>
      <c r="H596" s="14"/>
    </row>
    <row r="597" ht="22.5" customHeight="1">
      <c r="A597" s="7">
        <v>595.0</v>
      </c>
      <c r="B597" s="8"/>
      <c r="C597" s="16"/>
      <c r="D597" s="14"/>
      <c r="E597" s="14"/>
      <c r="F597" s="14"/>
      <c r="G597" s="14"/>
      <c r="H597" s="14"/>
    </row>
    <row r="598" ht="22.5" customHeight="1">
      <c r="A598" s="7">
        <v>596.0</v>
      </c>
      <c r="B598" s="8"/>
      <c r="C598" s="16"/>
      <c r="D598" s="14"/>
      <c r="E598" s="14"/>
      <c r="F598" s="14"/>
      <c r="G598" s="14"/>
      <c r="H598" s="14"/>
    </row>
    <row r="599" ht="22.5" customHeight="1">
      <c r="A599" s="7">
        <v>597.0</v>
      </c>
      <c r="B599" s="8"/>
      <c r="C599" s="16"/>
      <c r="D599" s="14"/>
      <c r="E599" s="14"/>
      <c r="F599" s="14"/>
      <c r="G599" s="14"/>
      <c r="H599" s="14"/>
    </row>
    <row r="600" ht="22.5" customHeight="1">
      <c r="A600" s="7">
        <v>598.0</v>
      </c>
      <c r="B600" s="8"/>
      <c r="C600" s="16"/>
      <c r="D600" s="14"/>
      <c r="E600" s="14"/>
      <c r="F600" s="14"/>
      <c r="G600" s="14"/>
      <c r="H600" s="14"/>
    </row>
    <row r="601" ht="22.5" customHeight="1">
      <c r="A601" s="7">
        <v>599.0</v>
      </c>
      <c r="B601" s="8"/>
      <c r="C601" s="16"/>
      <c r="D601" s="14"/>
      <c r="E601" s="14"/>
      <c r="F601" s="14"/>
      <c r="G601" s="14"/>
      <c r="H601" s="14"/>
    </row>
    <row r="602" ht="22.5" customHeight="1">
      <c r="A602" s="7">
        <v>600.0</v>
      </c>
      <c r="B602" s="8"/>
      <c r="C602" s="16"/>
      <c r="D602" s="14"/>
      <c r="E602" s="14"/>
      <c r="F602" s="14"/>
      <c r="G602" s="14"/>
      <c r="H602" s="14"/>
    </row>
    <row r="603" ht="22.5" customHeight="1">
      <c r="A603" s="7">
        <v>601.0</v>
      </c>
      <c r="B603" s="8"/>
      <c r="C603" s="16"/>
      <c r="D603" s="14"/>
      <c r="E603" s="14"/>
      <c r="F603" s="14"/>
      <c r="G603" s="14"/>
      <c r="H603" s="14"/>
    </row>
    <row r="604" ht="22.5" customHeight="1">
      <c r="A604" s="7">
        <v>602.0</v>
      </c>
      <c r="B604" s="8"/>
      <c r="C604" s="16"/>
      <c r="D604" s="14"/>
      <c r="E604" s="14"/>
      <c r="F604" s="14"/>
      <c r="G604" s="14"/>
      <c r="H604" s="14"/>
    </row>
    <row r="605" ht="22.5" customHeight="1">
      <c r="A605" s="7">
        <v>603.0</v>
      </c>
      <c r="B605" s="8"/>
      <c r="C605" s="16"/>
      <c r="D605" s="14"/>
      <c r="E605" s="14"/>
      <c r="F605" s="14"/>
      <c r="G605" s="14"/>
      <c r="H605" s="14"/>
    </row>
    <row r="606" ht="22.5" customHeight="1">
      <c r="A606" s="7">
        <v>604.0</v>
      </c>
      <c r="B606" s="8"/>
      <c r="C606" s="16"/>
      <c r="D606" s="14"/>
      <c r="E606" s="14"/>
      <c r="F606" s="14"/>
      <c r="G606" s="14"/>
      <c r="H606" s="14"/>
    </row>
    <row r="607" ht="22.5" customHeight="1">
      <c r="A607" s="7">
        <v>605.0</v>
      </c>
      <c r="B607" s="8"/>
      <c r="C607" s="16"/>
      <c r="D607" s="14"/>
      <c r="E607" s="14"/>
      <c r="F607" s="14"/>
      <c r="G607" s="14"/>
      <c r="H607" s="14"/>
    </row>
    <row r="608" ht="22.5" customHeight="1">
      <c r="A608" s="8"/>
      <c r="B608" s="8"/>
      <c r="C608" s="16"/>
      <c r="D608" s="14"/>
      <c r="E608" s="14"/>
      <c r="F608" s="14"/>
      <c r="G608" s="14"/>
      <c r="H608" s="14"/>
    </row>
    <row r="609" ht="22.5" customHeight="1">
      <c r="A609" s="8"/>
      <c r="B609" s="8"/>
      <c r="C609" s="16"/>
      <c r="D609" s="14"/>
      <c r="E609" s="14"/>
      <c r="F609" s="14"/>
      <c r="G609" s="14"/>
      <c r="H609" s="14"/>
    </row>
    <row r="610" ht="22.5" customHeight="1">
      <c r="A610" s="8"/>
      <c r="B610" s="8"/>
      <c r="C610" s="16"/>
      <c r="D610" s="14"/>
      <c r="E610" s="14"/>
      <c r="F610" s="14"/>
      <c r="G610" s="14"/>
      <c r="H610" s="14"/>
    </row>
    <row r="611" ht="22.5" customHeight="1">
      <c r="A611" s="8"/>
      <c r="B611" s="8"/>
      <c r="C611" s="16"/>
      <c r="D611" s="14"/>
      <c r="E611" s="14"/>
      <c r="F611" s="14"/>
      <c r="G611" s="14"/>
      <c r="H611" s="14"/>
    </row>
    <row r="612" ht="22.5" customHeight="1">
      <c r="A612" s="8"/>
      <c r="B612" s="8"/>
      <c r="C612" s="16"/>
      <c r="D612" s="14"/>
      <c r="E612" s="14"/>
      <c r="F612" s="14"/>
      <c r="G612" s="14"/>
      <c r="H612" s="14"/>
    </row>
    <row r="613" ht="22.5" customHeight="1">
      <c r="A613" s="8"/>
      <c r="B613" s="8"/>
      <c r="C613" s="16"/>
      <c r="D613" s="14"/>
      <c r="E613" s="14"/>
      <c r="F613" s="14"/>
      <c r="G613" s="14"/>
      <c r="H613" s="14"/>
    </row>
    <row r="614" ht="22.5" customHeight="1">
      <c r="A614" s="8"/>
      <c r="B614" s="8"/>
      <c r="C614" s="16"/>
      <c r="D614" s="14"/>
      <c r="E614" s="14"/>
      <c r="F614" s="14"/>
      <c r="G614" s="14"/>
      <c r="H614" s="14"/>
    </row>
    <row r="615" ht="22.5" customHeight="1">
      <c r="A615" s="8"/>
      <c r="B615" s="8"/>
      <c r="C615" s="16"/>
      <c r="D615" s="14"/>
      <c r="E615" s="14"/>
      <c r="F615" s="14"/>
      <c r="G615" s="14"/>
      <c r="H615" s="14"/>
    </row>
    <row r="616" ht="22.5" customHeight="1">
      <c r="A616" s="8"/>
      <c r="B616" s="8"/>
      <c r="C616" s="16"/>
      <c r="D616" s="14"/>
      <c r="E616" s="14"/>
      <c r="F616" s="14"/>
      <c r="G616" s="14"/>
      <c r="H616" s="14"/>
    </row>
    <row r="617" ht="22.5" customHeight="1">
      <c r="A617" s="8"/>
      <c r="B617" s="8"/>
      <c r="C617" s="16"/>
      <c r="D617" s="14"/>
      <c r="E617" s="14"/>
      <c r="F617" s="14"/>
      <c r="G617" s="14"/>
      <c r="H617" s="14"/>
    </row>
    <row r="618" ht="22.5" customHeight="1">
      <c r="A618" s="8"/>
      <c r="B618" s="8"/>
      <c r="C618" s="16"/>
      <c r="D618" s="14"/>
      <c r="E618" s="14"/>
      <c r="F618" s="14"/>
      <c r="G618" s="14"/>
      <c r="H618" s="14"/>
    </row>
    <row r="619" ht="22.5" customHeight="1">
      <c r="A619" s="8"/>
      <c r="B619" s="8"/>
      <c r="C619" s="16"/>
      <c r="D619" s="14"/>
      <c r="E619" s="14"/>
      <c r="F619" s="14"/>
      <c r="G619" s="14"/>
      <c r="H619" s="14"/>
    </row>
    <row r="620" ht="22.5" customHeight="1">
      <c r="A620" s="8"/>
      <c r="B620" s="8"/>
      <c r="C620" s="16"/>
      <c r="D620" s="14"/>
      <c r="E620" s="14"/>
      <c r="F620" s="14"/>
      <c r="G620" s="14"/>
      <c r="H620" s="14"/>
    </row>
    <row r="621" ht="22.5" customHeight="1">
      <c r="A621" s="8"/>
      <c r="B621" s="8"/>
      <c r="C621" s="16"/>
      <c r="D621" s="14"/>
      <c r="E621" s="14"/>
      <c r="F621" s="14"/>
      <c r="G621" s="14"/>
      <c r="H621" s="14"/>
    </row>
    <row r="622" ht="22.5" customHeight="1">
      <c r="A622" s="8"/>
      <c r="B622" s="8"/>
      <c r="C622" s="16"/>
      <c r="D622" s="14"/>
      <c r="E622" s="14"/>
      <c r="F622" s="14"/>
      <c r="G622" s="14"/>
      <c r="H622" s="14"/>
    </row>
    <row r="623" ht="22.5" customHeight="1">
      <c r="A623" s="8"/>
      <c r="B623" s="8"/>
      <c r="C623" s="16"/>
      <c r="D623" s="14"/>
      <c r="E623" s="14"/>
      <c r="F623" s="14"/>
      <c r="G623" s="14"/>
      <c r="H623" s="14"/>
    </row>
    <row r="624" ht="22.5" customHeight="1">
      <c r="A624" s="8"/>
      <c r="B624" s="8"/>
      <c r="C624" s="16"/>
      <c r="D624" s="14"/>
      <c r="E624" s="14"/>
      <c r="F624" s="14"/>
      <c r="G624" s="14"/>
      <c r="H624" s="14"/>
    </row>
    <row r="625" ht="22.5" customHeight="1">
      <c r="A625" s="8"/>
      <c r="B625" s="8"/>
      <c r="C625" s="16"/>
      <c r="D625" s="14"/>
      <c r="E625" s="14"/>
      <c r="F625" s="14"/>
      <c r="G625" s="14"/>
      <c r="H625" s="14"/>
    </row>
    <row r="626" ht="22.5" customHeight="1">
      <c r="A626" s="8"/>
      <c r="B626" s="8"/>
      <c r="C626" s="16"/>
      <c r="D626" s="14"/>
      <c r="E626" s="14"/>
      <c r="F626" s="14"/>
      <c r="G626" s="14"/>
      <c r="H626" s="14"/>
    </row>
    <row r="627" ht="22.5" customHeight="1">
      <c r="A627" s="8"/>
      <c r="B627" s="8"/>
      <c r="C627" s="16"/>
      <c r="D627" s="14"/>
      <c r="E627" s="14"/>
      <c r="F627" s="14"/>
      <c r="G627" s="14"/>
      <c r="H627" s="14"/>
    </row>
    <row r="628" ht="22.5" customHeight="1">
      <c r="A628" s="8"/>
      <c r="B628" s="8"/>
      <c r="C628" s="16"/>
      <c r="D628" s="14"/>
      <c r="E628" s="14"/>
      <c r="F628" s="14"/>
      <c r="G628" s="14"/>
      <c r="H628" s="14"/>
    </row>
    <row r="629" ht="22.5" customHeight="1">
      <c r="A629" s="8"/>
      <c r="B629" s="8"/>
      <c r="C629" s="16"/>
      <c r="D629" s="14"/>
      <c r="E629" s="14"/>
      <c r="F629" s="14"/>
      <c r="G629" s="14"/>
      <c r="H629" s="14"/>
    </row>
    <row r="630" ht="22.5" customHeight="1">
      <c r="A630" s="8"/>
      <c r="B630" s="8"/>
      <c r="C630" s="16"/>
      <c r="D630" s="14"/>
      <c r="E630" s="14"/>
      <c r="F630" s="14"/>
      <c r="G630" s="14"/>
      <c r="H630" s="14"/>
    </row>
    <row r="631" ht="22.5" customHeight="1">
      <c r="A631" s="8"/>
      <c r="B631" s="8"/>
      <c r="C631" s="16"/>
      <c r="D631" s="14"/>
      <c r="E631" s="14"/>
      <c r="F631" s="14"/>
      <c r="G631" s="14"/>
      <c r="H631" s="14"/>
    </row>
    <row r="632" ht="22.5" customHeight="1">
      <c r="A632" s="8"/>
      <c r="B632" s="8"/>
      <c r="C632" s="16"/>
      <c r="D632" s="14"/>
      <c r="E632" s="14"/>
      <c r="F632" s="14"/>
      <c r="G632" s="14"/>
      <c r="H632" s="14"/>
    </row>
    <row r="633" ht="22.5" customHeight="1">
      <c r="A633" s="8"/>
      <c r="B633" s="8"/>
      <c r="C633" s="16"/>
      <c r="D633" s="14"/>
      <c r="E633" s="14"/>
      <c r="F633" s="14"/>
      <c r="G633" s="14"/>
      <c r="H633" s="14"/>
    </row>
    <row r="634" ht="22.5" customHeight="1">
      <c r="A634" s="8"/>
      <c r="B634" s="8"/>
      <c r="C634" s="16"/>
      <c r="D634" s="14"/>
      <c r="E634" s="14"/>
      <c r="F634" s="14"/>
      <c r="G634" s="14"/>
      <c r="H634" s="14"/>
    </row>
    <row r="635" ht="22.5" customHeight="1">
      <c r="A635" s="8"/>
      <c r="B635" s="8"/>
      <c r="C635" s="16"/>
      <c r="D635" s="14"/>
      <c r="E635" s="14"/>
      <c r="F635" s="14"/>
      <c r="G635" s="14"/>
      <c r="H635" s="14"/>
    </row>
    <row r="636" ht="22.5" customHeight="1">
      <c r="A636" s="8"/>
      <c r="B636" s="8"/>
      <c r="C636" s="16"/>
      <c r="D636" s="14"/>
      <c r="E636" s="14"/>
      <c r="F636" s="14"/>
      <c r="G636" s="14"/>
      <c r="H636" s="14"/>
    </row>
    <row r="637" ht="22.5" customHeight="1">
      <c r="A637" s="8"/>
      <c r="B637" s="8"/>
      <c r="C637" s="16"/>
      <c r="D637" s="14"/>
      <c r="E637" s="14"/>
      <c r="F637" s="14"/>
      <c r="G637" s="14"/>
      <c r="H637" s="14"/>
    </row>
    <row r="638" ht="22.5" customHeight="1">
      <c r="A638" s="8"/>
      <c r="B638" s="8"/>
      <c r="C638" s="16"/>
      <c r="D638" s="14"/>
      <c r="E638" s="14"/>
      <c r="F638" s="14"/>
      <c r="G638" s="14"/>
      <c r="H638" s="14"/>
    </row>
    <row r="639" ht="22.5" customHeight="1">
      <c r="A639" s="8"/>
      <c r="B639" s="8"/>
      <c r="C639" s="16"/>
      <c r="D639" s="14"/>
      <c r="E639" s="14"/>
      <c r="F639" s="14"/>
      <c r="G639" s="14"/>
      <c r="H639" s="14"/>
    </row>
    <row r="640" ht="22.5" customHeight="1">
      <c r="A640" s="8"/>
      <c r="B640" s="8"/>
      <c r="C640" s="16"/>
      <c r="D640" s="14"/>
      <c r="E640" s="14"/>
      <c r="F640" s="14"/>
      <c r="G640" s="14"/>
      <c r="H640" s="14"/>
    </row>
    <row r="641" ht="22.5" customHeight="1">
      <c r="A641" s="8"/>
      <c r="B641" s="8"/>
      <c r="C641" s="16"/>
      <c r="D641" s="14"/>
      <c r="E641" s="14"/>
      <c r="F641" s="14"/>
      <c r="G641" s="14"/>
      <c r="H641" s="14"/>
    </row>
    <row r="642" ht="22.5" customHeight="1">
      <c r="A642" s="8"/>
      <c r="B642" s="8"/>
      <c r="C642" s="16"/>
      <c r="D642" s="14"/>
      <c r="E642" s="14"/>
      <c r="F642" s="14"/>
      <c r="G642" s="14"/>
      <c r="H642" s="14"/>
    </row>
    <row r="643" ht="22.5" customHeight="1">
      <c r="A643" s="8"/>
      <c r="B643" s="8"/>
      <c r="C643" s="16"/>
      <c r="D643" s="14"/>
      <c r="E643" s="14"/>
      <c r="F643" s="14"/>
      <c r="G643" s="14"/>
      <c r="H643" s="14"/>
    </row>
    <row r="644" ht="22.5" customHeight="1">
      <c r="A644" s="8"/>
      <c r="B644" s="8"/>
      <c r="C644" s="16"/>
      <c r="D644" s="14"/>
      <c r="E644" s="14"/>
      <c r="F644" s="14"/>
      <c r="G644" s="14"/>
      <c r="H644" s="14"/>
    </row>
    <row r="645" ht="22.5" customHeight="1">
      <c r="A645" s="8"/>
      <c r="B645" s="8"/>
      <c r="C645" s="16"/>
      <c r="D645" s="14"/>
      <c r="E645" s="14"/>
      <c r="F645" s="14"/>
      <c r="G645" s="14"/>
      <c r="H645" s="14"/>
    </row>
    <row r="646" ht="22.5" customHeight="1">
      <c r="A646" s="8"/>
      <c r="B646" s="8"/>
      <c r="C646" s="16"/>
      <c r="D646" s="14"/>
      <c r="E646" s="14"/>
      <c r="F646" s="14"/>
      <c r="G646" s="14"/>
      <c r="H646" s="14"/>
    </row>
    <row r="647" ht="22.5" customHeight="1">
      <c r="A647" s="8"/>
      <c r="B647" s="8"/>
      <c r="C647" s="16"/>
      <c r="D647" s="14"/>
      <c r="E647" s="14"/>
      <c r="F647" s="14"/>
      <c r="G647" s="14"/>
      <c r="H647" s="14"/>
    </row>
    <row r="648" ht="22.5" customHeight="1">
      <c r="A648" s="8"/>
      <c r="B648" s="8"/>
      <c r="C648" s="16"/>
      <c r="D648" s="14"/>
      <c r="E648" s="14"/>
      <c r="F648" s="14"/>
      <c r="G648" s="14"/>
      <c r="H648" s="14"/>
    </row>
    <row r="649" ht="22.5" customHeight="1">
      <c r="A649" s="8"/>
      <c r="B649" s="8"/>
      <c r="C649" s="16"/>
      <c r="D649" s="14"/>
      <c r="E649" s="14"/>
      <c r="F649" s="14"/>
      <c r="G649" s="14"/>
      <c r="H649" s="14"/>
    </row>
    <row r="650" ht="22.5" customHeight="1">
      <c r="A650" s="8"/>
      <c r="B650" s="8"/>
      <c r="C650" s="16"/>
      <c r="D650" s="14"/>
      <c r="E650" s="14"/>
      <c r="F650" s="14"/>
      <c r="G650" s="14"/>
      <c r="H650" s="14"/>
    </row>
    <row r="651" ht="22.5" customHeight="1">
      <c r="A651" s="8"/>
      <c r="B651" s="8"/>
      <c r="C651" s="16"/>
      <c r="D651" s="14"/>
      <c r="E651" s="14"/>
      <c r="F651" s="14"/>
      <c r="G651" s="14"/>
      <c r="H651" s="14"/>
    </row>
    <row r="652" ht="22.5" customHeight="1">
      <c r="A652" s="8"/>
      <c r="B652" s="8"/>
      <c r="C652" s="16"/>
      <c r="D652" s="14"/>
      <c r="E652" s="14"/>
      <c r="F652" s="14"/>
      <c r="G652" s="14"/>
      <c r="H652" s="14"/>
    </row>
    <row r="653" ht="22.5" customHeight="1">
      <c r="A653" s="8"/>
      <c r="B653" s="8"/>
      <c r="C653" s="16"/>
      <c r="D653" s="14"/>
      <c r="E653" s="14"/>
      <c r="F653" s="14"/>
      <c r="G653" s="14"/>
      <c r="H653" s="14"/>
    </row>
    <row r="654" ht="22.5" customHeight="1">
      <c r="A654" s="8"/>
      <c r="B654" s="8"/>
      <c r="C654" s="16"/>
      <c r="D654" s="14"/>
      <c r="E654" s="14"/>
      <c r="F654" s="14"/>
      <c r="G654" s="14"/>
      <c r="H654" s="14"/>
    </row>
    <row r="655" ht="22.5" customHeight="1">
      <c r="A655" s="8"/>
      <c r="B655" s="8"/>
      <c r="C655" s="16"/>
      <c r="D655" s="14"/>
      <c r="E655" s="14"/>
      <c r="F655" s="14"/>
      <c r="G655" s="14"/>
      <c r="H655" s="14"/>
    </row>
    <row r="656" ht="22.5" customHeight="1">
      <c r="A656" s="8"/>
      <c r="B656" s="8"/>
      <c r="C656" s="16"/>
      <c r="D656" s="14"/>
      <c r="E656" s="14"/>
      <c r="F656" s="14"/>
      <c r="G656" s="14"/>
      <c r="H656" s="14"/>
    </row>
    <row r="657" ht="22.5" customHeight="1">
      <c r="A657" s="8"/>
      <c r="B657" s="8"/>
      <c r="C657" s="16"/>
      <c r="D657" s="14"/>
      <c r="E657" s="14"/>
      <c r="F657" s="14"/>
      <c r="G657" s="14"/>
      <c r="H657" s="14"/>
    </row>
    <row r="658" ht="22.5" customHeight="1">
      <c r="A658" s="8"/>
      <c r="B658" s="8"/>
      <c r="C658" s="16"/>
      <c r="D658" s="14"/>
      <c r="E658" s="14"/>
      <c r="F658" s="14"/>
      <c r="G658" s="14"/>
      <c r="H658" s="14"/>
    </row>
    <row r="659" ht="22.5" customHeight="1">
      <c r="A659" s="8"/>
      <c r="B659" s="8"/>
      <c r="C659" s="16"/>
      <c r="D659" s="14"/>
      <c r="E659" s="14"/>
      <c r="F659" s="14"/>
      <c r="G659" s="14"/>
      <c r="H659" s="14"/>
    </row>
    <row r="660" ht="22.5" customHeight="1">
      <c r="A660" s="8"/>
      <c r="B660" s="8"/>
      <c r="C660" s="16"/>
      <c r="D660" s="14"/>
      <c r="E660" s="14"/>
      <c r="F660" s="14"/>
      <c r="G660" s="14"/>
      <c r="H660" s="14"/>
    </row>
    <row r="661" ht="22.5" customHeight="1">
      <c r="A661" s="8"/>
      <c r="B661" s="8"/>
      <c r="C661" s="16"/>
      <c r="D661" s="14"/>
      <c r="E661" s="14"/>
      <c r="F661" s="14"/>
      <c r="G661" s="14"/>
      <c r="H661" s="14"/>
    </row>
    <row r="662" ht="22.5" customHeight="1">
      <c r="A662" s="8"/>
      <c r="B662" s="8"/>
      <c r="C662" s="16"/>
      <c r="D662" s="14"/>
      <c r="E662" s="14"/>
      <c r="F662" s="14"/>
      <c r="G662" s="14"/>
      <c r="H662" s="14"/>
    </row>
    <row r="663" ht="22.5" customHeight="1">
      <c r="A663" s="8"/>
      <c r="B663" s="8"/>
      <c r="C663" s="16"/>
      <c r="D663" s="14"/>
      <c r="E663" s="14"/>
      <c r="F663" s="14"/>
      <c r="G663" s="14"/>
      <c r="H663" s="14"/>
    </row>
    <row r="664" ht="22.5" customHeight="1">
      <c r="A664" s="8"/>
      <c r="B664" s="8"/>
      <c r="C664" s="16"/>
      <c r="D664" s="14"/>
      <c r="E664" s="14"/>
      <c r="F664" s="14"/>
      <c r="G664" s="14"/>
      <c r="H664" s="14"/>
    </row>
    <row r="665" ht="22.5" customHeight="1">
      <c r="A665" s="8"/>
      <c r="B665" s="8"/>
      <c r="C665" s="16"/>
      <c r="D665" s="14"/>
      <c r="E665" s="14"/>
      <c r="F665" s="14"/>
      <c r="G665" s="14"/>
      <c r="H665" s="14"/>
    </row>
    <row r="666" ht="22.5" customHeight="1">
      <c r="A666" s="8"/>
      <c r="B666" s="8"/>
      <c r="C666" s="16"/>
      <c r="D666" s="14"/>
      <c r="E666" s="14"/>
      <c r="F666" s="14"/>
      <c r="G666" s="14"/>
      <c r="H666" s="14"/>
    </row>
    <row r="667" ht="22.5" customHeight="1">
      <c r="A667" s="8"/>
      <c r="B667" s="8"/>
      <c r="C667" s="16"/>
      <c r="D667" s="14"/>
      <c r="E667" s="14"/>
      <c r="F667" s="14"/>
      <c r="G667" s="14"/>
      <c r="H667" s="14"/>
    </row>
    <row r="668" ht="22.5" customHeight="1">
      <c r="A668" s="8"/>
      <c r="B668" s="8"/>
      <c r="C668" s="16"/>
      <c r="D668" s="14"/>
      <c r="E668" s="14"/>
      <c r="F668" s="14"/>
      <c r="G668" s="14"/>
      <c r="H668" s="14"/>
    </row>
    <row r="669" ht="22.5" customHeight="1">
      <c r="A669" s="8"/>
      <c r="B669" s="8"/>
      <c r="C669" s="16"/>
      <c r="D669" s="14"/>
      <c r="E669" s="14"/>
      <c r="F669" s="14"/>
      <c r="G669" s="14"/>
      <c r="H669" s="14"/>
    </row>
    <row r="670" ht="22.5" customHeight="1">
      <c r="A670" s="8"/>
      <c r="B670" s="8"/>
      <c r="C670" s="16"/>
      <c r="D670" s="14"/>
      <c r="E670" s="14"/>
      <c r="F670" s="14"/>
      <c r="G670" s="14"/>
      <c r="H670" s="14"/>
    </row>
    <row r="671" ht="22.5" customHeight="1">
      <c r="A671" s="8"/>
      <c r="B671" s="8"/>
      <c r="C671" s="16"/>
      <c r="D671" s="14"/>
      <c r="E671" s="14"/>
      <c r="F671" s="14"/>
      <c r="G671" s="14"/>
      <c r="H671" s="14"/>
    </row>
    <row r="672" ht="22.5" customHeight="1">
      <c r="A672" s="8"/>
      <c r="B672" s="8"/>
      <c r="C672" s="16"/>
      <c r="D672" s="14"/>
      <c r="E672" s="14"/>
      <c r="F672" s="14"/>
      <c r="G672" s="14"/>
      <c r="H672" s="14"/>
    </row>
    <row r="673" ht="22.5" customHeight="1">
      <c r="A673" s="8"/>
      <c r="B673" s="8"/>
      <c r="C673" s="16"/>
      <c r="D673" s="14"/>
      <c r="E673" s="14"/>
      <c r="F673" s="14"/>
      <c r="G673" s="14"/>
      <c r="H673" s="14"/>
    </row>
    <row r="674" ht="22.5" customHeight="1">
      <c r="A674" s="8"/>
      <c r="B674" s="8"/>
      <c r="C674" s="16"/>
      <c r="D674" s="14"/>
      <c r="E674" s="14"/>
      <c r="F674" s="14"/>
      <c r="G674" s="14"/>
      <c r="H674" s="14"/>
    </row>
    <row r="675" ht="22.5" customHeight="1">
      <c r="A675" s="8"/>
      <c r="B675" s="8"/>
      <c r="C675" s="16"/>
      <c r="D675" s="14"/>
      <c r="E675" s="14"/>
      <c r="F675" s="14"/>
      <c r="G675" s="14"/>
      <c r="H675" s="14"/>
    </row>
    <row r="676" ht="22.5" customHeight="1">
      <c r="A676" s="8"/>
      <c r="B676" s="8"/>
      <c r="C676" s="16"/>
      <c r="D676" s="14"/>
      <c r="E676" s="14"/>
      <c r="F676" s="14"/>
      <c r="G676" s="14"/>
      <c r="H676" s="14"/>
    </row>
    <row r="677" ht="22.5" customHeight="1">
      <c r="A677" s="8"/>
      <c r="B677" s="8"/>
      <c r="C677" s="16"/>
      <c r="D677" s="14"/>
      <c r="E677" s="14"/>
      <c r="F677" s="14"/>
      <c r="G677" s="14"/>
      <c r="H677" s="14"/>
    </row>
    <row r="678" ht="22.5" customHeight="1">
      <c r="A678" s="8"/>
      <c r="B678" s="8"/>
      <c r="C678" s="16"/>
      <c r="D678" s="14"/>
      <c r="E678" s="14"/>
      <c r="F678" s="14"/>
      <c r="G678" s="14"/>
      <c r="H678" s="14"/>
    </row>
    <row r="679" ht="22.5" customHeight="1">
      <c r="A679" s="8"/>
      <c r="B679" s="8"/>
      <c r="C679" s="16"/>
      <c r="D679" s="14"/>
      <c r="E679" s="14"/>
      <c r="F679" s="14"/>
      <c r="G679" s="14"/>
      <c r="H679" s="14"/>
    </row>
    <row r="680" ht="22.5" customHeight="1">
      <c r="A680" s="8"/>
      <c r="B680" s="8"/>
      <c r="C680" s="16"/>
      <c r="D680" s="14"/>
      <c r="E680" s="14"/>
      <c r="F680" s="14"/>
      <c r="G680" s="14"/>
      <c r="H680" s="14"/>
    </row>
    <row r="681" ht="22.5" customHeight="1">
      <c r="A681" s="8"/>
      <c r="B681" s="8"/>
      <c r="C681" s="16"/>
      <c r="D681" s="14"/>
      <c r="E681" s="14"/>
      <c r="F681" s="14"/>
      <c r="G681" s="14"/>
      <c r="H681" s="14"/>
    </row>
    <row r="682" ht="22.5" customHeight="1">
      <c r="A682" s="8"/>
      <c r="B682" s="8"/>
      <c r="C682" s="16"/>
      <c r="D682" s="14"/>
      <c r="E682" s="14"/>
      <c r="F682" s="14"/>
      <c r="G682" s="14"/>
      <c r="H682" s="14"/>
    </row>
    <row r="683" ht="22.5" customHeight="1">
      <c r="A683" s="8"/>
      <c r="B683" s="8"/>
      <c r="C683" s="16"/>
      <c r="D683" s="14"/>
      <c r="E683" s="14"/>
      <c r="F683" s="14"/>
      <c r="G683" s="14"/>
      <c r="H683" s="14"/>
    </row>
    <row r="684" ht="22.5" customHeight="1">
      <c r="A684" s="8"/>
      <c r="B684" s="8"/>
      <c r="C684" s="16"/>
      <c r="D684" s="14"/>
      <c r="E684" s="14"/>
      <c r="F684" s="14"/>
      <c r="G684" s="14"/>
      <c r="H684" s="14"/>
    </row>
    <row r="685" ht="22.5" customHeight="1">
      <c r="A685" s="8"/>
      <c r="B685" s="8"/>
      <c r="C685" s="16"/>
      <c r="D685" s="14"/>
      <c r="E685" s="14"/>
      <c r="F685" s="14"/>
      <c r="G685" s="14"/>
      <c r="H685" s="14"/>
    </row>
    <row r="686" ht="22.5" customHeight="1">
      <c r="A686" s="8"/>
      <c r="B686" s="8"/>
      <c r="C686" s="16"/>
      <c r="D686" s="14"/>
      <c r="E686" s="14"/>
      <c r="F686" s="14"/>
      <c r="G686" s="14"/>
      <c r="H686" s="14"/>
    </row>
    <row r="687" ht="22.5" customHeight="1">
      <c r="A687" s="8"/>
      <c r="B687" s="8"/>
      <c r="C687" s="16"/>
      <c r="D687" s="14"/>
      <c r="E687" s="14"/>
      <c r="F687" s="14"/>
      <c r="G687" s="14"/>
      <c r="H687" s="14"/>
    </row>
    <row r="688" ht="22.5" customHeight="1">
      <c r="A688" s="8"/>
      <c r="B688" s="8"/>
      <c r="C688" s="16"/>
      <c r="D688" s="14"/>
      <c r="E688" s="14"/>
      <c r="F688" s="14"/>
      <c r="G688" s="14"/>
      <c r="H688" s="14"/>
    </row>
    <row r="689" ht="22.5" customHeight="1">
      <c r="A689" s="8"/>
      <c r="B689" s="8"/>
      <c r="C689" s="16"/>
      <c r="D689" s="14"/>
      <c r="E689" s="14"/>
      <c r="F689" s="14"/>
      <c r="G689" s="14"/>
      <c r="H689" s="14"/>
    </row>
    <row r="690" ht="22.5" customHeight="1">
      <c r="A690" s="8"/>
      <c r="B690" s="8"/>
      <c r="C690" s="16"/>
      <c r="D690" s="14"/>
      <c r="E690" s="14"/>
      <c r="F690" s="14"/>
      <c r="G690" s="14"/>
      <c r="H690" s="14"/>
    </row>
    <row r="691" ht="22.5" customHeight="1">
      <c r="A691" s="8"/>
      <c r="B691" s="8"/>
      <c r="C691" s="16"/>
      <c r="D691" s="14"/>
      <c r="E691" s="14"/>
      <c r="F691" s="14"/>
      <c r="G691" s="14"/>
      <c r="H691" s="14"/>
    </row>
    <row r="692" ht="22.5" customHeight="1">
      <c r="A692" s="8"/>
      <c r="B692" s="8"/>
      <c r="C692" s="16"/>
      <c r="D692" s="14"/>
      <c r="E692" s="14"/>
      <c r="F692" s="14"/>
      <c r="G692" s="14"/>
      <c r="H692" s="14"/>
    </row>
    <row r="693" ht="22.5" customHeight="1">
      <c r="A693" s="8"/>
      <c r="B693" s="8"/>
      <c r="C693" s="16"/>
      <c r="D693" s="14"/>
      <c r="E693" s="14"/>
      <c r="F693" s="14"/>
      <c r="G693" s="14"/>
      <c r="H693" s="14"/>
    </row>
    <row r="694" ht="22.5" customHeight="1">
      <c r="A694" s="8"/>
      <c r="B694" s="8"/>
      <c r="C694" s="16"/>
      <c r="D694" s="14"/>
      <c r="E694" s="14"/>
      <c r="F694" s="14"/>
      <c r="G694" s="14"/>
      <c r="H694" s="14"/>
    </row>
    <row r="695" ht="22.5" customHeight="1">
      <c r="A695" s="8"/>
      <c r="B695" s="8"/>
      <c r="C695" s="16"/>
      <c r="D695" s="14"/>
      <c r="E695" s="14"/>
      <c r="F695" s="14"/>
      <c r="G695" s="14"/>
      <c r="H695" s="14"/>
    </row>
    <row r="696" ht="22.5" customHeight="1">
      <c r="A696" s="8"/>
      <c r="B696" s="8"/>
      <c r="C696" s="16"/>
      <c r="D696" s="14"/>
      <c r="E696" s="14"/>
      <c r="F696" s="14"/>
      <c r="G696" s="14"/>
      <c r="H696" s="14"/>
    </row>
    <row r="697" ht="22.5" customHeight="1">
      <c r="A697" s="8"/>
      <c r="B697" s="8"/>
      <c r="C697" s="16"/>
      <c r="D697" s="14"/>
      <c r="E697" s="14"/>
      <c r="F697" s="14"/>
      <c r="G697" s="14"/>
      <c r="H697" s="14"/>
    </row>
    <row r="698" ht="22.5" customHeight="1">
      <c r="A698" s="8"/>
      <c r="B698" s="8"/>
      <c r="C698" s="16"/>
      <c r="D698" s="14"/>
      <c r="E698" s="14"/>
      <c r="F698" s="14"/>
      <c r="G698" s="14"/>
      <c r="H698" s="14"/>
    </row>
    <row r="699" ht="22.5" customHeight="1">
      <c r="A699" s="8"/>
      <c r="B699" s="8"/>
      <c r="C699" s="16"/>
      <c r="D699" s="14"/>
      <c r="E699" s="14"/>
      <c r="F699" s="14"/>
      <c r="G699" s="14"/>
      <c r="H699" s="14"/>
    </row>
    <row r="700" ht="22.5" customHeight="1">
      <c r="A700" s="8"/>
      <c r="B700" s="8"/>
      <c r="C700" s="16"/>
      <c r="D700" s="14"/>
      <c r="E700" s="14"/>
      <c r="F700" s="14"/>
      <c r="G700" s="14"/>
      <c r="H700" s="14"/>
    </row>
    <row r="701" ht="22.5" customHeight="1">
      <c r="A701" s="8"/>
      <c r="B701" s="8"/>
      <c r="C701" s="16"/>
      <c r="D701" s="14"/>
      <c r="E701" s="14"/>
      <c r="F701" s="14"/>
      <c r="G701" s="14"/>
      <c r="H701" s="14"/>
    </row>
    <row r="702" ht="22.5" customHeight="1">
      <c r="A702" s="8"/>
      <c r="B702" s="8"/>
      <c r="C702" s="16"/>
      <c r="D702" s="14"/>
      <c r="E702" s="14"/>
      <c r="F702" s="14"/>
      <c r="G702" s="14"/>
      <c r="H702" s="14"/>
    </row>
    <row r="703" ht="22.5" customHeight="1">
      <c r="A703" s="8"/>
      <c r="B703" s="8"/>
      <c r="C703" s="16"/>
      <c r="D703" s="14"/>
      <c r="E703" s="14"/>
      <c r="F703" s="14"/>
      <c r="G703" s="14"/>
      <c r="H703" s="14"/>
    </row>
    <row r="704" ht="22.5" customHeight="1">
      <c r="A704" s="8"/>
      <c r="B704" s="8"/>
      <c r="C704" s="16"/>
      <c r="D704" s="14"/>
      <c r="E704" s="14"/>
      <c r="F704" s="14"/>
      <c r="G704" s="14"/>
      <c r="H704" s="14"/>
    </row>
    <row r="705" ht="22.5" customHeight="1">
      <c r="A705" s="8"/>
      <c r="B705" s="8"/>
      <c r="C705" s="16"/>
      <c r="D705" s="14"/>
      <c r="E705" s="14"/>
      <c r="F705" s="14"/>
      <c r="G705" s="14"/>
      <c r="H705" s="14"/>
    </row>
    <row r="706" ht="22.5" customHeight="1">
      <c r="A706" s="8"/>
      <c r="B706" s="8"/>
      <c r="C706" s="16"/>
      <c r="D706" s="14"/>
      <c r="E706" s="14"/>
      <c r="F706" s="14"/>
      <c r="G706" s="14"/>
      <c r="H706" s="14"/>
    </row>
    <row r="707" ht="22.5" customHeight="1">
      <c r="A707" s="8"/>
      <c r="B707" s="8"/>
      <c r="C707" s="16"/>
      <c r="D707" s="14"/>
      <c r="E707" s="14"/>
      <c r="F707" s="14"/>
      <c r="G707" s="14"/>
      <c r="H707" s="14"/>
    </row>
    <row r="708" ht="22.5" customHeight="1">
      <c r="A708" s="8"/>
      <c r="B708" s="8"/>
      <c r="C708" s="16"/>
      <c r="D708" s="14"/>
      <c r="E708" s="14"/>
      <c r="F708" s="14"/>
      <c r="G708" s="14"/>
      <c r="H708" s="14"/>
    </row>
    <row r="709" ht="22.5" customHeight="1">
      <c r="A709" s="8"/>
      <c r="B709" s="8"/>
      <c r="C709" s="16"/>
      <c r="D709" s="14"/>
      <c r="E709" s="14"/>
      <c r="F709" s="14"/>
      <c r="G709" s="14"/>
      <c r="H709" s="14"/>
    </row>
    <row r="710" ht="22.5" customHeight="1">
      <c r="A710" s="8"/>
      <c r="B710" s="8"/>
      <c r="C710" s="16"/>
      <c r="D710" s="14"/>
      <c r="E710" s="14"/>
      <c r="F710" s="14"/>
      <c r="G710" s="14"/>
      <c r="H710" s="14"/>
    </row>
    <row r="711" ht="22.5" customHeight="1">
      <c r="A711" s="8"/>
      <c r="B711" s="8"/>
      <c r="C711" s="16"/>
      <c r="D711" s="14"/>
      <c r="E711" s="14"/>
      <c r="F711" s="14"/>
      <c r="G711" s="14"/>
      <c r="H711" s="14"/>
    </row>
    <row r="712" ht="22.5" customHeight="1">
      <c r="A712" s="8"/>
      <c r="B712" s="8"/>
      <c r="C712" s="16"/>
      <c r="D712" s="14"/>
      <c r="E712" s="14"/>
      <c r="F712" s="14"/>
      <c r="G712" s="14"/>
      <c r="H712" s="14"/>
    </row>
    <row r="713" ht="22.5" customHeight="1">
      <c r="A713" s="8"/>
      <c r="B713" s="8"/>
      <c r="C713" s="16"/>
      <c r="D713" s="14"/>
      <c r="E713" s="14"/>
      <c r="F713" s="14"/>
      <c r="G713" s="14"/>
      <c r="H713" s="14"/>
    </row>
    <row r="714" ht="22.5" customHeight="1">
      <c r="A714" s="8"/>
      <c r="B714" s="8"/>
      <c r="C714" s="16"/>
      <c r="D714" s="14"/>
      <c r="E714" s="14"/>
      <c r="F714" s="14"/>
      <c r="G714" s="14"/>
      <c r="H714" s="14"/>
    </row>
    <row r="715" ht="22.5" customHeight="1">
      <c r="A715" s="8"/>
      <c r="B715" s="8"/>
      <c r="C715" s="16"/>
      <c r="D715" s="14"/>
      <c r="E715" s="14"/>
      <c r="F715" s="14"/>
      <c r="G715" s="14"/>
      <c r="H715" s="14"/>
    </row>
    <row r="716" ht="22.5" customHeight="1">
      <c r="A716" s="8"/>
      <c r="B716" s="8"/>
      <c r="C716" s="16"/>
      <c r="D716" s="14"/>
      <c r="E716" s="14"/>
      <c r="F716" s="14"/>
      <c r="G716" s="14"/>
      <c r="H716" s="14"/>
    </row>
    <row r="717" ht="22.5" customHeight="1">
      <c r="A717" s="8"/>
      <c r="B717" s="8"/>
      <c r="C717" s="16"/>
      <c r="D717" s="14"/>
      <c r="E717" s="14"/>
      <c r="F717" s="14"/>
      <c r="G717" s="14"/>
      <c r="H717" s="14"/>
    </row>
    <row r="718" ht="22.5" customHeight="1">
      <c r="A718" s="8"/>
      <c r="B718" s="8"/>
      <c r="C718" s="16"/>
      <c r="D718" s="14"/>
      <c r="E718" s="14"/>
      <c r="F718" s="14"/>
      <c r="G718" s="14"/>
      <c r="H718" s="14"/>
    </row>
    <row r="719" ht="22.5" customHeight="1">
      <c r="A719" s="8"/>
      <c r="B719" s="8"/>
      <c r="C719" s="16"/>
      <c r="D719" s="14"/>
      <c r="E719" s="14"/>
      <c r="F719" s="14"/>
      <c r="G719" s="14"/>
      <c r="H719" s="14"/>
    </row>
    <row r="720" ht="22.5" customHeight="1">
      <c r="A720" s="8"/>
      <c r="B720" s="8"/>
      <c r="C720" s="16"/>
      <c r="D720" s="14"/>
      <c r="E720" s="14"/>
      <c r="F720" s="14"/>
      <c r="G720" s="14"/>
      <c r="H720" s="14"/>
    </row>
    <row r="721" ht="22.5" customHeight="1">
      <c r="A721" s="8"/>
      <c r="B721" s="8"/>
      <c r="C721" s="16"/>
      <c r="D721" s="14"/>
      <c r="E721" s="14"/>
      <c r="F721" s="14"/>
      <c r="G721" s="14"/>
      <c r="H721" s="14"/>
    </row>
    <row r="722" ht="22.5" customHeight="1">
      <c r="A722" s="8"/>
      <c r="B722" s="8"/>
      <c r="C722" s="16"/>
      <c r="D722" s="14"/>
      <c r="E722" s="14"/>
      <c r="F722" s="14"/>
      <c r="G722" s="14"/>
      <c r="H722" s="14"/>
    </row>
    <row r="723" ht="22.5" customHeight="1">
      <c r="A723" s="8"/>
      <c r="B723" s="8"/>
      <c r="C723" s="16"/>
      <c r="D723" s="14"/>
      <c r="E723" s="14"/>
      <c r="F723" s="14"/>
      <c r="G723" s="14"/>
      <c r="H723" s="14"/>
    </row>
    <row r="724" ht="22.5" customHeight="1">
      <c r="A724" s="8"/>
      <c r="B724" s="8"/>
      <c r="C724" s="16"/>
      <c r="D724" s="14"/>
      <c r="E724" s="14"/>
      <c r="F724" s="14"/>
      <c r="G724" s="14"/>
      <c r="H724" s="14"/>
    </row>
    <row r="725" ht="22.5" customHeight="1">
      <c r="A725" s="8"/>
      <c r="B725" s="8"/>
      <c r="C725" s="16"/>
      <c r="D725" s="14"/>
      <c r="E725" s="14"/>
      <c r="F725" s="14"/>
      <c r="G725" s="14"/>
      <c r="H725" s="14"/>
    </row>
    <row r="726" ht="22.5" customHeight="1">
      <c r="A726" s="8"/>
      <c r="B726" s="8"/>
      <c r="C726" s="16"/>
      <c r="D726" s="14"/>
      <c r="E726" s="14"/>
      <c r="F726" s="14"/>
      <c r="G726" s="14"/>
      <c r="H726" s="14"/>
    </row>
    <row r="727" ht="22.5" customHeight="1">
      <c r="A727" s="8"/>
      <c r="B727" s="8"/>
      <c r="C727" s="16"/>
      <c r="D727" s="14"/>
      <c r="E727" s="14"/>
      <c r="F727" s="14"/>
      <c r="G727" s="14"/>
      <c r="H727" s="14"/>
    </row>
    <row r="728" ht="22.5" customHeight="1">
      <c r="A728" s="8"/>
      <c r="B728" s="8"/>
      <c r="C728" s="16"/>
      <c r="D728" s="14"/>
      <c r="E728" s="14"/>
      <c r="F728" s="14"/>
      <c r="G728" s="14"/>
      <c r="H728" s="14"/>
    </row>
    <row r="729" ht="22.5" customHeight="1">
      <c r="A729" s="8"/>
      <c r="B729" s="8"/>
      <c r="C729" s="16"/>
      <c r="D729" s="14"/>
      <c r="E729" s="14"/>
      <c r="F729" s="14"/>
      <c r="G729" s="14"/>
      <c r="H729" s="14"/>
    </row>
    <row r="730" ht="22.5" customHeight="1">
      <c r="A730" s="8"/>
      <c r="B730" s="8"/>
      <c r="C730" s="16"/>
      <c r="D730" s="14"/>
      <c r="E730" s="14"/>
      <c r="F730" s="14"/>
      <c r="G730" s="14"/>
      <c r="H730" s="14"/>
    </row>
    <row r="731" ht="22.5" customHeight="1">
      <c r="A731" s="8"/>
      <c r="B731" s="8"/>
      <c r="C731" s="16"/>
      <c r="D731" s="14"/>
      <c r="E731" s="14"/>
      <c r="F731" s="14"/>
      <c r="G731" s="14"/>
      <c r="H731" s="14"/>
    </row>
    <row r="732" ht="22.5" customHeight="1">
      <c r="A732" s="8"/>
      <c r="B732" s="8"/>
      <c r="C732" s="16"/>
      <c r="D732" s="14"/>
      <c r="E732" s="14"/>
      <c r="F732" s="14"/>
      <c r="G732" s="14"/>
      <c r="H732" s="14"/>
    </row>
    <row r="733" ht="22.5" customHeight="1">
      <c r="A733" s="8"/>
      <c r="B733" s="8"/>
      <c r="C733" s="16"/>
      <c r="D733" s="14"/>
      <c r="E733" s="14"/>
      <c r="F733" s="14"/>
      <c r="G733" s="14"/>
      <c r="H733" s="14"/>
    </row>
    <row r="734" ht="22.5" customHeight="1">
      <c r="A734" s="8"/>
      <c r="B734" s="8"/>
      <c r="C734" s="16"/>
      <c r="D734" s="14"/>
      <c r="E734" s="14"/>
      <c r="F734" s="14"/>
      <c r="G734" s="14"/>
      <c r="H734" s="14"/>
    </row>
    <row r="735" ht="22.5" customHeight="1">
      <c r="A735" s="8"/>
      <c r="B735" s="8"/>
      <c r="C735" s="16"/>
      <c r="D735" s="14"/>
      <c r="E735" s="14"/>
      <c r="F735" s="14"/>
      <c r="G735" s="14"/>
      <c r="H735" s="14"/>
    </row>
    <row r="736" ht="22.5" customHeight="1">
      <c r="A736" s="8"/>
      <c r="B736" s="8"/>
      <c r="C736" s="16"/>
      <c r="D736" s="14"/>
      <c r="E736" s="14"/>
      <c r="F736" s="14"/>
      <c r="G736" s="14"/>
      <c r="H736" s="14"/>
    </row>
    <row r="737" ht="22.5" customHeight="1">
      <c r="A737" s="8"/>
      <c r="B737" s="8"/>
      <c r="C737" s="16"/>
      <c r="D737" s="14"/>
      <c r="E737" s="14"/>
      <c r="F737" s="14"/>
      <c r="G737" s="14"/>
      <c r="H737" s="14"/>
    </row>
    <row r="738" ht="22.5" customHeight="1">
      <c r="A738" s="8"/>
      <c r="B738" s="8"/>
      <c r="C738" s="16"/>
      <c r="D738" s="14"/>
      <c r="E738" s="14"/>
      <c r="F738" s="14"/>
      <c r="G738" s="14"/>
      <c r="H738" s="14"/>
    </row>
    <row r="739" ht="22.5" customHeight="1">
      <c r="A739" s="8"/>
      <c r="B739" s="8"/>
      <c r="C739" s="16"/>
      <c r="D739" s="14"/>
      <c r="E739" s="14"/>
      <c r="F739" s="14"/>
      <c r="G739" s="14"/>
      <c r="H739" s="14"/>
    </row>
    <row r="740" ht="22.5" customHeight="1">
      <c r="A740" s="8"/>
      <c r="B740" s="8"/>
      <c r="C740" s="16"/>
      <c r="D740" s="14"/>
      <c r="E740" s="14"/>
      <c r="F740" s="14"/>
      <c r="G740" s="14"/>
      <c r="H740" s="14"/>
    </row>
    <row r="741" ht="22.5" customHeight="1">
      <c r="A741" s="8"/>
      <c r="B741" s="8"/>
      <c r="C741" s="16"/>
      <c r="D741" s="14"/>
      <c r="E741" s="14"/>
      <c r="F741" s="14"/>
      <c r="G741" s="14"/>
      <c r="H741" s="14"/>
    </row>
    <row r="742" ht="22.5" customHeight="1">
      <c r="A742" s="8"/>
      <c r="B742" s="8"/>
      <c r="C742" s="16"/>
      <c r="D742" s="14"/>
      <c r="E742" s="14"/>
      <c r="F742" s="14"/>
      <c r="G742" s="14"/>
      <c r="H742" s="14"/>
    </row>
    <row r="743" ht="22.5" customHeight="1">
      <c r="A743" s="8"/>
      <c r="B743" s="8"/>
      <c r="C743" s="16"/>
      <c r="D743" s="14"/>
      <c r="E743" s="14"/>
      <c r="F743" s="14"/>
      <c r="G743" s="14"/>
      <c r="H743" s="14"/>
    </row>
    <row r="744" ht="22.5" customHeight="1">
      <c r="A744" s="8"/>
      <c r="B744" s="8"/>
      <c r="C744" s="16"/>
      <c r="D744" s="14"/>
      <c r="E744" s="14"/>
      <c r="F744" s="14"/>
      <c r="G744" s="14"/>
      <c r="H744" s="14"/>
    </row>
    <row r="745" ht="22.5" customHeight="1">
      <c r="A745" s="8"/>
      <c r="B745" s="8"/>
      <c r="C745" s="16"/>
      <c r="D745" s="14"/>
      <c r="E745" s="14"/>
      <c r="F745" s="14"/>
      <c r="G745" s="14"/>
      <c r="H745" s="14"/>
    </row>
    <row r="746" ht="22.5" customHeight="1">
      <c r="A746" s="8"/>
      <c r="B746" s="8"/>
      <c r="C746" s="16"/>
      <c r="D746" s="14"/>
      <c r="E746" s="14"/>
      <c r="F746" s="14"/>
      <c r="G746" s="14"/>
      <c r="H746" s="14"/>
    </row>
    <row r="747" ht="22.5" customHeight="1">
      <c r="A747" s="8"/>
      <c r="B747" s="8"/>
      <c r="C747" s="16"/>
      <c r="D747" s="14"/>
      <c r="E747" s="14"/>
      <c r="F747" s="14"/>
      <c r="G747" s="14"/>
      <c r="H747" s="14"/>
    </row>
    <row r="748" ht="22.5" customHeight="1">
      <c r="A748" s="8"/>
      <c r="B748" s="8"/>
      <c r="C748" s="16"/>
      <c r="D748" s="14"/>
      <c r="E748" s="14"/>
      <c r="F748" s="14"/>
      <c r="G748" s="14"/>
      <c r="H748" s="14"/>
    </row>
    <row r="749" ht="22.5" customHeight="1">
      <c r="A749" s="8"/>
      <c r="B749" s="8"/>
      <c r="C749" s="16"/>
      <c r="D749" s="14"/>
      <c r="E749" s="14"/>
      <c r="F749" s="14"/>
      <c r="G749" s="14"/>
      <c r="H749" s="14"/>
    </row>
    <row r="750" ht="22.5" customHeight="1">
      <c r="A750" s="8"/>
      <c r="B750" s="8"/>
      <c r="C750" s="16"/>
      <c r="D750" s="14"/>
      <c r="E750" s="14"/>
      <c r="F750" s="14"/>
      <c r="G750" s="14"/>
      <c r="H750" s="14"/>
    </row>
    <row r="751" ht="22.5" customHeight="1">
      <c r="A751" s="8"/>
      <c r="B751" s="8"/>
      <c r="C751" s="16"/>
      <c r="D751" s="14"/>
      <c r="E751" s="14"/>
      <c r="F751" s="14"/>
      <c r="G751" s="14"/>
      <c r="H751" s="14"/>
    </row>
    <row r="752" ht="22.5" customHeight="1">
      <c r="A752" s="8"/>
      <c r="B752" s="8"/>
      <c r="C752" s="16"/>
      <c r="D752" s="14"/>
      <c r="E752" s="14"/>
      <c r="F752" s="14"/>
      <c r="G752" s="14"/>
      <c r="H752" s="14"/>
    </row>
    <row r="753" ht="22.5" customHeight="1">
      <c r="A753" s="8"/>
      <c r="B753" s="8"/>
      <c r="C753" s="16"/>
      <c r="D753" s="14"/>
      <c r="E753" s="14"/>
      <c r="F753" s="14"/>
      <c r="G753" s="14"/>
      <c r="H753" s="14"/>
    </row>
    <row r="754" ht="22.5" customHeight="1">
      <c r="A754" s="8"/>
      <c r="B754" s="8"/>
      <c r="C754" s="16"/>
      <c r="D754" s="14"/>
      <c r="E754" s="14"/>
      <c r="F754" s="14"/>
      <c r="G754" s="14"/>
      <c r="H754" s="14"/>
    </row>
    <row r="755" ht="22.5" customHeight="1">
      <c r="A755" s="8"/>
      <c r="B755" s="8"/>
      <c r="C755" s="16"/>
      <c r="D755" s="14"/>
      <c r="E755" s="14"/>
      <c r="F755" s="14"/>
      <c r="G755" s="14"/>
      <c r="H755" s="14"/>
    </row>
    <row r="756" ht="22.5" customHeight="1">
      <c r="A756" s="8"/>
      <c r="B756" s="8"/>
      <c r="C756" s="16"/>
      <c r="D756" s="14"/>
      <c r="E756" s="14"/>
      <c r="F756" s="14"/>
      <c r="G756" s="14"/>
      <c r="H756" s="14"/>
    </row>
    <row r="757" ht="22.5" customHeight="1">
      <c r="A757" s="8"/>
      <c r="B757" s="8"/>
      <c r="C757" s="16"/>
      <c r="D757" s="14"/>
      <c r="E757" s="14"/>
      <c r="F757" s="14"/>
      <c r="G757" s="14"/>
      <c r="H757" s="14"/>
    </row>
    <row r="758" ht="22.5" customHeight="1">
      <c r="A758" s="8"/>
      <c r="B758" s="8"/>
      <c r="C758" s="16"/>
      <c r="D758" s="14"/>
      <c r="E758" s="14"/>
      <c r="F758" s="14"/>
      <c r="G758" s="14"/>
      <c r="H758" s="14"/>
    </row>
    <row r="759" ht="22.5" customHeight="1">
      <c r="A759" s="8"/>
      <c r="B759" s="8"/>
      <c r="C759" s="16"/>
      <c r="D759" s="14"/>
      <c r="E759" s="14"/>
      <c r="F759" s="14"/>
      <c r="G759" s="14"/>
      <c r="H759" s="14"/>
    </row>
    <row r="760" ht="22.5" customHeight="1">
      <c r="A760" s="8"/>
      <c r="B760" s="8"/>
      <c r="C760" s="16"/>
      <c r="D760" s="14"/>
      <c r="E760" s="14"/>
      <c r="F760" s="14"/>
      <c r="G760" s="14"/>
      <c r="H760" s="14"/>
    </row>
    <row r="761" ht="22.5" customHeight="1">
      <c r="A761" s="8"/>
      <c r="B761" s="8"/>
      <c r="C761" s="16"/>
      <c r="D761" s="14"/>
      <c r="E761" s="14"/>
      <c r="F761" s="14"/>
      <c r="G761" s="14"/>
      <c r="H761" s="14"/>
    </row>
    <row r="762" ht="22.5" customHeight="1">
      <c r="A762" s="8"/>
      <c r="B762" s="8"/>
      <c r="C762" s="16"/>
      <c r="D762" s="14"/>
      <c r="E762" s="14"/>
      <c r="F762" s="14"/>
      <c r="G762" s="14"/>
      <c r="H762" s="14"/>
    </row>
    <row r="763" ht="22.5" customHeight="1">
      <c r="A763" s="8"/>
      <c r="B763" s="8"/>
      <c r="C763" s="16"/>
      <c r="D763" s="14"/>
      <c r="E763" s="14"/>
      <c r="F763" s="14"/>
      <c r="G763" s="14"/>
      <c r="H763" s="14"/>
    </row>
    <row r="764" ht="22.5" customHeight="1">
      <c r="A764" s="8"/>
      <c r="B764" s="8"/>
      <c r="C764" s="16"/>
      <c r="D764" s="14"/>
      <c r="E764" s="14"/>
      <c r="F764" s="14"/>
      <c r="G764" s="14"/>
      <c r="H764" s="14"/>
    </row>
    <row r="765" ht="22.5" customHeight="1">
      <c r="A765" s="8"/>
      <c r="B765" s="8"/>
      <c r="C765" s="16"/>
      <c r="D765" s="14"/>
      <c r="E765" s="14"/>
      <c r="F765" s="14"/>
      <c r="G765" s="14"/>
      <c r="H765" s="14"/>
    </row>
    <row r="766" ht="22.5" customHeight="1">
      <c r="A766" s="8"/>
      <c r="B766" s="8"/>
      <c r="C766" s="16"/>
      <c r="D766" s="14"/>
      <c r="E766" s="14"/>
      <c r="F766" s="14"/>
      <c r="G766" s="14"/>
      <c r="H766" s="14"/>
    </row>
    <row r="767" ht="22.5" customHeight="1">
      <c r="A767" s="8"/>
      <c r="B767" s="8"/>
      <c r="C767" s="16"/>
      <c r="D767" s="14"/>
      <c r="E767" s="14"/>
      <c r="F767" s="14"/>
      <c r="G767" s="14"/>
      <c r="H767" s="14"/>
    </row>
    <row r="768" ht="22.5" customHeight="1">
      <c r="A768" s="8"/>
      <c r="B768" s="8"/>
      <c r="C768" s="16"/>
      <c r="D768" s="14"/>
      <c r="E768" s="14"/>
      <c r="F768" s="14"/>
      <c r="G768" s="14"/>
      <c r="H768" s="14"/>
    </row>
    <row r="769" ht="22.5" customHeight="1">
      <c r="A769" s="8"/>
      <c r="B769" s="8"/>
      <c r="C769" s="16"/>
      <c r="D769" s="14"/>
      <c r="E769" s="14"/>
      <c r="F769" s="14"/>
      <c r="G769" s="14"/>
      <c r="H769" s="14"/>
    </row>
    <row r="770" ht="22.5" customHeight="1">
      <c r="A770" s="8"/>
      <c r="B770" s="8"/>
      <c r="C770" s="16"/>
      <c r="D770" s="14"/>
      <c r="E770" s="14"/>
      <c r="F770" s="14"/>
      <c r="G770" s="14"/>
      <c r="H770" s="14"/>
    </row>
    <row r="771" ht="22.5" customHeight="1">
      <c r="A771" s="8"/>
      <c r="B771" s="8"/>
      <c r="C771" s="16"/>
      <c r="D771" s="14"/>
      <c r="E771" s="14"/>
      <c r="F771" s="14"/>
      <c r="G771" s="14"/>
      <c r="H771" s="14"/>
    </row>
    <row r="772" ht="22.5" customHeight="1">
      <c r="A772" s="8"/>
      <c r="B772" s="8"/>
      <c r="C772" s="16"/>
      <c r="D772" s="14"/>
      <c r="E772" s="14"/>
      <c r="F772" s="14"/>
      <c r="G772" s="14"/>
      <c r="H772" s="14"/>
    </row>
    <row r="773" ht="22.5" customHeight="1">
      <c r="A773" s="8"/>
      <c r="B773" s="8"/>
      <c r="C773" s="16"/>
      <c r="D773" s="14"/>
      <c r="E773" s="14"/>
      <c r="F773" s="14"/>
      <c r="G773" s="14"/>
      <c r="H773" s="14"/>
    </row>
    <row r="774" ht="22.5" customHeight="1">
      <c r="A774" s="8"/>
      <c r="B774" s="8"/>
      <c r="C774" s="16"/>
      <c r="D774" s="14"/>
      <c r="E774" s="14"/>
      <c r="F774" s="14"/>
      <c r="G774" s="14"/>
      <c r="H774" s="14"/>
    </row>
    <row r="775" ht="22.5" customHeight="1">
      <c r="A775" s="8"/>
      <c r="B775" s="8"/>
      <c r="C775" s="16"/>
      <c r="D775" s="14"/>
      <c r="E775" s="14"/>
      <c r="F775" s="14"/>
      <c r="G775" s="14"/>
      <c r="H775" s="14"/>
    </row>
    <row r="776" ht="22.5" customHeight="1">
      <c r="A776" s="8"/>
      <c r="B776" s="8"/>
      <c r="C776" s="16"/>
      <c r="D776" s="14"/>
      <c r="E776" s="14"/>
      <c r="F776" s="14"/>
      <c r="G776" s="14"/>
      <c r="H776" s="14"/>
    </row>
    <row r="777" ht="22.5" customHeight="1">
      <c r="A777" s="8"/>
      <c r="B777" s="8"/>
      <c r="C777" s="16"/>
      <c r="D777" s="14"/>
      <c r="E777" s="14"/>
      <c r="F777" s="14"/>
      <c r="G777" s="14"/>
      <c r="H777" s="14"/>
    </row>
    <row r="778" ht="22.5" customHeight="1">
      <c r="A778" s="8"/>
      <c r="B778" s="8"/>
      <c r="C778" s="16"/>
      <c r="D778" s="14"/>
      <c r="E778" s="14"/>
      <c r="F778" s="14"/>
      <c r="G778" s="14"/>
      <c r="H778" s="14"/>
    </row>
    <row r="779" ht="22.5" customHeight="1">
      <c r="A779" s="8"/>
      <c r="B779" s="8"/>
      <c r="C779" s="16"/>
      <c r="D779" s="14"/>
      <c r="E779" s="14"/>
      <c r="F779" s="14"/>
      <c r="G779" s="14"/>
      <c r="H779" s="14"/>
    </row>
    <row r="780" ht="22.5" customHeight="1">
      <c r="A780" s="8"/>
      <c r="B780" s="8"/>
      <c r="C780" s="16"/>
      <c r="D780" s="14"/>
      <c r="E780" s="14"/>
      <c r="F780" s="14"/>
      <c r="G780" s="14"/>
      <c r="H780" s="14"/>
    </row>
    <row r="781" ht="22.5" customHeight="1">
      <c r="A781" s="8"/>
      <c r="B781" s="8"/>
      <c r="C781" s="16"/>
      <c r="D781" s="14"/>
      <c r="E781" s="14"/>
      <c r="F781" s="14"/>
      <c r="G781" s="14"/>
      <c r="H781" s="14"/>
    </row>
    <row r="782" ht="22.5" customHeight="1">
      <c r="A782" s="8"/>
      <c r="B782" s="8"/>
      <c r="C782" s="16"/>
      <c r="D782" s="14"/>
      <c r="E782" s="14"/>
      <c r="F782" s="14"/>
      <c r="G782" s="14"/>
      <c r="H782" s="14"/>
    </row>
    <row r="783" ht="22.5" customHeight="1">
      <c r="A783" s="8"/>
      <c r="B783" s="8"/>
      <c r="C783" s="16"/>
      <c r="D783" s="14"/>
      <c r="E783" s="14"/>
      <c r="F783" s="14"/>
      <c r="G783" s="14"/>
      <c r="H783" s="14"/>
    </row>
    <row r="784" ht="22.5" customHeight="1">
      <c r="A784" s="8"/>
      <c r="B784" s="8"/>
      <c r="C784" s="16"/>
      <c r="D784" s="14"/>
      <c r="E784" s="14"/>
      <c r="F784" s="14"/>
      <c r="G784" s="14"/>
      <c r="H784" s="14"/>
    </row>
    <row r="785" ht="22.5" customHeight="1">
      <c r="A785" s="8"/>
      <c r="B785" s="8"/>
      <c r="C785" s="16"/>
      <c r="D785" s="14"/>
      <c r="E785" s="14"/>
      <c r="F785" s="14"/>
      <c r="G785" s="14"/>
      <c r="H785" s="14"/>
    </row>
    <row r="786" ht="22.5" customHeight="1">
      <c r="A786" s="8"/>
      <c r="B786" s="8"/>
      <c r="C786" s="16"/>
      <c r="D786" s="14"/>
      <c r="E786" s="14"/>
      <c r="F786" s="14"/>
      <c r="G786" s="14"/>
      <c r="H786" s="14"/>
    </row>
    <row r="787" ht="22.5" customHeight="1">
      <c r="A787" s="8"/>
      <c r="B787" s="8"/>
      <c r="C787" s="16"/>
      <c r="D787" s="14"/>
      <c r="E787" s="14"/>
      <c r="F787" s="14"/>
      <c r="G787" s="14"/>
      <c r="H787" s="14"/>
    </row>
    <row r="788" ht="22.5" customHeight="1">
      <c r="A788" s="8"/>
      <c r="B788" s="8"/>
      <c r="C788" s="16"/>
      <c r="D788" s="14"/>
      <c r="E788" s="14"/>
      <c r="F788" s="14"/>
      <c r="G788" s="14"/>
      <c r="H788" s="14"/>
    </row>
    <row r="789" ht="22.5" customHeight="1">
      <c r="A789" s="8"/>
      <c r="B789" s="8"/>
      <c r="C789" s="16"/>
      <c r="D789" s="14"/>
      <c r="E789" s="14"/>
      <c r="F789" s="14"/>
      <c r="G789" s="14"/>
      <c r="H789" s="14"/>
    </row>
    <row r="790" ht="22.5" customHeight="1">
      <c r="A790" s="8"/>
      <c r="B790" s="8"/>
      <c r="C790" s="16"/>
      <c r="D790" s="14"/>
      <c r="E790" s="14"/>
      <c r="F790" s="14"/>
      <c r="G790" s="14"/>
      <c r="H790" s="14"/>
    </row>
    <row r="791" ht="22.5" customHeight="1">
      <c r="A791" s="8"/>
      <c r="B791" s="8"/>
      <c r="C791" s="16"/>
      <c r="D791" s="14"/>
      <c r="E791" s="14"/>
      <c r="F791" s="14"/>
      <c r="G791" s="14"/>
      <c r="H791" s="14"/>
    </row>
    <row r="792" ht="22.5" customHeight="1">
      <c r="A792" s="8"/>
      <c r="B792" s="8"/>
      <c r="C792" s="16"/>
      <c r="D792" s="14"/>
      <c r="E792" s="14"/>
      <c r="F792" s="14"/>
      <c r="G792" s="14"/>
      <c r="H792" s="14"/>
    </row>
    <row r="793" ht="22.5" customHeight="1">
      <c r="A793" s="8"/>
      <c r="B793" s="8"/>
      <c r="C793" s="16"/>
      <c r="D793" s="14"/>
      <c r="E793" s="14"/>
      <c r="F793" s="14"/>
      <c r="G793" s="14"/>
      <c r="H793" s="14"/>
    </row>
    <row r="794" ht="22.5" customHeight="1">
      <c r="A794" s="8"/>
      <c r="B794" s="8"/>
      <c r="C794" s="16"/>
      <c r="D794" s="14"/>
      <c r="E794" s="14"/>
      <c r="F794" s="14"/>
      <c r="G794" s="14"/>
      <c r="H794" s="14"/>
    </row>
    <row r="795" ht="22.5" customHeight="1">
      <c r="A795" s="8"/>
      <c r="B795" s="8"/>
      <c r="C795" s="16"/>
      <c r="D795" s="14"/>
      <c r="E795" s="14"/>
      <c r="F795" s="14"/>
      <c r="G795" s="14"/>
      <c r="H795" s="14"/>
    </row>
    <row r="796" ht="22.5" customHeight="1">
      <c r="A796" s="8"/>
      <c r="B796" s="8"/>
      <c r="C796" s="16"/>
      <c r="D796" s="14"/>
      <c r="E796" s="14"/>
      <c r="F796" s="14"/>
      <c r="G796" s="14"/>
      <c r="H796" s="14"/>
    </row>
    <row r="797" ht="22.5" customHeight="1">
      <c r="A797" s="8"/>
      <c r="B797" s="8"/>
      <c r="C797" s="16"/>
      <c r="D797" s="14"/>
      <c r="E797" s="14"/>
      <c r="F797" s="14"/>
      <c r="G797" s="14"/>
      <c r="H797" s="14"/>
    </row>
    <row r="798" ht="22.5" customHeight="1">
      <c r="A798" s="8"/>
      <c r="B798" s="8"/>
      <c r="C798" s="16"/>
      <c r="D798" s="14"/>
      <c r="E798" s="14"/>
      <c r="F798" s="14"/>
      <c r="G798" s="14"/>
      <c r="H798" s="14"/>
    </row>
    <row r="799" ht="22.5" customHeight="1">
      <c r="A799" s="8"/>
      <c r="B799" s="8"/>
      <c r="C799" s="16"/>
      <c r="D799" s="14"/>
      <c r="E799" s="14"/>
      <c r="F799" s="14"/>
      <c r="G799" s="14"/>
      <c r="H799" s="14"/>
    </row>
    <row r="800" ht="22.5" customHeight="1">
      <c r="A800" s="8"/>
      <c r="B800" s="8"/>
      <c r="C800" s="16"/>
      <c r="D800" s="14"/>
      <c r="E800" s="14"/>
      <c r="F800" s="14"/>
      <c r="G800" s="14"/>
      <c r="H800" s="14"/>
    </row>
    <row r="801" ht="22.5" customHeight="1">
      <c r="A801" s="8"/>
      <c r="B801" s="8"/>
      <c r="C801" s="16"/>
      <c r="D801" s="14"/>
      <c r="E801" s="14"/>
      <c r="F801" s="14"/>
      <c r="G801" s="14"/>
      <c r="H801" s="14"/>
    </row>
    <row r="802" ht="22.5" customHeight="1">
      <c r="A802" s="8"/>
      <c r="B802" s="8"/>
      <c r="C802" s="16"/>
      <c r="D802" s="14"/>
      <c r="E802" s="14"/>
      <c r="F802" s="14"/>
      <c r="G802" s="14"/>
      <c r="H802" s="14"/>
    </row>
    <row r="803" ht="22.5" customHeight="1">
      <c r="A803" s="8"/>
      <c r="B803" s="8"/>
      <c r="C803" s="16"/>
      <c r="D803" s="14"/>
      <c r="E803" s="14"/>
      <c r="F803" s="14"/>
      <c r="G803" s="14"/>
      <c r="H803" s="14"/>
    </row>
    <row r="804" ht="22.5" customHeight="1">
      <c r="A804" s="8"/>
      <c r="B804" s="8"/>
      <c r="C804" s="16"/>
      <c r="D804" s="14"/>
      <c r="E804" s="14"/>
      <c r="F804" s="14"/>
      <c r="G804" s="14"/>
      <c r="H804" s="14"/>
    </row>
    <row r="805" ht="22.5" customHeight="1">
      <c r="A805" s="8"/>
      <c r="B805" s="8"/>
      <c r="C805" s="16"/>
      <c r="D805" s="14"/>
      <c r="E805" s="14"/>
      <c r="F805" s="14"/>
      <c r="G805" s="14"/>
      <c r="H805" s="14"/>
    </row>
    <row r="806" ht="22.5" customHeight="1">
      <c r="A806" s="8"/>
      <c r="B806" s="8"/>
      <c r="C806" s="16"/>
      <c r="D806" s="14"/>
      <c r="E806" s="14"/>
      <c r="F806" s="14"/>
      <c r="G806" s="14"/>
      <c r="H806" s="14"/>
    </row>
    <row r="807" ht="22.5" customHeight="1">
      <c r="A807" s="8"/>
      <c r="B807" s="8"/>
      <c r="C807" s="16"/>
      <c r="D807" s="14"/>
      <c r="E807" s="14"/>
      <c r="F807" s="14"/>
      <c r="G807" s="14"/>
      <c r="H807" s="14"/>
    </row>
    <row r="808" ht="22.5" customHeight="1">
      <c r="A808" s="8"/>
      <c r="B808" s="8"/>
      <c r="C808" s="16"/>
      <c r="D808" s="14"/>
      <c r="E808" s="14"/>
      <c r="F808" s="14"/>
      <c r="G808" s="14"/>
      <c r="H808" s="14"/>
    </row>
    <row r="809" ht="22.5" customHeight="1">
      <c r="A809" s="8"/>
      <c r="B809" s="8"/>
      <c r="C809" s="16"/>
      <c r="D809" s="14"/>
      <c r="E809" s="14"/>
      <c r="F809" s="14"/>
      <c r="G809" s="14"/>
      <c r="H809" s="14"/>
    </row>
    <row r="810" ht="22.5" customHeight="1">
      <c r="A810" s="8"/>
      <c r="B810" s="8"/>
      <c r="C810" s="16"/>
      <c r="D810" s="14"/>
      <c r="E810" s="14"/>
      <c r="F810" s="14"/>
      <c r="G810" s="14"/>
      <c r="H810" s="14"/>
    </row>
    <row r="811" ht="22.5" customHeight="1">
      <c r="A811" s="8"/>
      <c r="B811" s="8"/>
      <c r="C811" s="16"/>
      <c r="D811" s="14"/>
      <c r="E811" s="14"/>
      <c r="F811" s="14"/>
      <c r="G811" s="14"/>
      <c r="H811" s="14"/>
    </row>
    <row r="812" ht="22.5" customHeight="1">
      <c r="A812" s="8"/>
      <c r="B812" s="8"/>
      <c r="C812" s="16"/>
      <c r="D812" s="14"/>
      <c r="E812" s="14"/>
      <c r="F812" s="14"/>
      <c r="G812" s="14"/>
      <c r="H812" s="14"/>
    </row>
    <row r="813" ht="22.5" customHeight="1">
      <c r="A813" s="8"/>
      <c r="B813" s="8"/>
      <c r="C813" s="16"/>
      <c r="D813" s="14"/>
      <c r="E813" s="14"/>
      <c r="F813" s="14"/>
      <c r="G813" s="14"/>
      <c r="H813" s="14"/>
    </row>
    <row r="814" ht="22.5" customHeight="1">
      <c r="A814" s="8"/>
      <c r="B814" s="8"/>
      <c r="C814" s="16"/>
      <c r="D814" s="14"/>
      <c r="E814" s="14"/>
      <c r="F814" s="14"/>
      <c r="G814" s="14"/>
      <c r="H814" s="14"/>
    </row>
    <row r="815" ht="22.5" customHeight="1">
      <c r="A815" s="8"/>
      <c r="B815" s="8"/>
      <c r="C815" s="16"/>
      <c r="D815" s="14"/>
      <c r="E815" s="14"/>
      <c r="F815" s="14"/>
      <c r="G815" s="14"/>
      <c r="H815" s="14"/>
    </row>
    <row r="816" ht="22.5" customHeight="1">
      <c r="A816" s="8"/>
      <c r="B816" s="8"/>
      <c r="C816" s="16"/>
      <c r="D816" s="14"/>
      <c r="E816" s="14"/>
      <c r="F816" s="14"/>
      <c r="G816" s="14"/>
      <c r="H816" s="14"/>
    </row>
    <row r="817" ht="22.5" customHeight="1">
      <c r="A817" s="8"/>
      <c r="B817" s="8"/>
      <c r="C817" s="16"/>
      <c r="D817" s="14"/>
      <c r="E817" s="14"/>
      <c r="F817" s="14"/>
      <c r="G817" s="14"/>
      <c r="H817" s="14"/>
    </row>
    <row r="818" ht="22.5" customHeight="1">
      <c r="A818" s="8"/>
      <c r="B818" s="8"/>
      <c r="C818" s="16"/>
      <c r="D818" s="14"/>
      <c r="E818" s="14"/>
      <c r="F818" s="14"/>
      <c r="G818" s="14"/>
      <c r="H818" s="14"/>
    </row>
    <row r="819" ht="22.5" customHeight="1">
      <c r="A819" s="8"/>
      <c r="B819" s="8"/>
      <c r="C819" s="16"/>
      <c r="D819" s="14"/>
      <c r="E819" s="14"/>
      <c r="F819" s="14"/>
      <c r="G819" s="14"/>
      <c r="H819" s="14"/>
    </row>
    <row r="820" ht="22.5" customHeight="1">
      <c r="A820" s="8"/>
      <c r="B820" s="8"/>
      <c r="C820" s="16"/>
      <c r="D820" s="14"/>
      <c r="E820" s="14"/>
      <c r="F820" s="14"/>
      <c r="G820" s="14"/>
      <c r="H820" s="14"/>
    </row>
    <row r="821" ht="22.5" customHeight="1">
      <c r="A821" s="8"/>
      <c r="B821" s="8"/>
      <c r="C821" s="16"/>
      <c r="D821" s="14"/>
      <c r="E821" s="14"/>
      <c r="F821" s="14"/>
      <c r="G821" s="14"/>
      <c r="H821" s="14"/>
    </row>
    <row r="822" ht="22.5" customHeight="1">
      <c r="A822" s="8"/>
      <c r="B822" s="8"/>
      <c r="C822" s="16"/>
      <c r="D822" s="14"/>
      <c r="E822" s="14"/>
      <c r="F822" s="14"/>
      <c r="G822" s="14"/>
      <c r="H822" s="14"/>
    </row>
    <row r="823" ht="22.5" customHeight="1">
      <c r="A823" s="8"/>
      <c r="B823" s="8"/>
      <c r="C823" s="16"/>
      <c r="D823" s="14"/>
      <c r="E823" s="14"/>
      <c r="F823" s="14"/>
      <c r="G823" s="14"/>
      <c r="H823" s="14"/>
    </row>
    <row r="824" ht="22.5" customHeight="1">
      <c r="A824" s="8"/>
      <c r="B824" s="8"/>
      <c r="C824" s="16"/>
      <c r="D824" s="14"/>
      <c r="E824" s="14"/>
      <c r="F824" s="14"/>
      <c r="G824" s="14"/>
      <c r="H824" s="14"/>
    </row>
    <row r="825" ht="22.5" customHeight="1">
      <c r="A825" s="8"/>
      <c r="B825" s="8"/>
      <c r="C825" s="16"/>
      <c r="D825" s="14"/>
      <c r="E825" s="14"/>
      <c r="F825" s="14"/>
      <c r="G825" s="14"/>
      <c r="H825" s="14"/>
    </row>
    <row r="826" ht="22.5" customHeight="1">
      <c r="A826" s="8"/>
      <c r="B826" s="8"/>
      <c r="C826" s="16"/>
      <c r="D826" s="14"/>
      <c r="E826" s="14"/>
      <c r="F826" s="14"/>
      <c r="G826" s="14"/>
      <c r="H826" s="14"/>
    </row>
    <row r="827" ht="22.5" customHeight="1">
      <c r="A827" s="8"/>
      <c r="B827" s="8"/>
      <c r="C827" s="16"/>
      <c r="D827" s="14"/>
      <c r="E827" s="14"/>
      <c r="F827" s="14"/>
      <c r="G827" s="14"/>
      <c r="H827" s="14"/>
    </row>
    <row r="828" ht="22.5" customHeight="1">
      <c r="A828" s="8"/>
      <c r="B828" s="8"/>
      <c r="C828" s="16"/>
      <c r="D828" s="14"/>
      <c r="E828" s="14"/>
      <c r="F828" s="14"/>
      <c r="G828" s="14"/>
      <c r="H828" s="14"/>
    </row>
    <row r="829" ht="22.5" customHeight="1">
      <c r="A829" s="8"/>
      <c r="B829" s="8"/>
      <c r="C829" s="16"/>
      <c r="D829" s="14"/>
      <c r="E829" s="14"/>
      <c r="F829" s="14"/>
      <c r="G829" s="14"/>
      <c r="H829" s="14"/>
    </row>
    <row r="830" ht="22.5" customHeight="1">
      <c r="A830" s="8"/>
      <c r="B830" s="8"/>
      <c r="C830" s="16"/>
      <c r="D830" s="14"/>
      <c r="E830" s="14"/>
      <c r="F830" s="14"/>
      <c r="G830" s="14"/>
      <c r="H830" s="14"/>
    </row>
    <row r="831" ht="22.5" customHeight="1">
      <c r="A831" s="8"/>
      <c r="B831" s="8"/>
      <c r="C831" s="16"/>
      <c r="D831" s="14"/>
      <c r="E831" s="14"/>
      <c r="F831" s="14"/>
      <c r="G831" s="14"/>
      <c r="H831" s="14"/>
    </row>
    <row r="832" ht="22.5" customHeight="1">
      <c r="A832" s="8"/>
      <c r="B832" s="8"/>
      <c r="C832" s="16"/>
      <c r="D832" s="14"/>
      <c r="E832" s="14"/>
      <c r="F832" s="14"/>
      <c r="G832" s="14"/>
      <c r="H832" s="14"/>
    </row>
    <row r="833" ht="22.5" customHeight="1">
      <c r="A833" s="8"/>
      <c r="B833" s="8"/>
      <c r="C833" s="16"/>
      <c r="D833" s="14"/>
      <c r="E833" s="14"/>
      <c r="F833" s="14"/>
      <c r="G833" s="14"/>
      <c r="H833" s="14"/>
    </row>
    <row r="834" ht="22.5" customHeight="1">
      <c r="A834" s="8"/>
      <c r="B834" s="8"/>
      <c r="C834" s="16"/>
      <c r="D834" s="14"/>
      <c r="E834" s="14"/>
      <c r="F834" s="14"/>
      <c r="G834" s="14"/>
      <c r="H834" s="14"/>
    </row>
    <row r="835" ht="22.5" customHeight="1">
      <c r="A835" s="8"/>
      <c r="B835" s="8"/>
      <c r="C835" s="16"/>
      <c r="D835" s="14"/>
      <c r="E835" s="14"/>
      <c r="F835" s="14"/>
      <c r="G835" s="14"/>
      <c r="H835" s="14"/>
    </row>
    <row r="836" ht="22.5" customHeight="1">
      <c r="A836" s="8"/>
      <c r="B836" s="8"/>
      <c r="C836" s="16"/>
      <c r="D836" s="14"/>
      <c r="E836" s="14"/>
      <c r="F836" s="14"/>
      <c r="G836" s="14"/>
      <c r="H836" s="14"/>
    </row>
    <row r="837" ht="22.5" customHeight="1">
      <c r="A837" s="8"/>
      <c r="B837" s="8"/>
      <c r="C837" s="16"/>
      <c r="D837" s="14"/>
      <c r="E837" s="14"/>
      <c r="F837" s="14"/>
      <c r="G837" s="14"/>
      <c r="H837" s="14"/>
    </row>
    <row r="838" ht="22.5" customHeight="1">
      <c r="A838" s="8"/>
      <c r="B838" s="8"/>
      <c r="C838" s="16"/>
      <c r="D838" s="14"/>
      <c r="E838" s="14"/>
      <c r="F838" s="14"/>
      <c r="G838" s="14"/>
      <c r="H838" s="14"/>
    </row>
    <row r="839" ht="22.5" customHeight="1">
      <c r="A839" s="8"/>
      <c r="B839" s="8"/>
      <c r="C839" s="16"/>
      <c r="D839" s="14"/>
      <c r="E839" s="14"/>
      <c r="F839" s="14"/>
      <c r="G839" s="14"/>
      <c r="H839" s="14"/>
    </row>
    <row r="840" ht="22.5" customHeight="1">
      <c r="A840" s="8"/>
      <c r="B840" s="8"/>
      <c r="C840" s="16"/>
      <c r="D840" s="14"/>
      <c r="E840" s="14"/>
      <c r="F840" s="14"/>
      <c r="G840" s="14"/>
      <c r="H840" s="14"/>
    </row>
    <row r="841" ht="22.5" customHeight="1">
      <c r="A841" s="8"/>
      <c r="B841" s="8"/>
      <c r="C841" s="16"/>
      <c r="D841" s="14"/>
      <c r="E841" s="14"/>
      <c r="F841" s="14"/>
      <c r="G841" s="14"/>
      <c r="H841" s="14"/>
    </row>
    <row r="842" ht="22.5" customHeight="1">
      <c r="A842" s="8"/>
      <c r="B842" s="8"/>
      <c r="C842" s="16"/>
      <c r="D842" s="14"/>
      <c r="E842" s="14"/>
      <c r="F842" s="14"/>
      <c r="G842" s="14"/>
      <c r="H842" s="14"/>
    </row>
    <row r="843" ht="22.5" customHeight="1">
      <c r="A843" s="8"/>
      <c r="B843" s="8"/>
      <c r="C843" s="16"/>
      <c r="D843" s="14"/>
      <c r="E843" s="14"/>
      <c r="F843" s="14"/>
      <c r="G843" s="14"/>
      <c r="H843" s="14"/>
    </row>
    <row r="844" ht="22.5" customHeight="1">
      <c r="A844" s="8"/>
      <c r="B844" s="8"/>
      <c r="C844" s="16"/>
      <c r="D844" s="14"/>
      <c r="E844" s="14"/>
      <c r="F844" s="14"/>
      <c r="G844" s="14"/>
      <c r="H844" s="14"/>
    </row>
    <row r="845" ht="22.5" customHeight="1">
      <c r="A845" s="8"/>
      <c r="B845" s="8"/>
      <c r="C845" s="16"/>
      <c r="D845" s="14"/>
      <c r="E845" s="14"/>
      <c r="F845" s="14"/>
      <c r="G845" s="14"/>
      <c r="H845" s="14"/>
    </row>
    <row r="846" ht="22.5" customHeight="1">
      <c r="A846" s="8"/>
      <c r="B846" s="8"/>
      <c r="C846" s="16"/>
      <c r="D846" s="14"/>
      <c r="E846" s="14"/>
      <c r="F846" s="14"/>
      <c r="G846" s="14"/>
      <c r="H846" s="14"/>
    </row>
    <row r="847" ht="22.5" customHeight="1">
      <c r="A847" s="8"/>
      <c r="B847" s="8"/>
      <c r="C847" s="16"/>
      <c r="D847" s="14"/>
      <c r="E847" s="14"/>
      <c r="F847" s="14"/>
      <c r="G847" s="14"/>
      <c r="H847" s="14"/>
    </row>
    <row r="848" ht="22.5" customHeight="1">
      <c r="A848" s="8"/>
      <c r="B848" s="8"/>
      <c r="C848" s="16"/>
      <c r="D848" s="14"/>
      <c r="E848" s="14"/>
      <c r="F848" s="14"/>
      <c r="G848" s="14"/>
      <c r="H848" s="14"/>
    </row>
    <row r="849" ht="22.5" customHeight="1">
      <c r="A849" s="8"/>
      <c r="B849" s="8"/>
      <c r="C849" s="16"/>
      <c r="D849" s="14"/>
      <c r="E849" s="14"/>
      <c r="F849" s="14"/>
      <c r="G849" s="14"/>
      <c r="H849" s="14"/>
    </row>
    <row r="850" ht="22.5" customHeight="1">
      <c r="A850" s="8"/>
      <c r="B850" s="8"/>
      <c r="C850" s="16"/>
      <c r="D850" s="14"/>
      <c r="E850" s="14"/>
      <c r="F850" s="14"/>
      <c r="G850" s="14"/>
      <c r="H850" s="14"/>
    </row>
    <row r="851" ht="22.5" customHeight="1">
      <c r="A851" s="8"/>
      <c r="B851" s="8"/>
      <c r="C851" s="16"/>
      <c r="D851" s="14"/>
      <c r="E851" s="14"/>
      <c r="F851" s="14"/>
      <c r="G851" s="14"/>
      <c r="H851" s="14"/>
    </row>
    <row r="852" ht="22.5" customHeight="1">
      <c r="A852" s="8"/>
      <c r="B852" s="8"/>
      <c r="C852" s="16"/>
      <c r="D852" s="14"/>
      <c r="E852" s="14"/>
      <c r="F852" s="14"/>
      <c r="G852" s="14"/>
      <c r="H852" s="14"/>
    </row>
    <row r="853" ht="22.5" customHeight="1">
      <c r="A853" s="8"/>
      <c r="B853" s="8"/>
      <c r="C853" s="16"/>
      <c r="D853" s="14"/>
      <c r="E853" s="14"/>
      <c r="F853" s="14"/>
      <c r="G853" s="14"/>
      <c r="H853" s="14"/>
    </row>
    <row r="854" ht="22.5" customHeight="1">
      <c r="A854" s="8"/>
      <c r="B854" s="8"/>
      <c r="C854" s="16"/>
      <c r="D854" s="14"/>
      <c r="E854" s="14"/>
      <c r="F854" s="14"/>
      <c r="G854" s="14"/>
      <c r="H854" s="14"/>
    </row>
    <row r="855" ht="22.5" customHeight="1">
      <c r="A855" s="8"/>
      <c r="B855" s="8"/>
      <c r="C855" s="16"/>
      <c r="D855" s="14"/>
      <c r="E855" s="14"/>
      <c r="F855" s="14"/>
      <c r="G855" s="14"/>
      <c r="H855" s="14"/>
    </row>
    <row r="856" ht="22.5" customHeight="1">
      <c r="A856" s="8"/>
      <c r="B856" s="8"/>
      <c r="C856" s="16"/>
      <c r="D856" s="14"/>
      <c r="E856" s="14"/>
      <c r="F856" s="14"/>
      <c r="G856" s="14"/>
      <c r="H856" s="14"/>
    </row>
    <row r="857" ht="22.5" customHeight="1">
      <c r="A857" s="8"/>
      <c r="B857" s="8"/>
      <c r="C857" s="16"/>
      <c r="D857" s="14"/>
      <c r="E857" s="14"/>
      <c r="F857" s="14"/>
      <c r="G857" s="14"/>
      <c r="H857" s="14"/>
    </row>
    <row r="858" ht="22.5" customHeight="1">
      <c r="A858" s="8"/>
      <c r="B858" s="8"/>
      <c r="C858" s="16"/>
      <c r="D858" s="14"/>
      <c r="E858" s="14"/>
      <c r="F858" s="14"/>
      <c r="G858" s="14"/>
      <c r="H858" s="14"/>
    </row>
    <row r="859" ht="22.5" customHeight="1">
      <c r="A859" s="8"/>
      <c r="B859" s="8"/>
      <c r="C859" s="16"/>
      <c r="D859" s="14"/>
      <c r="E859" s="14"/>
      <c r="F859" s="14"/>
      <c r="G859" s="14"/>
      <c r="H859" s="14"/>
    </row>
    <row r="860" ht="22.5" customHeight="1">
      <c r="A860" s="8"/>
      <c r="B860" s="8"/>
      <c r="C860" s="16"/>
      <c r="D860" s="14"/>
      <c r="E860" s="14"/>
      <c r="F860" s="14"/>
      <c r="G860" s="14"/>
      <c r="H860" s="14"/>
    </row>
    <row r="861" ht="22.5" customHeight="1">
      <c r="A861" s="8"/>
      <c r="B861" s="8"/>
      <c r="C861" s="16"/>
      <c r="D861" s="14"/>
      <c r="E861" s="14"/>
      <c r="F861" s="14"/>
      <c r="G861" s="14"/>
      <c r="H861" s="14"/>
    </row>
    <row r="862" ht="22.5" customHeight="1">
      <c r="A862" s="8"/>
      <c r="B862" s="8"/>
      <c r="C862" s="16"/>
      <c r="D862" s="14"/>
      <c r="E862" s="14"/>
      <c r="F862" s="14"/>
      <c r="G862" s="14"/>
      <c r="H862" s="14"/>
    </row>
    <row r="863" ht="22.5" customHeight="1">
      <c r="A863" s="8"/>
      <c r="B863" s="8"/>
      <c r="C863" s="16"/>
      <c r="D863" s="14"/>
      <c r="E863" s="14"/>
      <c r="F863" s="14"/>
      <c r="G863" s="14"/>
      <c r="H863" s="14"/>
    </row>
    <row r="864" ht="22.5" customHeight="1">
      <c r="A864" s="8"/>
      <c r="B864" s="8"/>
      <c r="C864" s="16"/>
      <c r="D864" s="14"/>
      <c r="E864" s="14"/>
      <c r="F864" s="14"/>
      <c r="G864" s="14"/>
      <c r="H864" s="14"/>
    </row>
    <row r="865" ht="22.5" customHeight="1">
      <c r="A865" s="8"/>
      <c r="B865" s="8"/>
      <c r="C865" s="16"/>
      <c r="D865" s="14"/>
      <c r="E865" s="14"/>
      <c r="F865" s="14"/>
      <c r="G865" s="14"/>
      <c r="H865" s="14"/>
    </row>
    <row r="866" ht="22.5" customHeight="1">
      <c r="A866" s="8"/>
      <c r="B866" s="8"/>
      <c r="C866" s="16"/>
      <c r="D866" s="14"/>
      <c r="E866" s="14"/>
      <c r="F866" s="14"/>
      <c r="G866" s="14"/>
      <c r="H866" s="14"/>
    </row>
    <row r="867" ht="22.5" customHeight="1">
      <c r="A867" s="8"/>
      <c r="B867" s="8"/>
      <c r="C867" s="16"/>
      <c r="D867" s="14"/>
      <c r="E867" s="14"/>
      <c r="F867" s="14"/>
      <c r="G867" s="14"/>
      <c r="H867" s="14"/>
    </row>
    <row r="868" ht="22.5" customHeight="1">
      <c r="A868" s="8"/>
      <c r="B868" s="8"/>
      <c r="C868" s="16"/>
      <c r="D868" s="14"/>
      <c r="E868" s="14"/>
      <c r="F868" s="14"/>
      <c r="G868" s="14"/>
      <c r="H868" s="14"/>
    </row>
    <row r="869" ht="22.5" customHeight="1">
      <c r="A869" s="8"/>
      <c r="B869" s="8"/>
      <c r="C869" s="16"/>
      <c r="D869" s="14"/>
      <c r="E869" s="14"/>
      <c r="F869" s="14"/>
      <c r="G869" s="14"/>
      <c r="H869" s="14"/>
    </row>
    <row r="870" ht="22.5" customHeight="1">
      <c r="A870" s="8"/>
      <c r="B870" s="8"/>
      <c r="C870" s="16"/>
      <c r="D870" s="14"/>
      <c r="E870" s="14"/>
      <c r="F870" s="14"/>
      <c r="G870" s="14"/>
      <c r="H870" s="14"/>
    </row>
    <row r="871" ht="22.5" customHeight="1">
      <c r="A871" s="8"/>
      <c r="B871" s="8"/>
      <c r="C871" s="16"/>
      <c r="D871" s="14"/>
      <c r="E871" s="14"/>
      <c r="F871" s="14"/>
      <c r="G871" s="14"/>
      <c r="H871" s="14"/>
    </row>
    <row r="872" ht="22.5" customHeight="1">
      <c r="A872" s="8"/>
      <c r="B872" s="8"/>
      <c r="C872" s="16"/>
      <c r="D872" s="14"/>
      <c r="E872" s="14"/>
      <c r="F872" s="14"/>
      <c r="G872" s="14"/>
      <c r="H872" s="14"/>
    </row>
    <row r="873" ht="22.5" customHeight="1">
      <c r="A873" s="8"/>
      <c r="B873" s="8"/>
      <c r="C873" s="16"/>
      <c r="D873" s="14"/>
      <c r="E873" s="14"/>
      <c r="F873" s="14"/>
      <c r="G873" s="14"/>
      <c r="H873" s="14"/>
    </row>
    <row r="874" ht="22.5" customHeight="1">
      <c r="A874" s="8"/>
      <c r="B874" s="8"/>
      <c r="C874" s="16"/>
      <c r="D874" s="14"/>
      <c r="E874" s="14"/>
      <c r="F874" s="14"/>
      <c r="G874" s="14"/>
      <c r="H874" s="14"/>
    </row>
    <row r="875" ht="22.5" customHeight="1">
      <c r="A875" s="8"/>
      <c r="B875" s="8"/>
      <c r="C875" s="16"/>
      <c r="D875" s="14"/>
      <c r="E875" s="14"/>
      <c r="F875" s="14"/>
      <c r="G875" s="14"/>
      <c r="H875" s="14"/>
    </row>
    <row r="876" ht="22.5" customHeight="1">
      <c r="A876" s="8"/>
      <c r="B876" s="8"/>
      <c r="C876" s="16"/>
      <c r="D876" s="14"/>
      <c r="E876" s="14"/>
      <c r="F876" s="14"/>
      <c r="G876" s="14"/>
      <c r="H876" s="14"/>
    </row>
    <row r="877" ht="22.5" customHeight="1">
      <c r="A877" s="8"/>
      <c r="B877" s="8"/>
      <c r="C877" s="16"/>
      <c r="D877" s="14"/>
      <c r="E877" s="14"/>
      <c r="F877" s="14"/>
      <c r="G877" s="14"/>
      <c r="H877" s="14"/>
    </row>
    <row r="878" ht="22.5" customHeight="1">
      <c r="A878" s="8"/>
      <c r="B878" s="8"/>
      <c r="C878" s="16"/>
      <c r="D878" s="14"/>
      <c r="E878" s="14"/>
      <c r="F878" s="14"/>
      <c r="G878" s="14"/>
      <c r="H878" s="14"/>
    </row>
    <row r="879" ht="22.5" customHeight="1">
      <c r="A879" s="8"/>
      <c r="B879" s="8"/>
      <c r="C879" s="16"/>
      <c r="D879" s="14"/>
      <c r="E879" s="14"/>
      <c r="F879" s="14"/>
      <c r="G879" s="14"/>
      <c r="H879" s="14"/>
    </row>
    <row r="880" ht="22.5" customHeight="1">
      <c r="A880" s="8"/>
      <c r="B880" s="8"/>
      <c r="C880" s="16"/>
      <c r="D880" s="14"/>
      <c r="E880" s="14"/>
      <c r="F880" s="14"/>
      <c r="G880" s="14"/>
      <c r="H880" s="14"/>
    </row>
    <row r="881" ht="22.5" customHeight="1">
      <c r="A881" s="8"/>
      <c r="B881" s="8"/>
      <c r="C881" s="16"/>
      <c r="D881" s="14"/>
      <c r="E881" s="14"/>
      <c r="F881" s="14"/>
      <c r="G881" s="14"/>
      <c r="H881" s="14"/>
    </row>
    <row r="882" ht="22.5" customHeight="1">
      <c r="A882" s="8"/>
      <c r="B882" s="8"/>
      <c r="C882" s="16"/>
      <c r="D882" s="14"/>
      <c r="E882" s="14"/>
      <c r="F882" s="14"/>
      <c r="G882" s="14"/>
      <c r="H882" s="14"/>
    </row>
    <row r="883" ht="22.5" customHeight="1">
      <c r="A883" s="8"/>
      <c r="B883" s="8"/>
      <c r="C883" s="16"/>
      <c r="D883" s="14"/>
      <c r="E883" s="14"/>
      <c r="F883" s="14"/>
      <c r="G883" s="14"/>
      <c r="H883" s="14"/>
    </row>
    <row r="884" ht="22.5" customHeight="1">
      <c r="A884" s="8"/>
      <c r="B884" s="8"/>
      <c r="C884" s="16"/>
      <c r="D884" s="14"/>
      <c r="E884" s="14"/>
      <c r="F884" s="14"/>
      <c r="G884" s="14"/>
      <c r="H884" s="14"/>
    </row>
    <row r="885" ht="22.5" customHeight="1">
      <c r="A885" s="8"/>
      <c r="B885" s="8"/>
      <c r="C885" s="16"/>
      <c r="D885" s="14"/>
      <c r="E885" s="14"/>
      <c r="F885" s="14"/>
      <c r="G885" s="14"/>
      <c r="H885" s="14"/>
    </row>
    <row r="886" ht="22.5" customHeight="1">
      <c r="A886" s="8"/>
      <c r="B886" s="8"/>
      <c r="C886" s="16"/>
      <c r="D886" s="14"/>
      <c r="E886" s="14"/>
      <c r="F886" s="14"/>
      <c r="G886" s="14"/>
      <c r="H886" s="14"/>
    </row>
    <row r="887" ht="22.5" customHeight="1">
      <c r="A887" s="8"/>
      <c r="B887" s="8"/>
      <c r="C887" s="16"/>
      <c r="D887" s="14"/>
      <c r="E887" s="14"/>
      <c r="F887" s="14"/>
      <c r="G887" s="14"/>
      <c r="H887" s="14"/>
    </row>
    <row r="888" ht="22.5" customHeight="1">
      <c r="A888" s="8"/>
      <c r="B888" s="8"/>
      <c r="C888" s="16"/>
      <c r="D888" s="14"/>
      <c r="E888" s="14"/>
      <c r="F888" s="14"/>
      <c r="G888" s="14"/>
      <c r="H888" s="14"/>
    </row>
    <row r="889" ht="22.5" customHeight="1">
      <c r="A889" s="8"/>
      <c r="B889" s="8"/>
      <c r="C889" s="16"/>
      <c r="D889" s="14"/>
      <c r="E889" s="14"/>
      <c r="F889" s="14"/>
      <c r="G889" s="14"/>
      <c r="H889" s="14"/>
    </row>
    <row r="890" ht="22.5" customHeight="1">
      <c r="A890" s="8"/>
      <c r="B890" s="8"/>
      <c r="C890" s="16"/>
      <c r="D890" s="14"/>
      <c r="E890" s="14"/>
      <c r="F890" s="14"/>
      <c r="G890" s="14"/>
      <c r="H890" s="14"/>
    </row>
    <row r="891" ht="22.5" customHeight="1">
      <c r="A891" s="8"/>
      <c r="B891" s="8"/>
      <c r="C891" s="16"/>
      <c r="D891" s="14"/>
      <c r="E891" s="14"/>
      <c r="F891" s="14"/>
      <c r="G891" s="14"/>
      <c r="H891" s="14"/>
    </row>
    <row r="892" ht="22.5" customHeight="1">
      <c r="A892" s="8"/>
      <c r="B892" s="8"/>
      <c r="C892" s="16"/>
      <c r="D892" s="14"/>
      <c r="E892" s="14"/>
      <c r="F892" s="14"/>
      <c r="G892" s="14"/>
      <c r="H892" s="14"/>
    </row>
    <row r="893" ht="22.5" customHeight="1">
      <c r="A893" s="8"/>
      <c r="B893" s="8"/>
      <c r="C893" s="16"/>
      <c r="D893" s="14"/>
      <c r="E893" s="14"/>
      <c r="F893" s="14"/>
      <c r="G893" s="14"/>
      <c r="H893" s="14"/>
    </row>
    <row r="894" ht="22.5" customHeight="1">
      <c r="A894" s="8"/>
      <c r="B894" s="8"/>
      <c r="C894" s="16"/>
      <c r="D894" s="14"/>
      <c r="E894" s="14"/>
      <c r="F894" s="14"/>
      <c r="G894" s="14"/>
      <c r="H894" s="14"/>
    </row>
    <row r="895" ht="22.5" customHeight="1">
      <c r="A895" s="8"/>
      <c r="B895" s="8"/>
      <c r="C895" s="16"/>
      <c r="D895" s="14"/>
      <c r="E895" s="14"/>
      <c r="F895" s="14"/>
      <c r="G895" s="14"/>
      <c r="H895" s="14"/>
    </row>
    <row r="896" ht="22.5" customHeight="1">
      <c r="A896" s="8"/>
      <c r="B896" s="8"/>
      <c r="C896" s="16"/>
      <c r="D896" s="14"/>
      <c r="E896" s="14"/>
      <c r="F896" s="14"/>
      <c r="G896" s="14"/>
      <c r="H896" s="14"/>
    </row>
    <row r="897" ht="22.5" customHeight="1">
      <c r="A897" s="8"/>
      <c r="B897" s="8"/>
      <c r="C897" s="16"/>
      <c r="D897" s="14"/>
      <c r="E897" s="14"/>
      <c r="F897" s="14"/>
      <c r="G897" s="14"/>
      <c r="H897" s="14"/>
    </row>
    <row r="898" ht="22.5" customHeight="1">
      <c r="A898" s="8"/>
      <c r="B898" s="8"/>
      <c r="C898" s="16"/>
      <c r="D898" s="14"/>
      <c r="E898" s="14"/>
      <c r="F898" s="14"/>
      <c r="G898" s="14"/>
      <c r="H898" s="14"/>
    </row>
    <row r="899" ht="22.5" customHeight="1">
      <c r="A899" s="8"/>
      <c r="B899" s="8"/>
      <c r="C899" s="16"/>
      <c r="D899" s="14"/>
      <c r="E899" s="14"/>
      <c r="F899" s="14"/>
      <c r="G899" s="14"/>
      <c r="H899" s="14"/>
    </row>
    <row r="900" ht="22.5" customHeight="1">
      <c r="A900" s="8"/>
      <c r="B900" s="8"/>
      <c r="C900" s="16"/>
      <c r="D900" s="14"/>
      <c r="E900" s="14"/>
      <c r="F900" s="14"/>
      <c r="G900" s="14"/>
      <c r="H900" s="14"/>
    </row>
    <row r="901" ht="22.5" customHeight="1">
      <c r="A901" s="8"/>
      <c r="B901" s="8"/>
      <c r="C901" s="16"/>
      <c r="D901" s="14"/>
      <c r="E901" s="14"/>
      <c r="F901" s="14"/>
      <c r="G901" s="14"/>
      <c r="H901" s="14"/>
    </row>
    <row r="902" ht="22.5" customHeight="1">
      <c r="A902" s="8"/>
      <c r="B902" s="8"/>
      <c r="C902" s="16"/>
      <c r="D902" s="14"/>
      <c r="E902" s="14"/>
      <c r="F902" s="14"/>
      <c r="G902" s="14"/>
      <c r="H902" s="14"/>
    </row>
    <row r="903" ht="22.5" customHeight="1">
      <c r="A903" s="8"/>
      <c r="B903" s="8"/>
      <c r="C903" s="16"/>
      <c r="D903" s="14"/>
      <c r="E903" s="14"/>
      <c r="F903" s="14"/>
      <c r="G903" s="14"/>
      <c r="H903" s="14"/>
    </row>
    <row r="904" ht="22.5" customHeight="1">
      <c r="A904" s="8"/>
      <c r="B904" s="8"/>
      <c r="C904" s="16"/>
      <c r="D904" s="14"/>
      <c r="E904" s="14"/>
      <c r="F904" s="14"/>
      <c r="G904" s="14"/>
      <c r="H904" s="14"/>
    </row>
    <row r="905" ht="22.5" customHeight="1">
      <c r="A905" s="8"/>
      <c r="B905" s="8"/>
      <c r="C905" s="16"/>
      <c r="D905" s="14"/>
      <c r="E905" s="14"/>
      <c r="F905" s="14"/>
      <c r="G905" s="14"/>
      <c r="H905" s="14"/>
    </row>
    <row r="906" ht="22.5" customHeight="1">
      <c r="A906" s="8"/>
      <c r="B906" s="8"/>
      <c r="C906" s="16"/>
      <c r="D906" s="14"/>
      <c r="E906" s="14"/>
      <c r="F906" s="14"/>
      <c r="G906" s="14"/>
      <c r="H906" s="14"/>
    </row>
    <row r="907" ht="22.5" customHeight="1">
      <c r="A907" s="8"/>
      <c r="B907" s="8"/>
      <c r="C907" s="16"/>
      <c r="D907" s="14"/>
      <c r="E907" s="14"/>
      <c r="F907" s="14"/>
      <c r="G907" s="14"/>
      <c r="H907" s="14"/>
    </row>
    <row r="908" ht="22.5" customHeight="1">
      <c r="A908" s="8"/>
      <c r="B908" s="8"/>
      <c r="C908" s="16"/>
      <c r="D908" s="14"/>
      <c r="E908" s="14"/>
      <c r="F908" s="14"/>
      <c r="G908" s="14"/>
      <c r="H908" s="14"/>
    </row>
    <row r="909" ht="22.5" customHeight="1">
      <c r="A909" s="8"/>
      <c r="B909" s="8"/>
      <c r="C909" s="16"/>
      <c r="D909" s="14"/>
      <c r="E909" s="14"/>
      <c r="F909" s="14"/>
      <c r="G909" s="14"/>
      <c r="H909" s="14"/>
    </row>
    <row r="910" ht="22.5" customHeight="1">
      <c r="A910" s="8"/>
      <c r="B910" s="8"/>
      <c r="C910" s="16"/>
      <c r="D910" s="14"/>
      <c r="E910" s="14"/>
      <c r="F910" s="14"/>
      <c r="G910" s="14"/>
      <c r="H910" s="14"/>
    </row>
    <row r="911" ht="22.5" customHeight="1">
      <c r="A911" s="8"/>
      <c r="B911" s="8"/>
      <c r="C911" s="16"/>
      <c r="D911" s="14"/>
      <c r="E911" s="14"/>
      <c r="F911" s="14"/>
      <c r="G911" s="14"/>
      <c r="H911" s="14"/>
    </row>
    <row r="912" ht="22.5" customHeight="1">
      <c r="A912" s="8"/>
      <c r="B912" s="8"/>
      <c r="C912" s="16"/>
      <c r="D912" s="14"/>
      <c r="E912" s="14"/>
      <c r="F912" s="14"/>
      <c r="G912" s="14"/>
      <c r="H912" s="14"/>
    </row>
    <row r="913" ht="22.5" customHeight="1">
      <c r="A913" s="8"/>
      <c r="B913" s="8"/>
      <c r="C913" s="16"/>
      <c r="D913" s="14"/>
      <c r="E913" s="14"/>
      <c r="F913" s="14"/>
      <c r="G913" s="14"/>
      <c r="H913" s="14"/>
    </row>
    <row r="914" ht="22.5" customHeight="1">
      <c r="A914" s="8"/>
      <c r="B914" s="8"/>
      <c r="C914" s="16"/>
      <c r="D914" s="14"/>
      <c r="E914" s="14"/>
      <c r="F914" s="14"/>
      <c r="G914" s="14"/>
      <c r="H914" s="14"/>
    </row>
    <row r="915" ht="22.5" customHeight="1">
      <c r="A915" s="8"/>
      <c r="B915" s="8"/>
      <c r="C915" s="16"/>
      <c r="D915" s="14"/>
      <c r="E915" s="14"/>
      <c r="F915" s="14"/>
      <c r="G915" s="14"/>
      <c r="H915" s="14"/>
    </row>
    <row r="916" ht="22.5" customHeight="1">
      <c r="A916" s="8"/>
      <c r="B916" s="8"/>
      <c r="C916" s="16"/>
      <c r="D916" s="14"/>
      <c r="E916" s="14"/>
      <c r="F916" s="14"/>
      <c r="G916" s="14"/>
      <c r="H916" s="14"/>
    </row>
    <row r="917" ht="22.5" customHeight="1">
      <c r="A917" s="8"/>
      <c r="B917" s="8"/>
      <c r="C917" s="16"/>
      <c r="D917" s="14"/>
      <c r="E917" s="14"/>
      <c r="F917" s="14"/>
      <c r="G917" s="14"/>
      <c r="H917" s="14"/>
    </row>
    <row r="918" ht="22.5" customHeight="1">
      <c r="A918" s="8"/>
      <c r="B918" s="8"/>
      <c r="C918" s="16"/>
      <c r="D918" s="14"/>
      <c r="E918" s="14"/>
      <c r="F918" s="14"/>
      <c r="G918" s="14"/>
      <c r="H918" s="14"/>
    </row>
    <row r="919" ht="22.5" customHeight="1">
      <c r="A919" s="8"/>
      <c r="B919" s="8"/>
      <c r="C919" s="16"/>
      <c r="D919" s="14"/>
      <c r="E919" s="14"/>
      <c r="F919" s="14"/>
      <c r="G919" s="14"/>
      <c r="H919" s="14"/>
    </row>
    <row r="920" ht="22.5" customHeight="1">
      <c r="A920" s="8"/>
      <c r="B920" s="8"/>
      <c r="C920" s="16"/>
      <c r="D920" s="14"/>
      <c r="E920" s="14"/>
      <c r="F920" s="14"/>
      <c r="G920" s="14"/>
      <c r="H920" s="14"/>
    </row>
    <row r="921" ht="22.5" customHeight="1">
      <c r="A921" s="8"/>
      <c r="B921" s="8"/>
      <c r="C921" s="16"/>
      <c r="D921" s="14"/>
      <c r="E921" s="14"/>
      <c r="F921" s="14"/>
      <c r="G921" s="14"/>
      <c r="H921" s="14"/>
    </row>
    <row r="922" ht="22.5" customHeight="1">
      <c r="A922" s="8"/>
      <c r="B922" s="8"/>
      <c r="C922" s="16"/>
      <c r="D922" s="14"/>
      <c r="E922" s="14"/>
      <c r="F922" s="14"/>
      <c r="G922" s="14"/>
      <c r="H922" s="14"/>
    </row>
    <row r="923" ht="22.5" customHeight="1">
      <c r="A923" s="8"/>
      <c r="B923" s="8"/>
      <c r="C923" s="16"/>
      <c r="D923" s="14"/>
      <c r="E923" s="14"/>
      <c r="F923" s="14"/>
      <c r="G923" s="14"/>
      <c r="H923" s="14"/>
    </row>
    <row r="924" ht="22.5" customHeight="1">
      <c r="A924" s="8"/>
      <c r="B924" s="8"/>
      <c r="C924" s="16"/>
      <c r="D924" s="14"/>
      <c r="E924" s="14"/>
      <c r="F924" s="14"/>
      <c r="G924" s="14"/>
      <c r="H924" s="14"/>
    </row>
    <row r="925" ht="22.5" customHeight="1">
      <c r="A925" s="8"/>
      <c r="B925" s="8"/>
      <c r="C925" s="16"/>
      <c r="D925" s="14"/>
      <c r="E925" s="14"/>
      <c r="F925" s="14"/>
      <c r="G925" s="14"/>
      <c r="H925" s="14"/>
    </row>
    <row r="926" ht="22.5" customHeight="1">
      <c r="A926" s="8"/>
      <c r="B926" s="8"/>
      <c r="C926" s="16"/>
      <c r="D926" s="14"/>
      <c r="E926" s="14"/>
      <c r="F926" s="14"/>
      <c r="G926" s="14"/>
      <c r="H926" s="14"/>
    </row>
    <row r="927" ht="22.5" customHeight="1">
      <c r="A927" s="8"/>
      <c r="B927" s="8"/>
      <c r="C927" s="16"/>
      <c r="D927" s="14"/>
      <c r="E927" s="14"/>
      <c r="F927" s="14"/>
      <c r="G927" s="14"/>
      <c r="H927" s="14"/>
    </row>
    <row r="928" ht="22.5" customHeight="1">
      <c r="A928" s="8"/>
      <c r="B928" s="8"/>
      <c r="C928" s="16"/>
      <c r="D928" s="14"/>
      <c r="E928" s="14"/>
      <c r="F928" s="14"/>
      <c r="G928" s="14"/>
      <c r="H928" s="14"/>
    </row>
    <row r="929" ht="22.5" customHeight="1">
      <c r="A929" s="8"/>
      <c r="B929" s="8"/>
      <c r="C929" s="16"/>
      <c r="D929" s="14"/>
      <c r="E929" s="14"/>
      <c r="F929" s="14"/>
      <c r="G929" s="14"/>
      <c r="H929" s="14"/>
    </row>
    <row r="930" ht="22.5" customHeight="1">
      <c r="A930" s="8"/>
      <c r="B930" s="8"/>
      <c r="C930" s="16"/>
      <c r="D930" s="14"/>
      <c r="E930" s="14"/>
      <c r="F930" s="14"/>
      <c r="G930" s="14"/>
      <c r="H930" s="14"/>
    </row>
    <row r="931" ht="22.5" customHeight="1">
      <c r="A931" s="8"/>
      <c r="B931" s="8"/>
      <c r="C931" s="16"/>
      <c r="D931" s="14"/>
      <c r="E931" s="14"/>
      <c r="F931" s="14"/>
      <c r="G931" s="14"/>
      <c r="H931" s="14"/>
    </row>
    <row r="932" ht="22.5" customHeight="1">
      <c r="A932" s="8"/>
      <c r="B932" s="8"/>
      <c r="C932" s="16"/>
      <c r="D932" s="14"/>
      <c r="E932" s="14"/>
      <c r="F932" s="14"/>
      <c r="G932" s="14"/>
      <c r="H932" s="14"/>
    </row>
    <row r="933" ht="22.5" customHeight="1">
      <c r="A933" s="8"/>
      <c r="B933" s="8"/>
      <c r="C933" s="16"/>
      <c r="D933" s="14"/>
      <c r="E933" s="14"/>
      <c r="F933" s="14"/>
      <c r="G933" s="14"/>
      <c r="H933" s="14"/>
    </row>
    <row r="934" ht="22.5" customHeight="1">
      <c r="A934" s="8"/>
      <c r="B934" s="8"/>
      <c r="C934" s="16"/>
      <c r="D934" s="14"/>
      <c r="E934" s="14"/>
      <c r="F934" s="14"/>
      <c r="G934" s="14"/>
      <c r="H934" s="14"/>
    </row>
    <row r="935" ht="22.5" customHeight="1">
      <c r="A935" s="8"/>
      <c r="B935" s="8"/>
      <c r="C935" s="16"/>
      <c r="D935" s="14"/>
      <c r="E935" s="14"/>
      <c r="F935" s="14"/>
      <c r="G935" s="14"/>
      <c r="H935" s="14"/>
    </row>
    <row r="936" ht="22.5" customHeight="1">
      <c r="A936" s="8"/>
      <c r="B936" s="8"/>
      <c r="C936" s="16"/>
      <c r="D936" s="14"/>
      <c r="E936" s="14"/>
      <c r="F936" s="14"/>
      <c r="G936" s="14"/>
      <c r="H936" s="14"/>
    </row>
    <row r="937" ht="22.5" customHeight="1">
      <c r="A937" s="8"/>
      <c r="B937" s="8"/>
      <c r="C937" s="16"/>
      <c r="D937" s="14"/>
      <c r="E937" s="14"/>
      <c r="F937" s="14"/>
      <c r="G937" s="14"/>
      <c r="H937" s="14"/>
    </row>
    <row r="938" ht="22.5" customHeight="1">
      <c r="A938" s="8"/>
      <c r="B938" s="8"/>
      <c r="C938" s="16"/>
      <c r="D938" s="14"/>
      <c r="E938" s="14"/>
      <c r="F938" s="14"/>
      <c r="G938" s="14"/>
      <c r="H938" s="14"/>
    </row>
    <row r="939" ht="22.5" customHeight="1">
      <c r="A939" s="8"/>
      <c r="B939" s="8"/>
      <c r="C939" s="16"/>
      <c r="D939" s="14"/>
      <c r="E939" s="14"/>
      <c r="F939" s="14"/>
      <c r="G939" s="14"/>
      <c r="H939" s="14"/>
    </row>
    <row r="940" ht="22.5" customHeight="1">
      <c r="A940" s="8"/>
      <c r="B940" s="8"/>
      <c r="C940" s="16"/>
      <c r="D940" s="14"/>
      <c r="E940" s="14"/>
      <c r="F940" s="14"/>
      <c r="G940" s="14"/>
      <c r="H940" s="14"/>
    </row>
    <row r="941" ht="22.5" customHeight="1">
      <c r="A941" s="8"/>
      <c r="B941" s="8"/>
      <c r="C941" s="16"/>
      <c r="D941" s="14"/>
      <c r="E941" s="14"/>
      <c r="F941" s="14"/>
      <c r="G941" s="14"/>
      <c r="H941" s="14"/>
    </row>
    <row r="942" ht="22.5" customHeight="1">
      <c r="A942" s="8"/>
      <c r="B942" s="8"/>
      <c r="C942" s="16"/>
      <c r="D942" s="14"/>
      <c r="E942" s="14"/>
      <c r="F942" s="14"/>
      <c r="G942" s="14"/>
      <c r="H942" s="14"/>
    </row>
    <row r="943" ht="22.5" customHeight="1">
      <c r="A943" s="8"/>
      <c r="B943" s="8"/>
      <c r="C943" s="16"/>
      <c r="D943" s="14"/>
      <c r="E943" s="14"/>
      <c r="F943" s="14"/>
      <c r="G943" s="14"/>
      <c r="H943" s="14"/>
    </row>
    <row r="944" ht="22.5" customHeight="1">
      <c r="A944" s="8"/>
      <c r="B944" s="8"/>
      <c r="C944" s="16"/>
      <c r="D944" s="14"/>
      <c r="E944" s="14"/>
      <c r="F944" s="14"/>
      <c r="G944" s="14"/>
      <c r="H944" s="14"/>
    </row>
    <row r="945" ht="22.5" customHeight="1">
      <c r="A945" s="8"/>
      <c r="B945" s="8"/>
      <c r="C945" s="16"/>
      <c r="D945" s="14"/>
      <c r="E945" s="14"/>
      <c r="F945" s="14"/>
      <c r="G945" s="14"/>
      <c r="H945" s="14"/>
    </row>
    <row r="946" ht="22.5" customHeight="1">
      <c r="A946" s="8"/>
      <c r="B946" s="8"/>
      <c r="C946" s="16"/>
      <c r="D946" s="14"/>
      <c r="E946" s="14"/>
      <c r="F946" s="14"/>
      <c r="G946" s="14"/>
      <c r="H946" s="14"/>
    </row>
    <row r="947" ht="22.5" customHeight="1">
      <c r="A947" s="8"/>
      <c r="B947" s="8"/>
      <c r="C947" s="16"/>
      <c r="D947" s="14"/>
      <c r="E947" s="14"/>
      <c r="F947" s="14"/>
      <c r="G947" s="14"/>
      <c r="H947" s="14"/>
    </row>
    <row r="948" ht="22.5" customHeight="1">
      <c r="A948" s="8"/>
      <c r="B948" s="8"/>
      <c r="C948" s="16"/>
      <c r="D948" s="14"/>
      <c r="E948" s="14"/>
      <c r="F948" s="14"/>
      <c r="G948" s="14"/>
      <c r="H948" s="14"/>
    </row>
    <row r="949" ht="22.5" customHeight="1">
      <c r="A949" s="8"/>
      <c r="B949" s="8"/>
      <c r="C949" s="16"/>
      <c r="D949" s="14"/>
      <c r="E949" s="14"/>
      <c r="F949" s="14"/>
      <c r="G949" s="14"/>
      <c r="H949" s="14"/>
    </row>
    <row r="950" ht="22.5" customHeight="1">
      <c r="A950" s="8"/>
      <c r="B950" s="8"/>
      <c r="C950" s="16"/>
      <c r="D950" s="14"/>
      <c r="E950" s="14"/>
      <c r="F950" s="14"/>
      <c r="G950" s="14"/>
      <c r="H950" s="14"/>
    </row>
    <row r="951" ht="22.5" customHeight="1">
      <c r="A951" s="8"/>
      <c r="B951" s="8"/>
      <c r="C951" s="16"/>
      <c r="D951" s="14"/>
      <c r="E951" s="14"/>
      <c r="F951" s="14"/>
      <c r="G951" s="14"/>
      <c r="H951" s="14"/>
    </row>
    <row r="952" ht="22.5" customHeight="1">
      <c r="A952" s="8"/>
      <c r="B952" s="8"/>
      <c r="C952" s="16"/>
      <c r="D952" s="14"/>
      <c r="E952" s="14"/>
      <c r="F952" s="14"/>
      <c r="G952" s="14"/>
      <c r="H952" s="14"/>
    </row>
    <row r="953" ht="22.5" customHeight="1">
      <c r="A953" s="8"/>
      <c r="B953" s="8"/>
      <c r="C953" s="16"/>
      <c r="D953" s="14"/>
      <c r="E953" s="14"/>
      <c r="F953" s="14"/>
      <c r="G953" s="14"/>
      <c r="H953" s="14"/>
    </row>
    <row r="954" ht="22.5" customHeight="1">
      <c r="A954" s="8"/>
      <c r="B954" s="8"/>
      <c r="C954" s="16"/>
      <c r="D954" s="14"/>
      <c r="E954" s="14"/>
      <c r="F954" s="14"/>
      <c r="G954" s="14"/>
      <c r="H954" s="14"/>
    </row>
    <row r="955" ht="22.5" customHeight="1">
      <c r="A955" s="8"/>
      <c r="B955" s="8"/>
      <c r="C955" s="16"/>
      <c r="D955" s="14"/>
      <c r="E955" s="14"/>
      <c r="F955" s="14"/>
      <c r="G955" s="14"/>
      <c r="H955" s="14"/>
    </row>
    <row r="956" ht="22.5" customHeight="1">
      <c r="A956" s="8"/>
      <c r="B956" s="8"/>
      <c r="C956" s="16"/>
      <c r="D956" s="14"/>
      <c r="E956" s="14"/>
      <c r="F956" s="14"/>
      <c r="G956" s="14"/>
      <c r="H956" s="14"/>
    </row>
    <row r="957" ht="22.5" customHeight="1">
      <c r="A957" s="8"/>
      <c r="B957" s="8"/>
      <c r="C957" s="16"/>
      <c r="D957" s="14"/>
      <c r="E957" s="14"/>
      <c r="F957" s="14"/>
      <c r="G957" s="14"/>
      <c r="H957" s="14"/>
    </row>
    <row r="958" ht="22.5" customHeight="1">
      <c r="A958" s="8"/>
      <c r="B958" s="8"/>
      <c r="C958" s="16"/>
      <c r="D958" s="14"/>
      <c r="E958" s="14"/>
      <c r="F958" s="14"/>
      <c r="G958" s="14"/>
      <c r="H958" s="14"/>
    </row>
    <row r="959" ht="22.5" customHeight="1">
      <c r="A959" s="8"/>
      <c r="B959" s="8"/>
      <c r="C959" s="16"/>
      <c r="D959" s="14"/>
      <c r="E959" s="14"/>
      <c r="F959" s="14"/>
      <c r="G959" s="14"/>
      <c r="H959" s="14"/>
    </row>
    <row r="960" ht="22.5" customHeight="1">
      <c r="A960" s="8"/>
      <c r="B960" s="8"/>
      <c r="C960" s="16"/>
      <c r="D960" s="14"/>
      <c r="E960" s="14"/>
      <c r="F960" s="14"/>
      <c r="G960" s="14"/>
      <c r="H960" s="14"/>
    </row>
    <row r="961" ht="22.5" customHeight="1">
      <c r="A961" s="8"/>
      <c r="B961" s="8"/>
      <c r="C961" s="16"/>
      <c r="D961" s="14"/>
      <c r="E961" s="14"/>
      <c r="F961" s="14"/>
      <c r="G961" s="14"/>
      <c r="H961" s="14"/>
    </row>
    <row r="962" ht="22.5" customHeight="1">
      <c r="A962" s="8"/>
      <c r="B962" s="8"/>
      <c r="C962" s="16"/>
      <c r="D962" s="14"/>
      <c r="E962" s="14"/>
      <c r="F962" s="14"/>
      <c r="G962" s="14"/>
      <c r="H962" s="14"/>
    </row>
    <row r="963" ht="22.5" customHeight="1">
      <c r="A963" s="8"/>
      <c r="B963" s="8"/>
      <c r="C963" s="16"/>
      <c r="D963" s="14"/>
      <c r="E963" s="14"/>
      <c r="F963" s="14"/>
      <c r="G963" s="14"/>
      <c r="H963" s="14"/>
    </row>
    <row r="964" ht="22.5" customHeight="1">
      <c r="A964" s="8"/>
      <c r="B964" s="8"/>
      <c r="C964" s="16"/>
      <c r="D964" s="14"/>
      <c r="E964" s="14"/>
      <c r="F964" s="14"/>
      <c r="G964" s="14"/>
      <c r="H964" s="14"/>
    </row>
    <row r="965" ht="22.5" customHeight="1">
      <c r="A965" s="8"/>
      <c r="B965" s="8"/>
      <c r="C965" s="16"/>
      <c r="D965" s="14"/>
      <c r="E965" s="14"/>
      <c r="F965" s="14"/>
      <c r="G965" s="14"/>
      <c r="H965" s="14"/>
    </row>
    <row r="966" ht="22.5" customHeight="1">
      <c r="A966" s="8"/>
      <c r="B966" s="8"/>
      <c r="C966" s="16"/>
      <c r="D966" s="14"/>
      <c r="E966" s="14"/>
      <c r="F966" s="14"/>
      <c r="G966" s="14"/>
      <c r="H966" s="14"/>
    </row>
    <row r="967" ht="22.5" customHeight="1">
      <c r="A967" s="8"/>
      <c r="B967" s="8"/>
      <c r="C967" s="16"/>
      <c r="D967" s="14"/>
      <c r="E967" s="14"/>
      <c r="F967" s="14"/>
      <c r="G967" s="14"/>
      <c r="H967" s="14"/>
    </row>
    <row r="968" ht="22.5" customHeight="1">
      <c r="A968" s="8"/>
      <c r="B968" s="8"/>
      <c r="C968" s="16"/>
      <c r="D968" s="14"/>
      <c r="E968" s="14"/>
      <c r="F968" s="14"/>
      <c r="G968" s="14"/>
      <c r="H968" s="14"/>
    </row>
    <row r="969" ht="22.5" customHeight="1">
      <c r="A969" s="8"/>
      <c r="B969" s="8"/>
      <c r="C969" s="16"/>
      <c r="D969" s="14"/>
      <c r="E969" s="14"/>
      <c r="F969" s="14"/>
      <c r="G969" s="14"/>
      <c r="H969" s="14"/>
    </row>
    <row r="970" ht="22.5" customHeight="1">
      <c r="A970" s="8"/>
      <c r="B970" s="8"/>
      <c r="C970" s="16"/>
      <c r="D970" s="14"/>
      <c r="E970" s="14"/>
      <c r="F970" s="14"/>
      <c r="G970" s="14"/>
      <c r="H970" s="14"/>
    </row>
    <row r="971" ht="22.5" customHeight="1">
      <c r="A971" s="8"/>
      <c r="B971" s="8"/>
      <c r="C971" s="16"/>
      <c r="D971" s="14"/>
      <c r="E971" s="14"/>
      <c r="F971" s="14"/>
      <c r="G971" s="14"/>
      <c r="H971" s="14"/>
    </row>
    <row r="972" ht="22.5" customHeight="1">
      <c r="A972" s="8"/>
      <c r="B972" s="8"/>
      <c r="C972" s="16"/>
      <c r="D972" s="14"/>
      <c r="E972" s="14"/>
      <c r="F972" s="14"/>
      <c r="G972" s="14"/>
      <c r="H972" s="14"/>
    </row>
    <row r="973" ht="22.5" customHeight="1">
      <c r="A973" s="8"/>
      <c r="B973" s="8"/>
      <c r="C973" s="16"/>
      <c r="D973" s="14"/>
      <c r="E973" s="14"/>
      <c r="F973" s="14"/>
      <c r="G973" s="14"/>
      <c r="H973" s="14"/>
    </row>
    <row r="974" ht="22.5" customHeight="1">
      <c r="A974" s="8"/>
      <c r="B974" s="8"/>
      <c r="C974" s="16"/>
      <c r="D974" s="14"/>
      <c r="E974" s="14"/>
      <c r="F974" s="14"/>
      <c r="G974" s="14"/>
      <c r="H974" s="14"/>
    </row>
    <row r="975" ht="22.5" customHeight="1">
      <c r="A975" s="8"/>
      <c r="B975" s="8"/>
      <c r="C975" s="16"/>
      <c r="D975" s="14"/>
      <c r="E975" s="14"/>
      <c r="F975" s="14"/>
      <c r="G975" s="14"/>
      <c r="H975" s="14"/>
    </row>
    <row r="976" ht="22.5" customHeight="1">
      <c r="A976" s="8"/>
      <c r="B976" s="8"/>
      <c r="C976" s="16"/>
      <c r="D976" s="14"/>
      <c r="E976" s="14"/>
      <c r="F976" s="14"/>
      <c r="G976" s="14"/>
      <c r="H976" s="14"/>
    </row>
    <row r="977" ht="22.5" customHeight="1">
      <c r="A977" s="8"/>
      <c r="B977" s="8"/>
      <c r="C977" s="16"/>
      <c r="D977" s="14"/>
      <c r="E977" s="14"/>
      <c r="F977" s="14"/>
      <c r="G977" s="14"/>
      <c r="H977" s="14"/>
    </row>
    <row r="978" ht="22.5" customHeight="1">
      <c r="A978" s="8"/>
      <c r="B978" s="8"/>
      <c r="C978" s="16"/>
      <c r="D978" s="14"/>
      <c r="E978" s="14"/>
      <c r="F978" s="14"/>
      <c r="G978" s="14"/>
      <c r="H978" s="14"/>
    </row>
    <row r="979" ht="22.5" customHeight="1">
      <c r="A979" s="8"/>
      <c r="B979" s="8"/>
      <c r="C979" s="16"/>
      <c r="D979" s="14"/>
      <c r="E979" s="14"/>
      <c r="F979" s="14"/>
      <c r="G979" s="14"/>
      <c r="H979" s="14"/>
    </row>
    <row r="980" ht="22.5" customHeight="1">
      <c r="A980" s="8"/>
      <c r="B980" s="8"/>
      <c r="C980" s="16"/>
      <c r="D980" s="14"/>
      <c r="E980" s="14"/>
      <c r="F980" s="14"/>
      <c r="G980" s="14"/>
      <c r="H980" s="14"/>
    </row>
    <row r="981" ht="22.5" customHeight="1">
      <c r="A981" s="8"/>
      <c r="B981" s="8"/>
      <c r="C981" s="16"/>
      <c r="D981" s="14"/>
      <c r="E981" s="14"/>
      <c r="F981" s="14"/>
      <c r="G981" s="14"/>
      <c r="H981" s="14"/>
    </row>
    <row r="982" ht="22.5" customHeight="1">
      <c r="A982" s="8"/>
      <c r="B982" s="8"/>
      <c r="C982" s="16"/>
      <c r="D982" s="14"/>
      <c r="E982" s="14"/>
      <c r="F982" s="14"/>
      <c r="G982" s="14"/>
      <c r="H982" s="14"/>
    </row>
    <row r="983" ht="22.5" customHeight="1">
      <c r="A983" s="8"/>
      <c r="B983" s="8"/>
      <c r="C983" s="16"/>
      <c r="D983" s="14"/>
      <c r="E983" s="14"/>
      <c r="F983" s="14"/>
      <c r="G983" s="14"/>
      <c r="H983" s="14"/>
    </row>
    <row r="984" ht="22.5" customHeight="1">
      <c r="A984" s="8"/>
      <c r="B984" s="8"/>
      <c r="C984" s="16"/>
      <c r="D984" s="14"/>
      <c r="E984" s="14"/>
      <c r="F984" s="14"/>
      <c r="G984" s="14"/>
      <c r="H984" s="14"/>
    </row>
    <row r="985" ht="22.5" customHeight="1">
      <c r="A985" s="8"/>
      <c r="B985" s="8"/>
      <c r="C985" s="16"/>
      <c r="D985" s="14"/>
      <c r="E985" s="14"/>
      <c r="F985" s="14"/>
      <c r="G985" s="14"/>
      <c r="H985" s="14"/>
    </row>
    <row r="986" ht="22.5" customHeight="1">
      <c r="A986" s="8"/>
      <c r="B986" s="8"/>
      <c r="C986" s="16"/>
      <c r="D986" s="14"/>
      <c r="E986" s="14"/>
      <c r="F986" s="14"/>
      <c r="G986" s="14"/>
      <c r="H986" s="14"/>
    </row>
    <row r="987" ht="22.5" customHeight="1">
      <c r="A987" s="8"/>
      <c r="B987" s="8"/>
      <c r="C987" s="16"/>
      <c r="D987" s="14"/>
      <c r="E987" s="14"/>
      <c r="F987" s="14"/>
      <c r="G987" s="14"/>
      <c r="H987" s="14"/>
    </row>
    <row r="988" ht="22.5" customHeight="1">
      <c r="A988" s="8"/>
      <c r="B988" s="8"/>
      <c r="C988" s="16"/>
      <c r="D988" s="14"/>
      <c r="E988" s="14"/>
      <c r="F988" s="14"/>
      <c r="G988" s="14"/>
      <c r="H988" s="14"/>
    </row>
    <row r="989" ht="22.5" customHeight="1">
      <c r="A989" s="8"/>
      <c r="B989" s="8"/>
      <c r="C989" s="16"/>
      <c r="D989" s="14"/>
      <c r="E989" s="14"/>
      <c r="F989" s="14"/>
      <c r="G989" s="14"/>
      <c r="H989" s="14"/>
    </row>
    <row r="990" ht="22.5" customHeight="1">
      <c r="A990" s="8"/>
      <c r="B990" s="8"/>
      <c r="C990" s="16"/>
      <c r="D990" s="14"/>
      <c r="E990" s="14"/>
      <c r="F990" s="14"/>
      <c r="G990" s="14"/>
      <c r="H990" s="14"/>
    </row>
    <row r="991" ht="22.5" customHeight="1">
      <c r="A991" s="8"/>
      <c r="B991" s="8"/>
      <c r="C991" s="16"/>
      <c r="D991" s="14"/>
      <c r="E991" s="14"/>
      <c r="F991" s="14"/>
      <c r="G991" s="14"/>
      <c r="H991" s="14"/>
    </row>
    <row r="992" ht="22.5" customHeight="1">
      <c r="A992" s="8"/>
      <c r="B992" s="8"/>
      <c r="C992" s="16"/>
      <c r="D992" s="14"/>
      <c r="E992" s="14"/>
      <c r="F992" s="14"/>
      <c r="G992" s="14"/>
      <c r="H992" s="14"/>
    </row>
    <row r="993" ht="22.5" customHeight="1">
      <c r="A993" s="8"/>
      <c r="B993" s="8"/>
      <c r="C993" s="16"/>
      <c r="D993" s="14"/>
      <c r="E993" s="14"/>
      <c r="F993" s="14"/>
      <c r="G993" s="14"/>
      <c r="H993" s="14"/>
    </row>
    <row r="994" ht="22.5" customHeight="1">
      <c r="A994" s="8"/>
      <c r="B994" s="8"/>
      <c r="C994" s="16"/>
      <c r="D994" s="14"/>
      <c r="E994" s="14"/>
      <c r="F994" s="14"/>
      <c r="G994" s="14"/>
      <c r="H994" s="14"/>
    </row>
    <row r="995" ht="22.5" customHeight="1">
      <c r="A995" s="8"/>
      <c r="B995" s="8"/>
      <c r="C995" s="16"/>
      <c r="D995" s="14"/>
      <c r="E995" s="14"/>
      <c r="F995" s="14"/>
      <c r="G995" s="14"/>
      <c r="H995" s="14"/>
    </row>
    <row r="996" ht="22.5" customHeight="1">
      <c r="A996" s="8"/>
      <c r="B996" s="8"/>
      <c r="C996" s="16"/>
      <c r="D996" s="14"/>
      <c r="E996" s="14"/>
      <c r="F996" s="14"/>
      <c r="G996" s="14"/>
      <c r="H996" s="14"/>
    </row>
    <row r="997" ht="22.5" customHeight="1">
      <c r="A997" s="8"/>
      <c r="B997" s="8"/>
      <c r="C997" s="16"/>
      <c r="D997" s="14"/>
      <c r="E997" s="14"/>
      <c r="F997" s="14"/>
      <c r="G997" s="14"/>
      <c r="H997" s="14"/>
    </row>
    <row r="998" ht="22.5" customHeight="1">
      <c r="A998" s="8"/>
      <c r="B998" s="8"/>
      <c r="C998" s="16"/>
      <c r="D998" s="14"/>
      <c r="E998" s="14"/>
      <c r="F998" s="14"/>
      <c r="G998" s="14"/>
      <c r="H998" s="14"/>
    </row>
    <row r="999" ht="22.5" customHeight="1">
      <c r="A999" s="8"/>
      <c r="B999" s="8"/>
      <c r="C999" s="16"/>
      <c r="D999" s="14"/>
      <c r="E999" s="14"/>
      <c r="F999" s="14"/>
      <c r="G999" s="14"/>
      <c r="H999" s="14"/>
    </row>
    <row r="1000" ht="22.5" customHeight="1">
      <c r="A1000" s="8"/>
      <c r="B1000" s="8"/>
      <c r="C1000" s="16"/>
      <c r="D1000" s="14"/>
      <c r="E1000" s="14"/>
      <c r="F1000" s="14"/>
      <c r="G1000" s="14"/>
      <c r="H1000" s="14"/>
    </row>
    <row r="1001" ht="22.5" customHeight="1">
      <c r="A1001" s="8"/>
      <c r="B1001" s="8"/>
      <c r="C1001" s="16"/>
      <c r="D1001" s="14"/>
      <c r="E1001" s="14"/>
      <c r="F1001" s="14"/>
      <c r="G1001" s="14"/>
      <c r="H1001" s="14"/>
    </row>
    <row r="1002" ht="22.5" customHeight="1">
      <c r="A1002" s="8"/>
      <c r="B1002" s="8"/>
      <c r="C1002" s="16"/>
      <c r="D1002" s="14"/>
      <c r="E1002" s="14"/>
      <c r="F1002" s="14"/>
      <c r="G1002" s="14"/>
      <c r="H1002" s="14"/>
    </row>
    <row r="1003" ht="22.5" customHeight="1">
      <c r="A1003" s="8"/>
      <c r="B1003" s="8"/>
      <c r="C1003" s="16"/>
      <c r="D1003" s="14"/>
      <c r="E1003" s="14"/>
      <c r="F1003" s="14"/>
      <c r="G1003" s="14"/>
      <c r="H1003" s="14"/>
    </row>
    <row r="1004" ht="22.5" customHeight="1">
      <c r="A1004" s="8"/>
      <c r="B1004" s="8"/>
      <c r="C1004" s="16"/>
      <c r="D1004" s="14"/>
      <c r="E1004" s="14"/>
      <c r="F1004" s="14"/>
      <c r="G1004" s="14"/>
      <c r="H1004" s="14"/>
    </row>
    <row r="1005" ht="22.5" customHeight="1">
      <c r="A1005" s="8"/>
      <c r="B1005" s="8"/>
      <c r="C1005" s="16"/>
      <c r="D1005" s="14"/>
      <c r="E1005" s="14"/>
      <c r="F1005" s="14"/>
      <c r="G1005" s="14"/>
      <c r="H1005" s="14"/>
    </row>
    <row r="1006" ht="22.5" customHeight="1">
      <c r="A1006" s="8"/>
      <c r="B1006" s="8"/>
      <c r="C1006" s="16"/>
      <c r="D1006" s="14"/>
      <c r="E1006" s="14"/>
      <c r="F1006" s="14"/>
      <c r="G1006" s="14"/>
      <c r="H1006" s="14"/>
    </row>
    <row r="1007" ht="22.5" customHeight="1">
      <c r="A1007" s="8"/>
      <c r="B1007" s="8"/>
      <c r="C1007" s="16"/>
      <c r="D1007" s="14"/>
      <c r="E1007" s="14"/>
      <c r="F1007" s="14"/>
      <c r="G1007" s="14"/>
      <c r="H1007" s="14"/>
    </row>
    <row r="1008" ht="22.5" customHeight="1">
      <c r="A1008" s="8"/>
      <c r="B1008" s="8"/>
      <c r="C1008" s="16"/>
      <c r="D1008" s="14"/>
      <c r="E1008" s="14"/>
      <c r="F1008" s="14"/>
      <c r="G1008" s="14"/>
      <c r="H1008" s="14"/>
    </row>
    <row r="1009" ht="22.5" customHeight="1">
      <c r="A1009" s="8"/>
      <c r="B1009" s="8"/>
      <c r="C1009" s="16"/>
      <c r="D1009" s="14"/>
      <c r="E1009" s="14"/>
      <c r="F1009" s="14"/>
      <c r="G1009" s="14"/>
      <c r="H1009" s="14"/>
    </row>
    <row r="1010" ht="22.5" customHeight="1">
      <c r="A1010" s="8"/>
      <c r="B1010" s="8"/>
      <c r="C1010" s="16"/>
      <c r="D1010" s="14"/>
      <c r="E1010" s="14"/>
      <c r="F1010" s="14"/>
      <c r="G1010" s="14"/>
      <c r="H1010" s="14"/>
    </row>
    <row r="1011" ht="22.5" customHeight="1">
      <c r="A1011" s="8"/>
      <c r="B1011" s="8"/>
      <c r="C1011" s="16"/>
      <c r="D1011" s="14"/>
      <c r="E1011" s="14"/>
      <c r="F1011" s="14"/>
      <c r="G1011" s="14"/>
      <c r="H1011" s="14"/>
    </row>
    <row r="1012" ht="22.5" customHeight="1">
      <c r="A1012" s="8"/>
      <c r="B1012" s="8"/>
      <c r="C1012" s="16"/>
      <c r="D1012" s="14"/>
      <c r="E1012" s="14"/>
      <c r="F1012" s="14"/>
      <c r="G1012" s="14"/>
      <c r="H1012" s="14"/>
    </row>
    <row r="1013" ht="22.5" customHeight="1">
      <c r="A1013" s="8"/>
      <c r="B1013" s="8"/>
      <c r="C1013" s="16"/>
      <c r="D1013" s="14"/>
      <c r="E1013" s="14"/>
      <c r="F1013" s="14"/>
      <c r="G1013" s="14"/>
      <c r="H1013" s="14"/>
    </row>
    <row r="1014" ht="22.5" customHeight="1">
      <c r="A1014" s="8"/>
      <c r="B1014" s="8"/>
      <c r="C1014" s="16"/>
      <c r="D1014" s="14"/>
      <c r="E1014" s="14"/>
      <c r="F1014" s="14"/>
      <c r="G1014" s="14"/>
      <c r="H1014" s="14"/>
    </row>
    <row r="1015" ht="22.5" customHeight="1">
      <c r="A1015" s="8"/>
      <c r="B1015" s="8"/>
      <c r="C1015" s="16"/>
      <c r="D1015" s="14"/>
      <c r="E1015" s="14"/>
      <c r="F1015" s="14"/>
      <c r="G1015" s="14"/>
      <c r="H1015" s="14"/>
    </row>
    <row r="1016" ht="22.5" customHeight="1">
      <c r="A1016" s="8"/>
      <c r="B1016" s="8"/>
      <c r="C1016" s="16"/>
      <c r="D1016" s="14"/>
      <c r="E1016" s="14"/>
      <c r="F1016" s="14"/>
      <c r="G1016" s="14"/>
      <c r="H1016" s="14"/>
    </row>
    <row r="1017" ht="22.5" customHeight="1">
      <c r="A1017" s="8"/>
      <c r="B1017" s="8"/>
      <c r="C1017" s="16"/>
      <c r="D1017" s="14"/>
      <c r="E1017" s="14"/>
      <c r="F1017" s="14"/>
      <c r="G1017" s="14"/>
      <c r="H1017" s="14"/>
    </row>
    <row r="1018" ht="22.5" customHeight="1">
      <c r="A1018" s="8"/>
      <c r="B1018" s="8"/>
      <c r="C1018" s="16"/>
      <c r="D1018" s="14"/>
      <c r="E1018" s="14"/>
      <c r="F1018" s="14"/>
      <c r="G1018" s="14"/>
      <c r="H1018" s="14"/>
    </row>
    <row r="1019" ht="22.5" customHeight="1">
      <c r="A1019" s="8"/>
      <c r="B1019" s="8"/>
      <c r="C1019" s="16"/>
      <c r="D1019" s="14"/>
      <c r="E1019" s="14"/>
      <c r="F1019" s="14"/>
      <c r="G1019" s="14"/>
      <c r="H1019" s="14"/>
    </row>
    <row r="1020" ht="22.5" customHeight="1">
      <c r="A1020" s="8"/>
      <c r="B1020" s="8"/>
      <c r="C1020" s="16"/>
      <c r="D1020" s="14"/>
      <c r="E1020" s="14"/>
      <c r="F1020" s="14"/>
      <c r="G1020" s="14"/>
      <c r="H1020" s="14"/>
    </row>
    <row r="1021" ht="22.5" customHeight="1">
      <c r="A1021" s="8"/>
      <c r="B1021" s="8"/>
      <c r="C1021" s="16"/>
      <c r="D1021" s="14"/>
      <c r="E1021" s="14"/>
      <c r="F1021" s="14"/>
      <c r="G1021" s="14"/>
      <c r="H1021" s="14"/>
    </row>
    <row r="1022" ht="22.5" customHeight="1">
      <c r="A1022" s="8"/>
      <c r="B1022" s="8"/>
      <c r="C1022" s="16"/>
      <c r="D1022" s="14"/>
      <c r="E1022" s="14"/>
      <c r="F1022" s="14"/>
      <c r="G1022" s="14"/>
      <c r="H1022" s="14"/>
    </row>
    <row r="1023" ht="22.5" customHeight="1">
      <c r="A1023" s="8"/>
      <c r="B1023" s="8"/>
      <c r="C1023" s="16"/>
      <c r="D1023" s="14"/>
      <c r="E1023" s="14"/>
      <c r="F1023" s="14"/>
      <c r="G1023" s="14"/>
      <c r="H1023" s="14"/>
    </row>
    <row r="1024" ht="22.5" customHeight="1">
      <c r="A1024" s="8"/>
      <c r="B1024" s="8"/>
      <c r="C1024" s="16"/>
      <c r="D1024" s="14"/>
      <c r="E1024" s="14"/>
      <c r="F1024" s="14"/>
      <c r="G1024" s="14"/>
      <c r="H1024" s="14"/>
    </row>
    <row r="1025" ht="22.5" customHeight="1">
      <c r="A1025" s="8"/>
      <c r="B1025" s="8"/>
      <c r="C1025" s="16"/>
      <c r="D1025" s="14"/>
      <c r="E1025" s="14"/>
      <c r="F1025" s="14"/>
      <c r="G1025" s="14"/>
      <c r="H1025" s="14"/>
    </row>
    <row r="1026" ht="22.5" customHeight="1">
      <c r="A1026" s="8"/>
      <c r="B1026" s="8"/>
      <c r="C1026" s="16"/>
      <c r="D1026" s="14"/>
      <c r="E1026" s="14"/>
      <c r="F1026" s="14"/>
      <c r="G1026" s="14"/>
      <c r="H1026" s="14"/>
    </row>
    <row r="1027" ht="22.5" customHeight="1">
      <c r="A1027" s="8"/>
      <c r="B1027" s="8"/>
      <c r="C1027" s="16"/>
      <c r="D1027" s="14"/>
      <c r="E1027" s="14"/>
      <c r="F1027" s="14"/>
      <c r="G1027" s="14"/>
      <c r="H1027" s="14"/>
    </row>
    <row r="1028" ht="22.5" customHeight="1">
      <c r="A1028" s="8"/>
      <c r="B1028" s="8"/>
      <c r="C1028" s="16"/>
      <c r="D1028" s="14"/>
      <c r="E1028" s="14"/>
      <c r="F1028" s="14"/>
      <c r="G1028" s="14"/>
      <c r="H1028" s="14"/>
    </row>
    <row r="1029" ht="22.5" customHeight="1">
      <c r="A1029" s="8"/>
      <c r="B1029" s="8"/>
      <c r="C1029" s="16"/>
      <c r="D1029" s="14"/>
      <c r="E1029" s="14"/>
      <c r="F1029" s="14"/>
      <c r="G1029" s="14"/>
      <c r="H1029" s="14"/>
    </row>
    <row r="1030" ht="22.5" customHeight="1">
      <c r="A1030" s="8"/>
      <c r="B1030" s="8"/>
      <c r="C1030" s="16"/>
      <c r="D1030" s="14"/>
      <c r="E1030" s="14"/>
      <c r="F1030" s="14"/>
      <c r="G1030" s="14"/>
      <c r="H1030" s="14"/>
    </row>
    <row r="1031" ht="22.5" customHeight="1">
      <c r="A1031" s="8"/>
      <c r="B1031" s="8"/>
      <c r="C1031" s="16"/>
      <c r="D1031" s="14"/>
      <c r="E1031" s="14"/>
      <c r="F1031" s="14"/>
      <c r="G1031" s="14"/>
      <c r="H1031" s="14"/>
    </row>
    <row r="1032" ht="22.5" customHeight="1">
      <c r="A1032" s="8"/>
      <c r="B1032" s="8"/>
      <c r="C1032" s="16"/>
      <c r="D1032" s="14"/>
      <c r="E1032" s="14"/>
      <c r="F1032" s="14"/>
      <c r="G1032" s="14"/>
      <c r="H1032" s="14"/>
    </row>
    <row r="1033" ht="22.5" customHeight="1">
      <c r="A1033" s="8"/>
      <c r="B1033" s="8"/>
      <c r="C1033" s="16"/>
      <c r="D1033" s="14"/>
      <c r="E1033" s="14"/>
      <c r="F1033" s="14"/>
      <c r="G1033" s="14"/>
      <c r="H1033" s="14"/>
    </row>
    <row r="1034" ht="22.5" customHeight="1">
      <c r="A1034" s="8"/>
      <c r="B1034" s="8"/>
      <c r="C1034" s="16"/>
      <c r="D1034" s="14"/>
      <c r="E1034" s="14"/>
      <c r="F1034" s="14"/>
      <c r="G1034" s="14"/>
      <c r="H1034" s="14"/>
    </row>
    <row r="1035" ht="22.5" customHeight="1">
      <c r="A1035" s="8"/>
      <c r="B1035" s="8"/>
      <c r="C1035" s="16"/>
      <c r="D1035" s="14"/>
      <c r="E1035" s="14"/>
      <c r="F1035" s="14"/>
      <c r="G1035" s="14"/>
      <c r="H1035" s="14"/>
    </row>
    <row r="1036" ht="22.5" customHeight="1">
      <c r="A1036" s="8"/>
      <c r="B1036" s="8"/>
      <c r="C1036" s="16"/>
      <c r="D1036" s="14"/>
      <c r="E1036" s="14"/>
      <c r="F1036" s="14"/>
      <c r="G1036" s="14"/>
      <c r="H1036" s="14"/>
    </row>
    <row r="1037" ht="22.5" customHeight="1">
      <c r="A1037" s="8"/>
      <c r="B1037" s="8"/>
      <c r="C1037" s="16"/>
      <c r="D1037" s="14"/>
      <c r="E1037" s="14"/>
      <c r="F1037" s="14"/>
      <c r="G1037" s="14"/>
      <c r="H1037" s="14"/>
    </row>
    <row r="1038" ht="22.5" customHeight="1">
      <c r="A1038" s="8"/>
      <c r="B1038" s="8"/>
      <c r="C1038" s="16"/>
      <c r="D1038" s="14"/>
      <c r="E1038" s="14"/>
      <c r="F1038" s="14"/>
      <c r="G1038" s="14"/>
      <c r="H1038" s="14"/>
    </row>
    <row r="1039" ht="22.5" customHeight="1">
      <c r="A1039" s="8"/>
      <c r="B1039" s="8"/>
      <c r="C1039" s="16"/>
      <c r="D1039" s="14"/>
      <c r="E1039" s="14"/>
      <c r="F1039" s="14"/>
      <c r="G1039" s="14"/>
      <c r="H1039" s="14"/>
    </row>
    <row r="1040" ht="22.5" customHeight="1">
      <c r="A1040" s="8"/>
      <c r="B1040" s="8"/>
      <c r="C1040" s="16"/>
      <c r="D1040" s="14"/>
      <c r="E1040" s="14"/>
      <c r="F1040" s="14"/>
      <c r="G1040" s="14"/>
      <c r="H1040" s="14"/>
    </row>
    <row r="1041" ht="22.5" customHeight="1">
      <c r="A1041" s="8"/>
      <c r="B1041" s="8"/>
      <c r="C1041" s="16"/>
      <c r="D1041" s="14"/>
      <c r="E1041" s="14"/>
      <c r="F1041" s="14"/>
      <c r="G1041" s="14"/>
      <c r="H1041" s="14"/>
    </row>
    <row r="1042" ht="22.5" customHeight="1">
      <c r="A1042" s="8"/>
      <c r="B1042" s="8"/>
      <c r="C1042" s="16"/>
      <c r="D1042" s="14"/>
      <c r="E1042" s="14"/>
      <c r="F1042" s="14"/>
      <c r="G1042" s="14"/>
      <c r="H1042" s="14"/>
    </row>
    <row r="1043" ht="22.5" customHeight="1">
      <c r="A1043" s="8"/>
      <c r="B1043" s="8"/>
      <c r="C1043" s="16"/>
      <c r="D1043" s="14"/>
      <c r="E1043" s="14"/>
      <c r="F1043" s="14"/>
      <c r="G1043" s="14"/>
      <c r="H1043" s="14"/>
    </row>
    <row r="1044" ht="22.5" customHeight="1">
      <c r="A1044" s="8"/>
      <c r="B1044" s="8"/>
      <c r="C1044" s="16"/>
      <c r="D1044" s="14"/>
      <c r="E1044" s="14"/>
      <c r="F1044" s="14"/>
      <c r="G1044" s="14"/>
      <c r="H1044" s="14"/>
    </row>
    <row r="1045" ht="22.5" customHeight="1">
      <c r="A1045" s="8"/>
      <c r="B1045" s="8"/>
      <c r="C1045" s="16"/>
      <c r="D1045" s="14"/>
      <c r="E1045" s="14"/>
      <c r="F1045" s="14"/>
      <c r="G1045" s="14"/>
      <c r="H1045" s="14"/>
    </row>
    <row r="1046" ht="22.5" customHeight="1">
      <c r="A1046" s="8"/>
      <c r="B1046" s="8"/>
      <c r="C1046" s="16"/>
      <c r="D1046" s="14"/>
      <c r="E1046" s="14"/>
      <c r="F1046" s="14"/>
      <c r="G1046" s="14"/>
      <c r="H1046" s="14"/>
    </row>
    <row r="1047" ht="22.5" customHeight="1">
      <c r="A1047" s="8"/>
      <c r="B1047" s="8"/>
      <c r="C1047" s="16"/>
      <c r="D1047" s="14"/>
      <c r="E1047" s="14"/>
      <c r="F1047" s="14"/>
      <c r="G1047" s="14"/>
      <c r="H1047" s="14"/>
    </row>
    <row r="1048" ht="22.5" customHeight="1">
      <c r="A1048" s="8"/>
      <c r="B1048" s="8"/>
      <c r="C1048" s="16"/>
      <c r="D1048" s="14"/>
      <c r="E1048" s="14"/>
      <c r="F1048" s="14"/>
      <c r="G1048" s="14"/>
      <c r="H1048" s="14"/>
    </row>
    <row r="1049" ht="22.5" customHeight="1">
      <c r="A1049" s="8"/>
      <c r="B1049" s="8"/>
      <c r="C1049" s="16"/>
      <c r="D1049" s="14"/>
      <c r="E1049" s="14"/>
      <c r="F1049" s="14"/>
      <c r="G1049" s="14"/>
      <c r="H1049" s="14"/>
    </row>
  </sheetData>
  <conditionalFormatting sqref="A3:H1049">
    <cfRule type="expression" dxfId="0" priority="1">
      <formula>$B3=TRUE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2" width="6.88"/>
    <col customWidth="1" min="3" max="3" width="28.5"/>
    <col customWidth="1" min="4" max="4" width="20.38"/>
    <col customWidth="1" min="5" max="5" width="17.13"/>
    <col customWidth="1" min="6" max="6" width="32.88"/>
    <col customWidth="1" min="7" max="7" width="16.0"/>
    <col customWidth="1" min="8" max="8" width="9.0"/>
    <col customWidth="1" min="9" max="9" width="21.75"/>
  </cols>
  <sheetData>
    <row r="1" ht="57.0" customHeight="1">
      <c r="A1" s="1"/>
      <c r="B1" s="26"/>
      <c r="C1" s="26"/>
      <c r="D1" s="26"/>
      <c r="E1" s="26"/>
      <c r="F1" s="27"/>
      <c r="G1" s="27"/>
      <c r="H1" s="28"/>
      <c r="I1" s="29"/>
    </row>
    <row r="2" ht="30.0" customHeight="1">
      <c r="A2" s="5"/>
      <c r="B2" s="30" t="s">
        <v>0</v>
      </c>
      <c r="C2" s="30" t="s">
        <v>1</v>
      </c>
      <c r="D2" s="31" t="s">
        <v>2</v>
      </c>
      <c r="E2" s="31" t="s">
        <v>250</v>
      </c>
      <c r="F2" s="30" t="s">
        <v>4</v>
      </c>
      <c r="G2" s="30" t="s">
        <v>5</v>
      </c>
      <c r="H2" s="30" t="s">
        <v>251</v>
      </c>
      <c r="I2" s="30" t="s">
        <v>252</v>
      </c>
    </row>
    <row r="3" ht="26.25" customHeight="1">
      <c r="A3" s="7">
        <v>1.0</v>
      </c>
      <c r="B3" s="32" t="b">
        <v>0</v>
      </c>
      <c r="C3" s="33" t="s">
        <v>158</v>
      </c>
      <c r="D3" s="34" t="s">
        <v>253</v>
      </c>
      <c r="E3" s="35"/>
      <c r="F3" s="36"/>
      <c r="G3" s="37" t="s">
        <v>254</v>
      </c>
      <c r="H3" s="37">
        <v>210.0</v>
      </c>
      <c r="I3" s="38" t="s">
        <v>255</v>
      </c>
    </row>
    <row r="4" ht="26.25" customHeight="1">
      <c r="A4" s="7">
        <v>2.0</v>
      </c>
      <c r="B4" s="32" t="b">
        <v>0</v>
      </c>
      <c r="C4" s="39" t="s">
        <v>152</v>
      </c>
      <c r="D4" s="40" t="s">
        <v>256</v>
      </c>
      <c r="E4" s="40">
        <v>7.509111199E9</v>
      </c>
      <c r="F4" s="41" t="s">
        <v>257</v>
      </c>
      <c r="G4" s="42" t="s">
        <v>258</v>
      </c>
      <c r="H4" s="42">
        <v>120.0</v>
      </c>
      <c r="I4" s="43" t="s">
        <v>259</v>
      </c>
    </row>
    <row r="5" ht="26.25" customHeight="1">
      <c r="A5" s="7">
        <v>3.0</v>
      </c>
      <c r="B5" s="32" t="b">
        <v>0</v>
      </c>
      <c r="C5" s="44" t="s">
        <v>260</v>
      </c>
      <c r="D5" s="45" t="s">
        <v>261</v>
      </c>
      <c r="E5" s="45">
        <v>7.504490856E9</v>
      </c>
      <c r="F5" s="46" t="s">
        <v>262</v>
      </c>
      <c r="G5" s="47" t="s">
        <v>263</v>
      </c>
      <c r="H5" s="47">
        <v>120.0</v>
      </c>
      <c r="I5" s="48" t="s">
        <v>264</v>
      </c>
    </row>
    <row r="6" ht="26.25" customHeight="1">
      <c r="A6" s="7">
        <v>4.0</v>
      </c>
      <c r="B6" s="32" t="b">
        <v>0</v>
      </c>
      <c r="C6" s="44" t="s">
        <v>265</v>
      </c>
      <c r="D6" s="45" t="s">
        <v>266</v>
      </c>
      <c r="E6" s="45">
        <v>7.503000073E9</v>
      </c>
      <c r="F6" s="49"/>
      <c r="G6" s="47" t="s">
        <v>267</v>
      </c>
      <c r="H6" s="47">
        <v>105.0</v>
      </c>
      <c r="I6" s="48" t="s">
        <v>268</v>
      </c>
    </row>
    <row r="7" ht="26.25" customHeight="1">
      <c r="A7" s="7">
        <v>5.0</v>
      </c>
      <c r="B7" s="32" t="b">
        <v>0</v>
      </c>
      <c r="C7" s="44" t="s">
        <v>269</v>
      </c>
      <c r="D7" s="45" t="s">
        <v>270</v>
      </c>
      <c r="E7" s="45">
        <v>7.507595972E9</v>
      </c>
      <c r="F7" s="46" t="s">
        <v>271</v>
      </c>
      <c r="G7" s="47" t="s">
        <v>267</v>
      </c>
      <c r="H7" s="47">
        <v>105.0</v>
      </c>
      <c r="I7" s="48" t="s">
        <v>272</v>
      </c>
    </row>
    <row r="8" ht="26.25" customHeight="1">
      <c r="A8" s="7">
        <v>6.0</v>
      </c>
      <c r="B8" s="32" t="b">
        <v>0</v>
      </c>
      <c r="C8" s="44" t="s">
        <v>273</v>
      </c>
      <c r="D8" s="45" t="s">
        <v>274</v>
      </c>
      <c r="E8" s="45">
        <v>7.50741E9</v>
      </c>
      <c r="F8" s="46" t="s">
        <v>275</v>
      </c>
      <c r="G8" s="47" t="s">
        <v>267</v>
      </c>
      <c r="H8" s="47">
        <v>96.0</v>
      </c>
      <c r="I8" s="48" t="s">
        <v>276</v>
      </c>
    </row>
    <row r="9" ht="26.25" customHeight="1">
      <c r="A9" s="7">
        <v>7.0</v>
      </c>
      <c r="B9" s="32" t="b">
        <v>0</v>
      </c>
      <c r="C9" s="44" t="s">
        <v>277</v>
      </c>
      <c r="D9" s="45" t="s">
        <v>278</v>
      </c>
      <c r="E9" s="45">
        <v>7.504454682E9</v>
      </c>
      <c r="F9" s="46" t="s">
        <v>279</v>
      </c>
      <c r="G9" s="47" t="s">
        <v>267</v>
      </c>
      <c r="H9" s="47">
        <v>96.0</v>
      </c>
      <c r="I9" s="48" t="s">
        <v>280</v>
      </c>
    </row>
    <row r="10" ht="26.25" customHeight="1">
      <c r="A10" s="7">
        <v>8.0</v>
      </c>
      <c r="B10" s="32" t="b">
        <v>0</v>
      </c>
      <c r="C10" s="44" t="s">
        <v>281</v>
      </c>
      <c r="D10" s="45" t="s">
        <v>282</v>
      </c>
      <c r="E10" s="45">
        <v>7.701911119E9</v>
      </c>
      <c r="F10" s="46" t="s">
        <v>283</v>
      </c>
      <c r="G10" s="47" t="s">
        <v>263</v>
      </c>
      <c r="H10" s="47">
        <v>90.0</v>
      </c>
      <c r="I10" s="48" t="s">
        <v>284</v>
      </c>
    </row>
    <row r="11" ht="26.25" customHeight="1">
      <c r="A11" s="7">
        <v>9.0</v>
      </c>
      <c r="B11" s="32" t="b">
        <v>0</v>
      </c>
      <c r="C11" s="44" t="s">
        <v>285</v>
      </c>
      <c r="D11" s="45" t="s">
        <v>286</v>
      </c>
      <c r="E11" s="45">
        <v>7.50451494E9</v>
      </c>
      <c r="F11" s="46" t="s">
        <v>287</v>
      </c>
      <c r="G11" s="47" t="s">
        <v>263</v>
      </c>
      <c r="H11" s="47">
        <v>90.0</v>
      </c>
      <c r="I11" s="48" t="s">
        <v>288</v>
      </c>
    </row>
    <row r="12" ht="26.25" customHeight="1">
      <c r="A12" s="7">
        <v>10.0</v>
      </c>
      <c r="B12" s="32" t="b">
        <v>0</v>
      </c>
      <c r="C12" s="44" t="s">
        <v>56</v>
      </c>
      <c r="D12" s="45" t="s">
        <v>289</v>
      </c>
      <c r="E12" s="45">
        <v>7.701541157E9</v>
      </c>
      <c r="F12" s="46" t="s">
        <v>290</v>
      </c>
      <c r="G12" s="47" t="s">
        <v>263</v>
      </c>
      <c r="H12" s="47">
        <v>90.0</v>
      </c>
      <c r="I12" s="48" t="s">
        <v>291</v>
      </c>
    </row>
    <row r="13" ht="26.25" customHeight="1">
      <c r="A13" s="7">
        <v>11.0</v>
      </c>
      <c r="B13" s="32" t="b">
        <v>0</v>
      </c>
      <c r="C13" s="44" t="s">
        <v>292</v>
      </c>
      <c r="D13" s="45" t="s">
        <v>293</v>
      </c>
      <c r="E13" s="45">
        <v>7.514021001E9</v>
      </c>
      <c r="F13" s="46" t="s">
        <v>294</v>
      </c>
      <c r="G13" s="47" t="s">
        <v>263</v>
      </c>
      <c r="H13" s="47">
        <v>90.0</v>
      </c>
      <c r="I13" s="48" t="s">
        <v>295</v>
      </c>
    </row>
    <row r="14" ht="26.25" customHeight="1">
      <c r="A14" s="7">
        <v>12.0</v>
      </c>
      <c r="B14" s="32" t="b">
        <v>0</v>
      </c>
      <c r="C14" s="44" t="s">
        <v>296</v>
      </c>
      <c r="D14" s="45" t="s">
        <v>297</v>
      </c>
      <c r="E14" s="45">
        <v>7.51430626E9</v>
      </c>
      <c r="F14" s="46" t="s">
        <v>298</v>
      </c>
      <c r="G14" s="47" t="s">
        <v>263</v>
      </c>
      <c r="H14" s="47">
        <v>90.0</v>
      </c>
      <c r="I14" s="48" t="s">
        <v>299</v>
      </c>
    </row>
    <row r="15" ht="26.25" customHeight="1">
      <c r="A15" s="7">
        <v>13.0</v>
      </c>
      <c r="B15" s="32" t="b">
        <v>0</v>
      </c>
      <c r="C15" s="44" t="s">
        <v>300</v>
      </c>
      <c r="D15" s="45" t="s">
        <v>301</v>
      </c>
      <c r="E15" s="45">
        <v>7.505929001E9</v>
      </c>
      <c r="F15" s="46" t="s">
        <v>302</v>
      </c>
      <c r="G15" s="47" t="s">
        <v>263</v>
      </c>
      <c r="H15" s="47">
        <v>105.0</v>
      </c>
      <c r="I15" s="48" t="s">
        <v>303</v>
      </c>
    </row>
    <row r="16" ht="26.25" customHeight="1">
      <c r="A16" s="7">
        <v>14.0</v>
      </c>
      <c r="B16" s="32" t="b">
        <v>0</v>
      </c>
      <c r="C16" s="44" t="s">
        <v>304</v>
      </c>
      <c r="D16" s="45" t="s">
        <v>305</v>
      </c>
      <c r="E16" s="45">
        <v>7.702216005E9</v>
      </c>
      <c r="F16" s="46" t="s">
        <v>306</v>
      </c>
      <c r="G16" s="47" t="s">
        <v>263</v>
      </c>
      <c r="H16" s="47">
        <v>90.0</v>
      </c>
      <c r="I16" s="48" t="s">
        <v>307</v>
      </c>
    </row>
    <row r="17" ht="26.25" customHeight="1">
      <c r="A17" s="7">
        <v>15.0</v>
      </c>
      <c r="B17" s="32" t="b">
        <v>0</v>
      </c>
      <c r="C17" s="44" t="s">
        <v>308</v>
      </c>
      <c r="D17" s="45" t="s">
        <v>309</v>
      </c>
      <c r="E17" s="45">
        <v>7.504454447E9</v>
      </c>
      <c r="F17" s="46" t="s">
        <v>310</v>
      </c>
      <c r="G17" s="47" t="s">
        <v>263</v>
      </c>
      <c r="H17" s="50">
        <v>90.0</v>
      </c>
      <c r="I17" s="48" t="s">
        <v>311</v>
      </c>
    </row>
    <row r="18" ht="26.25" customHeight="1">
      <c r="A18" s="7">
        <v>16.0</v>
      </c>
      <c r="B18" s="32" t="b">
        <v>0</v>
      </c>
      <c r="C18" s="44" t="s">
        <v>312</v>
      </c>
      <c r="D18" s="45" t="s">
        <v>313</v>
      </c>
      <c r="E18" s="45">
        <v>7.504451919E9</v>
      </c>
      <c r="F18" s="46" t="s">
        <v>314</v>
      </c>
      <c r="G18" s="47" t="s">
        <v>263</v>
      </c>
      <c r="H18" s="47">
        <v>90.0</v>
      </c>
      <c r="I18" s="48" t="s">
        <v>315</v>
      </c>
    </row>
    <row r="19" ht="26.25" customHeight="1">
      <c r="A19" s="7">
        <v>17.0</v>
      </c>
      <c r="B19" s="32" t="b">
        <v>0</v>
      </c>
      <c r="C19" s="44" t="s">
        <v>316</v>
      </c>
      <c r="D19" s="45" t="s">
        <v>317</v>
      </c>
      <c r="E19" s="45">
        <v>7.504470501E9</v>
      </c>
      <c r="F19" s="46" t="s">
        <v>318</v>
      </c>
      <c r="G19" s="47" t="s">
        <v>263</v>
      </c>
      <c r="H19" s="47">
        <v>90.0</v>
      </c>
      <c r="I19" s="48" t="s">
        <v>319</v>
      </c>
    </row>
    <row r="20" ht="26.25" customHeight="1">
      <c r="A20" s="7">
        <v>18.0</v>
      </c>
      <c r="B20" s="32" t="b">
        <v>0</v>
      </c>
      <c r="C20" s="44" t="s">
        <v>320</v>
      </c>
      <c r="D20" s="45" t="s">
        <v>321</v>
      </c>
      <c r="E20" s="45">
        <v>7.504358464E9</v>
      </c>
      <c r="F20" s="46" t="s">
        <v>322</v>
      </c>
      <c r="G20" s="47" t="s">
        <v>263</v>
      </c>
      <c r="H20" s="47">
        <v>90.0</v>
      </c>
      <c r="I20" s="48" t="s">
        <v>323</v>
      </c>
    </row>
    <row r="21" ht="26.25" customHeight="1">
      <c r="A21" s="7">
        <v>19.0</v>
      </c>
      <c r="B21" s="32" t="b">
        <v>0</v>
      </c>
      <c r="C21" s="44" t="s">
        <v>324</v>
      </c>
      <c r="D21" s="45" t="s">
        <v>325</v>
      </c>
      <c r="E21" s="45">
        <v>7.504770521E9</v>
      </c>
      <c r="F21" s="46" t="s">
        <v>326</v>
      </c>
      <c r="G21" s="47" t="s">
        <v>263</v>
      </c>
      <c r="H21" s="47">
        <v>105.0</v>
      </c>
      <c r="I21" s="48" t="s">
        <v>327</v>
      </c>
    </row>
    <row r="22" ht="26.25" customHeight="1">
      <c r="A22" s="7">
        <v>20.0</v>
      </c>
      <c r="B22" s="32" t="b">
        <v>0</v>
      </c>
      <c r="C22" s="44" t="s">
        <v>328</v>
      </c>
      <c r="D22" s="45" t="s">
        <v>329</v>
      </c>
      <c r="E22" s="45">
        <v>7.701009999E9</v>
      </c>
      <c r="F22" s="46" t="s">
        <v>330</v>
      </c>
      <c r="G22" s="47" t="s">
        <v>263</v>
      </c>
      <c r="H22" s="47">
        <v>105.0</v>
      </c>
      <c r="I22" s="48" t="s">
        <v>331</v>
      </c>
    </row>
    <row r="23" ht="26.25" customHeight="1">
      <c r="A23" s="7">
        <v>21.0</v>
      </c>
      <c r="B23" s="32" t="b">
        <v>0</v>
      </c>
      <c r="C23" s="44" t="s">
        <v>332</v>
      </c>
      <c r="D23" s="45" t="s">
        <v>333</v>
      </c>
      <c r="E23" s="45">
        <v>7.508331415E9</v>
      </c>
      <c r="F23" s="51"/>
      <c r="G23" s="47" t="s">
        <v>334</v>
      </c>
      <c r="H23" s="47">
        <v>84.0</v>
      </c>
      <c r="I23" s="48" t="s">
        <v>335</v>
      </c>
    </row>
    <row r="24" ht="26.25" customHeight="1">
      <c r="A24" s="7">
        <v>22.0</v>
      </c>
      <c r="B24" s="32" t="b">
        <v>0</v>
      </c>
      <c r="C24" s="44" t="s">
        <v>336</v>
      </c>
      <c r="D24" s="45" t="s">
        <v>337</v>
      </c>
      <c r="E24" s="45">
        <v>7.711352807E9</v>
      </c>
      <c r="F24" s="46" t="s">
        <v>338</v>
      </c>
      <c r="G24" s="47" t="s">
        <v>334</v>
      </c>
      <c r="H24" s="47">
        <v>84.0</v>
      </c>
      <c r="I24" s="48" t="s">
        <v>339</v>
      </c>
    </row>
    <row r="25" ht="26.25" customHeight="1">
      <c r="A25" s="7">
        <v>23.0</v>
      </c>
      <c r="B25" s="32" t="b">
        <v>0</v>
      </c>
      <c r="C25" s="44" t="s">
        <v>340</v>
      </c>
      <c r="D25" s="45" t="s">
        <v>341</v>
      </c>
      <c r="E25" s="45" t="s">
        <v>342</v>
      </c>
      <c r="F25" s="46" t="s">
        <v>343</v>
      </c>
      <c r="G25" s="47" t="s">
        <v>334</v>
      </c>
      <c r="H25" s="47">
        <v>48.0</v>
      </c>
      <c r="I25" s="48" t="s">
        <v>344</v>
      </c>
    </row>
    <row r="26" ht="26.25" customHeight="1">
      <c r="A26" s="7">
        <v>24.0</v>
      </c>
      <c r="B26" s="32" t="b">
        <v>0</v>
      </c>
      <c r="C26" s="44" t="s">
        <v>345</v>
      </c>
      <c r="D26" s="45" t="s">
        <v>346</v>
      </c>
      <c r="E26" s="45">
        <v>7.504451154E9</v>
      </c>
      <c r="F26" s="49"/>
      <c r="G26" s="47" t="s">
        <v>334</v>
      </c>
      <c r="H26" s="47">
        <v>86.0</v>
      </c>
      <c r="I26" s="48" t="s">
        <v>347</v>
      </c>
    </row>
    <row r="27" ht="26.25" customHeight="1">
      <c r="A27" s="7">
        <v>25.0</v>
      </c>
      <c r="B27" s="32" t="b">
        <v>0</v>
      </c>
      <c r="C27" s="44" t="s">
        <v>348</v>
      </c>
      <c r="D27" s="45" t="s">
        <v>349</v>
      </c>
      <c r="E27" s="45">
        <v>7.505026699E9</v>
      </c>
      <c r="F27" s="49"/>
      <c r="G27" s="47" t="s">
        <v>350</v>
      </c>
      <c r="H27" s="47">
        <v>48.0</v>
      </c>
      <c r="I27" s="48" t="s">
        <v>351</v>
      </c>
    </row>
    <row r="28" ht="26.25" customHeight="1">
      <c r="A28" s="7">
        <v>26.0</v>
      </c>
      <c r="B28" s="32" t="b">
        <v>0</v>
      </c>
      <c r="C28" s="44" t="s">
        <v>352</v>
      </c>
      <c r="D28" s="45" t="s">
        <v>353</v>
      </c>
      <c r="E28" s="45">
        <v>7.509692E9</v>
      </c>
      <c r="F28" s="49"/>
      <c r="G28" s="47" t="s">
        <v>350</v>
      </c>
      <c r="H28" s="47">
        <v>48.0</v>
      </c>
      <c r="I28" s="48" t="s">
        <v>354</v>
      </c>
    </row>
    <row r="29" ht="26.25" customHeight="1">
      <c r="A29" s="7">
        <v>27.0</v>
      </c>
      <c r="B29" s="32" t="b">
        <v>0</v>
      </c>
      <c r="C29" s="44" t="s">
        <v>355</v>
      </c>
      <c r="D29" s="45" t="s">
        <v>356</v>
      </c>
      <c r="E29" s="45">
        <v>7.501994099E9</v>
      </c>
      <c r="F29" s="46" t="s">
        <v>357</v>
      </c>
      <c r="G29" s="47" t="s">
        <v>334</v>
      </c>
      <c r="H29" s="47">
        <v>90.0</v>
      </c>
      <c r="I29" s="48" t="s">
        <v>358</v>
      </c>
    </row>
    <row r="30" ht="26.25" customHeight="1">
      <c r="A30" s="7">
        <v>28.0</v>
      </c>
      <c r="B30" s="32" t="b">
        <v>0</v>
      </c>
      <c r="C30" s="44" t="s">
        <v>359</v>
      </c>
      <c r="D30" s="45" t="s">
        <v>360</v>
      </c>
      <c r="E30" s="45">
        <v>7.50231555E9</v>
      </c>
      <c r="F30" s="46" t="s">
        <v>361</v>
      </c>
      <c r="G30" s="47" t="s">
        <v>350</v>
      </c>
      <c r="H30" s="47">
        <v>48.0</v>
      </c>
      <c r="I30" s="48" t="s">
        <v>362</v>
      </c>
    </row>
    <row r="31" ht="26.25" customHeight="1">
      <c r="A31" s="7">
        <v>29.0</v>
      </c>
      <c r="B31" s="32" t="b">
        <v>0</v>
      </c>
      <c r="C31" s="44" t="s">
        <v>363</v>
      </c>
      <c r="D31" s="45" t="s">
        <v>364</v>
      </c>
      <c r="E31" s="45">
        <v>7.504489066E9</v>
      </c>
      <c r="F31" s="46" t="s">
        <v>365</v>
      </c>
      <c r="G31" s="47" t="s">
        <v>366</v>
      </c>
      <c r="H31" s="47">
        <v>42.0</v>
      </c>
      <c r="I31" s="48" t="s">
        <v>367</v>
      </c>
    </row>
    <row r="32" ht="26.25" customHeight="1">
      <c r="A32" s="7">
        <v>30.0</v>
      </c>
      <c r="B32" s="32" t="b">
        <v>0</v>
      </c>
      <c r="C32" s="44" t="s">
        <v>368</v>
      </c>
      <c r="D32" s="45" t="s">
        <v>369</v>
      </c>
      <c r="E32" s="45">
        <v>7.514540357E9</v>
      </c>
      <c r="F32" s="46" t="s">
        <v>370</v>
      </c>
      <c r="G32" s="47" t="s">
        <v>366</v>
      </c>
      <c r="H32" s="47">
        <v>42.0</v>
      </c>
      <c r="I32" s="48" t="s">
        <v>371</v>
      </c>
    </row>
    <row r="33" ht="26.25" customHeight="1">
      <c r="A33" s="7">
        <v>31.0</v>
      </c>
      <c r="B33" s="32" t="b">
        <v>0</v>
      </c>
      <c r="C33" s="44" t="s">
        <v>372</v>
      </c>
      <c r="D33" s="45" t="s">
        <v>274</v>
      </c>
      <c r="E33" s="45">
        <v>7.701503438E9</v>
      </c>
      <c r="F33" s="51"/>
      <c r="G33" s="47" t="s">
        <v>366</v>
      </c>
      <c r="H33" s="47">
        <v>42.0</v>
      </c>
      <c r="I33" s="48" t="s">
        <v>373</v>
      </c>
    </row>
    <row r="34" ht="26.25" customHeight="1">
      <c r="A34" s="7">
        <v>32.0</v>
      </c>
      <c r="B34" s="32" t="b">
        <v>0</v>
      </c>
      <c r="C34" s="44" t="s">
        <v>374</v>
      </c>
      <c r="D34" s="45" t="s">
        <v>375</v>
      </c>
      <c r="E34" s="45">
        <v>7.504511605E9</v>
      </c>
      <c r="F34" s="46" t="s">
        <v>376</v>
      </c>
      <c r="G34" s="47" t="s">
        <v>350</v>
      </c>
      <c r="H34" s="47">
        <v>51.0</v>
      </c>
      <c r="I34" s="48" t="s">
        <v>377</v>
      </c>
    </row>
    <row r="35" ht="26.25" customHeight="1">
      <c r="A35" s="7">
        <v>33.0</v>
      </c>
      <c r="B35" s="32" t="b">
        <v>0</v>
      </c>
      <c r="C35" s="44" t="s">
        <v>378</v>
      </c>
      <c r="D35" s="45" t="s">
        <v>379</v>
      </c>
      <c r="E35" s="45">
        <v>7.50437515E9</v>
      </c>
      <c r="F35" s="51"/>
      <c r="G35" s="47" t="s">
        <v>366</v>
      </c>
      <c r="H35" s="48">
        <v>15.0</v>
      </c>
      <c r="I35" s="48" t="s">
        <v>380</v>
      </c>
    </row>
    <row r="36" ht="26.25" customHeight="1">
      <c r="A36" s="7">
        <v>34.0</v>
      </c>
      <c r="B36" s="32" t="b">
        <v>0</v>
      </c>
      <c r="C36" s="44" t="s">
        <v>381</v>
      </c>
      <c r="D36" s="45" t="s">
        <v>382</v>
      </c>
      <c r="E36" s="45">
        <v>7.504656607E9</v>
      </c>
      <c r="F36" s="49"/>
      <c r="G36" s="47" t="s">
        <v>350</v>
      </c>
      <c r="H36" s="52" t="s">
        <v>383</v>
      </c>
      <c r="I36" s="53"/>
    </row>
    <row r="37" ht="26.25" customHeight="1">
      <c r="A37" s="7">
        <v>35.0</v>
      </c>
      <c r="B37" s="32" t="b">
        <v>0</v>
      </c>
      <c r="C37" s="44" t="s">
        <v>384</v>
      </c>
      <c r="D37" s="54"/>
      <c r="E37" s="54"/>
      <c r="F37" s="49"/>
      <c r="G37" s="47" t="s">
        <v>366</v>
      </c>
      <c r="H37" s="55">
        <v>15.0</v>
      </c>
      <c r="I37" s="55" t="s">
        <v>385</v>
      </c>
    </row>
    <row r="38" ht="26.25" customHeight="1">
      <c r="A38" s="7">
        <v>36.0</v>
      </c>
      <c r="B38" s="32" t="b">
        <v>0</v>
      </c>
      <c r="C38" s="44" t="s">
        <v>386</v>
      </c>
      <c r="D38" s="45" t="s">
        <v>387</v>
      </c>
      <c r="E38" s="45" t="s">
        <v>387</v>
      </c>
      <c r="F38" s="56" t="s">
        <v>387</v>
      </c>
      <c r="G38" s="47" t="s">
        <v>366</v>
      </c>
      <c r="H38" s="47">
        <v>18.0</v>
      </c>
      <c r="I38" s="48" t="s">
        <v>388</v>
      </c>
    </row>
    <row r="39" ht="26.25" customHeight="1">
      <c r="A39" s="7">
        <v>37.0</v>
      </c>
      <c r="B39" s="32" t="b">
        <v>0</v>
      </c>
      <c r="C39" s="44" t="s">
        <v>389</v>
      </c>
      <c r="D39" s="45" t="s">
        <v>390</v>
      </c>
      <c r="E39" s="45">
        <v>7.503058096E9</v>
      </c>
      <c r="F39" s="46" t="s">
        <v>391</v>
      </c>
      <c r="G39" s="47" t="s">
        <v>366</v>
      </c>
      <c r="H39" s="47">
        <v>15.0</v>
      </c>
      <c r="I39" s="48" t="s">
        <v>392</v>
      </c>
    </row>
    <row r="40" ht="26.25" customHeight="1">
      <c r="A40" s="7">
        <v>38.0</v>
      </c>
      <c r="B40" s="32" t="b">
        <v>0</v>
      </c>
      <c r="C40" s="44" t="s">
        <v>393</v>
      </c>
      <c r="D40" s="45" t="s">
        <v>394</v>
      </c>
      <c r="E40" s="45" t="s">
        <v>395</v>
      </c>
      <c r="F40" s="46" t="s">
        <v>396</v>
      </c>
      <c r="G40" s="47" t="s">
        <v>366</v>
      </c>
      <c r="H40" s="47">
        <v>18.0</v>
      </c>
      <c r="I40" s="48" t="s">
        <v>397</v>
      </c>
    </row>
    <row r="41" ht="26.25" customHeight="1">
      <c r="A41" s="7">
        <v>39.0</v>
      </c>
      <c r="B41" s="32" t="b">
        <v>0</v>
      </c>
      <c r="C41" s="44" t="s">
        <v>398</v>
      </c>
      <c r="D41" s="45" t="s">
        <v>399</v>
      </c>
      <c r="E41" s="45">
        <v>7.701743427E9</v>
      </c>
      <c r="F41" s="46" t="s">
        <v>400</v>
      </c>
      <c r="G41" s="47" t="s">
        <v>366</v>
      </c>
      <c r="H41" s="47">
        <v>24.0</v>
      </c>
      <c r="I41" s="48" t="s">
        <v>401</v>
      </c>
    </row>
    <row r="42" ht="26.25" customHeight="1">
      <c r="A42" s="7">
        <v>40.0</v>
      </c>
      <c r="B42" s="32" t="b">
        <v>0</v>
      </c>
      <c r="C42" s="44" t="s">
        <v>402</v>
      </c>
      <c r="D42" s="45" t="s">
        <v>403</v>
      </c>
      <c r="E42" s="45">
        <v>7.508956528E9</v>
      </c>
      <c r="F42" s="46" t="s">
        <v>404</v>
      </c>
      <c r="G42" s="47" t="s">
        <v>366</v>
      </c>
      <c r="H42" s="47">
        <v>21.0</v>
      </c>
      <c r="I42" s="48" t="s">
        <v>405</v>
      </c>
    </row>
    <row r="43" ht="26.25" customHeight="1">
      <c r="A43" s="7">
        <v>41.0</v>
      </c>
      <c r="B43" s="32" t="b">
        <v>0</v>
      </c>
      <c r="C43" s="44" t="s">
        <v>406</v>
      </c>
      <c r="D43" s="54"/>
      <c r="E43" s="54"/>
      <c r="F43" s="51"/>
      <c r="G43" s="47" t="s">
        <v>350</v>
      </c>
      <c r="H43" s="47">
        <v>24.0</v>
      </c>
      <c r="I43" s="48" t="s">
        <v>407</v>
      </c>
    </row>
    <row r="44" ht="26.25" customHeight="1">
      <c r="A44" s="7">
        <v>42.0</v>
      </c>
      <c r="B44" s="32" t="b">
        <v>0</v>
      </c>
      <c r="C44" s="44" t="s">
        <v>408</v>
      </c>
      <c r="D44" s="45" t="s">
        <v>387</v>
      </c>
      <c r="E44" s="45" t="s">
        <v>387</v>
      </c>
      <c r="F44" s="46" t="s">
        <v>387</v>
      </c>
      <c r="G44" s="47" t="s">
        <v>366</v>
      </c>
      <c r="H44" s="47">
        <v>27.0</v>
      </c>
      <c r="I44" s="48" t="s">
        <v>409</v>
      </c>
    </row>
    <row r="45" ht="26.25" customHeight="1">
      <c r="A45" s="7">
        <v>43.0</v>
      </c>
      <c r="B45" s="32" t="b">
        <v>0</v>
      </c>
      <c r="C45" s="44" t="s">
        <v>410</v>
      </c>
      <c r="D45" s="45" t="s">
        <v>411</v>
      </c>
      <c r="E45" s="45">
        <v>7.5005007E9</v>
      </c>
      <c r="F45" s="51"/>
      <c r="G45" s="47" t="s">
        <v>350</v>
      </c>
      <c r="H45" s="47">
        <v>18.0</v>
      </c>
      <c r="I45" s="48" t="s">
        <v>412</v>
      </c>
    </row>
    <row r="46" ht="26.25" customHeight="1">
      <c r="A46" s="7">
        <v>44.0</v>
      </c>
      <c r="B46" s="32" t="b">
        <v>0</v>
      </c>
      <c r="C46" s="44" t="s">
        <v>413</v>
      </c>
      <c r="D46" s="45" t="s">
        <v>414</v>
      </c>
      <c r="E46" s="45">
        <v>7.504721649E9</v>
      </c>
      <c r="F46" s="46" t="s">
        <v>415</v>
      </c>
      <c r="G46" s="47" t="s">
        <v>366</v>
      </c>
      <c r="H46" s="47">
        <v>18.0</v>
      </c>
      <c r="I46" s="48" t="s">
        <v>416</v>
      </c>
    </row>
    <row r="47" ht="26.25" customHeight="1">
      <c r="A47" s="7">
        <v>45.0</v>
      </c>
      <c r="B47" s="32" t="b">
        <v>0</v>
      </c>
      <c r="C47" s="44" t="s">
        <v>417</v>
      </c>
      <c r="D47" s="45" t="s">
        <v>418</v>
      </c>
      <c r="E47" s="54"/>
      <c r="F47" s="46" t="s">
        <v>419</v>
      </c>
      <c r="G47" s="47" t="s">
        <v>366</v>
      </c>
      <c r="H47" s="47">
        <v>15.0</v>
      </c>
      <c r="I47" s="48" t="s">
        <v>420</v>
      </c>
    </row>
    <row r="48" ht="26.25" customHeight="1">
      <c r="A48" s="7">
        <v>46.0</v>
      </c>
      <c r="B48" s="32" t="b">
        <v>0</v>
      </c>
      <c r="C48" s="44" t="s">
        <v>421</v>
      </c>
      <c r="D48" s="45" t="s">
        <v>387</v>
      </c>
      <c r="E48" s="45" t="s">
        <v>387</v>
      </c>
      <c r="F48" s="46" t="s">
        <v>387</v>
      </c>
      <c r="G48" s="47" t="s">
        <v>350</v>
      </c>
      <c r="H48" s="47">
        <v>24.0</v>
      </c>
      <c r="I48" s="48" t="s">
        <v>422</v>
      </c>
    </row>
    <row r="49" ht="26.25" customHeight="1">
      <c r="A49" s="7">
        <v>47.0</v>
      </c>
      <c r="B49" s="32" t="b">
        <v>0</v>
      </c>
      <c r="C49" s="44" t="s">
        <v>423</v>
      </c>
      <c r="D49" s="45" t="s">
        <v>424</v>
      </c>
      <c r="E49" s="45">
        <v>7.507675776E9</v>
      </c>
      <c r="F49" s="46" t="s">
        <v>425</v>
      </c>
      <c r="G49" s="47" t="s">
        <v>366</v>
      </c>
      <c r="H49" s="47">
        <v>18.0</v>
      </c>
      <c r="I49" s="48" t="s">
        <v>426</v>
      </c>
    </row>
    <row r="50" ht="22.5" hidden="1" customHeight="1">
      <c r="A50" s="7">
        <v>48.0</v>
      </c>
      <c r="B50" s="32" t="b">
        <v>0</v>
      </c>
      <c r="C50" s="44" t="s">
        <v>427</v>
      </c>
      <c r="D50" s="54"/>
      <c r="E50" s="54"/>
      <c r="F50" s="51"/>
      <c r="G50" s="47" t="s">
        <v>366</v>
      </c>
      <c r="H50" s="47">
        <v>18.0</v>
      </c>
      <c r="I50" s="48" t="s">
        <v>428</v>
      </c>
    </row>
    <row r="51" ht="22.5" customHeight="1">
      <c r="A51" s="7">
        <v>49.0</v>
      </c>
      <c r="B51" s="32" t="b">
        <v>0</v>
      </c>
      <c r="C51" s="44" t="s">
        <v>429</v>
      </c>
      <c r="D51" s="45" t="s">
        <v>430</v>
      </c>
      <c r="E51" s="45">
        <v>7.505183333E9</v>
      </c>
      <c r="F51" s="46" t="s">
        <v>431</v>
      </c>
      <c r="G51" s="47" t="s">
        <v>366</v>
      </c>
      <c r="H51" s="47">
        <v>18.0</v>
      </c>
      <c r="I51" s="48" t="s">
        <v>432</v>
      </c>
    </row>
    <row r="52" ht="22.5" customHeight="1">
      <c r="A52" s="7">
        <v>50.0</v>
      </c>
      <c r="B52" s="32" t="b">
        <v>0</v>
      </c>
      <c r="C52" s="44" t="s">
        <v>433</v>
      </c>
      <c r="D52" s="45" t="s">
        <v>434</v>
      </c>
      <c r="E52" s="45">
        <v>7.703528213E9</v>
      </c>
      <c r="F52" s="46" t="s">
        <v>435</v>
      </c>
      <c r="G52" s="47" t="s">
        <v>366</v>
      </c>
      <c r="H52" s="47">
        <v>36.0</v>
      </c>
      <c r="I52" s="48" t="s">
        <v>436</v>
      </c>
    </row>
    <row r="53" ht="22.5" customHeight="1">
      <c r="A53" s="7">
        <v>51.0</v>
      </c>
      <c r="B53" s="32" t="b">
        <v>0</v>
      </c>
      <c r="C53" s="44" t="s">
        <v>437</v>
      </c>
      <c r="D53" s="45" t="s">
        <v>438</v>
      </c>
      <c r="E53" s="45">
        <v>7.701728828E9</v>
      </c>
      <c r="F53" s="46" t="s">
        <v>439</v>
      </c>
      <c r="G53" s="47" t="s">
        <v>366</v>
      </c>
      <c r="H53" s="47">
        <v>18.0</v>
      </c>
      <c r="I53" s="48" t="s">
        <v>440</v>
      </c>
    </row>
    <row r="54" ht="22.5" customHeight="1">
      <c r="A54" s="7">
        <v>52.0</v>
      </c>
      <c r="B54" s="32" t="b">
        <v>0</v>
      </c>
      <c r="C54" s="44" t="s">
        <v>441</v>
      </c>
      <c r="D54" s="54"/>
      <c r="E54" s="54"/>
      <c r="F54" s="51"/>
      <c r="G54" s="47" t="s">
        <v>366</v>
      </c>
      <c r="H54" s="47">
        <v>18.0</v>
      </c>
      <c r="I54" s="48" t="s">
        <v>442</v>
      </c>
    </row>
    <row r="55" ht="22.5" customHeight="1">
      <c r="A55" s="7">
        <v>53.0</v>
      </c>
      <c r="B55" s="32" t="b">
        <v>0</v>
      </c>
      <c r="C55" s="44" t="s">
        <v>443</v>
      </c>
      <c r="D55" s="54"/>
      <c r="E55" s="45">
        <v>7.505430006E9</v>
      </c>
      <c r="F55" s="46" t="s">
        <v>444</v>
      </c>
      <c r="G55" s="47" t="s">
        <v>366</v>
      </c>
      <c r="H55" s="47">
        <v>15.0</v>
      </c>
      <c r="I55" s="48" t="s">
        <v>445</v>
      </c>
    </row>
    <row r="56" ht="22.5" customHeight="1">
      <c r="A56" s="7">
        <v>54.0</v>
      </c>
      <c r="B56" s="32" t="b">
        <v>0</v>
      </c>
      <c r="C56" s="44" t="s">
        <v>446</v>
      </c>
      <c r="D56" s="54"/>
      <c r="E56" s="54"/>
      <c r="F56" s="51"/>
      <c r="G56" s="47" t="s">
        <v>366</v>
      </c>
      <c r="H56" s="47">
        <v>18.0</v>
      </c>
      <c r="I56" s="48" t="s">
        <v>447</v>
      </c>
    </row>
    <row r="57" ht="22.5" customHeight="1">
      <c r="A57" s="7">
        <v>55.0</v>
      </c>
      <c r="B57" s="32" t="b">
        <v>0</v>
      </c>
      <c r="C57" s="44" t="s">
        <v>448</v>
      </c>
      <c r="D57" s="45" t="s">
        <v>449</v>
      </c>
      <c r="E57" s="45">
        <v>7.508098414E9</v>
      </c>
      <c r="F57" s="46" t="s">
        <v>450</v>
      </c>
      <c r="G57" s="47" t="s">
        <v>366</v>
      </c>
      <c r="H57" s="47">
        <v>25.0</v>
      </c>
      <c r="I57" s="48" t="s">
        <v>451</v>
      </c>
    </row>
    <row r="58" ht="22.5" customHeight="1">
      <c r="A58" s="7">
        <v>56.0</v>
      </c>
      <c r="B58" s="32" t="b">
        <v>0</v>
      </c>
      <c r="C58" s="44" t="s">
        <v>452</v>
      </c>
      <c r="D58" s="45" t="s">
        <v>453</v>
      </c>
      <c r="E58" s="45">
        <v>7.502333003E9</v>
      </c>
      <c r="F58" s="46" t="s">
        <v>454</v>
      </c>
      <c r="G58" s="47" t="s">
        <v>366</v>
      </c>
      <c r="H58" s="47">
        <v>12.0</v>
      </c>
      <c r="I58" s="48" t="s">
        <v>455</v>
      </c>
    </row>
    <row r="59" ht="22.5" customHeight="1">
      <c r="A59" s="7">
        <v>57.0</v>
      </c>
      <c r="B59" s="32" t="b">
        <v>0</v>
      </c>
      <c r="C59" s="44" t="s">
        <v>456</v>
      </c>
      <c r="D59" s="54"/>
      <c r="E59" s="54"/>
      <c r="F59" s="51"/>
      <c r="G59" s="47" t="s">
        <v>366</v>
      </c>
      <c r="H59" s="47">
        <v>18.0</v>
      </c>
      <c r="I59" s="48" t="s">
        <v>457</v>
      </c>
    </row>
    <row r="60" ht="22.5" customHeight="1">
      <c r="A60" s="7">
        <v>58.0</v>
      </c>
      <c r="B60" s="32" t="b">
        <v>0</v>
      </c>
      <c r="C60" s="44" t="s">
        <v>458</v>
      </c>
      <c r="D60" s="45" t="s">
        <v>459</v>
      </c>
      <c r="E60" s="54"/>
      <c r="F60" s="46" t="s">
        <v>460</v>
      </c>
      <c r="G60" s="47" t="s">
        <v>366</v>
      </c>
      <c r="H60" s="47">
        <v>18.0</v>
      </c>
      <c r="I60" s="48" t="s">
        <v>461</v>
      </c>
    </row>
    <row r="61" ht="22.5" customHeight="1">
      <c r="A61" s="7">
        <v>59.0</v>
      </c>
      <c r="B61" s="32" t="b">
        <v>0</v>
      </c>
      <c r="C61" s="44" t="s">
        <v>462</v>
      </c>
      <c r="D61" s="45" t="s">
        <v>463</v>
      </c>
      <c r="E61" s="54"/>
      <c r="F61" s="46" t="s">
        <v>464</v>
      </c>
      <c r="G61" s="47" t="s">
        <v>366</v>
      </c>
      <c r="H61" s="47">
        <v>18.0</v>
      </c>
      <c r="I61" s="48" t="s">
        <v>465</v>
      </c>
    </row>
    <row r="62" ht="22.5" customHeight="1">
      <c r="A62" s="7">
        <v>60.0</v>
      </c>
      <c r="B62" s="32" t="b">
        <v>0</v>
      </c>
      <c r="C62" s="44" t="s">
        <v>466</v>
      </c>
      <c r="D62" s="54"/>
      <c r="E62" s="54"/>
      <c r="F62" s="51"/>
      <c r="G62" s="47" t="s">
        <v>366</v>
      </c>
      <c r="H62" s="47">
        <v>15.0</v>
      </c>
      <c r="I62" s="48" t="s">
        <v>467</v>
      </c>
    </row>
    <row r="63" ht="22.5" customHeight="1">
      <c r="A63" s="7">
        <v>61.0</v>
      </c>
      <c r="B63" s="32" t="b">
        <v>0</v>
      </c>
      <c r="C63" s="57" t="s">
        <v>468</v>
      </c>
      <c r="D63" s="45" t="s">
        <v>469</v>
      </c>
      <c r="E63" s="45">
        <v>7.504363883E9</v>
      </c>
      <c r="F63" s="51"/>
      <c r="G63" s="47" t="s">
        <v>366</v>
      </c>
      <c r="H63" s="47">
        <v>18.0</v>
      </c>
      <c r="I63" s="48" t="s">
        <v>470</v>
      </c>
    </row>
    <row r="64" ht="22.5" customHeight="1">
      <c r="A64" s="7">
        <v>62.0</v>
      </c>
      <c r="B64" s="32" t="b">
        <v>0</v>
      </c>
      <c r="C64" s="44" t="s">
        <v>471</v>
      </c>
      <c r="D64" s="45" t="s">
        <v>472</v>
      </c>
      <c r="E64" s="54"/>
      <c r="F64" s="46" t="s">
        <v>473</v>
      </c>
      <c r="G64" s="47" t="s">
        <v>366</v>
      </c>
      <c r="H64" s="47">
        <v>18.0</v>
      </c>
      <c r="I64" s="48" t="s">
        <v>474</v>
      </c>
    </row>
    <row r="65" ht="22.5" customHeight="1">
      <c r="A65" s="7">
        <v>63.0</v>
      </c>
      <c r="B65" s="32" t="b">
        <v>0</v>
      </c>
      <c r="C65" s="44" t="s">
        <v>225</v>
      </c>
      <c r="D65" s="54"/>
      <c r="E65" s="54"/>
      <c r="F65" s="51"/>
      <c r="G65" s="47" t="s">
        <v>366</v>
      </c>
      <c r="H65" s="47">
        <v>18.0</v>
      </c>
      <c r="I65" s="48" t="s">
        <v>475</v>
      </c>
    </row>
    <row r="66" ht="22.5" customHeight="1">
      <c r="A66" s="7">
        <v>64.0</v>
      </c>
      <c r="B66" s="32" t="b">
        <v>0</v>
      </c>
      <c r="C66" s="44" t="s">
        <v>476</v>
      </c>
      <c r="D66" s="45" t="s">
        <v>477</v>
      </c>
      <c r="E66" s="45">
        <v>7.735666653E9</v>
      </c>
      <c r="F66" s="46" t="s">
        <v>478</v>
      </c>
      <c r="G66" s="47" t="s">
        <v>366</v>
      </c>
      <c r="H66" s="47">
        <v>18.0</v>
      </c>
      <c r="I66" s="48" t="s">
        <v>479</v>
      </c>
    </row>
    <row r="67" ht="22.5" customHeight="1">
      <c r="A67" s="7">
        <v>65.0</v>
      </c>
      <c r="B67" s="32" t="b">
        <v>0</v>
      </c>
      <c r="C67" s="44" t="s">
        <v>480</v>
      </c>
      <c r="D67" s="45" t="s">
        <v>481</v>
      </c>
      <c r="E67" s="45">
        <v>7.901917992E9</v>
      </c>
      <c r="F67" s="46" t="s">
        <v>482</v>
      </c>
      <c r="G67" s="47" t="s">
        <v>366</v>
      </c>
      <c r="H67" s="47">
        <v>18.0</v>
      </c>
      <c r="I67" s="48" t="s">
        <v>483</v>
      </c>
    </row>
    <row r="68" ht="22.5" customHeight="1">
      <c r="A68" s="7">
        <v>66.0</v>
      </c>
      <c r="B68" s="32" t="b">
        <v>0</v>
      </c>
      <c r="C68" s="44" t="s">
        <v>484</v>
      </c>
      <c r="D68" s="54"/>
      <c r="E68" s="54"/>
      <c r="F68" s="51"/>
      <c r="G68" s="47" t="s">
        <v>366</v>
      </c>
      <c r="H68" s="47">
        <v>18.0</v>
      </c>
      <c r="I68" s="48" t="s">
        <v>485</v>
      </c>
    </row>
    <row r="69" ht="22.5" customHeight="1">
      <c r="A69" s="7">
        <v>67.0</v>
      </c>
      <c r="B69" s="32" t="b">
        <v>0</v>
      </c>
      <c r="C69" s="44" t="s">
        <v>486</v>
      </c>
      <c r="D69" s="45" t="s">
        <v>487</v>
      </c>
      <c r="E69" s="45" t="s">
        <v>488</v>
      </c>
      <c r="F69" s="51"/>
      <c r="G69" s="47" t="s">
        <v>366</v>
      </c>
      <c r="H69" s="47">
        <v>18.0</v>
      </c>
      <c r="I69" s="48" t="s">
        <v>489</v>
      </c>
    </row>
    <row r="70" ht="22.5" customHeight="1">
      <c r="A70" s="7">
        <v>68.0</v>
      </c>
      <c r="B70" s="32" t="b">
        <v>0</v>
      </c>
      <c r="C70" s="44" t="s">
        <v>490</v>
      </c>
      <c r="D70" s="45" t="s">
        <v>337</v>
      </c>
      <c r="E70" s="45">
        <v>7.711352807E9</v>
      </c>
      <c r="F70" s="46" t="s">
        <v>338</v>
      </c>
      <c r="G70" s="47" t="s">
        <v>366</v>
      </c>
      <c r="H70" s="47">
        <v>18.0</v>
      </c>
      <c r="I70" s="48" t="s">
        <v>491</v>
      </c>
    </row>
    <row r="71" ht="22.5" customHeight="1">
      <c r="A71" s="7">
        <v>69.0</v>
      </c>
      <c r="B71" s="32" t="b">
        <v>0</v>
      </c>
      <c r="C71" s="44" t="s">
        <v>492</v>
      </c>
      <c r="D71" s="45" t="s">
        <v>493</v>
      </c>
      <c r="E71" s="45" t="s">
        <v>494</v>
      </c>
      <c r="F71" s="51"/>
      <c r="G71" s="47" t="s">
        <v>350</v>
      </c>
      <c r="H71" s="47">
        <v>18.0</v>
      </c>
      <c r="I71" s="48" t="s">
        <v>495</v>
      </c>
    </row>
    <row r="72" ht="22.5" customHeight="1">
      <c r="A72" s="7">
        <v>70.0</v>
      </c>
      <c r="B72" s="32" t="b">
        <v>0</v>
      </c>
      <c r="C72" s="44" t="s">
        <v>496</v>
      </c>
      <c r="D72" s="45" t="s">
        <v>497</v>
      </c>
      <c r="E72" s="45">
        <v>7.508500505E9</v>
      </c>
      <c r="F72" s="49"/>
      <c r="G72" s="47" t="s">
        <v>366</v>
      </c>
      <c r="H72" s="47">
        <v>18.0</v>
      </c>
      <c r="I72" s="48" t="s">
        <v>498</v>
      </c>
    </row>
    <row r="73" ht="22.5" customHeight="1">
      <c r="A73" s="7">
        <v>71.0</v>
      </c>
      <c r="B73" s="32" t="b">
        <v>0</v>
      </c>
      <c r="C73" s="44" t="s">
        <v>499</v>
      </c>
      <c r="D73" s="45" t="s">
        <v>500</v>
      </c>
      <c r="E73" s="45">
        <v>7.504543716E9</v>
      </c>
      <c r="F73" s="46" t="s">
        <v>501</v>
      </c>
      <c r="G73" s="47" t="s">
        <v>366</v>
      </c>
      <c r="H73" s="47">
        <v>18.0</v>
      </c>
      <c r="I73" s="48" t="s">
        <v>502</v>
      </c>
    </row>
    <row r="74" ht="22.5" customHeight="1">
      <c r="A74" s="7">
        <v>72.0</v>
      </c>
      <c r="B74" s="32" t="b">
        <v>0</v>
      </c>
      <c r="C74" s="44" t="s">
        <v>503</v>
      </c>
      <c r="D74" s="45" t="s">
        <v>504</v>
      </c>
      <c r="E74" s="45">
        <v>7.500667788E9</v>
      </c>
      <c r="F74" s="49"/>
      <c r="G74" s="47" t="s">
        <v>350</v>
      </c>
      <c r="H74" s="47">
        <v>61.0</v>
      </c>
      <c r="I74" s="48" t="s">
        <v>505</v>
      </c>
    </row>
    <row r="75" ht="22.5" customHeight="1">
      <c r="A75" s="7">
        <v>73.0</v>
      </c>
      <c r="B75" s="32" t="b">
        <v>0</v>
      </c>
      <c r="C75" s="44" t="s">
        <v>506</v>
      </c>
      <c r="D75" s="45" t="s">
        <v>507</v>
      </c>
      <c r="E75" s="45">
        <v>7.509192999E9</v>
      </c>
      <c r="F75" s="46" t="s">
        <v>508</v>
      </c>
      <c r="G75" s="47" t="s">
        <v>366</v>
      </c>
      <c r="H75" s="47">
        <v>12.0</v>
      </c>
      <c r="I75" s="48" t="s">
        <v>509</v>
      </c>
    </row>
    <row r="76" ht="22.5" customHeight="1">
      <c r="A76" s="7">
        <v>74.0</v>
      </c>
      <c r="B76" s="32" t="b">
        <v>0</v>
      </c>
      <c r="C76" s="44" t="s">
        <v>510</v>
      </c>
      <c r="D76" s="45" t="s">
        <v>511</v>
      </c>
      <c r="E76" s="45">
        <v>7.509889E9</v>
      </c>
      <c r="F76" s="46" t="s">
        <v>512</v>
      </c>
      <c r="G76" s="47" t="s">
        <v>350</v>
      </c>
      <c r="H76" s="47">
        <v>24.0</v>
      </c>
      <c r="I76" s="48" t="s">
        <v>513</v>
      </c>
    </row>
    <row r="77" ht="22.5" customHeight="1">
      <c r="A77" s="7">
        <v>75.0</v>
      </c>
      <c r="B77" s="32" t="b">
        <v>0</v>
      </c>
      <c r="C77" s="44" t="s">
        <v>514</v>
      </c>
      <c r="D77" s="45" t="s">
        <v>515</v>
      </c>
      <c r="E77" s="45">
        <v>7.502950007E9</v>
      </c>
      <c r="F77" s="46" t="s">
        <v>516</v>
      </c>
      <c r="G77" s="47" t="s">
        <v>350</v>
      </c>
      <c r="H77" s="47">
        <v>40.0</v>
      </c>
      <c r="I77" s="48" t="s">
        <v>517</v>
      </c>
    </row>
    <row r="78" ht="22.5" customHeight="1">
      <c r="A78" s="7">
        <v>76.0</v>
      </c>
      <c r="B78" s="32" t="b">
        <v>0</v>
      </c>
      <c r="C78" s="44" t="s">
        <v>518</v>
      </c>
      <c r="D78" s="45" t="s">
        <v>519</v>
      </c>
      <c r="E78" s="45">
        <v>7.505334747E9</v>
      </c>
      <c r="F78" s="46" t="s">
        <v>520</v>
      </c>
      <c r="G78" s="47" t="s">
        <v>366</v>
      </c>
      <c r="H78" s="47">
        <v>14.0</v>
      </c>
      <c r="I78" s="48" t="s">
        <v>521</v>
      </c>
    </row>
    <row r="79" ht="22.5" customHeight="1">
      <c r="A79" s="7">
        <v>77.0</v>
      </c>
      <c r="B79" s="32" t="b">
        <v>0</v>
      </c>
      <c r="C79" s="44" t="s">
        <v>522</v>
      </c>
      <c r="D79" s="45" t="s">
        <v>523</v>
      </c>
      <c r="E79" s="45">
        <v>7.504497273E9</v>
      </c>
      <c r="F79" s="46" t="s">
        <v>524</v>
      </c>
      <c r="G79" s="47" t="s">
        <v>350</v>
      </c>
      <c r="H79" s="47">
        <v>72.0</v>
      </c>
      <c r="I79" s="48" t="s">
        <v>525</v>
      </c>
    </row>
    <row r="80" ht="22.5" customHeight="1">
      <c r="A80" s="7">
        <v>78.0</v>
      </c>
      <c r="B80" s="32" t="b">
        <v>0</v>
      </c>
      <c r="C80" s="44" t="s">
        <v>526</v>
      </c>
      <c r="D80" s="45" t="s">
        <v>527</v>
      </c>
      <c r="E80" s="45">
        <v>7.509005656E9</v>
      </c>
      <c r="F80" s="51"/>
      <c r="G80" s="47" t="s">
        <v>366</v>
      </c>
      <c r="H80" s="47">
        <v>36.0</v>
      </c>
      <c r="I80" s="48" t="s">
        <v>327</v>
      </c>
    </row>
    <row r="81" ht="22.5" customHeight="1">
      <c r="A81" s="7">
        <v>79.0</v>
      </c>
      <c r="B81" s="32" t="b">
        <v>0</v>
      </c>
      <c r="C81" s="58" t="s">
        <v>528</v>
      </c>
      <c r="D81" s="59" t="s">
        <v>529</v>
      </c>
      <c r="E81" s="59">
        <v>2.129444455E9</v>
      </c>
      <c r="F81" s="60"/>
      <c r="G81" s="52" t="s">
        <v>383</v>
      </c>
      <c r="H81" s="53"/>
      <c r="I81" s="53"/>
    </row>
    <row r="82" ht="22.5" customHeight="1">
      <c r="A82" s="7">
        <v>80.0</v>
      </c>
      <c r="B82" s="32" t="b">
        <v>0</v>
      </c>
      <c r="C82" s="44" t="s">
        <v>530</v>
      </c>
      <c r="D82" s="45" t="s">
        <v>531</v>
      </c>
      <c r="E82" s="45">
        <v>7.504912427E9</v>
      </c>
      <c r="F82" s="51"/>
      <c r="G82" s="47" t="s">
        <v>366</v>
      </c>
      <c r="H82" s="47">
        <v>36.0</v>
      </c>
      <c r="I82" s="61" t="s">
        <v>532</v>
      </c>
    </row>
    <row r="83" ht="22.5" customHeight="1">
      <c r="A83" s="7">
        <v>81.0</v>
      </c>
      <c r="B83" s="32" t="b">
        <v>0</v>
      </c>
      <c r="C83" s="58" t="s">
        <v>533</v>
      </c>
      <c r="D83" s="59" t="s">
        <v>534</v>
      </c>
      <c r="E83" s="59">
        <v>7.504622551E9</v>
      </c>
      <c r="F83" s="60"/>
      <c r="G83" s="52" t="s">
        <v>383</v>
      </c>
      <c r="H83" s="53"/>
      <c r="I83" s="53"/>
    </row>
    <row r="84" ht="22.5" customHeight="1">
      <c r="A84" s="7">
        <v>82.0</v>
      </c>
      <c r="B84" s="32" t="b">
        <v>0</v>
      </c>
      <c r="C84" s="44" t="s">
        <v>535</v>
      </c>
      <c r="D84" s="45" t="s">
        <v>536</v>
      </c>
      <c r="E84" s="45">
        <v>6.6257008E8</v>
      </c>
      <c r="F84" s="46" t="s">
        <v>537</v>
      </c>
      <c r="G84" s="47" t="s">
        <v>366</v>
      </c>
      <c r="H84" s="47">
        <v>36.0</v>
      </c>
      <c r="I84" s="48" t="s">
        <v>538</v>
      </c>
    </row>
    <row r="85" ht="22.5" customHeight="1">
      <c r="A85" s="7">
        <v>83.0</v>
      </c>
      <c r="B85" s="32" t="b">
        <v>0</v>
      </c>
      <c r="C85" s="44" t="s">
        <v>539</v>
      </c>
      <c r="D85" s="45" t="s">
        <v>540</v>
      </c>
      <c r="E85" s="45">
        <v>7.519765765E9</v>
      </c>
      <c r="F85" s="46" t="s">
        <v>541</v>
      </c>
      <c r="G85" s="47" t="s">
        <v>350</v>
      </c>
      <c r="H85" s="47">
        <v>84.0</v>
      </c>
      <c r="I85" s="48" t="s">
        <v>542</v>
      </c>
    </row>
    <row r="86" ht="22.5" customHeight="1">
      <c r="A86" s="7">
        <v>84.0</v>
      </c>
      <c r="B86" s="32" t="b">
        <v>0</v>
      </c>
      <c r="C86" s="44" t="s">
        <v>543</v>
      </c>
      <c r="D86" s="45" t="s">
        <v>544</v>
      </c>
      <c r="E86" s="45">
        <v>7.500043E9</v>
      </c>
      <c r="F86" s="51"/>
      <c r="G86" s="47" t="s">
        <v>366</v>
      </c>
      <c r="H86" s="47">
        <v>24.0</v>
      </c>
      <c r="I86" s="48" t="s">
        <v>545</v>
      </c>
    </row>
    <row r="87" ht="22.5" customHeight="1">
      <c r="A87" s="7">
        <v>85.0</v>
      </c>
      <c r="B87" s="32" t="b">
        <v>0</v>
      </c>
      <c r="C87" s="44" t="s">
        <v>546</v>
      </c>
      <c r="D87" s="45" t="s">
        <v>547</v>
      </c>
      <c r="E87" s="45">
        <v>7.504451591E9</v>
      </c>
      <c r="F87" s="51"/>
      <c r="G87" s="47" t="s">
        <v>350</v>
      </c>
      <c r="H87" s="47">
        <v>36.0</v>
      </c>
      <c r="I87" s="48" t="s">
        <v>548</v>
      </c>
    </row>
    <row r="88" ht="22.5" customHeight="1">
      <c r="A88" s="7">
        <v>86.0</v>
      </c>
      <c r="B88" s="32" t="b">
        <v>0</v>
      </c>
      <c r="C88" s="44" t="s">
        <v>549</v>
      </c>
      <c r="D88" s="45" t="s">
        <v>550</v>
      </c>
      <c r="E88" s="45">
        <v>7.504510556E9</v>
      </c>
      <c r="F88" s="46" t="s">
        <v>551</v>
      </c>
      <c r="G88" s="47" t="s">
        <v>366</v>
      </c>
      <c r="H88" s="47">
        <v>18.0</v>
      </c>
      <c r="I88" s="48" t="s">
        <v>552</v>
      </c>
    </row>
    <row r="89" ht="22.5" customHeight="1">
      <c r="A89" s="7">
        <v>87.0</v>
      </c>
      <c r="B89" s="32" t="b">
        <v>0</v>
      </c>
      <c r="C89" s="44" t="s">
        <v>553</v>
      </c>
      <c r="D89" s="45" t="s">
        <v>554</v>
      </c>
      <c r="E89" s="45">
        <v>7.50446839E9</v>
      </c>
      <c r="F89" s="46" t="s">
        <v>555</v>
      </c>
      <c r="G89" s="47" t="s">
        <v>263</v>
      </c>
      <c r="H89" s="47">
        <v>105.0</v>
      </c>
      <c r="I89" s="48" t="s">
        <v>556</v>
      </c>
    </row>
    <row r="90" ht="22.5" customHeight="1">
      <c r="A90" s="7">
        <v>88.0</v>
      </c>
      <c r="B90" s="32" t="b">
        <v>0</v>
      </c>
      <c r="C90" s="44" t="s">
        <v>557</v>
      </c>
      <c r="D90" s="45" t="s">
        <v>558</v>
      </c>
      <c r="E90" s="45">
        <v>7.51019164E9</v>
      </c>
      <c r="F90" s="46" t="s">
        <v>559</v>
      </c>
      <c r="G90" s="47" t="s">
        <v>350</v>
      </c>
      <c r="H90" s="47">
        <v>18.0</v>
      </c>
      <c r="I90" s="48" t="s">
        <v>560</v>
      </c>
    </row>
    <row r="91" ht="22.5" customHeight="1">
      <c r="A91" s="7">
        <v>89.0</v>
      </c>
      <c r="B91" s="32" t="b">
        <v>0</v>
      </c>
      <c r="C91" s="44" t="s">
        <v>561</v>
      </c>
      <c r="D91" s="45" t="s">
        <v>562</v>
      </c>
      <c r="E91" s="54"/>
      <c r="F91" s="46" t="s">
        <v>563</v>
      </c>
      <c r="G91" s="47" t="s">
        <v>350</v>
      </c>
      <c r="H91" s="47">
        <v>72.0</v>
      </c>
      <c r="I91" s="48" t="s">
        <v>564</v>
      </c>
    </row>
    <row r="92" ht="22.5" customHeight="1">
      <c r="A92" s="7">
        <v>90.0</v>
      </c>
      <c r="B92" s="32" t="b">
        <v>0</v>
      </c>
      <c r="C92" s="44" t="s">
        <v>565</v>
      </c>
      <c r="D92" s="45" t="s">
        <v>566</v>
      </c>
      <c r="E92" s="45">
        <v>7.701773498E9</v>
      </c>
      <c r="F92" s="51"/>
      <c r="G92" s="47" t="s">
        <v>366</v>
      </c>
      <c r="H92" s="47">
        <v>49.0</v>
      </c>
      <c r="I92" s="48" t="s">
        <v>567</v>
      </c>
    </row>
    <row r="93" ht="22.5" customHeight="1">
      <c r="A93" s="7">
        <v>91.0</v>
      </c>
      <c r="B93" s="32" t="b">
        <v>0</v>
      </c>
      <c r="C93" s="44" t="s">
        <v>568</v>
      </c>
      <c r="D93" s="45" t="s">
        <v>569</v>
      </c>
      <c r="E93" s="45">
        <v>7.504589545E9</v>
      </c>
      <c r="F93" s="51"/>
      <c r="G93" s="47" t="s">
        <v>366</v>
      </c>
      <c r="H93" s="47">
        <v>42.0</v>
      </c>
      <c r="I93" s="48" t="s">
        <v>570</v>
      </c>
    </row>
    <row r="94" ht="22.5" customHeight="1">
      <c r="A94" s="7">
        <v>92.0</v>
      </c>
      <c r="B94" s="32" t="b">
        <v>0</v>
      </c>
      <c r="C94" s="44" t="s">
        <v>571</v>
      </c>
      <c r="D94" s="45" t="s">
        <v>572</v>
      </c>
      <c r="E94" s="45">
        <v>7.502557002E9</v>
      </c>
      <c r="F94" s="46" t="s">
        <v>573</v>
      </c>
      <c r="G94" s="47" t="s">
        <v>366</v>
      </c>
      <c r="H94" s="47">
        <v>36.0</v>
      </c>
      <c r="I94" s="48" t="s">
        <v>574</v>
      </c>
    </row>
    <row r="95" ht="22.5" customHeight="1">
      <c r="A95" s="7">
        <v>93.0</v>
      </c>
      <c r="B95" s="32" t="b">
        <v>0</v>
      </c>
      <c r="C95" s="44" t="s">
        <v>575</v>
      </c>
      <c r="D95" s="45" t="s">
        <v>576</v>
      </c>
      <c r="E95" s="45">
        <v>5.43156505E9</v>
      </c>
      <c r="F95" s="46" t="s">
        <v>577</v>
      </c>
      <c r="G95" s="47" t="s">
        <v>366</v>
      </c>
      <c r="H95" s="47">
        <v>18.0</v>
      </c>
      <c r="I95" s="48" t="s">
        <v>578</v>
      </c>
    </row>
    <row r="96" ht="22.5" customHeight="1">
      <c r="A96" s="7">
        <v>94.0</v>
      </c>
      <c r="B96" s="32" t="b">
        <v>0</v>
      </c>
      <c r="C96" s="44" t="s">
        <v>579</v>
      </c>
      <c r="D96" s="45" t="s">
        <v>580</v>
      </c>
      <c r="E96" s="45">
        <v>7.505998899E9</v>
      </c>
      <c r="F96" s="51"/>
      <c r="G96" s="47" t="s">
        <v>350</v>
      </c>
      <c r="H96" s="47">
        <v>36.0</v>
      </c>
      <c r="I96" s="48" t="s">
        <v>581</v>
      </c>
    </row>
    <row r="97" ht="22.5" customHeight="1">
      <c r="A97" s="7">
        <v>95.0</v>
      </c>
      <c r="B97" s="32" t="b">
        <v>0</v>
      </c>
      <c r="C97" s="44" t="s">
        <v>582</v>
      </c>
      <c r="D97" s="45" t="s">
        <v>583</v>
      </c>
      <c r="E97" s="45">
        <v>7.702223999E9</v>
      </c>
      <c r="F97" s="46" t="s">
        <v>584</v>
      </c>
      <c r="G97" s="47" t="s">
        <v>350</v>
      </c>
      <c r="H97" s="47">
        <v>36.0</v>
      </c>
      <c r="I97" s="48" t="s">
        <v>585</v>
      </c>
    </row>
    <row r="98" ht="22.5" customHeight="1">
      <c r="A98" s="7">
        <v>96.0</v>
      </c>
      <c r="B98" s="32" t="b">
        <v>0</v>
      </c>
      <c r="C98" s="44" t="s">
        <v>586</v>
      </c>
      <c r="D98" s="45" t="s">
        <v>587</v>
      </c>
      <c r="E98" s="45">
        <v>7.504450285E9</v>
      </c>
      <c r="F98" s="46" t="s">
        <v>588</v>
      </c>
      <c r="G98" s="47" t="s">
        <v>350</v>
      </c>
      <c r="H98" s="47">
        <v>72.0</v>
      </c>
      <c r="I98" s="48" t="s">
        <v>589</v>
      </c>
    </row>
    <row r="99" ht="22.5" customHeight="1">
      <c r="A99" s="7">
        <v>97.0</v>
      </c>
      <c r="B99" s="32" t="b">
        <v>0</v>
      </c>
      <c r="C99" s="44" t="s">
        <v>590</v>
      </c>
      <c r="D99" s="45" t="s">
        <v>591</v>
      </c>
      <c r="E99" s="45">
        <v>7.506007007E9</v>
      </c>
      <c r="F99" s="46" t="s">
        <v>592</v>
      </c>
      <c r="G99" s="43" t="s">
        <v>593</v>
      </c>
      <c r="H99" s="53"/>
      <c r="I99" s="53"/>
    </row>
    <row r="100" ht="22.5" customHeight="1">
      <c r="A100" s="7">
        <v>98.0</v>
      </c>
      <c r="B100" s="32" t="b">
        <v>0</v>
      </c>
      <c r="C100" s="44" t="s">
        <v>594</v>
      </c>
      <c r="D100" s="54"/>
      <c r="E100" s="54"/>
      <c r="F100" s="49"/>
      <c r="G100" s="47" t="s">
        <v>350</v>
      </c>
      <c r="H100" s="47">
        <v>72.0</v>
      </c>
      <c r="I100" s="48" t="s">
        <v>595</v>
      </c>
    </row>
    <row r="101" ht="22.5" customHeight="1">
      <c r="A101" s="7">
        <v>99.0</v>
      </c>
      <c r="B101" s="32" t="b">
        <v>0</v>
      </c>
      <c r="C101" s="44" t="s">
        <v>596</v>
      </c>
      <c r="D101" s="45" t="s">
        <v>597</v>
      </c>
      <c r="E101" s="45">
        <v>7.504594407E9</v>
      </c>
      <c r="F101" s="49"/>
      <c r="G101" s="47" t="s">
        <v>350</v>
      </c>
      <c r="H101" s="47">
        <v>72.0</v>
      </c>
      <c r="I101" s="48" t="s">
        <v>598</v>
      </c>
    </row>
    <row r="102" ht="22.5" customHeight="1">
      <c r="A102" s="7">
        <v>100.0</v>
      </c>
      <c r="B102" s="32" t="b">
        <v>0</v>
      </c>
      <c r="C102" s="44" t="s">
        <v>599</v>
      </c>
      <c r="D102" s="45" t="s">
        <v>600</v>
      </c>
      <c r="E102" s="45">
        <v>7.50414527E9</v>
      </c>
      <c r="F102" s="49"/>
      <c r="G102" s="47" t="s">
        <v>350</v>
      </c>
      <c r="H102" s="47">
        <v>36.0</v>
      </c>
      <c r="I102" s="48" t="s">
        <v>601</v>
      </c>
    </row>
    <row r="103" ht="22.5" customHeight="1">
      <c r="A103" s="7">
        <v>101.0</v>
      </c>
      <c r="B103" s="32" t="b">
        <v>0</v>
      </c>
      <c r="C103" s="44" t="s">
        <v>602</v>
      </c>
      <c r="D103" s="45" t="s">
        <v>603</v>
      </c>
      <c r="E103" s="54"/>
      <c r="F103" s="46" t="s">
        <v>604</v>
      </c>
      <c r="G103" s="47" t="s">
        <v>366</v>
      </c>
      <c r="H103" s="47">
        <v>18.0</v>
      </c>
      <c r="I103" s="48" t="s">
        <v>605</v>
      </c>
    </row>
    <row r="104" ht="22.5" customHeight="1">
      <c r="A104" s="7">
        <v>102.0</v>
      </c>
      <c r="B104" s="32" t="b">
        <v>0</v>
      </c>
      <c r="C104" s="44" t="s">
        <v>606</v>
      </c>
      <c r="D104" s="45" t="s">
        <v>607</v>
      </c>
      <c r="E104" s="45">
        <v>7.501419939E9</v>
      </c>
      <c r="F104" s="46" t="s">
        <v>608</v>
      </c>
      <c r="G104" s="47" t="s">
        <v>366</v>
      </c>
      <c r="H104" s="47">
        <v>36.0</v>
      </c>
      <c r="I104" s="48" t="s">
        <v>609</v>
      </c>
    </row>
    <row r="105" ht="22.5" customHeight="1">
      <c r="A105" s="7">
        <v>103.0</v>
      </c>
      <c r="B105" s="32" t="b">
        <v>0</v>
      </c>
      <c r="C105" s="44" t="s">
        <v>610</v>
      </c>
      <c r="D105" s="45" t="s">
        <v>611</v>
      </c>
      <c r="E105" s="45">
        <v>7.504322272E9</v>
      </c>
      <c r="F105" s="51"/>
      <c r="G105" s="47" t="s">
        <v>350</v>
      </c>
      <c r="H105" s="47">
        <v>36.0</v>
      </c>
      <c r="I105" s="48" t="s">
        <v>612</v>
      </c>
    </row>
    <row r="106" ht="22.5" customHeight="1">
      <c r="A106" s="7">
        <v>104.0</v>
      </c>
      <c r="B106" s="32" t="b">
        <v>0</v>
      </c>
      <c r="C106" s="44" t="s">
        <v>613</v>
      </c>
      <c r="D106" s="45" t="s">
        <v>614</v>
      </c>
      <c r="E106" s="45">
        <v>7.508883488E9</v>
      </c>
      <c r="F106" s="46" t="s">
        <v>615</v>
      </c>
      <c r="G106" s="47" t="s">
        <v>366</v>
      </c>
      <c r="H106" s="47">
        <v>18.0</v>
      </c>
      <c r="I106" s="48" t="s">
        <v>616</v>
      </c>
    </row>
    <row r="107" ht="22.5" customHeight="1">
      <c r="A107" s="7">
        <v>105.0</v>
      </c>
      <c r="B107" s="32" t="b">
        <v>0</v>
      </c>
      <c r="C107" s="44" t="s">
        <v>617</v>
      </c>
      <c r="D107" s="45" t="s">
        <v>618</v>
      </c>
      <c r="E107" s="45">
        <v>7.50890321E9</v>
      </c>
      <c r="F107" s="46" t="s">
        <v>619</v>
      </c>
      <c r="G107" s="47" t="s">
        <v>350</v>
      </c>
      <c r="H107" s="47">
        <v>42.0</v>
      </c>
      <c r="I107" s="48" t="s">
        <v>620</v>
      </c>
    </row>
    <row r="108" ht="22.5" customHeight="1">
      <c r="A108" s="7">
        <v>106.0</v>
      </c>
      <c r="B108" s="32" t="b">
        <v>0</v>
      </c>
      <c r="C108" s="58" t="s">
        <v>621</v>
      </c>
      <c r="D108" s="62"/>
      <c r="E108" s="62"/>
      <c r="F108" s="63"/>
      <c r="G108" s="52" t="s">
        <v>383</v>
      </c>
      <c r="H108" s="53"/>
      <c r="I108" s="53"/>
    </row>
    <row r="109" ht="22.5" customHeight="1">
      <c r="A109" s="7">
        <v>107.0</v>
      </c>
      <c r="B109" s="32" t="b">
        <v>0</v>
      </c>
      <c r="C109" s="64" t="s">
        <v>622</v>
      </c>
      <c r="D109" s="65" t="s">
        <v>623</v>
      </c>
      <c r="E109" s="65">
        <v>7.504141665E9</v>
      </c>
      <c r="F109" s="66" t="s">
        <v>624</v>
      </c>
      <c r="G109" s="67" t="s">
        <v>366</v>
      </c>
      <c r="H109" s="67">
        <v>18.0</v>
      </c>
      <c r="I109" s="67" t="s">
        <v>625</v>
      </c>
    </row>
    <row r="110" ht="22.5" customHeight="1">
      <c r="A110" s="7">
        <v>108.0</v>
      </c>
      <c r="B110" s="32" t="b">
        <v>0</v>
      </c>
      <c r="C110" s="64" t="s">
        <v>626</v>
      </c>
      <c r="D110" s="65" t="s">
        <v>627</v>
      </c>
      <c r="E110" s="65">
        <v>7.503558E9</v>
      </c>
      <c r="F110" s="68"/>
      <c r="G110" s="67" t="s">
        <v>366</v>
      </c>
      <c r="H110" s="67">
        <v>18.0</v>
      </c>
      <c r="I110" s="67" t="s">
        <v>628</v>
      </c>
    </row>
    <row r="111" ht="22.5" customHeight="1">
      <c r="A111" s="7">
        <v>109.0</v>
      </c>
      <c r="B111" s="32" t="b">
        <v>0</v>
      </c>
      <c r="C111" s="44" t="s">
        <v>629</v>
      </c>
      <c r="D111" s="45" t="s">
        <v>630</v>
      </c>
      <c r="E111" s="45">
        <v>7.702279908E9</v>
      </c>
      <c r="F111" s="46" t="s">
        <v>631</v>
      </c>
      <c r="G111" s="47" t="s">
        <v>366</v>
      </c>
      <c r="H111" s="47">
        <v>18.0</v>
      </c>
      <c r="I111" s="48" t="s">
        <v>632</v>
      </c>
    </row>
    <row r="112" ht="22.5" customHeight="1">
      <c r="A112" s="7">
        <v>110.0</v>
      </c>
      <c r="B112" s="32" t="b">
        <v>0</v>
      </c>
      <c r="C112" s="44" t="s">
        <v>633</v>
      </c>
      <c r="D112" s="45" t="s">
        <v>634</v>
      </c>
      <c r="E112" s="45">
        <v>7.701548946E9</v>
      </c>
      <c r="F112" s="46" t="s">
        <v>635</v>
      </c>
      <c r="G112" s="47" t="s">
        <v>366</v>
      </c>
      <c r="H112" s="47">
        <v>18.0</v>
      </c>
      <c r="I112" s="48" t="s">
        <v>636</v>
      </c>
    </row>
    <row r="113" ht="22.5" customHeight="1">
      <c r="A113" s="7">
        <v>111.0</v>
      </c>
      <c r="B113" s="32" t="b">
        <v>0</v>
      </c>
      <c r="C113" s="44" t="s">
        <v>637</v>
      </c>
      <c r="D113" s="45" t="s">
        <v>638</v>
      </c>
      <c r="E113" s="45">
        <v>7.504462305E9</v>
      </c>
      <c r="F113" s="49"/>
      <c r="G113" s="47" t="s">
        <v>366</v>
      </c>
      <c r="H113" s="47">
        <v>35.0</v>
      </c>
      <c r="I113" s="48" t="s">
        <v>639</v>
      </c>
    </row>
    <row r="114" ht="22.5" customHeight="1">
      <c r="A114" s="7">
        <v>112.0</v>
      </c>
      <c r="B114" s="32" t="b">
        <v>0</v>
      </c>
      <c r="C114" s="44" t="s">
        <v>640</v>
      </c>
      <c r="D114" s="45" t="s">
        <v>641</v>
      </c>
      <c r="E114" s="54"/>
      <c r="F114" s="46" t="s">
        <v>642</v>
      </c>
      <c r="G114" s="47" t="s">
        <v>366</v>
      </c>
      <c r="H114" s="47">
        <v>36.0</v>
      </c>
      <c r="I114" s="48" t="s">
        <v>643</v>
      </c>
    </row>
    <row r="115" ht="22.5" customHeight="1">
      <c r="A115" s="7">
        <v>113.0</v>
      </c>
      <c r="B115" s="32" t="b">
        <v>0</v>
      </c>
      <c r="C115" s="44" t="s">
        <v>644</v>
      </c>
      <c r="D115" s="54"/>
      <c r="E115" s="54"/>
      <c r="F115" s="51"/>
      <c r="G115" s="47" t="s">
        <v>366</v>
      </c>
      <c r="H115" s="47">
        <v>18.0</v>
      </c>
      <c r="I115" s="48" t="s">
        <v>645</v>
      </c>
    </row>
    <row r="116" ht="22.5" customHeight="1">
      <c r="A116" s="7">
        <v>114.0</v>
      </c>
      <c r="B116" s="32" t="b">
        <v>0</v>
      </c>
      <c r="C116" s="44" t="s">
        <v>646</v>
      </c>
      <c r="D116" s="54"/>
      <c r="E116" s="54"/>
      <c r="F116" s="51"/>
      <c r="G116" s="47" t="s">
        <v>366</v>
      </c>
      <c r="H116" s="47">
        <v>18.0</v>
      </c>
      <c r="I116" s="48" t="s">
        <v>647</v>
      </c>
    </row>
    <row r="117" ht="22.5" customHeight="1">
      <c r="A117" s="7">
        <v>115.0</v>
      </c>
      <c r="B117" s="32" t="b">
        <v>0</v>
      </c>
      <c r="C117" s="44" t="s">
        <v>648</v>
      </c>
      <c r="D117" s="54"/>
      <c r="E117" s="54"/>
      <c r="F117" s="51"/>
      <c r="G117" s="47" t="s">
        <v>366</v>
      </c>
      <c r="H117" s="47">
        <v>18.0</v>
      </c>
      <c r="I117" s="48" t="s">
        <v>649</v>
      </c>
    </row>
    <row r="118" ht="22.5" customHeight="1">
      <c r="A118" s="7">
        <v>116.0</v>
      </c>
      <c r="B118" s="32" t="b">
        <v>0</v>
      </c>
      <c r="C118" s="44" t="s">
        <v>650</v>
      </c>
      <c r="D118" s="45" t="s">
        <v>651</v>
      </c>
      <c r="E118" s="45">
        <v>7.826747335E9</v>
      </c>
      <c r="F118" s="49"/>
      <c r="G118" s="47" t="s">
        <v>350</v>
      </c>
      <c r="H118" s="47">
        <v>24.0</v>
      </c>
      <c r="I118" s="48" t="s">
        <v>652</v>
      </c>
    </row>
    <row r="119" ht="22.5" customHeight="1">
      <c r="A119" s="7">
        <v>117.0</v>
      </c>
      <c r="B119" s="32" t="b">
        <v>0</v>
      </c>
      <c r="C119" s="44" t="s">
        <v>653</v>
      </c>
      <c r="D119" s="45" t="s">
        <v>654</v>
      </c>
      <c r="E119" s="45">
        <v>7.725446556E9</v>
      </c>
      <c r="F119" s="46" t="s">
        <v>655</v>
      </c>
      <c r="G119" s="47" t="s">
        <v>366</v>
      </c>
      <c r="H119" s="47">
        <v>9.0</v>
      </c>
      <c r="I119" s="48" t="s">
        <v>656</v>
      </c>
    </row>
    <row r="120" ht="22.5" customHeight="1">
      <c r="A120" s="7">
        <v>118.0</v>
      </c>
      <c r="B120" s="32" t="b">
        <v>0</v>
      </c>
      <c r="C120" s="44" t="s">
        <v>657</v>
      </c>
      <c r="D120" s="45" t="s">
        <v>658</v>
      </c>
      <c r="E120" s="45">
        <v>7.501817171E9</v>
      </c>
      <c r="F120" s="51"/>
      <c r="G120" s="47" t="s">
        <v>350</v>
      </c>
      <c r="H120" s="47">
        <v>15.0</v>
      </c>
      <c r="I120" s="48" t="s">
        <v>659</v>
      </c>
    </row>
    <row r="121" ht="22.5" customHeight="1">
      <c r="A121" s="7">
        <v>119.0</v>
      </c>
      <c r="B121" s="32" t="b">
        <v>0</v>
      </c>
      <c r="C121" s="44" t="s">
        <v>660</v>
      </c>
      <c r="D121" s="54"/>
      <c r="E121" s="54"/>
      <c r="F121" s="49"/>
      <c r="G121" s="47" t="s">
        <v>366</v>
      </c>
      <c r="H121" s="47">
        <v>18.0</v>
      </c>
      <c r="I121" s="48" t="s">
        <v>661</v>
      </c>
    </row>
    <row r="122" ht="22.5" customHeight="1">
      <c r="A122" s="7">
        <v>120.0</v>
      </c>
      <c r="B122" s="32" t="b">
        <v>0</v>
      </c>
      <c r="C122" s="44" t="s">
        <v>662</v>
      </c>
      <c r="D122" s="45" t="s">
        <v>663</v>
      </c>
      <c r="E122" s="45">
        <v>7.504161049E9</v>
      </c>
      <c r="F122" s="49"/>
      <c r="G122" s="47" t="s">
        <v>366</v>
      </c>
      <c r="H122" s="47">
        <v>18.0</v>
      </c>
      <c r="I122" s="48" t="s">
        <v>664</v>
      </c>
    </row>
    <row r="123" ht="22.5" customHeight="1">
      <c r="A123" s="7">
        <v>121.0</v>
      </c>
      <c r="B123" s="32" t="b">
        <v>0</v>
      </c>
      <c r="C123" s="44" t="s">
        <v>189</v>
      </c>
      <c r="D123" s="45" t="s">
        <v>665</v>
      </c>
      <c r="E123" s="45">
        <v>7.51010025E9</v>
      </c>
      <c r="F123" s="46" t="s">
        <v>666</v>
      </c>
      <c r="G123" s="47" t="s">
        <v>350</v>
      </c>
      <c r="H123" s="47">
        <v>150.0</v>
      </c>
      <c r="I123" s="48" t="s">
        <v>667</v>
      </c>
    </row>
    <row r="124" ht="22.5" customHeight="1">
      <c r="A124" s="7">
        <v>122.0</v>
      </c>
      <c r="B124" s="32" t="b">
        <v>0</v>
      </c>
      <c r="C124" s="69"/>
      <c r="D124" s="70"/>
      <c r="E124" s="70"/>
      <c r="F124" s="71"/>
      <c r="G124" s="32"/>
      <c r="H124" s="32"/>
      <c r="I124" s="72"/>
    </row>
    <row r="125" ht="22.5" customHeight="1">
      <c r="A125" s="7">
        <v>123.0</v>
      </c>
      <c r="B125" s="32" t="b">
        <v>0</v>
      </c>
      <c r="C125" s="69"/>
      <c r="D125" s="70"/>
      <c r="E125" s="70"/>
      <c r="F125" s="71"/>
      <c r="G125" s="32"/>
      <c r="H125" s="32"/>
      <c r="I125" s="72"/>
    </row>
    <row r="126" ht="22.5" customHeight="1">
      <c r="A126" s="7">
        <v>124.0</v>
      </c>
      <c r="B126" s="32" t="b">
        <v>0</v>
      </c>
      <c r="C126" s="69"/>
      <c r="D126" s="70"/>
      <c r="E126" s="70"/>
      <c r="F126" s="71"/>
      <c r="G126" s="32"/>
      <c r="H126" s="32"/>
      <c r="I126" s="72"/>
    </row>
    <row r="127" ht="22.5" customHeight="1">
      <c r="A127" s="7">
        <v>125.0</v>
      </c>
      <c r="B127" s="32" t="b">
        <v>0</v>
      </c>
      <c r="C127" s="69"/>
      <c r="D127" s="70"/>
      <c r="E127" s="70"/>
      <c r="F127" s="71"/>
      <c r="G127" s="32"/>
      <c r="H127" s="32"/>
      <c r="I127" s="72"/>
    </row>
    <row r="128" ht="22.5" customHeight="1">
      <c r="A128" s="7">
        <v>126.0</v>
      </c>
      <c r="B128" s="32" t="b">
        <v>0</v>
      </c>
      <c r="C128" s="69"/>
      <c r="D128" s="70"/>
      <c r="E128" s="70"/>
      <c r="F128" s="71"/>
      <c r="G128" s="32"/>
      <c r="H128" s="32"/>
      <c r="I128" s="72"/>
    </row>
    <row r="129" ht="22.5" customHeight="1">
      <c r="A129" s="7">
        <v>127.0</v>
      </c>
      <c r="B129" s="32" t="b">
        <v>0</v>
      </c>
      <c r="C129" s="69"/>
      <c r="D129" s="70"/>
      <c r="E129" s="70"/>
      <c r="F129" s="71"/>
      <c r="G129" s="32"/>
      <c r="H129" s="32"/>
      <c r="I129" s="72"/>
    </row>
    <row r="130" ht="22.5" customHeight="1">
      <c r="A130" s="7">
        <v>128.0</v>
      </c>
      <c r="B130" s="32" t="b">
        <v>0</v>
      </c>
      <c r="C130" s="69"/>
      <c r="D130" s="70"/>
      <c r="E130" s="70"/>
      <c r="F130" s="71"/>
      <c r="G130" s="32"/>
      <c r="H130" s="32"/>
      <c r="I130" s="72"/>
    </row>
    <row r="131" ht="22.5" customHeight="1">
      <c r="A131" s="7">
        <v>129.0</v>
      </c>
      <c r="B131" s="32" t="b">
        <v>0</v>
      </c>
      <c r="C131" s="69"/>
      <c r="D131" s="70"/>
      <c r="E131" s="70"/>
      <c r="F131" s="71"/>
      <c r="G131" s="32"/>
      <c r="H131" s="32"/>
      <c r="I131" s="72"/>
    </row>
    <row r="132" ht="22.5" customHeight="1">
      <c r="A132" s="7">
        <v>130.0</v>
      </c>
      <c r="B132" s="32" t="b">
        <v>0</v>
      </c>
      <c r="C132" s="69"/>
      <c r="D132" s="70"/>
      <c r="E132" s="70"/>
      <c r="F132" s="71"/>
      <c r="G132" s="32"/>
      <c r="H132" s="32"/>
      <c r="I132" s="72"/>
    </row>
    <row r="133" ht="22.5" customHeight="1">
      <c r="A133" s="7">
        <v>131.0</v>
      </c>
      <c r="B133" s="32" t="b">
        <v>0</v>
      </c>
      <c r="C133" s="69"/>
      <c r="D133" s="70"/>
      <c r="E133" s="70"/>
      <c r="F133" s="71"/>
      <c r="G133" s="32"/>
      <c r="H133" s="32"/>
      <c r="I133" s="72"/>
    </row>
    <row r="134" ht="22.5" customHeight="1">
      <c r="A134" s="7">
        <v>132.0</v>
      </c>
      <c r="B134" s="32" t="b">
        <v>0</v>
      </c>
      <c r="C134" s="69"/>
      <c r="D134" s="70"/>
      <c r="E134" s="70"/>
      <c r="F134" s="71"/>
      <c r="G134" s="32"/>
      <c r="H134" s="32"/>
      <c r="I134" s="72"/>
    </row>
    <row r="135" ht="22.5" customHeight="1">
      <c r="A135" s="7">
        <v>133.0</v>
      </c>
      <c r="B135" s="32" t="b">
        <v>0</v>
      </c>
      <c r="C135" s="69"/>
      <c r="D135" s="70"/>
      <c r="E135" s="70"/>
      <c r="F135" s="71"/>
      <c r="G135" s="32"/>
      <c r="H135" s="32"/>
      <c r="I135" s="72"/>
    </row>
    <row r="136" ht="22.5" customHeight="1">
      <c r="A136" s="7">
        <v>134.0</v>
      </c>
      <c r="B136" s="32" t="b">
        <v>0</v>
      </c>
      <c r="C136" s="69"/>
      <c r="D136" s="70"/>
      <c r="E136" s="70"/>
      <c r="F136" s="71"/>
      <c r="G136" s="32"/>
      <c r="H136" s="32"/>
      <c r="I136" s="72"/>
    </row>
    <row r="137" ht="22.5" customHeight="1">
      <c r="A137" s="7">
        <v>135.0</v>
      </c>
      <c r="B137" s="32" t="b">
        <v>0</v>
      </c>
      <c r="C137" s="69"/>
      <c r="D137" s="70"/>
      <c r="E137" s="70"/>
      <c r="F137" s="71"/>
      <c r="G137" s="32"/>
      <c r="H137" s="32"/>
      <c r="I137" s="72"/>
    </row>
    <row r="138" ht="22.5" customHeight="1">
      <c r="A138" s="7">
        <v>136.0</v>
      </c>
      <c r="B138" s="32" t="b">
        <v>0</v>
      </c>
      <c r="C138" s="69"/>
      <c r="D138" s="70"/>
      <c r="E138" s="70"/>
      <c r="F138" s="71"/>
      <c r="G138" s="32"/>
      <c r="H138" s="32"/>
      <c r="I138" s="72"/>
    </row>
    <row r="139" ht="22.5" customHeight="1">
      <c r="A139" s="7">
        <v>137.0</v>
      </c>
      <c r="B139" s="32" t="b">
        <v>0</v>
      </c>
      <c r="C139" s="69"/>
      <c r="D139" s="70"/>
      <c r="E139" s="70"/>
      <c r="F139" s="71"/>
      <c r="G139" s="32"/>
      <c r="H139" s="32"/>
      <c r="I139" s="72"/>
    </row>
    <row r="140" ht="22.5" customHeight="1">
      <c r="A140" s="7">
        <v>138.0</v>
      </c>
      <c r="B140" s="32" t="b">
        <v>0</v>
      </c>
      <c r="C140" s="69"/>
      <c r="D140" s="70"/>
      <c r="E140" s="70"/>
      <c r="F140" s="71"/>
      <c r="G140" s="32"/>
      <c r="H140" s="32"/>
      <c r="I140" s="72"/>
    </row>
    <row r="141" ht="22.5" customHeight="1">
      <c r="A141" s="7">
        <v>139.0</v>
      </c>
      <c r="B141" s="32" t="b">
        <v>0</v>
      </c>
      <c r="C141" s="69"/>
      <c r="D141" s="70"/>
      <c r="E141" s="70"/>
      <c r="F141" s="71"/>
      <c r="G141" s="32"/>
      <c r="H141" s="32"/>
      <c r="I141" s="72"/>
    </row>
    <row r="142" ht="22.5" customHeight="1">
      <c r="A142" s="7">
        <v>140.0</v>
      </c>
      <c r="B142" s="32" t="b">
        <v>0</v>
      </c>
      <c r="C142" s="69"/>
      <c r="D142" s="70"/>
      <c r="E142" s="70"/>
      <c r="F142" s="71"/>
      <c r="G142" s="32"/>
      <c r="H142" s="32"/>
      <c r="I142" s="72"/>
    </row>
    <row r="143" ht="22.5" customHeight="1">
      <c r="A143" s="7">
        <v>141.0</v>
      </c>
      <c r="B143" s="32" t="b">
        <v>0</v>
      </c>
      <c r="C143" s="69"/>
      <c r="D143" s="70"/>
      <c r="E143" s="70"/>
      <c r="F143" s="71"/>
      <c r="G143" s="32"/>
      <c r="H143" s="32"/>
      <c r="I143" s="72"/>
    </row>
    <row r="144" ht="22.5" customHeight="1">
      <c r="A144" s="7">
        <v>142.0</v>
      </c>
      <c r="B144" s="32" t="b">
        <v>0</v>
      </c>
      <c r="C144" s="69"/>
      <c r="D144" s="70"/>
      <c r="E144" s="70"/>
      <c r="F144" s="71"/>
      <c r="G144" s="32"/>
      <c r="H144" s="32"/>
      <c r="I144" s="72"/>
    </row>
    <row r="145" ht="22.5" customHeight="1">
      <c r="A145" s="7">
        <v>143.0</v>
      </c>
      <c r="B145" s="32" t="b">
        <v>0</v>
      </c>
      <c r="C145" s="69"/>
      <c r="D145" s="70"/>
      <c r="E145" s="70"/>
      <c r="F145" s="71"/>
      <c r="G145" s="32"/>
      <c r="H145" s="32"/>
      <c r="I145" s="72"/>
    </row>
    <row r="146" ht="22.5" customHeight="1">
      <c r="A146" s="7">
        <v>144.0</v>
      </c>
      <c r="B146" s="32" t="b">
        <v>0</v>
      </c>
      <c r="C146" s="69"/>
      <c r="D146" s="70"/>
      <c r="E146" s="70"/>
      <c r="F146" s="71"/>
      <c r="G146" s="32"/>
      <c r="H146" s="32"/>
      <c r="I146" s="72"/>
    </row>
    <row r="147" ht="22.5" customHeight="1">
      <c r="A147" s="7">
        <v>145.0</v>
      </c>
      <c r="B147" s="32" t="b">
        <v>0</v>
      </c>
      <c r="C147" s="69"/>
      <c r="D147" s="70"/>
      <c r="E147" s="70"/>
      <c r="F147" s="71"/>
      <c r="G147" s="32"/>
      <c r="H147" s="32"/>
      <c r="I147" s="72"/>
    </row>
    <row r="148" ht="22.5" customHeight="1">
      <c r="A148" s="7">
        <v>146.0</v>
      </c>
      <c r="B148" s="32" t="b">
        <v>0</v>
      </c>
      <c r="C148" s="69"/>
      <c r="D148" s="70"/>
      <c r="E148" s="70"/>
      <c r="F148" s="71"/>
      <c r="G148" s="32"/>
      <c r="H148" s="32"/>
      <c r="I148" s="72"/>
    </row>
    <row r="149" ht="22.5" customHeight="1">
      <c r="A149" s="7">
        <v>147.0</v>
      </c>
      <c r="B149" s="32" t="b">
        <v>0</v>
      </c>
      <c r="C149" s="69"/>
      <c r="D149" s="70"/>
      <c r="E149" s="70"/>
      <c r="F149" s="71"/>
      <c r="G149" s="32"/>
      <c r="H149" s="32"/>
      <c r="I149" s="72"/>
    </row>
    <row r="150" ht="22.5" customHeight="1">
      <c r="A150" s="7">
        <v>148.0</v>
      </c>
      <c r="B150" s="32" t="b">
        <v>0</v>
      </c>
      <c r="C150" s="69"/>
      <c r="D150" s="70"/>
      <c r="E150" s="70"/>
      <c r="F150" s="71"/>
      <c r="G150" s="32"/>
      <c r="H150" s="32"/>
      <c r="I150" s="72"/>
    </row>
    <row r="151" ht="22.5" customHeight="1">
      <c r="A151" s="7">
        <v>149.0</v>
      </c>
      <c r="B151" s="32" t="b">
        <v>0</v>
      </c>
      <c r="C151" s="69"/>
      <c r="D151" s="70"/>
      <c r="E151" s="70"/>
      <c r="F151" s="71"/>
      <c r="G151" s="32"/>
      <c r="H151" s="32"/>
      <c r="I151" s="72"/>
    </row>
    <row r="152" ht="22.5" customHeight="1">
      <c r="A152" s="7">
        <v>150.0</v>
      </c>
      <c r="B152" s="32" t="b">
        <v>0</v>
      </c>
      <c r="C152" s="69"/>
      <c r="D152" s="70"/>
      <c r="E152" s="70"/>
      <c r="F152" s="71"/>
      <c r="G152" s="32"/>
      <c r="H152" s="32"/>
      <c r="I152" s="72"/>
    </row>
    <row r="153" ht="22.5" customHeight="1">
      <c r="A153" s="7">
        <v>151.0</v>
      </c>
      <c r="B153" s="32" t="b">
        <v>0</v>
      </c>
      <c r="C153" s="69"/>
      <c r="D153" s="70"/>
      <c r="E153" s="70"/>
      <c r="F153" s="71"/>
      <c r="G153" s="32"/>
      <c r="H153" s="32"/>
      <c r="I153" s="72"/>
    </row>
    <row r="154" ht="22.5" customHeight="1">
      <c r="A154" s="7">
        <v>152.0</v>
      </c>
      <c r="B154" s="32" t="b">
        <v>0</v>
      </c>
      <c r="C154" s="69"/>
      <c r="D154" s="70"/>
      <c r="E154" s="70"/>
      <c r="F154" s="71"/>
      <c r="G154" s="32"/>
      <c r="H154" s="32"/>
      <c r="I154" s="72"/>
    </row>
    <row r="155" ht="22.5" customHeight="1">
      <c r="A155" s="7">
        <v>153.0</v>
      </c>
      <c r="B155" s="32" t="b">
        <v>0</v>
      </c>
      <c r="C155" s="69"/>
      <c r="D155" s="70"/>
      <c r="E155" s="70"/>
      <c r="F155" s="71"/>
      <c r="G155" s="32"/>
      <c r="H155" s="32"/>
      <c r="I155" s="72"/>
    </row>
    <row r="156" ht="22.5" customHeight="1">
      <c r="A156" s="7">
        <v>154.0</v>
      </c>
      <c r="B156" s="32" t="b">
        <v>0</v>
      </c>
      <c r="C156" s="69"/>
      <c r="D156" s="70"/>
      <c r="E156" s="70"/>
      <c r="F156" s="71"/>
      <c r="G156" s="32"/>
      <c r="H156" s="32"/>
      <c r="I156" s="72"/>
    </row>
    <row r="157" ht="22.5" customHeight="1">
      <c r="A157" s="7">
        <v>155.0</v>
      </c>
      <c r="B157" s="32" t="b">
        <v>0</v>
      </c>
      <c r="C157" s="69"/>
      <c r="D157" s="70"/>
      <c r="E157" s="70"/>
      <c r="F157" s="71"/>
      <c r="G157" s="32"/>
      <c r="H157" s="32"/>
      <c r="I157" s="72"/>
    </row>
    <row r="158" ht="22.5" customHeight="1">
      <c r="A158" s="7">
        <v>156.0</v>
      </c>
      <c r="B158" s="32" t="b">
        <v>0</v>
      </c>
      <c r="C158" s="69"/>
      <c r="D158" s="70"/>
      <c r="E158" s="70"/>
      <c r="F158" s="71"/>
      <c r="G158" s="32"/>
      <c r="H158" s="32"/>
      <c r="I158" s="72"/>
    </row>
    <row r="159" ht="22.5" customHeight="1">
      <c r="A159" s="7">
        <v>157.0</v>
      </c>
      <c r="B159" s="32" t="b">
        <v>0</v>
      </c>
      <c r="C159" s="69"/>
      <c r="D159" s="70"/>
      <c r="E159" s="70"/>
      <c r="F159" s="71"/>
      <c r="G159" s="32"/>
      <c r="H159" s="32"/>
      <c r="I159" s="72"/>
    </row>
    <row r="160" ht="22.5" customHeight="1">
      <c r="A160" s="7">
        <v>158.0</v>
      </c>
      <c r="B160" s="32" t="b">
        <v>0</v>
      </c>
      <c r="C160" s="69"/>
      <c r="D160" s="70"/>
      <c r="E160" s="70"/>
      <c r="F160" s="71"/>
      <c r="G160" s="32"/>
      <c r="H160" s="32"/>
      <c r="I160" s="72"/>
    </row>
    <row r="161" ht="22.5" customHeight="1">
      <c r="A161" s="7">
        <v>159.0</v>
      </c>
      <c r="B161" s="32" t="b">
        <v>0</v>
      </c>
      <c r="C161" s="69"/>
      <c r="D161" s="70"/>
      <c r="E161" s="70"/>
      <c r="F161" s="71"/>
      <c r="G161" s="32"/>
      <c r="H161" s="32"/>
      <c r="I161" s="72"/>
    </row>
    <row r="162" ht="22.5" customHeight="1">
      <c r="A162" s="7">
        <v>160.0</v>
      </c>
      <c r="B162" s="32" t="b">
        <v>0</v>
      </c>
      <c r="C162" s="69"/>
      <c r="D162" s="70"/>
      <c r="E162" s="70"/>
      <c r="F162" s="71"/>
      <c r="G162" s="32"/>
      <c r="H162" s="32"/>
      <c r="I162" s="72"/>
    </row>
    <row r="163" ht="22.5" customHeight="1">
      <c r="A163" s="7">
        <v>161.0</v>
      </c>
      <c r="B163" s="32" t="b">
        <v>0</v>
      </c>
      <c r="C163" s="69"/>
      <c r="D163" s="70"/>
      <c r="E163" s="70"/>
      <c r="F163" s="71"/>
      <c r="G163" s="32"/>
      <c r="H163" s="32"/>
      <c r="I163" s="72"/>
    </row>
    <row r="164" ht="22.5" customHeight="1">
      <c r="A164" s="7">
        <v>162.0</v>
      </c>
      <c r="B164" s="32" t="b">
        <v>0</v>
      </c>
      <c r="C164" s="69"/>
      <c r="D164" s="70"/>
      <c r="E164" s="70"/>
      <c r="F164" s="71"/>
      <c r="G164" s="32"/>
      <c r="H164" s="32"/>
      <c r="I164" s="72"/>
    </row>
    <row r="165" ht="22.5" customHeight="1">
      <c r="A165" s="7">
        <v>163.0</v>
      </c>
      <c r="B165" s="32" t="b">
        <v>0</v>
      </c>
      <c r="C165" s="69"/>
      <c r="D165" s="70"/>
      <c r="E165" s="70"/>
      <c r="F165" s="71"/>
      <c r="G165" s="32"/>
      <c r="H165" s="32"/>
      <c r="I165" s="72"/>
    </row>
    <row r="166" ht="22.5" customHeight="1">
      <c r="A166" s="7">
        <v>164.0</v>
      </c>
      <c r="B166" s="32" t="b">
        <v>0</v>
      </c>
      <c r="C166" s="69"/>
      <c r="D166" s="70"/>
      <c r="E166" s="70"/>
      <c r="F166" s="71"/>
      <c r="G166" s="32"/>
      <c r="H166" s="32"/>
      <c r="I166" s="72"/>
    </row>
    <row r="167" ht="22.5" customHeight="1">
      <c r="A167" s="7">
        <v>165.0</v>
      </c>
      <c r="B167" s="32" t="b">
        <v>0</v>
      </c>
      <c r="C167" s="69"/>
      <c r="D167" s="70"/>
      <c r="E167" s="70"/>
      <c r="F167" s="71"/>
      <c r="G167" s="32"/>
      <c r="H167" s="32"/>
      <c r="I167" s="72"/>
    </row>
    <row r="168" ht="22.5" customHeight="1">
      <c r="A168" s="7">
        <v>166.0</v>
      </c>
      <c r="B168" s="32" t="b">
        <v>0</v>
      </c>
      <c r="C168" s="69"/>
      <c r="D168" s="70"/>
      <c r="E168" s="70"/>
      <c r="F168" s="71"/>
      <c r="G168" s="32"/>
      <c r="H168" s="32"/>
      <c r="I168" s="72"/>
    </row>
    <row r="169" ht="22.5" customHeight="1">
      <c r="A169" s="7">
        <v>167.0</v>
      </c>
      <c r="B169" s="32" t="b">
        <v>0</v>
      </c>
      <c r="C169" s="69"/>
      <c r="D169" s="70"/>
      <c r="E169" s="70"/>
      <c r="F169" s="71"/>
      <c r="G169" s="32"/>
      <c r="H169" s="32"/>
      <c r="I169" s="72"/>
    </row>
    <row r="170" ht="22.5" customHeight="1">
      <c r="A170" s="7">
        <v>168.0</v>
      </c>
      <c r="B170" s="32" t="b">
        <v>0</v>
      </c>
      <c r="C170" s="69"/>
      <c r="D170" s="70"/>
      <c r="E170" s="70"/>
      <c r="F170" s="71"/>
      <c r="G170" s="32"/>
      <c r="H170" s="32"/>
      <c r="I170" s="72"/>
    </row>
    <row r="171" ht="22.5" customHeight="1">
      <c r="A171" s="7">
        <v>169.0</v>
      </c>
      <c r="B171" s="32" t="b">
        <v>0</v>
      </c>
      <c r="C171" s="69"/>
      <c r="D171" s="70"/>
      <c r="E171" s="70"/>
      <c r="F171" s="71"/>
      <c r="G171" s="32"/>
      <c r="H171" s="32"/>
      <c r="I171" s="72"/>
    </row>
    <row r="172" ht="22.5" customHeight="1">
      <c r="A172" s="7">
        <v>170.0</v>
      </c>
      <c r="B172" s="32" t="b">
        <v>0</v>
      </c>
      <c r="C172" s="69"/>
      <c r="D172" s="70"/>
      <c r="E172" s="70"/>
      <c r="F172" s="71"/>
      <c r="G172" s="32"/>
      <c r="H172" s="32"/>
      <c r="I172" s="72"/>
    </row>
    <row r="173" ht="22.5" customHeight="1">
      <c r="A173" s="7">
        <v>171.0</v>
      </c>
      <c r="B173" s="32" t="b">
        <v>0</v>
      </c>
      <c r="C173" s="69"/>
      <c r="D173" s="70"/>
      <c r="E173" s="70"/>
      <c r="F173" s="71"/>
      <c r="G173" s="32"/>
      <c r="H173" s="32"/>
      <c r="I173" s="72"/>
    </row>
    <row r="174" ht="22.5" customHeight="1">
      <c r="A174" s="7">
        <v>172.0</v>
      </c>
      <c r="B174" s="32" t="b">
        <v>0</v>
      </c>
      <c r="C174" s="69"/>
      <c r="D174" s="70"/>
      <c r="E174" s="70"/>
      <c r="F174" s="71"/>
      <c r="G174" s="32"/>
      <c r="H174" s="32"/>
      <c r="I174" s="72"/>
    </row>
    <row r="175" ht="22.5" customHeight="1">
      <c r="A175" s="7">
        <v>173.0</v>
      </c>
      <c r="B175" s="32" t="b">
        <v>0</v>
      </c>
      <c r="C175" s="69"/>
      <c r="D175" s="70"/>
      <c r="E175" s="70"/>
      <c r="F175" s="71"/>
      <c r="G175" s="32"/>
      <c r="H175" s="32"/>
      <c r="I175" s="72"/>
    </row>
    <row r="176" ht="22.5" customHeight="1">
      <c r="A176" s="7">
        <v>174.0</v>
      </c>
      <c r="B176" s="32" t="b">
        <v>0</v>
      </c>
      <c r="C176" s="69"/>
      <c r="D176" s="70"/>
      <c r="E176" s="70"/>
      <c r="F176" s="71"/>
      <c r="G176" s="32"/>
      <c r="H176" s="32"/>
      <c r="I176" s="72"/>
    </row>
    <row r="177" ht="22.5" customHeight="1">
      <c r="A177" s="7">
        <v>175.0</v>
      </c>
      <c r="B177" s="32" t="b">
        <v>0</v>
      </c>
      <c r="C177" s="69"/>
      <c r="D177" s="70"/>
      <c r="E177" s="70"/>
      <c r="F177" s="71"/>
      <c r="G177" s="32"/>
      <c r="H177" s="32"/>
      <c r="I177" s="72"/>
    </row>
    <row r="178" ht="22.5" customHeight="1">
      <c r="A178" s="7">
        <v>176.0</v>
      </c>
      <c r="B178" s="32" t="b">
        <v>0</v>
      </c>
      <c r="C178" s="69"/>
      <c r="D178" s="70"/>
      <c r="E178" s="70"/>
      <c r="F178" s="71"/>
      <c r="G178" s="32"/>
      <c r="H178" s="32"/>
      <c r="I178" s="72"/>
    </row>
    <row r="179" ht="22.5" customHeight="1">
      <c r="A179" s="7">
        <v>177.0</v>
      </c>
      <c r="B179" s="32" t="b">
        <v>0</v>
      </c>
      <c r="C179" s="69"/>
      <c r="D179" s="70"/>
      <c r="E179" s="70"/>
      <c r="F179" s="71"/>
      <c r="G179" s="32"/>
      <c r="H179" s="32"/>
      <c r="I179" s="72"/>
    </row>
    <row r="180" ht="22.5" customHeight="1">
      <c r="A180" s="7">
        <v>178.0</v>
      </c>
      <c r="B180" s="32" t="b">
        <v>0</v>
      </c>
      <c r="C180" s="69"/>
      <c r="D180" s="70"/>
      <c r="E180" s="70"/>
      <c r="F180" s="71"/>
      <c r="G180" s="32"/>
      <c r="H180" s="32"/>
      <c r="I180" s="72"/>
    </row>
    <row r="181" ht="22.5" customHeight="1">
      <c r="A181" s="7">
        <v>179.0</v>
      </c>
      <c r="B181" s="32" t="b">
        <v>0</v>
      </c>
      <c r="C181" s="69"/>
      <c r="D181" s="70"/>
      <c r="E181" s="70"/>
      <c r="F181" s="71"/>
      <c r="G181" s="32"/>
      <c r="H181" s="32"/>
      <c r="I181" s="72"/>
    </row>
    <row r="182" ht="22.5" customHeight="1">
      <c r="A182" s="7">
        <v>180.0</v>
      </c>
      <c r="B182" s="32" t="b">
        <v>0</v>
      </c>
      <c r="C182" s="69"/>
      <c r="D182" s="70"/>
      <c r="E182" s="70"/>
      <c r="F182" s="71"/>
      <c r="G182" s="32"/>
      <c r="H182" s="32"/>
      <c r="I182" s="72"/>
    </row>
    <row r="183" ht="22.5" customHeight="1">
      <c r="A183" s="7">
        <v>181.0</v>
      </c>
      <c r="B183" s="32" t="b">
        <v>0</v>
      </c>
      <c r="C183" s="69"/>
      <c r="D183" s="70"/>
      <c r="E183" s="70"/>
      <c r="F183" s="71"/>
      <c r="G183" s="32"/>
      <c r="H183" s="32"/>
      <c r="I183" s="72"/>
    </row>
    <row r="184" ht="22.5" customHeight="1">
      <c r="A184" s="7">
        <v>182.0</v>
      </c>
      <c r="B184" s="32" t="b">
        <v>0</v>
      </c>
      <c r="C184" s="69"/>
      <c r="D184" s="70"/>
      <c r="E184" s="70"/>
      <c r="F184" s="71"/>
      <c r="G184" s="32"/>
      <c r="H184" s="32"/>
      <c r="I184" s="72"/>
    </row>
    <row r="185" ht="22.5" customHeight="1">
      <c r="A185" s="7">
        <v>183.0</v>
      </c>
      <c r="B185" s="32" t="b">
        <v>0</v>
      </c>
      <c r="C185" s="69"/>
      <c r="D185" s="70"/>
      <c r="E185" s="70"/>
      <c r="F185" s="71"/>
      <c r="G185" s="32"/>
      <c r="H185" s="32"/>
      <c r="I185" s="72"/>
    </row>
    <row r="186" ht="22.5" customHeight="1">
      <c r="A186" s="7">
        <v>184.0</v>
      </c>
      <c r="B186" s="32" t="b">
        <v>0</v>
      </c>
      <c r="C186" s="69"/>
      <c r="D186" s="70"/>
      <c r="E186" s="70"/>
      <c r="F186" s="71"/>
      <c r="G186" s="32"/>
      <c r="H186" s="32"/>
      <c r="I186" s="72"/>
    </row>
    <row r="187" ht="22.5" customHeight="1">
      <c r="A187" s="7">
        <v>185.0</v>
      </c>
      <c r="B187" s="32" t="b">
        <v>0</v>
      </c>
      <c r="C187" s="69"/>
      <c r="D187" s="70"/>
      <c r="E187" s="70"/>
      <c r="F187" s="71"/>
      <c r="G187" s="32"/>
      <c r="H187" s="32"/>
      <c r="I187" s="72"/>
    </row>
    <row r="188" ht="22.5" customHeight="1">
      <c r="A188" s="7">
        <v>186.0</v>
      </c>
      <c r="B188" s="32" t="b">
        <v>0</v>
      </c>
      <c r="C188" s="69"/>
      <c r="D188" s="70"/>
      <c r="E188" s="70"/>
      <c r="F188" s="71"/>
      <c r="G188" s="32"/>
      <c r="H188" s="32"/>
      <c r="I188" s="72"/>
    </row>
    <row r="189" ht="22.5" customHeight="1">
      <c r="A189" s="7">
        <v>187.0</v>
      </c>
      <c r="B189" s="32" t="b">
        <v>0</v>
      </c>
      <c r="C189" s="69"/>
      <c r="D189" s="70"/>
      <c r="E189" s="70"/>
      <c r="F189" s="71"/>
      <c r="G189" s="32"/>
      <c r="H189" s="32"/>
      <c r="I189" s="72"/>
    </row>
    <row r="190" ht="22.5" customHeight="1">
      <c r="A190" s="7">
        <v>188.0</v>
      </c>
      <c r="B190" s="32" t="b">
        <v>0</v>
      </c>
      <c r="C190" s="69"/>
      <c r="D190" s="70"/>
      <c r="E190" s="70"/>
      <c r="F190" s="71"/>
      <c r="G190" s="32"/>
      <c r="H190" s="32"/>
      <c r="I190" s="72"/>
    </row>
    <row r="191" ht="22.5" customHeight="1">
      <c r="A191" s="7">
        <v>189.0</v>
      </c>
      <c r="B191" s="32" t="b">
        <v>0</v>
      </c>
      <c r="C191" s="69"/>
      <c r="D191" s="70"/>
      <c r="E191" s="70"/>
      <c r="F191" s="71"/>
      <c r="G191" s="32"/>
      <c r="H191" s="32"/>
      <c r="I191" s="72"/>
    </row>
    <row r="192" ht="22.5" customHeight="1">
      <c r="A192" s="7">
        <v>190.0</v>
      </c>
      <c r="B192" s="32" t="b">
        <v>0</v>
      </c>
      <c r="C192" s="69"/>
      <c r="D192" s="70"/>
      <c r="E192" s="70"/>
      <c r="F192" s="71"/>
      <c r="G192" s="32"/>
      <c r="H192" s="32"/>
      <c r="I192" s="72"/>
    </row>
    <row r="193" ht="22.5" customHeight="1">
      <c r="A193" s="7">
        <v>191.0</v>
      </c>
      <c r="B193" s="32" t="b">
        <v>0</v>
      </c>
      <c r="C193" s="69"/>
      <c r="D193" s="70"/>
      <c r="E193" s="70"/>
      <c r="F193" s="71"/>
      <c r="G193" s="32"/>
      <c r="H193" s="32"/>
      <c r="I193" s="72"/>
    </row>
    <row r="194" ht="22.5" customHeight="1">
      <c r="A194" s="7">
        <v>192.0</v>
      </c>
      <c r="B194" s="32" t="b">
        <v>0</v>
      </c>
      <c r="C194" s="69"/>
      <c r="D194" s="70"/>
      <c r="E194" s="70"/>
      <c r="F194" s="71"/>
      <c r="G194" s="32"/>
      <c r="H194" s="32"/>
      <c r="I194" s="72"/>
    </row>
    <row r="195" ht="22.5" customHeight="1">
      <c r="A195" s="7">
        <v>193.0</v>
      </c>
      <c r="B195" s="32" t="b">
        <v>0</v>
      </c>
      <c r="C195" s="69"/>
      <c r="D195" s="70"/>
      <c r="E195" s="70"/>
      <c r="F195" s="71"/>
      <c r="G195" s="32"/>
      <c r="H195" s="32"/>
      <c r="I195" s="72"/>
    </row>
    <row r="196" ht="22.5" customHeight="1">
      <c r="A196" s="7">
        <v>194.0</v>
      </c>
      <c r="B196" s="32" t="b">
        <v>0</v>
      </c>
      <c r="C196" s="69"/>
      <c r="D196" s="70"/>
      <c r="E196" s="70"/>
      <c r="F196" s="71"/>
      <c r="G196" s="32"/>
      <c r="H196" s="32"/>
      <c r="I196" s="72"/>
    </row>
    <row r="197" ht="22.5" customHeight="1">
      <c r="A197" s="7">
        <v>195.0</v>
      </c>
      <c r="B197" s="32" t="b">
        <v>0</v>
      </c>
      <c r="C197" s="69"/>
      <c r="D197" s="70"/>
      <c r="E197" s="70"/>
      <c r="F197" s="71"/>
      <c r="G197" s="32"/>
      <c r="H197" s="32"/>
      <c r="I197" s="72"/>
    </row>
    <row r="198" ht="22.5" customHeight="1">
      <c r="A198" s="7">
        <v>196.0</v>
      </c>
      <c r="B198" s="32" t="b">
        <v>0</v>
      </c>
      <c r="C198" s="69"/>
      <c r="D198" s="70"/>
      <c r="E198" s="70"/>
      <c r="F198" s="71"/>
      <c r="G198" s="32"/>
      <c r="H198" s="32"/>
      <c r="I198" s="72"/>
    </row>
    <row r="199" ht="22.5" customHeight="1">
      <c r="A199" s="7">
        <v>197.0</v>
      </c>
      <c r="B199" s="32" t="b">
        <v>0</v>
      </c>
      <c r="C199" s="69"/>
      <c r="D199" s="70"/>
      <c r="E199" s="70"/>
      <c r="F199" s="71"/>
      <c r="G199" s="32"/>
      <c r="H199" s="32"/>
      <c r="I199" s="72"/>
    </row>
    <row r="200" ht="22.5" customHeight="1">
      <c r="A200" s="7">
        <v>198.0</v>
      </c>
      <c r="B200" s="32" t="b">
        <v>0</v>
      </c>
      <c r="C200" s="69"/>
      <c r="D200" s="70"/>
      <c r="E200" s="70"/>
      <c r="F200" s="71"/>
      <c r="G200" s="32"/>
      <c r="H200" s="32"/>
      <c r="I200" s="72"/>
    </row>
    <row r="201" ht="22.5" customHeight="1">
      <c r="A201" s="7">
        <v>199.0</v>
      </c>
      <c r="B201" s="32" t="b">
        <v>0</v>
      </c>
      <c r="C201" s="69"/>
      <c r="D201" s="70"/>
      <c r="E201" s="70"/>
      <c r="F201" s="71"/>
      <c r="G201" s="32"/>
      <c r="H201" s="32"/>
      <c r="I201" s="72"/>
    </row>
    <row r="202" ht="22.5" customHeight="1">
      <c r="A202" s="7">
        <v>200.0</v>
      </c>
      <c r="B202" s="32" t="b">
        <v>0</v>
      </c>
      <c r="C202" s="69"/>
      <c r="D202" s="70"/>
      <c r="E202" s="70"/>
      <c r="F202" s="71"/>
      <c r="G202" s="32"/>
      <c r="H202" s="32"/>
      <c r="I202" s="72"/>
    </row>
    <row r="203" ht="22.5" customHeight="1">
      <c r="A203" s="7">
        <v>201.0</v>
      </c>
      <c r="B203" s="32" t="b">
        <v>0</v>
      </c>
      <c r="C203" s="69"/>
      <c r="D203" s="70"/>
      <c r="E203" s="70"/>
      <c r="F203" s="71"/>
      <c r="G203" s="32"/>
      <c r="H203" s="32"/>
      <c r="I203" s="72"/>
    </row>
    <row r="204" ht="22.5" customHeight="1">
      <c r="A204" s="7">
        <v>202.0</v>
      </c>
      <c r="B204" s="32" t="b">
        <v>0</v>
      </c>
      <c r="C204" s="69"/>
      <c r="D204" s="70"/>
      <c r="E204" s="70"/>
      <c r="F204" s="71"/>
      <c r="G204" s="32"/>
      <c r="H204" s="32"/>
      <c r="I204" s="72"/>
    </row>
    <row r="205" ht="22.5" customHeight="1">
      <c r="A205" s="7">
        <v>203.0</v>
      </c>
      <c r="B205" s="32" t="b">
        <v>0</v>
      </c>
      <c r="C205" s="69"/>
      <c r="D205" s="70"/>
      <c r="E205" s="70"/>
      <c r="F205" s="71"/>
      <c r="G205" s="32"/>
      <c r="H205" s="32"/>
      <c r="I205" s="72"/>
    </row>
    <row r="206" ht="22.5" customHeight="1">
      <c r="A206" s="7">
        <v>204.0</v>
      </c>
      <c r="B206" s="32" t="b">
        <v>0</v>
      </c>
      <c r="C206" s="69"/>
      <c r="D206" s="70"/>
      <c r="E206" s="70"/>
      <c r="F206" s="71"/>
      <c r="G206" s="32"/>
      <c r="H206" s="32"/>
      <c r="I206" s="72"/>
    </row>
    <row r="207" ht="22.5" customHeight="1">
      <c r="A207" s="7">
        <v>205.0</v>
      </c>
      <c r="B207" s="32" t="b">
        <v>0</v>
      </c>
      <c r="C207" s="69"/>
      <c r="D207" s="70"/>
      <c r="E207" s="70"/>
      <c r="F207" s="71"/>
      <c r="G207" s="32"/>
      <c r="H207" s="32"/>
      <c r="I207" s="72"/>
    </row>
    <row r="208" ht="22.5" customHeight="1">
      <c r="A208" s="7">
        <v>206.0</v>
      </c>
      <c r="B208" s="32" t="b">
        <v>0</v>
      </c>
      <c r="C208" s="69"/>
      <c r="D208" s="70"/>
      <c r="E208" s="70"/>
      <c r="F208" s="71"/>
      <c r="G208" s="32"/>
      <c r="H208" s="32"/>
      <c r="I208" s="72"/>
    </row>
    <row r="209" ht="22.5" customHeight="1">
      <c r="A209" s="7">
        <v>207.0</v>
      </c>
      <c r="B209" s="32" t="b">
        <v>0</v>
      </c>
      <c r="C209" s="69"/>
      <c r="D209" s="70"/>
      <c r="E209" s="70"/>
      <c r="F209" s="71"/>
      <c r="G209" s="32"/>
      <c r="H209" s="32"/>
      <c r="I209" s="72"/>
    </row>
    <row r="210" ht="22.5" customHeight="1">
      <c r="A210" s="7">
        <v>208.0</v>
      </c>
      <c r="B210" s="32" t="b">
        <v>0</v>
      </c>
      <c r="C210" s="69"/>
      <c r="D210" s="70"/>
      <c r="E210" s="70"/>
      <c r="F210" s="71"/>
      <c r="G210" s="32"/>
      <c r="H210" s="32"/>
      <c r="I210" s="72"/>
    </row>
    <row r="211" ht="22.5" customHeight="1">
      <c r="A211" s="7">
        <v>209.0</v>
      </c>
      <c r="B211" s="32" t="b">
        <v>0</v>
      </c>
      <c r="C211" s="69"/>
      <c r="D211" s="70"/>
      <c r="E211" s="70"/>
      <c r="F211" s="71"/>
      <c r="G211" s="32"/>
      <c r="H211" s="32"/>
      <c r="I211" s="72"/>
    </row>
    <row r="212" ht="22.5" customHeight="1">
      <c r="A212" s="7">
        <v>210.0</v>
      </c>
      <c r="B212" s="32" t="b">
        <v>0</v>
      </c>
      <c r="C212" s="69"/>
      <c r="D212" s="70"/>
      <c r="E212" s="70"/>
      <c r="F212" s="71"/>
      <c r="G212" s="32"/>
      <c r="H212" s="32"/>
      <c r="I212" s="72"/>
    </row>
    <row r="213" ht="22.5" customHeight="1">
      <c r="A213" s="7">
        <v>211.0</v>
      </c>
      <c r="B213" s="32" t="b">
        <v>0</v>
      </c>
      <c r="C213" s="69"/>
      <c r="D213" s="70"/>
      <c r="E213" s="70"/>
      <c r="F213" s="71"/>
      <c r="G213" s="32"/>
      <c r="H213" s="32"/>
      <c r="I213" s="72"/>
    </row>
    <row r="214" ht="22.5" customHeight="1">
      <c r="A214" s="7">
        <v>212.0</v>
      </c>
      <c r="B214" s="32" t="b">
        <v>0</v>
      </c>
      <c r="C214" s="69"/>
      <c r="D214" s="70"/>
      <c r="E214" s="70"/>
      <c r="F214" s="71"/>
      <c r="G214" s="32"/>
      <c r="H214" s="32"/>
      <c r="I214" s="72"/>
    </row>
    <row r="215" ht="22.5" customHeight="1">
      <c r="A215" s="7">
        <v>213.0</v>
      </c>
      <c r="B215" s="32" t="b">
        <v>0</v>
      </c>
      <c r="C215" s="69"/>
      <c r="D215" s="70"/>
      <c r="E215" s="70"/>
      <c r="F215" s="71"/>
      <c r="G215" s="32"/>
      <c r="H215" s="32"/>
      <c r="I215" s="72"/>
    </row>
    <row r="216" ht="22.5" customHeight="1">
      <c r="A216" s="7">
        <v>214.0</v>
      </c>
      <c r="B216" s="32" t="b">
        <v>0</v>
      </c>
      <c r="C216" s="69"/>
      <c r="D216" s="70"/>
      <c r="E216" s="70"/>
      <c r="F216" s="71"/>
      <c r="G216" s="32"/>
      <c r="H216" s="32"/>
      <c r="I216" s="72"/>
    </row>
    <row r="217" ht="22.5" customHeight="1">
      <c r="A217" s="7">
        <v>215.0</v>
      </c>
      <c r="B217" s="32" t="b">
        <v>0</v>
      </c>
      <c r="C217" s="69"/>
      <c r="D217" s="70"/>
      <c r="E217" s="70"/>
      <c r="F217" s="71"/>
      <c r="G217" s="32"/>
      <c r="H217" s="32"/>
      <c r="I217" s="72"/>
    </row>
    <row r="218" ht="22.5" customHeight="1">
      <c r="A218" s="7">
        <v>216.0</v>
      </c>
      <c r="B218" s="32" t="b">
        <v>0</v>
      </c>
      <c r="C218" s="69"/>
      <c r="D218" s="70"/>
      <c r="E218" s="70"/>
      <c r="F218" s="71"/>
      <c r="G218" s="32"/>
      <c r="H218" s="32"/>
      <c r="I218" s="72"/>
    </row>
    <row r="219" ht="22.5" customHeight="1">
      <c r="A219" s="7">
        <v>217.0</v>
      </c>
      <c r="B219" s="32" t="b">
        <v>0</v>
      </c>
      <c r="C219" s="69"/>
      <c r="D219" s="70"/>
      <c r="E219" s="70"/>
      <c r="F219" s="71"/>
      <c r="G219" s="32"/>
      <c r="H219" s="32"/>
      <c r="I219" s="72"/>
    </row>
    <row r="220" ht="22.5" customHeight="1">
      <c r="A220" s="7">
        <v>218.0</v>
      </c>
      <c r="B220" s="32" t="b">
        <v>0</v>
      </c>
      <c r="C220" s="69"/>
      <c r="D220" s="70"/>
      <c r="E220" s="70"/>
      <c r="F220" s="71"/>
      <c r="G220" s="32"/>
      <c r="H220" s="32"/>
      <c r="I220" s="72"/>
    </row>
    <row r="221" ht="22.5" customHeight="1">
      <c r="A221" s="7">
        <v>219.0</v>
      </c>
      <c r="B221" s="32" t="b">
        <v>0</v>
      </c>
      <c r="C221" s="69"/>
      <c r="D221" s="70"/>
      <c r="E221" s="70"/>
      <c r="F221" s="71"/>
      <c r="G221" s="32"/>
      <c r="H221" s="32"/>
      <c r="I221" s="72"/>
    </row>
    <row r="222" ht="22.5" customHeight="1">
      <c r="A222" s="7">
        <v>220.0</v>
      </c>
      <c r="B222" s="32" t="b">
        <v>0</v>
      </c>
      <c r="C222" s="69"/>
      <c r="D222" s="70"/>
      <c r="E222" s="70"/>
      <c r="F222" s="71"/>
      <c r="G222" s="32"/>
      <c r="H222" s="32"/>
      <c r="I222" s="72"/>
    </row>
    <row r="223" ht="22.5" customHeight="1">
      <c r="A223" s="7">
        <v>221.0</v>
      </c>
      <c r="B223" s="32" t="b">
        <v>0</v>
      </c>
      <c r="C223" s="69"/>
      <c r="D223" s="70"/>
      <c r="E223" s="70"/>
      <c r="F223" s="71"/>
      <c r="G223" s="32"/>
      <c r="H223" s="32"/>
      <c r="I223" s="72"/>
    </row>
    <row r="224" ht="22.5" customHeight="1">
      <c r="A224" s="7">
        <v>222.0</v>
      </c>
      <c r="B224" s="32" t="b">
        <v>0</v>
      </c>
      <c r="C224" s="69"/>
      <c r="D224" s="70"/>
      <c r="E224" s="70"/>
      <c r="F224" s="71"/>
      <c r="G224" s="32"/>
      <c r="H224" s="32"/>
      <c r="I224" s="72"/>
    </row>
    <row r="225" ht="22.5" customHeight="1">
      <c r="A225" s="7">
        <v>223.0</v>
      </c>
      <c r="B225" s="32" t="b">
        <v>0</v>
      </c>
      <c r="C225" s="69"/>
      <c r="D225" s="70"/>
      <c r="E225" s="70"/>
      <c r="F225" s="71"/>
      <c r="G225" s="32"/>
      <c r="H225" s="32"/>
      <c r="I225" s="72"/>
    </row>
    <row r="226" ht="22.5" customHeight="1">
      <c r="A226" s="7">
        <v>224.0</v>
      </c>
      <c r="B226" s="32" t="b">
        <v>0</v>
      </c>
      <c r="C226" s="69"/>
      <c r="D226" s="70"/>
      <c r="E226" s="70"/>
      <c r="F226" s="71"/>
      <c r="G226" s="32"/>
      <c r="H226" s="32"/>
      <c r="I226" s="72"/>
    </row>
    <row r="227" ht="22.5" customHeight="1">
      <c r="A227" s="7">
        <v>225.0</v>
      </c>
      <c r="B227" s="32" t="b">
        <v>0</v>
      </c>
      <c r="C227" s="69"/>
      <c r="D227" s="70"/>
      <c r="E227" s="70"/>
      <c r="F227" s="71"/>
      <c r="G227" s="32"/>
      <c r="H227" s="32"/>
      <c r="I227" s="72"/>
    </row>
    <row r="228" ht="22.5" customHeight="1">
      <c r="A228" s="7">
        <v>226.0</v>
      </c>
      <c r="B228" s="32" t="b">
        <v>0</v>
      </c>
      <c r="C228" s="69"/>
      <c r="D228" s="70"/>
      <c r="E228" s="70"/>
      <c r="F228" s="71"/>
      <c r="G228" s="32"/>
      <c r="H228" s="32"/>
      <c r="I228" s="72"/>
    </row>
    <row r="229" ht="22.5" customHeight="1">
      <c r="A229" s="7">
        <v>227.0</v>
      </c>
      <c r="B229" s="32" t="b">
        <v>0</v>
      </c>
      <c r="C229" s="69"/>
      <c r="D229" s="70"/>
      <c r="E229" s="70"/>
      <c r="F229" s="71"/>
      <c r="G229" s="32"/>
      <c r="H229" s="32"/>
      <c r="I229" s="72"/>
    </row>
    <row r="230" ht="22.5" customHeight="1">
      <c r="A230" s="7">
        <v>228.0</v>
      </c>
      <c r="B230" s="32" t="b">
        <v>0</v>
      </c>
      <c r="C230" s="69"/>
      <c r="D230" s="70"/>
      <c r="E230" s="70"/>
      <c r="F230" s="71"/>
      <c r="G230" s="32"/>
      <c r="H230" s="32"/>
      <c r="I230" s="72"/>
    </row>
    <row r="231" ht="22.5" customHeight="1">
      <c r="A231" s="7">
        <v>229.0</v>
      </c>
      <c r="B231" s="32" t="b">
        <v>0</v>
      </c>
      <c r="C231" s="69"/>
      <c r="D231" s="70"/>
      <c r="E231" s="70"/>
      <c r="F231" s="71"/>
      <c r="G231" s="32"/>
      <c r="H231" s="32"/>
      <c r="I231" s="72"/>
    </row>
    <row r="232" ht="22.5" customHeight="1">
      <c r="A232" s="7">
        <v>230.0</v>
      </c>
      <c r="B232" s="32" t="b">
        <v>0</v>
      </c>
      <c r="C232" s="69"/>
      <c r="D232" s="70"/>
      <c r="E232" s="70"/>
      <c r="F232" s="71"/>
      <c r="G232" s="32"/>
      <c r="H232" s="32"/>
      <c r="I232" s="72"/>
    </row>
    <row r="233" ht="22.5" customHeight="1">
      <c r="A233" s="7">
        <v>231.0</v>
      </c>
      <c r="B233" s="32" t="b">
        <v>0</v>
      </c>
      <c r="C233" s="69"/>
      <c r="D233" s="70"/>
      <c r="E233" s="70"/>
      <c r="F233" s="71"/>
      <c r="G233" s="32"/>
      <c r="H233" s="32"/>
      <c r="I233" s="72"/>
    </row>
    <row r="234" ht="22.5" customHeight="1">
      <c r="A234" s="7">
        <v>232.0</v>
      </c>
      <c r="B234" s="32" t="b">
        <v>0</v>
      </c>
      <c r="C234" s="69"/>
      <c r="D234" s="70"/>
      <c r="E234" s="70"/>
      <c r="F234" s="71"/>
      <c r="G234" s="32"/>
      <c r="H234" s="32"/>
      <c r="I234" s="72"/>
    </row>
    <row r="235" ht="22.5" customHeight="1">
      <c r="A235" s="7">
        <v>233.0</v>
      </c>
      <c r="B235" s="32" t="b">
        <v>0</v>
      </c>
      <c r="C235" s="69"/>
      <c r="D235" s="70"/>
      <c r="E235" s="70"/>
      <c r="F235" s="71"/>
      <c r="G235" s="32"/>
      <c r="H235" s="32"/>
      <c r="I235" s="72"/>
    </row>
    <row r="236" ht="22.5" customHeight="1">
      <c r="A236" s="7">
        <v>234.0</v>
      </c>
      <c r="B236" s="32" t="b">
        <v>0</v>
      </c>
      <c r="C236" s="69"/>
      <c r="D236" s="70"/>
      <c r="E236" s="70"/>
      <c r="F236" s="71"/>
      <c r="G236" s="32"/>
      <c r="H236" s="32"/>
      <c r="I236" s="72"/>
    </row>
    <row r="237" ht="22.5" customHeight="1">
      <c r="A237" s="7">
        <v>235.0</v>
      </c>
      <c r="B237" s="32" t="b">
        <v>0</v>
      </c>
      <c r="C237" s="69"/>
      <c r="D237" s="70"/>
      <c r="E237" s="70"/>
      <c r="F237" s="71"/>
      <c r="G237" s="32"/>
      <c r="H237" s="32"/>
      <c r="I237" s="72"/>
    </row>
    <row r="238" ht="22.5" customHeight="1">
      <c r="A238" s="7">
        <v>236.0</v>
      </c>
      <c r="B238" s="32" t="b">
        <v>0</v>
      </c>
      <c r="C238" s="69"/>
      <c r="D238" s="70"/>
      <c r="E238" s="70"/>
      <c r="F238" s="71"/>
      <c r="G238" s="32"/>
      <c r="H238" s="32"/>
      <c r="I238" s="72"/>
    </row>
    <row r="239" ht="22.5" customHeight="1">
      <c r="A239" s="7">
        <v>237.0</v>
      </c>
      <c r="B239" s="32" t="b">
        <v>0</v>
      </c>
      <c r="C239" s="69"/>
      <c r="D239" s="70"/>
      <c r="E239" s="70"/>
      <c r="F239" s="71"/>
      <c r="G239" s="32"/>
      <c r="H239" s="32"/>
      <c r="I239" s="72"/>
    </row>
    <row r="240" ht="22.5" customHeight="1">
      <c r="A240" s="7">
        <v>238.0</v>
      </c>
      <c r="B240" s="32" t="b">
        <v>0</v>
      </c>
      <c r="C240" s="69"/>
      <c r="D240" s="70"/>
      <c r="E240" s="70"/>
      <c r="F240" s="71"/>
      <c r="G240" s="32"/>
      <c r="H240" s="32"/>
      <c r="I240" s="72"/>
    </row>
    <row r="241" ht="22.5" customHeight="1">
      <c r="A241" s="7">
        <v>239.0</v>
      </c>
      <c r="B241" s="32" t="b">
        <v>0</v>
      </c>
      <c r="C241" s="69"/>
      <c r="D241" s="70"/>
      <c r="E241" s="70"/>
      <c r="F241" s="71"/>
      <c r="G241" s="32"/>
      <c r="H241" s="32"/>
      <c r="I241" s="72"/>
    </row>
    <row r="242" ht="22.5" customHeight="1">
      <c r="A242" s="7">
        <v>240.0</v>
      </c>
      <c r="B242" s="32" t="b">
        <v>0</v>
      </c>
      <c r="C242" s="69"/>
      <c r="D242" s="70"/>
      <c r="E242" s="70"/>
      <c r="F242" s="71"/>
      <c r="G242" s="32"/>
      <c r="H242" s="32"/>
      <c r="I242" s="72"/>
    </row>
    <row r="243" ht="22.5" customHeight="1">
      <c r="A243" s="7">
        <v>241.0</v>
      </c>
      <c r="B243" s="32" t="b">
        <v>0</v>
      </c>
      <c r="C243" s="69"/>
      <c r="D243" s="70"/>
      <c r="E243" s="70"/>
      <c r="F243" s="71"/>
      <c r="G243" s="32"/>
      <c r="H243" s="32"/>
      <c r="I243" s="72"/>
    </row>
    <row r="244" ht="22.5" customHeight="1">
      <c r="A244" s="7">
        <v>242.0</v>
      </c>
      <c r="B244" s="32" t="b">
        <v>0</v>
      </c>
      <c r="C244" s="69"/>
      <c r="D244" s="70"/>
      <c r="E244" s="70"/>
      <c r="F244" s="71"/>
      <c r="G244" s="32"/>
      <c r="H244" s="32"/>
      <c r="I244" s="72"/>
    </row>
    <row r="245" ht="22.5" customHeight="1">
      <c r="A245" s="7">
        <v>243.0</v>
      </c>
      <c r="B245" s="32" t="b">
        <v>0</v>
      </c>
      <c r="C245" s="69"/>
      <c r="D245" s="70"/>
      <c r="E245" s="70"/>
      <c r="F245" s="71"/>
      <c r="G245" s="32"/>
      <c r="H245" s="32"/>
      <c r="I245" s="72"/>
    </row>
    <row r="246" ht="22.5" customHeight="1">
      <c r="A246" s="7">
        <v>244.0</v>
      </c>
      <c r="B246" s="32" t="b">
        <v>0</v>
      </c>
      <c r="C246" s="69"/>
      <c r="D246" s="70"/>
      <c r="E246" s="70"/>
      <c r="F246" s="71"/>
      <c r="G246" s="32"/>
      <c r="H246" s="32"/>
      <c r="I246" s="72"/>
    </row>
    <row r="247" ht="22.5" customHeight="1">
      <c r="A247" s="7">
        <v>245.0</v>
      </c>
      <c r="B247" s="32" t="b">
        <v>0</v>
      </c>
      <c r="C247" s="69"/>
      <c r="D247" s="70"/>
      <c r="E247" s="70"/>
      <c r="F247" s="71"/>
      <c r="G247" s="32"/>
      <c r="H247" s="32"/>
      <c r="I247" s="72"/>
    </row>
    <row r="248" ht="22.5" customHeight="1">
      <c r="A248" s="7">
        <v>246.0</v>
      </c>
      <c r="B248" s="32" t="b">
        <v>0</v>
      </c>
      <c r="C248" s="69"/>
      <c r="D248" s="70"/>
      <c r="E248" s="70"/>
      <c r="F248" s="71"/>
      <c r="G248" s="32"/>
      <c r="H248" s="32"/>
      <c r="I248" s="72"/>
    </row>
    <row r="249" ht="22.5" customHeight="1">
      <c r="A249" s="7">
        <v>247.0</v>
      </c>
      <c r="B249" s="32" t="b">
        <v>0</v>
      </c>
      <c r="C249" s="69"/>
      <c r="D249" s="70"/>
      <c r="E249" s="70"/>
      <c r="F249" s="71"/>
      <c r="G249" s="32"/>
      <c r="H249" s="32"/>
      <c r="I249" s="72"/>
    </row>
    <row r="250" ht="22.5" customHeight="1">
      <c r="A250" s="7">
        <v>248.0</v>
      </c>
      <c r="B250" s="32" t="b">
        <v>0</v>
      </c>
      <c r="C250" s="69"/>
      <c r="D250" s="70"/>
      <c r="E250" s="70"/>
      <c r="F250" s="71"/>
      <c r="G250" s="32"/>
      <c r="H250" s="32"/>
      <c r="I250" s="72"/>
    </row>
    <row r="251" ht="22.5" customHeight="1">
      <c r="A251" s="7">
        <v>249.0</v>
      </c>
      <c r="B251" s="32" t="b">
        <v>0</v>
      </c>
      <c r="C251" s="69"/>
      <c r="D251" s="70"/>
      <c r="E251" s="70"/>
      <c r="F251" s="71"/>
      <c r="G251" s="32"/>
      <c r="H251" s="32"/>
      <c r="I251" s="72"/>
    </row>
    <row r="252" ht="22.5" customHeight="1">
      <c r="A252" s="7">
        <v>250.0</v>
      </c>
      <c r="B252" s="32" t="b">
        <v>0</v>
      </c>
      <c r="C252" s="69"/>
      <c r="D252" s="70"/>
      <c r="E252" s="70"/>
      <c r="F252" s="71"/>
      <c r="G252" s="32"/>
      <c r="H252" s="32"/>
      <c r="I252" s="72"/>
    </row>
    <row r="253" ht="22.5" customHeight="1">
      <c r="A253" s="7">
        <v>251.0</v>
      </c>
      <c r="B253" s="32" t="b">
        <v>0</v>
      </c>
      <c r="C253" s="69"/>
      <c r="D253" s="70"/>
      <c r="E253" s="70"/>
      <c r="F253" s="71"/>
      <c r="G253" s="32"/>
      <c r="H253" s="32"/>
      <c r="I253" s="72"/>
    </row>
    <row r="254" ht="22.5" customHeight="1">
      <c r="A254" s="7">
        <v>252.0</v>
      </c>
      <c r="B254" s="32" t="b">
        <v>0</v>
      </c>
      <c r="C254" s="69"/>
      <c r="D254" s="70"/>
      <c r="E254" s="70"/>
      <c r="F254" s="71"/>
      <c r="G254" s="32"/>
      <c r="H254" s="32"/>
      <c r="I254" s="72"/>
    </row>
    <row r="255" ht="22.5" customHeight="1">
      <c r="A255" s="7">
        <v>253.0</v>
      </c>
      <c r="B255" s="32" t="b">
        <v>0</v>
      </c>
      <c r="C255" s="69"/>
      <c r="D255" s="70"/>
      <c r="E255" s="70"/>
      <c r="F255" s="71"/>
      <c r="G255" s="32"/>
      <c r="H255" s="32"/>
      <c r="I255" s="72"/>
    </row>
    <row r="256" ht="22.5" customHeight="1">
      <c r="A256" s="7">
        <v>254.0</v>
      </c>
      <c r="B256" s="32" t="b">
        <v>0</v>
      </c>
      <c r="C256" s="69"/>
      <c r="D256" s="70"/>
      <c r="E256" s="70"/>
      <c r="F256" s="71"/>
      <c r="G256" s="32"/>
      <c r="H256" s="32"/>
      <c r="I256" s="72"/>
    </row>
    <row r="257" ht="22.5" customHeight="1">
      <c r="A257" s="7">
        <v>255.0</v>
      </c>
      <c r="B257" s="32" t="b">
        <v>0</v>
      </c>
      <c r="C257" s="69"/>
      <c r="D257" s="70"/>
      <c r="E257" s="70"/>
      <c r="F257" s="71"/>
      <c r="G257" s="32"/>
      <c r="H257" s="32"/>
      <c r="I257" s="72"/>
    </row>
    <row r="258" ht="22.5" customHeight="1">
      <c r="A258" s="7">
        <v>256.0</v>
      </c>
      <c r="B258" s="32" t="b">
        <v>0</v>
      </c>
      <c r="C258" s="69"/>
      <c r="D258" s="70"/>
      <c r="E258" s="70"/>
      <c r="F258" s="71"/>
      <c r="G258" s="32"/>
      <c r="H258" s="32"/>
      <c r="I258" s="72"/>
    </row>
    <row r="259" ht="22.5" customHeight="1">
      <c r="A259" s="7">
        <v>257.0</v>
      </c>
      <c r="B259" s="32" t="b">
        <v>0</v>
      </c>
      <c r="C259" s="69"/>
      <c r="D259" s="70"/>
      <c r="E259" s="70"/>
      <c r="F259" s="71"/>
      <c r="G259" s="32"/>
      <c r="H259" s="32"/>
      <c r="I259" s="72"/>
    </row>
    <row r="260" ht="22.5" customHeight="1">
      <c r="A260" s="7">
        <v>258.0</v>
      </c>
      <c r="B260" s="32" t="b">
        <v>0</v>
      </c>
      <c r="C260" s="69"/>
      <c r="D260" s="70"/>
      <c r="E260" s="70"/>
      <c r="F260" s="71"/>
      <c r="G260" s="32"/>
      <c r="H260" s="32"/>
      <c r="I260" s="72"/>
    </row>
    <row r="261" ht="22.5" customHeight="1">
      <c r="A261" s="7">
        <v>259.0</v>
      </c>
      <c r="B261" s="32" t="b">
        <v>0</v>
      </c>
      <c r="C261" s="69"/>
      <c r="D261" s="70"/>
      <c r="E261" s="70"/>
      <c r="F261" s="71"/>
      <c r="G261" s="32"/>
      <c r="H261" s="32"/>
      <c r="I261" s="72"/>
    </row>
    <row r="262" ht="22.5" customHeight="1">
      <c r="A262" s="7">
        <v>260.0</v>
      </c>
      <c r="B262" s="32" t="b">
        <v>0</v>
      </c>
      <c r="C262" s="69"/>
      <c r="D262" s="70"/>
      <c r="E262" s="70"/>
      <c r="F262" s="71"/>
      <c r="G262" s="32"/>
      <c r="H262" s="32"/>
      <c r="I262" s="72"/>
    </row>
    <row r="263" ht="22.5" customHeight="1">
      <c r="A263" s="7">
        <v>261.0</v>
      </c>
      <c r="B263" s="32" t="b">
        <v>0</v>
      </c>
      <c r="C263" s="69"/>
      <c r="D263" s="70"/>
      <c r="E263" s="70"/>
      <c r="F263" s="71"/>
      <c r="G263" s="32"/>
      <c r="H263" s="32"/>
      <c r="I263" s="72"/>
    </row>
    <row r="264" ht="22.5" customHeight="1">
      <c r="A264" s="7">
        <v>262.0</v>
      </c>
      <c r="B264" s="32" t="b">
        <v>0</v>
      </c>
      <c r="C264" s="69"/>
      <c r="D264" s="70"/>
      <c r="E264" s="70"/>
      <c r="F264" s="71"/>
      <c r="G264" s="32"/>
      <c r="H264" s="32"/>
      <c r="I264" s="72"/>
    </row>
    <row r="265" ht="22.5" customHeight="1">
      <c r="A265" s="7">
        <v>263.0</v>
      </c>
      <c r="B265" s="32" t="b">
        <v>0</v>
      </c>
      <c r="C265" s="69"/>
      <c r="D265" s="70"/>
      <c r="E265" s="70"/>
      <c r="F265" s="71"/>
      <c r="G265" s="32"/>
      <c r="H265" s="32"/>
      <c r="I265" s="72"/>
    </row>
    <row r="266" ht="22.5" customHeight="1">
      <c r="A266" s="7">
        <v>264.0</v>
      </c>
      <c r="B266" s="32" t="b">
        <v>0</v>
      </c>
      <c r="C266" s="69"/>
      <c r="D266" s="70"/>
      <c r="E266" s="70"/>
      <c r="F266" s="71"/>
      <c r="G266" s="32"/>
      <c r="H266" s="32"/>
      <c r="I266" s="72"/>
    </row>
    <row r="267" ht="22.5" customHeight="1">
      <c r="A267" s="7">
        <v>265.0</v>
      </c>
      <c r="B267" s="32" t="b">
        <v>0</v>
      </c>
      <c r="C267" s="69"/>
      <c r="D267" s="70"/>
      <c r="E267" s="70"/>
      <c r="F267" s="71"/>
      <c r="G267" s="32"/>
      <c r="H267" s="32"/>
      <c r="I267" s="72"/>
    </row>
    <row r="268" ht="22.5" customHeight="1">
      <c r="A268" s="7">
        <v>266.0</v>
      </c>
      <c r="B268" s="32" t="b">
        <v>0</v>
      </c>
      <c r="C268" s="69"/>
      <c r="D268" s="70"/>
      <c r="E268" s="70"/>
      <c r="F268" s="71"/>
      <c r="G268" s="32"/>
      <c r="H268" s="32"/>
      <c r="I268" s="72"/>
    </row>
    <row r="269" ht="22.5" customHeight="1">
      <c r="A269" s="7">
        <v>267.0</v>
      </c>
      <c r="B269" s="32" t="b">
        <v>0</v>
      </c>
      <c r="C269" s="69"/>
      <c r="D269" s="70"/>
      <c r="E269" s="70"/>
      <c r="F269" s="71"/>
      <c r="G269" s="32"/>
      <c r="H269" s="32"/>
      <c r="I269" s="72"/>
    </row>
    <row r="270" ht="22.5" customHeight="1">
      <c r="A270" s="7">
        <v>268.0</v>
      </c>
      <c r="B270" s="32" t="b">
        <v>0</v>
      </c>
      <c r="C270" s="69"/>
      <c r="D270" s="70"/>
      <c r="E270" s="70"/>
      <c r="F270" s="71"/>
      <c r="G270" s="32"/>
      <c r="H270" s="32"/>
      <c r="I270" s="72"/>
    </row>
    <row r="271" ht="22.5" customHeight="1">
      <c r="A271" s="7">
        <v>269.0</v>
      </c>
      <c r="B271" s="32" t="b">
        <v>0</v>
      </c>
      <c r="C271" s="69"/>
      <c r="D271" s="70"/>
      <c r="E271" s="70"/>
      <c r="F271" s="71"/>
      <c r="G271" s="32"/>
      <c r="H271" s="32"/>
      <c r="I271" s="72"/>
    </row>
    <row r="272" ht="22.5" customHeight="1">
      <c r="A272" s="7">
        <v>270.0</v>
      </c>
      <c r="B272" s="32" t="b">
        <v>0</v>
      </c>
      <c r="C272" s="69"/>
      <c r="D272" s="70"/>
      <c r="E272" s="70"/>
      <c r="F272" s="71"/>
      <c r="G272" s="32"/>
      <c r="H272" s="32"/>
      <c r="I272" s="72"/>
    </row>
    <row r="273" ht="22.5" customHeight="1">
      <c r="A273" s="7">
        <v>271.0</v>
      </c>
      <c r="B273" s="32" t="b">
        <v>0</v>
      </c>
      <c r="C273" s="69"/>
      <c r="D273" s="70"/>
      <c r="E273" s="70"/>
      <c r="F273" s="71"/>
      <c r="G273" s="32"/>
      <c r="H273" s="32"/>
      <c r="I273" s="72"/>
    </row>
    <row r="274" ht="22.5" customHeight="1">
      <c r="A274" s="7">
        <v>272.0</v>
      </c>
      <c r="B274" s="32" t="b">
        <v>0</v>
      </c>
      <c r="C274" s="69"/>
      <c r="D274" s="70"/>
      <c r="E274" s="70"/>
      <c r="F274" s="71"/>
      <c r="G274" s="32"/>
      <c r="H274" s="32"/>
      <c r="I274" s="72"/>
    </row>
    <row r="275" ht="22.5" customHeight="1">
      <c r="A275" s="7">
        <v>273.0</v>
      </c>
      <c r="B275" s="32" t="b">
        <v>0</v>
      </c>
      <c r="C275" s="69"/>
      <c r="D275" s="70"/>
      <c r="E275" s="70"/>
      <c r="F275" s="71"/>
      <c r="G275" s="32"/>
      <c r="H275" s="32"/>
      <c r="I275" s="72"/>
    </row>
    <row r="276" ht="22.5" customHeight="1">
      <c r="A276" s="7">
        <v>274.0</v>
      </c>
      <c r="B276" s="32" t="b">
        <v>0</v>
      </c>
      <c r="C276" s="69"/>
      <c r="D276" s="70"/>
      <c r="E276" s="70"/>
      <c r="F276" s="71"/>
      <c r="G276" s="32"/>
      <c r="H276" s="32"/>
      <c r="I276" s="72"/>
    </row>
    <row r="277" ht="22.5" customHeight="1">
      <c r="A277" s="7">
        <v>275.0</v>
      </c>
      <c r="B277" s="32" t="b">
        <v>0</v>
      </c>
      <c r="C277" s="69"/>
      <c r="D277" s="70"/>
      <c r="E277" s="70"/>
      <c r="F277" s="71"/>
      <c r="G277" s="32"/>
      <c r="H277" s="32"/>
      <c r="I277" s="72"/>
    </row>
    <row r="278" ht="22.5" customHeight="1">
      <c r="A278" s="7">
        <v>276.0</v>
      </c>
      <c r="B278" s="32" t="b">
        <v>0</v>
      </c>
      <c r="C278" s="69"/>
      <c r="D278" s="70"/>
      <c r="E278" s="70"/>
      <c r="F278" s="71"/>
      <c r="G278" s="32"/>
      <c r="H278" s="32"/>
      <c r="I278" s="72"/>
    </row>
    <row r="279" ht="22.5" customHeight="1">
      <c r="A279" s="7">
        <v>277.0</v>
      </c>
      <c r="B279" s="32" t="b">
        <v>0</v>
      </c>
      <c r="C279" s="69"/>
      <c r="D279" s="70"/>
      <c r="E279" s="70"/>
      <c r="F279" s="71"/>
      <c r="G279" s="32"/>
      <c r="H279" s="32"/>
      <c r="I279" s="72"/>
    </row>
    <row r="280" ht="22.5" customHeight="1">
      <c r="A280" s="7">
        <v>278.0</v>
      </c>
      <c r="B280" s="32" t="b">
        <v>0</v>
      </c>
      <c r="C280" s="69"/>
      <c r="D280" s="70"/>
      <c r="E280" s="70"/>
      <c r="F280" s="71"/>
      <c r="G280" s="32"/>
      <c r="H280" s="32"/>
      <c r="I280" s="72"/>
    </row>
    <row r="281" ht="22.5" customHeight="1">
      <c r="A281" s="7">
        <v>279.0</v>
      </c>
      <c r="B281" s="32" t="b">
        <v>0</v>
      </c>
      <c r="C281" s="69"/>
      <c r="D281" s="70"/>
      <c r="E281" s="70"/>
      <c r="F281" s="71"/>
      <c r="G281" s="32"/>
      <c r="H281" s="32"/>
      <c r="I281" s="72"/>
    </row>
    <row r="282" ht="22.5" customHeight="1">
      <c r="A282" s="7">
        <v>280.0</v>
      </c>
      <c r="B282" s="32" t="b">
        <v>0</v>
      </c>
      <c r="C282" s="69"/>
      <c r="D282" s="70"/>
      <c r="E282" s="70"/>
      <c r="F282" s="71"/>
      <c r="G282" s="32"/>
      <c r="H282" s="32"/>
      <c r="I282" s="72"/>
    </row>
    <row r="283" ht="22.5" customHeight="1">
      <c r="A283" s="7">
        <v>281.0</v>
      </c>
      <c r="B283" s="32" t="b">
        <v>0</v>
      </c>
      <c r="C283" s="69"/>
      <c r="D283" s="70"/>
      <c r="E283" s="70"/>
      <c r="F283" s="71"/>
      <c r="G283" s="32"/>
      <c r="H283" s="32"/>
      <c r="I283" s="72"/>
    </row>
    <row r="284" ht="22.5" customHeight="1">
      <c r="A284" s="7">
        <v>282.0</v>
      </c>
      <c r="B284" s="32" t="b">
        <v>0</v>
      </c>
      <c r="C284" s="69"/>
      <c r="D284" s="70"/>
      <c r="E284" s="70"/>
      <c r="F284" s="71"/>
      <c r="G284" s="32"/>
      <c r="H284" s="32"/>
      <c r="I284" s="72"/>
    </row>
    <row r="285" ht="22.5" customHeight="1">
      <c r="A285" s="7">
        <v>283.0</v>
      </c>
      <c r="B285" s="32" t="b">
        <v>0</v>
      </c>
      <c r="C285" s="69"/>
      <c r="D285" s="70"/>
      <c r="E285" s="70"/>
      <c r="F285" s="71"/>
      <c r="G285" s="32"/>
      <c r="H285" s="32"/>
      <c r="I285" s="72"/>
    </row>
    <row r="286" ht="22.5" customHeight="1">
      <c r="A286" s="7">
        <v>284.0</v>
      </c>
      <c r="B286" s="32" t="b">
        <v>0</v>
      </c>
      <c r="C286" s="69"/>
      <c r="D286" s="70"/>
      <c r="E286" s="70"/>
      <c r="F286" s="71"/>
      <c r="G286" s="32"/>
      <c r="H286" s="32"/>
      <c r="I286" s="72"/>
    </row>
    <row r="287" ht="22.5" customHeight="1">
      <c r="A287" s="7">
        <v>285.0</v>
      </c>
      <c r="B287" s="32" t="b">
        <v>0</v>
      </c>
      <c r="C287" s="69"/>
      <c r="D287" s="70"/>
      <c r="E287" s="70"/>
      <c r="F287" s="71"/>
      <c r="G287" s="32"/>
      <c r="H287" s="32"/>
      <c r="I287" s="72"/>
    </row>
    <row r="288" ht="22.5" customHeight="1">
      <c r="A288" s="7">
        <v>286.0</v>
      </c>
      <c r="B288" s="32" t="b">
        <v>0</v>
      </c>
      <c r="C288" s="69"/>
      <c r="D288" s="70"/>
      <c r="E288" s="70"/>
      <c r="F288" s="71"/>
      <c r="G288" s="32"/>
      <c r="H288" s="32"/>
      <c r="I288" s="72"/>
    </row>
    <row r="289" ht="22.5" customHeight="1">
      <c r="A289" s="7">
        <v>287.0</v>
      </c>
      <c r="B289" s="32" t="b">
        <v>0</v>
      </c>
      <c r="C289" s="69"/>
      <c r="D289" s="70"/>
      <c r="E289" s="70"/>
      <c r="F289" s="71"/>
      <c r="G289" s="32"/>
      <c r="H289" s="32"/>
      <c r="I289" s="72"/>
    </row>
    <row r="290" ht="22.5" customHeight="1">
      <c r="A290" s="7">
        <v>288.0</v>
      </c>
      <c r="B290" s="32" t="b">
        <v>0</v>
      </c>
      <c r="C290" s="69"/>
      <c r="D290" s="70"/>
      <c r="E290" s="70"/>
      <c r="F290" s="71"/>
      <c r="G290" s="32"/>
      <c r="H290" s="32"/>
      <c r="I290" s="72"/>
    </row>
    <row r="291" ht="22.5" customHeight="1">
      <c r="A291" s="7">
        <v>289.0</v>
      </c>
      <c r="B291" s="32" t="b">
        <v>0</v>
      </c>
      <c r="C291" s="69"/>
      <c r="D291" s="70"/>
      <c r="E291" s="70"/>
      <c r="F291" s="71"/>
      <c r="G291" s="32"/>
      <c r="H291" s="32"/>
      <c r="I291" s="72"/>
    </row>
    <row r="292" ht="22.5" customHeight="1">
      <c r="A292" s="7">
        <v>290.0</v>
      </c>
      <c r="B292" s="32" t="b">
        <v>0</v>
      </c>
      <c r="C292" s="69"/>
      <c r="D292" s="70"/>
      <c r="E292" s="70"/>
      <c r="F292" s="71"/>
      <c r="G292" s="32"/>
      <c r="H292" s="32"/>
      <c r="I292" s="72"/>
    </row>
    <row r="293" ht="22.5" customHeight="1">
      <c r="A293" s="7">
        <v>291.0</v>
      </c>
      <c r="B293" s="32" t="b">
        <v>0</v>
      </c>
      <c r="C293" s="69"/>
      <c r="D293" s="70"/>
      <c r="E293" s="70"/>
      <c r="F293" s="71"/>
      <c r="G293" s="32"/>
      <c r="H293" s="32"/>
      <c r="I293" s="72"/>
    </row>
    <row r="294" ht="22.5" customHeight="1">
      <c r="A294" s="7">
        <v>292.0</v>
      </c>
      <c r="B294" s="32" t="b">
        <v>0</v>
      </c>
      <c r="C294" s="69"/>
      <c r="D294" s="70"/>
      <c r="E294" s="70"/>
      <c r="F294" s="71"/>
      <c r="G294" s="32"/>
      <c r="H294" s="32"/>
      <c r="I294" s="72"/>
    </row>
    <row r="295" ht="22.5" customHeight="1">
      <c r="A295" s="7">
        <v>293.0</v>
      </c>
      <c r="B295" s="32" t="b">
        <v>0</v>
      </c>
      <c r="C295" s="69"/>
      <c r="D295" s="70"/>
      <c r="E295" s="70"/>
      <c r="F295" s="71"/>
      <c r="G295" s="32"/>
      <c r="H295" s="32"/>
      <c r="I295" s="72"/>
    </row>
    <row r="296" ht="22.5" customHeight="1">
      <c r="A296" s="7">
        <v>294.0</v>
      </c>
      <c r="B296" s="32" t="b">
        <v>0</v>
      </c>
      <c r="C296" s="69"/>
      <c r="D296" s="70"/>
      <c r="E296" s="70"/>
      <c r="F296" s="71"/>
      <c r="G296" s="32"/>
      <c r="H296" s="32"/>
      <c r="I296" s="72"/>
    </row>
    <row r="297" ht="22.5" customHeight="1">
      <c r="A297" s="7">
        <v>295.0</v>
      </c>
      <c r="B297" s="32" t="b">
        <v>0</v>
      </c>
      <c r="C297" s="69"/>
      <c r="D297" s="70"/>
      <c r="E297" s="70"/>
      <c r="F297" s="71"/>
      <c r="G297" s="32"/>
      <c r="H297" s="32"/>
      <c r="I297" s="72"/>
    </row>
    <row r="298" ht="22.5" customHeight="1">
      <c r="A298" s="7">
        <v>296.0</v>
      </c>
      <c r="B298" s="32" t="b">
        <v>0</v>
      </c>
      <c r="C298" s="69"/>
      <c r="D298" s="70"/>
      <c r="E298" s="70"/>
      <c r="F298" s="71"/>
      <c r="G298" s="32"/>
      <c r="H298" s="32"/>
      <c r="I298" s="72"/>
    </row>
    <row r="299" ht="22.5" customHeight="1">
      <c r="A299" s="7">
        <v>297.0</v>
      </c>
      <c r="B299" s="32" t="b">
        <v>0</v>
      </c>
      <c r="C299" s="69"/>
      <c r="D299" s="70"/>
      <c r="E299" s="70"/>
      <c r="F299" s="71"/>
      <c r="G299" s="32"/>
      <c r="H299" s="32"/>
      <c r="I299" s="72"/>
    </row>
    <row r="300" ht="22.5" customHeight="1">
      <c r="A300" s="7">
        <v>298.0</v>
      </c>
      <c r="B300" s="32" t="b">
        <v>0</v>
      </c>
      <c r="C300" s="69"/>
      <c r="D300" s="70"/>
      <c r="E300" s="70"/>
      <c r="F300" s="71"/>
      <c r="G300" s="32"/>
      <c r="H300" s="32"/>
      <c r="I300" s="72"/>
    </row>
    <row r="301" ht="22.5" customHeight="1">
      <c r="A301" s="7">
        <v>299.0</v>
      </c>
      <c r="B301" s="32" t="b">
        <v>0</v>
      </c>
      <c r="C301" s="69"/>
      <c r="D301" s="70"/>
      <c r="E301" s="70"/>
      <c r="F301" s="71"/>
      <c r="G301" s="32"/>
      <c r="H301" s="32"/>
      <c r="I301" s="72"/>
    </row>
    <row r="302" ht="22.5" customHeight="1">
      <c r="A302" s="7">
        <v>300.0</v>
      </c>
      <c r="B302" s="32" t="b">
        <v>0</v>
      </c>
      <c r="C302" s="69"/>
      <c r="D302" s="70"/>
      <c r="E302" s="70"/>
      <c r="F302" s="71"/>
      <c r="G302" s="32"/>
      <c r="H302" s="32"/>
      <c r="I302" s="72"/>
    </row>
    <row r="303" ht="22.5" customHeight="1">
      <c r="A303" s="7">
        <v>301.0</v>
      </c>
      <c r="B303" s="32" t="b">
        <v>0</v>
      </c>
      <c r="C303" s="69"/>
      <c r="D303" s="70"/>
      <c r="E303" s="70"/>
      <c r="F303" s="71"/>
      <c r="G303" s="32"/>
      <c r="H303" s="32"/>
      <c r="I303" s="72"/>
    </row>
    <row r="304" ht="22.5" customHeight="1">
      <c r="A304" s="7">
        <v>302.0</v>
      </c>
      <c r="B304" s="32" t="b">
        <v>0</v>
      </c>
      <c r="C304" s="69"/>
      <c r="D304" s="70"/>
      <c r="E304" s="70"/>
      <c r="F304" s="71"/>
      <c r="G304" s="32"/>
      <c r="H304" s="32"/>
      <c r="I304" s="72"/>
    </row>
    <row r="305" ht="22.5" customHeight="1">
      <c r="A305" s="7">
        <v>303.0</v>
      </c>
      <c r="B305" s="32" t="b">
        <v>0</v>
      </c>
      <c r="C305" s="69"/>
      <c r="D305" s="70"/>
      <c r="E305" s="70"/>
      <c r="F305" s="71"/>
      <c r="G305" s="32"/>
      <c r="H305" s="32"/>
      <c r="I305" s="72"/>
    </row>
    <row r="306" ht="22.5" customHeight="1">
      <c r="A306" s="7">
        <v>304.0</v>
      </c>
      <c r="B306" s="32" t="b">
        <v>0</v>
      </c>
      <c r="C306" s="69"/>
      <c r="D306" s="70"/>
      <c r="E306" s="70"/>
      <c r="F306" s="71"/>
      <c r="G306" s="32"/>
      <c r="H306" s="32"/>
      <c r="I306" s="72"/>
    </row>
    <row r="307" ht="22.5" customHeight="1">
      <c r="A307" s="7">
        <v>305.0</v>
      </c>
      <c r="B307" s="32" t="b">
        <v>0</v>
      </c>
      <c r="C307" s="69"/>
      <c r="D307" s="70"/>
      <c r="E307" s="70"/>
      <c r="F307" s="71"/>
      <c r="G307" s="32"/>
      <c r="H307" s="32"/>
      <c r="I307" s="72"/>
    </row>
    <row r="308" ht="22.5" customHeight="1">
      <c r="A308" s="7">
        <v>306.0</v>
      </c>
      <c r="B308" s="32" t="b">
        <v>0</v>
      </c>
      <c r="C308" s="69"/>
      <c r="D308" s="70"/>
      <c r="E308" s="70"/>
      <c r="F308" s="71"/>
      <c r="G308" s="32"/>
      <c r="H308" s="32"/>
      <c r="I308" s="72"/>
    </row>
    <row r="309" ht="22.5" customHeight="1">
      <c r="A309" s="7">
        <v>307.0</v>
      </c>
      <c r="B309" s="32" t="b">
        <v>0</v>
      </c>
      <c r="C309" s="69"/>
      <c r="D309" s="70"/>
      <c r="E309" s="70"/>
      <c r="F309" s="71"/>
      <c r="G309" s="32"/>
      <c r="H309" s="32"/>
      <c r="I309" s="72"/>
    </row>
    <row r="310" ht="22.5" customHeight="1">
      <c r="A310" s="7">
        <v>308.0</v>
      </c>
      <c r="B310" s="32" t="b">
        <v>0</v>
      </c>
      <c r="C310" s="69"/>
      <c r="D310" s="70"/>
      <c r="E310" s="70"/>
      <c r="F310" s="71"/>
      <c r="G310" s="32"/>
      <c r="H310" s="32"/>
      <c r="I310" s="72"/>
    </row>
    <row r="311" ht="22.5" customHeight="1">
      <c r="A311" s="7">
        <v>309.0</v>
      </c>
      <c r="B311" s="32" t="b">
        <v>0</v>
      </c>
      <c r="C311" s="69"/>
      <c r="D311" s="70"/>
      <c r="E311" s="70"/>
      <c r="F311" s="71"/>
      <c r="G311" s="32"/>
      <c r="H311" s="32"/>
      <c r="I311" s="72"/>
    </row>
    <row r="312" ht="22.5" customHeight="1">
      <c r="A312" s="7">
        <v>310.0</v>
      </c>
      <c r="B312" s="32"/>
      <c r="C312" s="69"/>
      <c r="D312" s="73"/>
      <c r="E312" s="73"/>
      <c r="F312" s="74"/>
      <c r="G312" s="74"/>
      <c r="H312" s="74"/>
      <c r="I312" s="75"/>
    </row>
    <row r="313" ht="22.5" customHeight="1">
      <c r="A313" s="7">
        <v>311.0</v>
      </c>
      <c r="B313" s="32"/>
      <c r="C313" s="69"/>
      <c r="D313" s="73"/>
      <c r="E313" s="73"/>
      <c r="F313" s="74"/>
      <c r="G313" s="74"/>
      <c r="H313" s="74"/>
      <c r="I313" s="75"/>
    </row>
    <row r="314" ht="22.5" customHeight="1">
      <c r="A314" s="7">
        <v>312.0</v>
      </c>
      <c r="B314" s="32"/>
      <c r="C314" s="69"/>
      <c r="D314" s="73"/>
      <c r="E314" s="73"/>
      <c r="F314" s="74"/>
      <c r="G314" s="74"/>
      <c r="H314" s="74"/>
      <c r="I314" s="75"/>
    </row>
    <row r="315" ht="22.5" customHeight="1">
      <c r="A315" s="7">
        <v>313.0</v>
      </c>
      <c r="B315" s="32"/>
      <c r="C315" s="69"/>
      <c r="D315" s="73"/>
      <c r="E315" s="73"/>
      <c r="F315" s="74"/>
      <c r="G315" s="74"/>
      <c r="H315" s="74"/>
      <c r="I315" s="75"/>
    </row>
    <row r="316" ht="22.5" customHeight="1">
      <c r="A316" s="7">
        <v>314.0</v>
      </c>
      <c r="B316" s="32"/>
      <c r="C316" s="69"/>
      <c r="D316" s="73"/>
      <c r="E316" s="73"/>
      <c r="F316" s="74"/>
      <c r="G316" s="74"/>
      <c r="H316" s="74"/>
      <c r="I316" s="75"/>
    </row>
    <row r="317" ht="22.5" customHeight="1">
      <c r="A317" s="7">
        <v>315.0</v>
      </c>
      <c r="B317" s="32"/>
      <c r="C317" s="69"/>
      <c r="D317" s="73"/>
      <c r="E317" s="73"/>
      <c r="F317" s="74"/>
      <c r="G317" s="74"/>
      <c r="H317" s="74"/>
      <c r="I317" s="75"/>
    </row>
    <row r="318" ht="22.5" customHeight="1">
      <c r="A318" s="7">
        <v>316.0</v>
      </c>
      <c r="B318" s="32"/>
      <c r="C318" s="69"/>
      <c r="D318" s="73"/>
      <c r="E318" s="73"/>
      <c r="F318" s="74"/>
      <c r="G318" s="74"/>
      <c r="H318" s="74"/>
      <c r="I318" s="75"/>
    </row>
    <row r="319" ht="22.5" customHeight="1">
      <c r="A319" s="7">
        <v>317.0</v>
      </c>
      <c r="B319" s="32"/>
      <c r="C319" s="69"/>
      <c r="D319" s="73"/>
      <c r="E319" s="73"/>
      <c r="F319" s="74"/>
      <c r="G319" s="74"/>
      <c r="H319" s="74"/>
      <c r="I319" s="75"/>
    </row>
    <row r="320" ht="22.5" customHeight="1">
      <c r="A320" s="7">
        <v>318.0</v>
      </c>
      <c r="B320" s="32"/>
      <c r="C320" s="69"/>
      <c r="D320" s="73"/>
      <c r="E320" s="73"/>
      <c r="F320" s="74"/>
      <c r="G320" s="74"/>
      <c r="H320" s="74"/>
      <c r="I320" s="75"/>
    </row>
    <row r="321" ht="22.5" customHeight="1">
      <c r="A321" s="7">
        <v>319.0</v>
      </c>
      <c r="B321" s="32"/>
      <c r="C321" s="69"/>
      <c r="D321" s="73"/>
      <c r="E321" s="73"/>
      <c r="F321" s="74"/>
      <c r="G321" s="74"/>
      <c r="H321" s="74"/>
      <c r="I321" s="75"/>
    </row>
    <row r="322" ht="22.5" customHeight="1">
      <c r="A322" s="7">
        <v>320.0</v>
      </c>
      <c r="B322" s="32"/>
      <c r="C322" s="69"/>
      <c r="D322" s="73"/>
      <c r="E322" s="73"/>
      <c r="F322" s="74"/>
      <c r="G322" s="74"/>
      <c r="H322" s="74"/>
      <c r="I322" s="75"/>
    </row>
    <row r="323" ht="22.5" customHeight="1">
      <c r="A323" s="7">
        <v>321.0</v>
      </c>
      <c r="B323" s="32"/>
      <c r="C323" s="69"/>
      <c r="D323" s="73"/>
      <c r="E323" s="73"/>
      <c r="F323" s="74"/>
      <c r="G323" s="74"/>
      <c r="H323" s="74"/>
      <c r="I323" s="75"/>
    </row>
    <row r="324" ht="22.5" customHeight="1">
      <c r="A324" s="7">
        <v>322.0</v>
      </c>
      <c r="B324" s="32"/>
      <c r="C324" s="69"/>
      <c r="D324" s="73"/>
      <c r="E324" s="73"/>
      <c r="F324" s="74"/>
      <c r="G324" s="74"/>
      <c r="H324" s="74"/>
      <c r="I324" s="75"/>
    </row>
    <row r="325" ht="22.5" customHeight="1">
      <c r="A325" s="7">
        <v>323.0</v>
      </c>
      <c r="B325" s="32"/>
      <c r="C325" s="69"/>
      <c r="D325" s="73"/>
      <c r="E325" s="73"/>
      <c r="F325" s="74"/>
      <c r="G325" s="74"/>
      <c r="H325" s="74"/>
      <c r="I325" s="75"/>
    </row>
    <row r="326" ht="22.5" customHeight="1">
      <c r="A326" s="7">
        <v>324.0</v>
      </c>
      <c r="B326" s="32"/>
      <c r="C326" s="69"/>
      <c r="D326" s="73"/>
      <c r="E326" s="73"/>
      <c r="F326" s="74"/>
      <c r="G326" s="74"/>
      <c r="H326" s="74"/>
      <c r="I326" s="75"/>
    </row>
    <row r="327" ht="22.5" customHeight="1">
      <c r="A327" s="7">
        <v>325.0</v>
      </c>
      <c r="B327" s="32"/>
      <c r="C327" s="69"/>
      <c r="D327" s="73"/>
      <c r="E327" s="73"/>
      <c r="F327" s="74"/>
      <c r="G327" s="74"/>
      <c r="H327" s="74"/>
      <c r="I327" s="75"/>
    </row>
    <row r="328" ht="22.5" customHeight="1">
      <c r="A328" s="7">
        <v>326.0</v>
      </c>
      <c r="B328" s="32"/>
      <c r="C328" s="69"/>
      <c r="D328" s="73"/>
      <c r="E328" s="73"/>
      <c r="F328" s="74"/>
      <c r="G328" s="74"/>
      <c r="H328" s="74"/>
      <c r="I328" s="75"/>
    </row>
    <row r="329" ht="22.5" customHeight="1">
      <c r="A329" s="7">
        <v>327.0</v>
      </c>
      <c r="B329" s="32"/>
      <c r="C329" s="69"/>
      <c r="D329" s="73"/>
      <c r="E329" s="73"/>
      <c r="F329" s="74"/>
      <c r="G329" s="74"/>
      <c r="H329" s="74"/>
      <c r="I329" s="75"/>
    </row>
    <row r="330" ht="22.5" customHeight="1">
      <c r="A330" s="7">
        <v>328.0</v>
      </c>
      <c r="B330" s="32"/>
      <c r="C330" s="69"/>
      <c r="D330" s="73"/>
      <c r="E330" s="73"/>
      <c r="F330" s="74"/>
      <c r="G330" s="74"/>
      <c r="H330" s="74"/>
      <c r="I330" s="75"/>
    </row>
    <row r="331" ht="22.5" customHeight="1">
      <c r="A331" s="7">
        <v>329.0</v>
      </c>
      <c r="B331" s="32"/>
      <c r="C331" s="69"/>
      <c r="D331" s="73"/>
      <c r="E331" s="73"/>
      <c r="F331" s="74"/>
      <c r="G331" s="74"/>
      <c r="H331" s="74"/>
      <c r="I331" s="75"/>
    </row>
    <row r="332" ht="22.5" customHeight="1">
      <c r="A332" s="7">
        <v>330.0</v>
      </c>
      <c r="B332" s="32"/>
      <c r="C332" s="69"/>
      <c r="D332" s="73"/>
      <c r="E332" s="73"/>
      <c r="F332" s="74"/>
      <c r="G332" s="74"/>
      <c r="H332" s="74"/>
      <c r="I332" s="75"/>
    </row>
    <row r="333" ht="22.5" customHeight="1">
      <c r="A333" s="7">
        <v>331.0</v>
      </c>
      <c r="B333" s="32"/>
      <c r="C333" s="69"/>
      <c r="D333" s="73"/>
      <c r="E333" s="73"/>
      <c r="F333" s="74"/>
      <c r="G333" s="74"/>
      <c r="H333" s="74"/>
      <c r="I333" s="75"/>
    </row>
    <row r="334" ht="22.5" customHeight="1">
      <c r="A334" s="7">
        <v>332.0</v>
      </c>
      <c r="B334" s="32"/>
      <c r="C334" s="69"/>
      <c r="D334" s="73"/>
      <c r="E334" s="73"/>
      <c r="F334" s="74"/>
      <c r="G334" s="74"/>
      <c r="H334" s="74"/>
      <c r="I334" s="75"/>
    </row>
    <row r="335" ht="22.5" customHeight="1">
      <c r="A335" s="7">
        <v>333.0</v>
      </c>
      <c r="B335" s="32"/>
      <c r="C335" s="69"/>
      <c r="D335" s="73"/>
      <c r="E335" s="73"/>
      <c r="F335" s="74"/>
      <c r="G335" s="74"/>
      <c r="H335" s="74"/>
      <c r="I335" s="75"/>
    </row>
    <row r="336" ht="22.5" customHeight="1">
      <c r="A336" s="7">
        <v>334.0</v>
      </c>
      <c r="B336" s="32"/>
      <c r="C336" s="69"/>
      <c r="D336" s="73"/>
      <c r="E336" s="73"/>
      <c r="F336" s="74"/>
      <c r="G336" s="74"/>
      <c r="H336" s="74"/>
      <c r="I336" s="75"/>
    </row>
    <row r="337" ht="22.5" customHeight="1">
      <c r="A337" s="7">
        <v>335.0</v>
      </c>
      <c r="B337" s="32"/>
      <c r="C337" s="69"/>
      <c r="D337" s="73"/>
      <c r="E337" s="73"/>
      <c r="F337" s="74"/>
      <c r="G337" s="74"/>
      <c r="H337" s="74"/>
      <c r="I337" s="75"/>
    </row>
    <row r="338" ht="22.5" customHeight="1">
      <c r="A338" s="7">
        <v>336.0</v>
      </c>
      <c r="B338" s="32"/>
      <c r="C338" s="69"/>
      <c r="D338" s="73"/>
      <c r="E338" s="73"/>
      <c r="F338" s="74"/>
      <c r="G338" s="74"/>
      <c r="H338" s="74"/>
      <c r="I338" s="75"/>
    </row>
    <row r="339" ht="22.5" customHeight="1">
      <c r="A339" s="7">
        <v>337.0</v>
      </c>
      <c r="B339" s="32"/>
      <c r="C339" s="69"/>
      <c r="D339" s="73"/>
      <c r="E339" s="73"/>
      <c r="F339" s="74"/>
      <c r="G339" s="74"/>
      <c r="H339" s="74"/>
      <c r="I339" s="75"/>
    </row>
    <row r="340" ht="22.5" customHeight="1">
      <c r="A340" s="7">
        <v>338.0</v>
      </c>
      <c r="B340" s="32"/>
      <c r="C340" s="69"/>
      <c r="D340" s="73"/>
      <c r="E340" s="73"/>
      <c r="F340" s="74"/>
      <c r="G340" s="74"/>
      <c r="H340" s="74"/>
      <c r="I340" s="75"/>
    </row>
    <row r="341" ht="22.5" customHeight="1">
      <c r="A341" s="7">
        <v>339.0</v>
      </c>
      <c r="B341" s="32"/>
      <c r="C341" s="69"/>
      <c r="D341" s="73"/>
      <c r="E341" s="73"/>
      <c r="F341" s="74"/>
      <c r="G341" s="74"/>
      <c r="H341" s="74"/>
      <c r="I341" s="75"/>
    </row>
    <row r="342" ht="22.5" customHeight="1">
      <c r="A342" s="7">
        <v>340.0</v>
      </c>
      <c r="B342" s="32"/>
      <c r="C342" s="69"/>
      <c r="D342" s="73"/>
      <c r="E342" s="73"/>
      <c r="F342" s="74"/>
      <c r="G342" s="74"/>
      <c r="H342" s="74"/>
      <c r="I342" s="75"/>
    </row>
    <row r="343" ht="22.5" customHeight="1">
      <c r="A343" s="7">
        <v>341.0</v>
      </c>
      <c r="B343" s="32"/>
      <c r="C343" s="69"/>
      <c r="D343" s="73"/>
      <c r="E343" s="73"/>
      <c r="F343" s="74"/>
      <c r="G343" s="74"/>
      <c r="H343" s="74"/>
      <c r="I343" s="75"/>
    </row>
    <row r="344" ht="22.5" customHeight="1">
      <c r="A344" s="7">
        <v>342.0</v>
      </c>
      <c r="B344" s="32"/>
      <c r="C344" s="69"/>
      <c r="D344" s="73"/>
      <c r="E344" s="73"/>
      <c r="F344" s="74"/>
      <c r="G344" s="74"/>
      <c r="H344" s="74"/>
      <c r="I344" s="75"/>
    </row>
    <row r="345" ht="22.5" customHeight="1">
      <c r="A345" s="7">
        <v>343.0</v>
      </c>
      <c r="B345" s="32"/>
      <c r="C345" s="69"/>
      <c r="D345" s="73"/>
      <c r="E345" s="73"/>
      <c r="F345" s="74"/>
      <c r="G345" s="74"/>
      <c r="H345" s="74"/>
      <c r="I345" s="75"/>
    </row>
    <row r="346" ht="22.5" customHeight="1">
      <c r="A346" s="7">
        <v>344.0</v>
      </c>
      <c r="B346" s="32"/>
      <c r="C346" s="69"/>
      <c r="D346" s="73"/>
      <c r="E346" s="73"/>
      <c r="F346" s="74"/>
      <c r="G346" s="74"/>
      <c r="H346" s="74"/>
      <c r="I346" s="75"/>
    </row>
    <row r="347" ht="22.5" customHeight="1">
      <c r="A347" s="7">
        <v>345.0</v>
      </c>
      <c r="B347" s="32"/>
      <c r="C347" s="69"/>
      <c r="D347" s="73"/>
      <c r="E347" s="73"/>
      <c r="F347" s="74"/>
      <c r="G347" s="74"/>
      <c r="H347" s="74"/>
      <c r="I347" s="75"/>
    </row>
    <row r="348" ht="22.5" customHeight="1">
      <c r="A348" s="7">
        <v>346.0</v>
      </c>
      <c r="B348" s="32"/>
      <c r="C348" s="69"/>
      <c r="D348" s="73"/>
      <c r="E348" s="73"/>
      <c r="F348" s="74"/>
      <c r="G348" s="74"/>
      <c r="H348" s="74"/>
      <c r="I348" s="75"/>
    </row>
    <row r="349" ht="22.5" customHeight="1">
      <c r="A349" s="7">
        <v>347.0</v>
      </c>
      <c r="B349" s="32"/>
      <c r="C349" s="69"/>
      <c r="D349" s="73"/>
      <c r="E349" s="73"/>
      <c r="F349" s="74"/>
      <c r="G349" s="74"/>
      <c r="H349" s="74"/>
      <c r="I349" s="75"/>
    </row>
    <row r="350" ht="22.5" customHeight="1">
      <c r="A350" s="7">
        <v>348.0</v>
      </c>
      <c r="B350" s="32"/>
      <c r="C350" s="69"/>
      <c r="D350" s="73"/>
      <c r="E350" s="73"/>
      <c r="F350" s="74"/>
      <c r="G350" s="74"/>
      <c r="H350" s="74"/>
      <c r="I350" s="75"/>
    </row>
    <row r="351" ht="22.5" customHeight="1">
      <c r="A351" s="7">
        <v>349.0</v>
      </c>
      <c r="B351" s="32"/>
      <c r="C351" s="69"/>
      <c r="D351" s="73"/>
      <c r="E351" s="73"/>
      <c r="F351" s="74"/>
      <c r="G351" s="74"/>
      <c r="H351" s="74"/>
      <c r="I351" s="75"/>
    </row>
    <row r="352" ht="22.5" customHeight="1">
      <c r="A352" s="7">
        <v>350.0</v>
      </c>
      <c r="B352" s="32"/>
      <c r="C352" s="69"/>
      <c r="D352" s="73"/>
      <c r="E352" s="73"/>
      <c r="F352" s="74"/>
      <c r="G352" s="74"/>
      <c r="H352" s="74"/>
      <c r="I352" s="75"/>
    </row>
    <row r="353" ht="22.5" customHeight="1">
      <c r="A353" s="7">
        <v>351.0</v>
      </c>
      <c r="B353" s="32"/>
      <c r="C353" s="69"/>
      <c r="D353" s="73"/>
      <c r="E353" s="73"/>
      <c r="F353" s="74"/>
      <c r="G353" s="74"/>
      <c r="H353" s="74"/>
      <c r="I353" s="75"/>
    </row>
    <row r="354" ht="22.5" customHeight="1">
      <c r="A354" s="7">
        <v>352.0</v>
      </c>
      <c r="B354" s="32"/>
      <c r="C354" s="69"/>
      <c r="D354" s="73"/>
      <c r="E354" s="73"/>
      <c r="F354" s="74"/>
      <c r="G354" s="74"/>
      <c r="H354" s="74"/>
      <c r="I354" s="75"/>
    </row>
    <row r="355" ht="22.5" customHeight="1">
      <c r="A355" s="7">
        <v>353.0</v>
      </c>
      <c r="B355" s="32"/>
      <c r="C355" s="69"/>
      <c r="D355" s="73"/>
      <c r="E355" s="73"/>
      <c r="F355" s="74"/>
      <c r="G355" s="74"/>
      <c r="H355" s="74"/>
      <c r="I355" s="75"/>
    </row>
    <row r="356" ht="22.5" customHeight="1">
      <c r="A356" s="7">
        <v>354.0</v>
      </c>
      <c r="B356" s="32"/>
      <c r="C356" s="69"/>
      <c r="D356" s="73"/>
      <c r="E356" s="73"/>
      <c r="F356" s="74"/>
      <c r="G356" s="74"/>
      <c r="H356" s="74"/>
      <c r="I356" s="75"/>
    </row>
    <row r="357" ht="22.5" customHeight="1">
      <c r="A357" s="7">
        <v>355.0</v>
      </c>
      <c r="B357" s="32"/>
      <c r="C357" s="69"/>
      <c r="D357" s="73"/>
      <c r="E357" s="73"/>
      <c r="F357" s="74"/>
      <c r="G357" s="74"/>
      <c r="H357" s="74"/>
      <c r="I357" s="75"/>
    </row>
    <row r="358" ht="22.5" customHeight="1">
      <c r="A358" s="7">
        <v>356.0</v>
      </c>
      <c r="B358" s="32"/>
      <c r="C358" s="69"/>
      <c r="D358" s="73"/>
      <c r="E358" s="73"/>
      <c r="F358" s="74"/>
      <c r="G358" s="74"/>
      <c r="H358" s="74"/>
      <c r="I358" s="75"/>
    </row>
    <row r="359" ht="22.5" customHeight="1">
      <c r="A359" s="7">
        <v>357.0</v>
      </c>
      <c r="B359" s="32"/>
      <c r="C359" s="69"/>
      <c r="D359" s="73"/>
      <c r="E359" s="73"/>
      <c r="F359" s="74"/>
      <c r="G359" s="74"/>
      <c r="H359" s="74"/>
      <c r="I359" s="75"/>
    </row>
    <row r="360" ht="22.5" customHeight="1">
      <c r="A360" s="7">
        <v>358.0</v>
      </c>
      <c r="B360" s="32"/>
      <c r="C360" s="69"/>
      <c r="D360" s="73"/>
      <c r="E360" s="73"/>
      <c r="F360" s="74"/>
      <c r="G360" s="74"/>
      <c r="H360" s="74"/>
      <c r="I360" s="75"/>
    </row>
    <row r="361" ht="22.5" customHeight="1">
      <c r="A361" s="7">
        <v>359.0</v>
      </c>
      <c r="B361" s="32"/>
      <c r="C361" s="69"/>
      <c r="D361" s="73"/>
      <c r="E361" s="73"/>
      <c r="F361" s="74"/>
      <c r="G361" s="74"/>
      <c r="H361" s="74"/>
      <c r="I361" s="75"/>
    </row>
    <row r="362" ht="22.5" customHeight="1">
      <c r="A362" s="7">
        <v>360.0</v>
      </c>
      <c r="B362" s="32"/>
      <c r="C362" s="69"/>
      <c r="D362" s="73"/>
      <c r="E362" s="73"/>
      <c r="F362" s="74"/>
      <c r="G362" s="74"/>
      <c r="H362" s="74"/>
      <c r="I362" s="75"/>
    </row>
    <row r="363" ht="22.5" customHeight="1">
      <c r="A363" s="7">
        <v>361.0</v>
      </c>
      <c r="B363" s="32"/>
      <c r="C363" s="69"/>
      <c r="D363" s="73"/>
      <c r="E363" s="73"/>
      <c r="F363" s="74"/>
      <c r="G363" s="74"/>
      <c r="H363" s="74"/>
      <c r="I363" s="75"/>
    </row>
    <row r="364" ht="22.5" customHeight="1">
      <c r="A364" s="7">
        <v>362.0</v>
      </c>
      <c r="B364" s="32"/>
      <c r="C364" s="69"/>
      <c r="D364" s="73"/>
      <c r="E364" s="73"/>
      <c r="F364" s="74"/>
      <c r="G364" s="74"/>
      <c r="H364" s="74"/>
      <c r="I364" s="75"/>
    </row>
    <row r="365" ht="22.5" customHeight="1">
      <c r="A365" s="7">
        <v>363.0</v>
      </c>
      <c r="B365" s="32"/>
      <c r="C365" s="69"/>
      <c r="D365" s="73"/>
      <c r="E365" s="73"/>
      <c r="F365" s="74"/>
      <c r="G365" s="74"/>
      <c r="H365" s="74"/>
      <c r="I365" s="75"/>
    </row>
    <row r="366" ht="22.5" customHeight="1">
      <c r="A366" s="7">
        <v>364.0</v>
      </c>
      <c r="B366" s="32"/>
      <c r="C366" s="69"/>
      <c r="D366" s="73"/>
      <c r="E366" s="73"/>
      <c r="F366" s="74"/>
      <c r="G366" s="74"/>
      <c r="H366" s="74"/>
      <c r="I366" s="75"/>
    </row>
    <row r="367" ht="22.5" customHeight="1">
      <c r="A367" s="7">
        <v>365.0</v>
      </c>
      <c r="B367" s="32"/>
      <c r="C367" s="69"/>
      <c r="D367" s="73"/>
      <c r="E367" s="73"/>
      <c r="F367" s="74"/>
      <c r="G367" s="74"/>
      <c r="H367" s="74"/>
      <c r="I367" s="75"/>
    </row>
    <row r="368" ht="22.5" customHeight="1">
      <c r="A368" s="7">
        <v>366.0</v>
      </c>
      <c r="B368" s="32"/>
      <c r="C368" s="69"/>
      <c r="D368" s="73"/>
      <c r="E368" s="73"/>
      <c r="F368" s="74"/>
      <c r="G368" s="74"/>
      <c r="H368" s="74"/>
      <c r="I368" s="75"/>
    </row>
    <row r="369" ht="22.5" customHeight="1">
      <c r="A369" s="7">
        <v>367.0</v>
      </c>
      <c r="B369" s="32"/>
      <c r="C369" s="69"/>
      <c r="D369" s="73"/>
      <c r="E369" s="73"/>
      <c r="F369" s="74"/>
      <c r="G369" s="74"/>
      <c r="H369" s="74"/>
      <c r="I369" s="75"/>
    </row>
    <row r="370" ht="22.5" customHeight="1">
      <c r="A370" s="7">
        <v>368.0</v>
      </c>
      <c r="B370" s="32"/>
      <c r="C370" s="69"/>
      <c r="D370" s="73"/>
      <c r="E370" s="73"/>
      <c r="F370" s="74"/>
      <c r="G370" s="74"/>
      <c r="H370" s="74"/>
      <c r="I370" s="75"/>
    </row>
    <row r="371" ht="22.5" customHeight="1">
      <c r="A371" s="7">
        <v>369.0</v>
      </c>
      <c r="B371" s="32"/>
      <c r="C371" s="69"/>
      <c r="D371" s="73"/>
      <c r="E371" s="73"/>
      <c r="F371" s="74"/>
      <c r="G371" s="74"/>
      <c r="H371" s="74"/>
      <c r="I371" s="75"/>
    </row>
    <row r="372" ht="22.5" customHeight="1">
      <c r="A372" s="7">
        <v>370.0</v>
      </c>
      <c r="B372" s="32"/>
      <c r="C372" s="69"/>
      <c r="D372" s="73"/>
      <c r="E372" s="73"/>
      <c r="F372" s="74"/>
      <c r="G372" s="74"/>
      <c r="H372" s="74"/>
      <c r="I372" s="75"/>
    </row>
    <row r="373" ht="22.5" customHeight="1">
      <c r="A373" s="7">
        <v>371.0</v>
      </c>
      <c r="B373" s="32"/>
      <c r="C373" s="69"/>
      <c r="D373" s="73"/>
      <c r="E373" s="73"/>
      <c r="F373" s="74"/>
      <c r="G373" s="74"/>
      <c r="H373" s="74"/>
      <c r="I373" s="75"/>
    </row>
    <row r="374" ht="22.5" customHeight="1">
      <c r="A374" s="7">
        <v>372.0</v>
      </c>
      <c r="B374" s="32"/>
      <c r="C374" s="69"/>
      <c r="D374" s="73"/>
      <c r="E374" s="73"/>
      <c r="F374" s="74"/>
      <c r="G374" s="74"/>
      <c r="H374" s="74"/>
      <c r="I374" s="75"/>
    </row>
    <row r="375" ht="22.5" customHeight="1">
      <c r="A375" s="7">
        <v>373.0</v>
      </c>
      <c r="B375" s="32"/>
      <c r="C375" s="69"/>
      <c r="D375" s="73"/>
      <c r="E375" s="73"/>
      <c r="F375" s="74"/>
      <c r="G375" s="74"/>
      <c r="H375" s="74"/>
      <c r="I375" s="75"/>
    </row>
    <row r="376" ht="22.5" customHeight="1">
      <c r="A376" s="7">
        <v>374.0</v>
      </c>
      <c r="B376" s="32"/>
      <c r="C376" s="69"/>
      <c r="D376" s="73"/>
      <c r="E376" s="73"/>
      <c r="F376" s="74"/>
      <c r="G376" s="74"/>
      <c r="H376" s="74"/>
      <c r="I376" s="75"/>
    </row>
    <row r="377" ht="22.5" customHeight="1">
      <c r="A377" s="7">
        <v>375.0</v>
      </c>
      <c r="B377" s="32"/>
      <c r="C377" s="69"/>
      <c r="D377" s="73"/>
      <c r="E377" s="73"/>
      <c r="F377" s="74"/>
      <c r="G377" s="74"/>
      <c r="H377" s="74"/>
      <c r="I377" s="75"/>
    </row>
    <row r="378" ht="22.5" customHeight="1">
      <c r="A378" s="7">
        <v>376.0</v>
      </c>
      <c r="B378" s="32"/>
      <c r="C378" s="69"/>
      <c r="D378" s="73"/>
      <c r="E378" s="73"/>
      <c r="F378" s="74"/>
      <c r="G378" s="74"/>
      <c r="H378" s="74"/>
      <c r="I378" s="75"/>
    </row>
    <row r="379" ht="22.5" customHeight="1">
      <c r="A379" s="7">
        <v>377.0</v>
      </c>
      <c r="B379" s="32"/>
      <c r="C379" s="69"/>
      <c r="D379" s="73"/>
      <c r="E379" s="73"/>
      <c r="F379" s="74"/>
      <c r="G379" s="74"/>
      <c r="H379" s="74"/>
      <c r="I379" s="75"/>
    </row>
    <row r="380" ht="22.5" customHeight="1">
      <c r="A380" s="7">
        <v>378.0</v>
      </c>
      <c r="B380" s="32"/>
      <c r="C380" s="69"/>
      <c r="D380" s="73"/>
      <c r="E380" s="73"/>
      <c r="F380" s="74"/>
      <c r="G380" s="74"/>
      <c r="H380" s="74"/>
      <c r="I380" s="75"/>
    </row>
    <row r="381" ht="22.5" customHeight="1">
      <c r="A381" s="7">
        <v>379.0</v>
      </c>
      <c r="B381" s="32"/>
      <c r="C381" s="69"/>
      <c r="D381" s="73"/>
      <c r="E381" s="73"/>
      <c r="F381" s="74"/>
      <c r="G381" s="74"/>
      <c r="H381" s="74"/>
      <c r="I381" s="75"/>
    </row>
    <row r="382" ht="22.5" customHeight="1">
      <c r="A382" s="7">
        <v>380.0</v>
      </c>
      <c r="B382" s="32"/>
      <c r="C382" s="69"/>
      <c r="D382" s="73"/>
      <c r="E382" s="73"/>
      <c r="F382" s="74"/>
      <c r="G382" s="74"/>
      <c r="H382" s="74"/>
      <c r="I382" s="75"/>
    </row>
    <row r="383" ht="22.5" customHeight="1">
      <c r="A383" s="7">
        <v>381.0</v>
      </c>
      <c r="B383" s="32"/>
      <c r="C383" s="69"/>
      <c r="D383" s="73"/>
      <c r="E383" s="73"/>
      <c r="F383" s="74"/>
      <c r="G383" s="74"/>
      <c r="H383" s="74"/>
      <c r="I383" s="75"/>
    </row>
    <row r="384" ht="22.5" customHeight="1">
      <c r="A384" s="7">
        <v>382.0</v>
      </c>
      <c r="B384" s="32"/>
      <c r="C384" s="69"/>
      <c r="D384" s="73"/>
      <c r="E384" s="73"/>
      <c r="F384" s="74"/>
      <c r="G384" s="74"/>
      <c r="H384" s="74"/>
      <c r="I384" s="75"/>
    </row>
    <row r="385" ht="22.5" customHeight="1">
      <c r="A385" s="7">
        <v>383.0</v>
      </c>
      <c r="B385" s="32"/>
      <c r="C385" s="69"/>
      <c r="D385" s="73"/>
      <c r="E385" s="73"/>
      <c r="F385" s="74"/>
      <c r="G385" s="74"/>
      <c r="H385" s="74"/>
      <c r="I385" s="75"/>
    </row>
    <row r="386" ht="22.5" customHeight="1">
      <c r="A386" s="7">
        <v>384.0</v>
      </c>
      <c r="B386" s="32"/>
      <c r="C386" s="69"/>
      <c r="D386" s="73"/>
      <c r="E386" s="73"/>
      <c r="F386" s="74"/>
      <c r="G386" s="74"/>
      <c r="H386" s="74"/>
      <c r="I386" s="75"/>
    </row>
    <row r="387" ht="22.5" customHeight="1">
      <c r="A387" s="7">
        <v>385.0</v>
      </c>
      <c r="B387" s="32"/>
      <c r="C387" s="69"/>
      <c r="D387" s="73"/>
      <c r="E387" s="73"/>
      <c r="F387" s="74"/>
      <c r="G387" s="74"/>
      <c r="H387" s="74"/>
      <c r="I387" s="75"/>
    </row>
    <row r="388" ht="22.5" customHeight="1">
      <c r="A388" s="7">
        <v>386.0</v>
      </c>
      <c r="B388" s="32"/>
      <c r="C388" s="69"/>
      <c r="D388" s="73"/>
      <c r="E388" s="73"/>
      <c r="F388" s="74"/>
      <c r="G388" s="74"/>
      <c r="H388" s="74"/>
      <c r="I388" s="75"/>
    </row>
    <row r="389" ht="22.5" customHeight="1">
      <c r="A389" s="7">
        <v>387.0</v>
      </c>
      <c r="B389" s="32"/>
      <c r="C389" s="69"/>
      <c r="D389" s="73"/>
      <c r="E389" s="73"/>
      <c r="F389" s="74"/>
      <c r="G389" s="74"/>
      <c r="H389" s="74"/>
      <c r="I389" s="75"/>
    </row>
    <row r="390" ht="22.5" customHeight="1">
      <c r="A390" s="7">
        <v>388.0</v>
      </c>
      <c r="B390" s="32"/>
      <c r="C390" s="69"/>
      <c r="D390" s="73"/>
      <c r="E390" s="73"/>
      <c r="F390" s="74"/>
      <c r="G390" s="74"/>
      <c r="H390" s="74"/>
      <c r="I390" s="75"/>
    </row>
    <row r="391" ht="22.5" customHeight="1">
      <c r="A391" s="7">
        <v>389.0</v>
      </c>
      <c r="B391" s="32"/>
      <c r="C391" s="69"/>
      <c r="D391" s="73"/>
      <c r="E391" s="73"/>
      <c r="F391" s="74"/>
      <c r="G391" s="74"/>
      <c r="H391" s="74"/>
      <c r="I391" s="75"/>
    </row>
    <row r="392" ht="22.5" customHeight="1">
      <c r="A392" s="7">
        <v>390.0</v>
      </c>
      <c r="B392" s="32"/>
      <c r="C392" s="69"/>
      <c r="D392" s="73"/>
      <c r="E392" s="73"/>
      <c r="F392" s="74"/>
      <c r="G392" s="74"/>
      <c r="H392" s="74"/>
      <c r="I392" s="75"/>
    </row>
    <row r="393" ht="22.5" customHeight="1">
      <c r="A393" s="7">
        <v>391.0</v>
      </c>
      <c r="B393" s="32"/>
      <c r="C393" s="69"/>
      <c r="D393" s="73"/>
      <c r="E393" s="73"/>
      <c r="F393" s="74"/>
      <c r="G393" s="74"/>
      <c r="H393" s="74"/>
      <c r="I393" s="75"/>
    </row>
    <row r="394" ht="22.5" customHeight="1">
      <c r="A394" s="7">
        <v>392.0</v>
      </c>
      <c r="B394" s="32"/>
      <c r="C394" s="69"/>
      <c r="D394" s="73"/>
      <c r="E394" s="73"/>
      <c r="F394" s="74"/>
      <c r="G394" s="74"/>
      <c r="H394" s="74"/>
      <c r="I394" s="75"/>
    </row>
    <row r="395" ht="22.5" customHeight="1">
      <c r="A395" s="7">
        <v>393.0</v>
      </c>
      <c r="B395" s="32"/>
      <c r="C395" s="69"/>
      <c r="D395" s="73"/>
      <c r="E395" s="73"/>
      <c r="F395" s="74"/>
      <c r="G395" s="74"/>
      <c r="H395" s="74"/>
      <c r="I395" s="75"/>
    </row>
    <row r="396" ht="22.5" customHeight="1">
      <c r="A396" s="7">
        <v>394.0</v>
      </c>
      <c r="B396" s="32"/>
      <c r="C396" s="69"/>
      <c r="D396" s="73"/>
      <c r="E396" s="73"/>
      <c r="F396" s="74"/>
      <c r="G396" s="74"/>
      <c r="H396" s="74"/>
      <c r="I396" s="75"/>
    </row>
    <row r="397" ht="22.5" customHeight="1">
      <c r="A397" s="7">
        <v>395.0</v>
      </c>
      <c r="B397" s="32"/>
      <c r="C397" s="69"/>
      <c r="D397" s="73"/>
      <c r="E397" s="73"/>
      <c r="F397" s="74"/>
      <c r="G397" s="74"/>
      <c r="H397" s="74"/>
      <c r="I397" s="75"/>
    </row>
    <row r="398" ht="22.5" customHeight="1">
      <c r="A398" s="7">
        <v>396.0</v>
      </c>
      <c r="B398" s="32"/>
      <c r="C398" s="69"/>
      <c r="D398" s="73"/>
      <c r="E398" s="73"/>
      <c r="F398" s="74"/>
      <c r="G398" s="74"/>
      <c r="H398" s="74"/>
      <c r="I398" s="75"/>
    </row>
    <row r="399" ht="22.5" customHeight="1">
      <c r="A399" s="7">
        <v>397.0</v>
      </c>
      <c r="B399" s="32"/>
      <c r="C399" s="69"/>
      <c r="D399" s="73"/>
      <c r="E399" s="73"/>
      <c r="F399" s="74"/>
      <c r="G399" s="74"/>
      <c r="H399" s="74"/>
      <c r="I399" s="75"/>
    </row>
    <row r="400" ht="22.5" customHeight="1">
      <c r="A400" s="7">
        <v>398.0</v>
      </c>
      <c r="B400" s="32"/>
      <c r="C400" s="69"/>
      <c r="D400" s="73"/>
      <c r="E400" s="73"/>
      <c r="F400" s="74"/>
      <c r="G400" s="74"/>
      <c r="H400" s="74"/>
      <c r="I400" s="75"/>
    </row>
    <row r="401" ht="22.5" customHeight="1">
      <c r="A401" s="7">
        <v>399.0</v>
      </c>
      <c r="B401" s="32"/>
      <c r="C401" s="69"/>
      <c r="D401" s="73"/>
      <c r="E401" s="73"/>
      <c r="F401" s="74"/>
      <c r="G401" s="74"/>
      <c r="H401" s="74"/>
      <c r="I401" s="75"/>
    </row>
    <row r="402" ht="22.5" customHeight="1">
      <c r="A402" s="7">
        <v>400.0</v>
      </c>
      <c r="B402" s="32"/>
      <c r="C402" s="69"/>
      <c r="D402" s="73"/>
      <c r="E402" s="73"/>
      <c r="F402" s="74"/>
      <c r="G402" s="74"/>
      <c r="H402" s="74"/>
      <c r="I402" s="75"/>
    </row>
    <row r="403" ht="22.5" customHeight="1">
      <c r="A403" s="7">
        <v>401.0</v>
      </c>
      <c r="B403" s="32"/>
      <c r="C403" s="69"/>
      <c r="D403" s="73"/>
      <c r="E403" s="73"/>
      <c r="F403" s="74"/>
      <c r="G403" s="74"/>
      <c r="H403" s="74"/>
      <c r="I403" s="75"/>
    </row>
    <row r="404" ht="22.5" customHeight="1">
      <c r="A404" s="7">
        <v>402.0</v>
      </c>
      <c r="B404" s="32"/>
      <c r="C404" s="69"/>
      <c r="D404" s="73"/>
      <c r="E404" s="73"/>
      <c r="F404" s="74"/>
      <c r="G404" s="74"/>
      <c r="H404" s="74"/>
      <c r="I404" s="75"/>
    </row>
    <row r="405" ht="22.5" customHeight="1">
      <c r="A405" s="7">
        <v>403.0</v>
      </c>
      <c r="B405" s="32"/>
      <c r="C405" s="69"/>
      <c r="D405" s="73"/>
      <c r="E405" s="73"/>
      <c r="F405" s="74"/>
      <c r="G405" s="74"/>
      <c r="H405" s="74"/>
      <c r="I405" s="75"/>
    </row>
    <row r="406" ht="22.5" customHeight="1">
      <c r="A406" s="7">
        <v>404.0</v>
      </c>
      <c r="B406" s="32"/>
      <c r="C406" s="69"/>
      <c r="D406" s="73"/>
      <c r="E406" s="73"/>
      <c r="F406" s="74"/>
      <c r="G406" s="74"/>
      <c r="H406" s="74"/>
      <c r="I406" s="75"/>
    </row>
    <row r="407" ht="22.5" customHeight="1">
      <c r="A407" s="7">
        <v>405.0</v>
      </c>
      <c r="B407" s="32"/>
      <c r="C407" s="69"/>
      <c r="D407" s="73"/>
      <c r="E407" s="73"/>
      <c r="F407" s="74"/>
      <c r="G407" s="74"/>
      <c r="H407" s="74"/>
      <c r="I407" s="75"/>
    </row>
    <row r="408" ht="22.5" customHeight="1">
      <c r="A408" s="7">
        <v>406.0</v>
      </c>
      <c r="B408" s="32"/>
      <c r="C408" s="69"/>
      <c r="D408" s="73"/>
      <c r="E408" s="73"/>
      <c r="F408" s="74"/>
      <c r="G408" s="74"/>
      <c r="H408" s="74"/>
      <c r="I408" s="75"/>
    </row>
    <row r="409" ht="22.5" customHeight="1">
      <c r="A409" s="7">
        <v>407.0</v>
      </c>
      <c r="B409" s="32"/>
      <c r="C409" s="69"/>
      <c r="D409" s="73"/>
      <c r="E409" s="73"/>
      <c r="F409" s="74"/>
      <c r="G409" s="74"/>
      <c r="H409" s="74"/>
      <c r="I409" s="75"/>
    </row>
    <row r="410" ht="22.5" customHeight="1">
      <c r="A410" s="7">
        <v>408.0</v>
      </c>
      <c r="B410" s="32"/>
      <c r="C410" s="69"/>
      <c r="D410" s="73"/>
      <c r="E410" s="73"/>
      <c r="F410" s="74"/>
      <c r="G410" s="74"/>
      <c r="H410" s="74"/>
      <c r="I410" s="75"/>
    </row>
    <row r="411" ht="22.5" customHeight="1">
      <c r="A411" s="7">
        <v>409.0</v>
      </c>
      <c r="B411" s="32"/>
      <c r="C411" s="69"/>
      <c r="D411" s="73"/>
      <c r="E411" s="73"/>
      <c r="F411" s="74"/>
      <c r="G411" s="74"/>
      <c r="H411" s="74"/>
      <c r="I411" s="75"/>
    </row>
    <row r="412" ht="22.5" customHeight="1">
      <c r="A412" s="7">
        <v>410.0</v>
      </c>
      <c r="B412" s="32"/>
      <c r="C412" s="69"/>
      <c r="D412" s="73"/>
      <c r="E412" s="73"/>
      <c r="F412" s="74"/>
      <c r="G412" s="74"/>
      <c r="H412" s="74"/>
      <c r="I412" s="75"/>
    </row>
    <row r="413" ht="22.5" customHeight="1">
      <c r="A413" s="7">
        <v>411.0</v>
      </c>
      <c r="B413" s="32"/>
      <c r="C413" s="69"/>
      <c r="D413" s="73"/>
      <c r="E413" s="73"/>
      <c r="F413" s="74"/>
      <c r="G413" s="74"/>
      <c r="H413" s="74"/>
      <c r="I413" s="75"/>
    </row>
    <row r="414" ht="22.5" customHeight="1">
      <c r="A414" s="7">
        <v>412.0</v>
      </c>
      <c r="B414" s="32"/>
      <c r="C414" s="69"/>
      <c r="D414" s="73"/>
      <c r="E414" s="73"/>
      <c r="F414" s="74"/>
      <c r="G414" s="74"/>
      <c r="H414" s="74"/>
      <c r="I414" s="75"/>
    </row>
    <row r="415" ht="22.5" customHeight="1">
      <c r="A415" s="7">
        <v>413.0</v>
      </c>
      <c r="B415" s="32"/>
      <c r="C415" s="69"/>
      <c r="D415" s="73"/>
      <c r="E415" s="73"/>
      <c r="F415" s="74"/>
      <c r="G415" s="74"/>
      <c r="H415" s="74"/>
      <c r="I415" s="75"/>
    </row>
    <row r="416" ht="22.5" customHeight="1">
      <c r="A416" s="7">
        <v>414.0</v>
      </c>
      <c r="B416" s="32"/>
      <c r="C416" s="69"/>
      <c r="D416" s="73"/>
      <c r="E416" s="73"/>
      <c r="F416" s="74"/>
      <c r="G416" s="74"/>
      <c r="H416" s="74"/>
      <c r="I416" s="75"/>
    </row>
    <row r="417" ht="22.5" customHeight="1">
      <c r="A417" s="7">
        <v>415.0</v>
      </c>
      <c r="B417" s="32"/>
      <c r="C417" s="69"/>
      <c r="D417" s="73"/>
      <c r="E417" s="73"/>
      <c r="F417" s="74"/>
      <c r="G417" s="74"/>
      <c r="H417" s="74"/>
      <c r="I417" s="75"/>
    </row>
    <row r="418" ht="22.5" customHeight="1">
      <c r="A418" s="7">
        <v>416.0</v>
      </c>
      <c r="B418" s="32"/>
      <c r="C418" s="69"/>
      <c r="D418" s="73"/>
      <c r="E418" s="73"/>
      <c r="F418" s="74"/>
      <c r="G418" s="74"/>
      <c r="H418" s="74"/>
      <c r="I418" s="75"/>
    </row>
    <row r="419" ht="22.5" customHeight="1">
      <c r="A419" s="7">
        <v>417.0</v>
      </c>
      <c r="B419" s="32"/>
      <c r="C419" s="69"/>
      <c r="D419" s="73"/>
      <c r="E419" s="73"/>
      <c r="F419" s="74"/>
      <c r="G419" s="74"/>
      <c r="H419" s="74"/>
      <c r="I419" s="75"/>
    </row>
    <row r="420" ht="22.5" customHeight="1">
      <c r="A420" s="7">
        <v>418.0</v>
      </c>
      <c r="B420" s="32"/>
      <c r="C420" s="69"/>
      <c r="D420" s="73"/>
      <c r="E420" s="73"/>
      <c r="F420" s="74"/>
      <c r="G420" s="74"/>
      <c r="H420" s="74"/>
      <c r="I420" s="75"/>
    </row>
    <row r="421" ht="22.5" customHeight="1">
      <c r="A421" s="7">
        <v>419.0</v>
      </c>
      <c r="B421" s="32"/>
      <c r="C421" s="69"/>
      <c r="D421" s="73"/>
      <c r="E421" s="73"/>
      <c r="F421" s="74"/>
      <c r="G421" s="74"/>
      <c r="H421" s="74"/>
      <c r="I421" s="75"/>
    </row>
    <row r="422" ht="22.5" customHeight="1">
      <c r="A422" s="7">
        <v>420.0</v>
      </c>
      <c r="B422" s="32"/>
      <c r="C422" s="69"/>
      <c r="D422" s="73"/>
      <c r="E422" s="73"/>
      <c r="F422" s="74"/>
      <c r="G422" s="74"/>
      <c r="H422" s="74"/>
      <c r="I422" s="75"/>
    </row>
    <row r="423" ht="22.5" customHeight="1">
      <c r="A423" s="7">
        <v>421.0</v>
      </c>
      <c r="B423" s="32"/>
      <c r="C423" s="69"/>
      <c r="D423" s="73"/>
      <c r="E423" s="73"/>
      <c r="F423" s="74"/>
      <c r="G423" s="74"/>
      <c r="H423" s="74"/>
      <c r="I423" s="75"/>
    </row>
    <row r="424" ht="22.5" customHeight="1">
      <c r="A424" s="7">
        <v>422.0</v>
      </c>
      <c r="B424" s="32"/>
      <c r="C424" s="69"/>
      <c r="D424" s="73"/>
      <c r="E424" s="73"/>
      <c r="F424" s="74"/>
      <c r="G424" s="74"/>
      <c r="H424" s="74"/>
      <c r="I424" s="75"/>
    </row>
    <row r="425" ht="22.5" customHeight="1">
      <c r="A425" s="7">
        <v>423.0</v>
      </c>
      <c r="B425" s="32"/>
      <c r="C425" s="69"/>
      <c r="D425" s="73"/>
      <c r="E425" s="73"/>
      <c r="F425" s="74"/>
      <c r="G425" s="74"/>
      <c r="H425" s="74"/>
      <c r="I425" s="75"/>
    </row>
    <row r="426" ht="22.5" customHeight="1">
      <c r="A426" s="7">
        <v>424.0</v>
      </c>
      <c r="B426" s="32"/>
      <c r="C426" s="69"/>
      <c r="D426" s="73"/>
      <c r="E426" s="73"/>
      <c r="F426" s="74"/>
      <c r="G426" s="74"/>
      <c r="H426" s="74"/>
      <c r="I426" s="75"/>
    </row>
    <row r="427" ht="22.5" customHeight="1">
      <c r="A427" s="7">
        <v>425.0</v>
      </c>
      <c r="B427" s="32"/>
      <c r="C427" s="69"/>
      <c r="D427" s="73"/>
      <c r="E427" s="73"/>
      <c r="F427" s="74"/>
      <c r="G427" s="74"/>
      <c r="H427" s="74"/>
      <c r="I427" s="75"/>
    </row>
    <row r="428" ht="22.5" customHeight="1">
      <c r="A428" s="7">
        <v>426.0</v>
      </c>
      <c r="B428" s="32"/>
      <c r="C428" s="69"/>
      <c r="D428" s="73"/>
      <c r="E428" s="73"/>
      <c r="F428" s="74"/>
      <c r="G428" s="74"/>
      <c r="H428" s="74"/>
      <c r="I428" s="75"/>
    </row>
    <row r="429" ht="22.5" customHeight="1">
      <c r="A429" s="7">
        <v>427.0</v>
      </c>
      <c r="B429" s="32"/>
      <c r="C429" s="69"/>
      <c r="D429" s="73"/>
      <c r="E429" s="73"/>
      <c r="F429" s="74"/>
      <c r="G429" s="74"/>
      <c r="H429" s="74"/>
      <c r="I429" s="75"/>
    </row>
    <row r="430" ht="22.5" customHeight="1">
      <c r="A430" s="7">
        <v>428.0</v>
      </c>
      <c r="B430" s="32"/>
      <c r="C430" s="69"/>
      <c r="D430" s="73"/>
      <c r="E430" s="73"/>
      <c r="F430" s="74"/>
      <c r="G430" s="74"/>
      <c r="H430" s="74"/>
      <c r="I430" s="75"/>
    </row>
    <row r="431" ht="22.5" customHeight="1">
      <c r="A431" s="7">
        <v>429.0</v>
      </c>
      <c r="B431" s="32"/>
      <c r="C431" s="69"/>
      <c r="D431" s="73"/>
      <c r="E431" s="73"/>
      <c r="F431" s="74"/>
      <c r="G431" s="74"/>
      <c r="H431" s="74"/>
      <c r="I431" s="75"/>
    </row>
    <row r="432" ht="22.5" customHeight="1">
      <c r="A432" s="7">
        <v>430.0</v>
      </c>
      <c r="B432" s="32"/>
      <c r="C432" s="69"/>
      <c r="D432" s="73"/>
      <c r="E432" s="73"/>
      <c r="F432" s="74"/>
      <c r="G432" s="74"/>
      <c r="H432" s="74"/>
      <c r="I432" s="75"/>
    </row>
    <row r="433" ht="22.5" customHeight="1">
      <c r="A433" s="7">
        <v>431.0</v>
      </c>
      <c r="B433" s="32"/>
      <c r="C433" s="69"/>
      <c r="D433" s="73"/>
      <c r="E433" s="73"/>
      <c r="F433" s="74"/>
      <c r="G433" s="74"/>
      <c r="H433" s="74"/>
      <c r="I433" s="75"/>
    </row>
    <row r="434" ht="22.5" customHeight="1">
      <c r="A434" s="7">
        <v>432.0</v>
      </c>
      <c r="B434" s="32"/>
      <c r="C434" s="69"/>
      <c r="D434" s="73"/>
      <c r="E434" s="73"/>
      <c r="F434" s="74"/>
      <c r="G434" s="74"/>
      <c r="H434" s="74"/>
      <c r="I434" s="75"/>
    </row>
    <row r="435" ht="22.5" customHeight="1">
      <c r="A435" s="7">
        <v>433.0</v>
      </c>
      <c r="B435" s="32"/>
      <c r="C435" s="69"/>
      <c r="D435" s="73"/>
      <c r="E435" s="73"/>
      <c r="F435" s="74"/>
      <c r="G435" s="74"/>
      <c r="H435" s="74"/>
      <c r="I435" s="75"/>
    </row>
    <row r="436" ht="22.5" customHeight="1">
      <c r="A436" s="7">
        <v>434.0</v>
      </c>
      <c r="B436" s="32"/>
      <c r="C436" s="69"/>
      <c r="D436" s="73"/>
      <c r="E436" s="73"/>
      <c r="F436" s="74"/>
      <c r="G436" s="74"/>
      <c r="H436" s="74"/>
      <c r="I436" s="75"/>
    </row>
    <row r="437" ht="22.5" customHeight="1">
      <c r="A437" s="7">
        <v>435.0</v>
      </c>
      <c r="B437" s="32"/>
      <c r="C437" s="69"/>
      <c r="D437" s="73"/>
      <c r="E437" s="73"/>
      <c r="F437" s="74"/>
      <c r="G437" s="74"/>
      <c r="H437" s="74"/>
      <c r="I437" s="75"/>
    </row>
    <row r="438" ht="22.5" customHeight="1">
      <c r="A438" s="7">
        <v>436.0</v>
      </c>
      <c r="B438" s="32"/>
      <c r="C438" s="69"/>
      <c r="D438" s="73"/>
      <c r="E438" s="73"/>
      <c r="F438" s="74"/>
      <c r="G438" s="74"/>
      <c r="H438" s="74"/>
      <c r="I438" s="75"/>
    </row>
    <row r="439" ht="22.5" customHeight="1">
      <c r="A439" s="7">
        <v>437.0</v>
      </c>
      <c r="B439" s="32"/>
      <c r="C439" s="69"/>
      <c r="D439" s="73"/>
      <c r="E439" s="73"/>
      <c r="F439" s="74"/>
      <c r="G439" s="74"/>
      <c r="H439" s="74"/>
      <c r="I439" s="75"/>
    </row>
    <row r="440" ht="22.5" customHeight="1">
      <c r="A440" s="7">
        <v>438.0</v>
      </c>
      <c r="B440" s="32"/>
      <c r="C440" s="69"/>
      <c r="D440" s="73"/>
      <c r="E440" s="73"/>
      <c r="F440" s="74"/>
      <c r="G440" s="74"/>
      <c r="H440" s="74"/>
      <c r="I440" s="75"/>
    </row>
    <row r="441" ht="22.5" customHeight="1">
      <c r="A441" s="7">
        <v>439.0</v>
      </c>
      <c r="B441" s="32"/>
      <c r="C441" s="69"/>
      <c r="D441" s="73"/>
      <c r="E441" s="73"/>
      <c r="F441" s="74"/>
      <c r="G441" s="74"/>
      <c r="H441" s="74"/>
      <c r="I441" s="75"/>
    </row>
    <row r="442" ht="22.5" customHeight="1">
      <c r="A442" s="7">
        <v>440.0</v>
      </c>
      <c r="B442" s="32"/>
      <c r="C442" s="69"/>
      <c r="D442" s="73"/>
      <c r="E442" s="73"/>
      <c r="F442" s="74"/>
      <c r="G442" s="74"/>
      <c r="H442" s="74"/>
      <c r="I442" s="75"/>
    </row>
    <row r="443" ht="22.5" customHeight="1">
      <c r="A443" s="7">
        <v>441.0</v>
      </c>
      <c r="B443" s="32"/>
      <c r="C443" s="69"/>
      <c r="D443" s="73"/>
      <c r="E443" s="73"/>
      <c r="F443" s="74"/>
      <c r="G443" s="74"/>
      <c r="H443" s="74"/>
      <c r="I443" s="75"/>
    </row>
    <row r="444" ht="22.5" customHeight="1">
      <c r="A444" s="7">
        <v>442.0</v>
      </c>
      <c r="B444" s="32"/>
      <c r="C444" s="69"/>
      <c r="D444" s="73"/>
      <c r="E444" s="73"/>
      <c r="F444" s="74"/>
      <c r="G444" s="74"/>
      <c r="H444" s="74"/>
      <c r="I444" s="75"/>
    </row>
    <row r="445" ht="22.5" customHeight="1">
      <c r="A445" s="7">
        <v>443.0</v>
      </c>
      <c r="B445" s="32"/>
      <c r="C445" s="69"/>
      <c r="D445" s="73"/>
      <c r="E445" s="73"/>
      <c r="F445" s="74"/>
      <c r="G445" s="74"/>
      <c r="H445" s="74"/>
      <c r="I445" s="75"/>
    </row>
    <row r="446" ht="22.5" customHeight="1">
      <c r="A446" s="7">
        <v>444.0</v>
      </c>
      <c r="B446" s="32"/>
      <c r="C446" s="69"/>
      <c r="D446" s="73"/>
      <c r="E446" s="73"/>
      <c r="F446" s="74"/>
      <c r="G446" s="74"/>
      <c r="H446" s="74"/>
      <c r="I446" s="75"/>
    </row>
    <row r="447" ht="22.5" customHeight="1">
      <c r="A447" s="7">
        <v>445.0</v>
      </c>
      <c r="B447" s="32"/>
      <c r="C447" s="69"/>
      <c r="D447" s="73"/>
      <c r="E447" s="73"/>
      <c r="F447" s="74"/>
      <c r="G447" s="74"/>
      <c r="H447" s="74"/>
      <c r="I447" s="75"/>
    </row>
    <row r="448" ht="22.5" customHeight="1">
      <c r="A448" s="7">
        <v>446.0</v>
      </c>
      <c r="B448" s="32"/>
      <c r="C448" s="69"/>
      <c r="D448" s="73"/>
      <c r="E448" s="73"/>
      <c r="F448" s="74"/>
      <c r="G448" s="74"/>
      <c r="H448" s="74"/>
      <c r="I448" s="75"/>
    </row>
    <row r="449" ht="22.5" customHeight="1">
      <c r="A449" s="7">
        <v>447.0</v>
      </c>
      <c r="B449" s="32"/>
      <c r="C449" s="69"/>
      <c r="D449" s="73"/>
      <c r="E449" s="73"/>
      <c r="F449" s="74"/>
      <c r="G449" s="74"/>
      <c r="H449" s="74"/>
      <c r="I449" s="75"/>
    </row>
    <row r="450" ht="22.5" customHeight="1">
      <c r="A450" s="7">
        <v>448.0</v>
      </c>
      <c r="B450" s="32"/>
      <c r="C450" s="69"/>
      <c r="D450" s="73"/>
      <c r="E450" s="73"/>
      <c r="F450" s="74"/>
      <c r="G450" s="74"/>
      <c r="H450" s="74"/>
      <c r="I450" s="75"/>
    </row>
    <row r="451" ht="22.5" customHeight="1">
      <c r="A451" s="7">
        <v>449.0</v>
      </c>
      <c r="B451" s="32"/>
      <c r="C451" s="69"/>
      <c r="D451" s="73"/>
      <c r="E451" s="73"/>
      <c r="F451" s="74"/>
      <c r="G451" s="74"/>
      <c r="H451" s="74"/>
      <c r="I451" s="75"/>
    </row>
    <row r="452" ht="22.5" customHeight="1">
      <c r="A452" s="7">
        <v>450.0</v>
      </c>
      <c r="B452" s="32"/>
      <c r="C452" s="69"/>
      <c r="D452" s="73"/>
      <c r="E452" s="73"/>
      <c r="F452" s="74"/>
      <c r="G452" s="74"/>
      <c r="H452" s="74"/>
      <c r="I452" s="75"/>
    </row>
    <row r="453" ht="22.5" customHeight="1">
      <c r="A453" s="7">
        <v>451.0</v>
      </c>
      <c r="B453" s="32"/>
      <c r="C453" s="69"/>
      <c r="D453" s="73"/>
      <c r="E453" s="73"/>
      <c r="F453" s="74"/>
      <c r="G453" s="74"/>
      <c r="H453" s="74"/>
      <c r="I453" s="75"/>
    </row>
    <row r="454" ht="22.5" customHeight="1">
      <c r="A454" s="7">
        <v>452.0</v>
      </c>
      <c r="B454" s="32"/>
      <c r="C454" s="69"/>
      <c r="D454" s="73"/>
      <c r="E454" s="73"/>
      <c r="F454" s="74"/>
      <c r="G454" s="74"/>
      <c r="H454" s="74"/>
      <c r="I454" s="75"/>
    </row>
    <row r="455" ht="22.5" customHeight="1">
      <c r="A455" s="7">
        <v>453.0</v>
      </c>
      <c r="B455" s="32"/>
      <c r="C455" s="69"/>
      <c r="D455" s="73"/>
      <c r="E455" s="73"/>
      <c r="F455" s="74"/>
      <c r="G455" s="74"/>
      <c r="H455" s="74"/>
      <c r="I455" s="75"/>
    </row>
    <row r="456" ht="22.5" customHeight="1">
      <c r="A456" s="7">
        <v>454.0</v>
      </c>
      <c r="B456" s="32"/>
      <c r="C456" s="69"/>
      <c r="D456" s="73"/>
      <c r="E456" s="73"/>
      <c r="F456" s="74"/>
      <c r="G456" s="74"/>
      <c r="H456" s="74"/>
      <c r="I456" s="75"/>
    </row>
    <row r="457" ht="22.5" customHeight="1">
      <c r="A457" s="7">
        <v>455.0</v>
      </c>
      <c r="B457" s="32"/>
      <c r="C457" s="69"/>
      <c r="D457" s="73"/>
      <c r="E457" s="73"/>
      <c r="F457" s="74"/>
      <c r="G457" s="74"/>
      <c r="H457" s="74"/>
      <c r="I457" s="75"/>
    </row>
    <row r="458" ht="22.5" customHeight="1">
      <c r="A458" s="7">
        <v>456.0</v>
      </c>
      <c r="B458" s="32"/>
      <c r="C458" s="69"/>
      <c r="D458" s="73"/>
      <c r="E458" s="73"/>
      <c r="F458" s="74"/>
      <c r="G458" s="74"/>
      <c r="H458" s="74"/>
      <c r="I458" s="75"/>
    </row>
    <row r="459" ht="22.5" customHeight="1">
      <c r="A459" s="7">
        <v>457.0</v>
      </c>
      <c r="B459" s="32"/>
      <c r="C459" s="69"/>
      <c r="D459" s="73"/>
      <c r="E459" s="73"/>
      <c r="F459" s="74"/>
      <c r="G459" s="74"/>
      <c r="H459" s="74"/>
      <c r="I459" s="75"/>
    </row>
    <row r="460" ht="22.5" customHeight="1">
      <c r="A460" s="7">
        <v>458.0</v>
      </c>
      <c r="B460" s="32"/>
      <c r="C460" s="69"/>
      <c r="D460" s="73"/>
      <c r="E460" s="73"/>
      <c r="F460" s="74"/>
      <c r="G460" s="74"/>
      <c r="H460" s="74"/>
      <c r="I460" s="75"/>
    </row>
    <row r="461" ht="22.5" customHeight="1">
      <c r="A461" s="7">
        <v>459.0</v>
      </c>
      <c r="B461" s="32"/>
      <c r="C461" s="69"/>
      <c r="D461" s="73"/>
      <c r="E461" s="73"/>
      <c r="F461" s="74"/>
      <c r="G461" s="74"/>
      <c r="H461" s="74"/>
      <c r="I461" s="75"/>
    </row>
    <row r="462" ht="22.5" customHeight="1">
      <c r="A462" s="7">
        <v>460.0</v>
      </c>
      <c r="B462" s="32"/>
      <c r="C462" s="69"/>
      <c r="D462" s="73"/>
      <c r="E462" s="73"/>
      <c r="F462" s="74"/>
      <c r="G462" s="74"/>
      <c r="H462" s="74"/>
      <c r="I462" s="75"/>
    </row>
    <row r="463" ht="22.5" customHeight="1">
      <c r="A463" s="7">
        <v>461.0</v>
      </c>
      <c r="B463" s="32"/>
      <c r="C463" s="69"/>
      <c r="D463" s="73"/>
      <c r="E463" s="73"/>
      <c r="F463" s="74"/>
      <c r="G463" s="74"/>
      <c r="H463" s="74"/>
      <c r="I463" s="75"/>
    </row>
    <row r="464" ht="22.5" customHeight="1">
      <c r="A464" s="7">
        <v>462.0</v>
      </c>
      <c r="B464" s="32"/>
      <c r="C464" s="69"/>
      <c r="D464" s="73"/>
      <c r="E464" s="73"/>
      <c r="F464" s="74"/>
      <c r="G464" s="74"/>
      <c r="H464" s="74"/>
      <c r="I464" s="75"/>
    </row>
    <row r="465" ht="22.5" customHeight="1">
      <c r="A465" s="7">
        <v>463.0</v>
      </c>
      <c r="B465" s="32"/>
      <c r="C465" s="69"/>
      <c r="D465" s="73"/>
      <c r="E465" s="73"/>
      <c r="F465" s="74"/>
      <c r="G465" s="74"/>
      <c r="H465" s="74"/>
      <c r="I465" s="75"/>
    </row>
    <row r="466" ht="22.5" customHeight="1">
      <c r="A466" s="7">
        <v>464.0</v>
      </c>
      <c r="B466" s="32"/>
      <c r="C466" s="69"/>
      <c r="D466" s="73"/>
      <c r="E466" s="73"/>
      <c r="F466" s="74"/>
      <c r="G466" s="74"/>
      <c r="H466" s="74"/>
      <c r="I466" s="75"/>
    </row>
    <row r="467" ht="22.5" customHeight="1">
      <c r="A467" s="7">
        <v>465.0</v>
      </c>
      <c r="B467" s="32"/>
      <c r="C467" s="69"/>
      <c r="D467" s="73"/>
      <c r="E467" s="73"/>
      <c r="F467" s="74"/>
      <c r="G467" s="74"/>
      <c r="H467" s="74"/>
      <c r="I467" s="75"/>
    </row>
    <row r="468" ht="22.5" customHeight="1">
      <c r="A468" s="7">
        <v>466.0</v>
      </c>
      <c r="B468" s="32"/>
      <c r="C468" s="69"/>
      <c r="D468" s="73"/>
      <c r="E468" s="73"/>
      <c r="F468" s="74"/>
      <c r="G468" s="74"/>
      <c r="H468" s="74"/>
      <c r="I468" s="75"/>
    </row>
    <row r="469" ht="22.5" customHeight="1">
      <c r="A469" s="7">
        <v>467.0</v>
      </c>
      <c r="B469" s="32"/>
      <c r="C469" s="69"/>
      <c r="D469" s="73"/>
      <c r="E469" s="73"/>
      <c r="F469" s="74"/>
      <c r="G469" s="74"/>
      <c r="H469" s="74"/>
      <c r="I469" s="75"/>
    </row>
    <row r="470" ht="22.5" customHeight="1">
      <c r="A470" s="7">
        <v>468.0</v>
      </c>
      <c r="B470" s="32"/>
      <c r="C470" s="69"/>
      <c r="D470" s="73"/>
      <c r="E470" s="73"/>
      <c r="F470" s="74"/>
      <c r="G470" s="74"/>
      <c r="H470" s="74"/>
      <c r="I470" s="75"/>
    </row>
    <row r="471" ht="22.5" customHeight="1">
      <c r="A471" s="7">
        <v>469.0</v>
      </c>
      <c r="B471" s="32"/>
      <c r="C471" s="69"/>
      <c r="D471" s="73"/>
      <c r="E471" s="73"/>
      <c r="F471" s="74"/>
      <c r="G471" s="74"/>
      <c r="H471" s="74"/>
      <c r="I471" s="75"/>
    </row>
    <row r="472" ht="22.5" customHeight="1">
      <c r="A472" s="7">
        <v>470.0</v>
      </c>
      <c r="B472" s="32"/>
      <c r="C472" s="69"/>
      <c r="D472" s="73"/>
      <c r="E472" s="73"/>
      <c r="F472" s="74"/>
      <c r="G472" s="74"/>
      <c r="H472" s="74"/>
      <c r="I472" s="75"/>
    </row>
    <row r="473" ht="22.5" customHeight="1">
      <c r="A473" s="7">
        <v>471.0</v>
      </c>
      <c r="B473" s="32"/>
      <c r="C473" s="69"/>
      <c r="D473" s="73"/>
      <c r="E473" s="73"/>
      <c r="F473" s="74"/>
      <c r="G473" s="74"/>
      <c r="H473" s="74"/>
      <c r="I473" s="75"/>
    </row>
    <row r="474" ht="22.5" customHeight="1">
      <c r="A474" s="7">
        <v>472.0</v>
      </c>
      <c r="B474" s="32"/>
      <c r="C474" s="69"/>
      <c r="D474" s="73"/>
      <c r="E474" s="73"/>
      <c r="F474" s="74"/>
      <c r="G474" s="74"/>
      <c r="H474" s="74"/>
      <c r="I474" s="75"/>
    </row>
    <row r="475" ht="22.5" customHeight="1">
      <c r="A475" s="7">
        <v>473.0</v>
      </c>
      <c r="B475" s="32"/>
      <c r="C475" s="69"/>
      <c r="D475" s="73"/>
      <c r="E475" s="73"/>
      <c r="F475" s="74"/>
      <c r="G475" s="74"/>
      <c r="H475" s="74"/>
      <c r="I475" s="75"/>
    </row>
    <row r="476" ht="22.5" customHeight="1">
      <c r="A476" s="7">
        <v>474.0</v>
      </c>
      <c r="B476" s="32"/>
      <c r="C476" s="69"/>
      <c r="D476" s="73"/>
      <c r="E476" s="73"/>
      <c r="F476" s="74"/>
      <c r="G476" s="74"/>
      <c r="H476" s="74"/>
      <c r="I476" s="75"/>
    </row>
    <row r="477" ht="22.5" customHeight="1">
      <c r="A477" s="7">
        <v>475.0</v>
      </c>
      <c r="B477" s="32"/>
      <c r="C477" s="69"/>
      <c r="D477" s="73"/>
      <c r="E477" s="73"/>
      <c r="F477" s="74"/>
      <c r="G477" s="74"/>
      <c r="H477" s="74"/>
      <c r="I477" s="75"/>
    </row>
    <row r="478" ht="22.5" customHeight="1">
      <c r="A478" s="7">
        <v>476.0</v>
      </c>
      <c r="B478" s="32"/>
      <c r="C478" s="69"/>
      <c r="D478" s="73"/>
      <c r="E478" s="73"/>
      <c r="F478" s="74"/>
      <c r="G478" s="74"/>
      <c r="H478" s="74"/>
      <c r="I478" s="75"/>
    </row>
    <row r="479" ht="22.5" customHeight="1">
      <c r="A479" s="7">
        <v>477.0</v>
      </c>
      <c r="B479" s="32"/>
      <c r="C479" s="69"/>
      <c r="D479" s="73"/>
      <c r="E479" s="73"/>
      <c r="F479" s="74"/>
      <c r="G479" s="74"/>
      <c r="H479" s="74"/>
      <c r="I479" s="75"/>
    </row>
    <row r="480" ht="22.5" customHeight="1">
      <c r="A480" s="7">
        <v>478.0</v>
      </c>
      <c r="B480" s="32"/>
      <c r="C480" s="69"/>
      <c r="D480" s="73"/>
      <c r="E480" s="73"/>
      <c r="F480" s="74"/>
      <c r="G480" s="74"/>
      <c r="H480" s="74"/>
      <c r="I480" s="75"/>
    </row>
    <row r="481" ht="22.5" customHeight="1">
      <c r="A481" s="7">
        <v>479.0</v>
      </c>
      <c r="B481" s="32"/>
      <c r="C481" s="69"/>
      <c r="D481" s="73"/>
      <c r="E481" s="73"/>
      <c r="F481" s="74"/>
      <c r="G481" s="74"/>
      <c r="H481" s="74"/>
      <c r="I481" s="75"/>
    </row>
    <row r="482" ht="22.5" customHeight="1">
      <c r="A482" s="7">
        <v>480.0</v>
      </c>
      <c r="B482" s="32"/>
      <c r="C482" s="69"/>
      <c r="D482" s="73"/>
      <c r="E482" s="73"/>
      <c r="F482" s="74"/>
      <c r="G482" s="74"/>
      <c r="H482" s="74"/>
      <c r="I482" s="75"/>
    </row>
    <row r="483" ht="22.5" customHeight="1">
      <c r="A483" s="7">
        <v>481.0</v>
      </c>
      <c r="B483" s="32"/>
      <c r="C483" s="69"/>
      <c r="D483" s="73"/>
      <c r="E483" s="73"/>
      <c r="F483" s="74"/>
      <c r="G483" s="74"/>
      <c r="H483" s="74"/>
      <c r="I483" s="75"/>
    </row>
    <row r="484" ht="22.5" customHeight="1">
      <c r="A484" s="7">
        <v>482.0</v>
      </c>
      <c r="B484" s="32"/>
      <c r="C484" s="69"/>
      <c r="D484" s="73"/>
      <c r="E484" s="73"/>
      <c r="F484" s="74"/>
      <c r="G484" s="74"/>
      <c r="H484" s="74"/>
      <c r="I484" s="75"/>
    </row>
    <row r="485" ht="22.5" customHeight="1">
      <c r="A485" s="7">
        <v>483.0</v>
      </c>
      <c r="B485" s="32"/>
      <c r="C485" s="69"/>
      <c r="D485" s="73"/>
      <c r="E485" s="73"/>
      <c r="F485" s="74"/>
      <c r="G485" s="74"/>
      <c r="H485" s="74"/>
      <c r="I485" s="75"/>
    </row>
    <row r="486" ht="22.5" customHeight="1">
      <c r="A486" s="7">
        <v>484.0</v>
      </c>
      <c r="B486" s="32"/>
      <c r="C486" s="69"/>
      <c r="D486" s="73"/>
      <c r="E486" s="73"/>
      <c r="F486" s="74"/>
      <c r="G486" s="74"/>
      <c r="H486" s="74"/>
      <c r="I486" s="75"/>
    </row>
    <row r="487" ht="22.5" customHeight="1">
      <c r="A487" s="7">
        <v>485.0</v>
      </c>
      <c r="B487" s="32"/>
      <c r="C487" s="69"/>
      <c r="D487" s="73"/>
      <c r="E487" s="73"/>
      <c r="F487" s="74"/>
      <c r="G487" s="74"/>
      <c r="H487" s="74"/>
      <c r="I487" s="75"/>
    </row>
    <row r="488" ht="22.5" customHeight="1">
      <c r="A488" s="7">
        <v>486.0</v>
      </c>
      <c r="B488" s="32"/>
      <c r="C488" s="69"/>
      <c r="D488" s="73"/>
      <c r="E488" s="73"/>
      <c r="F488" s="74"/>
      <c r="G488" s="74"/>
      <c r="H488" s="74"/>
      <c r="I488" s="75"/>
    </row>
    <row r="489" ht="22.5" customHeight="1">
      <c r="A489" s="7">
        <v>487.0</v>
      </c>
      <c r="B489" s="32"/>
      <c r="C489" s="69"/>
      <c r="D489" s="73"/>
      <c r="E489" s="73"/>
      <c r="F489" s="74"/>
      <c r="G489" s="74"/>
      <c r="H489" s="74"/>
      <c r="I489" s="75"/>
    </row>
    <row r="490" ht="22.5" customHeight="1">
      <c r="A490" s="7">
        <v>488.0</v>
      </c>
      <c r="B490" s="32"/>
      <c r="C490" s="69"/>
      <c r="D490" s="73"/>
      <c r="E490" s="73"/>
      <c r="F490" s="74"/>
      <c r="G490" s="74"/>
      <c r="H490" s="74"/>
      <c r="I490" s="75"/>
    </row>
    <row r="491" ht="22.5" customHeight="1">
      <c r="A491" s="7">
        <v>489.0</v>
      </c>
      <c r="B491" s="32"/>
      <c r="C491" s="69"/>
      <c r="D491" s="73"/>
      <c r="E491" s="73"/>
      <c r="F491" s="74"/>
      <c r="G491" s="74"/>
      <c r="H491" s="74"/>
      <c r="I491" s="75"/>
    </row>
    <row r="492" ht="22.5" customHeight="1">
      <c r="A492" s="7">
        <v>490.0</v>
      </c>
      <c r="B492" s="32"/>
      <c r="C492" s="69"/>
      <c r="D492" s="73"/>
      <c r="E492" s="73"/>
      <c r="F492" s="74"/>
      <c r="G492" s="74"/>
      <c r="H492" s="74"/>
      <c r="I492" s="75"/>
    </row>
    <row r="493" ht="22.5" customHeight="1">
      <c r="A493" s="7">
        <v>491.0</v>
      </c>
      <c r="B493" s="32"/>
      <c r="C493" s="69"/>
      <c r="D493" s="73"/>
      <c r="E493" s="73"/>
      <c r="F493" s="74"/>
      <c r="G493" s="74"/>
      <c r="H493" s="74"/>
      <c r="I493" s="75"/>
    </row>
    <row r="494" ht="22.5" customHeight="1">
      <c r="A494" s="7">
        <v>492.0</v>
      </c>
      <c r="B494" s="32"/>
      <c r="C494" s="69"/>
      <c r="D494" s="73"/>
      <c r="E494" s="73"/>
      <c r="F494" s="74"/>
      <c r="G494" s="74"/>
      <c r="H494" s="74"/>
      <c r="I494" s="75"/>
    </row>
    <row r="495" ht="22.5" customHeight="1">
      <c r="A495" s="7">
        <v>493.0</v>
      </c>
      <c r="B495" s="32"/>
      <c r="C495" s="69"/>
      <c r="D495" s="73"/>
      <c r="E495" s="73"/>
      <c r="F495" s="74"/>
      <c r="G495" s="74"/>
      <c r="H495" s="74"/>
      <c r="I495" s="75"/>
    </row>
    <row r="496" ht="22.5" customHeight="1">
      <c r="A496" s="7">
        <v>494.0</v>
      </c>
      <c r="B496" s="32"/>
      <c r="C496" s="69"/>
      <c r="D496" s="73"/>
      <c r="E496" s="73"/>
      <c r="F496" s="74"/>
      <c r="G496" s="74"/>
      <c r="H496" s="74"/>
      <c r="I496" s="75"/>
    </row>
    <row r="497" ht="22.5" customHeight="1">
      <c r="A497" s="7">
        <v>495.0</v>
      </c>
      <c r="B497" s="32"/>
      <c r="C497" s="69"/>
      <c r="D497" s="73"/>
      <c r="E497" s="73"/>
      <c r="F497" s="74"/>
      <c r="G497" s="74"/>
      <c r="H497" s="74"/>
      <c r="I497" s="75"/>
    </row>
    <row r="498" ht="22.5" customHeight="1">
      <c r="A498" s="7">
        <v>496.0</v>
      </c>
      <c r="B498" s="32"/>
      <c r="C498" s="69"/>
      <c r="D498" s="73"/>
      <c r="E498" s="73"/>
      <c r="F498" s="74"/>
      <c r="G498" s="74"/>
      <c r="H498" s="74"/>
      <c r="I498" s="75"/>
    </row>
    <row r="499" ht="22.5" customHeight="1">
      <c r="A499" s="7">
        <v>497.0</v>
      </c>
      <c r="B499" s="32"/>
      <c r="C499" s="69"/>
      <c r="D499" s="73"/>
      <c r="E499" s="73"/>
      <c r="F499" s="74"/>
      <c r="G499" s="74"/>
      <c r="H499" s="74"/>
      <c r="I499" s="75"/>
    </row>
    <row r="500" ht="22.5" customHeight="1">
      <c r="A500" s="7">
        <v>498.0</v>
      </c>
      <c r="B500" s="32"/>
      <c r="C500" s="69"/>
      <c r="D500" s="73"/>
      <c r="E500" s="73"/>
      <c r="F500" s="74"/>
      <c r="G500" s="74"/>
      <c r="H500" s="74"/>
      <c r="I500" s="75"/>
    </row>
    <row r="501" ht="22.5" customHeight="1">
      <c r="A501" s="7">
        <v>499.0</v>
      </c>
      <c r="B501" s="32"/>
      <c r="C501" s="69"/>
      <c r="D501" s="73"/>
      <c r="E501" s="73"/>
      <c r="F501" s="74"/>
      <c r="G501" s="74"/>
      <c r="H501" s="74"/>
      <c r="I501" s="75"/>
    </row>
    <row r="502" ht="22.5" customHeight="1">
      <c r="A502" s="7">
        <v>500.0</v>
      </c>
      <c r="B502" s="32"/>
      <c r="C502" s="69"/>
      <c r="D502" s="73"/>
      <c r="E502" s="73"/>
      <c r="F502" s="74"/>
      <c r="G502" s="74"/>
      <c r="H502" s="74"/>
      <c r="I502" s="75"/>
    </row>
    <row r="503" ht="22.5" customHeight="1">
      <c r="A503" s="7">
        <v>501.0</v>
      </c>
      <c r="B503" s="32"/>
      <c r="C503" s="69"/>
      <c r="D503" s="73"/>
      <c r="E503" s="73"/>
      <c r="F503" s="74"/>
      <c r="G503" s="74"/>
      <c r="H503" s="74"/>
      <c r="I503" s="75"/>
    </row>
    <row r="504" ht="22.5" customHeight="1">
      <c r="A504" s="7">
        <v>502.0</v>
      </c>
      <c r="B504" s="32"/>
      <c r="C504" s="69"/>
      <c r="D504" s="73"/>
      <c r="E504" s="73"/>
      <c r="F504" s="74"/>
      <c r="G504" s="74"/>
      <c r="H504" s="74"/>
      <c r="I504" s="75"/>
    </row>
    <row r="505" ht="22.5" customHeight="1">
      <c r="A505" s="7">
        <v>503.0</v>
      </c>
      <c r="B505" s="32"/>
      <c r="C505" s="69"/>
      <c r="D505" s="73"/>
      <c r="E505" s="73"/>
      <c r="F505" s="74"/>
      <c r="G505" s="74"/>
      <c r="H505" s="74"/>
      <c r="I505" s="75"/>
    </row>
    <row r="506" ht="22.5" customHeight="1">
      <c r="A506" s="7">
        <v>504.0</v>
      </c>
      <c r="B506" s="32"/>
      <c r="C506" s="69"/>
      <c r="D506" s="73"/>
      <c r="E506" s="73"/>
      <c r="F506" s="74"/>
      <c r="G506" s="74"/>
      <c r="H506" s="74"/>
      <c r="I506" s="75"/>
    </row>
    <row r="507" ht="22.5" customHeight="1">
      <c r="A507" s="7">
        <v>505.0</v>
      </c>
      <c r="B507" s="32"/>
      <c r="C507" s="69"/>
      <c r="D507" s="73"/>
      <c r="E507" s="73"/>
      <c r="F507" s="74"/>
      <c r="G507" s="74"/>
      <c r="H507" s="74"/>
      <c r="I507" s="75"/>
    </row>
    <row r="508" ht="22.5" customHeight="1">
      <c r="A508" s="7">
        <v>506.0</v>
      </c>
      <c r="B508" s="32"/>
      <c r="C508" s="69"/>
      <c r="D508" s="73"/>
      <c r="E508" s="73"/>
      <c r="F508" s="74"/>
      <c r="G508" s="74"/>
      <c r="H508" s="74"/>
      <c r="I508" s="75"/>
    </row>
    <row r="509" ht="22.5" customHeight="1">
      <c r="A509" s="7">
        <v>507.0</v>
      </c>
      <c r="B509" s="32"/>
      <c r="C509" s="69"/>
      <c r="D509" s="73"/>
      <c r="E509" s="73"/>
      <c r="F509" s="74"/>
      <c r="G509" s="74"/>
      <c r="H509" s="74"/>
      <c r="I509" s="75"/>
    </row>
    <row r="510" ht="22.5" customHeight="1">
      <c r="A510" s="7">
        <v>508.0</v>
      </c>
      <c r="B510" s="32"/>
      <c r="C510" s="69"/>
      <c r="D510" s="73"/>
      <c r="E510" s="73"/>
      <c r="F510" s="74"/>
      <c r="G510" s="74"/>
      <c r="H510" s="74"/>
      <c r="I510" s="75"/>
    </row>
    <row r="511" ht="22.5" customHeight="1">
      <c r="A511" s="7">
        <v>509.0</v>
      </c>
      <c r="B511" s="32"/>
      <c r="C511" s="69"/>
      <c r="D511" s="73"/>
      <c r="E511" s="73"/>
      <c r="F511" s="74"/>
      <c r="G511" s="74"/>
      <c r="H511" s="74"/>
      <c r="I511" s="75"/>
    </row>
    <row r="512" ht="22.5" customHeight="1">
      <c r="A512" s="7">
        <v>510.0</v>
      </c>
      <c r="B512" s="32"/>
      <c r="C512" s="69"/>
      <c r="D512" s="73"/>
      <c r="E512" s="73"/>
      <c r="F512" s="74"/>
      <c r="G512" s="74"/>
      <c r="H512" s="74"/>
      <c r="I512" s="75"/>
    </row>
    <row r="513" ht="22.5" customHeight="1">
      <c r="A513" s="7">
        <v>511.0</v>
      </c>
      <c r="B513" s="32"/>
      <c r="C513" s="69"/>
      <c r="D513" s="73"/>
      <c r="E513" s="73"/>
      <c r="F513" s="74"/>
      <c r="G513" s="74"/>
      <c r="H513" s="74"/>
      <c r="I513" s="75"/>
    </row>
    <row r="514" ht="22.5" customHeight="1">
      <c r="A514" s="7">
        <v>512.0</v>
      </c>
      <c r="B514" s="32"/>
      <c r="C514" s="69"/>
      <c r="D514" s="73"/>
      <c r="E514" s="73"/>
      <c r="F514" s="74"/>
      <c r="G514" s="74"/>
      <c r="H514" s="74"/>
      <c r="I514" s="75"/>
    </row>
    <row r="515" ht="22.5" customHeight="1">
      <c r="A515" s="7">
        <v>513.0</v>
      </c>
      <c r="B515" s="32"/>
      <c r="C515" s="69"/>
      <c r="D515" s="73"/>
      <c r="E515" s="73"/>
      <c r="F515" s="74"/>
      <c r="G515" s="74"/>
      <c r="H515" s="74"/>
      <c r="I515" s="75"/>
    </row>
    <row r="516" ht="22.5" customHeight="1">
      <c r="A516" s="7">
        <v>514.0</v>
      </c>
      <c r="B516" s="32"/>
      <c r="C516" s="69"/>
      <c r="D516" s="73"/>
      <c r="E516" s="73"/>
      <c r="F516" s="74"/>
      <c r="G516" s="74"/>
      <c r="H516" s="74"/>
      <c r="I516" s="75"/>
    </row>
    <row r="517" ht="22.5" customHeight="1">
      <c r="A517" s="7">
        <v>515.0</v>
      </c>
      <c r="B517" s="32"/>
      <c r="C517" s="69"/>
      <c r="D517" s="73"/>
      <c r="E517" s="73"/>
      <c r="F517" s="74"/>
      <c r="G517" s="74"/>
      <c r="H517" s="74"/>
      <c r="I517" s="75"/>
    </row>
    <row r="518" ht="22.5" customHeight="1">
      <c r="A518" s="7">
        <v>516.0</v>
      </c>
      <c r="B518" s="32"/>
      <c r="C518" s="69"/>
      <c r="D518" s="73"/>
      <c r="E518" s="73"/>
      <c r="F518" s="74"/>
      <c r="G518" s="74"/>
      <c r="H518" s="74"/>
      <c r="I518" s="75"/>
    </row>
    <row r="519" ht="22.5" customHeight="1">
      <c r="A519" s="7">
        <v>517.0</v>
      </c>
      <c r="B519" s="32"/>
      <c r="C519" s="69"/>
      <c r="D519" s="73"/>
      <c r="E519" s="73"/>
      <c r="F519" s="74"/>
      <c r="G519" s="74"/>
      <c r="H519" s="74"/>
      <c r="I519" s="75"/>
    </row>
    <row r="520" ht="22.5" customHeight="1">
      <c r="A520" s="7">
        <v>518.0</v>
      </c>
      <c r="B520" s="32"/>
      <c r="C520" s="69"/>
      <c r="D520" s="73"/>
      <c r="E520" s="73"/>
      <c r="F520" s="74"/>
      <c r="G520" s="74"/>
      <c r="H520" s="74"/>
      <c r="I520" s="75"/>
    </row>
    <row r="521" ht="22.5" customHeight="1">
      <c r="A521" s="7">
        <v>519.0</v>
      </c>
      <c r="B521" s="32"/>
      <c r="C521" s="69"/>
      <c r="D521" s="73"/>
      <c r="E521" s="73"/>
      <c r="F521" s="74"/>
      <c r="G521" s="74"/>
      <c r="H521" s="74"/>
      <c r="I521" s="75"/>
    </row>
    <row r="522" ht="22.5" customHeight="1">
      <c r="A522" s="7">
        <v>520.0</v>
      </c>
      <c r="B522" s="32"/>
      <c r="C522" s="69"/>
      <c r="D522" s="73"/>
      <c r="E522" s="73"/>
      <c r="F522" s="74"/>
      <c r="G522" s="74"/>
      <c r="H522" s="74"/>
      <c r="I522" s="75"/>
    </row>
    <row r="523" ht="22.5" customHeight="1">
      <c r="A523" s="7">
        <v>521.0</v>
      </c>
      <c r="B523" s="32"/>
      <c r="C523" s="69"/>
      <c r="D523" s="73"/>
      <c r="E523" s="73"/>
      <c r="F523" s="74"/>
      <c r="G523" s="74"/>
      <c r="H523" s="74"/>
      <c r="I523" s="75"/>
    </row>
    <row r="524" ht="22.5" customHeight="1">
      <c r="A524" s="7">
        <v>522.0</v>
      </c>
      <c r="B524" s="32"/>
      <c r="C524" s="69"/>
      <c r="D524" s="73"/>
      <c r="E524" s="73"/>
      <c r="F524" s="74"/>
      <c r="G524" s="74"/>
      <c r="H524" s="74"/>
      <c r="I524" s="75"/>
    </row>
    <row r="525" ht="22.5" customHeight="1">
      <c r="A525" s="7">
        <v>523.0</v>
      </c>
      <c r="B525" s="32"/>
      <c r="C525" s="69"/>
      <c r="D525" s="73"/>
      <c r="E525" s="73"/>
      <c r="F525" s="74"/>
      <c r="G525" s="74"/>
      <c r="H525" s="74"/>
      <c r="I525" s="75"/>
    </row>
    <row r="526" ht="22.5" customHeight="1">
      <c r="A526" s="7">
        <v>524.0</v>
      </c>
      <c r="B526" s="32"/>
      <c r="C526" s="69"/>
      <c r="D526" s="73"/>
      <c r="E526" s="73"/>
      <c r="F526" s="74"/>
      <c r="G526" s="74"/>
      <c r="H526" s="74"/>
      <c r="I526" s="75"/>
    </row>
    <row r="527" ht="22.5" customHeight="1">
      <c r="A527" s="7">
        <v>525.0</v>
      </c>
      <c r="B527" s="32"/>
      <c r="C527" s="69"/>
      <c r="D527" s="73"/>
      <c r="E527" s="73"/>
      <c r="F527" s="74"/>
      <c r="G527" s="74"/>
      <c r="H527" s="74"/>
      <c r="I527" s="75"/>
    </row>
    <row r="528" ht="22.5" customHeight="1">
      <c r="A528" s="7">
        <v>526.0</v>
      </c>
      <c r="B528" s="32"/>
      <c r="C528" s="69"/>
      <c r="D528" s="73"/>
      <c r="E528" s="73"/>
      <c r="F528" s="74"/>
      <c r="G528" s="74"/>
      <c r="H528" s="74"/>
      <c r="I528" s="75"/>
    </row>
    <row r="529" ht="22.5" customHeight="1">
      <c r="A529" s="7">
        <v>527.0</v>
      </c>
      <c r="B529" s="32"/>
      <c r="C529" s="69"/>
      <c r="D529" s="73"/>
      <c r="E529" s="73"/>
      <c r="F529" s="74"/>
      <c r="G529" s="74"/>
      <c r="H529" s="74"/>
      <c r="I529" s="75"/>
    </row>
    <row r="530" ht="22.5" customHeight="1">
      <c r="A530" s="7">
        <v>528.0</v>
      </c>
      <c r="B530" s="32"/>
      <c r="C530" s="69"/>
      <c r="D530" s="73"/>
      <c r="E530" s="73"/>
      <c r="F530" s="74"/>
      <c r="G530" s="74"/>
      <c r="H530" s="74"/>
      <c r="I530" s="75"/>
    </row>
    <row r="531" ht="22.5" customHeight="1">
      <c r="A531" s="7">
        <v>529.0</v>
      </c>
      <c r="B531" s="32"/>
      <c r="C531" s="69"/>
      <c r="D531" s="73"/>
      <c r="E531" s="73"/>
      <c r="F531" s="74"/>
      <c r="G531" s="74"/>
      <c r="H531" s="74"/>
      <c r="I531" s="75"/>
    </row>
    <row r="532" ht="22.5" customHeight="1">
      <c r="A532" s="7">
        <v>530.0</v>
      </c>
      <c r="B532" s="32"/>
      <c r="C532" s="69"/>
      <c r="D532" s="73"/>
      <c r="E532" s="73"/>
      <c r="F532" s="74"/>
      <c r="G532" s="74"/>
      <c r="H532" s="74"/>
      <c r="I532" s="75"/>
    </row>
    <row r="533" ht="22.5" customHeight="1">
      <c r="A533" s="7">
        <v>531.0</v>
      </c>
      <c r="B533" s="32"/>
      <c r="C533" s="69"/>
      <c r="D533" s="73"/>
      <c r="E533" s="73"/>
      <c r="F533" s="74"/>
      <c r="G533" s="74"/>
      <c r="H533" s="74"/>
      <c r="I533" s="75"/>
    </row>
    <row r="534" ht="22.5" customHeight="1">
      <c r="A534" s="7">
        <v>532.0</v>
      </c>
      <c r="B534" s="32"/>
      <c r="C534" s="69"/>
      <c r="D534" s="73"/>
      <c r="E534" s="73"/>
      <c r="F534" s="74"/>
      <c r="G534" s="74"/>
      <c r="H534" s="74"/>
      <c r="I534" s="75"/>
    </row>
    <row r="535" ht="22.5" customHeight="1">
      <c r="A535" s="7">
        <v>533.0</v>
      </c>
      <c r="B535" s="32"/>
      <c r="C535" s="69"/>
      <c r="D535" s="73"/>
      <c r="E535" s="73"/>
      <c r="F535" s="74"/>
      <c r="G535" s="74"/>
      <c r="H535" s="74"/>
      <c r="I535" s="75"/>
    </row>
    <row r="536" ht="22.5" customHeight="1">
      <c r="A536" s="7">
        <v>534.0</v>
      </c>
      <c r="B536" s="32"/>
      <c r="C536" s="69"/>
      <c r="D536" s="73"/>
      <c r="E536" s="73"/>
      <c r="F536" s="74"/>
      <c r="G536" s="74"/>
      <c r="H536" s="74"/>
      <c r="I536" s="75"/>
    </row>
    <row r="537" ht="22.5" customHeight="1">
      <c r="A537" s="7">
        <v>535.0</v>
      </c>
      <c r="B537" s="32"/>
      <c r="C537" s="69"/>
      <c r="D537" s="73"/>
      <c r="E537" s="73"/>
      <c r="F537" s="74"/>
      <c r="G537" s="74"/>
      <c r="H537" s="74"/>
      <c r="I537" s="75"/>
    </row>
    <row r="538" ht="22.5" customHeight="1">
      <c r="A538" s="7">
        <v>536.0</v>
      </c>
      <c r="B538" s="32"/>
      <c r="C538" s="69"/>
      <c r="D538" s="73"/>
      <c r="E538" s="73"/>
      <c r="F538" s="74"/>
      <c r="G538" s="74"/>
      <c r="H538" s="74"/>
      <c r="I538" s="75"/>
    </row>
    <row r="539" ht="22.5" customHeight="1">
      <c r="A539" s="7">
        <v>537.0</v>
      </c>
      <c r="B539" s="32"/>
      <c r="C539" s="69"/>
      <c r="D539" s="73"/>
      <c r="E539" s="73"/>
      <c r="F539" s="74"/>
      <c r="G539" s="74"/>
      <c r="H539" s="74"/>
      <c r="I539" s="75"/>
    </row>
    <row r="540" ht="22.5" customHeight="1">
      <c r="A540" s="7">
        <v>538.0</v>
      </c>
      <c r="B540" s="32"/>
      <c r="C540" s="69"/>
      <c r="D540" s="73"/>
      <c r="E540" s="73"/>
      <c r="F540" s="74"/>
      <c r="G540" s="74"/>
      <c r="H540" s="74"/>
      <c r="I540" s="75"/>
    </row>
    <row r="541" ht="22.5" customHeight="1">
      <c r="A541" s="7">
        <v>539.0</v>
      </c>
      <c r="B541" s="32"/>
      <c r="C541" s="69"/>
      <c r="D541" s="73"/>
      <c r="E541" s="73"/>
      <c r="F541" s="74"/>
      <c r="G541" s="74"/>
      <c r="H541" s="74"/>
      <c r="I541" s="75"/>
    </row>
    <row r="542" ht="22.5" customHeight="1">
      <c r="A542" s="7">
        <v>540.0</v>
      </c>
      <c r="B542" s="32"/>
      <c r="C542" s="69"/>
      <c r="D542" s="73"/>
      <c r="E542" s="73"/>
      <c r="F542" s="74"/>
      <c r="G542" s="74"/>
      <c r="H542" s="74"/>
      <c r="I542" s="75"/>
    </row>
    <row r="543" ht="22.5" customHeight="1">
      <c r="A543" s="7">
        <v>541.0</v>
      </c>
      <c r="B543" s="32"/>
      <c r="C543" s="69"/>
      <c r="D543" s="73"/>
      <c r="E543" s="73"/>
      <c r="F543" s="74"/>
      <c r="G543" s="74"/>
      <c r="H543" s="74"/>
      <c r="I543" s="75"/>
    </row>
    <row r="544" ht="22.5" customHeight="1">
      <c r="A544" s="7">
        <v>542.0</v>
      </c>
      <c r="B544" s="32"/>
      <c r="C544" s="69"/>
      <c r="D544" s="73"/>
      <c r="E544" s="73"/>
      <c r="F544" s="74"/>
      <c r="G544" s="74"/>
      <c r="H544" s="74"/>
      <c r="I544" s="75"/>
    </row>
    <row r="545" ht="22.5" customHeight="1">
      <c r="A545" s="7">
        <v>543.0</v>
      </c>
      <c r="B545" s="32"/>
      <c r="C545" s="69"/>
      <c r="D545" s="73"/>
      <c r="E545" s="73"/>
      <c r="F545" s="74"/>
      <c r="G545" s="74"/>
      <c r="H545" s="74"/>
      <c r="I545" s="75"/>
    </row>
    <row r="546" ht="22.5" customHeight="1">
      <c r="A546" s="7">
        <v>544.0</v>
      </c>
      <c r="B546" s="32"/>
      <c r="C546" s="69"/>
      <c r="D546" s="73"/>
      <c r="E546" s="73"/>
      <c r="F546" s="74"/>
      <c r="G546" s="74"/>
      <c r="H546" s="74"/>
      <c r="I546" s="75"/>
    </row>
    <row r="547" ht="22.5" customHeight="1">
      <c r="A547" s="7">
        <v>545.0</v>
      </c>
      <c r="B547" s="32"/>
      <c r="C547" s="69"/>
      <c r="D547" s="73"/>
      <c r="E547" s="73"/>
      <c r="F547" s="74"/>
      <c r="G547" s="74"/>
      <c r="H547" s="74"/>
      <c r="I547" s="75"/>
    </row>
    <row r="548" ht="22.5" customHeight="1">
      <c r="A548" s="7">
        <v>546.0</v>
      </c>
      <c r="B548" s="32"/>
      <c r="C548" s="69"/>
      <c r="D548" s="73"/>
      <c r="E548" s="73"/>
      <c r="F548" s="74"/>
      <c r="G548" s="74"/>
      <c r="H548" s="74"/>
      <c r="I548" s="75"/>
    </row>
    <row r="549" ht="22.5" customHeight="1">
      <c r="A549" s="7">
        <v>547.0</v>
      </c>
      <c r="B549" s="32"/>
      <c r="C549" s="69"/>
      <c r="D549" s="73"/>
      <c r="E549" s="73"/>
      <c r="F549" s="74"/>
      <c r="G549" s="74"/>
      <c r="H549" s="74"/>
      <c r="I549" s="75"/>
    </row>
    <row r="550" ht="22.5" customHeight="1">
      <c r="A550" s="7">
        <v>548.0</v>
      </c>
      <c r="B550" s="32"/>
      <c r="C550" s="69"/>
      <c r="D550" s="73"/>
      <c r="E550" s="73"/>
      <c r="F550" s="74"/>
      <c r="G550" s="74"/>
      <c r="H550" s="74"/>
      <c r="I550" s="75"/>
    </row>
    <row r="551" ht="22.5" customHeight="1">
      <c r="A551" s="7">
        <v>549.0</v>
      </c>
      <c r="B551" s="32"/>
      <c r="C551" s="69"/>
      <c r="D551" s="73"/>
      <c r="E551" s="73"/>
      <c r="F551" s="74"/>
      <c r="G551" s="74"/>
      <c r="H551" s="74"/>
      <c r="I551" s="75"/>
    </row>
    <row r="552" ht="22.5" customHeight="1">
      <c r="A552" s="7">
        <v>550.0</v>
      </c>
      <c r="B552" s="32"/>
      <c r="C552" s="69"/>
      <c r="D552" s="73"/>
      <c r="E552" s="73"/>
      <c r="F552" s="74"/>
      <c r="G552" s="74"/>
      <c r="H552" s="74"/>
      <c r="I552" s="75"/>
    </row>
    <row r="553" ht="22.5" customHeight="1">
      <c r="A553" s="7">
        <v>551.0</v>
      </c>
      <c r="B553" s="32"/>
      <c r="C553" s="69"/>
      <c r="D553" s="73"/>
      <c r="E553" s="73"/>
      <c r="F553" s="74"/>
      <c r="G553" s="74"/>
      <c r="H553" s="74"/>
      <c r="I553" s="75"/>
    </row>
    <row r="554" ht="22.5" customHeight="1">
      <c r="A554" s="7">
        <v>552.0</v>
      </c>
      <c r="B554" s="32"/>
      <c r="C554" s="69"/>
      <c r="D554" s="73"/>
      <c r="E554" s="73"/>
      <c r="F554" s="74"/>
      <c r="G554" s="74"/>
      <c r="H554" s="74"/>
      <c r="I554" s="75"/>
    </row>
    <row r="555" ht="22.5" customHeight="1">
      <c r="A555" s="7">
        <v>553.0</v>
      </c>
      <c r="B555" s="32"/>
      <c r="C555" s="69"/>
      <c r="D555" s="73"/>
      <c r="E555" s="73"/>
      <c r="F555" s="74"/>
      <c r="G555" s="74"/>
      <c r="H555" s="74"/>
      <c r="I555" s="75"/>
    </row>
    <row r="556" ht="22.5" customHeight="1">
      <c r="A556" s="7">
        <v>554.0</v>
      </c>
      <c r="B556" s="32"/>
      <c r="C556" s="69"/>
      <c r="D556" s="73"/>
      <c r="E556" s="73"/>
      <c r="F556" s="74"/>
      <c r="G556" s="74"/>
      <c r="H556" s="74"/>
      <c r="I556" s="75"/>
    </row>
    <row r="557" ht="22.5" customHeight="1">
      <c r="A557" s="7">
        <v>555.0</v>
      </c>
      <c r="B557" s="32"/>
      <c r="C557" s="69"/>
      <c r="D557" s="73"/>
      <c r="E557" s="73"/>
      <c r="F557" s="74"/>
      <c r="G557" s="74"/>
      <c r="H557" s="74"/>
      <c r="I557" s="75"/>
    </row>
    <row r="558" ht="22.5" customHeight="1">
      <c r="A558" s="7">
        <v>556.0</v>
      </c>
      <c r="B558" s="32"/>
      <c r="C558" s="69"/>
      <c r="D558" s="73"/>
      <c r="E558" s="73"/>
      <c r="F558" s="74"/>
      <c r="G558" s="74"/>
      <c r="H558" s="74"/>
      <c r="I558" s="75"/>
    </row>
    <row r="559" ht="22.5" customHeight="1">
      <c r="A559" s="7">
        <v>557.0</v>
      </c>
      <c r="B559" s="32"/>
      <c r="C559" s="69"/>
      <c r="D559" s="73"/>
      <c r="E559" s="73"/>
      <c r="F559" s="74"/>
      <c r="G559" s="74"/>
      <c r="H559" s="74"/>
      <c r="I559" s="75"/>
    </row>
    <row r="560" ht="22.5" customHeight="1">
      <c r="A560" s="7">
        <v>558.0</v>
      </c>
      <c r="B560" s="32"/>
      <c r="C560" s="69"/>
      <c r="D560" s="73"/>
      <c r="E560" s="73"/>
      <c r="F560" s="74"/>
      <c r="G560" s="74"/>
      <c r="H560" s="74"/>
      <c r="I560" s="75"/>
    </row>
    <row r="561" ht="22.5" customHeight="1">
      <c r="A561" s="7">
        <v>559.0</v>
      </c>
      <c r="B561" s="32"/>
      <c r="C561" s="69"/>
      <c r="D561" s="73"/>
      <c r="E561" s="73"/>
      <c r="F561" s="74"/>
      <c r="G561" s="74"/>
      <c r="H561" s="74"/>
      <c r="I561" s="75"/>
    </row>
    <row r="562" ht="22.5" customHeight="1">
      <c r="A562" s="7">
        <v>560.0</v>
      </c>
      <c r="B562" s="32"/>
      <c r="C562" s="69"/>
      <c r="D562" s="73"/>
      <c r="E562" s="73"/>
      <c r="F562" s="74"/>
      <c r="G562" s="74"/>
      <c r="H562" s="74"/>
      <c r="I562" s="75"/>
    </row>
    <row r="563" ht="22.5" customHeight="1">
      <c r="A563" s="7">
        <v>561.0</v>
      </c>
      <c r="B563" s="32"/>
      <c r="C563" s="69"/>
      <c r="D563" s="73"/>
      <c r="E563" s="73"/>
      <c r="F563" s="74"/>
      <c r="G563" s="74"/>
      <c r="H563" s="74"/>
      <c r="I563" s="75"/>
    </row>
    <row r="564" ht="22.5" customHeight="1">
      <c r="A564" s="7">
        <v>562.0</v>
      </c>
      <c r="B564" s="32"/>
      <c r="C564" s="69"/>
      <c r="D564" s="73"/>
      <c r="E564" s="73"/>
      <c r="F564" s="74"/>
      <c r="G564" s="74"/>
      <c r="H564" s="74"/>
      <c r="I564" s="75"/>
    </row>
    <row r="565" ht="22.5" customHeight="1">
      <c r="A565" s="7">
        <v>563.0</v>
      </c>
      <c r="B565" s="32"/>
      <c r="C565" s="69"/>
      <c r="D565" s="73"/>
      <c r="E565" s="73"/>
      <c r="F565" s="74"/>
      <c r="G565" s="74"/>
      <c r="H565" s="74"/>
      <c r="I565" s="75"/>
    </row>
    <row r="566" ht="22.5" customHeight="1">
      <c r="A566" s="7">
        <v>564.0</v>
      </c>
      <c r="B566" s="32"/>
      <c r="C566" s="69"/>
      <c r="D566" s="73"/>
      <c r="E566" s="73"/>
      <c r="F566" s="74"/>
      <c r="G566" s="74"/>
      <c r="H566" s="74"/>
      <c r="I566" s="75"/>
    </row>
    <row r="567" ht="22.5" customHeight="1">
      <c r="A567" s="7">
        <v>565.0</v>
      </c>
      <c r="B567" s="32"/>
      <c r="C567" s="69"/>
      <c r="D567" s="73"/>
      <c r="E567" s="73"/>
      <c r="F567" s="74"/>
      <c r="G567" s="74"/>
      <c r="H567" s="74"/>
      <c r="I567" s="75"/>
    </row>
    <row r="568" ht="22.5" customHeight="1">
      <c r="A568" s="7">
        <v>566.0</v>
      </c>
      <c r="B568" s="32"/>
      <c r="C568" s="69"/>
      <c r="D568" s="73"/>
      <c r="E568" s="73"/>
      <c r="F568" s="74"/>
      <c r="G568" s="74"/>
      <c r="H568" s="74"/>
      <c r="I568" s="75"/>
    </row>
    <row r="569" ht="22.5" customHeight="1">
      <c r="A569" s="7">
        <v>567.0</v>
      </c>
      <c r="B569" s="32"/>
      <c r="C569" s="69"/>
      <c r="D569" s="73"/>
      <c r="E569" s="73"/>
      <c r="F569" s="74"/>
      <c r="G569" s="74"/>
      <c r="H569" s="74"/>
      <c r="I569" s="75"/>
    </row>
    <row r="570" ht="22.5" customHeight="1">
      <c r="A570" s="7">
        <v>568.0</v>
      </c>
      <c r="B570" s="32"/>
      <c r="C570" s="69"/>
      <c r="D570" s="73"/>
      <c r="E570" s="73"/>
      <c r="F570" s="74"/>
      <c r="G570" s="74"/>
      <c r="H570" s="74"/>
      <c r="I570" s="75"/>
    </row>
    <row r="571" ht="22.5" customHeight="1">
      <c r="A571" s="7">
        <v>569.0</v>
      </c>
      <c r="B571" s="32"/>
      <c r="C571" s="69"/>
      <c r="D571" s="73"/>
      <c r="E571" s="73"/>
      <c r="F571" s="74"/>
      <c r="G571" s="74"/>
      <c r="H571" s="74"/>
      <c r="I571" s="75"/>
    </row>
    <row r="572" ht="22.5" customHeight="1">
      <c r="A572" s="7">
        <v>570.0</v>
      </c>
      <c r="B572" s="32"/>
      <c r="C572" s="69"/>
      <c r="D572" s="73"/>
      <c r="E572" s="73"/>
      <c r="F572" s="74"/>
      <c r="G572" s="74"/>
      <c r="H572" s="74"/>
      <c r="I572" s="75"/>
    </row>
    <row r="573" ht="22.5" customHeight="1">
      <c r="A573" s="7">
        <v>571.0</v>
      </c>
      <c r="B573" s="32"/>
      <c r="C573" s="69"/>
      <c r="D573" s="73"/>
      <c r="E573" s="73"/>
      <c r="F573" s="74"/>
      <c r="G573" s="74"/>
      <c r="H573" s="74"/>
      <c r="I573" s="75"/>
    </row>
    <row r="574" ht="22.5" customHeight="1">
      <c r="A574" s="7">
        <v>572.0</v>
      </c>
      <c r="B574" s="32"/>
      <c r="C574" s="69"/>
      <c r="D574" s="73"/>
      <c r="E574" s="73"/>
      <c r="F574" s="74"/>
      <c r="G574" s="74"/>
      <c r="H574" s="74"/>
      <c r="I574" s="75"/>
    </row>
    <row r="575" ht="22.5" customHeight="1">
      <c r="A575" s="7">
        <v>573.0</v>
      </c>
      <c r="B575" s="32"/>
      <c r="C575" s="69"/>
      <c r="D575" s="73"/>
      <c r="E575" s="73"/>
      <c r="F575" s="74"/>
      <c r="G575" s="74"/>
      <c r="H575" s="74"/>
      <c r="I575" s="75"/>
    </row>
    <row r="576" ht="22.5" customHeight="1">
      <c r="A576" s="7">
        <v>574.0</v>
      </c>
      <c r="B576" s="32"/>
      <c r="C576" s="69"/>
      <c r="D576" s="73"/>
      <c r="E576" s="73"/>
      <c r="F576" s="74"/>
      <c r="G576" s="74"/>
      <c r="H576" s="74"/>
      <c r="I576" s="75"/>
    </row>
    <row r="577" ht="22.5" customHeight="1">
      <c r="A577" s="7">
        <v>575.0</v>
      </c>
      <c r="B577" s="32"/>
      <c r="C577" s="69"/>
      <c r="D577" s="73"/>
      <c r="E577" s="73"/>
      <c r="F577" s="74"/>
      <c r="G577" s="74"/>
      <c r="H577" s="74"/>
      <c r="I577" s="75"/>
    </row>
    <row r="578" ht="22.5" customHeight="1">
      <c r="A578" s="7">
        <v>576.0</v>
      </c>
      <c r="B578" s="32"/>
      <c r="C578" s="69"/>
      <c r="D578" s="73"/>
      <c r="E578" s="73"/>
      <c r="F578" s="74"/>
      <c r="G578" s="74"/>
      <c r="H578" s="74"/>
      <c r="I578" s="75"/>
    </row>
    <row r="579" ht="22.5" customHeight="1">
      <c r="A579" s="7">
        <v>577.0</v>
      </c>
      <c r="B579" s="32"/>
      <c r="C579" s="69"/>
      <c r="D579" s="73"/>
      <c r="E579" s="73"/>
      <c r="F579" s="74"/>
      <c r="G579" s="74"/>
      <c r="H579" s="74"/>
      <c r="I579" s="75"/>
    </row>
    <row r="580" ht="22.5" customHeight="1">
      <c r="A580" s="7">
        <v>578.0</v>
      </c>
      <c r="B580" s="32"/>
      <c r="C580" s="69"/>
      <c r="D580" s="73"/>
      <c r="E580" s="73"/>
      <c r="F580" s="74"/>
      <c r="G580" s="74"/>
      <c r="H580" s="74"/>
      <c r="I580" s="75"/>
    </row>
    <row r="581" ht="22.5" customHeight="1">
      <c r="A581" s="7">
        <v>579.0</v>
      </c>
      <c r="B581" s="32"/>
      <c r="C581" s="69"/>
      <c r="D581" s="73"/>
      <c r="E581" s="73"/>
      <c r="F581" s="74"/>
      <c r="G581" s="74"/>
      <c r="H581" s="74"/>
      <c r="I581" s="75"/>
    </row>
    <row r="582" ht="22.5" customHeight="1">
      <c r="A582" s="7">
        <v>580.0</v>
      </c>
      <c r="B582" s="32"/>
      <c r="C582" s="69"/>
      <c r="D582" s="73"/>
      <c r="E582" s="73"/>
      <c r="F582" s="74"/>
      <c r="G582" s="74"/>
      <c r="H582" s="74"/>
      <c r="I582" s="75"/>
    </row>
    <row r="583" ht="22.5" customHeight="1">
      <c r="A583" s="7">
        <v>581.0</v>
      </c>
      <c r="B583" s="32"/>
      <c r="C583" s="69"/>
      <c r="D583" s="73"/>
      <c r="E583" s="73"/>
      <c r="F583" s="74"/>
      <c r="G583" s="74"/>
      <c r="H583" s="74"/>
      <c r="I583" s="75"/>
    </row>
    <row r="584" ht="22.5" customHeight="1">
      <c r="A584" s="7">
        <v>582.0</v>
      </c>
      <c r="B584" s="32"/>
      <c r="C584" s="69"/>
      <c r="D584" s="73"/>
      <c r="E584" s="73"/>
      <c r="F584" s="74"/>
      <c r="G584" s="74"/>
      <c r="H584" s="74"/>
      <c r="I584" s="75"/>
    </row>
    <row r="585" ht="22.5" customHeight="1">
      <c r="A585" s="7">
        <v>583.0</v>
      </c>
      <c r="B585" s="32"/>
      <c r="C585" s="69"/>
      <c r="D585" s="73"/>
      <c r="E585" s="73"/>
      <c r="F585" s="74"/>
      <c r="G585" s="74"/>
      <c r="H585" s="74"/>
      <c r="I585" s="75"/>
    </row>
    <row r="586" ht="22.5" customHeight="1">
      <c r="A586" s="7">
        <v>584.0</v>
      </c>
      <c r="B586" s="32"/>
      <c r="C586" s="69"/>
      <c r="D586" s="73"/>
      <c r="E586" s="73"/>
      <c r="F586" s="74"/>
      <c r="G586" s="74"/>
      <c r="H586" s="74"/>
      <c r="I586" s="75"/>
    </row>
    <row r="587" ht="22.5" customHeight="1">
      <c r="A587" s="7">
        <v>585.0</v>
      </c>
      <c r="B587" s="32"/>
      <c r="C587" s="69"/>
      <c r="D587" s="73"/>
      <c r="E587" s="73"/>
      <c r="F587" s="74"/>
      <c r="G587" s="74"/>
      <c r="H587" s="74"/>
      <c r="I587" s="75"/>
    </row>
    <row r="588" ht="22.5" customHeight="1">
      <c r="A588" s="7">
        <v>586.0</v>
      </c>
      <c r="B588" s="32"/>
      <c r="C588" s="69"/>
      <c r="D588" s="73"/>
      <c r="E588" s="73"/>
      <c r="F588" s="74"/>
      <c r="G588" s="74"/>
      <c r="H588" s="74"/>
      <c r="I588" s="75"/>
    </row>
    <row r="589" ht="22.5" customHeight="1">
      <c r="A589" s="7">
        <v>587.0</v>
      </c>
      <c r="B589" s="32"/>
      <c r="C589" s="69"/>
      <c r="D589" s="73"/>
      <c r="E589" s="73"/>
      <c r="F589" s="74"/>
      <c r="G589" s="74"/>
      <c r="H589" s="74"/>
      <c r="I589" s="75"/>
    </row>
    <row r="590" ht="22.5" customHeight="1">
      <c r="A590" s="7">
        <v>588.0</v>
      </c>
      <c r="B590" s="32"/>
      <c r="C590" s="69"/>
      <c r="D590" s="73"/>
      <c r="E590" s="73"/>
      <c r="F590" s="74"/>
      <c r="G590" s="74"/>
      <c r="H590" s="74"/>
      <c r="I590" s="75"/>
    </row>
    <row r="591" ht="22.5" customHeight="1">
      <c r="A591" s="7">
        <v>589.0</v>
      </c>
      <c r="B591" s="32"/>
      <c r="C591" s="69"/>
      <c r="D591" s="73"/>
      <c r="E591" s="73"/>
      <c r="F591" s="74"/>
      <c r="G591" s="74"/>
      <c r="H591" s="74"/>
      <c r="I591" s="75"/>
    </row>
    <row r="592" ht="22.5" customHeight="1">
      <c r="A592" s="7">
        <v>590.0</v>
      </c>
      <c r="B592" s="32"/>
      <c r="C592" s="69"/>
      <c r="D592" s="73"/>
      <c r="E592" s="73"/>
      <c r="F592" s="74"/>
      <c r="G592" s="74"/>
      <c r="H592" s="74"/>
      <c r="I592" s="75"/>
    </row>
    <row r="593" ht="22.5" customHeight="1">
      <c r="A593" s="7">
        <v>591.0</v>
      </c>
      <c r="B593" s="32"/>
      <c r="C593" s="69"/>
      <c r="D593" s="73"/>
      <c r="E593" s="73"/>
      <c r="F593" s="74"/>
      <c r="G593" s="74"/>
      <c r="H593" s="74"/>
      <c r="I593" s="75"/>
    </row>
    <row r="594" ht="22.5" customHeight="1">
      <c r="A594" s="7">
        <v>592.0</v>
      </c>
      <c r="B594" s="32"/>
      <c r="C594" s="69"/>
      <c r="D594" s="73"/>
      <c r="E594" s="73"/>
      <c r="F594" s="74"/>
      <c r="G594" s="74"/>
      <c r="H594" s="74"/>
      <c r="I594" s="75"/>
    </row>
    <row r="595" ht="22.5" customHeight="1">
      <c r="A595" s="7">
        <v>593.0</v>
      </c>
      <c r="B595" s="32"/>
      <c r="C595" s="69"/>
      <c r="D595" s="73"/>
      <c r="E595" s="73"/>
      <c r="F595" s="74"/>
      <c r="G595" s="74"/>
      <c r="H595" s="74"/>
      <c r="I595" s="75"/>
    </row>
    <row r="596" ht="22.5" customHeight="1">
      <c r="A596" s="7">
        <v>594.0</v>
      </c>
      <c r="B596" s="32"/>
      <c r="C596" s="69"/>
      <c r="D596" s="73"/>
      <c r="E596" s="73"/>
      <c r="F596" s="74"/>
      <c r="G596" s="74"/>
      <c r="H596" s="74"/>
      <c r="I596" s="75"/>
    </row>
    <row r="597" ht="22.5" customHeight="1">
      <c r="A597" s="7">
        <v>595.0</v>
      </c>
      <c r="B597" s="32"/>
      <c r="C597" s="69"/>
      <c r="D597" s="73"/>
      <c r="E597" s="73"/>
      <c r="F597" s="74"/>
      <c r="G597" s="74"/>
      <c r="H597" s="74"/>
      <c r="I597" s="75"/>
    </row>
    <row r="598" ht="22.5" customHeight="1">
      <c r="A598" s="7">
        <v>596.0</v>
      </c>
      <c r="B598" s="32"/>
      <c r="C598" s="69"/>
      <c r="D598" s="73"/>
      <c r="E598" s="73"/>
      <c r="F598" s="74"/>
      <c r="G598" s="74"/>
      <c r="H598" s="74"/>
      <c r="I598" s="75"/>
    </row>
    <row r="599" ht="22.5" customHeight="1">
      <c r="A599" s="7">
        <v>597.0</v>
      </c>
      <c r="B599" s="32"/>
      <c r="C599" s="69"/>
      <c r="D599" s="73"/>
      <c r="E599" s="73"/>
      <c r="F599" s="74"/>
      <c r="G599" s="74"/>
      <c r="H599" s="74"/>
      <c r="I599" s="75"/>
    </row>
    <row r="600" ht="22.5" customHeight="1">
      <c r="A600" s="7">
        <v>598.0</v>
      </c>
      <c r="B600" s="32"/>
      <c r="C600" s="69"/>
      <c r="D600" s="73"/>
      <c r="E600" s="73"/>
      <c r="F600" s="74"/>
      <c r="G600" s="74"/>
      <c r="H600" s="74"/>
      <c r="I600" s="75"/>
    </row>
    <row r="601" ht="22.5" customHeight="1">
      <c r="A601" s="7">
        <v>599.0</v>
      </c>
      <c r="B601" s="32"/>
      <c r="C601" s="69"/>
      <c r="D601" s="73"/>
      <c r="E601" s="73"/>
      <c r="F601" s="74"/>
      <c r="G601" s="74"/>
      <c r="H601" s="74"/>
      <c r="I601" s="75"/>
    </row>
    <row r="602" ht="22.5" customHeight="1">
      <c r="A602" s="7">
        <v>600.0</v>
      </c>
      <c r="B602" s="32"/>
      <c r="C602" s="69"/>
      <c r="D602" s="73"/>
      <c r="E602" s="73"/>
      <c r="F602" s="74"/>
      <c r="G602" s="74"/>
      <c r="H602" s="74"/>
      <c r="I602" s="75"/>
    </row>
    <row r="603" ht="22.5" customHeight="1">
      <c r="A603" s="7">
        <v>601.0</v>
      </c>
      <c r="B603" s="32"/>
      <c r="C603" s="69"/>
      <c r="D603" s="73"/>
      <c r="E603" s="73"/>
      <c r="F603" s="74"/>
      <c r="G603" s="74"/>
      <c r="H603" s="74"/>
      <c r="I603" s="75"/>
    </row>
    <row r="604" ht="22.5" customHeight="1">
      <c r="A604" s="7">
        <v>602.0</v>
      </c>
      <c r="B604" s="32"/>
      <c r="C604" s="69"/>
      <c r="D604" s="73"/>
      <c r="E604" s="73"/>
      <c r="F604" s="74"/>
      <c r="G604" s="74"/>
      <c r="H604" s="74"/>
      <c r="I604" s="75"/>
    </row>
    <row r="605" ht="22.5" customHeight="1">
      <c r="A605" s="7">
        <v>603.0</v>
      </c>
      <c r="B605" s="32"/>
      <c r="C605" s="69"/>
      <c r="D605" s="73"/>
      <c r="E605" s="73"/>
      <c r="F605" s="74"/>
      <c r="G605" s="74"/>
      <c r="H605" s="74"/>
      <c r="I605" s="75"/>
    </row>
    <row r="606" ht="22.5" customHeight="1">
      <c r="A606" s="7">
        <v>604.0</v>
      </c>
      <c r="B606" s="32"/>
      <c r="C606" s="69"/>
      <c r="D606" s="73"/>
      <c r="E606" s="73"/>
      <c r="F606" s="74"/>
      <c r="G606" s="74"/>
      <c r="H606" s="74"/>
      <c r="I606" s="75"/>
    </row>
    <row r="607" ht="22.5" customHeight="1">
      <c r="A607" s="7">
        <v>605.0</v>
      </c>
      <c r="B607" s="32"/>
      <c r="C607" s="69"/>
      <c r="D607" s="73"/>
      <c r="E607" s="73"/>
      <c r="F607" s="74"/>
      <c r="G607" s="74"/>
      <c r="H607" s="74"/>
      <c r="I607" s="75"/>
    </row>
    <row r="608" ht="22.5" customHeight="1">
      <c r="A608" s="8"/>
      <c r="B608" s="32"/>
      <c r="C608" s="69"/>
      <c r="D608" s="73"/>
      <c r="E608" s="73"/>
      <c r="F608" s="74"/>
      <c r="G608" s="74"/>
      <c r="H608" s="74"/>
      <c r="I608" s="75"/>
    </row>
    <row r="609" ht="22.5" customHeight="1">
      <c r="A609" s="8"/>
      <c r="B609" s="32"/>
      <c r="C609" s="69"/>
      <c r="D609" s="73"/>
      <c r="E609" s="73"/>
      <c r="F609" s="74"/>
      <c r="G609" s="74"/>
      <c r="H609" s="74"/>
      <c r="I609" s="75"/>
    </row>
    <row r="610" ht="22.5" customHeight="1">
      <c r="A610" s="8"/>
      <c r="B610" s="32"/>
      <c r="C610" s="69"/>
      <c r="D610" s="73"/>
      <c r="E610" s="73"/>
      <c r="F610" s="74"/>
      <c r="G610" s="74"/>
      <c r="H610" s="74"/>
      <c r="I610" s="75"/>
    </row>
    <row r="611" ht="22.5" customHeight="1">
      <c r="A611" s="8"/>
      <c r="B611" s="32"/>
      <c r="C611" s="69"/>
      <c r="D611" s="73"/>
      <c r="E611" s="73"/>
      <c r="F611" s="74"/>
      <c r="G611" s="74"/>
      <c r="H611" s="74"/>
      <c r="I611" s="75"/>
    </row>
    <row r="612" ht="22.5" customHeight="1">
      <c r="A612" s="8"/>
      <c r="B612" s="32"/>
      <c r="C612" s="69"/>
      <c r="D612" s="73"/>
      <c r="E612" s="73"/>
      <c r="F612" s="74"/>
      <c r="G612" s="74"/>
      <c r="H612" s="74"/>
      <c r="I612" s="75"/>
    </row>
    <row r="613" ht="22.5" customHeight="1">
      <c r="A613" s="8"/>
      <c r="B613" s="32"/>
      <c r="C613" s="69"/>
      <c r="D613" s="73"/>
      <c r="E613" s="73"/>
      <c r="F613" s="74"/>
      <c r="G613" s="74"/>
      <c r="H613" s="74"/>
      <c r="I613" s="75"/>
    </row>
    <row r="614" ht="22.5" customHeight="1">
      <c r="A614" s="8"/>
      <c r="B614" s="32"/>
      <c r="C614" s="69"/>
      <c r="D614" s="73"/>
      <c r="E614" s="73"/>
      <c r="F614" s="74"/>
      <c r="G614" s="74"/>
      <c r="H614" s="74"/>
      <c r="I614" s="75"/>
    </row>
    <row r="615" ht="22.5" customHeight="1">
      <c r="A615" s="8"/>
      <c r="B615" s="32"/>
      <c r="C615" s="69"/>
      <c r="D615" s="73"/>
      <c r="E615" s="73"/>
      <c r="F615" s="74"/>
      <c r="G615" s="74"/>
      <c r="H615" s="74"/>
      <c r="I615" s="75"/>
    </row>
    <row r="616" ht="22.5" customHeight="1">
      <c r="A616" s="8"/>
      <c r="B616" s="32"/>
      <c r="C616" s="69"/>
      <c r="D616" s="73"/>
      <c r="E616" s="73"/>
      <c r="F616" s="74"/>
      <c r="G616" s="74"/>
      <c r="H616" s="74"/>
      <c r="I616" s="75"/>
    </row>
    <row r="617" ht="22.5" customHeight="1">
      <c r="A617" s="8"/>
      <c r="B617" s="32"/>
      <c r="C617" s="69"/>
      <c r="D617" s="73"/>
      <c r="E617" s="73"/>
      <c r="F617" s="74"/>
      <c r="G617" s="74"/>
      <c r="H617" s="74"/>
      <c r="I617" s="75"/>
    </row>
    <row r="618" ht="22.5" customHeight="1">
      <c r="A618" s="8"/>
      <c r="B618" s="32"/>
      <c r="C618" s="69"/>
      <c r="D618" s="73"/>
      <c r="E618" s="73"/>
      <c r="F618" s="74"/>
      <c r="G618" s="74"/>
      <c r="H618" s="74"/>
      <c r="I618" s="75"/>
    </row>
    <row r="619" ht="22.5" customHeight="1">
      <c r="A619" s="8"/>
      <c r="B619" s="32"/>
      <c r="C619" s="69"/>
      <c r="D619" s="73"/>
      <c r="E619" s="73"/>
      <c r="F619" s="74"/>
      <c r="G619" s="74"/>
      <c r="H619" s="74"/>
      <c r="I619" s="75"/>
    </row>
    <row r="620" ht="22.5" customHeight="1">
      <c r="A620" s="8"/>
      <c r="B620" s="32"/>
      <c r="C620" s="69"/>
      <c r="D620" s="73"/>
      <c r="E620" s="73"/>
      <c r="F620" s="74"/>
      <c r="G620" s="74"/>
      <c r="H620" s="74"/>
      <c r="I620" s="75"/>
    </row>
    <row r="621" ht="22.5" customHeight="1">
      <c r="A621" s="8"/>
      <c r="B621" s="32"/>
      <c r="C621" s="69"/>
      <c r="D621" s="73"/>
      <c r="E621" s="73"/>
      <c r="F621" s="74"/>
      <c r="G621" s="74"/>
      <c r="H621" s="74"/>
      <c r="I621" s="75"/>
    </row>
    <row r="622" ht="22.5" customHeight="1">
      <c r="A622" s="8"/>
      <c r="B622" s="32"/>
      <c r="C622" s="69"/>
      <c r="D622" s="73"/>
      <c r="E622" s="73"/>
      <c r="F622" s="74"/>
      <c r="G622" s="74"/>
      <c r="H622" s="74"/>
      <c r="I622" s="75"/>
    </row>
    <row r="623" ht="22.5" customHeight="1">
      <c r="A623" s="8"/>
      <c r="B623" s="32"/>
      <c r="C623" s="69"/>
      <c r="D623" s="73"/>
      <c r="E623" s="73"/>
      <c r="F623" s="74"/>
      <c r="G623" s="74"/>
      <c r="H623" s="74"/>
      <c r="I623" s="75"/>
    </row>
    <row r="624" ht="22.5" customHeight="1">
      <c r="A624" s="8"/>
      <c r="B624" s="32"/>
      <c r="C624" s="69"/>
      <c r="D624" s="73"/>
      <c r="E624" s="73"/>
      <c r="F624" s="74"/>
      <c r="G624" s="74"/>
      <c r="H624" s="74"/>
      <c r="I624" s="75"/>
    </row>
    <row r="625" ht="22.5" customHeight="1">
      <c r="A625" s="8"/>
      <c r="B625" s="32"/>
      <c r="C625" s="69"/>
      <c r="D625" s="73"/>
      <c r="E625" s="73"/>
      <c r="F625" s="74"/>
      <c r="G625" s="74"/>
      <c r="H625" s="74"/>
      <c r="I625" s="75"/>
    </row>
    <row r="626" ht="22.5" customHeight="1">
      <c r="A626" s="8"/>
      <c r="B626" s="32"/>
      <c r="C626" s="69"/>
      <c r="D626" s="73"/>
      <c r="E626" s="73"/>
      <c r="F626" s="74"/>
      <c r="G626" s="74"/>
      <c r="H626" s="74"/>
      <c r="I626" s="75"/>
    </row>
    <row r="627" ht="22.5" customHeight="1">
      <c r="A627" s="8"/>
      <c r="B627" s="32"/>
      <c r="C627" s="69"/>
      <c r="D627" s="73"/>
      <c r="E627" s="73"/>
      <c r="F627" s="74"/>
      <c r="G627" s="74"/>
      <c r="H627" s="74"/>
      <c r="I627" s="75"/>
    </row>
    <row r="628" ht="22.5" customHeight="1">
      <c r="A628" s="8"/>
      <c r="B628" s="32"/>
      <c r="C628" s="69"/>
      <c r="D628" s="73"/>
      <c r="E628" s="73"/>
      <c r="F628" s="74"/>
      <c r="G628" s="74"/>
      <c r="H628" s="74"/>
      <c r="I628" s="75"/>
    </row>
    <row r="629" ht="22.5" customHeight="1">
      <c r="A629" s="8"/>
      <c r="B629" s="32"/>
      <c r="C629" s="69"/>
      <c r="D629" s="73"/>
      <c r="E629" s="73"/>
      <c r="F629" s="74"/>
      <c r="G629" s="74"/>
      <c r="H629" s="74"/>
      <c r="I629" s="75"/>
    </row>
    <row r="630" ht="22.5" customHeight="1">
      <c r="A630" s="8"/>
      <c r="B630" s="32"/>
      <c r="C630" s="69"/>
      <c r="D630" s="73"/>
      <c r="E630" s="73"/>
      <c r="F630" s="74"/>
      <c r="G630" s="74"/>
      <c r="H630" s="74"/>
      <c r="I630" s="75"/>
    </row>
    <row r="631" ht="22.5" customHeight="1">
      <c r="A631" s="8"/>
      <c r="B631" s="32"/>
      <c r="C631" s="69"/>
      <c r="D631" s="73"/>
      <c r="E631" s="73"/>
      <c r="F631" s="74"/>
      <c r="G631" s="74"/>
      <c r="H631" s="74"/>
      <c r="I631" s="75"/>
    </row>
    <row r="632" ht="22.5" customHeight="1">
      <c r="A632" s="8"/>
      <c r="B632" s="32"/>
      <c r="C632" s="69"/>
      <c r="D632" s="73"/>
      <c r="E632" s="73"/>
      <c r="F632" s="74"/>
      <c r="G632" s="74"/>
      <c r="H632" s="74"/>
      <c r="I632" s="75"/>
    </row>
    <row r="633" ht="22.5" customHeight="1">
      <c r="A633" s="8"/>
      <c r="B633" s="32"/>
      <c r="C633" s="69"/>
      <c r="D633" s="73"/>
      <c r="E633" s="73"/>
      <c r="F633" s="74"/>
      <c r="G633" s="74"/>
      <c r="H633" s="74"/>
      <c r="I633" s="75"/>
    </row>
    <row r="634" ht="22.5" customHeight="1">
      <c r="A634" s="8"/>
      <c r="B634" s="32"/>
      <c r="C634" s="69"/>
      <c r="D634" s="73"/>
      <c r="E634" s="73"/>
      <c r="F634" s="74"/>
      <c r="G634" s="74"/>
      <c r="H634" s="74"/>
      <c r="I634" s="75"/>
    </row>
    <row r="635" ht="22.5" customHeight="1">
      <c r="A635" s="8"/>
      <c r="B635" s="32"/>
      <c r="C635" s="69"/>
      <c r="D635" s="73"/>
      <c r="E635" s="73"/>
      <c r="F635" s="74"/>
      <c r="G635" s="74"/>
      <c r="H635" s="74"/>
      <c r="I635" s="75"/>
    </row>
    <row r="636" ht="22.5" customHeight="1">
      <c r="A636" s="8"/>
      <c r="B636" s="32"/>
      <c r="C636" s="69"/>
      <c r="D636" s="73"/>
      <c r="E636" s="73"/>
      <c r="F636" s="74"/>
      <c r="G636" s="74"/>
      <c r="H636" s="74"/>
      <c r="I636" s="75"/>
    </row>
    <row r="637" ht="22.5" customHeight="1">
      <c r="A637" s="8"/>
      <c r="B637" s="32"/>
      <c r="C637" s="69"/>
      <c r="D637" s="73"/>
      <c r="E637" s="73"/>
      <c r="F637" s="74"/>
      <c r="G637" s="74"/>
      <c r="H637" s="74"/>
      <c r="I637" s="75"/>
    </row>
    <row r="638" ht="22.5" customHeight="1">
      <c r="A638" s="8"/>
      <c r="B638" s="32"/>
      <c r="C638" s="69"/>
      <c r="D638" s="73"/>
      <c r="E638" s="73"/>
      <c r="F638" s="74"/>
      <c r="G638" s="74"/>
      <c r="H638" s="74"/>
      <c r="I638" s="75"/>
    </row>
    <row r="639" ht="22.5" customHeight="1">
      <c r="A639" s="8"/>
      <c r="B639" s="32"/>
      <c r="C639" s="69"/>
      <c r="D639" s="73"/>
      <c r="E639" s="73"/>
      <c r="F639" s="74"/>
      <c r="G639" s="74"/>
      <c r="H639" s="74"/>
      <c r="I639" s="75"/>
    </row>
    <row r="640" ht="22.5" customHeight="1">
      <c r="A640" s="8"/>
      <c r="B640" s="32"/>
      <c r="C640" s="69"/>
      <c r="D640" s="73"/>
      <c r="E640" s="73"/>
      <c r="F640" s="74"/>
      <c r="G640" s="74"/>
      <c r="H640" s="74"/>
      <c r="I640" s="75"/>
    </row>
    <row r="641" ht="22.5" customHeight="1">
      <c r="A641" s="8"/>
      <c r="B641" s="32"/>
      <c r="C641" s="69"/>
      <c r="D641" s="73"/>
      <c r="E641" s="73"/>
      <c r="F641" s="74"/>
      <c r="G641" s="74"/>
      <c r="H641" s="74"/>
      <c r="I641" s="75"/>
    </row>
    <row r="642" ht="22.5" customHeight="1">
      <c r="A642" s="8"/>
      <c r="B642" s="32"/>
      <c r="C642" s="69"/>
      <c r="D642" s="73"/>
      <c r="E642" s="73"/>
      <c r="F642" s="74"/>
      <c r="G642" s="74"/>
      <c r="H642" s="74"/>
      <c r="I642" s="75"/>
    </row>
    <row r="643" ht="22.5" customHeight="1">
      <c r="A643" s="8"/>
      <c r="B643" s="32"/>
      <c r="C643" s="69"/>
      <c r="D643" s="73"/>
      <c r="E643" s="73"/>
      <c r="F643" s="74"/>
      <c r="G643" s="74"/>
      <c r="H643" s="74"/>
      <c r="I643" s="75"/>
    </row>
    <row r="644" ht="22.5" customHeight="1">
      <c r="A644" s="8"/>
      <c r="B644" s="32"/>
      <c r="C644" s="69"/>
      <c r="D644" s="73"/>
      <c r="E644" s="73"/>
      <c r="F644" s="74"/>
      <c r="G644" s="74"/>
      <c r="H644" s="74"/>
      <c r="I644" s="75"/>
    </row>
    <row r="645" ht="22.5" customHeight="1">
      <c r="A645" s="8"/>
      <c r="B645" s="32"/>
      <c r="C645" s="69"/>
      <c r="D645" s="73"/>
      <c r="E645" s="73"/>
      <c r="F645" s="74"/>
      <c r="G645" s="74"/>
      <c r="H645" s="74"/>
      <c r="I645" s="75"/>
    </row>
    <row r="646" ht="22.5" customHeight="1">
      <c r="A646" s="8"/>
      <c r="B646" s="32"/>
      <c r="C646" s="69"/>
      <c r="D646" s="73"/>
      <c r="E646" s="73"/>
      <c r="F646" s="74"/>
      <c r="G646" s="74"/>
      <c r="H646" s="74"/>
      <c r="I646" s="75"/>
    </row>
    <row r="647" ht="22.5" customHeight="1">
      <c r="A647" s="8"/>
      <c r="B647" s="32"/>
      <c r="C647" s="69"/>
      <c r="D647" s="73"/>
      <c r="E647" s="73"/>
      <c r="F647" s="74"/>
      <c r="G647" s="74"/>
      <c r="H647" s="74"/>
      <c r="I647" s="75"/>
    </row>
    <row r="648" ht="22.5" customHeight="1">
      <c r="A648" s="8"/>
      <c r="B648" s="32"/>
      <c r="C648" s="69"/>
      <c r="D648" s="73"/>
      <c r="E648" s="73"/>
      <c r="F648" s="74"/>
      <c r="G648" s="74"/>
      <c r="H648" s="74"/>
      <c r="I648" s="75"/>
    </row>
    <row r="649" ht="22.5" customHeight="1">
      <c r="A649" s="8"/>
      <c r="B649" s="32"/>
      <c r="C649" s="69"/>
      <c r="D649" s="73"/>
      <c r="E649" s="73"/>
      <c r="F649" s="74"/>
      <c r="G649" s="74"/>
      <c r="H649" s="74"/>
      <c r="I649" s="75"/>
    </row>
    <row r="650" ht="22.5" customHeight="1">
      <c r="A650" s="8"/>
      <c r="B650" s="32"/>
      <c r="C650" s="69"/>
      <c r="D650" s="73"/>
      <c r="E650" s="73"/>
      <c r="F650" s="74"/>
      <c r="G650" s="74"/>
      <c r="H650" s="74"/>
      <c r="I650" s="75"/>
    </row>
    <row r="651" ht="22.5" customHeight="1">
      <c r="A651" s="8"/>
      <c r="B651" s="32"/>
      <c r="C651" s="69"/>
      <c r="D651" s="73"/>
      <c r="E651" s="73"/>
      <c r="F651" s="74"/>
      <c r="G651" s="74"/>
      <c r="H651" s="74"/>
      <c r="I651" s="75"/>
    </row>
    <row r="652" ht="22.5" customHeight="1">
      <c r="A652" s="8"/>
      <c r="B652" s="32"/>
      <c r="C652" s="69"/>
      <c r="D652" s="73"/>
      <c r="E652" s="73"/>
      <c r="F652" s="74"/>
      <c r="G652" s="74"/>
      <c r="H652" s="74"/>
      <c r="I652" s="75"/>
    </row>
    <row r="653" ht="22.5" customHeight="1">
      <c r="A653" s="8"/>
      <c r="B653" s="32"/>
      <c r="C653" s="69"/>
      <c r="D653" s="73"/>
      <c r="E653" s="73"/>
      <c r="F653" s="74"/>
      <c r="G653" s="74"/>
      <c r="H653" s="74"/>
      <c r="I653" s="75"/>
    </row>
    <row r="654" ht="22.5" customHeight="1">
      <c r="A654" s="8"/>
      <c r="B654" s="32"/>
      <c r="C654" s="69"/>
      <c r="D654" s="73"/>
      <c r="E654" s="73"/>
      <c r="F654" s="74"/>
      <c r="G654" s="74"/>
      <c r="H654" s="74"/>
      <c r="I654" s="75"/>
    </row>
    <row r="655" ht="22.5" customHeight="1">
      <c r="A655" s="8"/>
      <c r="B655" s="32"/>
      <c r="C655" s="69"/>
      <c r="D655" s="73"/>
      <c r="E655" s="73"/>
      <c r="F655" s="74"/>
      <c r="G655" s="74"/>
      <c r="H655" s="74"/>
      <c r="I655" s="75"/>
    </row>
    <row r="656" ht="22.5" customHeight="1">
      <c r="A656" s="8"/>
      <c r="B656" s="32"/>
      <c r="C656" s="69"/>
      <c r="D656" s="73"/>
      <c r="E656" s="73"/>
      <c r="F656" s="74"/>
      <c r="G656" s="74"/>
      <c r="H656" s="74"/>
      <c r="I656" s="75"/>
    </row>
    <row r="657" ht="22.5" customHeight="1">
      <c r="A657" s="8"/>
      <c r="B657" s="32"/>
      <c r="C657" s="69"/>
      <c r="D657" s="73"/>
      <c r="E657" s="73"/>
      <c r="F657" s="74"/>
      <c r="G657" s="74"/>
      <c r="H657" s="74"/>
      <c r="I657" s="75"/>
    </row>
    <row r="658" ht="22.5" customHeight="1">
      <c r="A658" s="8"/>
      <c r="B658" s="32"/>
      <c r="C658" s="69"/>
      <c r="D658" s="73"/>
      <c r="E658" s="73"/>
      <c r="F658" s="74"/>
      <c r="G658" s="74"/>
      <c r="H658" s="74"/>
      <c r="I658" s="75"/>
    </row>
    <row r="659" ht="22.5" customHeight="1">
      <c r="A659" s="8"/>
      <c r="B659" s="32"/>
      <c r="C659" s="69"/>
      <c r="D659" s="73"/>
      <c r="E659" s="73"/>
      <c r="F659" s="74"/>
      <c r="G659" s="74"/>
      <c r="H659" s="74"/>
      <c r="I659" s="75"/>
    </row>
    <row r="660" ht="22.5" customHeight="1">
      <c r="A660" s="8"/>
      <c r="B660" s="32"/>
      <c r="C660" s="69"/>
      <c r="D660" s="73"/>
      <c r="E660" s="73"/>
      <c r="F660" s="74"/>
      <c r="G660" s="74"/>
      <c r="H660" s="74"/>
      <c r="I660" s="75"/>
    </row>
    <row r="661" ht="22.5" customHeight="1">
      <c r="A661" s="8"/>
      <c r="B661" s="32"/>
      <c r="C661" s="69"/>
      <c r="D661" s="73"/>
      <c r="E661" s="73"/>
      <c r="F661" s="74"/>
      <c r="G661" s="74"/>
      <c r="H661" s="74"/>
      <c r="I661" s="75"/>
    </row>
    <row r="662" ht="22.5" customHeight="1">
      <c r="A662" s="8"/>
      <c r="B662" s="32"/>
      <c r="C662" s="69"/>
      <c r="D662" s="73"/>
      <c r="E662" s="73"/>
      <c r="F662" s="74"/>
      <c r="G662" s="74"/>
      <c r="H662" s="74"/>
      <c r="I662" s="75"/>
    </row>
    <row r="663" ht="22.5" customHeight="1">
      <c r="A663" s="8"/>
      <c r="B663" s="32"/>
      <c r="C663" s="69"/>
      <c r="D663" s="73"/>
      <c r="E663" s="73"/>
      <c r="F663" s="74"/>
      <c r="G663" s="74"/>
      <c r="H663" s="74"/>
      <c r="I663" s="75"/>
    </row>
    <row r="664" ht="22.5" customHeight="1">
      <c r="A664" s="8"/>
      <c r="B664" s="32"/>
      <c r="C664" s="69"/>
      <c r="D664" s="73"/>
      <c r="E664" s="73"/>
      <c r="F664" s="74"/>
      <c r="G664" s="74"/>
      <c r="H664" s="74"/>
      <c r="I664" s="75"/>
    </row>
    <row r="665" ht="22.5" customHeight="1">
      <c r="A665" s="8"/>
      <c r="B665" s="32"/>
      <c r="C665" s="69"/>
      <c r="D665" s="73"/>
      <c r="E665" s="73"/>
      <c r="F665" s="74"/>
      <c r="G665" s="74"/>
      <c r="H665" s="74"/>
      <c r="I665" s="75"/>
    </row>
    <row r="666" ht="22.5" customHeight="1">
      <c r="A666" s="8"/>
      <c r="B666" s="32"/>
      <c r="C666" s="69"/>
      <c r="D666" s="73"/>
      <c r="E666" s="73"/>
      <c r="F666" s="74"/>
      <c r="G666" s="74"/>
      <c r="H666" s="74"/>
      <c r="I666" s="75"/>
    </row>
    <row r="667" ht="22.5" customHeight="1">
      <c r="A667" s="8"/>
      <c r="B667" s="32"/>
      <c r="C667" s="69"/>
      <c r="D667" s="73"/>
      <c r="E667" s="73"/>
      <c r="F667" s="74"/>
      <c r="G667" s="74"/>
      <c r="H667" s="74"/>
      <c r="I667" s="75"/>
    </row>
    <row r="668" ht="22.5" customHeight="1">
      <c r="A668" s="8"/>
      <c r="B668" s="32"/>
      <c r="C668" s="69"/>
      <c r="D668" s="73"/>
      <c r="E668" s="73"/>
      <c r="F668" s="74"/>
      <c r="G668" s="74"/>
      <c r="H668" s="74"/>
      <c r="I668" s="75"/>
    </row>
    <row r="669" ht="22.5" customHeight="1">
      <c r="A669" s="8"/>
      <c r="B669" s="32"/>
      <c r="C669" s="69"/>
      <c r="D669" s="73"/>
      <c r="E669" s="73"/>
      <c r="F669" s="74"/>
      <c r="G669" s="74"/>
      <c r="H669" s="74"/>
      <c r="I669" s="75"/>
    </row>
    <row r="670" ht="22.5" customHeight="1">
      <c r="A670" s="8"/>
      <c r="B670" s="32"/>
      <c r="C670" s="69"/>
      <c r="D670" s="73"/>
      <c r="E670" s="73"/>
      <c r="F670" s="74"/>
      <c r="G670" s="74"/>
      <c r="H670" s="74"/>
      <c r="I670" s="75"/>
    </row>
    <row r="671" ht="22.5" customHeight="1">
      <c r="A671" s="8"/>
      <c r="B671" s="32"/>
      <c r="C671" s="69"/>
      <c r="D671" s="73"/>
      <c r="E671" s="73"/>
      <c r="F671" s="74"/>
      <c r="G671" s="74"/>
      <c r="H671" s="74"/>
      <c r="I671" s="75"/>
    </row>
    <row r="672" ht="22.5" customHeight="1">
      <c r="A672" s="8"/>
      <c r="B672" s="32"/>
      <c r="C672" s="69"/>
      <c r="D672" s="73"/>
      <c r="E672" s="73"/>
      <c r="F672" s="74"/>
      <c r="G672" s="74"/>
      <c r="H672" s="74"/>
      <c r="I672" s="75"/>
    </row>
    <row r="673" ht="22.5" customHeight="1">
      <c r="A673" s="8"/>
      <c r="B673" s="32"/>
      <c r="C673" s="69"/>
      <c r="D673" s="73"/>
      <c r="E673" s="73"/>
      <c r="F673" s="74"/>
      <c r="G673" s="74"/>
      <c r="H673" s="74"/>
      <c r="I673" s="75"/>
    </row>
    <row r="674" ht="22.5" customHeight="1">
      <c r="A674" s="8"/>
      <c r="B674" s="32"/>
      <c r="C674" s="69"/>
      <c r="D674" s="73"/>
      <c r="E674" s="73"/>
      <c r="F674" s="74"/>
      <c r="G674" s="74"/>
      <c r="H674" s="74"/>
      <c r="I674" s="75"/>
    </row>
    <row r="675" ht="22.5" customHeight="1">
      <c r="A675" s="8"/>
      <c r="B675" s="32"/>
      <c r="C675" s="69"/>
      <c r="D675" s="73"/>
      <c r="E675" s="73"/>
      <c r="F675" s="74"/>
      <c r="G675" s="74"/>
      <c r="H675" s="74"/>
      <c r="I675" s="75"/>
    </row>
    <row r="676" ht="22.5" customHeight="1">
      <c r="A676" s="8"/>
      <c r="B676" s="32"/>
      <c r="C676" s="69"/>
      <c r="D676" s="73"/>
      <c r="E676" s="73"/>
      <c r="F676" s="74"/>
      <c r="G676" s="74"/>
      <c r="H676" s="74"/>
      <c r="I676" s="75"/>
    </row>
    <row r="677" ht="22.5" customHeight="1">
      <c r="A677" s="8"/>
      <c r="B677" s="32"/>
      <c r="C677" s="69"/>
      <c r="D677" s="73"/>
      <c r="E677" s="73"/>
      <c r="F677" s="74"/>
      <c r="G677" s="74"/>
      <c r="H677" s="74"/>
      <c r="I677" s="75"/>
    </row>
    <row r="678" ht="22.5" customHeight="1">
      <c r="A678" s="8"/>
      <c r="B678" s="32"/>
      <c r="C678" s="69"/>
      <c r="D678" s="73"/>
      <c r="E678" s="73"/>
      <c r="F678" s="74"/>
      <c r="G678" s="74"/>
      <c r="H678" s="74"/>
      <c r="I678" s="75"/>
    </row>
    <row r="679" ht="22.5" customHeight="1">
      <c r="A679" s="8"/>
      <c r="B679" s="32"/>
      <c r="C679" s="69"/>
      <c r="D679" s="73"/>
      <c r="E679" s="73"/>
      <c r="F679" s="74"/>
      <c r="G679" s="74"/>
      <c r="H679" s="74"/>
      <c r="I679" s="75"/>
    </row>
    <row r="680" ht="22.5" customHeight="1">
      <c r="A680" s="8"/>
      <c r="B680" s="32"/>
      <c r="C680" s="69"/>
      <c r="D680" s="73"/>
      <c r="E680" s="73"/>
      <c r="F680" s="74"/>
      <c r="G680" s="74"/>
      <c r="H680" s="74"/>
      <c r="I680" s="75"/>
    </row>
    <row r="681" ht="22.5" customHeight="1">
      <c r="A681" s="8"/>
      <c r="B681" s="32"/>
      <c r="C681" s="69"/>
      <c r="D681" s="73"/>
      <c r="E681" s="73"/>
      <c r="F681" s="74"/>
      <c r="G681" s="74"/>
      <c r="H681" s="74"/>
      <c r="I681" s="75"/>
    </row>
    <row r="682" ht="22.5" customHeight="1">
      <c r="A682" s="8"/>
      <c r="B682" s="32"/>
      <c r="C682" s="69"/>
      <c r="D682" s="73"/>
      <c r="E682" s="73"/>
      <c r="F682" s="74"/>
      <c r="G682" s="74"/>
      <c r="H682" s="74"/>
      <c r="I682" s="75"/>
    </row>
    <row r="683" ht="22.5" customHeight="1">
      <c r="A683" s="8"/>
      <c r="B683" s="32"/>
      <c r="C683" s="69"/>
      <c r="D683" s="73"/>
      <c r="E683" s="73"/>
      <c r="F683" s="74"/>
      <c r="G683" s="74"/>
      <c r="H683" s="74"/>
      <c r="I683" s="75"/>
    </row>
    <row r="684" ht="22.5" customHeight="1">
      <c r="A684" s="8"/>
      <c r="B684" s="32"/>
      <c r="C684" s="69"/>
      <c r="D684" s="73"/>
      <c r="E684" s="73"/>
      <c r="F684" s="74"/>
      <c r="G684" s="74"/>
      <c r="H684" s="74"/>
      <c r="I684" s="75"/>
    </row>
    <row r="685" ht="22.5" customHeight="1">
      <c r="A685" s="8"/>
      <c r="B685" s="32"/>
      <c r="C685" s="69"/>
      <c r="D685" s="73"/>
      <c r="E685" s="73"/>
      <c r="F685" s="74"/>
      <c r="G685" s="74"/>
      <c r="H685" s="74"/>
      <c r="I685" s="75"/>
    </row>
    <row r="686" ht="22.5" customHeight="1">
      <c r="A686" s="8"/>
      <c r="B686" s="32"/>
      <c r="C686" s="69"/>
      <c r="D686" s="73"/>
      <c r="E686" s="73"/>
      <c r="F686" s="74"/>
      <c r="G686" s="74"/>
      <c r="H686" s="74"/>
      <c r="I686" s="75"/>
    </row>
    <row r="687" ht="22.5" customHeight="1">
      <c r="A687" s="8"/>
      <c r="B687" s="32"/>
      <c r="C687" s="69"/>
      <c r="D687" s="73"/>
      <c r="E687" s="73"/>
      <c r="F687" s="74"/>
      <c r="G687" s="74"/>
      <c r="H687" s="74"/>
      <c r="I687" s="75"/>
    </row>
    <row r="688" ht="22.5" customHeight="1">
      <c r="A688" s="8"/>
      <c r="B688" s="32"/>
      <c r="C688" s="69"/>
      <c r="D688" s="73"/>
      <c r="E688" s="73"/>
      <c r="F688" s="74"/>
      <c r="G688" s="74"/>
      <c r="H688" s="74"/>
      <c r="I688" s="75"/>
    </row>
    <row r="689" ht="22.5" customHeight="1">
      <c r="A689" s="8"/>
      <c r="B689" s="32"/>
      <c r="C689" s="69"/>
      <c r="D689" s="73"/>
      <c r="E689" s="73"/>
      <c r="F689" s="74"/>
      <c r="G689" s="74"/>
      <c r="H689" s="74"/>
      <c r="I689" s="75"/>
    </row>
    <row r="690" ht="22.5" customHeight="1">
      <c r="A690" s="8"/>
      <c r="B690" s="32"/>
      <c r="C690" s="69"/>
      <c r="D690" s="73"/>
      <c r="E690" s="73"/>
      <c r="F690" s="74"/>
      <c r="G690" s="74"/>
      <c r="H690" s="74"/>
      <c r="I690" s="75"/>
    </row>
    <row r="691" ht="22.5" customHeight="1">
      <c r="A691" s="8"/>
      <c r="B691" s="32"/>
      <c r="C691" s="69"/>
      <c r="D691" s="73"/>
      <c r="E691" s="73"/>
      <c r="F691" s="74"/>
      <c r="G691" s="74"/>
      <c r="H691" s="74"/>
      <c r="I691" s="75"/>
    </row>
    <row r="692" ht="22.5" customHeight="1">
      <c r="A692" s="8"/>
      <c r="B692" s="32"/>
      <c r="C692" s="69"/>
      <c r="D692" s="73"/>
      <c r="E692" s="73"/>
      <c r="F692" s="74"/>
      <c r="G692" s="74"/>
      <c r="H692" s="74"/>
      <c r="I692" s="75"/>
    </row>
    <row r="693" ht="22.5" customHeight="1">
      <c r="A693" s="8"/>
      <c r="B693" s="32"/>
      <c r="C693" s="69"/>
      <c r="D693" s="73"/>
      <c r="E693" s="73"/>
      <c r="F693" s="74"/>
      <c r="G693" s="74"/>
      <c r="H693" s="74"/>
      <c r="I693" s="75"/>
    </row>
    <row r="694" ht="22.5" customHeight="1">
      <c r="A694" s="8"/>
      <c r="B694" s="32"/>
      <c r="C694" s="69"/>
      <c r="D694" s="73"/>
      <c r="E694" s="73"/>
      <c r="F694" s="74"/>
      <c r="G694" s="74"/>
      <c r="H694" s="74"/>
      <c r="I694" s="75"/>
    </row>
    <row r="695" ht="22.5" customHeight="1">
      <c r="A695" s="8"/>
      <c r="B695" s="32"/>
      <c r="C695" s="69"/>
      <c r="D695" s="73"/>
      <c r="E695" s="73"/>
      <c r="F695" s="74"/>
      <c r="G695" s="74"/>
      <c r="H695" s="74"/>
      <c r="I695" s="75"/>
    </row>
    <row r="696" ht="22.5" customHeight="1">
      <c r="A696" s="8"/>
      <c r="B696" s="32"/>
      <c r="C696" s="69"/>
      <c r="D696" s="73"/>
      <c r="E696" s="73"/>
      <c r="F696" s="74"/>
      <c r="G696" s="74"/>
      <c r="H696" s="74"/>
      <c r="I696" s="75"/>
    </row>
    <row r="697" ht="22.5" customHeight="1">
      <c r="A697" s="8"/>
      <c r="B697" s="32"/>
      <c r="C697" s="69"/>
      <c r="D697" s="73"/>
      <c r="E697" s="73"/>
      <c r="F697" s="74"/>
      <c r="G697" s="74"/>
      <c r="H697" s="74"/>
      <c r="I697" s="75"/>
    </row>
    <row r="698" ht="22.5" customHeight="1">
      <c r="A698" s="8"/>
      <c r="B698" s="32"/>
      <c r="C698" s="69"/>
      <c r="D698" s="73"/>
      <c r="E698" s="73"/>
      <c r="F698" s="74"/>
      <c r="G698" s="74"/>
      <c r="H698" s="74"/>
      <c r="I698" s="75"/>
    </row>
    <row r="699" ht="22.5" customHeight="1">
      <c r="A699" s="8"/>
      <c r="B699" s="32"/>
      <c r="C699" s="69"/>
      <c r="D699" s="73"/>
      <c r="E699" s="73"/>
      <c r="F699" s="74"/>
      <c r="G699" s="74"/>
      <c r="H699" s="74"/>
      <c r="I699" s="75"/>
    </row>
    <row r="700" ht="22.5" customHeight="1">
      <c r="A700" s="8"/>
      <c r="B700" s="32"/>
      <c r="C700" s="69"/>
      <c r="D700" s="73"/>
      <c r="E700" s="73"/>
      <c r="F700" s="74"/>
      <c r="G700" s="74"/>
      <c r="H700" s="74"/>
      <c r="I700" s="75"/>
    </row>
    <row r="701" ht="22.5" customHeight="1">
      <c r="A701" s="8"/>
      <c r="B701" s="32"/>
      <c r="C701" s="69"/>
      <c r="D701" s="73"/>
      <c r="E701" s="73"/>
      <c r="F701" s="74"/>
      <c r="G701" s="74"/>
      <c r="H701" s="74"/>
      <c r="I701" s="75"/>
    </row>
    <row r="702" ht="22.5" customHeight="1">
      <c r="A702" s="8"/>
      <c r="B702" s="32"/>
      <c r="C702" s="69"/>
      <c r="D702" s="73"/>
      <c r="E702" s="73"/>
      <c r="F702" s="74"/>
      <c r="G702" s="74"/>
      <c r="H702" s="74"/>
      <c r="I702" s="75"/>
    </row>
    <row r="703" ht="22.5" customHeight="1">
      <c r="A703" s="8"/>
      <c r="B703" s="32"/>
      <c r="C703" s="69"/>
      <c r="D703" s="73"/>
      <c r="E703" s="73"/>
      <c r="F703" s="74"/>
      <c r="G703" s="74"/>
      <c r="H703" s="74"/>
      <c r="I703" s="75"/>
    </row>
    <row r="704" ht="22.5" customHeight="1">
      <c r="A704" s="8"/>
      <c r="B704" s="32"/>
      <c r="C704" s="69"/>
      <c r="D704" s="73"/>
      <c r="E704" s="73"/>
      <c r="F704" s="74"/>
      <c r="G704" s="74"/>
      <c r="H704" s="74"/>
      <c r="I704" s="75"/>
    </row>
    <row r="705" ht="22.5" customHeight="1">
      <c r="A705" s="8"/>
      <c r="B705" s="32"/>
      <c r="C705" s="69"/>
      <c r="D705" s="73"/>
      <c r="E705" s="73"/>
      <c r="F705" s="74"/>
      <c r="G705" s="74"/>
      <c r="H705" s="74"/>
      <c r="I705" s="75"/>
    </row>
    <row r="706" ht="22.5" customHeight="1">
      <c r="A706" s="8"/>
      <c r="B706" s="32"/>
      <c r="C706" s="69"/>
      <c r="D706" s="73"/>
      <c r="E706" s="73"/>
      <c r="F706" s="74"/>
      <c r="G706" s="74"/>
      <c r="H706" s="74"/>
      <c r="I706" s="75"/>
    </row>
    <row r="707" ht="22.5" customHeight="1">
      <c r="A707" s="8"/>
      <c r="B707" s="32"/>
      <c r="C707" s="69"/>
      <c r="D707" s="73"/>
      <c r="E707" s="73"/>
      <c r="F707" s="74"/>
      <c r="G707" s="74"/>
      <c r="H707" s="74"/>
      <c r="I707" s="75"/>
    </row>
    <row r="708" ht="22.5" customHeight="1">
      <c r="A708" s="8"/>
      <c r="B708" s="32"/>
      <c r="C708" s="69"/>
      <c r="D708" s="73"/>
      <c r="E708" s="73"/>
      <c r="F708" s="74"/>
      <c r="G708" s="74"/>
      <c r="H708" s="74"/>
      <c r="I708" s="75"/>
    </row>
    <row r="709" ht="22.5" customHeight="1">
      <c r="A709" s="8"/>
      <c r="B709" s="32"/>
      <c r="C709" s="69"/>
      <c r="D709" s="73"/>
      <c r="E709" s="73"/>
      <c r="F709" s="74"/>
      <c r="G709" s="74"/>
      <c r="H709" s="74"/>
      <c r="I709" s="75"/>
    </row>
    <row r="710" ht="22.5" customHeight="1">
      <c r="A710" s="8"/>
      <c r="B710" s="32"/>
      <c r="C710" s="69"/>
      <c r="D710" s="73"/>
      <c r="E710" s="73"/>
      <c r="F710" s="74"/>
      <c r="G710" s="74"/>
      <c r="H710" s="74"/>
      <c r="I710" s="75"/>
    </row>
    <row r="711" ht="22.5" customHeight="1">
      <c r="A711" s="8"/>
      <c r="B711" s="32"/>
      <c r="C711" s="69"/>
      <c r="D711" s="73"/>
      <c r="E711" s="73"/>
      <c r="F711" s="74"/>
      <c r="G711" s="74"/>
      <c r="H711" s="74"/>
      <c r="I711" s="75"/>
    </row>
    <row r="712" ht="22.5" customHeight="1">
      <c r="A712" s="8"/>
      <c r="B712" s="32"/>
      <c r="C712" s="69"/>
      <c r="D712" s="73"/>
      <c r="E712" s="73"/>
      <c r="F712" s="74"/>
      <c r="G712" s="74"/>
      <c r="H712" s="74"/>
      <c r="I712" s="75"/>
    </row>
    <row r="713" ht="22.5" customHeight="1">
      <c r="A713" s="8"/>
      <c r="B713" s="32"/>
      <c r="C713" s="69"/>
      <c r="D713" s="73"/>
      <c r="E713" s="73"/>
      <c r="F713" s="74"/>
      <c r="G713" s="74"/>
      <c r="H713" s="74"/>
      <c r="I713" s="75"/>
    </row>
    <row r="714" ht="22.5" customHeight="1">
      <c r="A714" s="8"/>
      <c r="B714" s="32"/>
      <c r="C714" s="69"/>
      <c r="D714" s="73"/>
      <c r="E714" s="73"/>
      <c r="F714" s="74"/>
      <c r="G714" s="74"/>
      <c r="H714" s="74"/>
      <c r="I714" s="75"/>
    </row>
    <row r="715" ht="22.5" customHeight="1">
      <c r="A715" s="8"/>
      <c r="B715" s="32"/>
      <c r="C715" s="69"/>
      <c r="D715" s="73"/>
      <c r="E715" s="73"/>
      <c r="F715" s="74"/>
      <c r="G715" s="74"/>
      <c r="H715" s="74"/>
      <c r="I715" s="75"/>
    </row>
    <row r="716" ht="22.5" customHeight="1">
      <c r="A716" s="8"/>
      <c r="B716" s="32"/>
      <c r="C716" s="69"/>
      <c r="D716" s="73"/>
      <c r="E716" s="73"/>
      <c r="F716" s="74"/>
      <c r="G716" s="74"/>
      <c r="H716" s="74"/>
      <c r="I716" s="75"/>
    </row>
    <row r="717" ht="22.5" customHeight="1">
      <c r="A717" s="8"/>
      <c r="B717" s="32"/>
      <c r="C717" s="69"/>
      <c r="D717" s="73"/>
      <c r="E717" s="73"/>
      <c r="F717" s="74"/>
      <c r="G717" s="74"/>
      <c r="H717" s="74"/>
      <c r="I717" s="75"/>
    </row>
    <row r="718" ht="22.5" customHeight="1">
      <c r="A718" s="8"/>
      <c r="B718" s="32"/>
      <c r="C718" s="69"/>
      <c r="D718" s="73"/>
      <c r="E718" s="73"/>
      <c r="F718" s="74"/>
      <c r="G718" s="74"/>
      <c r="H718" s="74"/>
      <c r="I718" s="75"/>
    </row>
    <row r="719" ht="22.5" customHeight="1">
      <c r="A719" s="8"/>
      <c r="B719" s="32"/>
      <c r="C719" s="69"/>
      <c r="D719" s="73"/>
      <c r="E719" s="73"/>
      <c r="F719" s="74"/>
      <c r="G719" s="74"/>
      <c r="H719" s="74"/>
      <c r="I719" s="75"/>
    </row>
    <row r="720" ht="22.5" customHeight="1">
      <c r="A720" s="8"/>
      <c r="B720" s="32"/>
      <c r="C720" s="69"/>
      <c r="D720" s="73"/>
      <c r="E720" s="73"/>
      <c r="F720" s="74"/>
      <c r="G720" s="74"/>
      <c r="H720" s="74"/>
      <c r="I720" s="75"/>
    </row>
    <row r="721" ht="22.5" customHeight="1">
      <c r="A721" s="8"/>
      <c r="B721" s="32"/>
      <c r="C721" s="69"/>
      <c r="D721" s="73"/>
      <c r="E721" s="73"/>
      <c r="F721" s="74"/>
      <c r="G721" s="74"/>
      <c r="H721" s="74"/>
      <c r="I721" s="75"/>
    </row>
    <row r="722" ht="22.5" customHeight="1">
      <c r="A722" s="8"/>
      <c r="B722" s="32"/>
      <c r="C722" s="69"/>
      <c r="D722" s="73"/>
      <c r="E722" s="73"/>
      <c r="F722" s="74"/>
      <c r="G722" s="74"/>
      <c r="H722" s="74"/>
      <c r="I722" s="75"/>
    </row>
    <row r="723" ht="22.5" customHeight="1">
      <c r="A723" s="8"/>
      <c r="B723" s="32"/>
      <c r="C723" s="69"/>
      <c r="D723" s="73"/>
      <c r="E723" s="73"/>
      <c r="F723" s="74"/>
      <c r="G723" s="74"/>
      <c r="H723" s="74"/>
      <c r="I723" s="75"/>
    </row>
    <row r="724" ht="22.5" customHeight="1">
      <c r="A724" s="8"/>
      <c r="B724" s="32"/>
      <c r="C724" s="69"/>
      <c r="D724" s="73"/>
      <c r="E724" s="73"/>
      <c r="F724" s="74"/>
      <c r="G724" s="74"/>
      <c r="H724" s="74"/>
      <c r="I724" s="75"/>
    </row>
    <row r="725" ht="22.5" customHeight="1">
      <c r="A725" s="8"/>
      <c r="B725" s="32"/>
      <c r="C725" s="69"/>
      <c r="D725" s="73"/>
      <c r="E725" s="73"/>
      <c r="F725" s="74"/>
      <c r="G725" s="74"/>
      <c r="H725" s="74"/>
      <c r="I725" s="75"/>
    </row>
    <row r="726" ht="22.5" customHeight="1">
      <c r="A726" s="8"/>
      <c r="B726" s="32"/>
      <c r="C726" s="69"/>
      <c r="D726" s="73"/>
      <c r="E726" s="73"/>
      <c r="F726" s="74"/>
      <c r="G726" s="74"/>
      <c r="H726" s="74"/>
      <c r="I726" s="75"/>
    </row>
    <row r="727" ht="22.5" customHeight="1">
      <c r="A727" s="8"/>
      <c r="B727" s="32"/>
      <c r="C727" s="69"/>
      <c r="D727" s="73"/>
      <c r="E727" s="73"/>
      <c r="F727" s="74"/>
      <c r="G727" s="74"/>
      <c r="H727" s="74"/>
      <c r="I727" s="75"/>
    </row>
    <row r="728" ht="22.5" customHeight="1">
      <c r="A728" s="8"/>
      <c r="B728" s="32"/>
      <c r="C728" s="69"/>
      <c r="D728" s="73"/>
      <c r="E728" s="73"/>
      <c r="F728" s="74"/>
      <c r="G728" s="74"/>
      <c r="H728" s="74"/>
      <c r="I728" s="75"/>
    </row>
    <row r="729" ht="22.5" customHeight="1">
      <c r="A729" s="8"/>
      <c r="B729" s="32"/>
      <c r="C729" s="69"/>
      <c r="D729" s="73"/>
      <c r="E729" s="73"/>
      <c r="F729" s="74"/>
      <c r="G729" s="74"/>
      <c r="H729" s="74"/>
      <c r="I729" s="75"/>
    </row>
    <row r="730" ht="22.5" customHeight="1">
      <c r="A730" s="8"/>
      <c r="B730" s="32"/>
      <c r="C730" s="69"/>
      <c r="D730" s="73"/>
      <c r="E730" s="73"/>
      <c r="F730" s="74"/>
      <c r="G730" s="74"/>
      <c r="H730" s="74"/>
      <c r="I730" s="75"/>
    </row>
    <row r="731" ht="22.5" customHeight="1">
      <c r="A731" s="8"/>
      <c r="B731" s="32"/>
      <c r="C731" s="69"/>
      <c r="D731" s="73"/>
      <c r="E731" s="73"/>
      <c r="F731" s="74"/>
      <c r="G731" s="74"/>
      <c r="H731" s="74"/>
      <c r="I731" s="75"/>
    </row>
    <row r="732" ht="22.5" customHeight="1">
      <c r="A732" s="8"/>
      <c r="B732" s="32"/>
      <c r="C732" s="69"/>
      <c r="D732" s="73"/>
      <c r="E732" s="73"/>
      <c r="F732" s="74"/>
      <c r="G732" s="74"/>
      <c r="H732" s="74"/>
      <c r="I732" s="75"/>
    </row>
    <row r="733" ht="22.5" customHeight="1">
      <c r="A733" s="8"/>
      <c r="B733" s="32"/>
      <c r="C733" s="69"/>
      <c r="D733" s="73"/>
      <c r="E733" s="73"/>
      <c r="F733" s="74"/>
      <c r="G733" s="74"/>
      <c r="H733" s="74"/>
      <c r="I733" s="75"/>
    </row>
    <row r="734" ht="22.5" customHeight="1">
      <c r="A734" s="8"/>
      <c r="B734" s="32"/>
      <c r="C734" s="69"/>
      <c r="D734" s="73"/>
      <c r="E734" s="73"/>
      <c r="F734" s="74"/>
      <c r="G734" s="74"/>
      <c r="H734" s="74"/>
      <c r="I734" s="75"/>
    </row>
    <row r="735" ht="22.5" customHeight="1">
      <c r="A735" s="8"/>
      <c r="B735" s="32"/>
      <c r="C735" s="69"/>
      <c r="D735" s="73"/>
      <c r="E735" s="73"/>
      <c r="F735" s="74"/>
      <c r="G735" s="74"/>
      <c r="H735" s="74"/>
      <c r="I735" s="75"/>
    </row>
    <row r="736" ht="22.5" customHeight="1">
      <c r="A736" s="8"/>
      <c r="B736" s="32"/>
      <c r="C736" s="69"/>
      <c r="D736" s="73"/>
      <c r="E736" s="73"/>
      <c r="F736" s="74"/>
      <c r="G736" s="74"/>
      <c r="H736" s="74"/>
      <c r="I736" s="75"/>
    </row>
    <row r="737" ht="22.5" customHeight="1">
      <c r="A737" s="8"/>
      <c r="B737" s="32"/>
      <c r="C737" s="69"/>
      <c r="D737" s="73"/>
      <c r="E737" s="73"/>
      <c r="F737" s="74"/>
      <c r="G737" s="74"/>
      <c r="H737" s="74"/>
      <c r="I737" s="75"/>
    </row>
    <row r="738" ht="22.5" customHeight="1">
      <c r="A738" s="8"/>
      <c r="B738" s="32"/>
      <c r="C738" s="69"/>
      <c r="D738" s="73"/>
      <c r="E738" s="73"/>
      <c r="F738" s="74"/>
      <c r="G738" s="74"/>
      <c r="H738" s="74"/>
      <c r="I738" s="75"/>
    </row>
    <row r="739" ht="22.5" customHeight="1">
      <c r="A739" s="8"/>
      <c r="B739" s="32"/>
      <c r="C739" s="69"/>
      <c r="D739" s="73"/>
      <c r="E739" s="73"/>
      <c r="F739" s="74"/>
      <c r="G739" s="74"/>
      <c r="H739" s="74"/>
      <c r="I739" s="75"/>
    </row>
    <row r="740" ht="22.5" customHeight="1">
      <c r="A740" s="8"/>
      <c r="B740" s="32"/>
      <c r="C740" s="69"/>
      <c r="D740" s="73"/>
      <c r="E740" s="73"/>
      <c r="F740" s="74"/>
      <c r="G740" s="74"/>
      <c r="H740" s="74"/>
      <c r="I740" s="75"/>
    </row>
    <row r="741" ht="22.5" customHeight="1">
      <c r="A741" s="8"/>
      <c r="B741" s="32"/>
      <c r="C741" s="69"/>
      <c r="D741" s="73"/>
      <c r="E741" s="73"/>
      <c r="F741" s="74"/>
      <c r="G741" s="74"/>
      <c r="H741" s="74"/>
      <c r="I741" s="75"/>
    </row>
    <row r="742" ht="22.5" customHeight="1">
      <c r="A742" s="8"/>
      <c r="B742" s="32"/>
      <c r="C742" s="69"/>
      <c r="D742" s="73"/>
      <c r="E742" s="73"/>
      <c r="F742" s="74"/>
      <c r="G742" s="74"/>
      <c r="H742" s="74"/>
      <c r="I742" s="75"/>
    </row>
    <row r="743" ht="22.5" customHeight="1">
      <c r="A743" s="8"/>
      <c r="B743" s="32"/>
      <c r="C743" s="69"/>
      <c r="D743" s="73"/>
      <c r="E743" s="73"/>
      <c r="F743" s="74"/>
      <c r="G743" s="74"/>
      <c r="H743" s="74"/>
      <c r="I743" s="75"/>
    </row>
    <row r="744" ht="22.5" customHeight="1">
      <c r="A744" s="8"/>
      <c r="B744" s="32"/>
      <c r="C744" s="69"/>
      <c r="D744" s="73"/>
      <c r="E744" s="73"/>
      <c r="F744" s="74"/>
      <c r="G744" s="74"/>
      <c r="H744" s="74"/>
      <c r="I744" s="75"/>
    </row>
    <row r="745" ht="22.5" customHeight="1">
      <c r="A745" s="8"/>
      <c r="B745" s="32"/>
      <c r="C745" s="69"/>
      <c r="D745" s="73"/>
      <c r="E745" s="73"/>
      <c r="F745" s="74"/>
      <c r="G745" s="74"/>
      <c r="H745" s="74"/>
      <c r="I745" s="75"/>
    </row>
    <row r="746" ht="22.5" customHeight="1">
      <c r="A746" s="8"/>
      <c r="B746" s="32"/>
      <c r="C746" s="69"/>
      <c r="D746" s="73"/>
      <c r="E746" s="73"/>
      <c r="F746" s="74"/>
      <c r="G746" s="74"/>
      <c r="H746" s="74"/>
      <c r="I746" s="75"/>
    </row>
    <row r="747" ht="22.5" customHeight="1">
      <c r="A747" s="8"/>
      <c r="B747" s="32"/>
      <c r="C747" s="69"/>
      <c r="D747" s="73"/>
      <c r="E747" s="73"/>
      <c r="F747" s="74"/>
      <c r="G747" s="74"/>
      <c r="H747" s="74"/>
      <c r="I747" s="75"/>
    </row>
    <row r="748" ht="22.5" customHeight="1">
      <c r="A748" s="8"/>
      <c r="B748" s="32"/>
      <c r="C748" s="69"/>
      <c r="D748" s="73"/>
      <c r="E748" s="73"/>
      <c r="F748" s="74"/>
      <c r="G748" s="74"/>
      <c r="H748" s="74"/>
      <c r="I748" s="75"/>
    </row>
    <row r="749" ht="22.5" customHeight="1">
      <c r="A749" s="8"/>
      <c r="B749" s="32"/>
      <c r="C749" s="69"/>
      <c r="D749" s="73"/>
      <c r="E749" s="73"/>
      <c r="F749" s="74"/>
      <c r="G749" s="74"/>
      <c r="H749" s="74"/>
      <c r="I749" s="75"/>
    </row>
    <row r="750" ht="22.5" customHeight="1">
      <c r="A750" s="8"/>
      <c r="B750" s="32"/>
      <c r="C750" s="69"/>
      <c r="D750" s="73"/>
      <c r="E750" s="73"/>
      <c r="F750" s="74"/>
      <c r="G750" s="74"/>
      <c r="H750" s="74"/>
      <c r="I750" s="75"/>
    </row>
    <row r="751" ht="22.5" customHeight="1">
      <c r="A751" s="8"/>
      <c r="B751" s="32"/>
      <c r="C751" s="69"/>
      <c r="D751" s="73"/>
      <c r="E751" s="73"/>
      <c r="F751" s="74"/>
      <c r="G751" s="74"/>
      <c r="H751" s="74"/>
      <c r="I751" s="75"/>
    </row>
    <row r="752" ht="22.5" customHeight="1">
      <c r="A752" s="8"/>
      <c r="B752" s="32"/>
      <c r="C752" s="69"/>
      <c r="D752" s="73"/>
      <c r="E752" s="73"/>
      <c r="F752" s="74"/>
      <c r="G752" s="74"/>
      <c r="H752" s="74"/>
      <c r="I752" s="75"/>
    </row>
    <row r="753" ht="22.5" customHeight="1">
      <c r="A753" s="8"/>
      <c r="B753" s="32"/>
      <c r="C753" s="69"/>
      <c r="D753" s="73"/>
      <c r="E753" s="73"/>
      <c r="F753" s="74"/>
      <c r="G753" s="74"/>
      <c r="H753" s="74"/>
      <c r="I753" s="75"/>
    </row>
    <row r="754" ht="22.5" customHeight="1">
      <c r="A754" s="8"/>
      <c r="B754" s="32"/>
      <c r="C754" s="69"/>
      <c r="D754" s="73"/>
      <c r="E754" s="73"/>
      <c r="F754" s="74"/>
      <c r="G754" s="74"/>
      <c r="H754" s="74"/>
      <c r="I754" s="75"/>
    </row>
    <row r="755" ht="22.5" customHeight="1">
      <c r="A755" s="8"/>
      <c r="B755" s="32"/>
      <c r="C755" s="69"/>
      <c r="D755" s="73"/>
      <c r="E755" s="73"/>
      <c r="F755" s="74"/>
      <c r="G755" s="74"/>
      <c r="H755" s="74"/>
      <c r="I755" s="75"/>
    </row>
    <row r="756" ht="22.5" customHeight="1">
      <c r="A756" s="8"/>
      <c r="B756" s="32"/>
      <c r="C756" s="69"/>
      <c r="D756" s="73"/>
      <c r="E756" s="73"/>
      <c r="F756" s="74"/>
      <c r="G756" s="74"/>
      <c r="H756" s="74"/>
      <c r="I756" s="75"/>
    </row>
    <row r="757" ht="22.5" customHeight="1">
      <c r="A757" s="8"/>
      <c r="B757" s="32"/>
      <c r="C757" s="69"/>
      <c r="D757" s="73"/>
      <c r="E757" s="73"/>
      <c r="F757" s="74"/>
      <c r="G757" s="74"/>
      <c r="H757" s="74"/>
      <c r="I757" s="75"/>
    </row>
    <row r="758" ht="22.5" customHeight="1">
      <c r="A758" s="8"/>
      <c r="B758" s="32"/>
      <c r="C758" s="69"/>
      <c r="D758" s="73"/>
      <c r="E758" s="73"/>
      <c r="F758" s="74"/>
      <c r="G758" s="74"/>
      <c r="H758" s="74"/>
      <c r="I758" s="75"/>
    </row>
    <row r="759" ht="22.5" customHeight="1">
      <c r="A759" s="8"/>
      <c r="B759" s="32"/>
      <c r="C759" s="69"/>
      <c r="D759" s="73"/>
      <c r="E759" s="73"/>
      <c r="F759" s="74"/>
      <c r="G759" s="74"/>
      <c r="H759" s="74"/>
      <c r="I759" s="75"/>
    </row>
    <row r="760" ht="22.5" customHeight="1">
      <c r="A760" s="8"/>
      <c r="B760" s="32"/>
      <c r="C760" s="69"/>
      <c r="D760" s="73"/>
      <c r="E760" s="73"/>
      <c r="F760" s="74"/>
      <c r="G760" s="74"/>
      <c r="H760" s="74"/>
      <c r="I760" s="75"/>
    </row>
    <row r="761" ht="22.5" customHeight="1">
      <c r="A761" s="8"/>
      <c r="B761" s="32"/>
      <c r="C761" s="69"/>
      <c r="D761" s="73"/>
      <c r="E761" s="73"/>
      <c r="F761" s="74"/>
      <c r="G761" s="74"/>
      <c r="H761" s="74"/>
      <c r="I761" s="75"/>
    </row>
    <row r="762" ht="22.5" customHeight="1">
      <c r="A762" s="8"/>
      <c r="B762" s="32"/>
      <c r="C762" s="69"/>
      <c r="D762" s="73"/>
      <c r="E762" s="73"/>
      <c r="F762" s="74"/>
      <c r="G762" s="74"/>
      <c r="H762" s="74"/>
      <c r="I762" s="75"/>
    </row>
    <row r="763" ht="22.5" customHeight="1">
      <c r="A763" s="8"/>
      <c r="B763" s="32"/>
      <c r="C763" s="69"/>
      <c r="D763" s="73"/>
      <c r="E763" s="73"/>
      <c r="F763" s="74"/>
      <c r="G763" s="74"/>
      <c r="H763" s="74"/>
      <c r="I763" s="75"/>
    </row>
    <row r="764" ht="22.5" customHeight="1">
      <c r="A764" s="8"/>
      <c r="B764" s="32"/>
      <c r="C764" s="69"/>
      <c r="D764" s="73"/>
      <c r="E764" s="73"/>
      <c r="F764" s="74"/>
      <c r="G764" s="74"/>
      <c r="H764" s="74"/>
      <c r="I764" s="75"/>
    </row>
    <row r="765" ht="22.5" customHeight="1">
      <c r="A765" s="8"/>
      <c r="B765" s="32"/>
      <c r="C765" s="69"/>
      <c r="D765" s="73"/>
      <c r="E765" s="73"/>
      <c r="F765" s="74"/>
      <c r="G765" s="74"/>
      <c r="H765" s="74"/>
      <c r="I765" s="75"/>
    </row>
    <row r="766" ht="22.5" customHeight="1">
      <c r="A766" s="8"/>
      <c r="B766" s="32"/>
      <c r="C766" s="69"/>
      <c r="D766" s="73"/>
      <c r="E766" s="73"/>
      <c r="F766" s="74"/>
      <c r="G766" s="74"/>
      <c r="H766" s="74"/>
      <c r="I766" s="75"/>
    </row>
    <row r="767" ht="22.5" customHeight="1">
      <c r="A767" s="8"/>
      <c r="B767" s="32"/>
      <c r="C767" s="69"/>
      <c r="D767" s="73"/>
      <c r="E767" s="73"/>
      <c r="F767" s="74"/>
      <c r="G767" s="74"/>
      <c r="H767" s="74"/>
      <c r="I767" s="75"/>
    </row>
    <row r="768" ht="22.5" customHeight="1">
      <c r="A768" s="8"/>
      <c r="B768" s="32"/>
      <c r="C768" s="69"/>
      <c r="D768" s="73"/>
      <c r="E768" s="73"/>
      <c r="F768" s="74"/>
      <c r="G768" s="74"/>
      <c r="H768" s="74"/>
      <c r="I768" s="75"/>
    </row>
    <row r="769" ht="22.5" customHeight="1">
      <c r="A769" s="8"/>
      <c r="B769" s="32"/>
      <c r="C769" s="69"/>
      <c r="D769" s="73"/>
      <c r="E769" s="73"/>
      <c r="F769" s="74"/>
      <c r="G769" s="74"/>
      <c r="H769" s="74"/>
      <c r="I769" s="75"/>
    </row>
    <row r="770" ht="22.5" customHeight="1">
      <c r="A770" s="8"/>
      <c r="B770" s="32"/>
      <c r="C770" s="69"/>
      <c r="D770" s="73"/>
      <c r="E770" s="73"/>
      <c r="F770" s="74"/>
      <c r="G770" s="74"/>
      <c r="H770" s="74"/>
      <c r="I770" s="75"/>
    </row>
    <row r="771" ht="22.5" customHeight="1">
      <c r="A771" s="8"/>
      <c r="B771" s="32"/>
      <c r="C771" s="69"/>
      <c r="D771" s="73"/>
      <c r="E771" s="73"/>
      <c r="F771" s="74"/>
      <c r="G771" s="74"/>
      <c r="H771" s="74"/>
      <c r="I771" s="75"/>
    </row>
    <row r="772" ht="22.5" customHeight="1">
      <c r="A772" s="8"/>
      <c r="B772" s="32"/>
      <c r="C772" s="69"/>
      <c r="D772" s="73"/>
      <c r="E772" s="73"/>
      <c r="F772" s="74"/>
      <c r="G772" s="74"/>
      <c r="H772" s="74"/>
      <c r="I772" s="75"/>
    </row>
    <row r="773" ht="22.5" customHeight="1">
      <c r="A773" s="8"/>
      <c r="B773" s="32"/>
      <c r="C773" s="69"/>
      <c r="D773" s="73"/>
      <c r="E773" s="73"/>
      <c r="F773" s="74"/>
      <c r="G773" s="74"/>
      <c r="H773" s="74"/>
      <c r="I773" s="75"/>
    </row>
    <row r="774" ht="22.5" customHeight="1">
      <c r="A774" s="8"/>
      <c r="B774" s="32"/>
      <c r="C774" s="69"/>
      <c r="D774" s="73"/>
      <c r="E774" s="73"/>
      <c r="F774" s="74"/>
      <c r="G774" s="74"/>
      <c r="H774" s="74"/>
      <c r="I774" s="75"/>
    </row>
    <row r="775" ht="22.5" customHeight="1">
      <c r="A775" s="8"/>
      <c r="B775" s="32"/>
      <c r="C775" s="69"/>
      <c r="D775" s="73"/>
      <c r="E775" s="73"/>
      <c r="F775" s="74"/>
      <c r="G775" s="74"/>
      <c r="H775" s="74"/>
      <c r="I775" s="75"/>
    </row>
    <row r="776" ht="22.5" customHeight="1">
      <c r="A776" s="8"/>
      <c r="B776" s="32"/>
      <c r="C776" s="69"/>
      <c r="D776" s="73"/>
      <c r="E776" s="73"/>
      <c r="F776" s="74"/>
      <c r="G776" s="74"/>
      <c r="H776" s="74"/>
      <c r="I776" s="75"/>
    </row>
    <row r="777" ht="22.5" customHeight="1">
      <c r="A777" s="8"/>
      <c r="B777" s="32"/>
      <c r="C777" s="69"/>
      <c r="D777" s="73"/>
      <c r="E777" s="73"/>
      <c r="F777" s="74"/>
      <c r="G777" s="74"/>
      <c r="H777" s="74"/>
      <c r="I777" s="75"/>
    </row>
    <row r="778" ht="22.5" customHeight="1">
      <c r="A778" s="8"/>
      <c r="B778" s="32"/>
      <c r="C778" s="69"/>
      <c r="D778" s="73"/>
      <c r="E778" s="73"/>
      <c r="F778" s="74"/>
      <c r="G778" s="74"/>
      <c r="H778" s="74"/>
      <c r="I778" s="75"/>
    </row>
    <row r="779" ht="22.5" customHeight="1">
      <c r="A779" s="8"/>
      <c r="B779" s="32"/>
      <c r="C779" s="69"/>
      <c r="D779" s="73"/>
      <c r="E779" s="73"/>
      <c r="F779" s="74"/>
      <c r="G779" s="74"/>
      <c r="H779" s="74"/>
      <c r="I779" s="75"/>
    </row>
    <row r="780" ht="22.5" customHeight="1">
      <c r="A780" s="8"/>
      <c r="B780" s="32"/>
      <c r="C780" s="69"/>
      <c r="D780" s="73"/>
      <c r="E780" s="73"/>
      <c r="F780" s="74"/>
      <c r="G780" s="74"/>
      <c r="H780" s="74"/>
      <c r="I780" s="75"/>
    </row>
    <row r="781" ht="22.5" customHeight="1">
      <c r="A781" s="8"/>
      <c r="B781" s="32"/>
      <c r="C781" s="69"/>
      <c r="D781" s="73"/>
      <c r="E781" s="73"/>
      <c r="F781" s="74"/>
      <c r="G781" s="74"/>
      <c r="H781" s="74"/>
      <c r="I781" s="75"/>
    </row>
    <row r="782" ht="22.5" customHeight="1">
      <c r="A782" s="8"/>
      <c r="B782" s="32"/>
      <c r="C782" s="69"/>
      <c r="D782" s="73"/>
      <c r="E782" s="73"/>
      <c r="F782" s="74"/>
      <c r="G782" s="74"/>
      <c r="H782" s="74"/>
      <c r="I782" s="75"/>
    </row>
    <row r="783" ht="22.5" customHeight="1">
      <c r="A783" s="8"/>
      <c r="B783" s="32"/>
      <c r="C783" s="69"/>
      <c r="D783" s="73"/>
      <c r="E783" s="73"/>
      <c r="F783" s="74"/>
      <c r="G783" s="74"/>
      <c r="H783" s="74"/>
      <c r="I783" s="75"/>
    </row>
    <row r="784" ht="22.5" customHeight="1">
      <c r="A784" s="8"/>
      <c r="B784" s="32"/>
      <c r="C784" s="69"/>
      <c r="D784" s="73"/>
      <c r="E784" s="73"/>
      <c r="F784" s="74"/>
      <c r="G784" s="74"/>
      <c r="H784" s="74"/>
      <c r="I784" s="75"/>
    </row>
    <row r="785" ht="22.5" customHeight="1">
      <c r="A785" s="8"/>
      <c r="B785" s="32"/>
      <c r="C785" s="69"/>
      <c r="D785" s="73"/>
      <c r="E785" s="73"/>
      <c r="F785" s="74"/>
      <c r="G785" s="74"/>
      <c r="H785" s="74"/>
      <c r="I785" s="75"/>
    </row>
    <row r="786" ht="22.5" customHeight="1">
      <c r="A786" s="8"/>
      <c r="B786" s="32"/>
      <c r="C786" s="69"/>
      <c r="D786" s="73"/>
      <c r="E786" s="73"/>
      <c r="F786" s="74"/>
      <c r="G786" s="74"/>
      <c r="H786" s="74"/>
      <c r="I786" s="75"/>
    </row>
    <row r="787" ht="22.5" customHeight="1">
      <c r="A787" s="8"/>
      <c r="B787" s="32"/>
      <c r="C787" s="69"/>
      <c r="D787" s="73"/>
      <c r="E787" s="73"/>
      <c r="F787" s="74"/>
      <c r="G787" s="74"/>
      <c r="H787" s="74"/>
      <c r="I787" s="75"/>
    </row>
    <row r="788" ht="22.5" customHeight="1">
      <c r="A788" s="8"/>
      <c r="B788" s="32"/>
      <c r="C788" s="69"/>
      <c r="D788" s="73"/>
      <c r="E788" s="73"/>
      <c r="F788" s="74"/>
      <c r="G788" s="74"/>
      <c r="H788" s="74"/>
      <c r="I788" s="75"/>
    </row>
    <row r="789" ht="22.5" customHeight="1">
      <c r="A789" s="8"/>
      <c r="B789" s="32"/>
      <c r="C789" s="69"/>
      <c r="D789" s="73"/>
      <c r="E789" s="73"/>
      <c r="F789" s="74"/>
      <c r="G789" s="74"/>
      <c r="H789" s="74"/>
      <c r="I789" s="75"/>
    </row>
    <row r="790" ht="22.5" customHeight="1">
      <c r="A790" s="8"/>
      <c r="B790" s="32"/>
      <c r="C790" s="69"/>
      <c r="D790" s="73"/>
      <c r="E790" s="73"/>
      <c r="F790" s="74"/>
      <c r="G790" s="74"/>
      <c r="H790" s="74"/>
      <c r="I790" s="75"/>
    </row>
    <row r="791" ht="22.5" customHeight="1">
      <c r="A791" s="8"/>
      <c r="B791" s="32"/>
      <c r="C791" s="69"/>
      <c r="D791" s="73"/>
      <c r="E791" s="73"/>
      <c r="F791" s="74"/>
      <c r="G791" s="74"/>
      <c r="H791" s="74"/>
      <c r="I791" s="75"/>
    </row>
    <row r="792" ht="22.5" customHeight="1">
      <c r="A792" s="8"/>
      <c r="B792" s="32"/>
      <c r="C792" s="69"/>
      <c r="D792" s="73"/>
      <c r="E792" s="73"/>
      <c r="F792" s="74"/>
      <c r="G792" s="74"/>
      <c r="H792" s="74"/>
      <c r="I792" s="75"/>
    </row>
    <row r="793" ht="22.5" customHeight="1">
      <c r="A793" s="8"/>
      <c r="B793" s="32"/>
      <c r="C793" s="69"/>
      <c r="D793" s="73"/>
      <c r="E793" s="73"/>
      <c r="F793" s="74"/>
      <c r="G793" s="74"/>
      <c r="H793" s="74"/>
      <c r="I793" s="75"/>
    </row>
    <row r="794" ht="22.5" customHeight="1">
      <c r="A794" s="8"/>
      <c r="B794" s="32"/>
      <c r="C794" s="69"/>
      <c r="D794" s="73"/>
      <c r="E794" s="73"/>
      <c r="F794" s="74"/>
      <c r="G794" s="74"/>
      <c r="H794" s="74"/>
      <c r="I794" s="75"/>
    </row>
    <row r="795" ht="22.5" customHeight="1">
      <c r="A795" s="8"/>
      <c r="B795" s="32"/>
      <c r="C795" s="69"/>
      <c r="D795" s="73"/>
      <c r="E795" s="73"/>
      <c r="F795" s="74"/>
      <c r="G795" s="74"/>
      <c r="H795" s="74"/>
      <c r="I795" s="75"/>
    </row>
    <row r="796" ht="22.5" customHeight="1">
      <c r="A796" s="8"/>
      <c r="B796" s="32"/>
      <c r="C796" s="69"/>
      <c r="D796" s="73"/>
      <c r="E796" s="73"/>
      <c r="F796" s="74"/>
      <c r="G796" s="74"/>
      <c r="H796" s="74"/>
      <c r="I796" s="75"/>
    </row>
    <row r="797" ht="22.5" customHeight="1">
      <c r="A797" s="8"/>
      <c r="B797" s="32"/>
      <c r="C797" s="69"/>
      <c r="D797" s="73"/>
      <c r="E797" s="73"/>
      <c r="F797" s="74"/>
      <c r="G797" s="74"/>
      <c r="H797" s="74"/>
      <c r="I797" s="75"/>
    </row>
    <row r="798" ht="22.5" customHeight="1">
      <c r="A798" s="8"/>
      <c r="B798" s="32"/>
      <c r="C798" s="69"/>
      <c r="D798" s="73"/>
      <c r="E798" s="73"/>
      <c r="F798" s="74"/>
      <c r="G798" s="74"/>
      <c r="H798" s="74"/>
      <c r="I798" s="75"/>
    </row>
    <row r="799" ht="22.5" customHeight="1">
      <c r="A799" s="8"/>
      <c r="B799" s="32"/>
      <c r="C799" s="69"/>
      <c r="D799" s="73"/>
      <c r="E799" s="73"/>
      <c r="F799" s="74"/>
      <c r="G799" s="74"/>
      <c r="H799" s="74"/>
      <c r="I799" s="75"/>
    </row>
    <row r="800" ht="22.5" customHeight="1">
      <c r="A800" s="8"/>
      <c r="B800" s="32"/>
      <c r="C800" s="69"/>
      <c r="D800" s="73"/>
      <c r="E800" s="73"/>
      <c r="F800" s="74"/>
      <c r="G800" s="74"/>
      <c r="H800" s="74"/>
      <c r="I800" s="75"/>
    </row>
    <row r="801" ht="22.5" customHeight="1">
      <c r="A801" s="8"/>
      <c r="B801" s="32"/>
      <c r="C801" s="69"/>
      <c r="D801" s="73"/>
      <c r="E801" s="73"/>
      <c r="F801" s="74"/>
      <c r="G801" s="74"/>
      <c r="H801" s="74"/>
      <c r="I801" s="75"/>
    </row>
    <row r="802" ht="22.5" customHeight="1">
      <c r="A802" s="8"/>
      <c r="B802" s="32"/>
      <c r="C802" s="69"/>
      <c r="D802" s="73"/>
      <c r="E802" s="73"/>
      <c r="F802" s="74"/>
      <c r="G802" s="74"/>
      <c r="H802" s="74"/>
      <c r="I802" s="75"/>
    </row>
    <row r="803" ht="22.5" customHeight="1">
      <c r="A803" s="8"/>
      <c r="B803" s="32"/>
      <c r="C803" s="69"/>
      <c r="D803" s="73"/>
      <c r="E803" s="73"/>
      <c r="F803" s="74"/>
      <c r="G803" s="74"/>
      <c r="H803" s="74"/>
      <c r="I803" s="75"/>
    </row>
    <row r="804" ht="22.5" customHeight="1">
      <c r="A804" s="8"/>
      <c r="B804" s="32"/>
      <c r="C804" s="69"/>
      <c r="D804" s="73"/>
      <c r="E804" s="73"/>
      <c r="F804" s="74"/>
      <c r="G804" s="74"/>
      <c r="H804" s="74"/>
      <c r="I804" s="75"/>
    </row>
    <row r="805" ht="22.5" customHeight="1">
      <c r="A805" s="8"/>
      <c r="B805" s="32"/>
      <c r="C805" s="69"/>
      <c r="D805" s="73"/>
      <c r="E805" s="73"/>
      <c r="F805" s="74"/>
      <c r="G805" s="74"/>
      <c r="H805" s="74"/>
      <c r="I805" s="75"/>
    </row>
    <row r="806" ht="22.5" customHeight="1">
      <c r="A806" s="8"/>
      <c r="B806" s="32"/>
      <c r="C806" s="69"/>
      <c r="D806" s="73"/>
      <c r="E806" s="73"/>
      <c r="F806" s="74"/>
      <c r="G806" s="74"/>
      <c r="H806" s="74"/>
      <c r="I806" s="75"/>
    </row>
    <row r="807" ht="22.5" customHeight="1">
      <c r="A807" s="8"/>
      <c r="B807" s="32"/>
      <c r="C807" s="69"/>
      <c r="D807" s="73"/>
      <c r="E807" s="73"/>
      <c r="F807" s="74"/>
      <c r="G807" s="74"/>
      <c r="H807" s="74"/>
      <c r="I807" s="75"/>
    </row>
    <row r="808" ht="22.5" customHeight="1">
      <c r="A808" s="8"/>
      <c r="B808" s="32"/>
      <c r="C808" s="69"/>
      <c r="D808" s="73"/>
      <c r="E808" s="73"/>
      <c r="F808" s="74"/>
      <c r="G808" s="74"/>
      <c r="H808" s="74"/>
      <c r="I808" s="75"/>
    </row>
    <row r="809" ht="22.5" customHeight="1">
      <c r="A809" s="8"/>
      <c r="B809" s="32"/>
      <c r="C809" s="69"/>
      <c r="D809" s="73"/>
      <c r="E809" s="73"/>
      <c r="F809" s="74"/>
      <c r="G809" s="74"/>
      <c r="H809" s="74"/>
      <c r="I809" s="75"/>
    </row>
    <row r="810" ht="22.5" customHeight="1">
      <c r="A810" s="8"/>
      <c r="B810" s="32"/>
      <c r="C810" s="69"/>
      <c r="D810" s="73"/>
      <c r="E810" s="73"/>
      <c r="F810" s="74"/>
      <c r="G810" s="74"/>
      <c r="H810" s="74"/>
      <c r="I810" s="75"/>
    </row>
    <row r="811" ht="22.5" customHeight="1">
      <c r="A811" s="8"/>
      <c r="B811" s="32"/>
      <c r="C811" s="69"/>
      <c r="D811" s="73"/>
      <c r="E811" s="73"/>
      <c r="F811" s="74"/>
      <c r="G811" s="74"/>
      <c r="H811" s="74"/>
      <c r="I811" s="75"/>
    </row>
    <row r="812" ht="22.5" customHeight="1">
      <c r="A812" s="8"/>
      <c r="B812" s="32"/>
      <c r="C812" s="69"/>
      <c r="D812" s="73"/>
      <c r="E812" s="73"/>
      <c r="F812" s="74"/>
      <c r="G812" s="74"/>
      <c r="H812" s="74"/>
      <c r="I812" s="75"/>
    </row>
    <row r="813" ht="22.5" customHeight="1">
      <c r="A813" s="8"/>
      <c r="B813" s="32"/>
      <c r="C813" s="69"/>
      <c r="D813" s="73"/>
      <c r="E813" s="73"/>
      <c r="F813" s="74"/>
      <c r="G813" s="74"/>
      <c r="H813" s="74"/>
      <c r="I813" s="75"/>
    </row>
    <row r="814" ht="22.5" customHeight="1">
      <c r="A814" s="8"/>
      <c r="B814" s="32"/>
      <c r="C814" s="69"/>
      <c r="D814" s="73"/>
      <c r="E814" s="73"/>
      <c r="F814" s="74"/>
      <c r="G814" s="74"/>
      <c r="H814" s="74"/>
      <c r="I814" s="75"/>
    </row>
    <row r="815" ht="22.5" customHeight="1">
      <c r="A815" s="8"/>
      <c r="B815" s="32"/>
      <c r="C815" s="69"/>
      <c r="D815" s="73"/>
      <c r="E815" s="73"/>
      <c r="F815" s="74"/>
      <c r="G815" s="74"/>
      <c r="H815" s="74"/>
      <c r="I815" s="75"/>
    </row>
    <row r="816" ht="22.5" customHeight="1">
      <c r="A816" s="8"/>
      <c r="B816" s="32"/>
      <c r="C816" s="69"/>
      <c r="D816" s="73"/>
      <c r="E816" s="73"/>
      <c r="F816" s="74"/>
      <c r="G816" s="74"/>
      <c r="H816" s="74"/>
      <c r="I816" s="75"/>
    </row>
    <row r="817" ht="22.5" customHeight="1">
      <c r="A817" s="8"/>
      <c r="B817" s="32"/>
      <c r="C817" s="69"/>
      <c r="D817" s="73"/>
      <c r="E817" s="73"/>
      <c r="F817" s="74"/>
      <c r="G817" s="74"/>
      <c r="H817" s="74"/>
      <c r="I817" s="75"/>
    </row>
    <row r="818" ht="22.5" customHeight="1">
      <c r="A818" s="8"/>
      <c r="B818" s="32"/>
      <c r="C818" s="69"/>
      <c r="D818" s="73"/>
      <c r="E818" s="73"/>
      <c r="F818" s="74"/>
      <c r="G818" s="74"/>
      <c r="H818" s="74"/>
      <c r="I818" s="75"/>
    </row>
    <row r="819" ht="22.5" customHeight="1">
      <c r="A819" s="8"/>
      <c r="B819" s="32"/>
      <c r="C819" s="69"/>
      <c r="D819" s="73"/>
      <c r="E819" s="73"/>
      <c r="F819" s="74"/>
      <c r="G819" s="74"/>
      <c r="H819" s="74"/>
      <c r="I819" s="75"/>
    </row>
    <row r="820" ht="22.5" customHeight="1">
      <c r="A820" s="8"/>
      <c r="B820" s="32"/>
      <c r="C820" s="69"/>
      <c r="D820" s="73"/>
      <c r="E820" s="73"/>
      <c r="F820" s="74"/>
      <c r="G820" s="74"/>
      <c r="H820" s="74"/>
      <c r="I820" s="75"/>
    </row>
    <row r="821" ht="22.5" customHeight="1">
      <c r="A821" s="8"/>
      <c r="B821" s="32"/>
      <c r="C821" s="69"/>
      <c r="D821" s="73"/>
      <c r="E821" s="73"/>
      <c r="F821" s="74"/>
      <c r="G821" s="74"/>
      <c r="H821" s="74"/>
      <c r="I821" s="75"/>
    </row>
    <row r="822" ht="22.5" customHeight="1">
      <c r="A822" s="8"/>
      <c r="B822" s="32"/>
      <c r="C822" s="69"/>
      <c r="D822" s="73"/>
      <c r="E822" s="73"/>
      <c r="F822" s="74"/>
      <c r="G822" s="74"/>
      <c r="H822" s="74"/>
      <c r="I822" s="75"/>
    </row>
    <row r="823" ht="22.5" customHeight="1">
      <c r="A823" s="8"/>
      <c r="B823" s="32"/>
      <c r="C823" s="69"/>
      <c r="D823" s="73"/>
      <c r="E823" s="73"/>
      <c r="F823" s="74"/>
      <c r="G823" s="74"/>
      <c r="H823" s="74"/>
      <c r="I823" s="75"/>
    </row>
    <row r="824" ht="22.5" customHeight="1">
      <c r="A824" s="8"/>
      <c r="B824" s="32"/>
      <c r="C824" s="69"/>
      <c r="D824" s="73"/>
      <c r="E824" s="73"/>
      <c r="F824" s="74"/>
      <c r="G824" s="74"/>
      <c r="H824" s="74"/>
      <c r="I824" s="75"/>
    </row>
    <row r="825" ht="22.5" customHeight="1">
      <c r="A825" s="8"/>
      <c r="B825" s="32"/>
      <c r="C825" s="69"/>
      <c r="D825" s="73"/>
      <c r="E825" s="73"/>
      <c r="F825" s="74"/>
      <c r="G825" s="74"/>
      <c r="H825" s="74"/>
      <c r="I825" s="75"/>
    </row>
    <row r="826" ht="22.5" customHeight="1">
      <c r="A826" s="8"/>
      <c r="B826" s="32"/>
      <c r="C826" s="69"/>
      <c r="D826" s="73"/>
      <c r="E826" s="73"/>
      <c r="F826" s="74"/>
      <c r="G826" s="74"/>
      <c r="H826" s="74"/>
      <c r="I826" s="75"/>
    </row>
    <row r="827" ht="22.5" customHeight="1">
      <c r="A827" s="8"/>
      <c r="B827" s="32"/>
      <c r="C827" s="69"/>
      <c r="D827" s="73"/>
      <c r="E827" s="73"/>
      <c r="F827" s="74"/>
      <c r="G827" s="74"/>
      <c r="H827" s="74"/>
      <c r="I827" s="75"/>
    </row>
    <row r="828" ht="22.5" customHeight="1">
      <c r="A828" s="8"/>
      <c r="B828" s="32"/>
      <c r="C828" s="69"/>
      <c r="D828" s="73"/>
      <c r="E828" s="73"/>
      <c r="F828" s="74"/>
      <c r="G828" s="74"/>
      <c r="H828" s="74"/>
      <c r="I828" s="75"/>
    </row>
    <row r="829" ht="22.5" customHeight="1">
      <c r="A829" s="8"/>
      <c r="B829" s="32"/>
      <c r="C829" s="69"/>
      <c r="D829" s="73"/>
      <c r="E829" s="73"/>
      <c r="F829" s="74"/>
      <c r="G829" s="74"/>
      <c r="H829" s="74"/>
      <c r="I829" s="75"/>
    </row>
    <row r="830" ht="22.5" customHeight="1">
      <c r="A830" s="8"/>
      <c r="B830" s="32"/>
      <c r="C830" s="69"/>
      <c r="D830" s="73"/>
      <c r="E830" s="73"/>
      <c r="F830" s="74"/>
      <c r="G830" s="74"/>
      <c r="H830" s="74"/>
      <c r="I830" s="75"/>
    </row>
    <row r="831" ht="22.5" customHeight="1">
      <c r="A831" s="8"/>
      <c r="B831" s="32"/>
      <c r="C831" s="69"/>
      <c r="D831" s="73"/>
      <c r="E831" s="73"/>
      <c r="F831" s="74"/>
      <c r="G831" s="74"/>
      <c r="H831" s="74"/>
      <c r="I831" s="75"/>
    </row>
    <row r="832" ht="22.5" customHeight="1">
      <c r="A832" s="8"/>
      <c r="B832" s="32"/>
      <c r="C832" s="69"/>
      <c r="D832" s="73"/>
      <c r="E832" s="73"/>
      <c r="F832" s="74"/>
      <c r="G832" s="74"/>
      <c r="H832" s="74"/>
      <c r="I832" s="75"/>
    </row>
    <row r="833" ht="22.5" customHeight="1">
      <c r="A833" s="8"/>
      <c r="B833" s="32"/>
      <c r="C833" s="69"/>
      <c r="D833" s="73"/>
      <c r="E833" s="73"/>
      <c r="F833" s="74"/>
      <c r="G833" s="74"/>
      <c r="H833" s="74"/>
      <c r="I833" s="75"/>
    </row>
    <row r="834" ht="22.5" customHeight="1">
      <c r="A834" s="8"/>
      <c r="B834" s="32"/>
      <c r="C834" s="69"/>
      <c r="D834" s="73"/>
      <c r="E834" s="73"/>
      <c r="F834" s="74"/>
      <c r="G834" s="74"/>
      <c r="H834" s="74"/>
      <c r="I834" s="75"/>
    </row>
    <row r="835" ht="22.5" customHeight="1">
      <c r="A835" s="8"/>
      <c r="B835" s="32"/>
      <c r="C835" s="69"/>
      <c r="D835" s="73"/>
      <c r="E835" s="73"/>
      <c r="F835" s="74"/>
      <c r="G835" s="74"/>
      <c r="H835" s="74"/>
      <c r="I835" s="75"/>
    </row>
    <row r="836" ht="22.5" customHeight="1">
      <c r="A836" s="8"/>
      <c r="B836" s="32"/>
      <c r="C836" s="69"/>
      <c r="D836" s="73"/>
      <c r="E836" s="73"/>
      <c r="F836" s="74"/>
      <c r="G836" s="74"/>
      <c r="H836" s="74"/>
      <c r="I836" s="75"/>
    </row>
    <row r="837" ht="22.5" customHeight="1">
      <c r="A837" s="8"/>
      <c r="B837" s="32"/>
      <c r="C837" s="69"/>
      <c r="D837" s="73"/>
      <c r="E837" s="73"/>
      <c r="F837" s="74"/>
      <c r="G837" s="74"/>
      <c r="H837" s="74"/>
      <c r="I837" s="75"/>
    </row>
    <row r="838" ht="22.5" customHeight="1">
      <c r="A838" s="8"/>
      <c r="B838" s="32"/>
      <c r="C838" s="69"/>
      <c r="D838" s="73"/>
      <c r="E838" s="73"/>
      <c r="F838" s="74"/>
      <c r="G838" s="74"/>
      <c r="H838" s="74"/>
      <c r="I838" s="75"/>
    </row>
    <row r="839" ht="22.5" customHeight="1">
      <c r="A839" s="8"/>
      <c r="B839" s="32"/>
      <c r="C839" s="69"/>
      <c r="D839" s="73"/>
      <c r="E839" s="73"/>
      <c r="F839" s="74"/>
      <c r="G839" s="74"/>
      <c r="H839" s="74"/>
      <c r="I839" s="75"/>
    </row>
    <row r="840" ht="22.5" customHeight="1">
      <c r="A840" s="8"/>
      <c r="B840" s="32"/>
      <c r="C840" s="69"/>
      <c r="D840" s="73"/>
      <c r="E840" s="73"/>
      <c r="F840" s="74"/>
      <c r="G840" s="74"/>
      <c r="H840" s="74"/>
      <c r="I840" s="75"/>
    </row>
    <row r="841" ht="22.5" customHeight="1">
      <c r="A841" s="8"/>
      <c r="B841" s="32"/>
      <c r="C841" s="69"/>
      <c r="D841" s="73"/>
      <c r="E841" s="73"/>
      <c r="F841" s="74"/>
      <c r="G841" s="74"/>
      <c r="H841" s="74"/>
      <c r="I841" s="75"/>
    </row>
    <row r="842" ht="22.5" customHeight="1">
      <c r="A842" s="8"/>
      <c r="B842" s="32"/>
      <c r="C842" s="69"/>
      <c r="D842" s="73"/>
      <c r="E842" s="73"/>
      <c r="F842" s="74"/>
      <c r="G842" s="74"/>
      <c r="H842" s="74"/>
      <c r="I842" s="75"/>
    </row>
    <row r="843" ht="22.5" customHeight="1">
      <c r="A843" s="8"/>
      <c r="B843" s="32"/>
      <c r="C843" s="69"/>
      <c r="D843" s="73"/>
      <c r="E843" s="73"/>
      <c r="F843" s="74"/>
      <c r="G843" s="74"/>
      <c r="H843" s="74"/>
      <c r="I843" s="75"/>
    </row>
    <row r="844" ht="22.5" customHeight="1">
      <c r="A844" s="8"/>
      <c r="B844" s="32"/>
      <c r="C844" s="69"/>
      <c r="D844" s="73"/>
      <c r="E844" s="73"/>
      <c r="F844" s="74"/>
      <c r="G844" s="74"/>
      <c r="H844" s="74"/>
      <c r="I844" s="75"/>
    </row>
    <row r="845" ht="22.5" customHeight="1">
      <c r="A845" s="8"/>
      <c r="B845" s="32"/>
      <c r="C845" s="69"/>
      <c r="D845" s="73"/>
      <c r="E845" s="73"/>
      <c r="F845" s="74"/>
      <c r="G845" s="74"/>
      <c r="H845" s="74"/>
      <c r="I845" s="75"/>
    </row>
    <row r="846" ht="22.5" customHeight="1">
      <c r="A846" s="8"/>
      <c r="B846" s="32"/>
      <c r="C846" s="69"/>
      <c r="D846" s="73"/>
      <c r="E846" s="73"/>
      <c r="F846" s="74"/>
      <c r="G846" s="74"/>
      <c r="H846" s="74"/>
      <c r="I846" s="75"/>
    </row>
    <row r="847" ht="22.5" customHeight="1">
      <c r="A847" s="8"/>
      <c r="B847" s="32"/>
      <c r="C847" s="69"/>
      <c r="D847" s="73"/>
      <c r="E847" s="73"/>
      <c r="F847" s="74"/>
      <c r="G847" s="74"/>
      <c r="H847" s="74"/>
      <c r="I847" s="75"/>
    </row>
    <row r="848" ht="22.5" customHeight="1">
      <c r="A848" s="8"/>
      <c r="B848" s="32"/>
      <c r="C848" s="69"/>
      <c r="D848" s="73"/>
      <c r="E848" s="73"/>
      <c r="F848" s="74"/>
      <c r="G848" s="74"/>
      <c r="H848" s="74"/>
      <c r="I848" s="75"/>
    </row>
    <row r="849" ht="22.5" customHeight="1">
      <c r="A849" s="8"/>
      <c r="B849" s="32"/>
      <c r="C849" s="69"/>
      <c r="D849" s="73"/>
      <c r="E849" s="73"/>
      <c r="F849" s="74"/>
      <c r="G849" s="74"/>
      <c r="H849" s="74"/>
      <c r="I849" s="75"/>
    </row>
    <row r="850" ht="22.5" customHeight="1">
      <c r="A850" s="8"/>
      <c r="B850" s="32"/>
      <c r="C850" s="69"/>
      <c r="D850" s="73"/>
      <c r="E850" s="73"/>
      <c r="F850" s="74"/>
      <c r="G850" s="74"/>
      <c r="H850" s="74"/>
      <c r="I850" s="75"/>
    </row>
    <row r="851" ht="22.5" customHeight="1">
      <c r="A851" s="8"/>
      <c r="B851" s="32"/>
      <c r="C851" s="69"/>
      <c r="D851" s="73"/>
      <c r="E851" s="73"/>
      <c r="F851" s="74"/>
      <c r="G851" s="74"/>
      <c r="H851" s="74"/>
      <c r="I851" s="75"/>
    </row>
    <row r="852" ht="22.5" customHeight="1">
      <c r="A852" s="8"/>
      <c r="B852" s="32"/>
      <c r="C852" s="69"/>
      <c r="D852" s="73"/>
      <c r="E852" s="73"/>
      <c r="F852" s="74"/>
      <c r="G852" s="74"/>
      <c r="H852" s="74"/>
      <c r="I852" s="75"/>
    </row>
    <row r="853" ht="22.5" customHeight="1">
      <c r="A853" s="8"/>
      <c r="B853" s="32"/>
      <c r="C853" s="69"/>
      <c r="D853" s="73"/>
      <c r="E853" s="73"/>
      <c r="F853" s="74"/>
      <c r="G853" s="74"/>
      <c r="H853" s="74"/>
      <c r="I853" s="75"/>
    </row>
    <row r="854" ht="22.5" customHeight="1">
      <c r="A854" s="8"/>
      <c r="B854" s="32"/>
      <c r="C854" s="69"/>
      <c r="D854" s="73"/>
      <c r="E854" s="73"/>
      <c r="F854" s="74"/>
      <c r="G854" s="74"/>
      <c r="H854" s="74"/>
      <c r="I854" s="75"/>
    </row>
    <row r="855" ht="22.5" customHeight="1">
      <c r="A855" s="8"/>
      <c r="B855" s="32"/>
      <c r="C855" s="69"/>
      <c r="D855" s="73"/>
      <c r="E855" s="73"/>
      <c r="F855" s="74"/>
      <c r="G855" s="74"/>
      <c r="H855" s="74"/>
      <c r="I855" s="75"/>
    </row>
    <row r="856" ht="22.5" customHeight="1">
      <c r="A856" s="8"/>
      <c r="B856" s="32"/>
      <c r="C856" s="69"/>
      <c r="D856" s="73"/>
      <c r="E856" s="73"/>
      <c r="F856" s="74"/>
      <c r="G856" s="74"/>
      <c r="H856" s="74"/>
      <c r="I856" s="75"/>
    </row>
    <row r="857" ht="22.5" customHeight="1">
      <c r="A857" s="8"/>
      <c r="B857" s="32"/>
      <c r="C857" s="69"/>
      <c r="D857" s="73"/>
      <c r="E857" s="73"/>
      <c r="F857" s="74"/>
      <c r="G857" s="74"/>
      <c r="H857" s="74"/>
      <c r="I857" s="75"/>
    </row>
    <row r="858" ht="22.5" customHeight="1">
      <c r="A858" s="8"/>
      <c r="B858" s="32"/>
      <c r="C858" s="69"/>
      <c r="D858" s="73"/>
      <c r="E858" s="73"/>
      <c r="F858" s="74"/>
      <c r="G858" s="74"/>
      <c r="H858" s="74"/>
      <c r="I858" s="75"/>
    </row>
    <row r="859" ht="22.5" customHeight="1">
      <c r="A859" s="8"/>
      <c r="B859" s="32"/>
      <c r="C859" s="69"/>
      <c r="D859" s="73"/>
      <c r="E859" s="73"/>
      <c r="F859" s="74"/>
      <c r="G859" s="74"/>
      <c r="H859" s="74"/>
      <c r="I859" s="75"/>
    </row>
    <row r="860" ht="22.5" customHeight="1">
      <c r="A860" s="8"/>
      <c r="B860" s="32"/>
      <c r="C860" s="69"/>
      <c r="D860" s="73"/>
      <c r="E860" s="73"/>
      <c r="F860" s="74"/>
      <c r="G860" s="74"/>
      <c r="H860" s="74"/>
      <c r="I860" s="75"/>
    </row>
    <row r="861" ht="22.5" customHeight="1">
      <c r="A861" s="8"/>
      <c r="B861" s="32"/>
      <c r="C861" s="69"/>
      <c r="D861" s="73"/>
      <c r="E861" s="73"/>
      <c r="F861" s="74"/>
      <c r="G861" s="74"/>
      <c r="H861" s="74"/>
      <c r="I861" s="75"/>
    </row>
    <row r="862" ht="22.5" customHeight="1">
      <c r="A862" s="8"/>
      <c r="B862" s="32"/>
      <c r="C862" s="69"/>
      <c r="D862" s="73"/>
      <c r="E862" s="73"/>
      <c r="F862" s="74"/>
      <c r="G862" s="74"/>
      <c r="H862" s="74"/>
      <c r="I862" s="75"/>
    </row>
    <row r="863" ht="22.5" customHeight="1">
      <c r="A863" s="8"/>
      <c r="B863" s="32"/>
      <c r="C863" s="69"/>
      <c r="D863" s="73"/>
      <c r="E863" s="73"/>
      <c r="F863" s="74"/>
      <c r="G863" s="74"/>
      <c r="H863" s="74"/>
      <c r="I863" s="75"/>
    </row>
    <row r="864" ht="22.5" customHeight="1">
      <c r="A864" s="8"/>
      <c r="B864" s="32"/>
      <c r="C864" s="69"/>
      <c r="D864" s="73"/>
      <c r="E864" s="73"/>
      <c r="F864" s="74"/>
      <c r="G864" s="74"/>
      <c r="H864" s="74"/>
      <c r="I864" s="75"/>
    </row>
    <row r="865" ht="22.5" customHeight="1">
      <c r="A865" s="8"/>
      <c r="B865" s="32"/>
      <c r="C865" s="69"/>
      <c r="D865" s="73"/>
      <c r="E865" s="73"/>
      <c r="F865" s="74"/>
      <c r="G865" s="74"/>
      <c r="H865" s="74"/>
      <c r="I865" s="75"/>
    </row>
    <row r="866" ht="22.5" customHeight="1">
      <c r="A866" s="8"/>
      <c r="B866" s="32"/>
      <c r="C866" s="69"/>
      <c r="D866" s="73"/>
      <c r="E866" s="73"/>
      <c r="F866" s="74"/>
      <c r="G866" s="74"/>
      <c r="H866" s="74"/>
      <c r="I866" s="75"/>
    </row>
    <row r="867" ht="22.5" customHeight="1">
      <c r="A867" s="8"/>
      <c r="B867" s="32"/>
      <c r="C867" s="69"/>
      <c r="D867" s="73"/>
      <c r="E867" s="73"/>
      <c r="F867" s="74"/>
      <c r="G867" s="74"/>
      <c r="H867" s="74"/>
      <c r="I867" s="75"/>
    </row>
    <row r="868" ht="22.5" customHeight="1">
      <c r="A868" s="8"/>
      <c r="B868" s="32"/>
      <c r="C868" s="69"/>
      <c r="D868" s="73"/>
      <c r="E868" s="73"/>
      <c r="F868" s="74"/>
      <c r="G868" s="74"/>
      <c r="H868" s="74"/>
      <c r="I868" s="75"/>
    </row>
    <row r="869" ht="22.5" customHeight="1">
      <c r="A869" s="8"/>
      <c r="B869" s="32"/>
      <c r="C869" s="69"/>
      <c r="D869" s="73"/>
      <c r="E869" s="73"/>
      <c r="F869" s="74"/>
      <c r="G869" s="74"/>
      <c r="H869" s="74"/>
      <c r="I869" s="75"/>
    </row>
    <row r="870" ht="22.5" customHeight="1">
      <c r="A870" s="8"/>
      <c r="B870" s="32"/>
      <c r="C870" s="69"/>
      <c r="D870" s="73"/>
      <c r="E870" s="73"/>
      <c r="F870" s="74"/>
      <c r="G870" s="74"/>
      <c r="H870" s="74"/>
      <c r="I870" s="75"/>
    </row>
    <row r="871" ht="22.5" customHeight="1">
      <c r="A871" s="8"/>
      <c r="B871" s="32"/>
      <c r="C871" s="69"/>
      <c r="D871" s="73"/>
      <c r="E871" s="73"/>
      <c r="F871" s="74"/>
      <c r="G871" s="74"/>
      <c r="H871" s="74"/>
      <c r="I871" s="75"/>
    </row>
    <row r="872" ht="22.5" customHeight="1">
      <c r="A872" s="8"/>
      <c r="B872" s="32"/>
      <c r="C872" s="69"/>
      <c r="D872" s="73"/>
      <c r="E872" s="73"/>
      <c r="F872" s="74"/>
      <c r="G872" s="74"/>
      <c r="H872" s="74"/>
      <c r="I872" s="75"/>
    </row>
    <row r="873" ht="22.5" customHeight="1">
      <c r="A873" s="8"/>
      <c r="B873" s="32"/>
      <c r="C873" s="69"/>
      <c r="D873" s="73"/>
      <c r="E873" s="73"/>
      <c r="F873" s="74"/>
      <c r="G873" s="74"/>
      <c r="H873" s="74"/>
      <c r="I873" s="75"/>
    </row>
    <row r="874" ht="22.5" customHeight="1">
      <c r="A874" s="8"/>
      <c r="B874" s="32"/>
      <c r="C874" s="69"/>
      <c r="D874" s="73"/>
      <c r="E874" s="73"/>
      <c r="F874" s="74"/>
      <c r="G874" s="74"/>
      <c r="H874" s="74"/>
      <c r="I874" s="75"/>
    </row>
    <row r="875" ht="22.5" customHeight="1">
      <c r="A875" s="8"/>
      <c r="B875" s="32"/>
      <c r="C875" s="69"/>
      <c r="D875" s="73"/>
      <c r="E875" s="73"/>
      <c r="F875" s="74"/>
      <c r="G875" s="74"/>
      <c r="H875" s="74"/>
      <c r="I875" s="75"/>
    </row>
    <row r="876" ht="22.5" customHeight="1">
      <c r="A876" s="8"/>
      <c r="B876" s="32"/>
      <c r="C876" s="69"/>
      <c r="D876" s="73"/>
      <c r="E876" s="73"/>
      <c r="F876" s="74"/>
      <c r="G876" s="74"/>
      <c r="H876" s="74"/>
      <c r="I876" s="75"/>
    </row>
    <row r="877" ht="22.5" customHeight="1">
      <c r="A877" s="8"/>
      <c r="B877" s="32"/>
      <c r="C877" s="69"/>
      <c r="D877" s="73"/>
      <c r="E877" s="73"/>
      <c r="F877" s="74"/>
      <c r="G877" s="74"/>
      <c r="H877" s="74"/>
      <c r="I877" s="75"/>
    </row>
    <row r="878" ht="22.5" customHeight="1">
      <c r="A878" s="8"/>
      <c r="B878" s="32"/>
      <c r="C878" s="69"/>
      <c r="D878" s="73"/>
      <c r="E878" s="73"/>
      <c r="F878" s="74"/>
      <c r="G878" s="74"/>
      <c r="H878" s="74"/>
      <c r="I878" s="75"/>
    </row>
    <row r="879" ht="22.5" customHeight="1">
      <c r="A879" s="8"/>
      <c r="B879" s="32"/>
      <c r="C879" s="69"/>
      <c r="D879" s="73"/>
      <c r="E879" s="73"/>
      <c r="F879" s="74"/>
      <c r="G879" s="74"/>
      <c r="H879" s="74"/>
      <c r="I879" s="75"/>
    </row>
    <row r="880" ht="22.5" customHeight="1">
      <c r="A880" s="8"/>
      <c r="B880" s="32"/>
      <c r="C880" s="69"/>
      <c r="D880" s="73"/>
      <c r="E880" s="73"/>
      <c r="F880" s="74"/>
      <c r="G880" s="74"/>
      <c r="H880" s="74"/>
      <c r="I880" s="75"/>
    </row>
    <row r="881" ht="22.5" customHeight="1">
      <c r="A881" s="8"/>
      <c r="B881" s="32"/>
      <c r="C881" s="69"/>
      <c r="D881" s="73"/>
      <c r="E881" s="73"/>
      <c r="F881" s="74"/>
      <c r="G881" s="74"/>
      <c r="H881" s="74"/>
      <c r="I881" s="75"/>
    </row>
    <row r="882" ht="22.5" customHeight="1">
      <c r="A882" s="8"/>
      <c r="B882" s="32"/>
      <c r="C882" s="69"/>
      <c r="D882" s="73"/>
      <c r="E882" s="73"/>
      <c r="F882" s="74"/>
      <c r="G882" s="74"/>
      <c r="H882" s="74"/>
      <c r="I882" s="75"/>
    </row>
    <row r="883" ht="22.5" customHeight="1">
      <c r="A883" s="8"/>
      <c r="B883" s="32"/>
      <c r="C883" s="69"/>
      <c r="D883" s="73"/>
      <c r="E883" s="73"/>
      <c r="F883" s="74"/>
      <c r="G883" s="74"/>
      <c r="H883" s="74"/>
      <c r="I883" s="75"/>
    </row>
    <row r="884" ht="22.5" customHeight="1">
      <c r="A884" s="8"/>
      <c r="B884" s="32"/>
      <c r="C884" s="69"/>
      <c r="D884" s="73"/>
      <c r="E884" s="73"/>
      <c r="F884" s="74"/>
      <c r="G884" s="74"/>
      <c r="H884" s="74"/>
      <c r="I884" s="75"/>
    </row>
    <row r="885" ht="22.5" customHeight="1">
      <c r="A885" s="8"/>
      <c r="B885" s="32"/>
      <c r="C885" s="69"/>
      <c r="D885" s="73"/>
      <c r="E885" s="73"/>
      <c r="F885" s="74"/>
      <c r="G885" s="74"/>
      <c r="H885" s="74"/>
      <c r="I885" s="75"/>
    </row>
    <row r="886" ht="22.5" customHeight="1">
      <c r="A886" s="8"/>
      <c r="B886" s="32"/>
      <c r="C886" s="69"/>
      <c r="D886" s="73"/>
      <c r="E886" s="73"/>
      <c r="F886" s="74"/>
      <c r="G886" s="74"/>
      <c r="H886" s="74"/>
      <c r="I886" s="75"/>
    </row>
    <row r="887" ht="22.5" customHeight="1">
      <c r="A887" s="8"/>
      <c r="B887" s="32"/>
      <c r="C887" s="69"/>
      <c r="D887" s="73"/>
      <c r="E887" s="73"/>
      <c r="F887" s="74"/>
      <c r="G887" s="74"/>
      <c r="H887" s="74"/>
      <c r="I887" s="75"/>
    </row>
    <row r="888" ht="22.5" customHeight="1">
      <c r="A888" s="8"/>
      <c r="B888" s="32"/>
      <c r="C888" s="69"/>
      <c r="D888" s="73"/>
      <c r="E888" s="73"/>
      <c r="F888" s="74"/>
      <c r="G888" s="74"/>
      <c r="H888" s="74"/>
      <c r="I888" s="75"/>
    </row>
    <row r="889" ht="22.5" customHeight="1">
      <c r="A889" s="8"/>
      <c r="B889" s="32"/>
      <c r="C889" s="69"/>
      <c r="D889" s="73"/>
      <c r="E889" s="73"/>
      <c r="F889" s="74"/>
      <c r="G889" s="74"/>
      <c r="H889" s="74"/>
      <c r="I889" s="75"/>
    </row>
    <row r="890" ht="22.5" customHeight="1">
      <c r="A890" s="8"/>
      <c r="B890" s="32"/>
      <c r="C890" s="69"/>
      <c r="D890" s="73"/>
      <c r="E890" s="73"/>
      <c r="F890" s="74"/>
      <c r="G890" s="74"/>
      <c r="H890" s="74"/>
      <c r="I890" s="75"/>
    </row>
    <row r="891" ht="22.5" customHeight="1">
      <c r="A891" s="8"/>
      <c r="B891" s="32"/>
      <c r="C891" s="69"/>
      <c r="D891" s="73"/>
      <c r="E891" s="73"/>
      <c r="F891" s="74"/>
      <c r="G891" s="74"/>
      <c r="H891" s="74"/>
      <c r="I891" s="75"/>
    </row>
    <row r="892" ht="22.5" customHeight="1">
      <c r="A892" s="8"/>
      <c r="B892" s="32"/>
      <c r="C892" s="69"/>
      <c r="D892" s="73"/>
      <c r="E892" s="73"/>
      <c r="F892" s="74"/>
      <c r="G892" s="74"/>
      <c r="H892" s="74"/>
      <c r="I892" s="75"/>
    </row>
    <row r="893" ht="22.5" customHeight="1">
      <c r="A893" s="8"/>
      <c r="B893" s="32"/>
      <c r="C893" s="69"/>
      <c r="D893" s="73"/>
      <c r="E893" s="73"/>
      <c r="F893" s="74"/>
      <c r="G893" s="74"/>
      <c r="H893" s="74"/>
      <c r="I893" s="75"/>
    </row>
    <row r="894" ht="22.5" customHeight="1">
      <c r="A894" s="8"/>
      <c r="B894" s="32"/>
      <c r="C894" s="69"/>
      <c r="D894" s="73"/>
      <c r="E894" s="73"/>
      <c r="F894" s="74"/>
      <c r="G894" s="74"/>
      <c r="H894" s="74"/>
      <c r="I894" s="75"/>
    </row>
    <row r="895" ht="22.5" customHeight="1">
      <c r="A895" s="8"/>
      <c r="B895" s="32"/>
      <c r="C895" s="69"/>
      <c r="D895" s="73"/>
      <c r="E895" s="73"/>
      <c r="F895" s="74"/>
      <c r="G895" s="74"/>
      <c r="H895" s="74"/>
      <c r="I895" s="75"/>
    </row>
    <row r="896" ht="22.5" customHeight="1">
      <c r="A896" s="8"/>
      <c r="B896" s="32"/>
      <c r="C896" s="69"/>
      <c r="D896" s="73"/>
      <c r="E896" s="73"/>
      <c r="F896" s="74"/>
      <c r="G896" s="74"/>
      <c r="H896" s="74"/>
      <c r="I896" s="75"/>
    </row>
    <row r="897" ht="22.5" customHeight="1">
      <c r="A897" s="8"/>
      <c r="B897" s="32"/>
      <c r="C897" s="69"/>
      <c r="D897" s="73"/>
      <c r="E897" s="73"/>
      <c r="F897" s="74"/>
      <c r="G897" s="74"/>
      <c r="H897" s="74"/>
      <c r="I897" s="75"/>
    </row>
    <row r="898" ht="22.5" customHeight="1">
      <c r="A898" s="8"/>
      <c r="B898" s="32"/>
      <c r="C898" s="69"/>
      <c r="D898" s="73"/>
      <c r="E898" s="73"/>
      <c r="F898" s="74"/>
      <c r="G898" s="74"/>
      <c r="H898" s="74"/>
      <c r="I898" s="75"/>
    </row>
    <row r="899" ht="22.5" customHeight="1">
      <c r="A899" s="8"/>
      <c r="B899" s="32"/>
      <c r="C899" s="69"/>
      <c r="D899" s="73"/>
      <c r="E899" s="73"/>
      <c r="F899" s="74"/>
      <c r="G899" s="74"/>
      <c r="H899" s="74"/>
      <c r="I899" s="75"/>
    </row>
    <row r="900" ht="22.5" customHeight="1">
      <c r="A900" s="8"/>
      <c r="B900" s="32"/>
      <c r="C900" s="69"/>
      <c r="D900" s="73"/>
      <c r="E900" s="73"/>
      <c r="F900" s="74"/>
      <c r="G900" s="74"/>
      <c r="H900" s="74"/>
      <c r="I900" s="75"/>
    </row>
    <row r="901" ht="22.5" customHeight="1">
      <c r="A901" s="8"/>
      <c r="B901" s="32"/>
      <c r="C901" s="69"/>
      <c r="D901" s="73"/>
      <c r="E901" s="73"/>
      <c r="F901" s="74"/>
      <c r="G901" s="74"/>
      <c r="H901" s="74"/>
      <c r="I901" s="75"/>
    </row>
    <row r="902" ht="22.5" customHeight="1">
      <c r="A902" s="8"/>
      <c r="B902" s="32"/>
      <c r="C902" s="69"/>
      <c r="D902" s="73"/>
      <c r="E902" s="73"/>
      <c r="F902" s="74"/>
      <c r="G902" s="74"/>
      <c r="H902" s="74"/>
      <c r="I902" s="75"/>
    </row>
    <row r="903" ht="22.5" customHeight="1">
      <c r="A903" s="8"/>
      <c r="B903" s="32"/>
      <c r="C903" s="69"/>
      <c r="D903" s="73"/>
      <c r="E903" s="73"/>
      <c r="F903" s="74"/>
      <c r="G903" s="74"/>
      <c r="H903" s="74"/>
      <c r="I903" s="75"/>
    </row>
    <row r="904" ht="22.5" customHeight="1">
      <c r="A904" s="8"/>
      <c r="B904" s="32"/>
      <c r="C904" s="69"/>
      <c r="D904" s="73"/>
      <c r="E904" s="73"/>
      <c r="F904" s="74"/>
      <c r="G904" s="74"/>
      <c r="H904" s="74"/>
      <c r="I904" s="75"/>
    </row>
    <row r="905" ht="22.5" customHeight="1">
      <c r="A905" s="8"/>
      <c r="B905" s="32"/>
      <c r="C905" s="69"/>
      <c r="D905" s="73"/>
      <c r="E905" s="73"/>
      <c r="F905" s="74"/>
      <c r="G905" s="74"/>
      <c r="H905" s="74"/>
      <c r="I905" s="75"/>
    </row>
    <row r="906" ht="22.5" customHeight="1">
      <c r="A906" s="8"/>
      <c r="B906" s="32"/>
      <c r="C906" s="69"/>
      <c r="D906" s="73"/>
      <c r="E906" s="73"/>
      <c r="F906" s="74"/>
      <c r="G906" s="74"/>
      <c r="H906" s="74"/>
      <c r="I906" s="75"/>
    </row>
    <row r="907" ht="22.5" customHeight="1">
      <c r="A907" s="8"/>
      <c r="B907" s="32"/>
      <c r="C907" s="69"/>
      <c r="D907" s="73"/>
      <c r="E907" s="73"/>
      <c r="F907" s="74"/>
      <c r="G907" s="74"/>
      <c r="H907" s="74"/>
      <c r="I907" s="75"/>
    </row>
    <row r="908" ht="22.5" customHeight="1">
      <c r="A908" s="8"/>
      <c r="B908" s="32"/>
      <c r="C908" s="69"/>
      <c r="D908" s="73"/>
      <c r="E908" s="73"/>
      <c r="F908" s="74"/>
      <c r="G908" s="74"/>
      <c r="H908" s="74"/>
      <c r="I908" s="75"/>
    </row>
    <row r="909" ht="22.5" customHeight="1">
      <c r="A909" s="8"/>
      <c r="B909" s="32"/>
      <c r="C909" s="69"/>
      <c r="D909" s="73"/>
      <c r="E909" s="73"/>
      <c r="F909" s="74"/>
      <c r="G909" s="74"/>
      <c r="H909" s="74"/>
      <c r="I909" s="75"/>
    </row>
    <row r="910" ht="22.5" customHeight="1">
      <c r="A910" s="8"/>
      <c r="B910" s="32"/>
      <c r="C910" s="69"/>
      <c r="D910" s="73"/>
      <c r="E910" s="73"/>
      <c r="F910" s="74"/>
      <c r="G910" s="74"/>
      <c r="H910" s="74"/>
      <c r="I910" s="75"/>
    </row>
    <row r="911" ht="22.5" customHeight="1">
      <c r="A911" s="8"/>
      <c r="B911" s="32"/>
      <c r="C911" s="69"/>
      <c r="D911" s="73"/>
      <c r="E911" s="73"/>
      <c r="F911" s="74"/>
      <c r="G911" s="74"/>
      <c r="H911" s="74"/>
      <c r="I911" s="75"/>
    </row>
    <row r="912" ht="22.5" customHeight="1">
      <c r="A912" s="8"/>
      <c r="B912" s="32"/>
      <c r="C912" s="69"/>
      <c r="D912" s="73"/>
      <c r="E912" s="73"/>
      <c r="F912" s="74"/>
      <c r="G912" s="74"/>
      <c r="H912" s="74"/>
      <c r="I912" s="75"/>
    </row>
    <row r="913" ht="22.5" customHeight="1">
      <c r="A913" s="8"/>
      <c r="B913" s="32"/>
      <c r="C913" s="69"/>
      <c r="D913" s="73"/>
      <c r="E913" s="73"/>
      <c r="F913" s="74"/>
      <c r="G913" s="74"/>
      <c r="H913" s="74"/>
      <c r="I913" s="75"/>
    </row>
    <row r="914" ht="22.5" customHeight="1">
      <c r="A914" s="8"/>
      <c r="B914" s="32"/>
      <c r="C914" s="69"/>
      <c r="D914" s="73"/>
      <c r="E914" s="73"/>
      <c r="F914" s="74"/>
      <c r="G914" s="74"/>
      <c r="H914" s="74"/>
      <c r="I914" s="75"/>
    </row>
    <row r="915" ht="22.5" customHeight="1">
      <c r="A915" s="8"/>
      <c r="B915" s="32"/>
      <c r="C915" s="69"/>
      <c r="D915" s="73"/>
      <c r="E915" s="73"/>
      <c r="F915" s="74"/>
      <c r="G915" s="74"/>
      <c r="H915" s="74"/>
      <c r="I915" s="75"/>
    </row>
    <row r="916" ht="22.5" customHeight="1">
      <c r="A916" s="8"/>
      <c r="B916" s="32"/>
      <c r="C916" s="69"/>
      <c r="D916" s="73"/>
      <c r="E916" s="73"/>
      <c r="F916" s="74"/>
      <c r="G916" s="74"/>
      <c r="H916" s="74"/>
      <c r="I916" s="75"/>
    </row>
    <row r="917" ht="22.5" customHeight="1">
      <c r="A917" s="8"/>
      <c r="B917" s="32"/>
      <c r="C917" s="69"/>
      <c r="D917" s="73"/>
      <c r="E917" s="73"/>
      <c r="F917" s="74"/>
      <c r="G917" s="74"/>
      <c r="H917" s="74"/>
      <c r="I917" s="75"/>
    </row>
    <row r="918" ht="22.5" customHeight="1">
      <c r="A918" s="8"/>
      <c r="B918" s="32"/>
      <c r="C918" s="69"/>
      <c r="D918" s="73"/>
      <c r="E918" s="73"/>
      <c r="F918" s="74"/>
      <c r="G918" s="74"/>
      <c r="H918" s="74"/>
      <c r="I918" s="75"/>
    </row>
    <row r="919" ht="22.5" customHeight="1">
      <c r="A919" s="8"/>
      <c r="B919" s="32"/>
      <c r="C919" s="69"/>
      <c r="D919" s="73"/>
      <c r="E919" s="73"/>
      <c r="F919" s="74"/>
      <c r="G919" s="74"/>
      <c r="H919" s="74"/>
      <c r="I919" s="75"/>
    </row>
    <row r="920" ht="22.5" customHeight="1">
      <c r="A920" s="8"/>
      <c r="B920" s="32"/>
      <c r="C920" s="69"/>
      <c r="D920" s="73"/>
      <c r="E920" s="73"/>
      <c r="F920" s="74"/>
      <c r="G920" s="74"/>
      <c r="H920" s="74"/>
      <c r="I920" s="75"/>
    </row>
    <row r="921" ht="22.5" customHeight="1">
      <c r="A921" s="8"/>
      <c r="B921" s="32"/>
      <c r="C921" s="69"/>
      <c r="D921" s="73"/>
      <c r="E921" s="73"/>
      <c r="F921" s="74"/>
      <c r="G921" s="74"/>
      <c r="H921" s="74"/>
      <c r="I921" s="75"/>
    </row>
    <row r="922" ht="22.5" customHeight="1">
      <c r="A922" s="8"/>
      <c r="B922" s="32"/>
      <c r="C922" s="69"/>
      <c r="D922" s="73"/>
      <c r="E922" s="73"/>
      <c r="F922" s="74"/>
      <c r="G922" s="74"/>
      <c r="H922" s="74"/>
      <c r="I922" s="75"/>
    </row>
    <row r="923" ht="22.5" customHeight="1">
      <c r="A923" s="8"/>
      <c r="B923" s="32"/>
      <c r="C923" s="69"/>
      <c r="D923" s="73"/>
      <c r="E923" s="73"/>
      <c r="F923" s="74"/>
      <c r="G923" s="74"/>
      <c r="H923" s="74"/>
      <c r="I923" s="75"/>
    </row>
    <row r="924" ht="22.5" customHeight="1">
      <c r="A924" s="8"/>
      <c r="B924" s="32"/>
      <c r="C924" s="69"/>
      <c r="D924" s="73"/>
      <c r="E924" s="73"/>
      <c r="F924" s="74"/>
      <c r="G924" s="74"/>
      <c r="H924" s="74"/>
      <c r="I924" s="75"/>
    </row>
    <row r="925" ht="22.5" customHeight="1">
      <c r="A925" s="8"/>
      <c r="B925" s="32"/>
      <c r="C925" s="69"/>
      <c r="D925" s="73"/>
      <c r="E925" s="73"/>
      <c r="F925" s="74"/>
      <c r="G925" s="74"/>
      <c r="H925" s="74"/>
      <c r="I925" s="75"/>
    </row>
    <row r="926" ht="22.5" customHeight="1">
      <c r="A926" s="8"/>
      <c r="B926" s="32"/>
      <c r="C926" s="69"/>
      <c r="D926" s="73"/>
      <c r="E926" s="73"/>
      <c r="F926" s="74"/>
      <c r="G926" s="74"/>
      <c r="H926" s="74"/>
      <c r="I926" s="75"/>
    </row>
    <row r="927" ht="22.5" customHeight="1">
      <c r="A927" s="8"/>
      <c r="B927" s="32"/>
      <c r="C927" s="69"/>
      <c r="D927" s="73"/>
      <c r="E927" s="73"/>
      <c r="F927" s="74"/>
      <c r="G927" s="74"/>
      <c r="H927" s="74"/>
      <c r="I927" s="75"/>
    </row>
    <row r="928" ht="22.5" customHeight="1">
      <c r="A928" s="8"/>
      <c r="B928" s="32"/>
      <c r="C928" s="69"/>
      <c r="D928" s="73"/>
      <c r="E928" s="73"/>
      <c r="F928" s="74"/>
      <c r="G928" s="74"/>
      <c r="H928" s="74"/>
      <c r="I928" s="75"/>
    </row>
    <row r="929" ht="22.5" customHeight="1">
      <c r="A929" s="8"/>
      <c r="B929" s="32"/>
      <c r="C929" s="69"/>
      <c r="D929" s="73"/>
      <c r="E929" s="73"/>
      <c r="F929" s="74"/>
      <c r="G929" s="74"/>
      <c r="H929" s="74"/>
      <c r="I929" s="75"/>
    </row>
    <row r="930" ht="22.5" customHeight="1">
      <c r="A930" s="8"/>
      <c r="B930" s="32"/>
      <c r="C930" s="69"/>
      <c r="D930" s="73"/>
      <c r="E930" s="73"/>
      <c r="F930" s="74"/>
      <c r="G930" s="74"/>
      <c r="H930" s="74"/>
      <c r="I930" s="75"/>
    </row>
    <row r="931" ht="22.5" customHeight="1">
      <c r="A931" s="8"/>
      <c r="B931" s="32"/>
      <c r="C931" s="69"/>
      <c r="D931" s="73"/>
      <c r="E931" s="73"/>
      <c r="F931" s="74"/>
      <c r="G931" s="74"/>
      <c r="H931" s="74"/>
      <c r="I931" s="75"/>
    </row>
    <row r="932" ht="22.5" customHeight="1">
      <c r="A932" s="8"/>
      <c r="B932" s="32"/>
      <c r="C932" s="69"/>
      <c r="D932" s="73"/>
      <c r="E932" s="73"/>
      <c r="F932" s="74"/>
      <c r="G932" s="74"/>
      <c r="H932" s="74"/>
      <c r="I932" s="75"/>
    </row>
    <row r="933" ht="22.5" customHeight="1">
      <c r="A933" s="8"/>
      <c r="B933" s="32"/>
      <c r="C933" s="69"/>
      <c r="D933" s="73"/>
      <c r="E933" s="73"/>
      <c r="F933" s="74"/>
      <c r="G933" s="74"/>
      <c r="H933" s="74"/>
      <c r="I933" s="75"/>
    </row>
    <row r="934" ht="22.5" customHeight="1">
      <c r="A934" s="8"/>
      <c r="B934" s="32"/>
      <c r="C934" s="69"/>
      <c r="D934" s="73"/>
      <c r="E934" s="73"/>
      <c r="F934" s="74"/>
      <c r="G934" s="74"/>
      <c r="H934" s="74"/>
      <c r="I934" s="75"/>
    </row>
    <row r="935" ht="22.5" customHeight="1">
      <c r="A935" s="8"/>
      <c r="B935" s="32"/>
      <c r="C935" s="69"/>
      <c r="D935" s="73"/>
      <c r="E935" s="73"/>
      <c r="F935" s="74"/>
      <c r="G935" s="74"/>
      <c r="H935" s="74"/>
      <c r="I935" s="75"/>
    </row>
    <row r="936" ht="22.5" customHeight="1">
      <c r="A936" s="8"/>
      <c r="B936" s="32"/>
      <c r="C936" s="69"/>
      <c r="D936" s="73"/>
      <c r="E936" s="73"/>
      <c r="F936" s="74"/>
      <c r="G936" s="74"/>
      <c r="H936" s="74"/>
      <c r="I936" s="75"/>
    </row>
    <row r="937" ht="22.5" customHeight="1">
      <c r="A937" s="8"/>
      <c r="B937" s="32"/>
      <c r="C937" s="69"/>
      <c r="D937" s="73"/>
      <c r="E937" s="73"/>
      <c r="F937" s="74"/>
      <c r="G937" s="74"/>
      <c r="H937" s="74"/>
      <c r="I937" s="75"/>
    </row>
    <row r="938" ht="22.5" customHeight="1">
      <c r="A938" s="8"/>
      <c r="B938" s="32"/>
      <c r="C938" s="69"/>
      <c r="D938" s="73"/>
      <c r="E938" s="73"/>
      <c r="F938" s="74"/>
      <c r="G938" s="74"/>
      <c r="H938" s="74"/>
      <c r="I938" s="75"/>
    </row>
    <row r="939" ht="22.5" customHeight="1">
      <c r="A939" s="8"/>
      <c r="B939" s="32"/>
      <c r="C939" s="69"/>
      <c r="D939" s="73"/>
      <c r="E939" s="73"/>
      <c r="F939" s="74"/>
      <c r="G939" s="74"/>
      <c r="H939" s="74"/>
      <c r="I939" s="75"/>
    </row>
    <row r="940" ht="22.5" customHeight="1">
      <c r="A940" s="8"/>
      <c r="B940" s="32"/>
      <c r="C940" s="69"/>
      <c r="D940" s="73"/>
      <c r="E940" s="73"/>
      <c r="F940" s="74"/>
      <c r="G940" s="74"/>
      <c r="H940" s="74"/>
      <c r="I940" s="75"/>
    </row>
    <row r="941" ht="22.5" customHeight="1">
      <c r="A941" s="8"/>
      <c r="B941" s="32"/>
      <c r="C941" s="69"/>
      <c r="D941" s="73"/>
      <c r="E941" s="73"/>
      <c r="F941" s="74"/>
      <c r="G941" s="74"/>
      <c r="H941" s="74"/>
      <c r="I941" s="75"/>
    </row>
    <row r="942" ht="22.5" customHeight="1">
      <c r="A942" s="8"/>
      <c r="B942" s="32"/>
      <c r="C942" s="69"/>
      <c r="D942" s="73"/>
      <c r="E942" s="73"/>
      <c r="F942" s="74"/>
      <c r="G942" s="74"/>
      <c r="H942" s="74"/>
      <c r="I942" s="75"/>
    </row>
    <row r="943" ht="22.5" customHeight="1">
      <c r="A943" s="8"/>
      <c r="B943" s="32"/>
      <c r="C943" s="69"/>
      <c r="D943" s="73"/>
      <c r="E943" s="73"/>
      <c r="F943" s="74"/>
      <c r="G943" s="74"/>
      <c r="H943" s="74"/>
      <c r="I943" s="75"/>
    </row>
    <row r="944" ht="22.5" customHeight="1">
      <c r="A944" s="8"/>
      <c r="B944" s="32"/>
      <c r="C944" s="69"/>
      <c r="D944" s="73"/>
      <c r="E944" s="73"/>
      <c r="F944" s="74"/>
      <c r="G944" s="74"/>
      <c r="H944" s="74"/>
      <c r="I944" s="75"/>
    </row>
    <row r="945" ht="22.5" customHeight="1">
      <c r="A945" s="8"/>
      <c r="B945" s="32"/>
      <c r="C945" s="69"/>
      <c r="D945" s="73"/>
      <c r="E945" s="73"/>
      <c r="F945" s="74"/>
      <c r="G945" s="74"/>
      <c r="H945" s="74"/>
      <c r="I945" s="75"/>
    </row>
    <row r="946" ht="22.5" customHeight="1">
      <c r="A946" s="8"/>
      <c r="B946" s="32"/>
      <c r="C946" s="69"/>
      <c r="D946" s="73"/>
      <c r="E946" s="73"/>
      <c r="F946" s="74"/>
      <c r="G946" s="74"/>
      <c r="H946" s="74"/>
      <c r="I946" s="75"/>
    </row>
    <row r="947" ht="22.5" customHeight="1">
      <c r="A947" s="8"/>
      <c r="B947" s="32"/>
      <c r="C947" s="69"/>
      <c r="D947" s="73"/>
      <c r="E947" s="73"/>
      <c r="F947" s="74"/>
      <c r="G947" s="74"/>
      <c r="H947" s="74"/>
      <c r="I947" s="75"/>
    </row>
    <row r="948" ht="22.5" customHeight="1">
      <c r="A948" s="8"/>
      <c r="B948" s="32"/>
      <c r="C948" s="69"/>
      <c r="D948" s="73"/>
      <c r="E948" s="73"/>
      <c r="F948" s="74"/>
      <c r="G948" s="74"/>
      <c r="H948" s="74"/>
      <c r="I948" s="75"/>
    </row>
    <row r="949" ht="22.5" customHeight="1">
      <c r="A949" s="8"/>
      <c r="B949" s="32"/>
      <c r="C949" s="69"/>
      <c r="D949" s="73"/>
      <c r="E949" s="73"/>
      <c r="F949" s="74"/>
      <c r="G949" s="74"/>
      <c r="H949" s="74"/>
      <c r="I949" s="75"/>
    </row>
    <row r="950" ht="22.5" customHeight="1">
      <c r="A950" s="8"/>
      <c r="B950" s="32"/>
      <c r="C950" s="69"/>
      <c r="D950" s="73"/>
      <c r="E950" s="73"/>
      <c r="F950" s="74"/>
      <c r="G950" s="74"/>
      <c r="H950" s="74"/>
      <c r="I950" s="75"/>
    </row>
    <row r="951" ht="22.5" customHeight="1">
      <c r="A951" s="8"/>
      <c r="B951" s="32"/>
      <c r="C951" s="69"/>
      <c r="D951" s="73"/>
      <c r="E951" s="73"/>
      <c r="F951" s="74"/>
      <c r="G951" s="74"/>
      <c r="H951" s="74"/>
      <c r="I951" s="75"/>
    </row>
    <row r="952" ht="22.5" customHeight="1">
      <c r="A952" s="8"/>
      <c r="B952" s="32"/>
      <c r="C952" s="69"/>
      <c r="D952" s="73"/>
      <c r="E952" s="73"/>
      <c r="F952" s="74"/>
      <c r="G952" s="74"/>
      <c r="H952" s="74"/>
      <c r="I952" s="75"/>
    </row>
    <row r="953" ht="22.5" customHeight="1">
      <c r="A953" s="8"/>
      <c r="B953" s="32"/>
      <c r="C953" s="69"/>
      <c r="D953" s="73"/>
      <c r="E953" s="73"/>
      <c r="F953" s="74"/>
      <c r="G953" s="74"/>
      <c r="H953" s="74"/>
      <c r="I953" s="75"/>
    </row>
    <row r="954" ht="22.5" customHeight="1">
      <c r="A954" s="8"/>
      <c r="B954" s="32"/>
      <c r="C954" s="69"/>
      <c r="D954" s="73"/>
      <c r="E954" s="73"/>
      <c r="F954" s="74"/>
      <c r="G954" s="74"/>
      <c r="H954" s="74"/>
      <c r="I954" s="75"/>
    </row>
    <row r="955" ht="22.5" customHeight="1">
      <c r="A955" s="8"/>
      <c r="B955" s="32"/>
      <c r="C955" s="69"/>
      <c r="D955" s="73"/>
      <c r="E955" s="73"/>
      <c r="F955" s="74"/>
      <c r="G955" s="74"/>
      <c r="H955" s="74"/>
      <c r="I955" s="75"/>
    </row>
    <row r="956" ht="22.5" customHeight="1">
      <c r="A956" s="8"/>
      <c r="B956" s="32"/>
      <c r="C956" s="69"/>
      <c r="D956" s="73"/>
      <c r="E956" s="73"/>
      <c r="F956" s="74"/>
      <c r="G956" s="74"/>
      <c r="H956" s="74"/>
      <c r="I956" s="75"/>
    </row>
    <row r="957" ht="22.5" customHeight="1">
      <c r="A957" s="8"/>
      <c r="B957" s="32"/>
      <c r="C957" s="69"/>
      <c r="D957" s="73"/>
      <c r="E957" s="73"/>
      <c r="F957" s="74"/>
      <c r="G957" s="74"/>
      <c r="H957" s="74"/>
      <c r="I957" s="75"/>
    </row>
    <row r="958" ht="22.5" customHeight="1">
      <c r="A958" s="8"/>
      <c r="B958" s="32"/>
      <c r="C958" s="69"/>
      <c r="D958" s="73"/>
      <c r="E958" s="73"/>
      <c r="F958" s="74"/>
      <c r="G958" s="74"/>
      <c r="H958" s="74"/>
      <c r="I958" s="75"/>
    </row>
    <row r="959" ht="22.5" customHeight="1">
      <c r="A959" s="8"/>
      <c r="B959" s="32"/>
      <c r="C959" s="69"/>
      <c r="D959" s="73"/>
      <c r="E959" s="73"/>
      <c r="F959" s="74"/>
      <c r="G959" s="74"/>
      <c r="H959" s="74"/>
      <c r="I959" s="75"/>
    </row>
    <row r="960" ht="22.5" customHeight="1">
      <c r="A960" s="8"/>
      <c r="B960" s="32"/>
      <c r="C960" s="69"/>
      <c r="D960" s="73"/>
      <c r="E960" s="73"/>
      <c r="F960" s="74"/>
      <c r="G960" s="74"/>
      <c r="H960" s="74"/>
      <c r="I960" s="75"/>
    </row>
    <row r="961" ht="22.5" customHeight="1">
      <c r="A961" s="8"/>
      <c r="B961" s="32"/>
      <c r="C961" s="69"/>
      <c r="D961" s="73"/>
      <c r="E961" s="73"/>
      <c r="F961" s="74"/>
      <c r="G961" s="74"/>
      <c r="H961" s="74"/>
      <c r="I961" s="75"/>
    </row>
    <row r="962" ht="22.5" customHeight="1">
      <c r="A962" s="8"/>
      <c r="B962" s="32"/>
      <c r="C962" s="69"/>
      <c r="D962" s="73"/>
      <c r="E962" s="73"/>
      <c r="F962" s="74"/>
      <c r="G962" s="74"/>
      <c r="H962" s="74"/>
      <c r="I962" s="75"/>
    </row>
    <row r="963" ht="22.5" customHeight="1">
      <c r="A963" s="8"/>
      <c r="B963" s="32"/>
      <c r="C963" s="69"/>
      <c r="D963" s="73"/>
      <c r="E963" s="73"/>
      <c r="F963" s="74"/>
      <c r="G963" s="74"/>
      <c r="H963" s="74"/>
      <c r="I963" s="75"/>
    </row>
    <row r="964" ht="22.5" customHeight="1">
      <c r="A964" s="8"/>
      <c r="B964" s="32"/>
      <c r="C964" s="69"/>
      <c r="D964" s="73"/>
      <c r="E964" s="73"/>
      <c r="F964" s="74"/>
      <c r="G964" s="74"/>
      <c r="H964" s="74"/>
      <c r="I964" s="75"/>
    </row>
    <row r="965" ht="22.5" customHeight="1">
      <c r="A965" s="8"/>
      <c r="B965" s="32"/>
      <c r="C965" s="69"/>
      <c r="D965" s="73"/>
      <c r="E965" s="73"/>
      <c r="F965" s="74"/>
      <c r="G965" s="74"/>
      <c r="H965" s="74"/>
      <c r="I965" s="75"/>
    </row>
    <row r="966" ht="22.5" customHeight="1">
      <c r="A966" s="8"/>
      <c r="B966" s="32"/>
      <c r="C966" s="69"/>
      <c r="D966" s="73"/>
      <c r="E966" s="73"/>
      <c r="F966" s="74"/>
      <c r="G966" s="74"/>
      <c r="H966" s="74"/>
      <c r="I966" s="75"/>
    </row>
    <row r="967" ht="22.5" customHeight="1">
      <c r="A967" s="8"/>
      <c r="B967" s="32"/>
      <c r="C967" s="69"/>
      <c r="D967" s="73"/>
      <c r="E967" s="73"/>
      <c r="F967" s="74"/>
      <c r="G967" s="74"/>
      <c r="H967" s="74"/>
      <c r="I967" s="75"/>
    </row>
    <row r="968" ht="22.5" customHeight="1">
      <c r="A968" s="8"/>
      <c r="B968" s="32"/>
      <c r="C968" s="69"/>
      <c r="D968" s="73"/>
      <c r="E968" s="73"/>
      <c r="F968" s="74"/>
      <c r="G968" s="74"/>
      <c r="H968" s="74"/>
      <c r="I968" s="75"/>
    </row>
    <row r="969" ht="22.5" customHeight="1">
      <c r="A969" s="8"/>
      <c r="B969" s="32"/>
      <c r="C969" s="69"/>
      <c r="D969" s="73"/>
      <c r="E969" s="73"/>
      <c r="F969" s="74"/>
      <c r="G969" s="74"/>
      <c r="H969" s="74"/>
      <c r="I969" s="75"/>
    </row>
    <row r="970" ht="22.5" customHeight="1">
      <c r="A970" s="8"/>
      <c r="B970" s="32"/>
      <c r="C970" s="69"/>
      <c r="D970" s="73"/>
      <c r="E970" s="73"/>
      <c r="F970" s="74"/>
      <c r="G970" s="74"/>
      <c r="H970" s="74"/>
      <c r="I970" s="75"/>
    </row>
    <row r="971" ht="22.5" customHeight="1">
      <c r="A971" s="8"/>
      <c r="B971" s="32"/>
      <c r="C971" s="69"/>
      <c r="D971" s="73"/>
      <c r="E971" s="73"/>
      <c r="F971" s="74"/>
      <c r="G971" s="74"/>
      <c r="H971" s="74"/>
      <c r="I971" s="75"/>
    </row>
    <row r="972" ht="22.5" customHeight="1">
      <c r="A972" s="8"/>
      <c r="B972" s="32"/>
      <c r="C972" s="69"/>
      <c r="D972" s="73"/>
      <c r="E972" s="73"/>
      <c r="F972" s="74"/>
      <c r="G972" s="74"/>
      <c r="H972" s="74"/>
      <c r="I972" s="75"/>
    </row>
    <row r="973" ht="22.5" customHeight="1">
      <c r="A973" s="8"/>
      <c r="B973" s="32"/>
      <c r="C973" s="69"/>
      <c r="D973" s="73"/>
      <c r="E973" s="73"/>
      <c r="F973" s="74"/>
      <c r="G973" s="74"/>
      <c r="H973" s="74"/>
      <c r="I973" s="75"/>
    </row>
    <row r="974" ht="22.5" customHeight="1">
      <c r="A974" s="8"/>
      <c r="B974" s="32"/>
      <c r="C974" s="69"/>
      <c r="D974" s="73"/>
      <c r="E974" s="73"/>
      <c r="F974" s="74"/>
      <c r="G974" s="74"/>
      <c r="H974" s="74"/>
      <c r="I974" s="75"/>
    </row>
    <row r="975" ht="22.5" customHeight="1">
      <c r="A975" s="8"/>
      <c r="B975" s="32"/>
      <c r="C975" s="69"/>
      <c r="D975" s="73"/>
      <c r="E975" s="73"/>
      <c r="F975" s="74"/>
      <c r="G975" s="74"/>
      <c r="H975" s="74"/>
      <c r="I975" s="75"/>
    </row>
    <row r="976" ht="22.5" customHeight="1">
      <c r="A976" s="8"/>
      <c r="B976" s="32"/>
      <c r="C976" s="69"/>
      <c r="D976" s="73"/>
      <c r="E976" s="73"/>
      <c r="F976" s="74"/>
      <c r="G976" s="74"/>
      <c r="H976" s="74"/>
      <c r="I976" s="75"/>
    </row>
    <row r="977" ht="22.5" customHeight="1">
      <c r="A977" s="8"/>
      <c r="B977" s="32"/>
      <c r="C977" s="69"/>
      <c r="D977" s="73"/>
      <c r="E977" s="73"/>
      <c r="F977" s="74"/>
      <c r="G977" s="74"/>
      <c r="H977" s="74"/>
      <c r="I977" s="75"/>
    </row>
    <row r="978" ht="22.5" customHeight="1">
      <c r="A978" s="8"/>
      <c r="B978" s="32"/>
      <c r="C978" s="69"/>
      <c r="D978" s="73"/>
      <c r="E978" s="73"/>
      <c r="F978" s="74"/>
      <c r="G978" s="74"/>
      <c r="H978" s="74"/>
      <c r="I978" s="75"/>
    </row>
    <row r="979" ht="22.5" customHeight="1">
      <c r="A979" s="8"/>
      <c r="B979" s="32"/>
      <c r="C979" s="69"/>
      <c r="D979" s="73"/>
      <c r="E979" s="73"/>
      <c r="F979" s="74"/>
      <c r="G979" s="74"/>
      <c r="H979" s="74"/>
      <c r="I979" s="75"/>
    </row>
    <row r="980" ht="22.5" customHeight="1">
      <c r="A980" s="8"/>
      <c r="B980" s="32"/>
      <c r="C980" s="69"/>
      <c r="D980" s="73"/>
      <c r="E980" s="73"/>
      <c r="F980" s="74"/>
      <c r="G980" s="74"/>
      <c r="H980" s="74"/>
      <c r="I980" s="75"/>
    </row>
    <row r="981" ht="22.5" customHeight="1">
      <c r="A981" s="8"/>
      <c r="B981" s="32"/>
      <c r="C981" s="69"/>
      <c r="D981" s="73"/>
      <c r="E981" s="73"/>
      <c r="F981" s="74"/>
      <c r="G981" s="74"/>
      <c r="H981" s="74"/>
      <c r="I981" s="75"/>
    </row>
    <row r="982" ht="22.5" customHeight="1">
      <c r="A982" s="8"/>
      <c r="B982" s="32"/>
      <c r="C982" s="69"/>
      <c r="D982" s="73"/>
      <c r="E982" s="73"/>
      <c r="F982" s="74"/>
      <c r="G982" s="74"/>
      <c r="H982" s="74"/>
      <c r="I982" s="75"/>
    </row>
    <row r="983" ht="22.5" customHeight="1">
      <c r="A983" s="8"/>
      <c r="B983" s="32"/>
      <c r="C983" s="69"/>
      <c r="D983" s="73"/>
      <c r="E983" s="73"/>
      <c r="F983" s="74"/>
      <c r="G983" s="74"/>
      <c r="H983" s="74"/>
      <c r="I983" s="75"/>
    </row>
    <row r="984" ht="22.5" customHeight="1">
      <c r="A984" s="8"/>
      <c r="B984" s="32"/>
      <c r="C984" s="69"/>
      <c r="D984" s="73"/>
      <c r="E984" s="73"/>
      <c r="F984" s="74"/>
      <c r="G984" s="74"/>
      <c r="H984" s="74"/>
      <c r="I984" s="75"/>
    </row>
    <row r="985" ht="22.5" customHeight="1">
      <c r="A985" s="8"/>
      <c r="B985" s="32"/>
      <c r="C985" s="69"/>
      <c r="D985" s="73"/>
      <c r="E985" s="73"/>
      <c r="F985" s="74"/>
      <c r="G985" s="74"/>
      <c r="H985" s="74"/>
      <c r="I985" s="75"/>
    </row>
    <row r="986" ht="22.5" customHeight="1">
      <c r="A986" s="8"/>
      <c r="B986" s="32"/>
      <c r="C986" s="69"/>
      <c r="D986" s="73"/>
      <c r="E986" s="73"/>
      <c r="F986" s="74"/>
      <c r="G986" s="74"/>
      <c r="H986" s="74"/>
      <c r="I986" s="75"/>
    </row>
    <row r="987" ht="22.5" customHeight="1">
      <c r="A987" s="8"/>
      <c r="B987" s="32"/>
      <c r="C987" s="69"/>
      <c r="D987" s="73"/>
      <c r="E987" s="73"/>
      <c r="F987" s="74"/>
      <c r="G987" s="74"/>
      <c r="H987" s="74"/>
      <c r="I987" s="75"/>
    </row>
    <row r="988" ht="22.5" customHeight="1">
      <c r="A988" s="8"/>
      <c r="B988" s="32"/>
      <c r="C988" s="69"/>
      <c r="D988" s="73"/>
      <c r="E988" s="73"/>
      <c r="F988" s="74"/>
      <c r="G988" s="74"/>
      <c r="H988" s="74"/>
      <c r="I988" s="75"/>
    </row>
    <row r="989" ht="22.5" customHeight="1">
      <c r="A989" s="8"/>
      <c r="B989" s="32"/>
      <c r="C989" s="69"/>
      <c r="D989" s="73"/>
      <c r="E989" s="73"/>
      <c r="F989" s="74"/>
      <c r="G989" s="74"/>
      <c r="H989" s="74"/>
      <c r="I989" s="75"/>
    </row>
    <row r="990" ht="22.5" customHeight="1">
      <c r="A990" s="8"/>
      <c r="B990" s="32"/>
      <c r="C990" s="69"/>
      <c r="D990" s="73"/>
      <c r="E990" s="73"/>
      <c r="F990" s="74"/>
      <c r="G990" s="74"/>
      <c r="H990" s="74"/>
      <c r="I990" s="75"/>
    </row>
    <row r="991" ht="22.5" customHeight="1">
      <c r="A991" s="8"/>
      <c r="B991" s="32"/>
      <c r="C991" s="69"/>
      <c r="D991" s="73"/>
      <c r="E991" s="73"/>
      <c r="F991" s="74"/>
      <c r="G991" s="74"/>
      <c r="H991" s="74"/>
      <c r="I991" s="75"/>
    </row>
    <row r="992" ht="22.5" customHeight="1">
      <c r="A992" s="8"/>
      <c r="B992" s="32"/>
      <c r="C992" s="69"/>
      <c r="D992" s="73"/>
      <c r="E992" s="73"/>
      <c r="F992" s="74"/>
      <c r="G992" s="74"/>
      <c r="H992" s="74"/>
      <c r="I992" s="75"/>
    </row>
    <row r="993" ht="22.5" customHeight="1">
      <c r="A993" s="8"/>
      <c r="B993" s="32"/>
      <c r="C993" s="69"/>
      <c r="D993" s="73"/>
      <c r="E993" s="73"/>
      <c r="F993" s="74"/>
      <c r="G993" s="74"/>
      <c r="H993" s="74"/>
      <c r="I993" s="75"/>
    </row>
    <row r="994" ht="22.5" customHeight="1">
      <c r="A994" s="8"/>
      <c r="B994" s="32"/>
      <c r="C994" s="69"/>
      <c r="D994" s="73"/>
      <c r="E994" s="73"/>
      <c r="F994" s="74"/>
      <c r="G994" s="74"/>
      <c r="H994" s="74"/>
      <c r="I994" s="75"/>
    </row>
    <row r="995" ht="22.5" customHeight="1">
      <c r="A995" s="8"/>
      <c r="B995" s="32"/>
      <c r="C995" s="69"/>
      <c r="D995" s="73"/>
      <c r="E995" s="73"/>
      <c r="F995" s="74"/>
      <c r="G995" s="74"/>
      <c r="H995" s="74"/>
      <c r="I995" s="75"/>
    </row>
    <row r="996" ht="22.5" customHeight="1">
      <c r="A996" s="8"/>
      <c r="B996" s="32"/>
      <c r="C996" s="69"/>
      <c r="D996" s="73"/>
      <c r="E996" s="73"/>
      <c r="F996" s="74"/>
      <c r="G996" s="74"/>
      <c r="H996" s="74"/>
      <c r="I996" s="75"/>
    </row>
    <row r="997" ht="22.5" customHeight="1">
      <c r="A997" s="8"/>
      <c r="B997" s="32"/>
      <c r="C997" s="69"/>
      <c r="D997" s="73"/>
      <c r="E997" s="73"/>
      <c r="F997" s="74"/>
      <c r="G997" s="74"/>
      <c r="H997" s="74"/>
      <c r="I997" s="75"/>
    </row>
    <row r="998" ht="22.5" customHeight="1">
      <c r="A998" s="8"/>
      <c r="B998" s="32"/>
      <c r="C998" s="69"/>
      <c r="D998" s="73"/>
      <c r="E998" s="73"/>
      <c r="F998" s="74"/>
      <c r="G998" s="74"/>
      <c r="H998" s="74"/>
      <c r="I998" s="75"/>
    </row>
    <row r="999" ht="22.5" customHeight="1">
      <c r="A999" s="8"/>
      <c r="B999" s="32"/>
      <c r="C999" s="69"/>
      <c r="D999" s="73"/>
      <c r="E999" s="73"/>
      <c r="F999" s="74"/>
      <c r="G999" s="74"/>
      <c r="H999" s="74"/>
      <c r="I999" s="75"/>
    </row>
    <row r="1000" ht="22.5" customHeight="1">
      <c r="A1000" s="8"/>
      <c r="B1000" s="32"/>
      <c r="C1000" s="69"/>
      <c r="D1000" s="73"/>
      <c r="E1000" s="73"/>
      <c r="F1000" s="74"/>
      <c r="G1000" s="74"/>
      <c r="H1000" s="74"/>
      <c r="I1000" s="75"/>
    </row>
    <row r="1001" ht="22.5" customHeight="1">
      <c r="A1001" s="8"/>
      <c r="B1001" s="32"/>
      <c r="C1001" s="69"/>
      <c r="D1001" s="73"/>
      <c r="E1001" s="73"/>
      <c r="F1001" s="74"/>
      <c r="G1001" s="74"/>
      <c r="H1001" s="74"/>
      <c r="I1001" s="75"/>
    </row>
    <row r="1002" ht="22.5" customHeight="1">
      <c r="A1002" s="8"/>
      <c r="B1002" s="32"/>
      <c r="C1002" s="69"/>
      <c r="D1002" s="73"/>
      <c r="E1002" s="73"/>
      <c r="F1002" s="74"/>
      <c r="G1002" s="74"/>
      <c r="H1002" s="74"/>
      <c r="I1002" s="75"/>
    </row>
    <row r="1003" ht="22.5" customHeight="1">
      <c r="A1003" s="8"/>
      <c r="B1003" s="32"/>
      <c r="C1003" s="69"/>
      <c r="D1003" s="73"/>
      <c r="E1003" s="73"/>
      <c r="F1003" s="74"/>
      <c r="G1003" s="74"/>
      <c r="H1003" s="74"/>
      <c r="I1003" s="75"/>
    </row>
    <row r="1004" ht="22.5" customHeight="1">
      <c r="A1004" s="8"/>
      <c r="B1004" s="32"/>
      <c r="C1004" s="69"/>
      <c r="D1004" s="73"/>
      <c r="E1004" s="73"/>
      <c r="F1004" s="74"/>
      <c r="G1004" s="74"/>
      <c r="H1004" s="74"/>
      <c r="I1004" s="75"/>
    </row>
    <row r="1005" ht="22.5" customHeight="1">
      <c r="A1005" s="8"/>
      <c r="B1005" s="32"/>
      <c r="C1005" s="69"/>
      <c r="D1005" s="73"/>
      <c r="E1005" s="73"/>
      <c r="F1005" s="74"/>
      <c r="G1005" s="74"/>
      <c r="H1005" s="74"/>
      <c r="I1005" s="75"/>
    </row>
    <row r="1006" ht="22.5" customHeight="1">
      <c r="A1006" s="8"/>
      <c r="B1006" s="32"/>
      <c r="C1006" s="69"/>
      <c r="D1006" s="73"/>
      <c r="E1006" s="73"/>
      <c r="F1006" s="74"/>
      <c r="G1006" s="74"/>
      <c r="H1006" s="74"/>
      <c r="I1006" s="75"/>
    </row>
    <row r="1007" ht="22.5" customHeight="1">
      <c r="A1007" s="8"/>
      <c r="B1007" s="32"/>
      <c r="C1007" s="69"/>
      <c r="D1007" s="73"/>
      <c r="E1007" s="73"/>
      <c r="F1007" s="74"/>
      <c r="G1007" s="74"/>
      <c r="H1007" s="74"/>
      <c r="I1007" s="75"/>
    </row>
    <row r="1008" ht="22.5" customHeight="1">
      <c r="A1008" s="8"/>
      <c r="B1008" s="32"/>
      <c r="C1008" s="69"/>
      <c r="D1008" s="73"/>
      <c r="E1008" s="73"/>
      <c r="F1008" s="74"/>
      <c r="G1008" s="74"/>
      <c r="H1008" s="74"/>
      <c r="I1008" s="75"/>
    </row>
    <row r="1009" ht="22.5" customHeight="1">
      <c r="A1009" s="8"/>
      <c r="B1009" s="32"/>
      <c r="C1009" s="69"/>
      <c r="D1009" s="73"/>
      <c r="E1009" s="73"/>
      <c r="F1009" s="74"/>
      <c r="G1009" s="74"/>
      <c r="H1009" s="74"/>
      <c r="I1009" s="75"/>
    </row>
    <row r="1010" ht="22.5" customHeight="1">
      <c r="A1010" s="8"/>
      <c r="B1010" s="32"/>
      <c r="C1010" s="69"/>
      <c r="D1010" s="73"/>
      <c r="E1010" s="73"/>
      <c r="F1010" s="74"/>
      <c r="G1010" s="74"/>
      <c r="H1010" s="74"/>
      <c r="I1010" s="75"/>
    </row>
    <row r="1011" ht="22.5" customHeight="1">
      <c r="A1011" s="8"/>
      <c r="B1011" s="32"/>
      <c r="C1011" s="69"/>
      <c r="D1011" s="73"/>
      <c r="E1011" s="73"/>
      <c r="F1011" s="74"/>
      <c r="G1011" s="74"/>
      <c r="H1011" s="74"/>
      <c r="I1011" s="75"/>
    </row>
    <row r="1012" ht="22.5" customHeight="1">
      <c r="A1012" s="8"/>
      <c r="B1012" s="32"/>
      <c r="C1012" s="69"/>
      <c r="D1012" s="73"/>
      <c r="E1012" s="73"/>
      <c r="F1012" s="74"/>
      <c r="G1012" s="74"/>
      <c r="H1012" s="74"/>
      <c r="I1012" s="75"/>
    </row>
    <row r="1013" ht="22.5" customHeight="1">
      <c r="A1013" s="8"/>
      <c r="B1013" s="32"/>
      <c r="C1013" s="69"/>
      <c r="D1013" s="73"/>
      <c r="E1013" s="73"/>
      <c r="F1013" s="74"/>
      <c r="G1013" s="74"/>
      <c r="H1013" s="74"/>
      <c r="I1013" s="75"/>
    </row>
    <row r="1014" ht="22.5" customHeight="1">
      <c r="A1014" s="8"/>
      <c r="B1014" s="32"/>
      <c r="C1014" s="69"/>
      <c r="D1014" s="73"/>
      <c r="E1014" s="73"/>
      <c r="F1014" s="74"/>
      <c r="G1014" s="74"/>
      <c r="H1014" s="74"/>
      <c r="I1014" s="75"/>
    </row>
    <row r="1015" ht="22.5" customHeight="1">
      <c r="A1015" s="8"/>
      <c r="B1015" s="32"/>
      <c r="C1015" s="69"/>
      <c r="D1015" s="73"/>
      <c r="E1015" s="73"/>
      <c r="F1015" s="74"/>
      <c r="G1015" s="74"/>
      <c r="H1015" s="74"/>
      <c r="I1015" s="75"/>
    </row>
    <row r="1016" ht="22.5" customHeight="1">
      <c r="A1016" s="8"/>
      <c r="B1016" s="32"/>
      <c r="C1016" s="69"/>
      <c r="D1016" s="73"/>
      <c r="E1016" s="73"/>
      <c r="F1016" s="74"/>
      <c r="G1016" s="74"/>
      <c r="H1016" s="74"/>
      <c r="I1016" s="75"/>
    </row>
    <row r="1017" ht="22.5" customHeight="1">
      <c r="A1017" s="8"/>
      <c r="B1017" s="32"/>
      <c r="C1017" s="69"/>
      <c r="D1017" s="73"/>
      <c r="E1017" s="73"/>
      <c r="F1017" s="74"/>
      <c r="G1017" s="74"/>
      <c r="H1017" s="74"/>
      <c r="I1017" s="75"/>
    </row>
    <row r="1018" ht="22.5" customHeight="1">
      <c r="A1018" s="8"/>
      <c r="B1018" s="32"/>
      <c r="C1018" s="69"/>
      <c r="D1018" s="73"/>
      <c r="E1018" s="73"/>
      <c r="F1018" s="74"/>
      <c r="G1018" s="74"/>
      <c r="H1018" s="74"/>
      <c r="I1018" s="75"/>
    </row>
    <row r="1019" ht="22.5" customHeight="1">
      <c r="A1019" s="8"/>
      <c r="B1019" s="32"/>
      <c r="C1019" s="69"/>
      <c r="D1019" s="73"/>
      <c r="E1019" s="73"/>
      <c r="F1019" s="74"/>
      <c r="G1019" s="74"/>
      <c r="H1019" s="74"/>
      <c r="I1019" s="75"/>
    </row>
    <row r="1020" ht="22.5" customHeight="1">
      <c r="A1020" s="8"/>
      <c r="B1020" s="32"/>
      <c r="C1020" s="69"/>
      <c r="D1020" s="73"/>
      <c r="E1020" s="73"/>
      <c r="F1020" s="74"/>
      <c r="G1020" s="74"/>
      <c r="H1020" s="74"/>
      <c r="I1020" s="75"/>
    </row>
    <row r="1021" ht="22.5" customHeight="1">
      <c r="A1021" s="8"/>
      <c r="B1021" s="32"/>
      <c r="C1021" s="69"/>
      <c r="D1021" s="73"/>
      <c r="E1021" s="73"/>
      <c r="F1021" s="74"/>
      <c r="G1021" s="74"/>
      <c r="H1021" s="74"/>
      <c r="I1021" s="75"/>
    </row>
    <row r="1022" ht="22.5" customHeight="1">
      <c r="A1022" s="8"/>
      <c r="B1022" s="32"/>
      <c r="C1022" s="69"/>
      <c r="D1022" s="73"/>
      <c r="E1022" s="73"/>
      <c r="F1022" s="74"/>
      <c r="G1022" s="74"/>
      <c r="H1022" s="74"/>
      <c r="I1022" s="75"/>
    </row>
    <row r="1023" ht="22.5" customHeight="1">
      <c r="A1023" s="8"/>
      <c r="B1023" s="32"/>
      <c r="C1023" s="69"/>
      <c r="D1023" s="73"/>
      <c r="E1023" s="73"/>
      <c r="F1023" s="74"/>
      <c r="G1023" s="74"/>
      <c r="H1023" s="74"/>
      <c r="I1023" s="75"/>
    </row>
    <row r="1024" ht="22.5" customHeight="1">
      <c r="A1024" s="8"/>
      <c r="B1024" s="32"/>
      <c r="C1024" s="69"/>
      <c r="D1024" s="73"/>
      <c r="E1024" s="73"/>
      <c r="F1024" s="74"/>
      <c r="G1024" s="74"/>
      <c r="H1024" s="74"/>
      <c r="I1024" s="75"/>
    </row>
    <row r="1025" ht="22.5" customHeight="1">
      <c r="A1025" s="8"/>
      <c r="B1025" s="32"/>
      <c r="C1025" s="69"/>
      <c r="D1025" s="73"/>
      <c r="E1025" s="73"/>
      <c r="F1025" s="74"/>
      <c r="G1025" s="74"/>
      <c r="H1025" s="74"/>
      <c r="I1025" s="75"/>
    </row>
    <row r="1026" ht="22.5" customHeight="1">
      <c r="A1026" s="8"/>
      <c r="B1026" s="32"/>
      <c r="C1026" s="69"/>
      <c r="D1026" s="73"/>
      <c r="E1026" s="73"/>
      <c r="F1026" s="74"/>
      <c r="G1026" s="74"/>
      <c r="H1026" s="74"/>
      <c r="I1026" s="75"/>
    </row>
    <row r="1027" ht="22.5" customHeight="1">
      <c r="A1027" s="8"/>
      <c r="B1027" s="32"/>
      <c r="C1027" s="69"/>
      <c r="D1027" s="73"/>
      <c r="E1027" s="73"/>
      <c r="F1027" s="74"/>
      <c r="G1027" s="74"/>
      <c r="H1027" s="74"/>
      <c r="I1027" s="75"/>
    </row>
    <row r="1028" ht="22.5" customHeight="1">
      <c r="A1028" s="8"/>
      <c r="B1028" s="32"/>
      <c r="C1028" s="69"/>
      <c r="D1028" s="73"/>
      <c r="E1028" s="73"/>
      <c r="F1028" s="74"/>
      <c r="G1028" s="74"/>
      <c r="H1028" s="74"/>
      <c r="I1028" s="75"/>
    </row>
    <row r="1029" ht="22.5" customHeight="1">
      <c r="A1029" s="8"/>
      <c r="B1029" s="32"/>
      <c r="C1029" s="69"/>
      <c r="D1029" s="73"/>
      <c r="E1029" s="73"/>
      <c r="F1029" s="74"/>
      <c r="G1029" s="74"/>
      <c r="H1029" s="74"/>
      <c r="I1029" s="75"/>
    </row>
    <row r="1030" ht="22.5" customHeight="1">
      <c r="A1030" s="8"/>
      <c r="B1030" s="32"/>
      <c r="C1030" s="69"/>
      <c r="D1030" s="73"/>
      <c r="E1030" s="73"/>
      <c r="F1030" s="74"/>
      <c r="G1030" s="74"/>
      <c r="H1030" s="74"/>
      <c r="I1030" s="75"/>
    </row>
    <row r="1031" ht="22.5" customHeight="1">
      <c r="A1031" s="8"/>
      <c r="B1031" s="32"/>
      <c r="C1031" s="69"/>
      <c r="D1031" s="73"/>
      <c r="E1031" s="73"/>
      <c r="F1031" s="74"/>
      <c r="G1031" s="74"/>
      <c r="H1031" s="74"/>
      <c r="I1031" s="75"/>
    </row>
    <row r="1032" ht="22.5" customHeight="1">
      <c r="A1032" s="8"/>
      <c r="B1032" s="32"/>
      <c r="C1032" s="69"/>
      <c r="D1032" s="73"/>
      <c r="E1032" s="73"/>
      <c r="F1032" s="74"/>
      <c r="G1032" s="74"/>
      <c r="H1032" s="74"/>
      <c r="I1032" s="75"/>
    </row>
    <row r="1033" ht="22.5" customHeight="1">
      <c r="A1033" s="8"/>
      <c r="B1033" s="32"/>
      <c r="C1033" s="69"/>
      <c r="D1033" s="73"/>
      <c r="E1033" s="73"/>
      <c r="F1033" s="74"/>
      <c r="G1033" s="74"/>
      <c r="H1033" s="74"/>
      <c r="I1033" s="75"/>
    </row>
    <row r="1034" ht="22.5" customHeight="1">
      <c r="A1034" s="8"/>
      <c r="B1034" s="32"/>
      <c r="C1034" s="69"/>
      <c r="D1034" s="73"/>
      <c r="E1034" s="73"/>
      <c r="F1034" s="74"/>
      <c r="G1034" s="74"/>
      <c r="H1034" s="74"/>
      <c r="I1034" s="75"/>
    </row>
    <row r="1035" ht="22.5" customHeight="1">
      <c r="A1035" s="8"/>
      <c r="B1035" s="32"/>
      <c r="C1035" s="69"/>
      <c r="D1035" s="73"/>
      <c r="E1035" s="73"/>
      <c r="F1035" s="74"/>
      <c r="G1035" s="74"/>
      <c r="H1035" s="74"/>
      <c r="I1035" s="75"/>
    </row>
    <row r="1036" ht="22.5" customHeight="1">
      <c r="A1036" s="8"/>
      <c r="B1036" s="32"/>
      <c r="C1036" s="69"/>
      <c r="D1036" s="73"/>
      <c r="E1036" s="73"/>
      <c r="F1036" s="74"/>
      <c r="G1036" s="74"/>
      <c r="H1036" s="74"/>
      <c r="I1036" s="75"/>
    </row>
    <row r="1037" ht="22.5" customHeight="1">
      <c r="A1037" s="8"/>
      <c r="B1037" s="32"/>
      <c r="C1037" s="69"/>
      <c r="D1037" s="73"/>
      <c r="E1037" s="73"/>
      <c r="F1037" s="74"/>
      <c r="G1037" s="74"/>
      <c r="H1037" s="74"/>
      <c r="I1037" s="75"/>
    </row>
    <row r="1038" ht="22.5" customHeight="1">
      <c r="A1038" s="8"/>
      <c r="B1038" s="32"/>
      <c r="C1038" s="69"/>
      <c r="D1038" s="73"/>
      <c r="E1038" s="73"/>
      <c r="F1038" s="74"/>
      <c r="G1038" s="74"/>
      <c r="H1038" s="74"/>
      <c r="I1038" s="75"/>
    </row>
    <row r="1039" ht="22.5" customHeight="1">
      <c r="A1039" s="8"/>
      <c r="B1039" s="32"/>
      <c r="C1039" s="69"/>
      <c r="D1039" s="73"/>
      <c r="E1039" s="73"/>
      <c r="F1039" s="74"/>
      <c r="G1039" s="74"/>
      <c r="H1039" s="74"/>
      <c r="I1039" s="75"/>
    </row>
    <row r="1040" ht="22.5" customHeight="1">
      <c r="A1040" s="8"/>
      <c r="B1040" s="32"/>
      <c r="C1040" s="69"/>
      <c r="D1040" s="73"/>
      <c r="E1040" s="73"/>
      <c r="F1040" s="74"/>
      <c r="G1040" s="74"/>
      <c r="H1040" s="74"/>
      <c r="I1040" s="75"/>
    </row>
    <row r="1041" ht="22.5" customHeight="1">
      <c r="A1041" s="8"/>
      <c r="B1041" s="32"/>
      <c r="C1041" s="69"/>
      <c r="D1041" s="73"/>
      <c r="E1041" s="73"/>
      <c r="F1041" s="74"/>
      <c r="G1041" s="74"/>
      <c r="H1041" s="74"/>
      <c r="I1041" s="75"/>
    </row>
    <row r="1042" ht="22.5" customHeight="1">
      <c r="A1042" s="8"/>
      <c r="B1042" s="32"/>
      <c r="C1042" s="69"/>
      <c r="D1042" s="73"/>
      <c r="E1042" s="73"/>
      <c r="F1042" s="74"/>
      <c r="G1042" s="74"/>
      <c r="H1042" s="74"/>
      <c r="I1042" s="75"/>
    </row>
    <row r="1043" ht="22.5" customHeight="1">
      <c r="A1043" s="8"/>
      <c r="B1043" s="32"/>
      <c r="C1043" s="69"/>
      <c r="D1043" s="73"/>
      <c r="E1043" s="73"/>
      <c r="F1043" s="74"/>
      <c r="G1043" s="74"/>
      <c r="H1043" s="74"/>
      <c r="I1043" s="75"/>
    </row>
    <row r="1044" ht="22.5" customHeight="1">
      <c r="A1044" s="8"/>
      <c r="B1044" s="32"/>
      <c r="C1044" s="69"/>
      <c r="D1044" s="73"/>
      <c r="E1044" s="73"/>
      <c r="F1044" s="74"/>
      <c r="G1044" s="74"/>
      <c r="H1044" s="74"/>
      <c r="I1044" s="75"/>
    </row>
    <row r="1045" ht="22.5" customHeight="1">
      <c r="A1045" s="8"/>
      <c r="B1045" s="32"/>
      <c r="C1045" s="69"/>
      <c r="D1045" s="73"/>
      <c r="E1045" s="73"/>
      <c r="F1045" s="74"/>
      <c r="G1045" s="74"/>
      <c r="H1045" s="74"/>
      <c r="I1045" s="75"/>
    </row>
    <row r="1046" ht="22.5" customHeight="1">
      <c r="A1046" s="8"/>
      <c r="B1046" s="32"/>
      <c r="C1046" s="69"/>
      <c r="D1046" s="73"/>
      <c r="E1046" s="73"/>
      <c r="F1046" s="74"/>
      <c r="G1046" s="74"/>
      <c r="H1046" s="74"/>
      <c r="I1046" s="75"/>
    </row>
    <row r="1047" ht="22.5" customHeight="1">
      <c r="A1047" s="8"/>
      <c r="B1047" s="32"/>
      <c r="C1047" s="69"/>
      <c r="D1047" s="73"/>
      <c r="E1047" s="73"/>
      <c r="F1047" s="74"/>
      <c r="G1047" s="74"/>
      <c r="H1047" s="74"/>
      <c r="I1047" s="75"/>
    </row>
    <row r="1048" ht="22.5" customHeight="1">
      <c r="A1048" s="8"/>
      <c r="B1048" s="32"/>
      <c r="C1048" s="69"/>
      <c r="D1048" s="73"/>
      <c r="E1048" s="73"/>
      <c r="F1048" s="74"/>
      <c r="G1048" s="74"/>
      <c r="H1048" s="74"/>
      <c r="I1048" s="75"/>
    </row>
    <row r="1049" ht="22.5" customHeight="1">
      <c r="A1049" s="32"/>
      <c r="B1049" s="32"/>
      <c r="C1049" s="69"/>
      <c r="D1049" s="73"/>
      <c r="E1049" s="73"/>
      <c r="F1049" s="74"/>
      <c r="G1049" s="74"/>
      <c r="H1049" s="74"/>
      <c r="I1049" s="75"/>
    </row>
    <row r="1050" ht="22.5" customHeight="1">
      <c r="A1050" s="32"/>
      <c r="B1050" s="32"/>
      <c r="C1050" s="69"/>
      <c r="D1050" s="73"/>
      <c r="E1050" s="73"/>
      <c r="F1050" s="74"/>
      <c r="G1050" s="74"/>
      <c r="H1050" s="74"/>
      <c r="I1050" s="75"/>
    </row>
  </sheetData>
  <mergeCells count="5">
    <mergeCell ref="H36:I36"/>
    <mergeCell ref="G81:I81"/>
    <mergeCell ref="G83:I83"/>
    <mergeCell ref="G99:I99"/>
    <mergeCell ref="G108:I108"/>
  </mergeCells>
  <conditionalFormatting sqref="A3:I1050">
    <cfRule type="expression" dxfId="0" priority="1">
      <formula>$B3=TRUE</formula>
    </cfRule>
  </conditionalFormatting>
  <hyperlinks>
    <hyperlink r:id="rId1" ref="F4"/>
    <hyperlink r:id="rId2" ref="F5"/>
    <hyperlink r:id="rId3" ref="F7"/>
    <hyperlink r:id="rId4" ref="F8"/>
    <hyperlink r:id="rId5" ref="F9"/>
    <hyperlink r:id="rId6" ref="F10"/>
    <hyperlink r:id="rId7" ref="F11"/>
    <hyperlink r:id="rId8" ref="F12"/>
    <hyperlink r:id="rId9" ref="F13"/>
    <hyperlink r:id="rId10" ref="F14"/>
    <hyperlink r:id="rId11" ref="F15"/>
    <hyperlink r:id="rId12" ref="F16"/>
    <hyperlink r:id="rId13" ref="F17"/>
    <hyperlink r:id="rId14" ref="F18"/>
    <hyperlink r:id="rId15" ref="F19"/>
    <hyperlink r:id="rId16" ref="F20"/>
    <hyperlink r:id="rId17" ref="F21"/>
    <hyperlink r:id="rId18" ref="F22"/>
    <hyperlink r:id="rId19" ref="F24"/>
    <hyperlink r:id="rId20" ref="F25"/>
    <hyperlink r:id="rId21" ref="F29"/>
    <hyperlink r:id="rId22" ref="F30"/>
    <hyperlink r:id="rId23" ref="F31"/>
    <hyperlink r:id="rId24" ref="F32"/>
    <hyperlink r:id="rId25" ref="F34"/>
    <hyperlink r:id="rId26" ref="F39"/>
    <hyperlink r:id="rId27" ref="F40"/>
    <hyperlink r:id="rId28" ref="F41"/>
    <hyperlink r:id="rId29" ref="F42"/>
    <hyperlink r:id="rId30" ref="F46"/>
    <hyperlink r:id="rId31" ref="F47"/>
    <hyperlink r:id="rId32" ref="F49"/>
    <hyperlink r:id="rId33" ref="F51"/>
    <hyperlink r:id="rId34" ref="F52"/>
    <hyperlink r:id="rId35" ref="F53"/>
    <hyperlink r:id="rId36" ref="F55"/>
    <hyperlink r:id="rId37" ref="F57"/>
    <hyperlink r:id="rId38" ref="F58"/>
    <hyperlink r:id="rId39" ref="F60"/>
    <hyperlink r:id="rId40" ref="F61"/>
    <hyperlink r:id="rId41" ref="F64"/>
    <hyperlink r:id="rId42" ref="F66"/>
    <hyperlink r:id="rId43" ref="F67"/>
    <hyperlink r:id="rId44" ref="F70"/>
    <hyperlink r:id="rId45" ref="F73"/>
    <hyperlink r:id="rId46" ref="F75"/>
    <hyperlink r:id="rId47" ref="F76"/>
    <hyperlink r:id="rId48" ref="F77"/>
    <hyperlink r:id="rId49" ref="F78"/>
    <hyperlink r:id="rId50" ref="F79"/>
    <hyperlink r:id="rId51" ref="F84"/>
    <hyperlink r:id="rId52" ref="F85"/>
    <hyperlink r:id="rId53" ref="F88"/>
    <hyperlink r:id="rId54" ref="F89"/>
    <hyperlink r:id="rId55" ref="F90"/>
    <hyperlink r:id="rId56" ref="F91"/>
    <hyperlink r:id="rId57" ref="F94"/>
    <hyperlink r:id="rId58" ref="F95"/>
    <hyperlink r:id="rId59" ref="F97"/>
    <hyperlink r:id="rId60" ref="F99"/>
    <hyperlink r:id="rId61" ref="F103"/>
    <hyperlink r:id="rId62" ref="F104"/>
    <hyperlink r:id="rId63" ref="F106"/>
    <hyperlink r:id="rId64" ref="F107"/>
    <hyperlink r:id="rId65" ref="F109"/>
    <hyperlink r:id="rId66" ref="F111"/>
    <hyperlink r:id="rId67" ref="F112"/>
    <hyperlink r:id="rId68" ref="F114"/>
    <hyperlink r:id="rId69" ref="F119"/>
    <hyperlink r:id="rId70" ref="F123"/>
  </hyperlinks>
  <drawing r:id="rId7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2" width="5.88"/>
    <col customWidth="1" min="3" max="3" width="29.88"/>
    <col customWidth="1" min="4" max="4" width="17.75"/>
    <col customWidth="1" min="5" max="5" width="21.75"/>
    <col customWidth="1" min="6" max="6" width="29.0"/>
    <col customWidth="1" min="7" max="7" width="22.25"/>
    <col customWidth="1" min="8" max="8" width="16.0"/>
    <col customWidth="1" min="9" max="9" width="14.0"/>
  </cols>
  <sheetData>
    <row r="1" ht="52.5" customHeight="1">
      <c r="A1" s="1"/>
      <c r="B1" s="76" t="s">
        <v>668</v>
      </c>
      <c r="D1" s="77"/>
      <c r="E1" s="78" t="str">
        <f>CONCATENATE(COUNTIF($B$3:$B$49,TRUE), "/", COUNTA($D$3:$D$49), " completed  ")</f>
        <v>11/47 completed  </v>
      </c>
      <c r="F1" s="78"/>
      <c r="G1" s="78"/>
      <c r="H1" s="78"/>
      <c r="I1" s="78"/>
    </row>
    <row r="2" ht="30.0" customHeight="1">
      <c r="A2" s="5"/>
      <c r="B2" s="5" t="s">
        <v>0</v>
      </c>
      <c r="C2" s="5" t="s">
        <v>1</v>
      </c>
      <c r="D2" s="6" t="s">
        <v>669</v>
      </c>
      <c r="E2" s="6" t="s">
        <v>670</v>
      </c>
      <c r="F2" s="6" t="s">
        <v>671</v>
      </c>
      <c r="G2" s="6" t="s">
        <v>4</v>
      </c>
      <c r="H2" s="6" t="s">
        <v>672</v>
      </c>
      <c r="I2" s="6" t="s">
        <v>673</v>
      </c>
    </row>
    <row r="3" ht="26.25" customHeight="1">
      <c r="A3" s="7">
        <v>1.0</v>
      </c>
      <c r="B3" s="8" t="b">
        <v>1</v>
      </c>
      <c r="C3" s="79" t="s">
        <v>152</v>
      </c>
      <c r="D3" s="80" t="s">
        <v>674</v>
      </c>
      <c r="E3" s="80" t="s">
        <v>256</v>
      </c>
      <c r="F3" s="80">
        <v>7.509111199E9</v>
      </c>
      <c r="G3" s="81" t="s">
        <v>257</v>
      </c>
      <c r="H3" s="80" t="s">
        <v>258</v>
      </c>
      <c r="I3" s="80">
        <v>112.0</v>
      </c>
    </row>
    <row r="4" ht="26.25" customHeight="1">
      <c r="A4" s="7">
        <v>2.0</v>
      </c>
      <c r="B4" s="8" t="b">
        <v>0</v>
      </c>
      <c r="C4" s="80" t="s">
        <v>675</v>
      </c>
      <c r="D4" s="80" t="s">
        <v>676</v>
      </c>
      <c r="E4" s="80" t="s">
        <v>677</v>
      </c>
      <c r="F4" s="80">
        <v>7.507095446E9</v>
      </c>
      <c r="G4" s="82"/>
      <c r="H4" s="80" t="s">
        <v>258</v>
      </c>
      <c r="I4" s="80">
        <v>112.0</v>
      </c>
    </row>
    <row r="5" ht="26.25" customHeight="1">
      <c r="A5" s="7">
        <v>3.0</v>
      </c>
      <c r="B5" s="8" t="b">
        <v>0</v>
      </c>
      <c r="C5" s="83" t="s">
        <v>265</v>
      </c>
      <c r="D5" s="83" t="s">
        <v>674</v>
      </c>
      <c r="E5" s="83" t="s">
        <v>266</v>
      </c>
      <c r="F5" s="83">
        <v>7.503000073E9</v>
      </c>
      <c r="G5" s="84"/>
      <c r="H5" s="83" t="s">
        <v>267</v>
      </c>
      <c r="I5" s="83">
        <v>112.0</v>
      </c>
    </row>
    <row r="6" ht="26.25" customHeight="1">
      <c r="A6" s="7">
        <v>4.0</v>
      </c>
      <c r="B6" s="8" t="b">
        <v>0</v>
      </c>
      <c r="C6" s="85" t="s">
        <v>269</v>
      </c>
      <c r="D6" s="83" t="s">
        <v>674</v>
      </c>
      <c r="E6" s="83" t="s">
        <v>678</v>
      </c>
      <c r="F6" s="83">
        <v>7.504063556E9</v>
      </c>
      <c r="G6" s="86" t="s">
        <v>271</v>
      </c>
      <c r="H6" s="83" t="s">
        <v>267</v>
      </c>
      <c r="I6" s="83">
        <v>112.0</v>
      </c>
    </row>
    <row r="7" ht="26.25" customHeight="1">
      <c r="A7" s="7">
        <v>5.0</v>
      </c>
      <c r="B7" s="8" t="b">
        <v>0</v>
      </c>
      <c r="C7" s="85" t="s">
        <v>679</v>
      </c>
      <c r="D7" s="83" t="s">
        <v>674</v>
      </c>
      <c r="E7" s="83" t="s">
        <v>364</v>
      </c>
      <c r="F7" s="83">
        <v>7.507943333E9</v>
      </c>
      <c r="G7" s="84"/>
      <c r="H7" s="83" t="s">
        <v>267</v>
      </c>
      <c r="I7" s="83">
        <v>96.0</v>
      </c>
    </row>
    <row r="8" ht="26.25" customHeight="1">
      <c r="A8" s="7">
        <v>6.0</v>
      </c>
      <c r="B8" s="8" t="b">
        <v>0</v>
      </c>
      <c r="C8" s="85" t="s">
        <v>277</v>
      </c>
      <c r="D8" s="83" t="s">
        <v>674</v>
      </c>
      <c r="E8" s="83" t="s">
        <v>680</v>
      </c>
      <c r="F8" s="83">
        <v>7.501041777E9</v>
      </c>
      <c r="G8" s="86" t="s">
        <v>279</v>
      </c>
      <c r="H8" s="83" t="s">
        <v>267</v>
      </c>
      <c r="I8" s="83">
        <v>96.0</v>
      </c>
    </row>
    <row r="9" ht="26.25" customHeight="1">
      <c r="A9" s="7">
        <v>7.0</v>
      </c>
      <c r="B9" s="8" t="b">
        <v>1</v>
      </c>
      <c r="C9" s="85" t="s">
        <v>681</v>
      </c>
      <c r="D9" s="83" t="s">
        <v>674</v>
      </c>
      <c r="E9" s="83" t="s">
        <v>682</v>
      </c>
      <c r="F9" s="83">
        <v>7.504604269E9</v>
      </c>
      <c r="G9" s="84"/>
      <c r="H9" s="83" t="s">
        <v>267</v>
      </c>
      <c r="I9" s="83">
        <v>168.0</v>
      </c>
    </row>
    <row r="10" ht="26.25" customHeight="1">
      <c r="A10" s="7">
        <v>8.0</v>
      </c>
      <c r="B10" s="8" t="b">
        <v>0</v>
      </c>
      <c r="C10" s="85" t="s">
        <v>683</v>
      </c>
      <c r="D10" s="83" t="s">
        <v>684</v>
      </c>
      <c r="E10" s="83" t="s">
        <v>685</v>
      </c>
      <c r="F10" s="83" t="s">
        <v>686</v>
      </c>
      <c r="G10" s="84"/>
      <c r="H10" s="83" t="s">
        <v>267</v>
      </c>
      <c r="I10" s="83">
        <v>96.0</v>
      </c>
    </row>
    <row r="11" ht="26.25" customHeight="1">
      <c r="A11" s="7">
        <v>9.0</v>
      </c>
      <c r="B11" s="8" t="b">
        <v>0</v>
      </c>
      <c r="C11" s="87" t="s">
        <v>687</v>
      </c>
      <c r="D11" s="88" t="s">
        <v>676</v>
      </c>
      <c r="E11" s="88" t="s">
        <v>688</v>
      </c>
      <c r="F11" s="88" t="s">
        <v>689</v>
      </c>
      <c r="G11" s="84"/>
      <c r="H11" s="88" t="s">
        <v>267</v>
      </c>
      <c r="I11" s="88">
        <v>96.0</v>
      </c>
    </row>
    <row r="12" ht="26.25" customHeight="1">
      <c r="A12" s="7">
        <v>10.0</v>
      </c>
      <c r="B12" s="8" t="b">
        <v>0</v>
      </c>
      <c r="C12" s="87" t="s">
        <v>690</v>
      </c>
      <c r="D12" s="88" t="s">
        <v>674</v>
      </c>
      <c r="E12" s="88" t="s">
        <v>691</v>
      </c>
      <c r="F12" s="88">
        <v>7.504466888E9</v>
      </c>
      <c r="G12" s="84"/>
      <c r="H12" s="88" t="s">
        <v>267</v>
      </c>
      <c r="I12" s="88">
        <v>144.0</v>
      </c>
    </row>
    <row r="13" ht="26.25" customHeight="1">
      <c r="A13" s="7">
        <v>11.0</v>
      </c>
      <c r="B13" s="8" t="b">
        <v>0</v>
      </c>
      <c r="C13" s="89" t="s">
        <v>281</v>
      </c>
      <c r="D13" s="90" t="s">
        <v>684</v>
      </c>
      <c r="E13" s="90" t="s">
        <v>692</v>
      </c>
      <c r="F13" s="90">
        <v>7.701911119E9</v>
      </c>
      <c r="G13" s="91" t="s">
        <v>283</v>
      </c>
      <c r="H13" s="90" t="s">
        <v>263</v>
      </c>
      <c r="I13" s="90">
        <v>84.0</v>
      </c>
    </row>
    <row r="14" ht="26.25" customHeight="1">
      <c r="A14" s="7">
        <v>12.0</v>
      </c>
      <c r="B14" s="8" t="b">
        <v>1</v>
      </c>
      <c r="C14" s="89" t="s">
        <v>56</v>
      </c>
      <c r="D14" s="90" t="s">
        <v>684</v>
      </c>
      <c r="E14" s="90" t="s">
        <v>289</v>
      </c>
      <c r="F14" s="90">
        <v>7.701541157E9</v>
      </c>
      <c r="G14" s="91" t="s">
        <v>290</v>
      </c>
      <c r="H14" s="90" t="s">
        <v>263</v>
      </c>
      <c r="I14" s="90">
        <v>84.0</v>
      </c>
    </row>
    <row r="15" ht="26.25" customHeight="1">
      <c r="A15" s="7">
        <v>13.0</v>
      </c>
      <c r="B15" s="8" t="b">
        <v>1</v>
      </c>
      <c r="C15" s="89" t="s">
        <v>693</v>
      </c>
      <c r="D15" s="90" t="s">
        <v>674</v>
      </c>
      <c r="E15" s="90" t="s">
        <v>694</v>
      </c>
      <c r="F15" s="90">
        <v>7.504841994E9</v>
      </c>
      <c r="G15" s="92"/>
      <c r="H15" s="90" t="s">
        <v>263</v>
      </c>
      <c r="I15" s="90">
        <v>84.0</v>
      </c>
    </row>
    <row r="16" ht="26.25" customHeight="1">
      <c r="A16" s="7">
        <v>14.0</v>
      </c>
      <c r="B16" s="8" t="b">
        <v>1</v>
      </c>
      <c r="C16" s="89" t="s">
        <v>695</v>
      </c>
      <c r="D16" s="90" t="s">
        <v>674</v>
      </c>
      <c r="E16" s="90" t="s">
        <v>696</v>
      </c>
      <c r="F16" s="90" t="s">
        <v>697</v>
      </c>
      <c r="G16" s="92"/>
      <c r="H16" s="90" t="s">
        <v>263</v>
      </c>
      <c r="I16" s="90">
        <v>84.0</v>
      </c>
    </row>
    <row r="17" ht="26.25" customHeight="1">
      <c r="A17" s="7">
        <v>15.0</v>
      </c>
      <c r="B17" s="8" t="b">
        <v>0</v>
      </c>
      <c r="C17" s="89" t="s">
        <v>698</v>
      </c>
      <c r="D17" s="90" t="s">
        <v>674</v>
      </c>
      <c r="E17" s="90" t="s">
        <v>699</v>
      </c>
      <c r="F17" s="90">
        <v>7.504479012E9</v>
      </c>
      <c r="G17" s="92"/>
      <c r="H17" s="90" t="s">
        <v>263</v>
      </c>
      <c r="I17" s="90">
        <v>98.0</v>
      </c>
    </row>
    <row r="18" ht="26.25" customHeight="1">
      <c r="A18" s="7">
        <v>16.0</v>
      </c>
      <c r="B18" s="8" t="b">
        <v>1</v>
      </c>
      <c r="C18" s="89" t="s">
        <v>700</v>
      </c>
      <c r="D18" s="90" t="s">
        <v>674</v>
      </c>
      <c r="E18" s="90" t="s">
        <v>701</v>
      </c>
      <c r="F18" s="90">
        <v>7.5000707E9</v>
      </c>
      <c r="G18" s="92"/>
      <c r="H18" s="90" t="s">
        <v>263</v>
      </c>
      <c r="I18" s="90">
        <v>84.0</v>
      </c>
    </row>
    <row r="19" ht="26.25" customHeight="1">
      <c r="A19" s="7">
        <v>17.0</v>
      </c>
      <c r="B19" s="8" t="b">
        <v>1</v>
      </c>
      <c r="C19" s="89" t="s">
        <v>702</v>
      </c>
      <c r="D19" s="90" t="s">
        <v>674</v>
      </c>
      <c r="E19" s="90" t="s">
        <v>703</v>
      </c>
      <c r="F19" s="90">
        <v>7.508881888E9</v>
      </c>
      <c r="G19" s="92"/>
      <c r="H19" s="90" t="s">
        <v>263</v>
      </c>
      <c r="I19" s="90">
        <v>84.0</v>
      </c>
    </row>
    <row r="20" ht="26.25" customHeight="1">
      <c r="A20" s="7">
        <v>18.0</v>
      </c>
      <c r="B20" s="8" t="b">
        <v>0</v>
      </c>
      <c r="C20" s="89" t="s">
        <v>704</v>
      </c>
      <c r="D20" s="90" t="s">
        <v>676</v>
      </c>
      <c r="E20" s="90" t="s">
        <v>705</v>
      </c>
      <c r="F20" s="90">
        <v>7.517974796E9</v>
      </c>
      <c r="G20" s="92"/>
      <c r="H20" s="90" t="s">
        <v>706</v>
      </c>
      <c r="I20" s="90">
        <v>84.0</v>
      </c>
    </row>
    <row r="21" ht="26.25" customHeight="1">
      <c r="A21" s="7">
        <v>19.0</v>
      </c>
      <c r="B21" s="8" t="b">
        <v>0</v>
      </c>
      <c r="C21" s="89" t="s">
        <v>707</v>
      </c>
      <c r="D21" s="90" t="s">
        <v>674</v>
      </c>
      <c r="E21" s="90" t="s">
        <v>708</v>
      </c>
      <c r="F21" s="90" t="s">
        <v>709</v>
      </c>
      <c r="G21" s="92"/>
      <c r="H21" s="90" t="s">
        <v>263</v>
      </c>
      <c r="I21" s="90">
        <v>84.0</v>
      </c>
    </row>
    <row r="22" ht="26.25" customHeight="1">
      <c r="A22" s="7">
        <v>20.0</v>
      </c>
      <c r="B22" s="8" t="b">
        <v>1</v>
      </c>
      <c r="C22" s="89" t="s">
        <v>29</v>
      </c>
      <c r="D22" s="90" t="s">
        <v>674</v>
      </c>
      <c r="E22" s="90" t="s">
        <v>710</v>
      </c>
      <c r="F22" s="90">
        <v>7.504456819E9</v>
      </c>
      <c r="G22" s="92"/>
      <c r="H22" s="90" t="s">
        <v>263</v>
      </c>
      <c r="I22" s="93">
        <v>98.0</v>
      </c>
    </row>
    <row r="23" ht="26.25" customHeight="1">
      <c r="A23" s="7">
        <v>21.0</v>
      </c>
      <c r="B23" s="8" t="b">
        <v>0</v>
      </c>
      <c r="C23" s="89" t="s">
        <v>711</v>
      </c>
      <c r="D23" s="90" t="s">
        <v>712</v>
      </c>
      <c r="E23" s="90" t="s">
        <v>379</v>
      </c>
      <c r="F23" s="90">
        <v>7.515112533E9</v>
      </c>
      <c r="G23" s="92"/>
      <c r="H23" s="90" t="s">
        <v>263</v>
      </c>
      <c r="I23" s="90">
        <v>84.0</v>
      </c>
    </row>
    <row r="24" ht="26.25" customHeight="1">
      <c r="A24" s="7">
        <v>22.0</v>
      </c>
      <c r="B24" s="8" t="b">
        <v>1</v>
      </c>
      <c r="C24" s="89" t="s">
        <v>713</v>
      </c>
      <c r="D24" s="90" t="s">
        <v>674</v>
      </c>
      <c r="E24" s="90" t="s">
        <v>714</v>
      </c>
      <c r="F24" s="90" t="s">
        <v>715</v>
      </c>
      <c r="G24" s="92"/>
      <c r="H24" s="90" t="s">
        <v>263</v>
      </c>
      <c r="I24" s="90">
        <v>84.0</v>
      </c>
    </row>
    <row r="25" ht="26.25" customHeight="1">
      <c r="A25" s="7">
        <v>23.0</v>
      </c>
      <c r="B25" s="8" t="b">
        <v>0</v>
      </c>
      <c r="C25" s="94" t="s">
        <v>716</v>
      </c>
      <c r="D25" s="93" t="s">
        <v>717</v>
      </c>
      <c r="E25" s="93" t="s">
        <v>718</v>
      </c>
      <c r="F25" s="93">
        <v>7.746547734E9</v>
      </c>
      <c r="G25" s="95"/>
      <c r="H25" s="90" t="s">
        <v>263</v>
      </c>
      <c r="I25" s="93">
        <v>84.0</v>
      </c>
    </row>
    <row r="26" ht="26.25" customHeight="1">
      <c r="A26" s="7">
        <v>24.0</v>
      </c>
      <c r="B26" s="8" t="b">
        <v>1</v>
      </c>
      <c r="C26" s="94" t="s">
        <v>719</v>
      </c>
      <c r="D26" s="93" t="s">
        <v>676</v>
      </c>
      <c r="E26" s="93" t="s">
        <v>720</v>
      </c>
      <c r="F26" s="93" t="s">
        <v>721</v>
      </c>
      <c r="G26" s="96" t="s">
        <v>722</v>
      </c>
      <c r="H26" s="90" t="s">
        <v>263</v>
      </c>
      <c r="I26" s="93">
        <v>84.0</v>
      </c>
    </row>
    <row r="27" ht="26.25" customHeight="1">
      <c r="A27" s="7">
        <v>25.0</v>
      </c>
      <c r="B27" s="8" t="b">
        <v>0</v>
      </c>
      <c r="C27" s="94" t="s">
        <v>723</v>
      </c>
      <c r="D27" s="93" t="s">
        <v>676</v>
      </c>
      <c r="E27" s="93" t="s">
        <v>724</v>
      </c>
      <c r="F27" s="93" t="s">
        <v>725</v>
      </c>
      <c r="G27" s="95"/>
      <c r="H27" s="90" t="s">
        <v>263</v>
      </c>
      <c r="I27" s="93">
        <v>84.0</v>
      </c>
    </row>
    <row r="28" ht="26.25" customHeight="1">
      <c r="A28" s="7">
        <v>26.0</v>
      </c>
      <c r="B28" s="8" t="b">
        <v>0</v>
      </c>
      <c r="C28" s="94" t="s">
        <v>726</v>
      </c>
      <c r="D28" s="93" t="s">
        <v>676</v>
      </c>
      <c r="E28" s="93" t="s">
        <v>727</v>
      </c>
      <c r="F28" s="93">
        <v>7.517777772E9</v>
      </c>
      <c r="G28" s="95"/>
      <c r="H28" s="90" t="s">
        <v>706</v>
      </c>
      <c r="I28" s="93">
        <v>84.0</v>
      </c>
    </row>
    <row r="29" ht="26.25" customHeight="1">
      <c r="A29" s="7">
        <v>27.0</v>
      </c>
      <c r="B29" s="8" t="b">
        <v>0</v>
      </c>
      <c r="C29" s="97" t="s">
        <v>340</v>
      </c>
      <c r="D29" s="98" t="s">
        <v>674</v>
      </c>
      <c r="E29" s="98" t="s">
        <v>728</v>
      </c>
      <c r="F29" s="98" t="s">
        <v>729</v>
      </c>
      <c r="G29" s="99" t="s">
        <v>730</v>
      </c>
      <c r="H29" s="98" t="s">
        <v>334</v>
      </c>
      <c r="I29" s="98">
        <v>126.0</v>
      </c>
    </row>
    <row r="30" ht="26.25" customHeight="1">
      <c r="A30" s="7">
        <v>28.0</v>
      </c>
      <c r="B30" s="8" t="b">
        <v>1</v>
      </c>
      <c r="C30" s="97" t="s">
        <v>345</v>
      </c>
      <c r="D30" s="98" t="s">
        <v>674</v>
      </c>
      <c r="E30" s="98" t="s">
        <v>346</v>
      </c>
      <c r="F30" s="98">
        <v>7.504451154E9</v>
      </c>
      <c r="G30" s="100"/>
      <c r="H30" s="98" t="s">
        <v>334</v>
      </c>
      <c r="I30" s="101">
        <v>126.0</v>
      </c>
    </row>
    <row r="31" ht="26.25" customHeight="1">
      <c r="A31" s="7">
        <v>29.0</v>
      </c>
      <c r="B31" s="8" t="b">
        <v>0</v>
      </c>
      <c r="C31" s="102" t="s">
        <v>731</v>
      </c>
      <c r="D31" s="101" t="s">
        <v>717</v>
      </c>
      <c r="E31" s="101" t="s">
        <v>540</v>
      </c>
      <c r="F31" s="101">
        <v>7.70989588E9</v>
      </c>
      <c r="G31" s="103"/>
      <c r="H31" s="101" t="s">
        <v>334</v>
      </c>
      <c r="I31" s="101">
        <v>72.0</v>
      </c>
    </row>
    <row r="32" ht="26.25" customHeight="1">
      <c r="A32" s="7">
        <v>30.0</v>
      </c>
      <c r="B32" s="8" t="b">
        <v>0</v>
      </c>
      <c r="C32" s="104" t="s">
        <v>549</v>
      </c>
      <c r="D32" s="105" t="s">
        <v>674</v>
      </c>
      <c r="E32" s="105" t="s">
        <v>732</v>
      </c>
      <c r="F32" s="105">
        <v>7.504510556E9</v>
      </c>
      <c r="G32" s="106"/>
      <c r="H32" s="105" t="s">
        <v>733</v>
      </c>
      <c r="I32" s="105">
        <v>36.0</v>
      </c>
    </row>
    <row r="33" ht="26.25" customHeight="1">
      <c r="A33" s="7">
        <v>31.0</v>
      </c>
      <c r="B33" s="8" t="b">
        <v>0</v>
      </c>
      <c r="C33" s="104" t="s">
        <v>734</v>
      </c>
      <c r="D33" s="105" t="s">
        <v>674</v>
      </c>
      <c r="E33" s="105" t="s">
        <v>735</v>
      </c>
      <c r="F33" s="105">
        <v>7.804329674E9</v>
      </c>
      <c r="G33" s="106"/>
      <c r="H33" s="105" t="s">
        <v>733</v>
      </c>
      <c r="I33" s="105">
        <v>54.0</v>
      </c>
    </row>
    <row r="34" ht="26.25" customHeight="1">
      <c r="A34" s="7">
        <v>32.0</v>
      </c>
      <c r="B34" s="8" t="b">
        <v>0</v>
      </c>
      <c r="C34" s="104" t="s">
        <v>736</v>
      </c>
      <c r="D34" s="105" t="s">
        <v>674</v>
      </c>
      <c r="E34" s="105" t="s">
        <v>694</v>
      </c>
      <c r="F34" s="105">
        <v>7.505006622E9</v>
      </c>
      <c r="G34" s="106"/>
      <c r="H34" s="105" t="s">
        <v>733</v>
      </c>
      <c r="I34" s="105">
        <v>18.0</v>
      </c>
    </row>
    <row r="35" ht="26.25" customHeight="1">
      <c r="A35" s="7">
        <v>33.0</v>
      </c>
      <c r="B35" s="8" t="b">
        <v>0</v>
      </c>
      <c r="C35" s="107" t="s">
        <v>737</v>
      </c>
      <c r="D35" s="108" t="s">
        <v>674</v>
      </c>
      <c r="E35" s="108" t="s">
        <v>738</v>
      </c>
      <c r="F35" s="108">
        <v>7.506243636E9</v>
      </c>
      <c r="G35" s="109"/>
      <c r="H35" s="105" t="s">
        <v>733</v>
      </c>
      <c r="I35" s="108">
        <v>72.0</v>
      </c>
    </row>
    <row r="36" ht="26.25" customHeight="1">
      <c r="A36" s="7">
        <v>34.0</v>
      </c>
      <c r="B36" s="8" t="b">
        <v>0</v>
      </c>
      <c r="C36" s="110" t="s">
        <v>739</v>
      </c>
      <c r="D36" s="111" t="s">
        <v>676</v>
      </c>
      <c r="E36" s="111" t="s">
        <v>740</v>
      </c>
      <c r="F36" s="111">
        <v>7.503331001E9</v>
      </c>
      <c r="G36" s="109"/>
      <c r="H36" s="105" t="s">
        <v>733</v>
      </c>
      <c r="I36" s="111">
        <v>36.0</v>
      </c>
    </row>
    <row r="37" ht="26.25" customHeight="1">
      <c r="A37" s="7">
        <v>35.0</v>
      </c>
      <c r="B37" s="8" t="b">
        <v>0</v>
      </c>
      <c r="C37" s="110" t="s">
        <v>741</v>
      </c>
      <c r="D37" s="111" t="s">
        <v>676</v>
      </c>
      <c r="E37" s="111" t="s">
        <v>742</v>
      </c>
      <c r="F37" s="111">
        <v>7.502552006E9</v>
      </c>
      <c r="G37" s="109"/>
      <c r="H37" s="105" t="s">
        <v>733</v>
      </c>
      <c r="I37" s="111">
        <v>36.0</v>
      </c>
    </row>
    <row r="38" ht="26.25" customHeight="1">
      <c r="A38" s="7">
        <v>36.0</v>
      </c>
      <c r="B38" s="8" t="b">
        <v>0</v>
      </c>
      <c r="C38" s="110" t="s">
        <v>743</v>
      </c>
      <c r="D38" s="111" t="s">
        <v>744</v>
      </c>
      <c r="E38" s="111" t="s">
        <v>745</v>
      </c>
      <c r="F38" s="111" t="s">
        <v>746</v>
      </c>
      <c r="G38" s="109"/>
      <c r="H38" s="105" t="s">
        <v>733</v>
      </c>
      <c r="I38" s="111">
        <v>18.0</v>
      </c>
    </row>
    <row r="39" ht="26.25" customHeight="1">
      <c r="A39" s="7">
        <v>37.0</v>
      </c>
      <c r="B39" s="8" t="b">
        <v>0</v>
      </c>
      <c r="C39" s="112" t="s">
        <v>747</v>
      </c>
      <c r="D39" s="113" t="s">
        <v>674</v>
      </c>
      <c r="E39" s="113" t="s">
        <v>748</v>
      </c>
      <c r="F39" s="113">
        <v>7.501052727E9</v>
      </c>
      <c r="G39" s="106"/>
      <c r="H39" s="105" t="s">
        <v>733</v>
      </c>
      <c r="I39" s="113">
        <v>60.0</v>
      </c>
    </row>
    <row r="40" ht="26.25" customHeight="1">
      <c r="A40" s="7">
        <v>38.0</v>
      </c>
      <c r="B40" s="8" t="b">
        <v>0</v>
      </c>
      <c r="C40" s="112" t="s">
        <v>749</v>
      </c>
      <c r="D40" s="113" t="s">
        <v>750</v>
      </c>
      <c r="E40" s="113" t="s">
        <v>751</v>
      </c>
      <c r="F40" s="113">
        <v>9.6279553808E11</v>
      </c>
      <c r="G40" s="113" t="s">
        <v>752</v>
      </c>
      <c r="H40" s="113" t="s">
        <v>733</v>
      </c>
      <c r="I40" s="113">
        <v>36.0</v>
      </c>
    </row>
    <row r="41" ht="26.25" customHeight="1">
      <c r="A41" s="7">
        <v>39.0</v>
      </c>
      <c r="B41" s="8" t="b">
        <v>0</v>
      </c>
      <c r="C41" s="112" t="s">
        <v>753</v>
      </c>
      <c r="D41" s="113" t="s">
        <v>754</v>
      </c>
      <c r="E41" s="113" t="s">
        <v>755</v>
      </c>
      <c r="F41" s="113">
        <v>7.501297777E9</v>
      </c>
      <c r="G41" s="106"/>
      <c r="H41" s="113" t="s">
        <v>733</v>
      </c>
      <c r="I41" s="113">
        <v>36.0</v>
      </c>
    </row>
    <row r="42" ht="26.25" customHeight="1">
      <c r="A42" s="7">
        <v>40.0</v>
      </c>
      <c r="B42" s="8" t="b">
        <v>0</v>
      </c>
      <c r="C42" s="112" t="s">
        <v>756</v>
      </c>
      <c r="D42" s="113" t="s">
        <v>674</v>
      </c>
      <c r="E42" s="113" t="s">
        <v>757</v>
      </c>
      <c r="F42" s="113">
        <v>7.50890321E9</v>
      </c>
      <c r="G42" s="106"/>
      <c r="H42" s="113" t="s">
        <v>733</v>
      </c>
      <c r="I42" s="113">
        <v>84.0</v>
      </c>
    </row>
    <row r="43" ht="26.25" customHeight="1">
      <c r="A43" s="7">
        <v>41.0</v>
      </c>
      <c r="B43" s="8" t="b">
        <v>0</v>
      </c>
      <c r="C43" s="110" t="s">
        <v>758</v>
      </c>
      <c r="D43" s="111" t="s">
        <v>759</v>
      </c>
      <c r="E43" s="111" t="s">
        <v>760</v>
      </c>
      <c r="F43" s="111">
        <v>7.701656399E9</v>
      </c>
      <c r="G43" s="114" t="s">
        <v>752</v>
      </c>
      <c r="H43" s="113" t="s">
        <v>733</v>
      </c>
      <c r="I43" s="111">
        <v>18.0</v>
      </c>
    </row>
    <row r="44" ht="26.25" customHeight="1">
      <c r="A44" s="7">
        <v>42.0</v>
      </c>
      <c r="B44" s="8" t="b">
        <v>0</v>
      </c>
      <c r="C44" s="110" t="s">
        <v>761</v>
      </c>
      <c r="D44" s="111" t="s">
        <v>676</v>
      </c>
      <c r="E44" s="111" t="s">
        <v>762</v>
      </c>
      <c r="F44" s="111">
        <v>7.504040446E9</v>
      </c>
      <c r="G44" s="109"/>
      <c r="H44" s="113" t="s">
        <v>733</v>
      </c>
      <c r="I44" s="111">
        <v>36.0</v>
      </c>
    </row>
    <row r="45" ht="26.25" customHeight="1">
      <c r="A45" s="7">
        <v>43.0</v>
      </c>
      <c r="B45" s="8" t="b">
        <v>0</v>
      </c>
      <c r="C45" s="110" t="s">
        <v>763</v>
      </c>
      <c r="D45" s="111" t="s">
        <v>684</v>
      </c>
      <c r="E45" s="111" t="s">
        <v>764</v>
      </c>
      <c r="F45" s="111">
        <v>7.70056807E9</v>
      </c>
      <c r="G45" s="109"/>
      <c r="H45" s="113" t="s">
        <v>733</v>
      </c>
      <c r="I45" s="111">
        <v>42.0</v>
      </c>
    </row>
    <row r="46" ht="26.25" customHeight="1">
      <c r="A46" s="7">
        <v>44.0</v>
      </c>
      <c r="B46" s="8" t="b">
        <v>0</v>
      </c>
      <c r="C46" s="110" t="s">
        <v>765</v>
      </c>
      <c r="D46" s="111" t="s">
        <v>754</v>
      </c>
      <c r="E46" s="111" t="s">
        <v>766</v>
      </c>
      <c r="F46" s="111" t="s">
        <v>767</v>
      </c>
      <c r="G46" s="109"/>
      <c r="H46" s="111" t="s">
        <v>733</v>
      </c>
      <c r="I46" s="111">
        <v>180.0</v>
      </c>
    </row>
    <row r="47" ht="26.25" customHeight="1">
      <c r="A47" s="7">
        <v>45.0</v>
      </c>
      <c r="B47" s="8" t="b">
        <v>0</v>
      </c>
      <c r="C47" s="110" t="s">
        <v>768</v>
      </c>
      <c r="D47" s="111" t="s">
        <v>717</v>
      </c>
      <c r="E47" s="111" t="s">
        <v>769</v>
      </c>
      <c r="F47" s="111">
        <v>7.901379999E9</v>
      </c>
      <c r="G47" s="114" t="s">
        <v>752</v>
      </c>
      <c r="H47" s="111" t="s">
        <v>733</v>
      </c>
      <c r="I47" s="111">
        <v>12.0</v>
      </c>
    </row>
    <row r="48" ht="26.25" customHeight="1">
      <c r="A48" s="7">
        <v>46.0</v>
      </c>
      <c r="B48" s="8" t="b">
        <v>0</v>
      </c>
      <c r="C48" s="110" t="s">
        <v>770</v>
      </c>
      <c r="D48" s="111" t="s">
        <v>754</v>
      </c>
      <c r="E48" s="111" t="s">
        <v>771</v>
      </c>
      <c r="F48" s="111" t="s">
        <v>772</v>
      </c>
      <c r="G48" s="109"/>
      <c r="H48" s="111" t="s">
        <v>733</v>
      </c>
      <c r="I48" s="111">
        <v>18.0</v>
      </c>
    </row>
    <row r="49" ht="22.5" hidden="1" customHeight="1">
      <c r="A49" s="7">
        <v>47.0</v>
      </c>
      <c r="B49" s="8" t="b">
        <v>0</v>
      </c>
      <c r="C49" s="110" t="s">
        <v>773</v>
      </c>
      <c r="D49" s="111" t="s">
        <v>684</v>
      </c>
      <c r="E49" s="111" t="s">
        <v>774</v>
      </c>
      <c r="F49" s="111">
        <v>7.709031E9</v>
      </c>
      <c r="G49" s="109"/>
      <c r="H49" s="111" t="s">
        <v>775</v>
      </c>
      <c r="I49" s="111">
        <v>42.0</v>
      </c>
    </row>
    <row r="50" ht="22.5" customHeight="1">
      <c r="A50" s="7">
        <v>48.0</v>
      </c>
      <c r="B50" s="8" t="b">
        <v>0</v>
      </c>
      <c r="C50" s="115"/>
      <c r="D50" s="109"/>
      <c r="E50" s="109"/>
      <c r="F50" s="109"/>
      <c r="G50" s="109"/>
      <c r="H50" s="109"/>
      <c r="I50" s="109"/>
    </row>
    <row r="51" ht="22.5" customHeight="1">
      <c r="A51" s="7">
        <v>49.0</v>
      </c>
      <c r="B51" s="8" t="b">
        <v>0</v>
      </c>
      <c r="C51" s="110" t="s">
        <v>776</v>
      </c>
      <c r="D51" s="111" t="s">
        <v>684</v>
      </c>
      <c r="E51" s="111" t="s">
        <v>777</v>
      </c>
      <c r="F51" s="116">
        <v>7.70142123E9</v>
      </c>
      <c r="G51" s="109"/>
      <c r="H51" s="111" t="s">
        <v>778</v>
      </c>
      <c r="I51" s="111">
        <v>12.0</v>
      </c>
    </row>
    <row r="52" ht="22.5" customHeight="1">
      <c r="A52" s="7">
        <v>50.0</v>
      </c>
      <c r="B52" s="8" t="b">
        <v>0</v>
      </c>
      <c r="C52" s="110" t="s">
        <v>779</v>
      </c>
      <c r="D52" s="111" t="s">
        <v>744</v>
      </c>
      <c r="E52" s="111" t="s">
        <v>780</v>
      </c>
      <c r="F52" s="111">
        <v>9.7155441602E11</v>
      </c>
      <c r="G52" s="111" t="s">
        <v>781</v>
      </c>
      <c r="H52" s="111" t="s">
        <v>778</v>
      </c>
      <c r="I52" s="111">
        <v>18.0</v>
      </c>
    </row>
    <row r="53" ht="22.5" customHeight="1">
      <c r="A53" s="7">
        <v>51.0</v>
      </c>
      <c r="B53" s="8" t="b">
        <v>0</v>
      </c>
      <c r="C53" s="110" t="s">
        <v>782</v>
      </c>
      <c r="D53" s="111" t="s">
        <v>676</v>
      </c>
      <c r="E53" s="111" t="s">
        <v>783</v>
      </c>
      <c r="F53" s="111">
        <v>7.505242323E9</v>
      </c>
      <c r="G53" s="109"/>
      <c r="H53" s="111" t="s">
        <v>775</v>
      </c>
      <c r="I53" s="111">
        <v>18.0</v>
      </c>
    </row>
    <row r="54" ht="22.5" customHeight="1">
      <c r="A54" s="7">
        <v>52.0</v>
      </c>
      <c r="B54" s="8" t="b">
        <v>0</v>
      </c>
      <c r="C54" s="110" t="s">
        <v>784</v>
      </c>
      <c r="D54" s="109"/>
      <c r="E54" s="111" t="s">
        <v>745</v>
      </c>
      <c r="F54" s="111">
        <v>7.514243203E9</v>
      </c>
      <c r="G54" s="109"/>
      <c r="H54" s="111" t="s">
        <v>775</v>
      </c>
      <c r="I54" s="111">
        <v>18.0</v>
      </c>
    </row>
    <row r="55" ht="22.5" customHeight="1">
      <c r="A55" s="7">
        <v>53.0</v>
      </c>
      <c r="B55" s="8" t="b">
        <v>0</v>
      </c>
      <c r="C55" s="110" t="s">
        <v>785</v>
      </c>
      <c r="D55" s="111" t="s">
        <v>786</v>
      </c>
      <c r="E55" s="111" t="s">
        <v>787</v>
      </c>
      <c r="F55" s="111" t="s">
        <v>788</v>
      </c>
      <c r="G55" s="109"/>
      <c r="H55" s="111" t="s">
        <v>733</v>
      </c>
      <c r="I55" s="111">
        <v>36.0</v>
      </c>
    </row>
    <row r="56" ht="22.5" customHeight="1">
      <c r="A56" s="7">
        <v>54.0</v>
      </c>
      <c r="B56" s="8" t="b">
        <v>0</v>
      </c>
      <c r="C56" s="110" t="s">
        <v>789</v>
      </c>
      <c r="D56" s="111" t="s">
        <v>790</v>
      </c>
      <c r="E56" s="111" t="s">
        <v>791</v>
      </c>
      <c r="F56" s="111" t="s">
        <v>792</v>
      </c>
      <c r="G56" s="109"/>
      <c r="H56" s="111" t="s">
        <v>733</v>
      </c>
      <c r="I56" s="111">
        <v>36.0</v>
      </c>
    </row>
    <row r="57" ht="22.5" customHeight="1">
      <c r="A57" s="7">
        <v>55.0</v>
      </c>
      <c r="B57" s="8" t="b">
        <v>0</v>
      </c>
      <c r="C57" s="110" t="s">
        <v>793</v>
      </c>
      <c r="D57" s="111" t="s">
        <v>674</v>
      </c>
      <c r="E57" s="111" t="s">
        <v>794</v>
      </c>
      <c r="F57" s="111" t="s">
        <v>795</v>
      </c>
      <c r="G57" s="109"/>
      <c r="H57" s="111" t="s">
        <v>733</v>
      </c>
      <c r="I57" s="111">
        <v>18.0</v>
      </c>
    </row>
    <row r="58" ht="22.5" customHeight="1">
      <c r="A58" s="7">
        <v>56.0</v>
      </c>
      <c r="B58" s="8" t="b">
        <v>0</v>
      </c>
      <c r="C58" s="110" t="s">
        <v>796</v>
      </c>
      <c r="D58" s="111" t="s">
        <v>797</v>
      </c>
      <c r="E58" s="111" t="s">
        <v>798</v>
      </c>
      <c r="F58" s="111">
        <v>9.71561150747E11</v>
      </c>
      <c r="G58" s="111" t="s">
        <v>781</v>
      </c>
      <c r="H58" s="111" t="s">
        <v>733</v>
      </c>
      <c r="I58" s="111">
        <v>30.0</v>
      </c>
    </row>
    <row r="59" ht="22.5" customHeight="1">
      <c r="A59" s="7">
        <v>57.0</v>
      </c>
      <c r="B59" s="8" t="b">
        <v>0</v>
      </c>
      <c r="C59" s="110" t="s">
        <v>799</v>
      </c>
      <c r="D59" s="111" t="s">
        <v>800</v>
      </c>
      <c r="E59" s="116" t="s">
        <v>801</v>
      </c>
      <c r="F59" s="117" t="s">
        <v>802</v>
      </c>
      <c r="G59" s="117" t="s">
        <v>781</v>
      </c>
      <c r="H59" s="111" t="s">
        <v>733</v>
      </c>
      <c r="I59" s="111">
        <v>18.0</v>
      </c>
    </row>
    <row r="60" ht="22.5" customHeight="1">
      <c r="A60" s="7">
        <v>58.0</v>
      </c>
      <c r="B60" s="8" t="b">
        <v>0</v>
      </c>
      <c r="C60" s="110" t="s">
        <v>803</v>
      </c>
      <c r="D60" s="111" t="s">
        <v>797</v>
      </c>
      <c r="E60" s="109"/>
      <c r="F60" s="116" t="s">
        <v>804</v>
      </c>
      <c r="G60" s="117" t="s">
        <v>781</v>
      </c>
      <c r="H60" s="111" t="s">
        <v>733</v>
      </c>
      <c r="I60" s="111">
        <v>18.0</v>
      </c>
    </row>
    <row r="61" ht="22.5" customHeight="1">
      <c r="A61" s="7">
        <v>59.0</v>
      </c>
      <c r="B61" s="8" t="b">
        <v>0</v>
      </c>
      <c r="C61" s="110" t="s">
        <v>805</v>
      </c>
      <c r="D61" s="109"/>
      <c r="E61" s="109"/>
      <c r="F61" s="109"/>
      <c r="G61" s="109"/>
      <c r="H61" s="111" t="s">
        <v>733</v>
      </c>
      <c r="I61" s="109"/>
    </row>
    <row r="62" ht="22.5" customHeight="1">
      <c r="A62" s="7">
        <v>60.0</v>
      </c>
      <c r="B62" s="8" t="b">
        <v>0</v>
      </c>
      <c r="C62" s="110" t="s">
        <v>806</v>
      </c>
      <c r="D62" s="109"/>
      <c r="E62" s="109"/>
      <c r="F62" s="109"/>
      <c r="G62" s="109"/>
      <c r="H62" s="111" t="s">
        <v>733</v>
      </c>
      <c r="I62" s="109"/>
    </row>
    <row r="63" ht="22.5" customHeight="1">
      <c r="A63" s="7">
        <v>61.0</v>
      </c>
      <c r="B63" s="8" t="b">
        <v>0</v>
      </c>
      <c r="C63" s="110" t="s">
        <v>807</v>
      </c>
      <c r="D63" s="117" t="s">
        <v>797</v>
      </c>
      <c r="E63" s="116" t="s">
        <v>808</v>
      </c>
      <c r="F63" s="118" t="s">
        <v>809</v>
      </c>
      <c r="G63" s="117" t="s">
        <v>781</v>
      </c>
      <c r="H63" s="111" t="s">
        <v>733</v>
      </c>
      <c r="I63" s="116">
        <v>21.0</v>
      </c>
    </row>
    <row r="64" ht="22.5" customHeight="1">
      <c r="A64" s="7">
        <v>62.0</v>
      </c>
      <c r="B64" s="8" t="b">
        <v>0</v>
      </c>
      <c r="C64" s="110" t="s">
        <v>810</v>
      </c>
      <c r="D64" s="117" t="s">
        <v>797</v>
      </c>
      <c r="E64" s="116" t="s">
        <v>811</v>
      </c>
      <c r="F64" s="118" t="s">
        <v>812</v>
      </c>
      <c r="G64" s="117" t="s">
        <v>781</v>
      </c>
      <c r="H64" s="111" t="s">
        <v>733</v>
      </c>
      <c r="I64" s="116">
        <v>30.0</v>
      </c>
    </row>
    <row r="65" ht="22.5" customHeight="1">
      <c r="A65" s="7">
        <v>63.0</v>
      </c>
      <c r="B65" s="8" t="b">
        <v>0</v>
      </c>
      <c r="C65" s="110" t="s">
        <v>813</v>
      </c>
      <c r="D65" s="117" t="s">
        <v>797</v>
      </c>
      <c r="E65" s="116" t="s">
        <v>814</v>
      </c>
      <c r="F65" s="119" t="s">
        <v>815</v>
      </c>
      <c r="G65" s="117" t="s">
        <v>781</v>
      </c>
      <c r="H65" s="117" t="s">
        <v>733</v>
      </c>
      <c r="I65" s="116">
        <v>27.0</v>
      </c>
    </row>
    <row r="66" ht="22.5" customHeight="1">
      <c r="A66" s="7">
        <v>64.0</v>
      </c>
      <c r="B66" s="8" t="b">
        <v>0</v>
      </c>
      <c r="C66" s="120" t="s">
        <v>816</v>
      </c>
      <c r="D66" s="109"/>
      <c r="E66" s="109"/>
      <c r="F66" s="109"/>
      <c r="G66" s="109"/>
      <c r="H66" s="109"/>
      <c r="I66" s="109"/>
    </row>
    <row r="67" ht="22.5" customHeight="1">
      <c r="A67" s="7">
        <v>65.0</v>
      </c>
      <c r="B67" s="8" t="b">
        <v>0</v>
      </c>
      <c r="C67" s="120" t="s">
        <v>817</v>
      </c>
      <c r="D67" s="109"/>
      <c r="E67" s="109"/>
      <c r="F67" s="109"/>
      <c r="G67" s="109"/>
      <c r="H67" s="109"/>
      <c r="I67" s="109"/>
    </row>
    <row r="68" ht="22.5" customHeight="1">
      <c r="A68" s="7">
        <v>66.0</v>
      </c>
      <c r="B68" s="8" t="b">
        <v>0</v>
      </c>
      <c r="C68" s="120" t="s">
        <v>818</v>
      </c>
      <c r="D68" s="109"/>
      <c r="E68" s="109"/>
      <c r="F68" s="109"/>
      <c r="G68" s="109"/>
      <c r="H68" s="109"/>
      <c r="I68" s="109"/>
    </row>
    <row r="69" ht="22.5" customHeight="1">
      <c r="A69" s="7">
        <v>67.0</v>
      </c>
      <c r="B69" s="8" t="b">
        <v>0</v>
      </c>
      <c r="C69" s="120" t="s">
        <v>819</v>
      </c>
      <c r="D69" s="109"/>
      <c r="E69" s="109"/>
      <c r="F69" s="109"/>
      <c r="G69" s="109"/>
      <c r="H69" s="109"/>
      <c r="I69" s="109"/>
    </row>
    <row r="70" ht="22.5" customHeight="1">
      <c r="A70" s="7">
        <v>68.0</v>
      </c>
      <c r="B70" s="8" t="b">
        <v>0</v>
      </c>
      <c r="C70" s="120" t="s">
        <v>820</v>
      </c>
      <c r="D70" s="109"/>
      <c r="E70" s="109"/>
      <c r="F70" s="109"/>
      <c r="G70" s="109"/>
      <c r="H70" s="109"/>
      <c r="I70" s="109"/>
    </row>
    <row r="71" ht="22.5" customHeight="1">
      <c r="A71" s="7">
        <v>69.0</v>
      </c>
      <c r="B71" s="8" t="b">
        <v>0</v>
      </c>
      <c r="C71" s="110" t="s">
        <v>821</v>
      </c>
      <c r="D71" s="116" t="s">
        <v>822</v>
      </c>
      <c r="E71" s="116" t="s">
        <v>823</v>
      </c>
      <c r="F71" s="118" t="s">
        <v>824</v>
      </c>
      <c r="G71" s="114" t="s">
        <v>781</v>
      </c>
      <c r="H71" s="116" t="s">
        <v>825</v>
      </c>
      <c r="I71" s="109"/>
    </row>
    <row r="72" ht="22.5" customHeight="1">
      <c r="A72" s="7">
        <v>70.0</v>
      </c>
      <c r="B72" s="8" t="b">
        <v>0</v>
      </c>
      <c r="C72" s="120" t="s">
        <v>826</v>
      </c>
      <c r="D72" s="109"/>
      <c r="E72" s="109"/>
      <c r="F72" s="109"/>
      <c r="G72" s="109"/>
      <c r="H72" s="109"/>
      <c r="I72" s="109"/>
    </row>
    <row r="73" ht="22.5" customHeight="1">
      <c r="A73" s="7">
        <v>71.0</v>
      </c>
      <c r="B73" s="8" t="b">
        <v>0</v>
      </c>
      <c r="C73" s="120" t="s">
        <v>827</v>
      </c>
      <c r="D73" s="109"/>
      <c r="E73" s="109"/>
      <c r="F73" s="109"/>
      <c r="G73" s="109"/>
      <c r="H73" s="109"/>
      <c r="I73" s="109"/>
    </row>
    <row r="74" ht="22.5" customHeight="1">
      <c r="A74" s="7">
        <v>72.0</v>
      </c>
      <c r="B74" s="8" t="b">
        <v>0</v>
      </c>
      <c r="C74" s="120" t="s">
        <v>828</v>
      </c>
      <c r="D74" s="109"/>
      <c r="E74" s="109"/>
      <c r="F74" s="109"/>
      <c r="G74" s="109"/>
      <c r="H74" s="109"/>
      <c r="I74" s="109"/>
    </row>
    <row r="75" ht="22.5" customHeight="1">
      <c r="A75" s="7">
        <v>73.0</v>
      </c>
      <c r="B75" s="8" t="b">
        <v>0</v>
      </c>
      <c r="C75" s="120" t="s">
        <v>829</v>
      </c>
      <c r="D75" s="109"/>
      <c r="E75" s="109"/>
      <c r="F75" s="109"/>
      <c r="G75" s="109"/>
      <c r="H75" s="109"/>
      <c r="I75" s="109"/>
    </row>
    <row r="76" ht="22.5" customHeight="1">
      <c r="A76" s="7">
        <v>74.0</v>
      </c>
      <c r="B76" s="8" t="b">
        <v>0</v>
      </c>
      <c r="C76" s="120" t="s">
        <v>830</v>
      </c>
      <c r="D76" s="109"/>
      <c r="E76" s="109"/>
      <c r="F76" s="109"/>
      <c r="G76" s="109"/>
      <c r="H76" s="109"/>
      <c r="I76" s="109"/>
    </row>
    <row r="77" ht="22.5" customHeight="1">
      <c r="A77" s="7">
        <v>75.0</v>
      </c>
      <c r="B77" s="8" t="b">
        <v>0</v>
      </c>
      <c r="C77" s="120" t="s">
        <v>831</v>
      </c>
      <c r="D77" s="109"/>
      <c r="E77" s="109"/>
      <c r="F77" s="109"/>
      <c r="G77" s="109"/>
      <c r="H77" s="109"/>
      <c r="I77" s="109"/>
    </row>
    <row r="78" ht="22.5" customHeight="1">
      <c r="A78" s="7">
        <v>76.0</v>
      </c>
      <c r="B78" s="8" t="b">
        <v>0</v>
      </c>
      <c r="C78" s="120" t="s">
        <v>832</v>
      </c>
      <c r="D78" s="109"/>
      <c r="E78" s="109"/>
      <c r="F78" s="109"/>
      <c r="G78" s="109"/>
      <c r="H78" s="109"/>
      <c r="I78" s="109"/>
    </row>
    <row r="79" ht="22.5" customHeight="1">
      <c r="A79" s="7">
        <v>77.0</v>
      </c>
      <c r="B79" s="8" t="b">
        <v>0</v>
      </c>
      <c r="C79" s="120" t="s">
        <v>833</v>
      </c>
      <c r="D79" s="109"/>
      <c r="E79" s="109"/>
      <c r="F79" s="109"/>
      <c r="G79" s="109"/>
      <c r="H79" s="109"/>
      <c r="I79" s="109"/>
    </row>
    <row r="80" ht="22.5" customHeight="1">
      <c r="A80" s="7">
        <v>78.0</v>
      </c>
      <c r="B80" s="8" t="b">
        <v>0</v>
      </c>
      <c r="C80" s="120" t="s">
        <v>834</v>
      </c>
      <c r="D80" s="109"/>
      <c r="E80" s="109"/>
      <c r="F80" s="109"/>
      <c r="G80" s="109"/>
      <c r="H80" s="109"/>
      <c r="I80" s="109"/>
    </row>
    <row r="81" ht="22.5" customHeight="1">
      <c r="A81" s="7">
        <v>79.0</v>
      </c>
      <c r="B81" s="8" t="b">
        <v>0</v>
      </c>
      <c r="C81" s="120" t="s">
        <v>835</v>
      </c>
      <c r="D81" s="109"/>
      <c r="E81" s="109"/>
      <c r="F81" s="109"/>
      <c r="G81" s="109"/>
      <c r="H81" s="109"/>
      <c r="I81" s="109"/>
    </row>
    <row r="82" ht="22.5" customHeight="1">
      <c r="A82" s="7">
        <v>80.0</v>
      </c>
      <c r="B82" s="8" t="b">
        <v>0</v>
      </c>
      <c r="C82" s="120" t="s">
        <v>836</v>
      </c>
      <c r="D82" s="109"/>
      <c r="E82" s="109"/>
      <c r="F82" s="109"/>
      <c r="G82" s="109"/>
      <c r="H82" s="109"/>
      <c r="I82" s="109"/>
    </row>
    <row r="83" ht="22.5" customHeight="1">
      <c r="A83" s="7">
        <v>81.0</v>
      </c>
      <c r="B83" s="8" t="b">
        <v>0</v>
      </c>
      <c r="C83" s="120" t="s">
        <v>837</v>
      </c>
      <c r="D83" s="109"/>
      <c r="E83" s="109"/>
      <c r="F83" s="109"/>
      <c r="G83" s="109"/>
      <c r="H83" s="109"/>
      <c r="I83" s="109"/>
    </row>
    <row r="84" ht="22.5" customHeight="1">
      <c r="A84" s="7">
        <v>82.0</v>
      </c>
      <c r="B84" s="8" t="b">
        <v>0</v>
      </c>
      <c r="C84" s="120" t="s">
        <v>838</v>
      </c>
      <c r="D84" s="109"/>
      <c r="E84" s="109"/>
      <c r="F84" s="109"/>
      <c r="G84" s="109"/>
      <c r="H84" s="109"/>
      <c r="I84" s="109"/>
    </row>
    <row r="85" ht="22.5" customHeight="1">
      <c r="A85" s="7">
        <v>83.0</v>
      </c>
      <c r="B85" s="8" t="b">
        <v>0</v>
      </c>
      <c r="C85" s="110" t="s">
        <v>839</v>
      </c>
      <c r="D85" s="117" t="s">
        <v>797</v>
      </c>
      <c r="E85" s="116" t="s">
        <v>745</v>
      </c>
      <c r="F85" s="118" t="s">
        <v>840</v>
      </c>
      <c r="G85" s="117" t="s">
        <v>781</v>
      </c>
      <c r="H85" s="116" t="s">
        <v>825</v>
      </c>
      <c r="I85" s="116">
        <v>18.0</v>
      </c>
    </row>
    <row r="86" ht="22.5" customHeight="1">
      <c r="A86" s="7">
        <v>84.0</v>
      </c>
      <c r="B86" s="121" t="b">
        <v>0</v>
      </c>
      <c r="C86" s="122"/>
      <c r="D86" s="123"/>
      <c r="E86" s="124"/>
      <c r="F86" s="124"/>
      <c r="G86" s="124"/>
      <c r="H86" s="124"/>
      <c r="I86" s="124"/>
    </row>
    <row r="87" ht="22.5" customHeight="1">
      <c r="A87" s="7">
        <v>85.0</v>
      </c>
      <c r="B87" s="125" t="b">
        <v>0</v>
      </c>
      <c r="C87" s="126"/>
      <c r="D87" s="127"/>
      <c r="E87" s="124"/>
      <c r="F87" s="124"/>
      <c r="G87" s="124"/>
      <c r="H87" s="124"/>
      <c r="I87" s="124"/>
    </row>
    <row r="88" ht="22.5" customHeight="1">
      <c r="A88" s="7">
        <v>86.0</v>
      </c>
      <c r="B88" s="125" t="b">
        <v>0</v>
      </c>
      <c r="C88" s="126"/>
      <c r="D88" s="127"/>
      <c r="E88" s="124"/>
      <c r="F88" s="124"/>
      <c r="G88" s="124"/>
      <c r="H88" s="124"/>
      <c r="I88" s="124"/>
    </row>
    <row r="89" ht="22.5" customHeight="1">
      <c r="A89" s="7">
        <v>87.0</v>
      </c>
      <c r="B89" s="125" t="b">
        <v>0</v>
      </c>
      <c r="C89" s="126"/>
      <c r="D89" s="127"/>
      <c r="E89" s="124"/>
      <c r="F89" s="124"/>
      <c r="G89" s="124"/>
      <c r="H89" s="124"/>
      <c r="I89" s="124"/>
    </row>
    <row r="90" ht="22.5" customHeight="1">
      <c r="A90" s="7">
        <v>88.0</v>
      </c>
      <c r="B90" s="125" t="b">
        <v>0</v>
      </c>
      <c r="C90" s="126"/>
      <c r="D90" s="127"/>
      <c r="E90" s="124"/>
      <c r="F90" s="124"/>
      <c r="G90" s="124"/>
      <c r="H90" s="124"/>
      <c r="I90" s="124"/>
    </row>
    <row r="91" ht="22.5" customHeight="1">
      <c r="A91" s="7">
        <v>89.0</v>
      </c>
      <c r="B91" s="125" t="b">
        <v>0</v>
      </c>
      <c r="C91" s="126"/>
      <c r="D91" s="127"/>
      <c r="E91" s="124"/>
      <c r="F91" s="124"/>
      <c r="G91" s="124"/>
      <c r="H91" s="124"/>
      <c r="I91" s="124"/>
    </row>
    <row r="92" ht="22.5" customHeight="1">
      <c r="A92" s="7">
        <v>90.0</v>
      </c>
      <c r="B92" s="125" t="b">
        <v>0</v>
      </c>
      <c r="C92" s="126"/>
      <c r="D92" s="127"/>
      <c r="E92" s="124"/>
      <c r="F92" s="124"/>
      <c r="G92" s="124"/>
      <c r="H92" s="124"/>
      <c r="I92" s="124"/>
    </row>
    <row r="93" ht="22.5" customHeight="1">
      <c r="A93" s="7">
        <v>91.0</v>
      </c>
      <c r="B93" s="125" t="b">
        <v>0</v>
      </c>
      <c r="C93" s="126"/>
      <c r="D93" s="127"/>
      <c r="E93" s="124"/>
      <c r="F93" s="124"/>
      <c r="G93" s="124"/>
      <c r="H93" s="124"/>
      <c r="I93" s="124"/>
    </row>
    <row r="94" ht="22.5" customHeight="1">
      <c r="A94" s="7">
        <v>92.0</v>
      </c>
      <c r="B94" s="125" t="b">
        <v>0</v>
      </c>
      <c r="C94" s="126"/>
      <c r="D94" s="127"/>
      <c r="E94" s="124"/>
      <c r="F94" s="124"/>
      <c r="G94" s="124"/>
      <c r="H94" s="124"/>
      <c r="I94" s="124"/>
    </row>
    <row r="95" ht="22.5" customHeight="1">
      <c r="A95" s="7">
        <v>93.0</v>
      </c>
      <c r="B95" s="125" t="b">
        <v>0</v>
      </c>
      <c r="C95" s="126"/>
      <c r="D95" s="127"/>
      <c r="E95" s="124"/>
      <c r="F95" s="124"/>
      <c r="G95" s="124"/>
      <c r="H95" s="124"/>
      <c r="I95" s="124"/>
    </row>
    <row r="96" ht="22.5" customHeight="1">
      <c r="A96" s="7">
        <v>94.0</v>
      </c>
      <c r="B96" s="125" t="b">
        <v>0</v>
      </c>
      <c r="C96" s="126"/>
      <c r="D96" s="127"/>
      <c r="E96" s="124"/>
      <c r="F96" s="124"/>
      <c r="G96" s="124"/>
      <c r="H96" s="124"/>
      <c r="I96" s="124"/>
    </row>
    <row r="97" ht="22.5" customHeight="1">
      <c r="A97" s="7">
        <v>95.0</v>
      </c>
      <c r="B97" s="125" t="b">
        <v>0</v>
      </c>
      <c r="C97" s="126"/>
      <c r="D97" s="127"/>
      <c r="E97" s="124"/>
      <c r="F97" s="124"/>
      <c r="G97" s="124"/>
      <c r="H97" s="124"/>
      <c r="I97" s="124"/>
    </row>
    <row r="98" ht="22.5" customHeight="1">
      <c r="A98" s="7">
        <v>96.0</v>
      </c>
      <c r="B98" s="125" t="b">
        <v>0</v>
      </c>
      <c r="C98" s="126"/>
      <c r="D98" s="127"/>
      <c r="E98" s="124"/>
      <c r="F98" s="124"/>
      <c r="G98" s="124"/>
      <c r="H98" s="124"/>
      <c r="I98" s="124"/>
    </row>
    <row r="99" ht="22.5" customHeight="1">
      <c r="A99" s="7">
        <v>97.0</v>
      </c>
      <c r="B99" s="125" t="b">
        <v>0</v>
      </c>
      <c r="C99" s="126"/>
      <c r="D99" s="127"/>
      <c r="E99" s="124"/>
      <c r="F99" s="124"/>
      <c r="G99" s="124"/>
      <c r="H99" s="124"/>
      <c r="I99" s="124"/>
    </row>
    <row r="100" ht="22.5" customHeight="1">
      <c r="A100" s="7">
        <v>98.0</v>
      </c>
      <c r="B100" s="125" t="b">
        <v>0</v>
      </c>
      <c r="C100" s="126"/>
      <c r="D100" s="127"/>
      <c r="E100" s="124"/>
      <c r="F100" s="124"/>
      <c r="G100" s="124"/>
      <c r="H100" s="124"/>
      <c r="I100" s="124"/>
    </row>
    <row r="101" ht="22.5" customHeight="1">
      <c r="A101" s="7">
        <v>99.0</v>
      </c>
      <c r="B101" s="125" t="b">
        <v>0</v>
      </c>
      <c r="C101" s="126"/>
      <c r="D101" s="127"/>
      <c r="E101" s="124"/>
      <c r="F101" s="124"/>
      <c r="G101" s="124"/>
      <c r="H101" s="124"/>
      <c r="I101" s="124"/>
    </row>
    <row r="102" ht="22.5" customHeight="1">
      <c r="A102" s="7">
        <v>100.0</v>
      </c>
      <c r="B102" s="125" t="b">
        <v>0</v>
      </c>
      <c r="C102" s="126"/>
      <c r="D102" s="127"/>
      <c r="E102" s="124"/>
      <c r="F102" s="124"/>
      <c r="G102" s="124"/>
      <c r="H102" s="124"/>
      <c r="I102" s="124"/>
    </row>
    <row r="103" ht="22.5" customHeight="1">
      <c r="A103" s="7">
        <v>101.0</v>
      </c>
      <c r="B103" s="125" t="b">
        <v>0</v>
      </c>
      <c r="C103" s="126"/>
      <c r="D103" s="127"/>
      <c r="E103" s="124"/>
      <c r="F103" s="124"/>
      <c r="G103" s="124"/>
      <c r="H103" s="124"/>
      <c r="I103" s="124"/>
    </row>
    <row r="104" ht="22.5" customHeight="1">
      <c r="A104" s="7">
        <v>102.0</v>
      </c>
      <c r="B104" s="125" t="b">
        <v>0</v>
      </c>
      <c r="C104" s="126"/>
      <c r="D104" s="127"/>
      <c r="E104" s="124"/>
      <c r="F104" s="124"/>
      <c r="G104" s="124"/>
      <c r="H104" s="124"/>
      <c r="I104" s="124"/>
    </row>
    <row r="105" ht="22.5" customHeight="1">
      <c r="A105" s="7">
        <v>103.0</v>
      </c>
      <c r="B105" s="125" t="b">
        <v>0</v>
      </c>
      <c r="C105" s="126"/>
      <c r="D105" s="127"/>
      <c r="E105" s="124"/>
      <c r="F105" s="124"/>
      <c r="G105" s="124"/>
      <c r="H105" s="124"/>
      <c r="I105" s="124"/>
    </row>
    <row r="106" ht="22.5" customHeight="1">
      <c r="A106" s="7">
        <v>104.0</v>
      </c>
      <c r="B106" s="125" t="b">
        <v>0</v>
      </c>
      <c r="C106" s="126"/>
      <c r="D106" s="127"/>
      <c r="E106" s="124"/>
      <c r="F106" s="124"/>
      <c r="G106" s="124"/>
      <c r="H106" s="124"/>
      <c r="I106" s="124"/>
    </row>
    <row r="107" ht="22.5" customHeight="1">
      <c r="A107" s="7">
        <v>105.0</v>
      </c>
      <c r="B107" s="125" t="b">
        <v>0</v>
      </c>
      <c r="C107" s="126"/>
      <c r="D107" s="127"/>
      <c r="E107" s="124"/>
      <c r="F107" s="124"/>
      <c r="G107" s="124"/>
      <c r="H107" s="124"/>
      <c r="I107" s="124"/>
    </row>
    <row r="108" ht="22.5" customHeight="1">
      <c r="A108" s="7">
        <v>106.0</v>
      </c>
      <c r="B108" s="125" t="b">
        <v>0</v>
      </c>
      <c r="C108" s="126"/>
      <c r="D108" s="127"/>
      <c r="E108" s="124"/>
      <c r="F108" s="124"/>
      <c r="G108" s="124"/>
      <c r="H108" s="124"/>
      <c r="I108" s="124"/>
    </row>
    <row r="109" ht="22.5" customHeight="1">
      <c r="A109" s="7">
        <v>107.0</v>
      </c>
      <c r="B109" s="125" t="b">
        <v>0</v>
      </c>
      <c r="C109" s="126"/>
      <c r="D109" s="127"/>
      <c r="E109" s="124"/>
      <c r="F109" s="124"/>
      <c r="G109" s="124"/>
      <c r="H109" s="124"/>
      <c r="I109" s="124"/>
    </row>
    <row r="110" ht="22.5" customHeight="1">
      <c r="A110" s="7">
        <v>108.0</v>
      </c>
      <c r="B110" s="125" t="b">
        <v>0</v>
      </c>
      <c r="C110" s="126"/>
      <c r="D110" s="127"/>
      <c r="E110" s="124"/>
      <c r="F110" s="124"/>
      <c r="G110" s="124"/>
      <c r="H110" s="124"/>
      <c r="I110" s="124"/>
    </row>
    <row r="111" ht="22.5" customHeight="1">
      <c r="A111" s="7">
        <v>109.0</v>
      </c>
      <c r="B111" s="125" t="b">
        <v>0</v>
      </c>
      <c r="C111" s="126"/>
      <c r="D111" s="127"/>
      <c r="E111" s="124"/>
      <c r="F111" s="124"/>
      <c r="G111" s="124"/>
      <c r="H111" s="124"/>
      <c r="I111" s="124"/>
    </row>
    <row r="112" ht="22.5" customHeight="1">
      <c r="A112" s="7">
        <v>110.0</v>
      </c>
      <c r="B112" s="125" t="b">
        <v>0</v>
      </c>
      <c r="C112" s="126"/>
      <c r="D112" s="127"/>
      <c r="E112" s="124"/>
      <c r="F112" s="124"/>
      <c r="G112" s="124"/>
      <c r="H112" s="124"/>
      <c r="I112" s="124"/>
    </row>
    <row r="113" ht="22.5" customHeight="1">
      <c r="A113" s="7">
        <v>111.0</v>
      </c>
      <c r="B113" s="125" t="b">
        <v>0</v>
      </c>
      <c r="C113" s="126"/>
      <c r="D113" s="127"/>
      <c r="E113" s="124"/>
      <c r="F113" s="124"/>
      <c r="G113" s="124"/>
      <c r="H113" s="124"/>
      <c r="I113" s="124"/>
    </row>
    <row r="114" ht="22.5" customHeight="1">
      <c r="A114" s="7">
        <v>112.0</v>
      </c>
      <c r="B114" s="125" t="b">
        <v>0</v>
      </c>
      <c r="C114" s="126"/>
      <c r="D114" s="127"/>
      <c r="E114" s="124"/>
      <c r="F114" s="124"/>
      <c r="G114" s="124"/>
      <c r="H114" s="124"/>
      <c r="I114" s="124"/>
    </row>
    <row r="115" ht="22.5" customHeight="1">
      <c r="A115" s="7">
        <v>113.0</v>
      </c>
      <c r="B115" s="125" t="b">
        <v>0</v>
      </c>
      <c r="C115" s="126"/>
      <c r="D115" s="127"/>
      <c r="E115" s="124"/>
      <c r="F115" s="124"/>
      <c r="G115" s="124"/>
      <c r="H115" s="124"/>
      <c r="I115" s="124"/>
    </row>
    <row r="116" ht="22.5" customHeight="1">
      <c r="A116" s="7">
        <v>114.0</v>
      </c>
      <c r="B116" s="125" t="b">
        <v>0</v>
      </c>
      <c r="C116" s="126"/>
      <c r="D116" s="127"/>
      <c r="E116" s="124"/>
      <c r="F116" s="124"/>
      <c r="G116" s="124"/>
      <c r="H116" s="124"/>
      <c r="I116" s="124"/>
    </row>
    <row r="117" ht="22.5" customHeight="1">
      <c r="A117" s="7">
        <v>115.0</v>
      </c>
      <c r="B117" s="125" t="b">
        <v>0</v>
      </c>
      <c r="C117" s="126"/>
      <c r="D117" s="127"/>
      <c r="E117" s="124"/>
      <c r="F117" s="124"/>
      <c r="G117" s="124"/>
      <c r="H117" s="124"/>
      <c r="I117" s="124"/>
    </row>
    <row r="118" ht="22.5" customHeight="1">
      <c r="A118" s="7">
        <v>116.0</v>
      </c>
      <c r="B118" s="125" t="b">
        <v>0</v>
      </c>
      <c r="C118" s="126"/>
      <c r="D118" s="127"/>
      <c r="E118" s="124"/>
      <c r="F118" s="124"/>
      <c r="G118" s="124"/>
      <c r="H118" s="124"/>
      <c r="I118" s="124"/>
    </row>
    <row r="119" ht="22.5" customHeight="1">
      <c r="A119" s="7">
        <v>117.0</v>
      </c>
      <c r="B119" s="125" t="b">
        <v>0</v>
      </c>
      <c r="C119" s="126"/>
      <c r="D119" s="127"/>
      <c r="E119" s="124"/>
      <c r="F119" s="124"/>
      <c r="G119" s="124"/>
      <c r="H119" s="124"/>
      <c r="I119" s="124"/>
    </row>
    <row r="120" ht="22.5" customHeight="1">
      <c r="A120" s="7">
        <v>118.0</v>
      </c>
      <c r="B120" s="125" t="b">
        <v>0</v>
      </c>
      <c r="C120" s="126"/>
      <c r="D120" s="127"/>
      <c r="E120" s="124"/>
      <c r="F120" s="124"/>
      <c r="G120" s="124"/>
      <c r="H120" s="124"/>
      <c r="I120" s="124"/>
    </row>
    <row r="121" ht="22.5" customHeight="1">
      <c r="A121" s="7">
        <v>119.0</v>
      </c>
      <c r="B121" s="125" t="b">
        <v>0</v>
      </c>
      <c r="C121" s="126"/>
      <c r="D121" s="127"/>
      <c r="E121" s="124"/>
      <c r="F121" s="124"/>
      <c r="G121" s="124"/>
      <c r="H121" s="124"/>
      <c r="I121" s="124"/>
    </row>
    <row r="122" ht="22.5" customHeight="1">
      <c r="A122" s="7">
        <v>120.0</v>
      </c>
      <c r="B122" s="125" t="b">
        <v>0</v>
      </c>
      <c r="C122" s="126"/>
      <c r="D122" s="127"/>
      <c r="E122" s="124"/>
      <c r="F122" s="124"/>
      <c r="G122" s="124"/>
      <c r="H122" s="124"/>
      <c r="I122" s="124"/>
    </row>
    <row r="123" ht="22.5" customHeight="1">
      <c r="A123" s="7">
        <v>121.0</v>
      </c>
      <c r="B123" s="125" t="b">
        <v>0</v>
      </c>
      <c r="C123" s="126"/>
      <c r="D123" s="127"/>
      <c r="E123" s="124"/>
      <c r="F123" s="124"/>
      <c r="G123" s="124"/>
      <c r="H123" s="124"/>
      <c r="I123" s="124"/>
    </row>
    <row r="124" ht="22.5" customHeight="1">
      <c r="A124" s="7">
        <v>122.0</v>
      </c>
      <c r="B124" s="125" t="b">
        <v>0</v>
      </c>
      <c r="C124" s="126"/>
      <c r="D124" s="127"/>
      <c r="E124" s="124"/>
      <c r="F124" s="124"/>
      <c r="G124" s="124"/>
      <c r="H124" s="124"/>
      <c r="I124" s="124"/>
    </row>
    <row r="125" ht="22.5" customHeight="1">
      <c r="A125" s="7">
        <v>123.0</v>
      </c>
      <c r="B125" s="125" t="b">
        <v>0</v>
      </c>
      <c r="C125" s="126"/>
      <c r="D125" s="127"/>
      <c r="E125" s="124"/>
      <c r="F125" s="124"/>
      <c r="G125" s="124"/>
      <c r="H125" s="124"/>
      <c r="I125" s="124"/>
    </row>
    <row r="126" ht="22.5" customHeight="1">
      <c r="A126" s="7">
        <v>124.0</v>
      </c>
      <c r="B126" s="125" t="b">
        <v>0</v>
      </c>
      <c r="C126" s="126"/>
      <c r="D126" s="127"/>
      <c r="E126" s="124"/>
      <c r="F126" s="124"/>
      <c r="G126" s="124"/>
      <c r="H126" s="124"/>
      <c r="I126" s="124"/>
    </row>
    <row r="127" ht="22.5" customHeight="1">
      <c r="A127" s="7">
        <v>125.0</v>
      </c>
      <c r="B127" s="125" t="b">
        <v>0</v>
      </c>
      <c r="C127" s="126"/>
      <c r="D127" s="127"/>
      <c r="E127" s="124"/>
      <c r="F127" s="124"/>
      <c r="G127" s="124"/>
      <c r="H127" s="124"/>
      <c r="I127" s="124"/>
    </row>
    <row r="128" ht="22.5" customHeight="1">
      <c r="A128" s="7">
        <v>126.0</v>
      </c>
      <c r="B128" s="125" t="b">
        <v>0</v>
      </c>
      <c r="C128" s="126"/>
      <c r="D128" s="127"/>
      <c r="E128" s="124"/>
      <c r="F128" s="124"/>
      <c r="G128" s="124"/>
      <c r="H128" s="124"/>
      <c r="I128" s="124"/>
    </row>
    <row r="129" ht="22.5" customHeight="1">
      <c r="A129" s="7">
        <v>127.0</v>
      </c>
      <c r="B129" s="125" t="b">
        <v>0</v>
      </c>
      <c r="C129" s="126"/>
      <c r="D129" s="127"/>
      <c r="E129" s="124"/>
      <c r="F129" s="124"/>
      <c r="G129" s="124"/>
      <c r="H129" s="124"/>
      <c r="I129" s="124"/>
    </row>
    <row r="130" ht="22.5" customHeight="1">
      <c r="A130" s="7">
        <v>128.0</v>
      </c>
      <c r="B130" s="125" t="b">
        <v>0</v>
      </c>
      <c r="C130" s="126"/>
      <c r="D130" s="127"/>
      <c r="E130" s="124"/>
      <c r="F130" s="124"/>
      <c r="G130" s="124"/>
      <c r="H130" s="124"/>
      <c r="I130" s="124"/>
    </row>
    <row r="131" ht="22.5" customHeight="1">
      <c r="A131" s="7">
        <v>129.0</v>
      </c>
      <c r="B131" s="125" t="b">
        <v>0</v>
      </c>
      <c r="C131" s="126"/>
      <c r="D131" s="127"/>
      <c r="E131" s="124"/>
      <c r="F131" s="124"/>
      <c r="G131" s="124"/>
      <c r="H131" s="124"/>
      <c r="I131" s="124"/>
    </row>
    <row r="132" ht="22.5" customHeight="1">
      <c r="A132" s="7">
        <v>130.0</v>
      </c>
      <c r="B132" s="125" t="b">
        <v>0</v>
      </c>
      <c r="C132" s="126"/>
      <c r="D132" s="127"/>
      <c r="E132" s="124"/>
      <c r="F132" s="124"/>
      <c r="G132" s="124"/>
      <c r="H132" s="124"/>
      <c r="I132" s="124"/>
    </row>
    <row r="133" ht="22.5" customHeight="1">
      <c r="A133" s="7">
        <v>131.0</v>
      </c>
      <c r="B133" s="125" t="b">
        <v>0</v>
      </c>
      <c r="C133" s="126"/>
      <c r="D133" s="127"/>
      <c r="E133" s="124"/>
      <c r="F133" s="124"/>
      <c r="G133" s="124"/>
      <c r="H133" s="124"/>
      <c r="I133" s="124"/>
    </row>
    <row r="134" ht="22.5" customHeight="1">
      <c r="A134" s="7">
        <v>132.0</v>
      </c>
      <c r="B134" s="125" t="b">
        <v>0</v>
      </c>
      <c r="C134" s="126"/>
      <c r="D134" s="127"/>
      <c r="E134" s="124"/>
      <c r="F134" s="124"/>
      <c r="G134" s="124"/>
      <c r="H134" s="124"/>
      <c r="I134" s="124"/>
    </row>
    <row r="135" ht="22.5" customHeight="1">
      <c r="A135" s="7">
        <v>133.0</v>
      </c>
      <c r="B135" s="125" t="b">
        <v>0</v>
      </c>
      <c r="C135" s="126"/>
      <c r="D135" s="127"/>
      <c r="E135" s="124"/>
      <c r="F135" s="124"/>
      <c r="G135" s="124"/>
      <c r="H135" s="124"/>
      <c r="I135" s="124"/>
    </row>
    <row r="136" ht="22.5" customHeight="1">
      <c r="A136" s="7">
        <v>134.0</v>
      </c>
      <c r="B136" s="125" t="b">
        <v>0</v>
      </c>
      <c r="C136" s="126"/>
      <c r="D136" s="127"/>
      <c r="E136" s="124"/>
      <c r="F136" s="124"/>
      <c r="G136" s="124"/>
      <c r="H136" s="124"/>
      <c r="I136" s="124"/>
    </row>
    <row r="137" ht="22.5" customHeight="1">
      <c r="A137" s="7">
        <v>135.0</v>
      </c>
      <c r="B137" s="125" t="b">
        <v>0</v>
      </c>
      <c r="C137" s="126"/>
      <c r="D137" s="127"/>
      <c r="E137" s="124"/>
      <c r="F137" s="124"/>
      <c r="G137" s="124"/>
      <c r="H137" s="124"/>
      <c r="I137" s="124"/>
    </row>
    <row r="138" ht="22.5" customHeight="1">
      <c r="A138" s="7">
        <v>136.0</v>
      </c>
      <c r="B138" s="125" t="b">
        <v>0</v>
      </c>
      <c r="C138" s="126"/>
      <c r="D138" s="127"/>
      <c r="E138" s="124"/>
      <c r="F138" s="124"/>
      <c r="G138" s="124"/>
      <c r="H138" s="124"/>
      <c r="I138" s="124"/>
    </row>
    <row r="139" ht="22.5" customHeight="1">
      <c r="A139" s="7">
        <v>137.0</v>
      </c>
      <c r="B139" s="125" t="b">
        <v>0</v>
      </c>
      <c r="C139" s="126"/>
      <c r="D139" s="127"/>
      <c r="E139" s="124"/>
      <c r="F139" s="124"/>
      <c r="G139" s="124"/>
      <c r="H139" s="124"/>
      <c r="I139" s="124"/>
    </row>
    <row r="140" ht="22.5" customHeight="1">
      <c r="A140" s="7">
        <v>138.0</v>
      </c>
      <c r="B140" s="125" t="b">
        <v>0</v>
      </c>
      <c r="C140" s="126"/>
      <c r="D140" s="127"/>
      <c r="E140" s="124"/>
      <c r="F140" s="124"/>
      <c r="G140" s="124"/>
      <c r="H140" s="124"/>
      <c r="I140" s="124"/>
    </row>
    <row r="141" ht="22.5" customHeight="1">
      <c r="A141" s="7">
        <v>139.0</v>
      </c>
      <c r="B141" s="125" t="b">
        <v>0</v>
      </c>
      <c r="C141" s="126"/>
      <c r="D141" s="127"/>
      <c r="E141" s="124"/>
      <c r="F141" s="124"/>
      <c r="G141" s="124"/>
      <c r="H141" s="124"/>
      <c r="I141" s="124"/>
    </row>
    <row r="142" ht="22.5" customHeight="1">
      <c r="A142" s="7">
        <v>140.0</v>
      </c>
      <c r="B142" s="125" t="b">
        <v>0</v>
      </c>
      <c r="C142" s="126"/>
      <c r="D142" s="127"/>
      <c r="E142" s="124"/>
      <c r="F142" s="124"/>
      <c r="G142" s="124"/>
      <c r="H142" s="124"/>
      <c r="I142" s="124"/>
    </row>
    <row r="143" ht="22.5" customHeight="1">
      <c r="A143" s="7">
        <v>141.0</v>
      </c>
      <c r="B143" s="125" t="b">
        <v>0</v>
      </c>
      <c r="C143" s="126"/>
      <c r="D143" s="127"/>
      <c r="E143" s="124"/>
      <c r="F143" s="124"/>
      <c r="G143" s="124"/>
      <c r="H143" s="124"/>
      <c r="I143" s="124"/>
    </row>
    <row r="144" ht="22.5" customHeight="1">
      <c r="A144" s="7">
        <v>142.0</v>
      </c>
      <c r="B144" s="125" t="b">
        <v>0</v>
      </c>
      <c r="C144" s="126"/>
      <c r="D144" s="127"/>
      <c r="E144" s="124"/>
      <c r="F144" s="124"/>
      <c r="G144" s="124"/>
      <c r="H144" s="124"/>
      <c r="I144" s="124"/>
    </row>
    <row r="145" ht="22.5" customHeight="1">
      <c r="A145" s="7">
        <v>143.0</v>
      </c>
      <c r="B145" s="125" t="b">
        <v>0</v>
      </c>
      <c r="C145" s="126"/>
      <c r="D145" s="127"/>
      <c r="E145" s="124"/>
      <c r="F145" s="124"/>
      <c r="G145" s="124"/>
      <c r="H145" s="124"/>
      <c r="I145" s="124"/>
    </row>
    <row r="146" ht="22.5" customHeight="1">
      <c r="A146" s="7">
        <v>144.0</v>
      </c>
      <c r="B146" s="125" t="b">
        <v>0</v>
      </c>
      <c r="C146" s="126"/>
      <c r="D146" s="127"/>
      <c r="E146" s="124"/>
      <c r="F146" s="124"/>
      <c r="G146" s="124"/>
      <c r="H146" s="124"/>
      <c r="I146" s="124"/>
    </row>
    <row r="147" ht="22.5" customHeight="1">
      <c r="A147" s="7">
        <v>145.0</v>
      </c>
      <c r="B147" s="125" t="b">
        <v>0</v>
      </c>
      <c r="C147" s="126"/>
      <c r="D147" s="127"/>
      <c r="E147" s="124"/>
      <c r="F147" s="124"/>
      <c r="G147" s="124"/>
      <c r="H147" s="124"/>
      <c r="I147" s="124"/>
    </row>
    <row r="148" ht="22.5" customHeight="1">
      <c r="A148" s="7">
        <v>146.0</v>
      </c>
      <c r="B148" s="125" t="b">
        <v>0</v>
      </c>
      <c r="C148" s="126"/>
      <c r="D148" s="127"/>
      <c r="E148" s="124"/>
      <c r="F148" s="124"/>
      <c r="G148" s="124"/>
      <c r="H148" s="124"/>
      <c r="I148" s="124"/>
    </row>
    <row r="149" ht="22.5" customHeight="1">
      <c r="A149" s="7">
        <v>147.0</v>
      </c>
      <c r="B149" s="125" t="b">
        <v>0</v>
      </c>
      <c r="C149" s="126"/>
      <c r="D149" s="127"/>
      <c r="E149" s="124"/>
      <c r="F149" s="124"/>
      <c r="G149" s="124"/>
      <c r="H149" s="124"/>
      <c r="I149" s="124"/>
    </row>
    <row r="150" ht="22.5" customHeight="1">
      <c r="A150" s="7">
        <v>148.0</v>
      </c>
      <c r="B150" s="125" t="b">
        <v>0</v>
      </c>
      <c r="C150" s="126"/>
      <c r="D150" s="127"/>
      <c r="E150" s="124"/>
      <c r="F150" s="124"/>
      <c r="G150" s="124"/>
      <c r="H150" s="124"/>
      <c r="I150" s="124"/>
    </row>
    <row r="151" ht="22.5" customHeight="1">
      <c r="A151" s="7">
        <v>149.0</v>
      </c>
      <c r="B151" s="125" t="b">
        <v>0</v>
      </c>
      <c r="C151" s="126"/>
      <c r="D151" s="127"/>
      <c r="E151" s="124"/>
      <c r="F151" s="124"/>
      <c r="G151" s="124"/>
      <c r="H151" s="124"/>
      <c r="I151" s="124"/>
    </row>
    <row r="152" ht="22.5" customHeight="1">
      <c r="A152" s="7">
        <v>150.0</v>
      </c>
      <c r="B152" s="125" t="b">
        <v>0</v>
      </c>
      <c r="C152" s="126"/>
      <c r="D152" s="127"/>
      <c r="E152" s="124"/>
      <c r="F152" s="124"/>
      <c r="G152" s="124"/>
      <c r="H152" s="124"/>
      <c r="I152" s="124"/>
    </row>
    <row r="153" ht="22.5" customHeight="1">
      <c r="A153" s="7">
        <v>151.0</v>
      </c>
      <c r="B153" s="125" t="b">
        <v>0</v>
      </c>
      <c r="C153" s="126"/>
      <c r="D153" s="127"/>
      <c r="E153" s="124"/>
      <c r="F153" s="124"/>
      <c r="G153" s="124"/>
      <c r="H153" s="124"/>
      <c r="I153" s="124"/>
    </row>
    <row r="154" ht="22.5" customHeight="1">
      <c r="A154" s="7">
        <v>152.0</v>
      </c>
      <c r="B154" s="125" t="b">
        <v>0</v>
      </c>
      <c r="C154" s="126"/>
      <c r="D154" s="127"/>
      <c r="E154" s="124"/>
      <c r="F154" s="124"/>
      <c r="G154" s="124"/>
      <c r="H154" s="124"/>
      <c r="I154" s="124"/>
    </row>
    <row r="155" ht="22.5" customHeight="1">
      <c r="A155" s="7">
        <v>153.0</v>
      </c>
      <c r="B155" s="125" t="b">
        <v>0</v>
      </c>
      <c r="C155" s="126"/>
      <c r="D155" s="127"/>
      <c r="E155" s="124"/>
      <c r="F155" s="124"/>
      <c r="G155" s="124"/>
      <c r="H155" s="124"/>
      <c r="I155" s="124"/>
    </row>
    <row r="156" ht="22.5" customHeight="1">
      <c r="A156" s="7">
        <v>154.0</v>
      </c>
      <c r="B156" s="125" t="b">
        <v>0</v>
      </c>
      <c r="C156" s="126"/>
      <c r="D156" s="127"/>
      <c r="E156" s="124"/>
      <c r="F156" s="124"/>
      <c r="G156" s="124"/>
      <c r="H156" s="124"/>
      <c r="I156" s="124"/>
    </row>
    <row r="157" ht="22.5" customHeight="1">
      <c r="A157" s="7">
        <v>155.0</v>
      </c>
      <c r="B157" s="125" t="b">
        <v>0</v>
      </c>
      <c r="C157" s="126"/>
      <c r="D157" s="127"/>
      <c r="E157" s="124"/>
      <c r="F157" s="124"/>
      <c r="G157" s="124"/>
      <c r="H157" s="124"/>
      <c r="I157" s="124"/>
    </row>
    <row r="158" ht="22.5" customHeight="1">
      <c r="A158" s="7">
        <v>156.0</v>
      </c>
      <c r="B158" s="125" t="b">
        <v>0</v>
      </c>
      <c r="C158" s="126"/>
      <c r="D158" s="127"/>
      <c r="E158" s="124"/>
      <c r="F158" s="124"/>
      <c r="G158" s="124"/>
      <c r="H158" s="124"/>
      <c r="I158" s="124"/>
    </row>
    <row r="159" ht="22.5" customHeight="1">
      <c r="A159" s="7">
        <v>157.0</v>
      </c>
      <c r="B159" s="125" t="b">
        <v>0</v>
      </c>
      <c r="C159" s="126"/>
      <c r="D159" s="127"/>
      <c r="E159" s="124"/>
      <c r="F159" s="124"/>
      <c r="G159" s="124"/>
      <c r="H159" s="124"/>
      <c r="I159" s="124"/>
    </row>
    <row r="160" ht="22.5" customHeight="1">
      <c r="A160" s="7">
        <v>158.0</v>
      </c>
      <c r="B160" s="125" t="b">
        <v>0</v>
      </c>
      <c r="C160" s="126"/>
      <c r="D160" s="127"/>
      <c r="E160" s="124"/>
      <c r="F160" s="124"/>
      <c r="G160" s="124"/>
      <c r="H160" s="124"/>
      <c r="I160" s="124"/>
    </row>
    <row r="161" ht="22.5" customHeight="1">
      <c r="A161" s="7">
        <v>159.0</v>
      </c>
      <c r="B161" s="125" t="b">
        <v>0</v>
      </c>
      <c r="C161" s="126"/>
      <c r="D161" s="127"/>
      <c r="E161" s="124"/>
      <c r="F161" s="124"/>
      <c r="G161" s="124"/>
      <c r="H161" s="124"/>
      <c r="I161" s="124"/>
    </row>
    <row r="162" ht="22.5" customHeight="1">
      <c r="A162" s="7">
        <v>160.0</v>
      </c>
      <c r="B162" s="125" t="b">
        <v>0</v>
      </c>
      <c r="C162" s="126"/>
      <c r="D162" s="127"/>
      <c r="E162" s="124"/>
      <c r="F162" s="124"/>
      <c r="G162" s="124"/>
      <c r="H162" s="124"/>
      <c r="I162" s="124"/>
    </row>
    <row r="163" ht="22.5" customHeight="1">
      <c r="A163" s="7">
        <v>161.0</v>
      </c>
      <c r="B163" s="125" t="b">
        <v>0</v>
      </c>
      <c r="C163" s="126"/>
      <c r="D163" s="127"/>
      <c r="E163" s="124"/>
      <c r="F163" s="124"/>
      <c r="G163" s="124"/>
      <c r="H163" s="124"/>
      <c r="I163" s="124"/>
    </row>
    <row r="164" ht="22.5" customHeight="1">
      <c r="A164" s="7">
        <v>162.0</v>
      </c>
      <c r="B164" s="125" t="b">
        <v>0</v>
      </c>
      <c r="C164" s="126"/>
      <c r="D164" s="127"/>
      <c r="E164" s="124"/>
      <c r="F164" s="124"/>
      <c r="G164" s="124"/>
      <c r="H164" s="124"/>
      <c r="I164" s="124"/>
    </row>
    <row r="165" ht="22.5" customHeight="1">
      <c r="A165" s="7">
        <v>163.0</v>
      </c>
      <c r="B165" s="125" t="b">
        <v>0</v>
      </c>
      <c r="C165" s="126"/>
      <c r="D165" s="127"/>
      <c r="E165" s="124"/>
      <c r="F165" s="124"/>
      <c r="G165" s="124"/>
      <c r="H165" s="124"/>
      <c r="I165" s="124"/>
    </row>
    <row r="166" ht="22.5" customHeight="1">
      <c r="A166" s="7">
        <v>164.0</v>
      </c>
      <c r="B166" s="125" t="b">
        <v>0</v>
      </c>
      <c r="C166" s="126"/>
      <c r="D166" s="127"/>
      <c r="E166" s="124"/>
      <c r="F166" s="124"/>
      <c r="G166" s="124"/>
      <c r="H166" s="124"/>
      <c r="I166" s="124"/>
    </row>
    <row r="167" ht="22.5" customHeight="1">
      <c r="A167" s="7">
        <v>165.0</v>
      </c>
      <c r="B167" s="125" t="b">
        <v>0</v>
      </c>
      <c r="C167" s="126"/>
      <c r="D167" s="127"/>
      <c r="E167" s="124"/>
      <c r="F167" s="124"/>
      <c r="G167" s="124"/>
      <c r="H167" s="124"/>
      <c r="I167" s="124"/>
    </row>
    <row r="168" ht="22.5" customHeight="1">
      <c r="A168" s="7">
        <v>166.0</v>
      </c>
      <c r="B168" s="125" t="b">
        <v>0</v>
      </c>
      <c r="C168" s="126"/>
      <c r="D168" s="127"/>
      <c r="E168" s="124"/>
      <c r="F168" s="124"/>
      <c r="G168" s="124"/>
      <c r="H168" s="124"/>
      <c r="I168" s="124"/>
    </row>
    <row r="169" ht="22.5" customHeight="1">
      <c r="A169" s="7">
        <v>167.0</v>
      </c>
      <c r="B169" s="125" t="b">
        <v>0</v>
      </c>
      <c r="C169" s="126"/>
      <c r="D169" s="127"/>
      <c r="E169" s="124"/>
      <c r="F169" s="124"/>
      <c r="G169" s="124"/>
      <c r="H169" s="124"/>
      <c r="I169" s="124"/>
    </row>
    <row r="170" ht="22.5" customHeight="1">
      <c r="A170" s="7">
        <v>168.0</v>
      </c>
      <c r="B170" s="125" t="b">
        <v>0</v>
      </c>
      <c r="C170" s="126"/>
      <c r="D170" s="127"/>
      <c r="E170" s="124"/>
      <c r="F170" s="124"/>
      <c r="G170" s="124"/>
      <c r="H170" s="124"/>
      <c r="I170" s="124"/>
    </row>
    <row r="171" ht="22.5" customHeight="1">
      <c r="A171" s="7">
        <v>169.0</v>
      </c>
      <c r="B171" s="125" t="b">
        <v>0</v>
      </c>
      <c r="C171" s="126"/>
      <c r="D171" s="127"/>
      <c r="E171" s="124"/>
      <c r="F171" s="124"/>
      <c r="G171" s="124"/>
      <c r="H171" s="124"/>
      <c r="I171" s="124"/>
    </row>
    <row r="172" ht="22.5" customHeight="1">
      <c r="A172" s="7">
        <v>170.0</v>
      </c>
      <c r="B172" s="125" t="b">
        <v>0</v>
      </c>
      <c r="C172" s="126"/>
      <c r="D172" s="127"/>
      <c r="E172" s="124"/>
      <c r="F172" s="124"/>
      <c r="G172" s="124"/>
      <c r="H172" s="124"/>
      <c r="I172" s="124"/>
    </row>
    <row r="173" ht="22.5" customHeight="1">
      <c r="A173" s="7">
        <v>171.0</v>
      </c>
      <c r="B173" s="125" t="b">
        <v>0</v>
      </c>
      <c r="C173" s="126"/>
      <c r="D173" s="127"/>
      <c r="E173" s="124"/>
      <c r="F173" s="124"/>
      <c r="G173" s="124"/>
      <c r="H173" s="124"/>
      <c r="I173" s="124"/>
    </row>
    <row r="174" ht="22.5" customHeight="1">
      <c r="A174" s="7">
        <v>172.0</v>
      </c>
      <c r="B174" s="125" t="b">
        <v>0</v>
      </c>
      <c r="C174" s="126"/>
      <c r="D174" s="127"/>
      <c r="E174" s="124"/>
      <c r="F174" s="124"/>
      <c r="G174" s="124"/>
      <c r="H174" s="124"/>
      <c r="I174" s="124"/>
    </row>
    <row r="175" ht="22.5" customHeight="1">
      <c r="A175" s="7">
        <v>173.0</v>
      </c>
      <c r="B175" s="125" t="b">
        <v>0</v>
      </c>
      <c r="C175" s="126"/>
      <c r="D175" s="127"/>
      <c r="E175" s="124"/>
      <c r="F175" s="124"/>
      <c r="G175" s="124"/>
      <c r="H175" s="124"/>
      <c r="I175" s="124"/>
    </row>
    <row r="176" ht="22.5" customHeight="1">
      <c r="A176" s="7">
        <v>174.0</v>
      </c>
      <c r="B176" s="125" t="b">
        <v>0</v>
      </c>
      <c r="C176" s="126"/>
      <c r="D176" s="127"/>
      <c r="E176" s="124"/>
      <c r="F176" s="124"/>
      <c r="G176" s="124"/>
      <c r="H176" s="124"/>
      <c r="I176" s="124"/>
    </row>
    <row r="177" ht="22.5" customHeight="1">
      <c r="A177" s="7">
        <v>175.0</v>
      </c>
      <c r="B177" s="125" t="b">
        <v>0</v>
      </c>
      <c r="C177" s="126"/>
      <c r="D177" s="127"/>
      <c r="E177" s="124"/>
      <c r="F177" s="124"/>
      <c r="G177" s="124"/>
      <c r="H177" s="124"/>
      <c r="I177" s="124"/>
    </row>
    <row r="178" ht="22.5" customHeight="1">
      <c r="A178" s="7">
        <v>176.0</v>
      </c>
      <c r="B178" s="125" t="b">
        <v>0</v>
      </c>
      <c r="C178" s="126"/>
      <c r="D178" s="127"/>
      <c r="E178" s="124"/>
      <c r="F178" s="124"/>
      <c r="G178" s="124"/>
      <c r="H178" s="124"/>
      <c r="I178" s="124"/>
    </row>
    <row r="179" ht="22.5" customHeight="1">
      <c r="A179" s="7">
        <v>177.0</v>
      </c>
      <c r="B179" s="125" t="b">
        <v>0</v>
      </c>
      <c r="C179" s="126"/>
      <c r="D179" s="127"/>
      <c r="E179" s="124"/>
      <c r="F179" s="124"/>
      <c r="G179" s="124"/>
      <c r="H179" s="124"/>
      <c r="I179" s="124"/>
    </row>
    <row r="180" ht="22.5" customHeight="1">
      <c r="A180" s="7">
        <v>178.0</v>
      </c>
      <c r="B180" s="125" t="b">
        <v>0</v>
      </c>
      <c r="C180" s="126"/>
      <c r="D180" s="127"/>
      <c r="E180" s="124"/>
      <c r="F180" s="124"/>
      <c r="G180" s="124"/>
      <c r="H180" s="124"/>
      <c r="I180" s="124"/>
    </row>
    <row r="181" ht="22.5" customHeight="1">
      <c r="A181" s="7">
        <v>179.0</v>
      </c>
      <c r="B181" s="125" t="b">
        <v>0</v>
      </c>
      <c r="C181" s="126"/>
      <c r="D181" s="127"/>
      <c r="E181" s="124"/>
      <c r="F181" s="124"/>
      <c r="G181" s="124"/>
      <c r="H181" s="124"/>
      <c r="I181" s="124"/>
    </row>
    <row r="182" ht="22.5" customHeight="1">
      <c r="A182" s="7">
        <v>180.0</v>
      </c>
      <c r="B182" s="125" t="b">
        <v>0</v>
      </c>
      <c r="C182" s="126"/>
      <c r="D182" s="127"/>
      <c r="E182" s="124"/>
      <c r="F182" s="124"/>
      <c r="G182" s="124"/>
      <c r="H182" s="124"/>
      <c r="I182" s="124"/>
    </row>
    <row r="183" ht="22.5" customHeight="1">
      <c r="A183" s="7">
        <v>181.0</v>
      </c>
      <c r="B183" s="125" t="b">
        <v>0</v>
      </c>
      <c r="C183" s="126"/>
      <c r="D183" s="127"/>
      <c r="E183" s="124"/>
      <c r="F183" s="124"/>
      <c r="G183" s="124"/>
      <c r="H183" s="124"/>
      <c r="I183" s="124"/>
    </row>
    <row r="184" ht="22.5" customHeight="1">
      <c r="A184" s="7">
        <v>182.0</v>
      </c>
      <c r="B184" s="125" t="b">
        <v>0</v>
      </c>
      <c r="C184" s="126"/>
      <c r="D184" s="127"/>
      <c r="E184" s="124"/>
      <c r="F184" s="124"/>
      <c r="G184" s="124"/>
      <c r="H184" s="124"/>
      <c r="I184" s="124"/>
    </row>
    <row r="185" ht="22.5" customHeight="1">
      <c r="A185" s="7">
        <v>183.0</v>
      </c>
      <c r="B185" s="125" t="b">
        <v>0</v>
      </c>
      <c r="C185" s="126"/>
      <c r="D185" s="127"/>
      <c r="E185" s="124"/>
      <c r="F185" s="124"/>
      <c r="G185" s="124"/>
      <c r="H185" s="124"/>
      <c r="I185" s="124"/>
    </row>
    <row r="186" ht="22.5" customHeight="1">
      <c r="A186" s="7">
        <v>184.0</v>
      </c>
      <c r="B186" s="125" t="b">
        <v>0</v>
      </c>
      <c r="C186" s="126"/>
      <c r="D186" s="127"/>
      <c r="E186" s="124"/>
      <c r="F186" s="124"/>
      <c r="G186" s="124"/>
      <c r="H186" s="124"/>
      <c r="I186" s="124"/>
    </row>
    <row r="187" ht="22.5" customHeight="1">
      <c r="A187" s="7">
        <v>185.0</v>
      </c>
      <c r="B187" s="125" t="b">
        <v>0</v>
      </c>
      <c r="C187" s="126"/>
      <c r="D187" s="127"/>
      <c r="E187" s="124"/>
      <c r="F187" s="124"/>
      <c r="G187" s="124"/>
      <c r="H187" s="124"/>
      <c r="I187" s="124"/>
    </row>
    <row r="188" ht="22.5" customHeight="1">
      <c r="A188" s="7">
        <v>186.0</v>
      </c>
      <c r="B188" s="125" t="b">
        <v>0</v>
      </c>
      <c r="C188" s="126"/>
      <c r="D188" s="127"/>
      <c r="E188" s="124"/>
      <c r="F188" s="124"/>
      <c r="G188" s="124"/>
      <c r="H188" s="124"/>
      <c r="I188" s="124"/>
    </row>
    <row r="189" ht="22.5" customHeight="1">
      <c r="A189" s="7">
        <v>187.0</v>
      </c>
      <c r="B189" s="125" t="b">
        <v>0</v>
      </c>
      <c r="C189" s="126"/>
      <c r="D189" s="127"/>
      <c r="E189" s="124"/>
      <c r="F189" s="124"/>
      <c r="G189" s="124"/>
      <c r="H189" s="124"/>
      <c r="I189" s="124"/>
    </row>
    <row r="190" ht="22.5" customHeight="1">
      <c r="A190" s="7">
        <v>188.0</v>
      </c>
      <c r="B190" s="125" t="b">
        <v>0</v>
      </c>
      <c r="C190" s="126"/>
      <c r="D190" s="127"/>
      <c r="E190" s="124"/>
      <c r="F190" s="124"/>
      <c r="G190" s="124"/>
      <c r="H190" s="124"/>
      <c r="I190" s="124"/>
    </row>
    <row r="191" ht="22.5" customHeight="1">
      <c r="A191" s="7">
        <v>189.0</v>
      </c>
      <c r="B191" s="125" t="b">
        <v>0</v>
      </c>
      <c r="C191" s="126"/>
      <c r="D191" s="127"/>
      <c r="E191" s="124"/>
      <c r="F191" s="124"/>
      <c r="G191" s="124"/>
      <c r="H191" s="124"/>
      <c r="I191" s="124"/>
    </row>
    <row r="192" ht="22.5" customHeight="1">
      <c r="A192" s="7">
        <v>190.0</v>
      </c>
      <c r="B192" s="125" t="b">
        <v>0</v>
      </c>
      <c r="C192" s="126"/>
      <c r="D192" s="127"/>
      <c r="E192" s="124"/>
      <c r="F192" s="124"/>
      <c r="G192" s="124"/>
      <c r="H192" s="124"/>
      <c r="I192" s="124"/>
    </row>
    <row r="193" ht="22.5" customHeight="1">
      <c r="A193" s="7">
        <v>191.0</v>
      </c>
      <c r="B193" s="125" t="b">
        <v>0</v>
      </c>
      <c r="C193" s="126"/>
      <c r="D193" s="127"/>
      <c r="E193" s="124"/>
      <c r="F193" s="124"/>
      <c r="G193" s="124"/>
      <c r="H193" s="124"/>
      <c r="I193" s="124"/>
    </row>
    <row r="194" ht="22.5" customHeight="1">
      <c r="A194" s="7">
        <v>192.0</v>
      </c>
      <c r="B194" s="125" t="b">
        <v>0</v>
      </c>
      <c r="C194" s="126"/>
      <c r="D194" s="127"/>
      <c r="E194" s="124"/>
      <c r="F194" s="124"/>
      <c r="G194" s="124"/>
      <c r="H194" s="124"/>
      <c r="I194" s="124"/>
    </row>
    <row r="195" ht="22.5" customHeight="1">
      <c r="A195" s="7">
        <v>193.0</v>
      </c>
      <c r="B195" s="125" t="b">
        <v>0</v>
      </c>
      <c r="C195" s="126"/>
      <c r="D195" s="127"/>
      <c r="E195" s="124"/>
      <c r="F195" s="124"/>
      <c r="G195" s="124"/>
      <c r="H195" s="124"/>
      <c r="I195" s="124"/>
    </row>
    <row r="196" ht="22.5" customHeight="1">
      <c r="A196" s="7">
        <v>194.0</v>
      </c>
      <c r="B196" s="125" t="b">
        <v>0</v>
      </c>
      <c r="C196" s="126"/>
      <c r="D196" s="127"/>
      <c r="E196" s="124"/>
      <c r="F196" s="124"/>
      <c r="G196" s="124"/>
      <c r="H196" s="124"/>
      <c r="I196" s="124"/>
    </row>
    <row r="197" ht="22.5" customHeight="1">
      <c r="A197" s="7">
        <v>195.0</v>
      </c>
      <c r="B197" s="125" t="b">
        <v>0</v>
      </c>
      <c r="C197" s="126"/>
      <c r="D197" s="127"/>
      <c r="E197" s="124"/>
      <c r="F197" s="124"/>
      <c r="G197" s="124"/>
      <c r="H197" s="124"/>
      <c r="I197" s="124"/>
    </row>
    <row r="198" ht="22.5" customHeight="1">
      <c r="A198" s="7">
        <v>196.0</v>
      </c>
      <c r="B198" s="125" t="b">
        <v>0</v>
      </c>
      <c r="C198" s="126"/>
      <c r="D198" s="127"/>
      <c r="E198" s="124"/>
      <c r="F198" s="124"/>
      <c r="G198" s="124"/>
      <c r="H198" s="124"/>
      <c r="I198" s="124"/>
    </row>
    <row r="199" ht="22.5" customHeight="1">
      <c r="A199" s="7">
        <v>197.0</v>
      </c>
      <c r="B199" s="125" t="b">
        <v>0</v>
      </c>
      <c r="C199" s="126"/>
      <c r="D199" s="127"/>
      <c r="E199" s="124"/>
      <c r="F199" s="124"/>
      <c r="G199" s="124"/>
      <c r="H199" s="124"/>
      <c r="I199" s="124"/>
    </row>
    <row r="200" ht="22.5" customHeight="1">
      <c r="A200" s="7">
        <v>198.0</v>
      </c>
      <c r="B200" s="125" t="b">
        <v>0</v>
      </c>
      <c r="C200" s="126"/>
      <c r="D200" s="127"/>
      <c r="E200" s="124"/>
      <c r="F200" s="124"/>
      <c r="G200" s="124"/>
      <c r="H200" s="124"/>
      <c r="I200" s="124"/>
    </row>
    <row r="201" ht="22.5" customHeight="1">
      <c r="A201" s="7">
        <v>199.0</v>
      </c>
      <c r="B201" s="125" t="b">
        <v>0</v>
      </c>
      <c r="C201" s="126"/>
      <c r="D201" s="127"/>
      <c r="E201" s="124"/>
      <c r="F201" s="124"/>
      <c r="G201" s="124"/>
      <c r="H201" s="124"/>
      <c r="I201" s="124"/>
    </row>
    <row r="202" ht="22.5" customHeight="1">
      <c r="A202" s="7">
        <v>200.0</v>
      </c>
      <c r="B202" s="125" t="b">
        <v>0</v>
      </c>
      <c r="C202" s="126"/>
      <c r="D202" s="127"/>
      <c r="E202" s="124"/>
      <c r="F202" s="124"/>
      <c r="G202" s="124"/>
      <c r="H202" s="124"/>
      <c r="I202" s="124"/>
    </row>
    <row r="203" ht="22.5" customHeight="1">
      <c r="A203" s="7">
        <v>201.0</v>
      </c>
      <c r="B203" s="125" t="b">
        <v>0</v>
      </c>
      <c r="C203" s="126"/>
      <c r="D203" s="127"/>
      <c r="E203" s="124"/>
      <c r="F203" s="124"/>
      <c r="G203" s="124"/>
      <c r="H203" s="124"/>
      <c r="I203" s="124"/>
    </row>
    <row r="204" ht="22.5" customHeight="1">
      <c r="A204" s="7">
        <v>202.0</v>
      </c>
      <c r="B204" s="125" t="b">
        <v>0</v>
      </c>
      <c r="C204" s="126"/>
      <c r="D204" s="127"/>
      <c r="E204" s="124"/>
      <c r="F204" s="124"/>
      <c r="G204" s="124"/>
      <c r="H204" s="124"/>
      <c r="I204" s="124"/>
    </row>
    <row r="205" ht="22.5" customHeight="1">
      <c r="A205" s="7">
        <v>203.0</v>
      </c>
      <c r="B205" s="125" t="b">
        <v>0</v>
      </c>
      <c r="C205" s="126"/>
      <c r="D205" s="127"/>
      <c r="E205" s="124"/>
      <c r="F205" s="124"/>
      <c r="G205" s="124"/>
      <c r="H205" s="124"/>
      <c r="I205" s="124"/>
    </row>
    <row r="206" ht="22.5" customHeight="1">
      <c r="A206" s="7">
        <v>204.0</v>
      </c>
      <c r="B206" s="125" t="b">
        <v>0</v>
      </c>
      <c r="C206" s="126"/>
      <c r="D206" s="127"/>
      <c r="E206" s="124"/>
      <c r="F206" s="124"/>
      <c r="G206" s="124"/>
      <c r="H206" s="124"/>
      <c r="I206" s="124"/>
    </row>
    <row r="207" ht="22.5" customHeight="1">
      <c r="A207" s="7">
        <v>205.0</v>
      </c>
      <c r="B207" s="125" t="b">
        <v>0</v>
      </c>
      <c r="C207" s="126"/>
      <c r="D207" s="127"/>
      <c r="E207" s="124"/>
      <c r="F207" s="124"/>
      <c r="G207" s="124"/>
      <c r="H207" s="124"/>
      <c r="I207" s="124"/>
    </row>
    <row r="208" ht="22.5" customHeight="1">
      <c r="A208" s="7">
        <v>206.0</v>
      </c>
      <c r="B208" s="125" t="b">
        <v>0</v>
      </c>
      <c r="C208" s="126"/>
      <c r="D208" s="127"/>
      <c r="E208" s="124"/>
      <c r="F208" s="124"/>
      <c r="G208" s="124"/>
      <c r="H208" s="124"/>
      <c r="I208" s="124"/>
    </row>
    <row r="209" ht="22.5" customHeight="1">
      <c r="A209" s="7">
        <v>207.0</v>
      </c>
      <c r="B209" s="125" t="b">
        <v>0</v>
      </c>
      <c r="C209" s="126"/>
      <c r="D209" s="127"/>
      <c r="E209" s="124"/>
      <c r="F209" s="124"/>
      <c r="G209" s="124"/>
      <c r="H209" s="124"/>
      <c r="I209" s="124"/>
    </row>
    <row r="210" ht="22.5" customHeight="1">
      <c r="A210" s="7">
        <v>208.0</v>
      </c>
      <c r="B210" s="125" t="b">
        <v>0</v>
      </c>
      <c r="C210" s="126"/>
      <c r="D210" s="127"/>
      <c r="E210" s="124"/>
      <c r="F210" s="124"/>
      <c r="G210" s="124"/>
      <c r="H210" s="124"/>
      <c r="I210" s="124"/>
    </row>
    <row r="211" ht="22.5" customHeight="1">
      <c r="A211" s="7">
        <v>209.0</v>
      </c>
      <c r="B211" s="125" t="b">
        <v>0</v>
      </c>
      <c r="C211" s="126"/>
      <c r="D211" s="127"/>
      <c r="E211" s="124"/>
      <c r="F211" s="124"/>
      <c r="G211" s="124"/>
      <c r="H211" s="124"/>
      <c r="I211" s="124"/>
    </row>
    <row r="212" ht="22.5" customHeight="1">
      <c r="A212" s="7">
        <v>210.0</v>
      </c>
      <c r="B212" s="125" t="b">
        <v>0</v>
      </c>
      <c r="C212" s="126"/>
      <c r="D212" s="127"/>
      <c r="E212" s="124"/>
      <c r="F212" s="124"/>
      <c r="G212" s="124"/>
      <c r="H212" s="124"/>
      <c r="I212" s="124"/>
    </row>
    <row r="213" ht="22.5" customHeight="1">
      <c r="A213" s="7">
        <v>211.0</v>
      </c>
      <c r="B213" s="125" t="b">
        <v>0</v>
      </c>
      <c r="C213" s="126"/>
      <c r="D213" s="127"/>
      <c r="E213" s="124"/>
      <c r="F213" s="124"/>
      <c r="G213" s="124"/>
      <c r="H213" s="124"/>
      <c r="I213" s="124"/>
    </row>
    <row r="214" ht="22.5" customHeight="1">
      <c r="A214" s="7">
        <v>212.0</v>
      </c>
      <c r="B214" s="125" t="b">
        <v>0</v>
      </c>
      <c r="C214" s="126"/>
      <c r="D214" s="127"/>
      <c r="E214" s="124"/>
      <c r="F214" s="124"/>
      <c r="G214" s="124"/>
      <c r="H214" s="124"/>
      <c r="I214" s="124"/>
    </row>
    <row r="215" ht="22.5" customHeight="1">
      <c r="A215" s="7">
        <v>213.0</v>
      </c>
      <c r="B215" s="125" t="b">
        <v>0</v>
      </c>
      <c r="C215" s="126"/>
      <c r="D215" s="127"/>
      <c r="E215" s="124"/>
      <c r="F215" s="124"/>
      <c r="G215" s="124"/>
      <c r="H215" s="124"/>
      <c r="I215" s="124"/>
    </row>
    <row r="216" ht="22.5" customHeight="1">
      <c r="A216" s="7">
        <v>214.0</v>
      </c>
      <c r="B216" s="125" t="b">
        <v>0</v>
      </c>
      <c r="C216" s="126"/>
      <c r="D216" s="127"/>
      <c r="E216" s="124"/>
      <c r="F216" s="124"/>
      <c r="G216" s="124"/>
      <c r="H216" s="124"/>
      <c r="I216" s="124"/>
    </row>
    <row r="217" ht="22.5" customHeight="1">
      <c r="A217" s="7">
        <v>215.0</v>
      </c>
      <c r="B217" s="125" t="b">
        <v>0</v>
      </c>
      <c r="C217" s="126"/>
      <c r="D217" s="127"/>
      <c r="E217" s="124"/>
      <c r="F217" s="124"/>
      <c r="G217" s="124"/>
      <c r="H217" s="124"/>
      <c r="I217" s="124"/>
    </row>
    <row r="218" ht="22.5" customHeight="1">
      <c r="A218" s="7">
        <v>216.0</v>
      </c>
      <c r="B218" s="125" t="b">
        <v>0</v>
      </c>
      <c r="C218" s="126"/>
      <c r="D218" s="127"/>
      <c r="E218" s="124"/>
      <c r="F218" s="124"/>
      <c r="G218" s="124"/>
      <c r="H218" s="124"/>
      <c r="I218" s="124"/>
    </row>
    <row r="219" ht="22.5" customHeight="1">
      <c r="A219" s="7">
        <v>217.0</v>
      </c>
      <c r="B219" s="125" t="b">
        <v>0</v>
      </c>
      <c r="C219" s="126"/>
      <c r="D219" s="127"/>
      <c r="E219" s="124"/>
      <c r="F219" s="124"/>
      <c r="G219" s="124"/>
      <c r="H219" s="124"/>
      <c r="I219" s="124"/>
    </row>
    <row r="220" ht="22.5" customHeight="1">
      <c r="A220" s="7">
        <v>218.0</v>
      </c>
      <c r="B220" s="125" t="b">
        <v>0</v>
      </c>
      <c r="C220" s="126"/>
      <c r="D220" s="127"/>
      <c r="E220" s="124"/>
      <c r="F220" s="124"/>
      <c r="G220" s="124"/>
      <c r="H220" s="124"/>
      <c r="I220" s="124"/>
    </row>
    <row r="221" ht="22.5" customHeight="1">
      <c r="A221" s="7">
        <v>219.0</v>
      </c>
      <c r="B221" s="125" t="b">
        <v>0</v>
      </c>
      <c r="C221" s="126"/>
      <c r="D221" s="127"/>
      <c r="E221" s="124"/>
      <c r="F221" s="124"/>
      <c r="G221" s="124"/>
      <c r="H221" s="124"/>
      <c r="I221" s="124"/>
    </row>
    <row r="222" ht="22.5" customHeight="1">
      <c r="A222" s="7">
        <v>220.0</v>
      </c>
      <c r="B222" s="125" t="b">
        <v>0</v>
      </c>
      <c r="C222" s="126"/>
      <c r="D222" s="127"/>
      <c r="E222" s="124"/>
      <c r="F222" s="124"/>
      <c r="G222" s="124"/>
      <c r="H222" s="124"/>
      <c r="I222" s="124"/>
    </row>
    <row r="223" ht="22.5" customHeight="1">
      <c r="A223" s="7">
        <v>221.0</v>
      </c>
      <c r="B223" s="125" t="b">
        <v>0</v>
      </c>
      <c r="C223" s="126"/>
      <c r="D223" s="127"/>
      <c r="E223" s="124"/>
      <c r="F223" s="124"/>
      <c r="G223" s="124"/>
      <c r="H223" s="124"/>
      <c r="I223" s="124"/>
    </row>
    <row r="224" ht="22.5" customHeight="1">
      <c r="A224" s="7">
        <v>222.0</v>
      </c>
      <c r="B224" s="125" t="b">
        <v>0</v>
      </c>
      <c r="C224" s="126"/>
      <c r="D224" s="127"/>
      <c r="E224" s="124"/>
      <c r="F224" s="124"/>
      <c r="G224" s="124"/>
      <c r="H224" s="124"/>
      <c r="I224" s="124"/>
    </row>
    <row r="225" ht="22.5" customHeight="1">
      <c r="A225" s="7">
        <v>223.0</v>
      </c>
      <c r="B225" s="125" t="b">
        <v>0</v>
      </c>
      <c r="C225" s="126"/>
      <c r="D225" s="127"/>
      <c r="E225" s="124"/>
      <c r="F225" s="124"/>
      <c r="G225" s="124"/>
      <c r="H225" s="124"/>
      <c r="I225" s="124"/>
    </row>
    <row r="226" ht="22.5" customHeight="1">
      <c r="A226" s="7">
        <v>224.0</v>
      </c>
      <c r="B226" s="125" t="b">
        <v>0</v>
      </c>
      <c r="C226" s="126"/>
      <c r="D226" s="127"/>
      <c r="E226" s="124"/>
      <c r="F226" s="124"/>
      <c r="G226" s="124"/>
      <c r="H226" s="124"/>
      <c r="I226" s="124"/>
    </row>
    <row r="227" ht="22.5" customHeight="1">
      <c r="A227" s="7">
        <v>225.0</v>
      </c>
      <c r="B227" s="125" t="b">
        <v>0</v>
      </c>
      <c r="C227" s="126"/>
      <c r="D227" s="127"/>
      <c r="E227" s="124"/>
      <c r="F227" s="124"/>
      <c r="G227" s="124"/>
      <c r="H227" s="124"/>
      <c r="I227" s="124"/>
    </row>
    <row r="228" ht="22.5" customHeight="1">
      <c r="A228" s="7">
        <v>226.0</v>
      </c>
      <c r="B228" s="125" t="b">
        <v>0</v>
      </c>
      <c r="C228" s="126"/>
      <c r="D228" s="127"/>
      <c r="E228" s="124"/>
      <c r="F228" s="124"/>
      <c r="G228" s="124"/>
      <c r="H228" s="124"/>
      <c r="I228" s="124"/>
    </row>
    <row r="229" ht="22.5" customHeight="1">
      <c r="A229" s="7">
        <v>227.0</v>
      </c>
      <c r="B229" s="125" t="b">
        <v>0</v>
      </c>
      <c r="C229" s="126"/>
      <c r="D229" s="127"/>
      <c r="E229" s="124"/>
      <c r="F229" s="124"/>
      <c r="G229" s="124"/>
      <c r="H229" s="124"/>
      <c r="I229" s="124"/>
    </row>
    <row r="230" ht="22.5" customHeight="1">
      <c r="A230" s="7">
        <v>228.0</v>
      </c>
      <c r="B230" s="125" t="b">
        <v>0</v>
      </c>
      <c r="C230" s="126"/>
      <c r="D230" s="127"/>
      <c r="E230" s="124"/>
      <c r="F230" s="124"/>
      <c r="G230" s="124"/>
      <c r="H230" s="124"/>
      <c r="I230" s="124"/>
    </row>
    <row r="231" ht="22.5" customHeight="1">
      <c r="A231" s="7">
        <v>229.0</v>
      </c>
      <c r="B231" s="125" t="b">
        <v>0</v>
      </c>
      <c r="C231" s="126"/>
      <c r="D231" s="127"/>
      <c r="E231" s="124"/>
      <c r="F231" s="124"/>
      <c r="G231" s="124"/>
      <c r="H231" s="124"/>
      <c r="I231" s="124"/>
    </row>
    <row r="232" ht="22.5" customHeight="1">
      <c r="A232" s="7">
        <v>230.0</v>
      </c>
      <c r="B232" s="125" t="b">
        <v>0</v>
      </c>
      <c r="C232" s="126"/>
      <c r="D232" s="127"/>
      <c r="E232" s="124"/>
      <c r="F232" s="124"/>
      <c r="G232" s="124"/>
      <c r="H232" s="124"/>
      <c r="I232" s="124"/>
    </row>
    <row r="233" ht="22.5" customHeight="1">
      <c r="A233" s="7">
        <v>231.0</v>
      </c>
      <c r="B233" s="125" t="b">
        <v>0</v>
      </c>
      <c r="C233" s="126"/>
      <c r="D233" s="127"/>
      <c r="E233" s="124"/>
      <c r="F233" s="124"/>
      <c r="G233" s="124"/>
      <c r="H233" s="124"/>
      <c r="I233" s="124"/>
    </row>
    <row r="234" ht="22.5" customHeight="1">
      <c r="A234" s="7">
        <v>232.0</v>
      </c>
      <c r="B234" s="125" t="b">
        <v>0</v>
      </c>
      <c r="C234" s="126"/>
      <c r="D234" s="127"/>
      <c r="E234" s="124"/>
      <c r="F234" s="124"/>
      <c r="G234" s="124"/>
      <c r="H234" s="124"/>
      <c r="I234" s="124"/>
    </row>
    <row r="235" ht="22.5" customHeight="1">
      <c r="A235" s="7">
        <v>233.0</v>
      </c>
      <c r="B235" s="125" t="b">
        <v>0</v>
      </c>
      <c r="C235" s="126"/>
      <c r="D235" s="127"/>
      <c r="E235" s="124"/>
      <c r="F235" s="124"/>
      <c r="G235" s="124"/>
      <c r="H235" s="124"/>
      <c r="I235" s="124"/>
    </row>
    <row r="236" ht="22.5" customHeight="1">
      <c r="A236" s="7">
        <v>234.0</v>
      </c>
      <c r="B236" s="125" t="b">
        <v>0</v>
      </c>
      <c r="C236" s="126"/>
      <c r="D236" s="127"/>
      <c r="E236" s="124"/>
      <c r="F236" s="124"/>
      <c r="G236" s="124"/>
      <c r="H236" s="124"/>
      <c r="I236" s="124"/>
    </row>
    <row r="237" ht="22.5" customHeight="1">
      <c r="A237" s="7">
        <v>235.0</v>
      </c>
      <c r="B237" s="125" t="b">
        <v>0</v>
      </c>
      <c r="C237" s="126"/>
      <c r="D237" s="127"/>
      <c r="E237" s="124"/>
      <c r="F237" s="124"/>
      <c r="G237" s="124"/>
      <c r="H237" s="124"/>
      <c r="I237" s="124"/>
    </row>
    <row r="238" ht="22.5" customHeight="1">
      <c r="A238" s="7">
        <v>236.0</v>
      </c>
      <c r="B238" s="125" t="b">
        <v>0</v>
      </c>
      <c r="C238" s="126"/>
      <c r="D238" s="127"/>
      <c r="E238" s="124"/>
      <c r="F238" s="124"/>
      <c r="G238" s="124"/>
      <c r="H238" s="124"/>
      <c r="I238" s="124"/>
    </row>
    <row r="239" ht="22.5" customHeight="1">
      <c r="A239" s="7">
        <v>237.0</v>
      </c>
      <c r="B239" s="125" t="b">
        <v>0</v>
      </c>
      <c r="C239" s="126"/>
      <c r="D239" s="127"/>
      <c r="E239" s="124"/>
      <c r="F239" s="124"/>
      <c r="G239" s="124"/>
      <c r="H239" s="124"/>
      <c r="I239" s="124"/>
    </row>
    <row r="240" ht="22.5" customHeight="1">
      <c r="A240" s="7">
        <v>238.0</v>
      </c>
      <c r="B240" s="125" t="b">
        <v>0</v>
      </c>
      <c r="C240" s="126"/>
      <c r="D240" s="127"/>
      <c r="E240" s="124"/>
      <c r="F240" s="124"/>
      <c r="G240" s="124"/>
      <c r="H240" s="124"/>
      <c r="I240" s="124"/>
    </row>
    <row r="241" ht="22.5" customHeight="1">
      <c r="A241" s="7">
        <v>239.0</v>
      </c>
      <c r="B241" s="125" t="b">
        <v>0</v>
      </c>
      <c r="C241" s="126"/>
      <c r="D241" s="127"/>
      <c r="E241" s="124"/>
      <c r="F241" s="124"/>
      <c r="G241" s="124"/>
      <c r="H241" s="124"/>
      <c r="I241" s="124"/>
    </row>
    <row r="242" ht="22.5" customHeight="1">
      <c r="A242" s="7">
        <v>240.0</v>
      </c>
      <c r="B242" s="125" t="b">
        <v>0</v>
      </c>
      <c r="C242" s="126"/>
      <c r="D242" s="127"/>
      <c r="E242" s="124"/>
      <c r="F242" s="124"/>
      <c r="G242" s="124"/>
      <c r="H242" s="124"/>
      <c r="I242" s="124"/>
    </row>
    <row r="243" ht="22.5" customHeight="1">
      <c r="A243" s="7">
        <v>241.0</v>
      </c>
      <c r="B243" s="125" t="b">
        <v>0</v>
      </c>
      <c r="C243" s="126"/>
      <c r="D243" s="127"/>
      <c r="E243" s="124"/>
      <c r="F243" s="124"/>
      <c r="G243" s="124"/>
      <c r="H243" s="124"/>
      <c r="I243" s="124"/>
    </row>
    <row r="244" ht="22.5" customHeight="1">
      <c r="A244" s="7">
        <v>242.0</v>
      </c>
      <c r="B244" s="125" t="b">
        <v>0</v>
      </c>
      <c r="C244" s="126"/>
      <c r="D244" s="127"/>
      <c r="E244" s="124"/>
      <c r="F244" s="124"/>
      <c r="G244" s="124"/>
      <c r="H244" s="124"/>
      <c r="I244" s="124"/>
    </row>
    <row r="245" ht="22.5" customHeight="1">
      <c r="A245" s="7">
        <v>243.0</v>
      </c>
      <c r="B245" s="125" t="b">
        <v>0</v>
      </c>
      <c r="C245" s="126"/>
      <c r="D245" s="127"/>
      <c r="E245" s="124"/>
      <c r="F245" s="124"/>
      <c r="G245" s="124"/>
      <c r="H245" s="124"/>
      <c r="I245" s="124"/>
    </row>
    <row r="246" ht="22.5" customHeight="1">
      <c r="A246" s="7">
        <v>244.0</v>
      </c>
      <c r="B246" s="125" t="b">
        <v>0</v>
      </c>
      <c r="C246" s="126"/>
      <c r="D246" s="127"/>
      <c r="E246" s="124"/>
      <c r="F246" s="124"/>
      <c r="G246" s="124"/>
      <c r="H246" s="124"/>
      <c r="I246" s="124"/>
    </row>
    <row r="247" ht="22.5" customHeight="1">
      <c r="A247" s="7">
        <v>245.0</v>
      </c>
      <c r="B247" s="125" t="b">
        <v>0</v>
      </c>
      <c r="C247" s="126"/>
      <c r="D247" s="127"/>
      <c r="E247" s="124"/>
      <c r="F247" s="124"/>
      <c r="G247" s="124"/>
      <c r="H247" s="124"/>
      <c r="I247" s="124"/>
    </row>
    <row r="248" ht="22.5" customHeight="1">
      <c r="A248" s="7">
        <v>246.0</v>
      </c>
      <c r="B248" s="125" t="b">
        <v>0</v>
      </c>
      <c r="C248" s="126"/>
      <c r="D248" s="127"/>
      <c r="E248" s="124"/>
      <c r="F248" s="124"/>
      <c r="G248" s="124"/>
      <c r="H248" s="124"/>
      <c r="I248" s="124"/>
    </row>
    <row r="249" ht="22.5" customHeight="1">
      <c r="A249" s="7">
        <v>247.0</v>
      </c>
      <c r="B249" s="125" t="b">
        <v>0</v>
      </c>
      <c r="C249" s="126"/>
      <c r="D249" s="127"/>
      <c r="E249" s="124"/>
      <c r="F249" s="124"/>
      <c r="G249" s="124"/>
      <c r="H249" s="124"/>
      <c r="I249" s="124"/>
    </row>
    <row r="250" ht="22.5" customHeight="1">
      <c r="A250" s="7">
        <v>248.0</v>
      </c>
      <c r="B250" s="125" t="b">
        <v>0</v>
      </c>
      <c r="C250" s="126"/>
      <c r="D250" s="127"/>
      <c r="E250" s="124"/>
      <c r="F250" s="124"/>
      <c r="G250" s="124"/>
      <c r="H250" s="124"/>
      <c r="I250" s="124"/>
    </row>
    <row r="251" ht="22.5" customHeight="1">
      <c r="A251" s="7">
        <v>249.0</v>
      </c>
      <c r="B251" s="125" t="b">
        <v>0</v>
      </c>
      <c r="C251" s="126"/>
      <c r="D251" s="127"/>
      <c r="E251" s="124"/>
      <c r="F251" s="124"/>
      <c r="G251" s="124"/>
      <c r="H251" s="124"/>
      <c r="I251" s="124"/>
    </row>
    <row r="252" ht="22.5" customHeight="1">
      <c r="A252" s="7">
        <v>250.0</v>
      </c>
      <c r="B252" s="125" t="b">
        <v>0</v>
      </c>
      <c r="C252" s="126"/>
      <c r="D252" s="127"/>
      <c r="E252" s="124"/>
      <c r="F252" s="124"/>
      <c r="G252" s="124"/>
      <c r="H252" s="124"/>
      <c r="I252" s="124"/>
    </row>
    <row r="253" ht="22.5" customHeight="1">
      <c r="A253" s="7">
        <v>251.0</v>
      </c>
      <c r="B253" s="125" t="b">
        <v>0</v>
      </c>
      <c r="C253" s="126"/>
      <c r="D253" s="127"/>
      <c r="E253" s="124"/>
      <c r="F253" s="124"/>
      <c r="G253" s="124"/>
      <c r="H253" s="124"/>
      <c r="I253" s="124"/>
    </row>
    <row r="254" ht="22.5" customHeight="1">
      <c r="A254" s="7">
        <v>252.0</v>
      </c>
      <c r="B254" s="125" t="b">
        <v>0</v>
      </c>
      <c r="C254" s="126"/>
      <c r="D254" s="127"/>
      <c r="E254" s="124"/>
      <c r="F254" s="124"/>
      <c r="G254" s="124"/>
      <c r="H254" s="124"/>
      <c r="I254" s="124"/>
    </row>
    <row r="255" ht="22.5" customHeight="1">
      <c r="A255" s="7">
        <v>253.0</v>
      </c>
      <c r="B255" s="125" t="b">
        <v>0</v>
      </c>
      <c r="C255" s="126"/>
      <c r="D255" s="127"/>
      <c r="E255" s="124"/>
      <c r="F255" s="124"/>
      <c r="G255" s="124"/>
      <c r="H255" s="124"/>
      <c r="I255" s="124"/>
    </row>
    <row r="256" ht="22.5" customHeight="1">
      <c r="A256" s="7">
        <v>254.0</v>
      </c>
      <c r="B256" s="125" t="b">
        <v>0</v>
      </c>
      <c r="C256" s="126"/>
      <c r="D256" s="127"/>
      <c r="E256" s="124"/>
      <c r="F256" s="124"/>
      <c r="G256" s="124"/>
      <c r="H256" s="124"/>
      <c r="I256" s="124"/>
    </row>
    <row r="257" ht="22.5" customHeight="1">
      <c r="A257" s="7">
        <v>255.0</v>
      </c>
      <c r="B257" s="125" t="b">
        <v>0</v>
      </c>
      <c r="C257" s="126"/>
      <c r="D257" s="127"/>
      <c r="E257" s="124"/>
      <c r="F257" s="124"/>
      <c r="G257" s="124"/>
      <c r="H257" s="124"/>
      <c r="I257" s="124"/>
    </row>
    <row r="258" ht="22.5" customHeight="1">
      <c r="A258" s="7">
        <v>256.0</v>
      </c>
      <c r="B258" s="125" t="b">
        <v>0</v>
      </c>
      <c r="C258" s="126"/>
      <c r="D258" s="127"/>
      <c r="E258" s="124"/>
      <c r="F258" s="124"/>
      <c r="G258" s="124"/>
      <c r="H258" s="124"/>
      <c r="I258" s="124"/>
    </row>
    <row r="259" ht="22.5" customHeight="1">
      <c r="A259" s="7">
        <v>257.0</v>
      </c>
      <c r="B259" s="125" t="b">
        <v>0</v>
      </c>
      <c r="C259" s="126"/>
      <c r="D259" s="127"/>
      <c r="E259" s="124"/>
      <c r="F259" s="124"/>
      <c r="G259" s="124"/>
      <c r="H259" s="124"/>
      <c r="I259" s="124"/>
    </row>
    <row r="260" ht="22.5" customHeight="1">
      <c r="A260" s="7">
        <v>258.0</v>
      </c>
      <c r="B260" s="125" t="b">
        <v>0</v>
      </c>
      <c r="C260" s="126"/>
      <c r="D260" s="127"/>
      <c r="E260" s="124"/>
      <c r="F260" s="124"/>
      <c r="G260" s="124"/>
      <c r="H260" s="124"/>
      <c r="I260" s="124"/>
    </row>
    <row r="261" ht="22.5" customHeight="1">
      <c r="A261" s="7">
        <v>259.0</v>
      </c>
      <c r="B261" s="125" t="b">
        <v>0</v>
      </c>
      <c r="C261" s="126"/>
      <c r="D261" s="127"/>
      <c r="E261" s="124"/>
      <c r="F261" s="124"/>
      <c r="G261" s="124"/>
      <c r="H261" s="124"/>
      <c r="I261" s="124"/>
    </row>
    <row r="262" ht="22.5" customHeight="1">
      <c r="A262" s="7">
        <v>260.0</v>
      </c>
      <c r="B262" s="125" t="b">
        <v>0</v>
      </c>
      <c r="C262" s="126"/>
      <c r="D262" s="127"/>
      <c r="E262" s="124"/>
      <c r="F262" s="124"/>
      <c r="G262" s="124"/>
      <c r="H262" s="124"/>
      <c r="I262" s="124"/>
    </row>
    <row r="263" ht="22.5" customHeight="1">
      <c r="A263" s="7">
        <v>261.0</v>
      </c>
      <c r="B263" s="125" t="b">
        <v>0</v>
      </c>
      <c r="C263" s="126"/>
      <c r="D263" s="127"/>
      <c r="E263" s="124"/>
      <c r="F263" s="124"/>
      <c r="G263" s="124"/>
      <c r="H263" s="124"/>
      <c r="I263" s="124"/>
    </row>
    <row r="264" ht="22.5" customHeight="1">
      <c r="A264" s="7">
        <v>262.0</v>
      </c>
      <c r="B264" s="125" t="b">
        <v>0</v>
      </c>
      <c r="C264" s="126"/>
      <c r="D264" s="127"/>
      <c r="E264" s="124"/>
      <c r="F264" s="124"/>
      <c r="G264" s="124"/>
      <c r="H264" s="124"/>
      <c r="I264" s="124"/>
    </row>
    <row r="265" ht="22.5" customHeight="1">
      <c r="A265" s="7">
        <v>263.0</v>
      </c>
      <c r="B265" s="125" t="b">
        <v>0</v>
      </c>
      <c r="C265" s="126"/>
      <c r="D265" s="127"/>
      <c r="E265" s="124"/>
      <c r="F265" s="124"/>
      <c r="G265" s="124"/>
      <c r="H265" s="124"/>
      <c r="I265" s="124"/>
    </row>
    <row r="266" ht="22.5" customHeight="1">
      <c r="A266" s="7">
        <v>264.0</v>
      </c>
      <c r="B266" s="125" t="b">
        <v>0</v>
      </c>
      <c r="C266" s="126"/>
      <c r="D266" s="127"/>
      <c r="E266" s="124"/>
      <c r="F266" s="124"/>
      <c r="G266" s="124"/>
      <c r="H266" s="124"/>
      <c r="I266" s="124"/>
    </row>
    <row r="267" ht="22.5" customHeight="1">
      <c r="A267" s="7">
        <v>265.0</v>
      </c>
      <c r="B267" s="125" t="b">
        <v>0</v>
      </c>
      <c r="C267" s="126"/>
      <c r="D267" s="127"/>
      <c r="E267" s="124"/>
      <c r="F267" s="124"/>
      <c r="G267" s="124"/>
      <c r="H267" s="124"/>
      <c r="I267" s="124"/>
    </row>
    <row r="268" ht="22.5" customHeight="1">
      <c r="A268" s="7">
        <v>266.0</v>
      </c>
      <c r="B268" s="125" t="b">
        <v>0</v>
      </c>
      <c r="C268" s="126"/>
      <c r="D268" s="127"/>
      <c r="E268" s="124"/>
      <c r="F268" s="124"/>
      <c r="G268" s="124"/>
      <c r="H268" s="124"/>
      <c r="I268" s="124"/>
    </row>
    <row r="269" ht="22.5" customHeight="1">
      <c r="A269" s="7">
        <v>267.0</v>
      </c>
      <c r="B269" s="125" t="b">
        <v>0</v>
      </c>
      <c r="C269" s="126"/>
      <c r="D269" s="127"/>
      <c r="E269" s="124"/>
      <c r="F269" s="124"/>
      <c r="G269" s="124"/>
      <c r="H269" s="124"/>
      <c r="I269" s="124"/>
    </row>
    <row r="270" ht="22.5" customHeight="1">
      <c r="A270" s="7">
        <v>268.0</v>
      </c>
      <c r="B270" s="125" t="b">
        <v>0</v>
      </c>
      <c r="C270" s="126"/>
      <c r="D270" s="127"/>
      <c r="E270" s="124"/>
      <c r="F270" s="124"/>
      <c r="G270" s="124"/>
      <c r="H270" s="124"/>
      <c r="I270" s="124"/>
    </row>
    <row r="271" ht="22.5" customHeight="1">
      <c r="A271" s="7">
        <v>269.0</v>
      </c>
      <c r="B271" s="125" t="b">
        <v>0</v>
      </c>
      <c r="C271" s="126"/>
      <c r="D271" s="127"/>
      <c r="E271" s="124"/>
      <c r="F271" s="124"/>
      <c r="G271" s="124"/>
      <c r="H271" s="124"/>
      <c r="I271" s="124"/>
    </row>
    <row r="272" ht="22.5" customHeight="1">
      <c r="A272" s="7">
        <v>270.0</v>
      </c>
      <c r="B272" s="125" t="b">
        <v>0</v>
      </c>
      <c r="C272" s="126"/>
      <c r="D272" s="127"/>
      <c r="E272" s="124"/>
      <c r="F272" s="124"/>
      <c r="G272" s="124"/>
      <c r="H272" s="124"/>
      <c r="I272" s="124"/>
    </row>
    <row r="273" ht="22.5" customHeight="1">
      <c r="A273" s="7">
        <v>271.0</v>
      </c>
      <c r="B273" s="125" t="b">
        <v>0</v>
      </c>
      <c r="C273" s="126"/>
      <c r="D273" s="127"/>
      <c r="E273" s="124"/>
      <c r="F273" s="124"/>
      <c r="G273" s="124"/>
      <c r="H273" s="124"/>
      <c r="I273" s="124"/>
    </row>
    <row r="274" ht="22.5" customHeight="1">
      <c r="A274" s="7">
        <v>272.0</v>
      </c>
      <c r="B274" s="125" t="b">
        <v>0</v>
      </c>
      <c r="C274" s="126"/>
      <c r="D274" s="127"/>
      <c r="E274" s="124"/>
      <c r="F274" s="124"/>
      <c r="G274" s="124"/>
      <c r="H274" s="124"/>
      <c r="I274" s="124"/>
    </row>
    <row r="275" ht="22.5" customHeight="1">
      <c r="A275" s="7">
        <v>273.0</v>
      </c>
      <c r="B275" s="125" t="b">
        <v>0</v>
      </c>
      <c r="C275" s="126"/>
      <c r="D275" s="127"/>
      <c r="E275" s="124"/>
      <c r="F275" s="124"/>
      <c r="G275" s="124"/>
      <c r="H275" s="124"/>
      <c r="I275" s="124"/>
    </row>
    <row r="276" ht="22.5" customHeight="1">
      <c r="A276" s="7">
        <v>274.0</v>
      </c>
      <c r="B276" s="125" t="b">
        <v>0</v>
      </c>
      <c r="C276" s="126"/>
      <c r="D276" s="127"/>
      <c r="E276" s="124"/>
      <c r="F276" s="124"/>
      <c r="G276" s="124"/>
      <c r="H276" s="124"/>
      <c r="I276" s="124"/>
    </row>
    <row r="277" ht="22.5" customHeight="1">
      <c r="A277" s="7">
        <v>275.0</v>
      </c>
      <c r="B277" s="125" t="b">
        <v>0</v>
      </c>
      <c r="C277" s="126"/>
      <c r="D277" s="127"/>
      <c r="E277" s="124"/>
      <c r="F277" s="124"/>
      <c r="G277" s="124"/>
      <c r="H277" s="124"/>
      <c r="I277" s="124"/>
    </row>
    <row r="278" ht="22.5" customHeight="1">
      <c r="A278" s="7">
        <v>276.0</v>
      </c>
      <c r="B278" s="125" t="b">
        <v>0</v>
      </c>
      <c r="C278" s="126"/>
      <c r="D278" s="127"/>
      <c r="E278" s="124"/>
      <c r="F278" s="124"/>
      <c r="G278" s="124"/>
      <c r="H278" s="124"/>
      <c r="I278" s="124"/>
    </row>
    <row r="279" ht="22.5" customHeight="1">
      <c r="A279" s="7">
        <v>277.0</v>
      </c>
      <c r="B279" s="125" t="b">
        <v>0</v>
      </c>
      <c r="C279" s="126"/>
      <c r="D279" s="127"/>
      <c r="E279" s="124"/>
      <c r="F279" s="124"/>
      <c r="G279" s="124"/>
      <c r="H279" s="124"/>
      <c r="I279" s="124"/>
    </row>
    <row r="280" ht="22.5" customHeight="1">
      <c r="A280" s="7">
        <v>278.0</v>
      </c>
      <c r="B280" s="125" t="b">
        <v>0</v>
      </c>
      <c r="C280" s="126"/>
      <c r="D280" s="127"/>
      <c r="E280" s="124"/>
      <c r="F280" s="124"/>
      <c r="G280" s="124"/>
      <c r="H280" s="124"/>
      <c r="I280" s="124"/>
    </row>
    <row r="281" ht="22.5" customHeight="1">
      <c r="A281" s="7">
        <v>279.0</v>
      </c>
      <c r="B281" s="125" t="b">
        <v>0</v>
      </c>
      <c r="C281" s="126"/>
      <c r="D281" s="127"/>
      <c r="E281" s="124"/>
      <c r="F281" s="124"/>
      <c r="G281" s="124"/>
      <c r="H281" s="124"/>
      <c r="I281" s="124"/>
    </row>
    <row r="282" ht="22.5" customHeight="1">
      <c r="A282" s="7">
        <v>280.0</v>
      </c>
      <c r="B282" s="125" t="b">
        <v>0</v>
      </c>
      <c r="C282" s="126"/>
      <c r="D282" s="127"/>
      <c r="E282" s="124"/>
      <c r="F282" s="124"/>
      <c r="G282" s="124"/>
      <c r="H282" s="124"/>
      <c r="I282" s="124"/>
    </row>
    <row r="283" ht="22.5" customHeight="1">
      <c r="A283" s="7">
        <v>281.0</v>
      </c>
      <c r="B283" s="125" t="b">
        <v>0</v>
      </c>
      <c r="C283" s="126"/>
      <c r="D283" s="127"/>
      <c r="E283" s="124"/>
      <c r="F283" s="124"/>
      <c r="G283" s="124"/>
      <c r="H283" s="124"/>
      <c r="I283" s="124"/>
    </row>
    <row r="284" ht="22.5" customHeight="1">
      <c r="A284" s="7">
        <v>282.0</v>
      </c>
      <c r="B284" s="125" t="b">
        <v>0</v>
      </c>
      <c r="C284" s="126"/>
      <c r="D284" s="127"/>
      <c r="E284" s="124"/>
      <c r="F284" s="124"/>
      <c r="G284" s="124"/>
      <c r="H284" s="124"/>
      <c r="I284" s="124"/>
    </row>
    <row r="285" ht="22.5" customHeight="1">
      <c r="A285" s="7">
        <v>283.0</v>
      </c>
      <c r="B285" s="125" t="b">
        <v>0</v>
      </c>
      <c r="C285" s="126"/>
      <c r="D285" s="127"/>
      <c r="E285" s="124"/>
      <c r="F285" s="124"/>
      <c r="G285" s="124"/>
      <c r="H285" s="124"/>
      <c r="I285" s="124"/>
    </row>
    <row r="286" ht="22.5" customHeight="1">
      <c r="A286" s="7">
        <v>284.0</v>
      </c>
      <c r="B286" s="125" t="b">
        <v>0</v>
      </c>
      <c r="C286" s="126"/>
      <c r="D286" s="127"/>
      <c r="E286" s="124"/>
      <c r="F286" s="124"/>
      <c r="G286" s="124"/>
      <c r="H286" s="124"/>
      <c r="I286" s="124"/>
    </row>
    <row r="287" ht="22.5" customHeight="1">
      <c r="A287" s="7">
        <v>285.0</v>
      </c>
      <c r="B287" s="125" t="b">
        <v>0</v>
      </c>
      <c r="C287" s="126"/>
      <c r="D287" s="127"/>
      <c r="E287" s="124"/>
      <c r="F287" s="124"/>
      <c r="G287" s="124"/>
      <c r="H287" s="124"/>
      <c r="I287" s="124"/>
    </row>
    <row r="288" ht="22.5" customHeight="1">
      <c r="A288" s="7">
        <v>286.0</v>
      </c>
      <c r="B288" s="125" t="b">
        <v>0</v>
      </c>
      <c r="C288" s="126"/>
      <c r="D288" s="127"/>
      <c r="E288" s="124"/>
      <c r="F288" s="124"/>
      <c r="G288" s="124"/>
      <c r="H288" s="124"/>
      <c r="I288" s="124"/>
    </row>
    <row r="289" ht="22.5" customHeight="1">
      <c r="A289" s="7">
        <v>287.0</v>
      </c>
      <c r="B289" s="125" t="b">
        <v>0</v>
      </c>
      <c r="C289" s="126"/>
      <c r="D289" s="127"/>
      <c r="E289" s="124"/>
      <c r="F289" s="124"/>
      <c r="G289" s="124"/>
      <c r="H289" s="124"/>
      <c r="I289" s="124"/>
    </row>
    <row r="290" ht="22.5" customHeight="1">
      <c r="A290" s="7">
        <v>288.0</v>
      </c>
      <c r="B290" s="125" t="b">
        <v>0</v>
      </c>
      <c r="C290" s="126"/>
      <c r="D290" s="127"/>
      <c r="E290" s="124"/>
      <c r="F290" s="124"/>
      <c r="G290" s="124"/>
      <c r="H290" s="124"/>
      <c r="I290" s="124"/>
    </row>
    <row r="291" ht="22.5" customHeight="1">
      <c r="A291" s="7">
        <v>289.0</v>
      </c>
      <c r="B291" s="125" t="b">
        <v>0</v>
      </c>
      <c r="C291" s="126"/>
      <c r="D291" s="127"/>
      <c r="E291" s="124"/>
      <c r="F291" s="124"/>
      <c r="G291" s="124"/>
      <c r="H291" s="124"/>
      <c r="I291" s="124"/>
    </row>
    <row r="292" ht="22.5" customHeight="1">
      <c r="A292" s="7">
        <v>290.0</v>
      </c>
      <c r="B292" s="125" t="b">
        <v>0</v>
      </c>
      <c r="C292" s="126"/>
      <c r="D292" s="127"/>
      <c r="E292" s="124"/>
      <c r="F292" s="124"/>
      <c r="G292" s="124"/>
      <c r="H292" s="124"/>
      <c r="I292" s="124"/>
    </row>
    <row r="293" ht="22.5" customHeight="1">
      <c r="A293" s="7">
        <v>291.0</v>
      </c>
      <c r="B293" s="125" t="b">
        <v>0</v>
      </c>
      <c r="C293" s="126"/>
      <c r="D293" s="127"/>
      <c r="E293" s="124"/>
      <c r="F293" s="124"/>
      <c r="G293" s="124"/>
      <c r="H293" s="124"/>
      <c r="I293" s="124"/>
    </row>
    <row r="294" ht="22.5" customHeight="1">
      <c r="A294" s="7">
        <v>292.0</v>
      </c>
      <c r="B294" s="125" t="b">
        <v>0</v>
      </c>
      <c r="C294" s="126"/>
      <c r="D294" s="127"/>
      <c r="E294" s="124"/>
      <c r="F294" s="124"/>
      <c r="G294" s="124"/>
      <c r="H294" s="124"/>
      <c r="I294" s="124"/>
    </row>
    <row r="295" ht="22.5" customHeight="1">
      <c r="A295" s="7">
        <v>293.0</v>
      </c>
      <c r="B295" s="125" t="b">
        <v>0</v>
      </c>
      <c r="C295" s="126"/>
      <c r="D295" s="127"/>
      <c r="E295" s="124"/>
      <c r="F295" s="124"/>
      <c r="G295" s="124"/>
      <c r="H295" s="124"/>
      <c r="I295" s="124"/>
    </row>
    <row r="296" ht="22.5" customHeight="1">
      <c r="A296" s="7">
        <v>294.0</v>
      </c>
      <c r="B296" s="125" t="b">
        <v>0</v>
      </c>
      <c r="C296" s="126"/>
      <c r="D296" s="127"/>
      <c r="E296" s="124"/>
      <c r="F296" s="124"/>
      <c r="G296" s="124"/>
      <c r="H296" s="124"/>
      <c r="I296" s="124"/>
    </row>
    <row r="297" ht="22.5" customHeight="1">
      <c r="A297" s="7">
        <v>295.0</v>
      </c>
      <c r="B297" s="125" t="b">
        <v>0</v>
      </c>
      <c r="C297" s="126"/>
      <c r="D297" s="127"/>
      <c r="E297" s="124"/>
      <c r="F297" s="124"/>
      <c r="G297" s="124"/>
      <c r="H297" s="124"/>
      <c r="I297" s="124"/>
    </row>
    <row r="298" ht="22.5" customHeight="1">
      <c r="A298" s="7">
        <v>296.0</v>
      </c>
      <c r="B298" s="125" t="b">
        <v>0</v>
      </c>
      <c r="C298" s="126"/>
      <c r="D298" s="127"/>
      <c r="E298" s="124"/>
      <c r="F298" s="124"/>
      <c r="G298" s="124"/>
      <c r="H298" s="124"/>
      <c r="I298" s="124"/>
    </row>
    <row r="299" ht="22.5" customHeight="1">
      <c r="A299" s="7">
        <v>297.0</v>
      </c>
      <c r="B299" s="125" t="b">
        <v>0</v>
      </c>
      <c r="C299" s="126"/>
      <c r="D299" s="127"/>
      <c r="E299" s="124"/>
      <c r="F299" s="124"/>
      <c r="G299" s="124"/>
      <c r="H299" s="124"/>
      <c r="I299" s="124"/>
    </row>
    <row r="300" ht="22.5" customHeight="1">
      <c r="A300" s="7">
        <v>298.0</v>
      </c>
      <c r="B300" s="125" t="b">
        <v>0</v>
      </c>
      <c r="C300" s="126"/>
      <c r="D300" s="127"/>
      <c r="E300" s="124"/>
      <c r="F300" s="124"/>
      <c r="G300" s="124"/>
      <c r="H300" s="124"/>
      <c r="I300" s="124"/>
    </row>
    <row r="301" ht="22.5" customHeight="1">
      <c r="A301" s="7">
        <v>299.0</v>
      </c>
      <c r="B301" s="125" t="b">
        <v>0</v>
      </c>
      <c r="C301" s="126"/>
      <c r="D301" s="127"/>
      <c r="E301" s="124"/>
      <c r="F301" s="124"/>
      <c r="G301" s="124"/>
      <c r="H301" s="124"/>
      <c r="I301" s="124"/>
    </row>
    <row r="302" ht="22.5" customHeight="1">
      <c r="A302" s="7">
        <v>300.0</v>
      </c>
      <c r="B302" s="125" t="b">
        <v>0</v>
      </c>
      <c r="C302" s="126"/>
      <c r="D302" s="127"/>
      <c r="E302" s="124"/>
      <c r="F302" s="124"/>
      <c r="G302" s="124"/>
      <c r="H302" s="124"/>
      <c r="I302" s="124"/>
    </row>
    <row r="303" ht="22.5" customHeight="1">
      <c r="A303" s="7">
        <v>301.0</v>
      </c>
      <c r="B303" s="125" t="b">
        <v>0</v>
      </c>
      <c r="C303" s="126"/>
      <c r="D303" s="127"/>
      <c r="E303" s="124"/>
      <c r="F303" s="124"/>
      <c r="G303" s="124"/>
      <c r="H303" s="124"/>
      <c r="I303" s="124"/>
    </row>
    <row r="304" ht="22.5" customHeight="1">
      <c r="A304" s="7">
        <v>302.0</v>
      </c>
      <c r="B304" s="125" t="b">
        <v>0</v>
      </c>
      <c r="C304" s="126"/>
      <c r="D304" s="127"/>
      <c r="E304" s="124"/>
      <c r="F304" s="124"/>
      <c r="G304" s="124"/>
      <c r="H304" s="124"/>
      <c r="I304" s="124"/>
    </row>
    <row r="305" ht="22.5" customHeight="1">
      <c r="A305" s="7">
        <v>303.0</v>
      </c>
      <c r="B305" s="125" t="b">
        <v>0</v>
      </c>
      <c r="C305" s="126"/>
      <c r="D305" s="127"/>
      <c r="E305" s="124"/>
      <c r="F305" s="124"/>
      <c r="G305" s="124"/>
      <c r="H305" s="124"/>
      <c r="I305" s="124"/>
    </row>
    <row r="306" ht="22.5" customHeight="1">
      <c r="A306" s="7">
        <v>304.0</v>
      </c>
      <c r="B306" s="125" t="b">
        <v>0</v>
      </c>
      <c r="C306" s="126"/>
      <c r="D306" s="127"/>
      <c r="E306" s="124"/>
      <c r="F306" s="124"/>
      <c r="G306" s="124"/>
      <c r="H306" s="124"/>
      <c r="I306" s="124"/>
    </row>
    <row r="307" ht="22.5" customHeight="1">
      <c r="A307" s="7">
        <v>305.0</v>
      </c>
      <c r="B307" s="125" t="b">
        <v>0</v>
      </c>
      <c r="C307" s="126"/>
      <c r="D307" s="127"/>
      <c r="E307" s="124"/>
      <c r="F307" s="124"/>
      <c r="G307" s="124"/>
      <c r="H307" s="124"/>
      <c r="I307" s="124"/>
    </row>
    <row r="308" ht="22.5" customHeight="1">
      <c r="A308" s="7">
        <v>306.0</v>
      </c>
      <c r="B308" s="125" t="b">
        <v>0</v>
      </c>
      <c r="C308" s="126"/>
      <c r="D308" s="127"/>
      <c r="E308" s="124"/>
      <c r="F308" s="124"/>
      <c r="G308" s="124"/>
      <c r="H308" s="124"/>
      <c r="I308" s="124"/>
    </row>
    <row r="309" ht="22.5" customHeight="1">
      <c r="A309" s="7">
        <v>307.0</v>
      </c>
      <c r="B309" s="125" t="b">
        <v>0</v>
      </c>
      <c r="C309" s="126"/>
      <c r="D309" s="127"/>
      <c r="E309" s="124"/>
      <c r="F309" s="124"/>
      <c r="G309" s="124"/>
      <c r="H309" s="124"/>
      <c r="I309" s="124"/>
    </row>
    <row r="310" ht="22.5" customHeight="1">
      <c r="A310" s="7">
        <v>308.0</v>
      </c>
      <c r="B310" s="128"/>
      <c r="C310" s="129"/>
      <c r="D310" s="124"/>
      <c r="E310" s="124"/>
      <c r="F310" s="124"/>
      <c r="G310" s="124"/>
      <c r="H310" s="124"/>
      <c r="I310" s="124"/>
    </row>
    <row r="311" ht="22.5" customHeight="1">
      <c r="A311" s="7">
        <v>309.0</v>
      </c>
      <c r="B311" s="128"/>
      <c r="C311" s="129"/>
      <c r="D311" s="124"/>
      <c r="E311" s="124"/>
      <c r="F311" s="124"/>
      <c r="G311" s="124"/>
      <c r="H311" s="124"/>
      <c r="I311" s="124"/>
    </row>
    <row r="312" ht="22.5" customHeight="1">
      <c r="A312" s="7">
        <v>310.0</v>
      </c>
      <c r="B312" s="128"/>
      <c r="C312" s="129"/>
      <c r="D312" s="124"/>
      <c r="E312" s="124"/>
      <c r="F312" s="124"/>
      <c r="G312" s="124"/>
      <c r="H312" s="124"/>
      <c r="I312" s="124"/>
    </row>
    <row r="313" ht="22.5" customHeight="1">
      <c r="A313" s="7">
        <v>311.0</v>
      </c>
      <c r="B313" s="128"/>
      <c r="C313" s="129"/>
      <c r="D313" s="124"/>
      <c r="E313" s="124"/>
      <c r="F313" s="124"/>
      <c r="G313" s="124"/>
      <c r="H313" s="124"/>
      <c r="I313" s="124"/>
    </row>
    <row r="314" ht="22.5" customHeight="1">
      <c r="A314" s="7">
        <v>312.0</v>
      </c>
      <c r="B314" s="128"/>
      <c r="C314" s="129"/>
      <c r="D314" s="124"/>
      <c r="E314" s="124"/>
      <c r="F314" s="124"/>
      <c r="G314" s="124"/>
      <c r="H314" s="124"/>
      <c r="I314" s="124"/>
    </row>
    <row r="315" ht="22.5" customHeight="1">
      <c r="A315" s="7">
        <v>313.0</v>
      </c>
      <c r="B315" s="128"/>
      <c r="C315" s="129"/>
      <c r="D315" s="124"/>
      <c r="E315" s="124"/>
      <c r="F315" s="124"/>
      <c r="G315" s="124"/>
      <c r="H315" s="124"/>
      <c r="I315" s="124"/>
    </row>
    <row r="316" ht="22.5" customHeight="1">
      <c r="A316" s="7">
        <v>314.0</v>
      </c>
      <c r="B316" s="128"/>
      <c r="C316" s="129"/>
      <c r="D316" s="124"/>
      <c r="E316" s="124"/>
      <c r="F316" s="124"/>
      <c r="G316" s="124"/>
      <c r="H316" s="124"/>
      <c r="I316" s="124"/>
    </row>
    <row r="317" ht="22.5" customHeight="1">
      <c r="A317" s="7">
        <v>315.0</v>
      </c>
      <c r="B317" s="128"/>
      <c r="C317" s="129"/>
      <c r="D317" s="124"/>
      <c r="E317" s="124"/>
      <c r="F317" s="124"/>
      <c r="G317" s="124"/>
      <c r="H317" s="124"/>
      <c r="I317" s="124"/>
    </row>
    <row r="318" ht="22.5" customHeight="1">
      <c r="A318" s="7">
        <v>316.0</v>
      </c>
      <c r="B318" s="128"/>
      <c r="C318" s="129"/>
      <c r="D318" s="124"/>
      <c r="E318" s="124"/>
      <c r="F318" s="124"/>
      <c r="G318" s="124"/>
      <c r="H318" s="124"/>
      <c r="I318" s="124"/>
    </row>
    <row r="319" ht="22.5" customHeight="1">
      <c r="A319" s="7">
        <v>317.0</v>
      </c>
      <c r="B319" s="128"/>
      <c r="C319" s="129"/>
      <c r="D319" s="124"/>
      <c r="E319" s="124"/>
      <c r="F319" s="124"/>
      <c r="G319" s="124"/>
      <c r="H319" s="124"/>
      <c r="I319" s="124"/>
    </row>
    <row r="320" ht="22.5" customHeight="1">
      <c r="A320" s="7">
        <v>318.0</v>
      </c>
      <c r="B320" s="128"/>
      <c r="C320" s="129"/>
      <c r="D320" s="124"/>
      <c r="E320" s="124"/>
      <c r="F320" s="124"/>
      <c r="G320" s="124"/>
      <c r="H320" s="124"/>
      <c r="I320" s="124"/>
    </row>
    <row r="321" ht="22.5" customHeight="1">
      <c r="A321" s="7">
        <v>319.0</v>
      </c>
      <c r="B321" s="128"/>
      <c r="C321" s="129"/>
      <c r="D321" s="124"/>
      <c r="E321" s="124"/>
      <c r="F321" s="124"/>
      <c r="G321" s="124"/>
      <c r="H321" s="124"/>
      <c r="I321" s="124"/>
    </row>
    <row r="322" ht="22.5" customHeight="1">
      <c r="A322" s="7">
        <v>320.0</v>
      </c>
      <c r="B322" s="128"/>
      <c r="C322" s="129"/>
      <c r="D322" s="124"/>
      <c r="E322" s="124"/>
      <c r="F322" s="124"/>
      <c r="G322" s="124"/>
      <c r="H322" s="124"/>
      <c r="I322" s="124"/>
    </row>
    <row r="323" ht="22.5" customHeight="1">
      <c r="A323" s="7">
        <v>321.0</v>
      </c>
      <c r="B323" s="128"/>
      <c r="C323" s="129"/>
      <c r="D323" s="124"/>
      <c r="E323" s="124"/>
      <c r="F323" s="124"/>
      <c r="G323" s="124"/>
      <c r="H323" s="124"/>
      <c r="I323" s="124"/>
    </row>
    <row r="324" ht="22.5" customHeight="1">
      <c r="A324" s="7">
        <v>322.0</v>
      </c>
      <c r="B324" s="128"/>
      <c r="C324" s="129"/>
      <c r="D324" s="124"/>
      <c r="E324" s="124"/>
      <c r="F324" s="124"/>
      <c r="G324" s="124"/>
      <c r="H324" s="124"/>
      <c r="I324" s="124"/>
    </row>
    <row r="325" ht="22.5" customHeight="1">
      <c r="A325" s="7">
        <v>323.0</v>
      </c>
      <c r="B325" s="128"/>
      <c r="C325" s="129"/>
      <c r="D325" s="124"/>
      <c r="E325" s="124"/>
      <c r="F325" s="124"/>
      <c r="G325" s="124"/>
      <c r="H325" s="124"/>
      <c r="I325" s="124"/>
    </row>
    <row r="326" ht="22.5" customHeight="1">
      <c r="A326" s="7">
        <v>324.0</v>
      </c>
      <c r="B326" s="128"/>
      <c r="C326" s="129"/>
      <c r="D326" s="124"/>
      <c r="E326" s="124"/>
      <c r="F326" s="124"/>
      <c r="G326" s="124"/>
      <c r="H326" s="124"/>
      <c r="I326" s="124"/>
    </row>
    <row r="327" ht="22.5" customHeight="1">
      <c r="A327" s="7">
        <v>325.0</v>
      </c>
      <c r="B327" s="128"/>
      <c r="C327" s="129"/>
      <c r="D327" s="124"/>
      <c r="E327" s="124"/>
      <c r="F327" s="124"/>
      <c r="G327" s="124"/>
      <c r="H327" s="124"/>
      <c r="I327" s="124"/>
    </row>
    <row r="328" ht="22.5" customHeight="1">
      <c r="A328" s="7">
        <v>326.0</v>
      </c>
      <c r="B328" s="128"/>
      <c r="C328" s="129"/>
      <c r="D328" s="124"/>
      <c r="E328" s="124"/>
      <c r="F328" s="124"/>
      <c r="G328" s="124"/>
      <c r="H328" s="124"/>
      <c r="I328" s="124"/>
    </row>
    <row r="329" ht="22.5" customHeight="1">
      <c r="A329" s="7">
        <v>327.0</v>
      </c>
      <c r="B329" s="128"/>
      <c r="C329" s="129"/>
      <c r="D329" s="124"/>
      <c r="E329" s="124"/>
      <c r="F329" s="124"/>
      <c r="G329" s="124"/>
      <c r="H329" s="124"/>
      <c r="I329" s="124"/>
    </row>
    <row r="330" ht="22.5" customHeight="1">
      <c r="A330" s="7">
        <v>328.0</v>
      </c>
      <c r="B330" s="128"/>
      <c r="C330" s="129"/>
      <c r="D330" s="124"/>
      <c r="E330" s="124"/>
      <c r="F330" s="124"/>
      <c r="G330" s="124"/>
      <c r="H330" s="124"/>
      <c r="I330" s="124"/>
    </row>
    <row r="331" ht="22.5" customHeight="1">
      <c r="A331" s="7">
        <v>329.0</v>
      </c>
      <c r="B331" s="128"/>
      <c r="C331" s="129"/>
      <c r="D331" s="124"/>
      <c r="E331" s="124"/>
      <c r="F331" s="124"/>
      <c r="G331" s="124"/>
      <c r="H331" s="124"/>
      <c r="I331" s="124"/>
    </row>
    <row r="332" ht="22.5" customHeight="1">
      <c r="A332" s="7">
        <v>330.0</v>
      </c>
      <c r="B332" s="128"/>
      <c r="C332" s="129"/>
      <c r="D332" s="124"/>
      <c r="E332" s="124"/>
      <c r="F332" s="124"/>
      <c r="G332" s="124"/>
      <c r="H332" s="124"/>
      <c r="I332" s="124"/>
    </row>
    <row r="333" ht="22.5" customHeight="1">
      <c r="A333" s="7">
        <v>331.0</v>
      </c>
      <c r="B333" s="128"/>
      <c r="C333" s="129"/>
      <c r="D333" s="124"/>
      <c r="E333" s="124"/>
      <c r="F333" s="124"/>
      <c r="G333" s="124"/>
      <c r="H333" s="124"/>
      <c r="I333" s="124"/>
    </row>
    <row r="334" ht="22.5" customHeight="1">
      <c r="A334" s="7">
        <v>332.0</v>
      </c>
      <c r="B334" s="128"/>
      <c r="C334" s="129"/>
      <c r="D334" s="124"/>
      <c r="E334" s="124"/>
      <c r="F334" s="124"/>
      <c r="G334" s="124"/>
      <c r="H334" s="124"/>
      <c r="I334" s="124"/>
    </row>
    <row r="335" ht="22.5" customHeight="1">
      <c r="A335" s="7">
        <v>333.0</v>
      </c>
      <c r="B335" s="128"/>
      <c r="C335" s="129"/>
      <c r="D335" s="124"/>
      <c r="E335" s="124"/>
      <c r="F335" s="124"/>
      <c r="G335" s="124"/>
      <c r="H335" s="124"/>
      <c r="I335" s="124"/>
    </row>
    <row r="336" ht="22.5" customHeight="1">
      <c r="A336" s="7">
        <v>334.0</v>
      </c>
      <c r="B336" s="128"/>
      <c r="C336" s="129"/>
      <c r="D336" s="124"/>
      <c r="E336" s="124"/>
      <c r="F336" s="124"/>
      <c r="G336" s="124"/>
      <c r="H336" s="124"/>
      <c r="I336" s="124"/>
    </row>
    <row r="337" ht="22.5" customHeight="1">
      <c r="A337" s="7">
        <v>335.0</v>
      </c>
      <c r="B337" s="128"/>
      <c r="C337" s="129"/>
      <c r="D337" s="124"/>
      <c r="E337" s="124"/>
      <c r="F337" s="124"/>
      <c r="G337" s="124"/>
      <c r="H337" s="124"/>
      <c r="I337" s="124"/>
    </row>
    <row r="338" ht="22.5" customHeight="1">
      <c r="A338" s="7">
        <v>336.0</v>
      </c>
      <c r="B338" s="128"/>
      <c r="C338" s="129"/>
      <c r="D338" s="124"/>
      <c r="E338" s="124"/>
      <c r="F338" s="124"/>
      <c r="G338" s="124"/>
      <c r="H338" s="124"/>
      <c r="I338" s="124"/>
    </row>
    <row r="339" ht="22.5" customHeight="1">
      <c r="A339" s="7">
        <v>337.0</v>
      </c>
      <c r="B339" s="128"/>
      <c r="C339" s="129"/>
      <c r="D339" s="124"/>
      <c r="E339" s="124"/>
      <c r="F339" s="124"/>
      <c r="G339" s="124"/>
      <c r="H339" s="124"/>
      <c r="I339" s="124"/>
    </row>
    <row r="340" ht="22.5" customHeight="1">
      <c r="A340" s="7">
        <v>338.0</v>
      </c>
      <c r="B340" s="128"/>
      <c r="C340" s="129"/>
      <c r="D340" s="124"/>
      <c r="E340" s="124"/>
      <c r="F340" s="124"/>
      <c r="G340" s="124"/>
      <c r="H340" s="124"/>
      <c r="I340" s="124"/>
    </row>
    <row r="341" ht="22.5" customHeight="1">
      <c r="A341" s="7">
        <v>339.0</v>
      </c>
      <c r="B341" s="128"/>
      <c r="C341" s="129"/>
      <c r="D341" s="124"/>
      <c r="E341" s="124"/>
      <c r="F341" s="124"/>
      <c r="G341" s="124"/>
      <c r="H341" s="124"/>
      <c r="I341" s="124"/>
    </row>
    <row r="342" ht="22.5" customHeight="1">
      <c r="A342" s="7">
        <v>340.0</v>
      </c>
      <c r="B342" s="128"/>
      <c r="C342" s="129"/>
      <c r="D342" s="124"/>
      <c r="E342" s="124"/>
      <c r="F342" s="124"/>
      <c r="G342" s="124"/>
      <c r="H342" s="124"/>
      <c r="I342" s="124"/>
    </row>
    <row r="343" ht="22.5" customHeight="1">
      <c r="A343" s="7">
        <v>341.0</v>
      </c>
      <c r="B343" s="128"/>
      <c r="C343" s="129"/>
      <c r="D343" s="124"/>
      <c r="E343" s="124"/>
      <c r="F343" s="124"/>
      <c r="G343" s="124"/>
      <c r="H343" s="124"/>
      <c r="I343" s="124"/>
    </row>
    <row r="344" ht="22.5" customHeight="1">
      <c r="A344" s="7">
        <v>342.0</v>
      </c>
      <c r="B344" s="128"/>
      <c r="C344" s="129"/>
      <c r="D344" s="124"/>
      <c r="E344" s="124"/>
      <c r="F344" s="124"/>
      <c r="G344" s="124"/>
      <c r="H344" s="124"/>
      <c r="I344" s="124"/>
    </row>
    <row r="345" ht="22.5" customHeight="1">
      <c r="A345" s="7">
        <v>343.0</v>
      </c>
      <c r="B345" s="128"/>
      <c r="C345" s="129"/>
      <c r="D345" s="124"/>
      <c r="E345" s="124"/>
      <c r="F345" s="124"/>
      <c r="G345" s="124"/>
      <c r="H345" s="124"/>
      <c r="I345" s="124"/>
    </row>
    <row r="346" ht="22.5" customHeight="1">
      <c r="A346" s="7">
        <v>344.0</v>
      </c>
      <c r="B346" s="128"/>
      <c r="C346" s="129"/>
      <c r="D346" s="124"/>
      <c r="E346" s="124"/>
      <c r="F346" s="124"/>
      <c r="G346" s="124"/>
      <c r="H346" s="124"/>
      <c r="I346" s="124"/>
    </row>
    <row r="347" ht="22.5" customHeight="1">
      <c r="A347" s="7">
        <v>345.0</v>
      </c>
      <c r="B347" s="128"/>
      <c r="C347" s="129"/>
      <c r="D347" s="124"/>
      <c r="E347" s="124"/>
      <c r="F347" s="124"/>
      <c r="G347" s="124"/>
      <c r="H347" s="124"/>
      <c r="I347" s="124"/>
    </row>
    <row r="348" ht="22.5" customHeight="1">
      <c r="A348" s="7">
        <v>346.0</v>
      </c>
      <c r="B348" s="128"/>
      <c r="C348" s="129"/>
      <c r="D348" s="124"/>
      <c r="E348" s="124"/>
      <c r="F348" s="124"/>
      <c r="G348" s="124"/>
      <c r="H348" s="124"/>
      <c r="I348" s="124"/>
    </row>
    <row r="349" ht="22.5" customHeight="1">
      <c r="A349" s="7">
        <v>347.0</v>
      </c>
      <c r="B349" s="128"/>
      <c r="C349" s="129"/>
      <c r="D349" s="124"/>
      <c r="E349" s="124"/>
      <c r="F349" s="124"/>
      <c r="G349" s="124"/>
      <c r="H349" s="124"/>
      <c r="I349" s="124"/>
    </row>
    <row r="350" ht="22.5" customHeight="1">
      <c r="A350" s="7">
        <v>348.0</v>
      </c>
      <c r="B350" s="128"/>
      <c r="C350" s="129"/>
      <c r="D350" s="124"/>
      <c r="E350" s="124"/>
      <c r="F350" s="124"/>
      <c r="G350" s="124"/>
      <c r="H350" s="124"/>
      <c r="I350" s="124"/>
    </row>
    <row r="351" ht="22.5" customHeight="1">
      <c r="A351" s="7">
        <v>349.0</v>
      </c>
      <c r="B351" s="128"/>
      <c r="C351" s="129"/>
      <c r="D351" s="124"/>
      <c r="E351" s="124"/>
      <c r="F351" s="124"/>
      <c r="G351" s="124"/>
      <c r="H351" s="124"/>
      <c r="I351" s="124"/>
    </row>
    <row r="352" ht="22.5" customHeight="1">
      <c r="A352" s="7">
        <v>350.0</v>
      </c>
      <c r="B352" s="128"/>
      <c r="C352" s="129"/>
      <c r="D352" s="124"/>
      <c r="E352" s="124"/>
      <c r="F352" s="124"/>
      <c r="G352" s="124"/>
      <c r="H352" s="124"/>
      <c r="I352" s="124"/>
    </row>
    <row r="353" ht="22.5" customHeight="1">
      <c r="A353" s="7">
        <v>351.0</v>
      </c>
      <c r="B353" s="128"/>
      <c r="C353" s="129"/>
      <c r="D353" s="124"/>
      <c r="E353" s="124"/>
      <c r="F353" s="124"/>
      <c r="G353" s="124"/>
      <c r="H353" s="124"/>
      <c r="I353" s="124"/>
    </row>
    <row r="354" ht="22.5" customHeight="1">
      <c r="A354" s="7">
        <v>352.0</v>
      </c>
      <c r="B354" s="128"/>
      <c r="C354" s="129"/>
      <c r="D354" s="124"/>
      <c r="E354" s="124"/>
      <c r="F354" s="124"/>
      <c r="G354" s="124"/>
      <c r="H354" s="124"/>
      <c r="I354" s="124"/>
    </row>
    <row r="355" ht="22.5" customHeight="1">
      <c r="A355" s="7">
        <v>353.0</v>
      </c>
      <c r="B355" s="128"/>
      <c r="C355" s="129"/>
      <c r="D355" s="124"/>
      <c r="E355" s="124"/>
      <c r="F355" s="124"/>
      <c r="G355" s="124"/>
      <c r="H355" s="124"/>
      <c r="I355" s="124"/>
    </row>
    <row r="356" ht="22.5" customHeight="1">
      <c r="A356" s="7">
        <v>354.0</v>
      </c>
      <c r="B356" s="128"/>
      <c r="C356" s="129"/>
      <c r="D356" s="124"/>
      <c r="E356" s="124"/>
      <c r="F356" s="124"/>
      <c r="G356" s="124"/>
      <c r="H356" s="124"/>
      <c r="I356" s="124"/>
    </row>
    <row r="357" ht="22.5" customHeight="1">
      <c r="A357" s="7">
        <v>355.0</v>
      </c>
      <c r="B357" s="128"/>
      <c r="C357" s="129"/>
      <c r="D357" s="124"/>
      <c r="E357" s="124"/>
      <c r="F357" s="124"/>
      <c r="G357" s="124"/>
      <c r="H357" s="124"/>
      <c r="I357" s="124"/>
    </row>
    <row r="358" ht="22.5" customHeight="1">
      <c r="A358" s="7">
        <v>356.0</v>
      </c>
      <c r="B358" s="128"/>
      <c r="C358" s="129"/>
      <c r="D358" s="124"/>
      <c r="E358" s="124"/>
      <c r="F358" s="124"/>
      <c r="G358" s="124"/>
      <c r="H358" s="124"/>
      <c r="I358" s="124"/>
    </row>
    <row r="359" ht="22.5" customHeight="1">
      <c r="A359" s="7">
        <v>357.0</v>
      </c>
      <c r="B359" s="128"/>
      <c r="C359" s="129"/>
      <c r="D359" s="124"/>
      <c r="E359" s="124"/>
      <c r="F359" s="124"/>
      <c r="G359" s="124"/>
      <c r="H359" s="124"/>
      <c r="I359" s="124"/>
    </row>
    <row r="360" ht="22.5" customHeight="1">
      <c r="A360" s="7">
        <v>358.0</v>
      </c>
      <c r="B360" s="128"/>
      <c r="C360" s="129"/>
      <c r="D360" s="124"/>
      <c r="E360" s="124"/>
      <c r="F360" s="124"/>
      <c r="G360" s="124"/>
      <c r="H360" s="124"/>
      <c r="I360" s="124"/>
    </row>
    <row r="361" ht="22.5" customHeight="1">
      <c r="A361" s="7">
        <v>359.0</v>
      </c>
      <c r="B361" s="128"/>
      <c r="C361" s="129"/>
      <c r="D361" s="124"/>
      <c r="E361" s="124"/>
      <c r="F361" s="124"/>
      <c r="G361" s="124"/>
      <c r="H361" s="124"/>
      <c r="I361" s="124"/>
    </row>
    <row r="362" ht="22.5" customHeight="1">
      <c r="A362" s="7">
        <v>360.0</v>
      </c>
      <c r="B362" s="128"/>
      <c r="C362" s="129"/>
      <c r="D362" s="124"/>
      <c r="E362" s="124"/>
      <c r="F362" s="124"/>
      <c r="G362" s="124"/>
      <c r="H362" s="124"/>
      <c r="I362" s="124"/>
    </row>
    <row r="363" ht="22.5" customHeight="1">
      <c r="A363" s="7">
        <v>361.0</v>
      </c>
      <c r="B363" s="128"/>
      <c r="C363" s="129"/>
      <c r="D363" s="124"/>
      <c r="E363" s="124"/>
      <c r="F363" s="124"/>
      <c r="G363" s="124"/>
      <c r="H363" s="124"/>
      <c r="I363" s="124"/>
    </row>
    <row r="364" ht="22.5" customHeight="1">
      <c r="A364" s="7">
        <v>362.0</v>
      </c>
      <c r="B364" s="128"/>
      <c r="C364" s="129"/>
      <c r="D364" s="124"/>
      <c r="E364" s="124"/>
      <c r="F364" s="124"/>
      <c r="G364" s="124"/>
      <c r="H364" s="124"/>
      <c r="I364" s="124"/>
    </row>
    <row r="365" ht="22.5" customHeight="1">
      <c r="A365" s="7">
        <v>363.0</v>
      </c>
      <c r="B365" s="128"/>
      <c r="C365" s="129"/>
      <c r="D365" s="124"/>
      <c r="E365" s="124"/>
      <c r="F365" s="124"/>
      <c r="G365" s="124"/>
      <c r="H365" s="124"/>
      <c r="I365" s="124"/>
    </row>
    <row r="366" ht="22.5" customHeight="1">
      <c r="A366" s="7">
        <v>364.0</v>
      </c>
      <c r="B366" s="128"/>
      <c r="C366" s="129"/>
      <c r="D366" s="124"/>
      <c r="E366" s="124"/>
      <c r="F366" s="124"/>
      <c r="G366" s="124"/>
      <c r="H366" s="124"/>
      <c r="I366" s="124"/>
    </row>
    <row r="367" ht="22.5" customHeight="1">
      <c r="A367" s="7">
        <v>365.0</v>
      </c>
      <c r="B367" s="128"/>
      <c r="C367" s="129"/>
      <c r="D367" s="124"/>
      <c r="E367" s="124"/>
      <c r="F367" s="124"/>
      <c r="G367" s="124"/>
      <c r="H367" s="124"/>
      <c r="I367" s="124"/>
    </row>
    <row r="368" ht="22.5" customHeight="1">
      <c r="A368" s="7">
        <v>366.0</v>
      </c>
      <c r="B368" s="128"/>
      <c r="C368" s="129"/>
      <c r="D368" s="124"/>
      <c r="E368" s="124"/>
      <c r="F368" s="124"/>
      <c r="G368" s="124"/>
      <c r="H368" s="124"/>
      <c r="I368" s="124"/>
    </row>
    <row r="369" ht="22.5" customHeight="1">
      <c r="A369" s="7">
        <v>367.0</v>
      </c>
      <c r="B369" s="128"/>
      <c r="C369" s="129"/>
      <c r="D369" s="124"/>
      <c r="E369" s="124"/>
      <c r="F369" s="124"/>
      <c r="G369" s="124"/>
      <c r="H369" s="124"/>
      <c r="I369" s="124"/>
    </row>
    <row r="370" ht="22.5" customHeight="1">
      <c r="A370" s="7">
        <v>368.0</v>
      </c>
      <c r="B370" s="128"/>
      <c r="C370" s="129"/>
      <c r="D370" s="124"/>
      <c r="E370" s="124"/>
      <c r="F370" s="124"/>
      <c r="G370" s="124"/>
      <c r="H370" s="124"/>
      <c r="I370" s="124"/>
    </row>
    <row r="371" ht="22.5" customHeight="1">
      <c r="A371" s="7">
        <v>369.0</v>
      </c>
      <c r="B371" s="128"/>
      <c r="C371" s="129"/>
      <c r="D371" s="124"/>
      <c r="E371" s="124"/>
      <c r="F371" s="124"/>
      <c r="G371" s="124"/>
      <c r="H371" s="124"/>
      <c r="I371" s="124"/>
    </row>
    <row r="372" ht="22.5" customHeight="1">
      <c r="A372" s="7">
        <v>370.0</v>
      </c>
      <c r="B372" s="128"/>
      <c r="C372" s="129"/>
      <c r="D372" s="124"/>
      <c r="E372" s="124"/>
      <c r="F372" s="124"/>
      <c r="G372" s="124"/>
      <c r="H372" s="124"/>
      <c r="I372" s="124"/>
    </row>
    <row r="373" ht="22.5" customHeight="1">
      <c r="A373" s="7">
        <v>371.0</v>
      </c>
      <c r="B373" s="128"/>
      <c r="C373" s="129"/>
      <c r="D373" s="124"/>
      <c r="E373" s="124"/>
      <c r="F373" s="124"/>
      <c r="G373" s="124"/>
      <c r="H373" s="124"/>
      <c r="I373" s="124"/>
    </row>
    <row r="374" ht="22.5" customHeight="1">
      <c r="A374" s="7">
        <v>372.0</v>
      </c>
      <c r="B374" s="128"/>
      <c r="C374" s="129"/>
      <c r="D374" s="124"/>
      <c r="E374" s="124"/>
      <c r="F374" s="124"/>
      <c r="G374" s="124"/>
      <c r="H374" s="124"/>
      <c r="I374" s="124"/>
    </row>
    <row r="375" ht="22.5" customHeight="1">
      <c r="A375" s="7">
        <v>373.0</v>
      </c>
      <c r="B375" s="128"/>
      <c r="C375" s="129"/>
      <c r="D375" s="124"/>
      <c r="E375" s="124"/>
      <c r="F375" s="124"/>
      <c r="G375" s="124"/>
      <c r="H375" s="124"/>
      <c r="I375" s="124"/>
    </row>
    <row r="376" ht="22.5" customHeight="1">
      <c r="A376" s="7">
        <v>374.0</v>
      </c>
      <c r="B376" s="128"/>
      <c r="C376" s="129"/>
      <c r="D376" s="124"/>
      <c r="E376" s="124"/>
      <c r="F376" s="124"/>
      <c r="G376" s="124"/>
      <c r="H376" s="124"/>
      <c r="I376" s="124"/>
    </row>
    <row r="377" ht="22.5" customHeight="1">
      <c r="A377" s="7">
        <v>375.0</v>
      </c>
      <c r="B377" s="128"/>
      <c r="C377" s="129"/>
      <c r="D377" s="124"/>
      <c r="E377" s="124"/>
      <c r="F377" s="124"/>
      <c r="G377" s="124"/>
      <c r="H377" s="124"/>
      <c r="I377" s="124"/>
    </row>
    <row r="378" ht="22.5" customHeight="1">
      <c r="A378" s="7">
        <v>376.0</v>
      </c>
      <c r="B378" s="128"/>
      <c r="C378" s="129"/>
      <c r="D378" s="124"/>
      <c r="E378" s="124"/>
      <c r="F378" s="124"/>
      <c r="G378" s="124"/>
      <c r="H378" s="124"/>
      <c r="I378" s="124"/>
    </row>
    <row r="379" ht="22.5" customHeight="1">
      <c r="A379" s="7">
        <v>377.0</v>
      </c>
      <c r="B379" s="128"/>
      <c r="C379" s="129"/>
      <c r="D379" s="124"/>
      <c r="E379" s="124"/>
      <c r="F379" s="124"/>
      <c r="G379" s="124"/>
      <c r="H379" s="124"/>
      <c r="I379" s="124"/>
    </row>
    <row r="380" ht="22.5" customHeight="1">
      <c r="A380" s="7">
        <v>378.0</v>
      </c>
      <c r="B380" s="128"/>
      <c r="C380" s="129"/>
      <c r="D380" s="124"/>
      <c r="E380" s="124"/>
      <c r="F380" s="124"/>
      <c r="G380" s="124"/>
      <c r="H380" s="124"/>
      <c r="I380" s="124"/>
    </row>
    <row r="381" ht="22.5" customHeight="1">
      <c r="A381" s="7">
        <v>379.0</v>
      </c>
      <c r="B381" s="128"/>
      <c r="C381" s="129"/>
      <c r="D381" s="124"/>
      <c r="E381" s="124"/>
      <c r="F381" s="124"/>
      <c r="G381" s="124"/>
      <c r="H381" s="124"/>
      <c r="I381" s="124"/>
    </row>
    <row r="382" ht="22.5" customHeight="1">
      <c r="A382" s="7">
        <v>380.0</v>
      </c>
      <c r="B382" s="128"/>
      <c r="C382" s="129"/>
      <c r="D382" s="124"/>
      <c r="E382" s="124"/>
      <c r="F382" s="124"/>
      <c r="G382" s="124"/>
      <c r="H382" s="124"/>
      <c r="I382" s="124"/>
    </row>
    <row r="383" ht="22.5" customHeight="1">
      <c r="A383" s="7">
        <v>381.0</v>
      </c>
      <c r="B383" s="128"/>
      <c r="C383" s="129"/>
      <c r="D383" s="124"/>
      <c r="E383" s="124"/>
      <c r="F383" s="124"/>
      <c r="G383" s="124"/>
      <c r="H383" s="124"/>
      <c r="I383" s="124"/>
    </row>
    <row r="384" ht="22.5" customHeight="1">
      <c r="A384" s="7">
        <v>382.0</v>
      </c>
      <c r="B384" s="128"/>
      <c r="C384" s="129"/>
      <c r="D384" s="124"/>
      <c r="E384" s="124"/>
      <c r="F384" s="124"/>
      <c r="G384" s="124"/>
      <c r="H384" s="124"/>
      <c r="I384" s="124"/>
    </row>
    <row r="385" ht="22.5" customHeight="1">
      <c r="A385" s="7">
        <v>383.0</v>
      </c>
      <c r="B385" s="128"/>
      <c r="C385" s="129"/>
      <c r="D385" s="124"/>
      <c r="E385" s="124"/>
      <c r="F385" s="124"/>
      <c r="G385" s="124"/>
      <c r="H385" s="124"/>
      <c r="I385" s="124"/>
    </row>
    <row r="386" ht="22.5" customHeight="1">
      <c r="A386" s="7">
        <v>384.0</v>
      </c>
      <c r="B386" s="128"/>
      <c r="C386" s="129"/>
      <c r="D386" s="124"/>
      <c r="E386" s="124"/>
      <c r="F386" s="124"/>
      <c r="G386" s="124"/>
      <c r="H386" s="124"/>
      <c r="I386" s="124"/>
    </row>
    <row r="387" ht="22.5" customHeight="1">
      <c r="A387" s="7">
        <v>385.0</v>
      </c>
      <c r="B387" s="128"/>
      <c r="C387" s="129"/>
      <c r="D387" s="124"/>
      <c r="E387" s="124"/>
      <c r="F387" s="124"/>
      <c r="G387" s="124"/>
      <c r="H387" s="124"/>
      <c r="I387" s="124"/>
    </row>
    <row r="388" ht="22.5" customHeight="1">
      <c r="A388" s="7">
        <v>386.0</v>
      </c>
      <c r="B388" s="128"/>
      <c r="C388" s="129"/>
      <c r="D388" s="124"/>
      <c r="E388" s="124"/>
      <c r="F388" s="124"/>
      <c r="G388" s="124"/>
      <c r="H388" s="124"/>
      <c r="I388" s="124"/>
    </row>
    <row r="389" ht="22.5" customHeight="1">
      <c r="A389" s="7">
        <v>387.0</v>
      </c>
      <c r="B389" s="128"/>
      <c r="C389" s="129"/>
      <c r="D389" s="124"/>
      <c r="E389" s="124"/>
      <c r="F389" s="124"/>
      <c r="G389" s="124"/>
      <c r="H389" s="124"/>
      <c r="I389" s="124"/>
    </row>
    <row r="390" ht="22.5" customHeight="1">
      <c r="A390" s="7">
        <v>388.0</v>
      </c>
      <c r="B390" s="128"/>
      <c r="C390" s="129"/>
      <c r="D390" s="124"/>
      <c r="E390" s="124"/>
      <c r="F390" s="124"/>
      <c r="G390" s="124"/>
      <c r="H390" s="124"/>
      <c r="I390" s="124"/>
    </row>
    <row r="391" ht="22.5" customHeight="1">
      <c r="A391" s="7">
        <v>389.0</v>
      </c>
      <c r="B391" s="128"/>
      <c r="C391" s="129"/>
      <c r="D391" s="124"/>
      <c r="E391" s="124"/>
      <c r="F391" s="124"/>
      <c r="G391" s="124"/>
      <c r="H391" s="124"/>
      <c r="I391" s="124"/>
    </row>
    <row r="392" ht="22.5" customHeight="1">
      <c r="A392" s="7">
        <v>390.0</v>
      </c>
      <c r="B392" s="128"/>
      <c r="C392" s="129"/>
      <c r="D392" s="124"/>
      <c r="E392" s="124"/>
      <c r="F392" s="124"/>
      <c r="G392" s="124"/>
      <c r="H392" s="124"/>
      <c r="I392" s="124"/>
    </row>
    <row r="393" ht="22.5" customHeight="1">
      <c r="A393" s="7">
        <v>391.0</v>
      </c>
      <c r="B393" s="128"/>
      <c r="C393" s="129"/>
      <c r="D393" s="124"/>
      <c r="E393" s="124"/>
      <c r="F393" s="124"/>
      <c r="G393" s="124"/>
      <c r="H393" s="124"/>
      <c r="I393" s="124"/>
    </row>
    <row r="394" ht="22.5" customHeight="1">
      <c r="A394" s="7">
        <v>392.0</v>
      </c>
      <c r="B394" s="128"/>
      <c r="C394" s="129"/>
      <c r="D394" s="124"/>
      <c r="E394" s="124"/>
      <c r="F394" s="124"/>
      <c r="G394" s="124"/>
      <c r="H394" s="124"/>
      <c r="I394" s="124"/>
    </row>
    <row r="395" ht="22.5" customHeight="1">
      <c r="A395" s="7">
        <v>393.0</v>
      </c>
      <c r="B395" s="128"/>
      <c r="C395" s="129"/>
      <c r="D395" s="124"/>
      <c r="E395" s="124"/>
      <c r="F395" s="124"/>
      <c r="G395" s="124"/>
      <c r="H395" s="124"/>
      <c r="I395" s="124"/>
    </row>
    <row r="396" ht="22.5" customHeight="1">
      <c r="A396" s="7">
        <v>394.0</v>
      </c>
      <c r="B396" s="128"/>
      <c r="C396" s="129"/>
      <c r="D396" s="124"/>
      <c r="E396" s="124"/>
      <c r="F396" s="124"/>
      <c r="G396" s="124"/>
      <c r="H396" s="124"/>
      <c r="I396" s="124"/>
    </row>
    <row r="397" ht="22.5" customHeight="1">
      <c r="A397" s="7">
        <v>395.0</v>
      </c>
      <c r="B397" s="128"/>
      <c r="C397" s="129"/>
      <c r="D397" s="124"/>
      <c r="E397" s="124"/>
      <c r="F397" s="124"/>
      <c r="G397" s="124"/>
      <c r="H397" s="124"/>
      <c r="I397" s="124"/>
    </row>
    <row r="398" ht="22.5" customHeight="1">
      <c r="A398" s="7">
        <v>396.0</v>
      </c>
      <c r="B398" s="128"/>
      <c r="C398" s="129"/>
      <c r="D398" s="124"/>
      <c r="E398" s="124"/>
      <c r="F398" s="124"/>
      <c r="G398" s="124"/>
      <c r="H398" s="124"/>
      <c r="I398" s="124"/>
    </row>
    <row r="399" ht="22.5" customHeight="1">
      <c r="A399" s="7">
        <v>397.0</v>
      </c>
      <c r="B399" s="128"/>
      <c r="C399" s="129"/>
      <c r="D399" s="124"/>
      <c r="E399" s="124"/>
      <c r="F399" s="124"/>
      <c r="G399" s="124"/>
      <c r="H399" s="124"/>
      <c r="I399" s="124"/>
    </row>
    <row r="400" ht="22.5" customHeight="1">
      <c r="A400" s="7">
        <v>398.0</v>
      </c>
      <c r="B400" s="128"/>
      <c r="C400" s="129"/>
      <c r="D400" s="124"/>
      <c r="E400" s="124"/>
      <c r="F400" s="124"/>
      <c r="G400" s="124"/>
      <c r="H400" s="124"/>
      <c r="I400" s="124"/>
    </row>
    <row r="401" ht="22.5" customHeight="1">
      <c r="A401" s="7">
        <v>399.0</v>
      </c>
      <c r="B401" s="128"/>
      <c r="C401" s="129"/>
      <c r="D401" s="124"/>
      <c r="E401" s="124"/>
      <c r="F401" s="124"/>
      <c r="G401" s="124"/>
      <c r="H401" s="124"/>
      <c r="I401" s="124"/>
    </row>
    <row r="402" ht="22.5" customHeight="1">
      <c r="A402" s="7">
        <v>400.0</v>
      </c>
      <c r="B402" s="128"/>
      <c r="C402" s="129"/>
      <c r="D402" s="124"/>
      <c r="E402" s="124"/>
      <c r="F402" s="124"/>
      <c r="G402" s="124"/>
      <c r="H402" s="124"/>
      <c r="I402" s="124"/>
    </row>
    <row r="403" ht="22.5" customHeight="1">
      <c r="A403" s="7">
        <v>401.0</v>
      </c>
      <c r="B403" s="128"/>
      <c r="C403" s="129"/>
      <c r="D403" s="124"/>
      <c r="E403" s="124"/>
      <c r="F403" s="124"/>
      <c r="G403" s="124"/>
      <c r="H403" s="124"/>
      <c r="I403" s="124"/>
    </row>
    <row r="404" ht="22.5" customHeight="1">
      <c r="A404" s="7">
        <v>402.0</v>
      </c>
      <c r="B404" s="128"/>
      <c r="C404" s="129"/>
      <c r="D404" s="124"/>
      <c r="E404" s="124"/>
      <c r="F404" s="124"/>
      <c r="G404" s="124"/>
      <c r="H404" s="124"/>
      <c r="I404" s="124"/>
    </row>
    <row r="405" ht="22.5" customHeight="1">
      <c r="A405" s="7">
        <v>403.0</v>
      </c>
      <c r="B405" s="128"/>
      <c r="C405" s="129"/>
      <c r="D405" s="124"/>
      <c r="E405" s="124"/>
      <c r="F405" s="124"/>
      <c r="G405" s="124"/>
      <c r="H405" s="124"/>
      <c r="I405" s="124"/>
    </row>
    <row r="406" ht="22.5" customHeight="1">
      <c r="A406" s="7">
        <v>404.0</v>
      </c>
      <c r="B406" s="128"/>
      <c r="C406" s="129"/>
      <c r="D406" s="124"/>
      <c r="E406" s="124"/>
      <c r="F406" s="124"/>
      <c r="G406" s="124"/>
      <c r="H406" s="124"/>
      <c r="I406" s="124"/>
    </row>
    <row r="407" ht="22.5" customHeight="1">
      <c r="A407" s="7">
        <v>405.0</v>
      </c>
      <c r="B407" s="128"/>
      <c r="C407" s="129"/>
      <c r="D407" s="124"/>
      <c r="E407" s="124"/>
      <c r="F407" s="124"/>
      <c r="G407" s="124"/>
      <c r="H407" s="124"/>
      <c r="I407" s="124"/>
    </row>
    <row r="408" ht="22.5" customHeight="1">
      <c r="A408" s="7">
        <v>406.0</v>
      </c>
      <c r="B408" s="128"/>
      <c r="C408" s="129"/>
      <c r="D408" s="124"/>
      <c r="E408" s="124"/>
      <c r="F408" s="124"/>
      <c r="G408" s="124"/>
      <c r="H408" s="124"/>
      <c r="I408" s="124"/>
    </row>
    <row r="409" ht="22.5" customHeight="1">
      <c r="A409" s="7">
        <v>407.0</v>
      </c>
      <c r="B409" s="128"/>
      <c r="C409" s="129"/>
      <c r="D409" s="124"/>
      <c r="E409" s="124"/>
      <c r="F409" s="124"/>
      <c r="G409" s="124"/>
      <c r="H409" s="124"/>
      <c r="I409" s="124"/>
    </row>
    <row r="410" ht="22.5" customHeight="1">
      <c r="A410" s="7">
        <v>408.0</v>
      </c>
      <c r="B410" s="128"/>
      <c r="C410" s="129"/>
      <c r="D410" s="124"/>
      <c r="E410" s="124"/>
      <c r="F410" s="124"/>
      <c r="G410" s="124"/>
      <c r="H410" s="124"/>
      <c r="I410" s="124"/>
    </row>
    <row r="411" ht="22.5" customHeight="1">
      <c r="A411" s="7">
        <v>409.0</v>
      </c>
      <c r="B411" s="128"/>
      <c r="C411" s="129"/>
      <c r="D411" s="124"/>
      <c r="E411" s="124"/>
      <c r="F411" s="124"/>
      <c r="G411" s="124"/>
      <c r="H411" s="124"/>
      <c r="I411" s="124"/>
    </row>
    <row r="412" ht="22.5" customHeight="1">
      <c r="A412" s="7">
        <v>410.0</v>
      </c>
      <c r="B412" s="128"/>
      <c r="C412" s="129"/>
      <c r="D412" s="124"/>
      <c r="E412" s="124"/>
      <c r="F412" s="124"/>
      <c r="G412" s="124"/>
      <c r="H412" s="124"/>
      <c r="I412" s="124"/>
    </row>
    <row r="413" ht="22.5" customHeight="1">
      <c r="A413" s="7">
        <v>411.0</v>
      </c>
      <c r="B413" s="128"/>
      <c r="C413" s="129"/>
      <c r="D413" s="124"/>
      <c r="E413" s="124"/>
      <c r="F413" s="124"/>
      <c r="G413" s="124"/>
      <c r="H413" s="124"/>
      <c r="I413" s="124"/>
    </row>
    <row r="414" ht="22.5" customHeight="1">
      <c r="A414" s="7">
        <v>412.0</v>
      </c>
      <c r="B414" s="128"/>
      <c r="C414" s="129"/>
      <c r="D414" s="124"/>
      <c r="E414" s="124"/>
      <c r="F414" s="124"/>
      <c r="G414" s="124"/>
      <c r="H414" s="124"/>
      <c r="I414" s="124"/>
    </row>
    <row r="415" ht="22.5" customHeight="1">
      <c r="A415" s="7">
        <v>413.0</v>
      </c>
      <c r="B415" s="128"/>
      <c r="C415" s="129"/>
      <c r="D415" s="124"/>
      <c r="E415" s="124"/>
      <c r="F415" s="124"/>
      <c r="G415" s="124"/>
      <c r="H415" s="124"/>
      <c r="I415" s="124"/>
    </row>
    <row r="416" ht="22.5" customHeight="1">
      <c r="A416" s="7">
        <v>414.0</v>
      </c>
      <c r="B416" s="128"/>
      <c r="C416" s="129"/>
      <c r="D416" s="124"/>
      <c r="E416" s="124"/>
      <c r="F416" s="124"/>
      <c r="G416" s="124"/>
      <c r="H416" s="124"/>
      <c r="I416" s="124"/>
    </row>
    <row r="417" ht="22.5" customHeight="1">
      <c r="A417" s="7">
        <v>415.0</v>
      </c>
      <c r="B417" s="128"/>
      <c r="C417" s="129"/>
      <c r="D417" s="124"/>
      <c r="E417" s="124"/>
      <c r="F417" s="124"/>
      <c r="G417" s="124"/>
      <c r="H417" s="124"/>
      <c r="I417" s="124"/>
    </row>
    <row r="418" ht="22.5" customHeight="1">
      <c r="A418" s="7">
        <v>416.0</v>
      </c>
      <c r="B418" s="128"/>
      <c r="C418" s="129"/>
      <c r="D418" s="124"/>
      <c r="E418" s="124"/>
      <c r="F418" s="124"/>
      <c r="G418" s="124"/>
      <c r="H418" s="124"/>
      <c r="I418" s="124"/>
    </row>
    <row r="419" ht="22.5" customHeight="1">
      <c r="A419" s="7">
        <v>417.0</v>
      </c>
      <c r="B419" s="128"/>
      <c r="C419" s="129"/>
      <c r="D419" s="124"/>
      <c r="E419" s="124"/>
      <c r="F419" s="124"/>
      <c r="G419" s="124"/>
      <c r="H419" s="124"/>
      <c r="I419" s="124"/>
    </row>
    <row r="420" ht="22.5" customHeight="1">
      <c r="A420" s="7">
        <v>418.0</v>
      </c>
      <c r="B420" s="128"/>
      <c r="C420" s="129"/>
      <c r="D420" s="124"/>
      <c r="E420" s="124"/>
      <c r="F420" s="124"/>
      <c r="G420" s="124"/>
      <c r="H420" s="124"/>
      <c r="I420" s="124"/>
    </row>
    <row r="421" ht="22.5" customHeight="1">
      <c r="A421" s="7">
        <v>419.0</v>
      </c>
      <c r="B421" s="128"/>
      <c r="C421" s="129"/>
      <c r="D421" s="124"/>
      <c r="E421" s="124"/>
      <c r="F421" s="124"/>
      <c r="G421" s="124"/>
      <c r="H421" s="124"/>
      <c r="I421" s="124"/>
    </row>
    <row r="422" ht="22.5" customHeight="1">
      <c r="A422" s="7">
        <v>420.0</v>
      </c>
      <c r="B422" s="128"/>
      <c r="C422" s="129"/>
      <c r="D422" s="124"/>
      <c r="E422" s="124"/>
      <c r="F422" s="124"/>
      <c r="G422" s="124"/>
      <c r="H422" s="124"/>
      <c r="I422" s="124"/>
    </row>
    <row r="423" ht="22.5" customHeight="1">
      <c r="A423" s="7">
        <v>421.0</v>
      </c>
      <c r="B423" s="128"/>
      <c r="C423" s="129"/>
      <c r="D423" s="124"/>
      <c r="E423" s="124"/>
      <c r="F423" s="124"/>
      <c r="G423" s="124"/>
      <c r="H423" s="124"/>
      <c r="I423" s="124"/>
    </row>
    <row r="424" ht="22.5" customHeight="1">
      <c r="A424" s="7">
        <v>422.0</v>
      </c>
      <c r="B424" s="128"/>
      <c r="C424" s="129"/>
      <c r="D424" s="124"/>
      <c r="E424" s="124"/>
      <c r="F424" s="124"/>
      <c r="G424" s="124"/>
      <c r="H424" s="124"/>
      <c r="I424" s="124"/>
    </row>
    <row r="425" ht="22.5" customHeight="1">
      <c r="A425" s="7">
        <v>423.0</v>
      </c>
      <c r="B425" s="128"/>
      <c r="C425" s="129"/>
      <c r="D425" s="124"/>
      <c r="E425" s="124"/>
      <c r="F425" s="124"/>
      <c r="G425" s="124"/>
      <c r="H425" s="124"/>
      <c r="I425" s="124"/>
    </row>
    <row r="426" ht="22.5" customHeight="1">
      <c r="A426" s="7">
        <v>424.0</v>
      </c>
      <c r="B426" s="128"/>
      <c r="C426" s="129"/>
      <c r="D426" s="124"/>
      <c r="E426" s="124"/>
      <c r="F426" s="124"/>
      <c r="G426" s="124"/>
      <c r="H426" s="124"/>
      <c r="I426" s="124"/>
    </row>
    <row r="427" ht="22.5" customHeight="1">
      <c r="A427" s="7">
        <v>425.0</v>
      </c>
      <c r="B427" s="128"/>
      <c r="C427" s="129"/>
      <c r="D427" s="124"/>
      <c r="E427" s="124"/>
      <c r="F427" s="124"/>
      <c r="G427" s="124"/>
      <c r="H427" s="124"/>
      <c r="I427" s="124"/>
    </row>
    <row r="428" ht="22.5" customHeight="1">
      <c r="A428" s="7">
        <v>426.0</v>
      </c>
      <c r="B428" s="128"/>
      <c r="C428" s="129"/>
      <c r="D428" s="124"/>
      <c r="E428" s="124"/>
      <c r="F428" s="124"/>
      <c r="G428" s="124"/>
      <c r="H428" s="124"/>
      <c r="I428" s="124"/>
    </row>
    <row r="429" ht="22.5" customHeight="1">
      <c r="A429" s="7">
        <v>427.0</v>
      </c>
      <c r="B429" s="128"/>
      <c r="C429" s="129"/>
      <c r="D429" s="124"/>
      <c r="E429" s="124"/>
      <c r="F429" s="124"/>
      <c r="G429" s="124"/>
      <c r="H429" s="124"/>
      <c r="I429" s="124"/>
    </row>
    <row r="430" ht="22.5" customHeight="1">
      <c r="A430" s="7">
        <v>428.0</v>
      </c>
      <c r="B430" s="128"/>
      <c r="C430" s="129"/>
      <c r="D430" s="124"/>
      <c r="E430" s="124"/>
      <c r="F430" s="124"/>
      <c r="G430" s="124"/>
      <c r="H430" s="124"/>
      <c r="I430" s="124"/>
    </row>
    <row r="431" ht="22.5" customHeight="1">
      <c r="A431" s="7">
        <v>429.0</v>
      </c>
      <c r="B431" s="128"/>
      <c r="C431" s="129"/>
      <c r="D431" s="124"/>
      <c r="E431" s="124"/>
      <c r="F431" s="124"/>
      <c r="G431" s="124"/>
      <c r="H431" s="124"/>
      <c r="I431" s="124"/>
    </row>
    <row r="432" ht="22.5" customHeight="1">
      <c r="A432" s="7">
        <v>430.0</v>
      </c>
      <c r="B432" s="128"/>
      <c r="C432" s="129"/>
      <c r="D432" s="124"/>
      <c r="E432" s="124"/>
      <c r="F432" s="124"/>
      <c r="G432" s="124"/>
      <c r="H432" s="124"/>
      <c r="I432" s="124"/>
    </row>
    <row r="433" ht="22.5" customHeight="1">
      <c r="A433" s="7">
        <v>431.0</v>
      </c>
      <c r="B433" s="128"/>
      <c r="C433" s="129"/>
      <c r="D433" s="124"/>
      <c r="E433" s="124"/>
      <c r="F433" s="124"/>
      <c r="G433" s="124"/>
      <c r="H433" s="124"/>
      <c r="I433" s="124"/>
    </row>
    <row r="434" ht="22.5" customHeight="1">
      <c r="A434" s="7">
        <v>432.0</v>
      </c>
      <c r="B434" s="128"/>
      <c r="C434" s="129"/>
      <c r="D434" s="124"/>
      <c r="E434" s="124"/>
      <c r="F434" s="124"/>
      <c r="G434" s="124"/>
      <c r="H434" s="124"/>
      <c r="I434" s="124"/>
    </row>
    <row r="435" ht="22.5" customHeight="1">
      <c r="A435" s="7">
        <v>433.0</v>
      </c>
      <c r="B435" s="128"/>
      <c r="C435" s="129"/>
      <c r="D435" s="124"/>
      <c r="E435" s="124"/>
      <c r="F435" s="124"/>
      <c r="G435" s="124"/>
      <c r="H435" s="124"/>
      <c r="I435" s="124"/>
    </row>
    <row r="436" ht="22.5" customHeight="1">
      <c r="A436" s="7">
        <v>434.0</v>
      </c>
      <c r="B436" s="128"/>
      <c r="C436" s="129"/>
      <c r="D436" s="124"/>
      <c r="E436" s="124"/>
      <c r="F436" s="124"/>
      <c r="G436" s="124"/>
      <c r="H436" s="124"/>
      <c r="I436" s="124"/>
    </row>
    <row r="437" ht="22.5" customHeight="1">
      <c r="A437" s="7">
        <v>435.0</v>
      </c>
      <c r="B437" s="128"/>
      <c r="C437" s="129"/>
      <c r="D437" s="124"/>
      <c r="E437" s="124"/>
      <c r="F437" s="124"/>
      <c r="G437" s="124"/>
      <c r="H437" s="124"/>
      <c r="I437" s="124"/>
    </row>
    <row r="438" ht="22.5" customHeight="1">
      <c r="A438" s="7">
        <v>436.0</v>
      </c>
      <c r="B438" s="128"/>
      <c r="C438" s="129"/>
      <c r="D438" s="124"/>
      <c r="E438" s="124"/>
      <c r="F438" s="124"/>
      <c r="G438" s="124"/>
      <c r="H438" s="124"/>
      <c r="I438" s="124"/>
    </row>
    <row r="439" ht="22.5" customHeight="1">
      <c r="A439" s="7">
        <v>437.0</v>
      </c>
      <c r="B439" s="128"/>
      <c r="C439" s="129"/>
      <c r="D439" s="124"/>
      <c r="E439" s="124"/>
      <c r="F439" s="124"/>
      <c r="G439" s="124"/>
      <c r="H439" s="124"/>
      <c r="I439" s="124"/>
    </row>
    <row r="440" ht="22.5" customHeight="1">
      <c r="A440" s="7">
        <v>438.0</v>
      </c>
      <c r="B440" s="128"/>
      <c r="C440" s="129"/>
      <c r="D440" s="124"/>
      <c r="E440" s="124"/>
      <c r="F440" s="124"/>
      <c r="G440" s="124"/>
      <c r="H440" s="124"/>
      <c r="I440" s="124"/>
    </row>
    <row r="441" ht="22.5" customHeight="1">
      <c r="A441" s="7">
        <v>439.0</v>
      </c>
      <c r="B441" s="128"/>
      <c r="C441" s="129"/>
      <c r="D441" s="124"/>
      <c r="E441" s="124"/>
      <c r="F441" s="124"/>
      <c r="G441" s="124"/>
      <c r="H441" s="124"/>
      <c r="I441" s="124"/>
    </row>
    <row r="442" ht="22.5" customHeight="1">
      <c r="A442" s="7">
        <v>440.0</v>
      </c>
      <c r="B442" s="128"/>
      <c r="C442" s="129"/>
      <c r="D442" s="124"/>
      <c r="E442" s="124"/>
      <c r="F442" s="124"/>
      <c r="G442" s="124"/>
      <c r="H442" s="124"/>
      <c r="I442" s="124"/>
    </row>
    <row r="443" ht="22.5" customHeight="1">
      <c r="A443" s="7">
        <v>441.0</v>
      </c>
      <c r="B443" s="128"/>
      <c r="C443" s="129"/>
      <c r="D443" s="124"/>
      <c r="E443" s="124"/>
      <c r="F443" s="124"/>
      <c r="G443" s="124"/>
      <c r="H443" s="124"/>
      <c r="I443" s="124"/>
    </row>
    <row r="444" ht="22.5" customHeight="1">
      <c r="A444" s="7">
        <v>442.0</v>
      </c>
      <c r="B444" s="128"/>
      <c r="C444" s="129"/>
      <c r="D444" s="124"/>
      <c r="E444" s="124"/>
      <c r="F444" s="124"/>
      <c r="G444" s="124"/>
      <c r="H444" s="124"/>
      <c r="I444" s="124"/>
    </row>
    <row r="445" ht="22.5" customHeight="1">
      <c r="A445" s="7">
        <v>443.0</v>
      </c>
      <c r="B445" s="128"/>
      <c r="C445" s="129"/>
      <c r="D445" s="124"/>
      <c r="E445" s="124"/>
      <c r="F445" s="124"/>
      <c r="G445" s="124"/>
      <c r="H445" s="124"/>
      <c r="I445" s="124"/>
    </row>
    <row r="446" ht="22.5" customHeight="1">
      <c r="A446" s="7">
        <v>444.0</v>
      </c>
      <c r="B446" s="128"/>
      <c r="C446" s="129"/>
      <c r="D446" s="124"/>
      <c r="E446" s="124"/>
      <c r="F446" s="124"/>
      <c r="G446" s="124"/>
      <c r="H446" s="124"/>
      <c r="I446" s="124"/>
    </row>
    <row r="447" ht="22.5" customHeight="1">
      <c r="A447" s="7">
        <v>445.0</v>
      </c>
      <c r="B447" s="128"/>
      <c r="C447" s="129"/>
      <c r="D447" s="124"/>
      <c r="E447" s="124"/>
      <c r="F447" s="124"/>
      <c r="G447" s="124"/>
      <c r="H447" s="124"/>
      <c r="I447" s="124"/>
    </row>
    <row r="448" ht="22.5" customHeight="1">
      <c r="A448" s="7">
        <v>446.0</v>
      </c>
      <c r="B448" s="128"/>
      <c r="C448" s="129"/>
      <c r="D448" s="124"/>
      <c r="E448" s="124"/>
      <c r="F448" s="124"/>
      <c r="G448" s="124"/>
      <c r="H448" s="124"/>
      <c r="I448" s="124"/>
    </row>
    <row r="449" ht="22.5" customHeight="1">
      <c r="A449" s="7">
        <v>447.0</v>
      </c>
      <c r="B449" s="128"/>
      <c r="C449" s="129"/>
      <c r="D449" s="124"/>
      <c r="E449" s="124"/>
      <c r="F449" s="124"/>
      <c r="G449" s="124"/>
      <c r="H449" s="124"/>
      <c r="I449" s="124"/>
    </row>
    <row r="450" ht="22.5" customHeight="1">
      <c r="A450" s="7">
        <v>448.0</v>
      </c>
      <c r="B450" s="128"/>
      <c r="C450" s="129"/>
      <c r="D450" s="124"/>
      <c r="E450" s="124"/>
      <c r="F450" s="124"/>
      <c r="G450" s="124"/>
      <c r="H450" s="124"/>
      <c r="I450" s="124"/>
    </row>
    <row r="451" ht="22.5" customHeight="1">
      <c r="A451" s="7">
        <v>449.0</v>
      </c>
      <c r="B451" s="128"/>
      <c r="C451" s="129"/>
      <c r="D451" s="124"/>
      <c r="E451" s="124"/>
      <c r="F451" s="124"/>
      <c r="G451" s="124"/>
      <c r="H451" s="124"/>
      <c r="I451" s="124"/>
    </row>
    <row r="452" ht="22.5" customHeight="1">
      <c r="A452" s="7">
        <v>450.0</v>
      </c>
      <c r="B452" s="128"/>
      <c r="C452" s="129"/>
      <c r="D452" s="124"/>
      <c r="E452" s="124"/>
      <c r="F452" s="124"/>
      <c r="G452" s="124"/>
      <c r="H452" s="124"/>
      <c r="I452" s="124"/>
    </row>
    <row r="453" ht="22.5" customHeight="1">
      <c r="A453" s="7">
        <v>451.0</v>
      </c>
      <c r="B453" s="128"/>
      <c r="C453" s="129"/>
      <c r="D453" s="124"/>
      <c r="E453" s="124"/>
      <c r="F453" s="124"/>
      <c r="G453" s="124"/>
      <c r="H453" s="124"/>
      <c r="I453" s="124"/>
    </row>
    <row r="454" ht="22.5" customHeight="1">
      <c r="A454" s="7">
        <v>452.0</v>
      </c>
      <c r="B454" s="128"/>
      <c r="C454" s="129"/>
      <c r="D454" s="124"/>
      <c r="E454" s="124"/>
      <c r="F454" s="124"/>
      <c r="G454" s="124"/>
      <c r="H454" s="124"/>
      <c r="I454" s="124"/>
    </row>
    <row r="455" ht="22.5" customHeight="1">
      <c r="A455" s="7">
        <v>453.0</v>
      </c>
      <c r="B455" s="128"/>
      <c r="C455" s="129"/>
      <c r="D455" s="124"/>
      <c r="E455" s="124"/>
      <c r="F455" s="124"/>
      <c r="G455" s="124"/>
      <c r="H455" s="124"/>
      <c r="I455" s="124"/>
    </row>
    <row r="456" ht="22.5" customHeight="1">
      <c r="A456" s="7">
        <v>454.0</v>
      </c>
      <c r="B456" s="128"/>
      <c r="C456" s="129"/>
      <c r="D456" s="124"/>
      <c r="E456" s="124"/>
      <c r="F456" s="124"/>
      <c r="G456" s="124"/>
      <c r="H456" s="124"/>
      <c r="I456" s="124"/>
    </row>
    <row r="457" ht="22.5" customHeight="1">
      <c r="A457" s="7">
        <v>455.0</v>
      </c>
      <c r="B457" s="128"/>
      <c r="C457" s="129"/>
      <c r="D457" s="124"/>
      <c r="E457" s="124"/>
      <c r="F457" s="124"/>
      <c r="G457" s="124"/>
      <c r="H457" s="124"/>
      <c r="I457" s="124"/>
    </row>
    <row r="458" ht="22.5" customHeight="1">
      <c r="A458" s="7">
        <v>456.0</v>
      </c>
      <c r="B458" s="128"/>
      <c r="C458" s="129"/>
      <c r="D458" s="124"/>
      <c r="E458" s="124"/>
      <c r="F458" s="124"/>
      <c r="G458" s="124"/>
      <c r="H458" s="124"/>
      <c r="I458" s="124"/>
    </row>
    <row r="459" ht="22.5" customHeight="1">
      <c r="A459" s="7">
        <v>457.0</v>
      </c>
      <c r="B459" s="128"/>
      <c r="C459" s="129"/>
      <c r="D459" s="124"/>
      <c r="E459" s="124"/>
      <c r="F459" s="124"/>
      <c r="G459" s="124"/>
      <c r="H459" s="124"/>
      <c r="I459" s="124"/>
    </row>
    <row r="460" ht="22.5" customHeight="1">
      <c r="A460" s="7">
        <v>458.0</v>
      </c>
      <c r="B460" s="128"/>
      <c r="C460" s="129"/>
      <c r="D460" s="124"/>
      <c r="E460" s="124"/>
      <c r="F460" s="124"/>
      <c r="G460" s="124"/>
      <c r="H460" s="124"/>
      <c r="I460" s="124"/>
    </row>
    <row r="461" ht="22.5" customHeight="1">
      <c r="A461" s="7">
        <v>459.0</v>
      </c>
      <c r="B461" s="128"/>
      <c r="C461" s="129"/>
      <c r="D461" s="124"/>
      <c r="E461" s="124"/>
      <c r="F461" s="124"/>
      <c r="G461" s="124"/>
      <c r="H461" s="124"/>
      <c r="I461" s="124"/>
    </row>
    <row r="462" ht="22.5" customHeight="1">
      <c r="A462" s="7">
        <v>460.0</v>
      </c>
      <c r="B462" s="128"/>
      <c r="C462" s="129"/>
      <c r="D462" s="124"/>
      <c r="E462" s="124"/>
      <c r="F462" s="124"/>
      <c r="G462" s="124"/>
      <c r="H462" s="124"/>
      <c r="I462" s="124"/>
    </row>
    <row r="463" ht="22.5" customHeight="1">
      <c r="A463" s="7">
        <v>461.0</v>
      </c>
      <c r="B463" s="128"/>
      <c r="C463" s="129"/>
      <c r="D463" s="124"/>
      <c r="E463" s="124"/>
      <c r="F463" s="124"/>
      <c r="G463" s="124"/>
      <c r="H463" s="124"/>
      <c r="I463" s="124"/>
    </row>
    <row r="464" ht="22.5" customHeight="1">
      <c r="A464" s="7">
        <v>462.0</v>
      </c>
      <c r="B464" s="128"/>
      <c r="C464" s="129"/>
      <c r="D464" s="124"/>
      <c r="E464" s="124"/>
      <c r="F464" s="124"/>
      <c r="G464" s="124"/>
      <c r="H464" s="124"/>
      <c r="I464" s="124"/>
    </row>
    <row r="465" ht="22.5" customHeight="1">
      <c r="A465" s="7">
        <v>463.0</v>
      </c>
      <c r="B465" s="128"/>
      <c r="C465" s="129"/>
      <c r="D465" s="124"/>
      <c r="E465" s="124"/>
      <c r="F465" s="124"/>
      <c r="G465" s="124"/>
      <c r="H465" s="124"/>
      <c r="I465" s="124"/>
    </row>
    <row r="466" ht="22.5" customHeight="1">
      <c r="A466" s="7">
        <v>464.0</v>
      </c>
      <c r="B466" s="128"/>
      <c r="C466" s="129"/>
      <c r="D466" s="124"/>
      <c r="E466" s="124"/>
      <c r="F466" s="124"/>
      <c r="G466" s="124"/>
      <c r="H466" s="124"/>
      <c r="I466" s="124"/>
    </row>
    <row r="467" ht="22.5" customHeight="1">
      <c r="A467" s="7">
        <v>465.0</v>
      </c>
      <c r="B467" s="128"/>
      <c r="C467" s="129"/>
      <c r="D467" s="124"/>
      <c r="E467" s="124"/>
      <c r="F467" s="124"/>
      <c r="G467" s="124"/>
      <c r="H467" s="124"/>
      <c r="I467" s="124"/>
    </row>
    <row r="468" ht="22.5" customHeight="1">
      <c r="A468" s="7">
        <v>466.0</v>
      </c>
      <c r="B468" s="128"/>
      <c r="C468" s="129"/>
      <c r="D468" s="124"/>
      <c r="E468" s="124"/>
      <c r="F468" s="124"/>
      <c r="G468" s="124"/>
      <c r="H468" s="124"/>
      <c r="I468" s="124"/>
    </row>
    <row r="469" ht="22.5" customHeight="1">
      <c r="A469" s="7">
        <v>467.0</v>
      </c>
      <c r="B469" s="128"/>
      <c r="C469" s="129"/>
      <c r="D469" s="124"/>
      <c r="E469" s="124"/>
      <c r="F469" s="124"/>
      <c r="G469" s="124"/>
      <c r="H469" s="124"/>
      <c r="I469" s="124"/>
    </row>
    <row r="470" ht="22.5" customHeight="1">
      <c r="A470" s="7">
        <v>468.0</v>
      </c>
      <c r="B470" s="128"/>
      <c r="C470" s="129"/>
      <c r="D470" s="124"/>
      <c r="E470" s="124"/>
      <c r="F470" s="124"/>
      <c r="G470" s="124"/>
      <c r="H470" s="124"/>
      <c r="I470" s="124"/>
    </row>
    <row r="471" ht="22.5" customHeight="1">
      <c r="A471" s="7">
        <v>469.0</v>
      </c>
      <c r="B471" s="128"/>
      <c r="C471" s="129"/>
      <c r="D471" s="124"/>
      <c r="E471" s="124"/>
      <c r="F471" s="124"/>
      <c r="G471" s="124"/>
      <c r="H471" s="124"/>
      <c r="I471" s="124"/>
    </row>
    <row r="472" ht="22.5" customHeight="1">
      <c r="A472" s="7">
        <v>470.0</v>
      </c>
      <c r="B472" s="128"/>
      <c r="C472" s="129"/>
      <c r="D472" s="124"/>
      <c r="E472" s="124"/>
      <c r="F472" s="124"/>
      <c r="G472" s="124"/>
      <c r="H472" s="124"/>
      <c r="I472" s="124"/>
    </row>
    <row r="473" ht="22.5" customHeight="1">
      <c r="A473" s="7">
        <v>471.0</v>
      </c>
      <c r="B473" s="128"/>
      <c r="C473" s="129"/>
      <c r="D473" s="124"/>
      <c r="E473" s="124"/>
      <c r="F473" s="124"/>
      <c r="G473" s="124"/>
      <c r="H473" s="124"/>
      <c r="I473" s="124"/>
    </row>
    <row r="474" ht="22.5" customHeight="1">
      <c r="A474" s="7">
        <v>472.0</v>
      </c>
      <c r="B474" s="128"/>
      <c r="C474" s="129"/>
      <c r="D474" s="124"/>
      <c r="E474" s="124"/>
      <c r="F474" s="124"/>
      <c r="G474" s="124"/>
      <c r="H474" s="124"/>
      <c r="I474" s="124"/>
    </row>
    <row r="475" ht="22.5" customHeight="1">
      <c r="A475" s="7">
        <v>473.0</v>
      </c>
      <c r="B475" s="128"/>
      <c r="C475" s="129"/>
      <c r="D475" s="124"/>
      <c r="E475" s="124"/>
      <c r="F475" s="124"/>
      <c r="G475" s="124"/>
      <c r="H475" s="124"/>
      <c r="I475" s="124"/>
    </row>
    <row r="476" ht="22.5" customHeight="1">
      <c r="A476" s="7">
        <v>474.0</v>
      </c>
      <c r="B476" s="128"/>
      <c r="C476" s="129"/>
      <c r="D476" s="124"/>
      <c r="E476" s="124"/>
      <c r="F476" s="124"/>
      <c r="G476" s="124"/>
      <c r="H476" s="124"/>
      <c r="I476" s="124"/>
    </row>
    <row r="477" ht="22.5" customHeight="1">
      <c r="A477" s="7">
        <v>475.0</v>
      </c>
      <c r="B477" s="128"/>
      <c r="C477" s="129"/>
      <c r="D477" s="124"/>
      <c r="E477" s="124"/>
      <c r="F477" s="124"/>
      <c r="G477" s="124"/>
      <c r="H477" s="124"/>
      <c r="I477" s="124"/>
    </row>
    <row r="478" ht="22.5" customHeight="1">
      <c r="A478" s="7">
        <v>476.0</v>
      </c>
      <c r="B478" s="128"/>
      <c r="C478" s="129"/>
      <c r="D478" s="124"/>
      <c r="E478" s="124"/>
      <c r="F478" s="124"/>
      <c r="G478" s="124"/>
      <c r="H478" s="124"/>
      <c r="I478" s="124"/>
    </row>
    <row r="479" ht="22.5" customHeight="1">
      <c r="A479" s="7">
        <v>477.0</v>
      </c>
      <c r="B479" s="128"/>
      <c r="C479" s="129"/>
      <c r="D479" s="124"/>
      <c r="E479" s="124"/>
      <c r="F479" s="124"/>
      <c r="G479" s="124"/>
      <c r="H479" s="124"/>
      <c r="I479" s="124"/>
    </row>
    <row r="480" ht="22.5" customHeight="1">
      <c r="A480" s="7">
        <v>478.0</v>
      </c>
      <c r="B480" s="128"/>
      <c r="C480" s="129"/>
      <c r="D480" s="124"/>
      <c r="E480" s="124"/>
      <c r="F480" s="124"/>
      <c r="G480" s="124"/>
      <c r="H480" s="124"/>
      <c r="I480" s="124"/>
    </row>
    <row r="481" ht="22.5" customHeight="1">
      <c r="A481" s="7">
        <v>479.0</v>
      </c>
      <c r="B481" s="128"/>
      <c r="C481" s="129"/>
      <c r="D481" s="124"/>
      <c r="E481" s="124"/>
      <c r="F481" s="124"/>
      <c r="G481" s="124"/>
      <c r="H481" s="124"/>
      <c r="I481" s="124"/>
    </row>
    <row r="482" ht="22.5" customHeight="1">
      <c r="A482" s="7">
        <v>480.0</v>
      </c>
      <c r="B482" s="128"/>
      <c r="C482" s="129"/>
      <c r="D482" s="124"/>
      <c r="E482" s="124"/>
      <c r="F482" s="124"/>
      <c r="G482" s="124"/>
      <c r="H482" s="124"/>
      <c r="I482" s="124"/>
    </row>
    <row r="483" ht="22.5" customHeight="1">
      <c r="A483" s="7">
        <v>481.0</v>
      </c>
      <c r="B483" s="128"/>
      <c r="C483" s="129"/>
      <c r="D483" s="124"/>
      <c r="E483" s="124"/>
      <c r="F483" s="124"/>
      <c r="G483" s="124"/>
      <c r="H483" s="124"/>
      <c r="I483" s="124"/>
    </row>
    <row r="484" ht="22.5" customHeight="1">
      <c r="A484" s="7">
        <v>482.0</v>
      </c>
      <c r="B484" s="128"/>
      <c r="C484" s="129"/>
      <c r="D484" s="124"/>
      <c r="E484" s="124"/>
      <c r="F484" s="124"/>
      <c r="G484" s="124"/>
      <c r="H484" s="124"/>
      <c r="I484" s="124"/>
    </row>
    <row r="485" ht="22.5" customHeight="1">
      <c r="A485" s="7">
        <v>483.0</v>
      </c>
      <c r="B485" s="128"/>
      <c r="C485" s="129"/>
      <c r="D485" s="124"/>
      <c r="E485" s="124"/>
      <c r="F485" s="124"/>
      <c r="G485" s="124"/>
      <c r="H485" s="124"/>
      <c r="I485" s="124"/>
    </row>
    <row r="486" ht="22.5" customHeight="1">
      <c r="A486" s="7">
        <v>484.0</v>
      </c>
      <c r="B486" s="128"/>
      <c r="C486" s="129"/>
      <c r="D486" s="124"/>
      <c r="E486" s="124"/>
      <c r="F486" s="124"/>
      <c r="G486" s="124"/>
      <c r="H486" s="124"/>
      <c r="I486" s="124"/>
    </row>
    <row r="487" ht="22.5" customHeight="1">
      <c r="A487" s="7">
        <v>485.0</v>
      </c>
      <c r="B487" s="128"/>
      <c r="C487" s="129"/>
      <c r="D487" s="124"/>
      <c r="E487" s="124"/>
      <c r="F487" s="124"/>
      <c r="G487" s="124"/>
      <c r="H487" s="124"/>
      <c r="I487" s="124"/>
    </row>
    <row r="488" ht="22.5" customHeight="1">
      <c r="A488" s="7">
        <v>486.0</v>
      </c>
      <c r="B488" s="128"/>
      <c r="C488" s="129"/>
      <c r="D488" s="124"/>
      <c r="E488" s="124"/>
      <c r="F488" s="124"/>
      <c r="G488" s="124"/>
      <c r="H488" s="124"/>
      <c r="I488" s="124"/>
    </row>
    <row r="489" ht="22.5" customHeight="1">
      <c r="A489" s="7">
        <v>487.0</v>
      </c>
      <c r="B489" s="128"/>
      <c r="C489" s="129"/>
      <c r="D489" s="124"/>
      <c r="E489" s="124"/>
      <c r="F489" s="124"/>
      <c r="G489" s="124"/>
      <c r="H489" s="124"/>
      <c r="I489" s="124"/>
    </row>
    <row r="490" ht="22.5" customHeight="1">
      <c r="A490" s="7">
        <v>488.0</v>
      </c>
      <c r="B490" s="128"/>
      <c r="C490" s="129"/>
      <c r="D490" s="124"/>
      <c r="E490" s="124"/>
      <c r="F490" s="124"/>
      <c r="G490" s="124"/>
      <c r="H490" s="124"/>
      <c r="I490" s="124"/>
    </row>
    <row r="491" ht="22.5" customHeight="1">
      <c r="A491" s="7">
        <v>489.0</v>
      </c>
      <c r="B491" s="128"/>
      <c r="C491" s="129"/>
      <c r="D491" s="124"/>
      <c r="E491" s="124"/>
      <c r="F491" s="124"/>
      <c r="G491" s="124"/>
      <c r="H491" s="124"/>
      <c r="I491" s="124"/>
    </row>
    <row r="492" ht="22.5" customHeight="1">
      <c r="A492" s="7">
        <v>490.0</v>
      </c>
      <c r="B492" s="128"/>
      <c r="C492" s="129"/>
      <c r="D492" s="124"/>
      <c r="E492" s="124"/>
      <c r="F492" s="124"/>
      <c r="G492" s="124"/>
      <c r="H492" s="124"/>
      <c r="I492" s="124"/>
    </row>
    <row r="493" ht="22.5" customHeight="1">
      <c r="A493" s="7">
        <v>491.0</v>
      </c>
      <c r="B493" s="128"/>
      <c r="C493" s="129"/>
      <c r="D493" s="124"/>
      <c r="E493" s="124"/>
      <c r="F493" s="124"/>
      <c r="G493" s="124"/>
      <c r="H493" s="124"/>
      <c r="I493" s="124"/>
    </row>
    <row r="494" ht="22.5" customHeight="1">
      <c r="A494" s="7">
        <v>492.0</v>
      </c>
      <c r="B494" s="128"/>
      <c r="C494" s="129"/>
      <c r="D494" s="124"/>
      <c r="E494" s="124"/>
      <c r="F494" s="124"/>
      <c r="G494" s="124"/>
      <c r="H494" s="124"/>
      <c r="I494" s="124"/>
    </row>
    <row r="495" ht="22.5" customHeight="1">
      <c r="A495" s="7">
        <v>493.0</v>
      </c>
      <c r="B495" s="128"/>
      <c r="C495" s="129"/>
      <c r="D495" s="124"/>
      <c r="E495" s="124"/>
      <c r="F495" s="124"/>
      <c r="G495" s="124"/>
      <c r="H495" s="124"/>
      <c r="I495" s="124"/>
    </row>
    <row r="496" ht="22.5" customHeight="1">
      <c r="A496" s="7">
        <v>494.0</v>
      </c>
      <c r="B496" s="128"/>
      <c r="C496" s="129"/>
      <c r="D496" s="124"/>
      <c r="E496" s="124"/>
      <c r="F496" s="124"/>
      <c r="G496" s="124"/>
      <c r="H496" s="124"/>
      <c r="I496" s="124"/>
    </row>
    <row r="497" ht="22.5" customHeight="1">
      <c r="A497" s="7">
        <v>495.0</v>
      </c>
      <c r="B497" s="128"/>
      <c r="C497" s="129"/>
      <c r="D497" s="124"/>
      <c r="E497" s="124"/>
      <c r="F497" s="124"/>
      <c r="G497" s="124"/>
      <c r="H497" s="124"/>
      <c r="I497" s="124"/>
    </row>
    <row r="498" ht="22.5" customHeight="1">
      <c r="A498" s="7">
        <v>496.0</v>
      </c>
      <c r="B498" s="128"/>
      <c r="C498" s="129"/>
      <c r="D498" s="124"/>
      <c r="E498" s="124"/>
      <c r="F498" s="124"/>
      <c r="G498" s="124"/>
      <c r="H498" s="124"/>
      <c r="I498" s="124"/>
    </row>
    <row r="499" ht="22.5" customHeight="1">
      <c r="A499" s="7">
        <v>497.0</v>
      </c>
      <c r="B499" s="128"/>
      <c r="C499" s="129"/>
      <c r="D499" s="124"/>
      <c r="E499" s="124"/>
      <c r="F499" s="124"/>
      <c r="G499" s="124"/>
      <c r="H499" s="124"/>
      <c r="I499" s="124"/>
    </row>
    <row r="500" ht="22.5" customHeight="1">
      <c r="A500" s="7">
        <v>498.0</v>
      </c>
      <c r="B500" s="128"/>
      <c r="C500" s="129"/>
      <c r="D500" s="124"/>
      <c r="E500" s="124"/>
      <c r="F500" s="124"/>
      <c r="G500" s="124"/>
      <c r="H500" s="124"/>
      <c r="I500" s="124"/>
    </row>
    <row r="501" ht="22.5" customHeight="1">
      <c r="A501" s="7">
        <v>499.0</v>
      </c>
      <c r="B501" s="128"/>
      <c r="C501" s="129"/>
      <c r="D501" s="124"/>
      <c r="E501" s="124"/>
      <c r="F501" s="124"/>
      <c r="G501" s="124"/>
      <c r="H501" s="124"/>
      <c r="I501" s="124"/>
    </row>
    <row r="502" ht="22.5" customHeight="1">
      <c r="A502" s="7">
        <v>500.0</v>
      </c>
      <c r="B502" s="128"/>
      <c r="C502" s="129"/>
      <c r="D502" s="124"/>
      <c r="E502" s="124"/>
      <c r="F502" s="124"/>
      <c r="G502" s="124"/>
      <c r="H502" s="124"/>
      <c r="I502" s="124"/>
    </row>
    <row r="503" ht="22.5" customHeight="1">
      <c r="A503" s="7">
        <v>501.0</v>
      </c>
      <c r="B503" s="128"/>
      <c r="C503" s="129"/>
      <c r="D503" s="124"/>
      <c r="E503" s="124"/>
      <c r="F503" s="124"/>
      <c r="G503" s="124"/>
      <c r="H503" s="124"/>
      <c r="I503" s="124"/>
    </row>
    <row r="504" ht="22.5" customHeight="1">
      <c r="A504" s="7">
        <v>502.0</v>
      </c>
      <c r="B504" s="128"/>
      <c r="C504" s="129"/>
      <c r="D504" s="124"/>
      <c r="E504" s="124"/>
      <c r="F504" s="124"/>
      <c r="G504" s="124"/>
      <c r="H504" s="124"/>
      <c r="I504" s="124"/>
    </row>
    <row r="505" ht="22.5" customHeight="1">
      <c r="A505" s="7">
        <v>503.0</v>
      </c>
      <c r="B505" s="128"/>
      <c r="C505" s="129"/>
      <c r="D505" s="124"/>
      <c r="E505" s="124"/>
      <c r="F505" s="124"/>
      <c r="G505" s="124"/>
      <c r="H505" s="124"/>
      <c r="I505" s="124"/>
    </row>
    <row r="506" ht="22.5" customHeight="1">
      <c r="A506" s="7">
        <v>504.0</v>
      </c>
      <c r="B506" s="128"/>
      <c r="C506" s="129"/>
      <c r="D506" s="124"/>
      <c r="E506" s="124"/>
      <c r="F506" s="124"/>
      <c r="G506" s="124"/>
      <c r="H506" s="124"/>
      <c r="I506" s="124"/>
    </row>
    <row r="507" ht="22.5" customHeight="1">
      <c r="A507" s="7">
        <v>505.0</v>
      </c>
      <c r="B507" s="128"/>
      <c r="C507" s="129"/>
      <c r="D507" s="124"/>
      <c r="E507" s="124"/>
      <c r="F507" s="124"/>
      <c r="G507" s="124"/>
      <c r="H507" s="124"/>
      <c r="I507" s="124"/>
    </row>
    <row r="508" ht="22.5" customHeight="1">
      <c r="A508" s="7">
        <v>506.0</v>
      </c>
      <c r="B508" s="128"/>
      <c r="C508" s="129"/>
      <c r="D508" s="124"/>
      <c r="E508" s="124"/>
      <c r="F508" s="124"/>
      <c r="G508" s="124"/>
      <c r="H508" s="124"/>
      <c r="I508" s="124"/>
    </row>
    <row r="509" ht="22.5" customHeight="1">
      <c r="A509" s="7">
        <v>507.0</v>
      </c>
      <c r="B509" s="128"/>
      <c r="C509" s="129"/>
      <c r="D509" s="124"/>
      <c r="E509" s="124"/>
      <c r="F509" s="124"/>
      <c r="G509" s="124"/>
      <c r="H509" s="124"/>
      <c r="I509" s="124"/>
    </row>
    <row r="510" ht="22.5" customHeight="1">
      <c r="A510" s="7">
        <v>508.0</v>
      </c>
      <c r="B510" s="128"/>
      <c r="C510" s="129"/>
      <c r="D510" s="124"/>
      <c r="E510" s="124"/>
      <c r="F510" s="124"/>
      <c r="G510" s="124"/>
      <c r="H510" s="124"/>
      <c r="I510" s="124"/>
    </row>
    <row r="511" ht="22.5" customHeight="1">
      <c r="A511" s="7">
        <v>509.0</v>
      </c>
      <c r="B511" s="128"/>
      <c r="C511" s="129"/>
      <c r="D511" s="124"/>
      <c r="E511" s="124"/>
      <c r="F511" s="124"/>
      <c r="G511" s="124"/>
      <c r="H511" s="124"/>
      <c r="I511" s="124"/>
    </row>
    <row r="512" ht="22.5" customHeight="1">
      <c r="A512" s="7">
        <v>510.0</v>
      </c>
      <c r="B512" s="128"/>
      <c r="C512" s="129"/>
      <c r="D512" s="124"/>
      <c r="E512" s="124"/>
      <c r="F512" s="124"/>
      <c r="G512" s="124"/>
      <c r="H512" s="124"/>
      <c r="I512" s="124"/>
    </row>
    <row r="513" ht="22.5" customHeight="1">
      <c r="A513" s="7">
        <v>511.0</v>
      </c>
      <c r="B513" s="128"/>
      <c r="C513" s="129"/>
      <c r="D513" s="124"/>
      <c r="E513" s="124"/>
      <c r="F513" s="124"/>
      <c r="G513" s="124"/>
      <c r="H513" s="124"/>
      <c r="I513" s="124"/>
    </row>
    <row r="514" ht="22.5" customHeight="1">
      <c r="A514" s="7">
        <v>512.0</v>
      </c>
      <c r="B514" s="128"/>
      <c r="C514" s="129"/>
      <c r="D514" s="124"/>
      <c r="E514" s="124"/>
      <c r="F514" s="124"/>
      <c r="G514" s="124"/>
      <c r="H514" s="124"/>
      <c r="I514" s="124"/>
    </row>
    <row r="515" ht="22.5" customHeight="1">
      <c r="A515" s="7">
        <v>513.0</v>
      </c>
      <c r="B515" s="128"/>
      <c r="C515" s="129"/>
      <c r="D515" s="124"/>
      <c r="E515" s="124"/>
      <c r="F515" s="124"/>
      <c r="G515" s="124"/>
      <c r="H515" s="124"/>
      <c r="I515" s="124"/>
    </row>
    <row r="516" ht="22.5" customHeight="1">
      <c r="A516" s="7">
        <v>514.0</v>
      </c>
      <c r="B516" s="128"/>
      <c r="C516" s="129"/>
      <c r="D516" s="124"/>
      <c r="E516" s="124"/>
      <c r="F516" s="124"/>
      <c r="G516" s="124"/>
      <c r="H516" s="124"/>
      <c r="I516" s="124"/>
    </row>
    <row r="517" ht="22.5" customHeight="1">
      <c r="A517" s="7">
        <v>515.0</v>
      </c>
      <c r="B517" s="128"/>
      <c r="C517" s="129"/>
      <c r="D517" s="124"/>
      <c r="E517" s="124"/>
      <c r="F517" s="124"/>
      <c r="G517" s="124"/>
      <c r="H517" s="124"/>
      <c r="I517" s="124"/>
    </row>
    <row r="518" ht="22.5" customHeight="1">
      <c r="A518" s="7">
        <v>516.0</v>
      </c>
      <c r="B518" s="128"/>
      <c r="C518" s="129"/>
      <c r="D518" s="124"/>
      <c r="E518" s="124"/>
      <c r="F518" s="124"/>
      <c r="G518" s="124"/>
      <c r="H518" s="124"/>
      <c r="I518" s="124"/>
    </row>
    <row r="519" ht="22.5" customHeight="1">
      <c r="A519" s="7">
        <v>517.0</v>
      </c>
      <c r="B519" s="128"/>
      <c r="C519" s="129"/>
      <c r="D519" s="124"/>
      <c r="E519" s="124"/>
      <c r="F519" s="124"/>
      <c r="G519" s="124"/>
      <c r="H519" s="124"/>
      <c r="I519" s="124"/>
    </row>
    <row r="520" ht="22.5" customHeight="1">
      <c r="A520" s="7">
        <v>518.0</v>
      </c>
      <c r="B520" s="128"/>
      <c r="C520" s="129"/>
      <c r="D520" s="124"/>
      <c r="E520" s="124"/>
      <c r="F520" s="124"/>
      <c r="G520" s="124"/>
      <c r="H520" s="124"/>
      <c r="I520" s="124"/>
    </row>
    <row r="521" ht="22.5" customHeight="1">
      <c r="A521" s="7">
        <v>519.0</v>
      </c>
      <c r="B521" s="128"/>
      <c r="C521" s="129"/>
      <c r="D521" s="124"/>
      <c r="E521" s="124"/>
      <c r="F521" s="124"/>
      <c r="G521" s="124"/>
      <c r="H521" s="124"/>
      <c r="I521" s="124"/>
    </row>
    <row r="522" ht="22.5" customHeight="1">
      <c r="A522" s="7">
        <v>520.0</v>
      </c>
      <c r="B522" s="128"/>
      <c r="C522" s="129"/>
      <c r="D522" s="124"/>
      <c r="E522" s="124"/>
      <c r="F522" s="124"/>
      <c r="G522" s="124"/>
      <c r="H522" s="124"/>
      <c r="I522" s="124"/>
    </row>
    <row r="523" ht="22.5" customHeight="1">
      <c r="A523" s="7">
        <v>521.0</v>
      </c>
      <c r="B523" s="128"/>
      <c r="C523" s="129"/>
      <c r="D523" s="124"/>
      <c r="E523" s="124"/>
      <c r="F523" s="124"/>
      <c r="G523" s="124"/>
      <c r="H523" s="124"/>
      <c r="I523" s="124"/>
    </row>
    <row r="524" ht="22.5" customHeight="1">
      <c r="A524" s="7">
        <v>522.0</v>
      </c>
      <c r="B524" s="128"/>
      <c r="C524" s="129"/>
      <c r="D524" s="124"/>
      <c r="E524" s="124"/>
      <c r="F524" s="124"/>
      <c r="G524" s="124"/>
      <c r="H524" s="124"/>
      <c r="I524" s="124"/>
    </row>
    <row r="525" ht="22.5" customHeight="1">
      <c r="A525" s="7">
        <v>523.0</v>
      </c>
      <c r="B525" s="128"/>
      <c r="C525" s="129"/>
      <c r="D525" s="124"/>
      <c r="E525" s="124"/>
      <c r="F525" s="124"/>
      <c r="G525" s="124"/>
      <c r="H525" s="124"/>
      <c r="I525" s="124"/>
    </row>
    <row r="526" ht="22.5" customHeight="1">
      <c r="A526" s="7">
        <v>524.0</v>
      </c>
      <c r="B526" s="128"/>
      <c r="C526" s="129"/>
      <c r="D526" s="124"/>
      <c r="E526" s="124"/>
      <c r="F526" s="124"/>
      <c r="G526" s="124"/>
      <c r="H526" s="124"/>
      <c r="I526" s="124"/>
    </row>
    <row r="527" ht="22.5" customHeight="1">
      <c r="A527" s="7">
        <v>525.0</v>
      </c>
      <c r="B527" s="128"/>
      <c r="C527" s="129"/>
      <c r="D527" s="124"/>
      <c r="E527" s="124"/>
      <c r="F527" s="124"/>
      <c r="G527" s="124"/>
      <c r="H527" s="124"/>
      <c r="I527" s="124"/>
    </row>
    <row r="528" ht="22.5" customHeight="1">
      <c r="A528" s="7">
        <v>526.0</v>
      </c>
      <c r="B528" s="128"/>
      <c r="C528" s="129"/>
      <c r="D528" s="124"/>
      <c r="E528" s="124"/>
      <c r="F528" s="124"/>
      <c r="G528" s="124"/>
      <c r="H528" s="124"/>
      <c r="I528" s="124"/>
    </row>
    <row r="529" ht="22.5" customHeight="1">
      <c r="A529" s="7">
        <v>527.0</v>
      </c>
      <c r="B529" s="128"/>
      <c r="C529" s="129"/>
      <c r="D529" s="124"/>
      <c r="E529" s="124"/>
      <c r="F529" s="124"/>
      <c r="G529" s="124"/>
      <c r="H529" s="124"/>
      <c r="I529" s="124"/>
    </row>
    <row r="530" ht="22.5" customHeight="1">
      <c r="A530" s="7">
        <v>528.0</v>
      </c>
      <c r="B530" s="128"/>
      <c r="C530" s="129"/>
      <c r="D530" s="124"/>
      <c r="E530" s="124"/>
      <c r="F530" s="124"/>
      <c r="G530" s="124"/>
      <c r="H530" s="124"/>
      <c r="I530" s="124"/>
    </row>
    <row r="531" ht="22.5" customHeight="1">
      <c r="A531" s="7">
        <v>529.0</v>
      </c>
      <c r="B531" s="128"/>
      <c r="C531" s="129"/>
      <c r="D531" s="124"/>
      <c r="E531" s="124"/>
      <c r="F531" s="124"/>
      <c r="G531" s="124"/>
      <c r="H531" s="124"/>
      <c r="I531" s="124"/>
    </row>
    <row r="532" ht="22.5" customHeight="1">
      <c r="A532" s="7">
        <v>530.0</v>
      </c>
      <c r="B532" s="128"/>
      <c r="C532" s="129"/>
      <c r="D532" s="124"/>
      <c r="E532" s="124"/>
      <c r="F532" s="124"/>
      <c r="G532" s="124"/>
      <c r="H532" s="124"/>
      <c r="I532" s="124"/>
    </row>
    <row r="533" ht="22.5" customHeight="1">
      <c r="A533" s="7">
        <v>531.0</v>
      </c>
      <c r="B533" s="128"/>
      <c r="C533" s="129"/>
      <c r="D533" s="124"/>
      <c r="E533" s="124"/>
      <c r="F533" s="124"/>
      <c r="G533" s="124"/>
      <c r="H533" s="124"/>
      <c r="I533" s="124"/>
    </row>
    <row r="534" ht="22.5" customHeight="1">
      <c r="A534" s="7">
        <v>532.0</v>
      </c>
      <c r="B534" s="128"/>
      <c r="C534" s="129"/>
      <c r="D534" s="124"/>
      <c r="E534" s="124"/>
      <c r="F534" s="124"/>
      <c r="G534" s="124"/>
      <c r="H534" s="124"/>
      <c r="I534" s="124"/>
    </row>
    <row r="535" ht="22.5" customHeight="1">
      <c r="A535" s="7">
        <v>533.0</v>
      </c>
      <c r="B535" s="128"/>
      <c r="C535" s="129"/>
      <c r="D535" s="124"/>
      <c r="E535" s="124"/>
      <c r="F535" s="124"/>
      <c r="G535" s="124"/>
      <c r="H535" s="124"/>
      <c r="I535" s="124"/>
    </row>
    <row r="536" ht="22.5" customHeight="1">
      <c r="A536" s="7">
        <v>534.0</v>
      </c>
      <c r="B536" s="128"/>
      <c r="C536" s="129"/>
      <c r="D536" s="124"/>
      <c r="E536" s="124"/>
      <c r="F536" s="124"/>
      <c r="G536" s="124"/>
      <c r="H536" s="124"/>
      <c r="I536" s="124"/>
    </row>
    <row r="537" ht="22.5" customHeight="1">
      <c r="A537" s="7">
        <v>535.0</v>
      </c>
      <c r="B537" s="128"/>
      <c r="C537" s="129"/>
      <c r="D537" s="124"/>
      <c r="E537" s="124"/>
      <c r="F537" s="124"/>
      <c r="G537" s="124"/>
      <c r="H537" s="124"/>
      <c r="I537" s="124"/>
    </row>
    <row r="538" ht="22.5" customHeight="1">
      <c r="A538" s="7">
        <v>536.0</v>
      </c>
      <c r="B538" s="128"/>
      <c r="C538" s="129"/>
      <c r="D538" s="124"/>
      <c r="E538" s="124"/>
      <c r="F538" s="124"/>
      <c r="G538" s="124"/>
      <c r="H538" s="124"/>
      <c r="I538" s="124"/>
    </row>
    <row r="539" ht="22.5" customHeight="1">
      <c r="A539" s="7">
        <v>537.0</v>
      </c>
      <c r="B539" s="128"/>
      <c r="C539" s="129"/>
      <c r="D539" s="124"/>
      <c r="E539" s="124"/>
      <c r="F539" s="124"/>
      <c r="G539" s="124"/>
      <c r="H539" s="124"/>
      <c r="I539" s="124"/>
    </row>
    <row r="540" ht="22.5" customHeight="1">
      <c r="A540" s="7">
        <v>538.0</v>
      </c>
      <c r="B540" s="128"/>
      <c r="C540" s="129"/>
      <c r="D540" s="124"/>
      <c r="E540" s="124"/>
      <c r="F540" s="124"/>
      <c r="G540" s="124"/>
      <c r="H540" s="124"/>
      <c r="I540" s="124"/>
    </row>
    <row r="541" ht="22.5" customHeight="1">
      <c r="A541" s="7">
        <v>539.0</v>
      </c>
      <c r="B541" s="128"/>
      <c r="C541" s="129"/>
      <c r="D541" s="124"/>
      <c r="E541" s="124"/>
      <c r="F541" s="124"/>
      <c r="G541" s="124"/>
      <c r="H541" s="124"/>
      <c r="I541" s="124"/>
    </row>
    <row r="542" ht="22.5" customHeight="1">
      <c r="A542" s="7">
        <v>540.0</v>
      </c>
      <c r="B542" s="128"/>
      <c r="C542" s="129"/>
      <c r="D542" s="124"/>
      <c r="E542" s="124"/>
      <c r="F542" s="124"/>
      <c r="G542" s="124"/>
      <c r="H542" s="124"/>
      <c r="I542" s="124"/>
    </row>
    <row r="543" ht="22.5" customHeight="1">
      <c r="A543" s="7">
        <v>541.0</v>
      </c>
      <c r="B543" s="128"/>
      <c r="C543" s="129"/>
      <c r="D543" s="124"/>
      <c r="E543" s="124"/>
      <c r="F543" s="124"/>
      <c r="G543" s="124"/>
      <c r="H543" s="124"/>
      <c r="I543" s="124"/>
    </row>
    <row r="544" ht="22.5" customHeight="1">
      <c r="A544" s="7">
        <v>542.0</v>
      </c>
      <c r="B544" s="128"/>
      <c r="C544" s="129"/>
      <c r="D544" s="124"/>
      <c r="E544" s="124"/>
      <c r="F544" s="124"/>
      <c r="G544" s="124"/>
      <c r="H544" s="124"/>
      <c r="I544" s="124"/>
    </row>
    <row r="545" ht="22.5" customHeight="1">
      <c r="A545" s="7">
        <v>543.0</v>
      </c>
      <c r="B545" s="128"/>
      <c r="C545" s="129"/>
      <c r="D545" s="124"/>
      <c r="E545" s="124"/>
      <c r="F545" s="124"/>
      <c r="G545" s="124"/>
      <c r="H545" s="124"/>
      <c r="I545" s="124"/>
    </row>
    <row r="546" ht="22.5" customHeight="1">
      <c r="A546" s="7">
        <v>544.0</v>
      </c>
      <c r="B546" s="128"/>
      <c r="C546" s="129"/>
      <c r="D546" s="124"/>
      <c r="E546" s="124"/>
      <c r="F546" s="124"/>
      <c r="G546" s="124"/>
      <c r="H546" s="124"/>
      <c r="I546" s="124"/>
    </row>
    <row r="547" ht="22.5" customHeight="1">
      <c r="A547" s="7">
        <v>545.0</v>
      </c>
      <c r="B547" s="128"/>
      <c r="C547" s="129"/>
      <c r="D547" s="124"/>
      <c r="E547" s="124"/>
      <c r="F547" s="124"/>
      <c r="G547" s="124"/>
      <c r="H547" s="124"/>
      <c r="I547" s="124"/>
    </row>
    <row r="548" ht="22.5" customHeight="1">
      <c r="A548" s="7">
        <v>546.0</v>
      </c>
      <c r="B548" s="128"/>
      <c r="C548" s="129"/>
      <c r="D548" s="124"/>
      <c r="E548" s="124"/>
      <c r="F548" s="124"/>
      <c r="G548" s="124"/>
      <c r="H548" s="124"/>
      <c r="I548" s="124"/>
    </row>
    <row r="549" ht="22.5" customHeight="1">
      <c r="A549" s="7">
        <v>547.0</v>
      </c>
      <c r="B549" s="128"/>
      <c r="C549" s="129"/>
      <c r="D549" s="124"/>
      <c r="E549" s="124"/>
      <c r="F549" s="124"/>
      <c r="G549" s="124"/>
      <c r="H549" s="124"/>
      <c r="I549" s="124"/>
    </row>
    <row r="550" ht="22.5" customHeight="1">
      <c r="A550" s="7">
        <v>548.0</v>
      </c>
      <c r="B550" s="128"/>
      <c r="C550" s="129"/>
      <c r="D550" s="124"/>
      <c r="E550" s="124"/>
      <c r="F550" s="124"/>
      <c r="G550" s="124"/>
      <c r="H550" s="124"/>
      <c r="I550" s="124"/>
    </row>
    <row r="551" ht="22.5" customHeight="1">
      <c r="A551" s="7">
        <v>549.0</v>
      </c>
      <c r="B551" s="128"/>
      <c r="C551" s="129"/>
      <c r="D551" s="124"/>
      <c r="E551" s="124"/>
      <c r="F551" s="124"/>
      <c r="G551" s="124"/>
      <c r="H551" s="124"/>
      <c r="I551" s="124"/>
    </row>
    <row r="552" ht="22.5" customHeight="1">
      <c r="A552" s="7">
        <v>550.0</v>
      </c>
      <c r="B552" s="128"/>
      <c r="C552" s="129"/>
      <c r="D552" s="124"/>
      <c r="E552" s="124"/>
      <c r="F552" s="124"/>
      <c r="G552" s="124"/>
      <c r="H552" s="124"/>
      <c r="I552" s="124"/>
    </row>
    <row r="553" ht="22.5" customHeight="1">
      <c r="A553" s="7">
        <v>551.0</v>
      </c>
      <c r="B553" s="128"/>
      <c r="C553" s="129"/>
      <c r="D553" s="124"/>
      <c r="E553" s="124"/>
      <c r="F553" s="124"/>
      <c r="G553" s="124"/>
      <c r="H553" s="124"/>
      <c r="I553" s="124"/>
    </row>
    <row r="554" ht="22.5" customHeight="1">
      <c r="A554" s="7">
        <v>552.0</v>
      </c>
      <c r="B554" s="128"/>
      <c r="C554" s="129"/>
      <c r="D554" s="124"/>
      <c r="E554" s="124"/>
      <c r="F554" s="124"/>
      <c r="G554" s="124"/>
      <c r="H554" s="124"/>
      <c r="I554" s="124"/>
    </row>
    <row r="555" ht="22.5" customHeight="1">
      <c r="A555" s="7">
        <v>553.0</v>
      </c>
      <c r="B555" s="128"/>
      <c r="C555" s="129"/>
      <c r="D555" s="124"/>
      <c r="E555" s="124"/>
      <c r="F555" s="124"/>
      <c r="G555" s="124"/>
      <c r="H555" s="124"/>
      <c r="I555" s="124"/>
    </row>
    <row r="556" ht="22.5" customHeight="1">
      <c r="A556" s="7">
        <v>554.0</v>
      </c>
      <c r="B556" s="128"/>
      <c r="C556" s="129"/>
      <c r="D556" s="124"/>
      <c r="E556" s="124"/>
      <c r="F556" s="124"/>
      <c r="G556" s="124"/>
      <c r="H556" s="124"/>
      <c r="I556" s="124"/>
    </row>
    <row r="557" ht="22.5" customHeight="1">
      <c r="A557" s="7">
        <v>555.0</v>
      </c>
      <c r="B557" s="128"/>
      <c r="C557" s="129"/>
      <c r="D557" s="124"/>
      <c r="E557" s="124"/>
      <c r="F557" s="124"/>
      <c r="G557" s="124"/>
      <c r="H557" s="124"/>
      <c r="I557" s="124"/>
    </row>
    <row r="558" ht="22.5" customHeight="1">
      <c r="A558" s="7">
        <v>556.0</v>
      </c>
      <c r="B558" s="128"/>
      <c r="C558" s="129"/>
      <c r="D558" s="124"/>
      <c r="E558" s="124"/>
      <c r="F558" s="124"/>
      <c r="G558" s="124"/>
      <c r="H558" s="124"/>
      <c r="I558" s="124"/>
    </row>
    <row r="559" ht="22.5" customHeight="1">
      <c r="A559" s="7">
        <v>557.0</v>
      </c>
      <c r="B559" s="128"/>
      <c r="C559" s="129"/>
      <c r="D559" s="124"/>
      <c r="E559" s="124"/>
      <c r="F559" s="124"/>
      <c r="G559" s="124"/>
      <c r="H559" s="124"/>
      <c r="I559" s="124"/>
    </row>
    <row r="560" ht="22.5" customHeight="1">
      <c r="A560" s="7">
        <v>558.0</v>
      </c>
      <c r="B560" s="128"/>
      <c r="C560" s="129"/>
      <c r="D560" s="124"/>
      <c r="E560" s="124"/>
      <c r="F560" s="124"/>
      <c r="G560" s="124"/>
      <c r="H560" s="124"/>
      <c r="I560" s="124"/>
    </row>
    <row r="561" ht="22.5" customHeight="1">
      <c r="A561" s="7">
        <v>559.0</v>
      </c>
      <c r="B561" s="128"/>
      <c r="C561" s="129"/>
      <c r="D561" s="124"/>
      <c r="E561" s="124"/>
      <c r="F561" s="124"/>
      <c r="G561" s="124"/>
      <c r="H561" s="124"/>
      <c r="I561" s="124"/>
    </row>
    <row r="562" ht="22.5" customHeight="1">
      <c r="A562" s="7">
        <v>560.0</v>
      </c>
      <c r="B562" s="128"/>
      <c r="C562" s="129"/>
      <c r="D562" s="124"/>
      <c r="E562" s="124"/>
      <c r="F562" s="124"/>
      <c r="G562" s="124"/>
      <c r="H562" s="124"/>
      <c r="I562" s="124"/>
    </row>
    <row r="563" ht="22.5" customHeight="1">
      <c r="A563" s="7">
        <v>561.0</v>
      </c>
      <c r="B563" s="128"/>
      <c r="C563" s="129"/>
      <c r="D563" s="124"/>
      <c r="E563" s="124"/>
      <c r="F563" s="124"/>
      <c r="G563" s="124"/>
      <c r="H563" s="124"/>
      <c r="I563" s="124"/>
    </row>
    <row r="564" ht="22.5" customHeight="1">
      <c r="A564" s="7">
        <v>562.0</v>
      </c>
      <c r="B564" s="128"/>
      <c r="C564" s="129"/>
      <c r="D564" s="124"/>
      <c r="E564" s="124"/>
      <c r="F564" s="124"/>
      <c r="G564" s="124"/>
      <c r="H564" s="124"/>
      <c r="I564" s="124"/>
    </row>
    <row r="565" ht="22.5" customHeight="1">
      <c r="A565" s="7">
        <v>563.0</v>
      </c>
      <c r="B565" s="128"/>
      <c r="C565" s="129"/>
      <c r="D565" s="124"/>
      <c r="E565" s="124"/>
      <c r="F565" s="124"/>
      <c r="G565" s="124"/>
      <c r="H565" s="124"/>
      <c r="I565" s="124"/>
    </row>
    <row r="566" ht="22.5" customHeight="1">
      <c r="A566" s="7">
        <v>564.0</v>
      </c>
      <c r="B566" s="128"/>
      <c r="C566" s="129"/>
      <c r="D566" s="124"/>
      <c r="E566" s="124"/>
      <c r="F566" s="124"/>
      <c r="G566" s="124"/>
      <c r="H566" s="124"/>
      <c r="I566" s="124"/>
    </row>
    <row r="567" ht="22.5" customHeight="1">
      <c r="A567" s="7">
        <v>565.0</v>
      </c>
      <c r="B567" s="128"/>
      <c r="C567" s="129"/>
      <c r="D567" s="124"/>
      <c r="E567" s="124"/>
      <c r="F567" s="124"/>
      <c r="G567" s="124"/>
      <c r="H567" s="124"/>
      <c r="I567" s="124"/>
    </row>
    <row r="568" ht="22.5" customHeight="1">
      <c r="A568" s="7">
        <v>566.0</v>
      </c>
      <c r="B568" s="128"/>
      <c r="C568" s="129"/>
      <c r="D568" s="124"/>
      <c r="E568" s="124"/>
      <c r="F568" s="124"/>
      <c r="G568" s="124"/>
      <c r="H568" s="124"/>
      <c r="I568" s="124"/>
    </row>
    <row r="569" ht="22.5" customHeight="1">
      <c r="A569" s="7">
        <v>567.0</v>
      </c>
      <c r="B569" s="128"/>
      <c r="C569" s="129"/>
      <c r="D569" s="124"/>
      <c r="E569" s="124"/>
      <c r="F569" s="124"/>
      <c r="G569" s="124"/>
      <c r="H569" s="124"/>
      <c r="I569" s="124"/>
    </row>
    <row r="570" ht="22.5" customHeight="1">
      <c r="A570" s="7">
        <v>568.0</v>
      </c>
      <c r="B570" s="128"/>
      <c r="C570" s="129"/>
      <c r="D570" s="124"/>
      <c r="E570" s="124"/>
      <c r="F570" s="124"/>
      <c r="G570" s="124"/>
      <c r="H570" s="124"/>
      <c r="I570" s="124"/>
    </row>
    <row r="571" ht="22.5" customHeight="1">
      <c r="A571" s="7">
        <v>569.0</v>
      </c>
      <c r="B571" s="128"/>
      <c r="C571" s="129"/>
      <c r="D571" s="124"/>
      <c r="E571" s="124"/>
      <c r="F571" s="124"/>
      <c r="G571" s="124"/>
      <c r="H571" s="124"/>
      <c r="I571" s="124"/>
    </row>
    <row r="572" ht="22.5" customHeight="1">
      <c r="A572" s="7">
        <v>570.0</v>
      </c>
      <c r="B572" s="128"/>
      <c r="C572" s="129"/>
      <c r="D572" s="124"/>
      <c r="E572" s="124"/>
      <c r="F572" s="124"/>
      <c r="G572" s="124"/>
      <c r="H572" s="124"/>
      <c r="I572" s="124"/>
    </row>
    <row r="573" ht="22.5" customHeight="1">
      <c r="A573" s="7">
        <v>571.0</v>
      </c>
      <c r="B573" s="128"/>
      <c r="C573" s="129"/>
      <c r="D573" s="124"/>
      <c r="E573" s="124"/>
      <c r="F573" s="124"/>
      <c r="G573" s="124"/>
      <c r="H573" s="124"/>
      <c r="I573" s="124"/>
    </row>
    <row r="574" ht="22.5" customHeight="1">
      <c r="A574" s="7">
        <v>572.0</v>
      </c>
      <c r="B574" s="128"/>
      <c r="C574" s="129"/>
      <c r="D574" s="124"/>
      <c r="E574" s="124"/>
      <c r="F574" s="124"/>
      <c r="G574" s="124"/>
      <c r="H574" s="124"/>
      <c r="I574" s="124"/>
    </row>
    <row r="575" ht="22.5" customHeight="1">
      <c r="A575" s="7">
        <v>573.0</v>
      </c>
      <c r="B575" s="128"/>
      <c r="C575" s="129"/>
      <c r="D575" s="124"/>
      <c r="E575" s="124"/>
      <c r="F575" s="124"/>
      <c r="G575" s="124"/>
      <c r="H575" s="124"/>
      <c r="I575" s="124"/>
    </row>
    <row r="576" ht="22.5" customHeight="1">
      <c r="A576" s="7">
        <v>574.0</v>
      </c>
      <c r="B576" s="128"/>
      <c r="C576" s="129"/>
      <c r="D576" s="124"/>
      <c r="E576" s="124"/>
      <c r="F576" s="124"/>
      <c r="G576" s="124"/>
      <c r="H576" s="124"/>
      <c r="I576" s="124"/>
    </row>
    <row r="577" ht="22.5" customHeight="1">
      <c r="A577" s="7">
        <v>575.0</v>
      </c>
      <c r="B577" s="128"/>
      <c r="C577" s="129"/>
      <c r="D577" s="124"/>
      <c r="E577" s="124"/>
      <c r="F577" s="124"/>
      <c r="G577" s="124"/>
      <c r="H577" s="124"/>
      <c r="I577" s="124"/>
    </row>
    <row r="578" ht="22.5" customHeight="1">
      <c r="A578" s="7">
        <v>576.0</v>
      </c>
      <c r="B578" s="128"/>
      <c r="C578" s="129"/>
      <c r="D578" s="124"/>
      <c r="E578" s="124"/>
      <c r="F578" s="124"/>
      <c r="G578" s="124"/>
      <c r="H578" s="124"/>
      <c r="I578" s="124"/>
    </row>
    <row r="579" ht="22.5" customHeight="1">
      <c r="A579" s="7">
        <v>577.0</v>
      </c>
      <c r="B579" s="128"/>
      <c r="C579" s="129"/>
      <c r="D579" s="124"/>
      <c r="E579" s="124"/>
      <c r="F579" s="124"/>
      <c r="G579" s="124"/>
      <c r="H579" s="124"/>
      <c r="I579" s="124"/>
    </row>
    <row r="580" ht="22.5" customHeight="1">
      <c r="A580" s="7">
        <v>578.0</v>
      </c>
      <c r="B580" s="128"/>
      <c r="C580" s="129"/>
      <c r="D580" s="124"/>
      <c r="E580" s="124"/>
      <c r="F580" s="124"/>
      <c r="G580" s="124"/>
      <c r="H580" s="124"/>
      <c r="I580" s="124"/>
    </row>
    <row r="581" ht="22.5" customHeight="1">
      <c r="A581" s="7">
        <v>579.0</v>
      </c>
      <c r="B581" s="128"/>
      <c r="C581" s="129"/>
      <c r="D581" s="124"/>
      <c r="E581" s="124"/>
      <c r="F581" s="124"/>
      <c r="G581" s="124"/>
      <c r="H581" s="124"/>
      <c r="I581" s="124"/>
    </row>
    <row r="582" ht="22.5" customHeight="1">
      <c r="A582" s="7">
        <v>580.0</v>
      </c>
      <c r="B582" s="128"/>
      <c r="C582" s="129"/>
      <c r="D582" s="124"/>
      <c r="E582" s="124"/>
      <c r="F582" s="124"/>
      <c r="G582" s="124"/>
      <c r="H582" s="124"/>
      <c r="I582" s="124"/>
    </row>
    <row r="583" ht="22.5" customHeight="1">
      <c r="A583" s="7">
        <v>581.0</v>
      </c>
      <c r="B583" s="128"/>
      <c r="C583" s="129"/>
      <c r="D583" s="124"/>
      <c r="E583" s="124"/>
      <c r="F583" s="124"/>
      <c r="G583" s="124"/>
      <c r="H583" s="124"/>
      <c r="I583" s="124"/>
    </row>
    <row r="584" ht="22.5" customHeight="1">
      <c r="A584" s="7">
        <v>582.0</v>
      </c>
      <c r="B584" s="128"/>
      <c r="C584" s="129"/>
      <c r="D584" s="124"/>
      <c r="E584" s="124"/>
      <c r="F584" s="124"/>
      <c r="G584" s="124"/>
      <c r="H584" s="124"/>
      <c r="I584" s="124"/>
    </row>
    <row r="585" ht="22.5" customHeight="1">
      <c r="A585" s="7">
        <v>583.0</v>
      </c>
      <c r="B585" s="128"/>
      <c r="C585" s="129"/>
      <c r="D585" s="124"/>
      <c r="E585" s="124"/>
      <c r="F585" s="124"/>
      <c r="G585" s="124"/>
      <c r="H585" s="124"/>
      <c r="I585" s="124"/>
    </row>
    <row r="586" ht="22.5" customHeight="1">
      <c r="A586" s="7">
        <v>584.0</v>
      </c>
      <c r="B586" s="128"/>
      <c r="C586" s="129"/>
      <c r="D586" s="124"/>
      <c r="E586" s="124"/>
      <c r="F586" s="124"/>
      <c r="G586" s="124"/>
      <c r="H586" s="124"/>
      <c r="I586" s="124"/>
    </row>
    <row r="587" ht="22.5" customHeight="1">
      <c r="A587" s="7">
        <v>585.0</v>
      </c>
      <c r="B587" s="128"/>
      <c r="C587" s="129"/>
      <c r="D587" s="124"/>
      <c r="E587" s="124"/>
      <c r="F587" s="124"/>
      <c r="G587" s="124"/>
      <c r="H587" s="124"/>
      <c r="I587" s="124"/>
    </row>
    <row r="588" ht="22.5" customHeight="1">
      <c r="A588" s="7">
        <v>586.0</v>
      </c>
      <c r="B588" s="128"/>
      <c r="C588" s="129"/>
      <c r="D588" s="124"/>
      <c r="E588" s="124"/>
      <c r="F588" s="124"/>
      <c r="G588" s="124"/>
      <c r="H588" s="124"/>
      <c r="I588" s="124"/>
    </row>
    <row r="589" ht="22.5" customHeight="1">
      <c r="A589" s="7">
        <v>587.0</v>
      </c>
      <c r="B589" s="128"/>
      <c r="C589" s="129"/>
      <c r="D589" s="124"/>
      <c r="E589" s="124"/>
      <c r="F589" s="124"/>
      <c r="G589" s="124"/>
      <c r="H589" s="124"/>
      <c r="I589" s="124"/>
    </row>
    <row r="590" ht="22.5" customHeight="1">
      <c r="A590" s="7">
        <v>588.0</v>
      </c>
      <c r="B590" s="128"/>
      <c r="C590" s="129"/>
      <c r="D590" s="124"/>
      <c r="E590" s="124"/>
      <c r="F590" s="124"/>
      <c r="G590" s="124"/>
      <c r="H590" s="124"/>
      <c r="I590" s="124"/>
    </row>
    <row r="591" ht="22.5" customHeight="1">
      <c r="A591" s="7">
        <v>589.0</v>
      </c>
      <c r="B591" s="128"/>
      <c r="C591" s="129"/>
      <c r="D591" s="124"/>
      <c r="E591" s="124"/>
      <c r="F591" s="124"/>
      <c r="G591" s="124"/>
      <c r="H591" s="124"/>
      <c r="I591" s="124"/>
    </row>
    <row r="592" ht="22.5" customHeight="1">
      <c r="A592" s="7">
        <v>590.0</v>
      </c>
      <c r="B592" s="128"/>
      <c r="C592" s="129"/>
      <c r="D592" s="124"/>
      <c r="E592" s="124"/>
      <c r="F592" s="124"/>
      <c r="G592" s="124"/>
      <c r="H592" s="124"/>
      <c r="I592" s="124"/>
    </row>
    <row r="593" ht="22.5" customHeight="1">
      <c r="A593" s="7">
        <v>591.0</v>
      </c>
      <c r="B593" s="128"/>
      <c r="C593" s="129"/>
      <c r="D593" s="124"/>
      <c r="E593" s="124"/>
      <c r="F593" s="124"/>
      <c r="G593" s="124"/>
      <c r="H593" s="124"/>
      <c r="I593" s="124"/>
    </row>
    <row r="594" ht="22.5" customHeight="1">
      <c r="A594" s="7">
        <v>592.0</v>
      </c>
      <c r="B594" s="128"/>
      <c r="C594" s="129"/>
      <c r="D594" s="124"/>
      <c r="E594" s="124"/>
      <c r="F594" s="124"/>
      <c r="G594" s="124"/>
      <c r="H594" s="124"/>
      <c r="I594" s="124"/>
    </row>
    <row r="595" ht="22.5" customHeight="1">
      <c r="A595" s="7">
        <v>593.0</v>
      </c>
      <c r="B595" s="128"/>
      <c r="C595" s="129"/>
      <c r="D595" s="124"/>
      <c r="E595" s="124"/>
      <c r="F595" s="124"/>
      <c r="G595" s="124"/>
      <c r="H595" s="124"/>
      <c r="I595" s="124"/>
    </row>
    <row r="596" ht="22.5" customHeight="1">
      <c r="A596" s="7">
        <v>594.0</v>
      </c>
      <c r="B596" s="128"/>
      <c r="C596" s="129"/>
      <c r="D596" s="124"/>
      <c r="E596" s="124"/>
      <c r="F596" s="124"/>
      <c r="G596" s="124"/>
      <c r="H596" s="124"/>
      <c r="I596" s="124"/>
    </row>
    <row r="597" ht="22.5" customHeight="1">
      <c r="A597" s="7">
        <v>595.0</v>
      </c>
      <c r="B597" s="128"/>
      <c r="C597" s="129"/>
      <c r="D597" s="124"/>
      <c r="E597" s="124"/>
      <c r="F597" s="124"/>
      <c r="G597" s="124"/>
      <c r="H597" s="124"/>
      <c r="I597" s="124"/>
    </row>
    <row r="598" ht="22.5" customHeight="1">
      <c r="A598" s="7">
        <v>596.0</v>
      </c>
      <c r="B598" s="128"/>
      <c r="C598" s="129"/>
      <c r="D598" s="124"/>
      <c r="E598" s="124"/>
      <c r="F598" s="124"/>
      <c r="G598" s="124"/>
      <c r="H598" s="124"/>
      <c r="I598" s="124"/>
    </row>
    <row r="599" ht="22.5" customHeight="1">
      <c r="A599" s="7">
        <v>597.0</v>
      </c>
      <c r="B599" s="128"/>
      <c r="C599" s="129"/>
      <c r="D599" s="124"/>
      <c r="E599" s="124"/>
      <c r="F599" s="124"/>
      <c r="G599" s="124"/>
      <c r="H599" s="124"/>
      <c r="I599" s="124"/>
    </row>
    <row r="600" ht="22.5" customHeight="1">
      <c r="A600" s="7">
        <v>598.0</v>
      </c>
      <c r="B600" s="128"/>
      <c r="C600" s="129"/>
      <c r="D600" s="124"/>
      <c r="E600" s="124"/>
      <c r="F600" s="124"/>
      <c r="G600" s="124"/>
      <c r="H600" s="124"/>
      <c r="I600" s="124"/>
    </row>
    <row r="601" ht="22.5" customHeight="1">
      <c r="A601" s="7">
        <v>599.0</v>
      </c>
      <c r="B601" s="128"/>
      <c r="C601" s="129"/>
      <c r="D601" s="124"/>
      <c r="E601" s="124"/>
      <c r="F601" s="124"/>
      <c r="G601" s="124"/>
      <c r="H601" s="124"/>
      <c r="I601" s="124"/>
    </row>
    <row r="602" ht="22.5" customHeight="1">
      <c r="A602" s="7">
        <v>600.0</v>
      </c>
      <c r="B602" s="128"/>
      <c r="C602" s="129"/>
      <c r="D602" s="124"/>
      <c r="E602" s="124"/>
      <c r="F602" s="124"/>
      <c r="G602" s="124"/>
      <c r="H602" s="124"/>
      <c r="I602" s="124"/>
    </row>
    <row r="603" ht="22.5" customHeight="1">
      <c r="A603" s="7">
        <v>601.0</v>
      </c>
      <c r="B603" s="128"/>
      <c r="C603" s="129"/>
      <c r="D603" s="124"/>
      <c r="E603" s="124"/>
      <c r="F603" s="124"/>
      <c r="G603" s="124"/>
      <c r="H603" s="124"/>
      <c r="I603" s="124"/>
    </row>
    <row r="604" ht="22.5" customHeight="1">
      <c r="A604" s="7">
        <v>602.0</v>
      </c>
      <c r="B604" s="128"/>
      <c r="C604" s="129"/>
      <c r="D604" s="124"/>
      <c r="E604" s="124"/>
      <c r="F604" s="124"/>
      <c r="G604" s="124"/>
      <c r="H604" s="124"/>
      <c r="I604" s="124"/>
    </row>
    <row r="605" ht="22.5" customHeight="1">
      <c r="A605" s="7">
        <v>603.0</v>
      </c>
      <c r="B605" s="128"/>
      <c r="C605" s="129"/>
      <c r="D605" s="124"/>
      <c r="E605" s="124"/>
      <c r="F605" s="124"/>
      <c r="G605" s="124"/>
      <c r="H605" s="124"/>
      <c r="I605" s="124"/>
    </row>
    <row r="606" ht="22.5" customHeight="1">
      <c r="A606" s="7">
        <v>604.0</v>
      </c>
      <c r="B606" s="128"/>
      <c r="C606" s="129"/>
      <c r="D606" s="124"/>
      <c r="E606" s="124"/>
      <c r="F606" s="124"/>
      <c r="G606" s="124"/>
      <c r="H606" s="124"/>
      <c r="I606" s="124"/>
    </row>
    <row r="607" ht="22.5" customHeight="1">
      <c r="A607" s="7">
        <v>605.0</v>
      </c>
      <c r="B607" s="128"/>
      <c r="C607" s="129"/>
      <c r="D607" s="124"/>
      <c r="E607" s="124"/>
      <c r="F607" s="124"/>
      <c r="G607" s="124"/>
      <c r="H607" s="124"/>
      <c r="I607" s="124"/>
    </row>
    <row r="608" ht="22.5" customHeight="1">
      <c r="A608" s="8"/>
      <c r="B608" s="128"/>
      <c r="C608" s="129"/>
      <c r="D608" s="124"/>
      <c r="E608" s="124"/>
      <c r="F608" s="124"/>
      <c r="G608" s="124"/>
      <c r="H608" s="124"/>
      <c r="I608" s="124"/>
    </row>
    <row r="609" ht="22.5" customHeight="1">
      <c r="A609" s="8"/>
      <c r="B609" s="128"/>
      <c r="C609" s="129"/>
      <c r="D609" s="124"/>
      <c r="E609" s="124"/>
      <c r="F609" s="124"/>
      <c r="G609" s="124"/>
      <c r="H609" s="124"/>
      <c r="I609" s="124"/>
    </row>
    <row r="610" ht="22.5" customHeight="1">
      <c r="A610" s="8"/>
      <c r="B610" s="128"/>
      <c r="C610" s="129"/>
      <c r="D610" s="124"/>
      <c r="E610" s="124"/>
      <c r="F610" s="124"/>
      <c r="G610" s="124"/>
      <c r="H610" s="124"/>
      <c r="I610" s="124"/>
    </row>
    <row r="611" ht="22.5" customHeight="1">
      <c r="A611" s="8"/>
      <c r="B611" s="128"/>
      <c r="C611" s="129"/>
      <c r="D611" s="124"/>
      <c r="E611" s="124"/>
      <c r="F611" s="124"/>
      <c r="G611" s="124"/>
      <c r="H611" s="124"/>
      <c r="I611" s="124"/>
    </row>
    <row r="612" ht="22.5" customHeight="1">
      <c r="A612" s="8"/>
      <c r="B612" s="128"/>
      <c r="C612" s="129"/>
      <c r="D612" s="124"/>
      <c r="E612" s="124"/>
      <c r="F612" s="124"/>
      <c r="G612" s="124"/>
      <c r="H612" s="124"/>
      <c r="I612" s="124"/>
    </row>
    <row r="613" ht="22.5" customHeight="1">
      <c r="A613" s="8"/>
      <c r="B613" s="128"/>
      <c r="C613" s="129"/>
      <c r="D613" s="124"/>
      <c r="E613" s="124"/>
      <c r="F613" s="124"/>
      <c r="G613" s="124"/>
      <c r="H613" s="124"/>
      <c r="I613" s="124"/>
    </row>
    <row r="614" ht="22.5" customHeight="1">
      <c r="A614" s="8"/>
      <c r="B614" s="128"/>
      <c r="C614" s="129"/>
      <c r="D614" s="124"/>
      <c r="E614" s="124"/>
      <c r="F614" s="124"/>
      <c r="G614" s="124"/>
      <c r="H614" s="124"/>
      <c r="I614" s="124"/>
    </row>
    <row r="615" ht="22.5" customHeight="1">
      <c r="A615" s="8"/>
      <c r="B615" s="128"/>
      <c r="C615" s="129"/>
      <c r="D615" s="124"/>
      <c r="E615" s="124"/>
      <c r="F615" s="124"/>
      <c r="G615" s="124"/>
      <c r="H615" s="124"/>
      <c r="I615" s="124"/>
    </row>
    <row r="616" ht="22.5" customHeight="1">
      <c r="A616" s="8"/>
      <c r="B616" s="128"/>
      <c r="C616" s="129"/>
      <c r="D616" s="124"/>
      <c r="E616" s="124"/>
      <c r="F616" s="124"/>
      <c r="G616" s="124"/>
      <c r="H616" s="124"/>
      <c r="I616" s="124"/>
    </row>
    <row r="617" ht="22.5" customHeight="1">
      <c r="A617" s="8"/>
      <c r="B617" s="128"/>
      <c r="C617" s="129"/>
      <c r="D617" s="124"/>
      <c r="E617" s="124"/>
      <c r="F617" s="124"/>
      <c r="G617" s="124"/>
      <c r="H617" s="124"/>
      <c r="I617" s="124"/>
    </row>
    <row r="618" ht="22.5" customHeight="1">
      <c r="A618" s="8"/>
      <c r="B618" s="128"/>
      <c r="C618" s="129"/>
      <c r="D618" s="124"/>
      <c r="E618" s="124"/>
      <c r="F618" s="124"/>
      <c r="G618" s="124"/>
      <c r="H618" s="124"/>
      <c r="I618" s="124"/>
    </row>
    <row r="619" ht="22.5" customHeight="1">
      <c r="A619" s="8"/>
      <c r="B619" s="128"/>
      <c r="C619" s="129"/>
      <c r="D619" s="124"/>
      <c r="E619" s="124"/>
      <c r="F619" s="124"/>
      <c r="G619" s="124"/>
      <c r="H619" s="124"/>
      <c r="I619" s="124"/>
    </row>
    <row r="620" ht="22.5" customHeight="1">
      <c r="A620" s="8"/>
      <c r="B620" s="128"/>
      <c r="C620" s="129"/>
      <c r="D620" s="124"/>
      <c r="E620" s="124"/>
      <c r="F620" s="124"/>
      <c r="G620" s="124"/>
      <c r="H620" s="124"/>
      <c r="I620" s="124"/>
    </row>
    <row r="621" ht="22.5" customHeight="1">
      <c r="A621" s="8"/>
      <c r="B621" s="128"/>
      <c r="C621" s="129"/>
      <c r="D621" s="124"/>
      <c r="E621" s="124"/>
      <c r="F621" s="124"/>
      <c r="G621" s="124"/>
      <c r="H621" s="124"/>
      <c r="I621" s="124"/>
    </row>
    <row r="622" ht="22.5" customHeight="1">
      <c r="A622" s="8"/>
      <c r="B622" s="128"/>
      <c r="C622" s="129"/>
      <c r="D622" s="124"/>
      <c r="E622" s="124"/>
      <c r="F622" s="124"/>
      <c r="G622" s="124"/>
      <c r="H622" s="124"/>
      <c r="I622" s="124"/>
    </row>
    <row r="623" ht="22.5" customHeight="1">
      <c r="A623" s="8"/>
      <c r="B623" s="128"/>
      <c r="C623" s="129"/>
      <c r="D623" s="124"/>
      <c r="E623" s="124"/>
      <c r="F623" s="124"/>
      <c r="G623" s="124"/>
      <c r="H623" s="124"/>
      <c r="I623" s="124"/>
    </row>
    <row r="624" ht="22.5" customHeight="1">
      <c r="A624" s="8"/>
      <c r="B624" s="128"/>
      <c r="C624" s="129"/>
      <c r="D624" s="124"/>
      <c r="E624" s="124"/>
      <c r="F624" s="124"/>
      <c r="G624" s="124"/>
      <c r="H624" s="124"/>
      <c r="I624" s="124"/>
    </row>
    <row r="625" ht="22.5" customHeight="1">
      <c r="A625" s="8"/>
      <c r="B625" s="128"/>
      <c r="C625" s="129"/>
      <c r="D625" s="124"/>
      <c r="E625" s="124"/>
      <c r="F625" s="124"/>
      <c r="G625" s="124"/>
      <c r="H625" s="124"/>
      <c r="I625" s="124"/>
    </row>
    <row r="626" ht="22.5" customHeight="1">
      <c r="A626" s="8"/>
      <c r="B626" s="128"/>
      <c r="C626" s="129"/>
      <c r="D626" s="124"/>
      <c r="E626" s="124"/>
      <c r="F626" s="124"/>
      <c r="G626" s="124"/>
      <c r="H626" s="124"/>
      <c r="I626" s="124"/>
    </row>
    <row r="627" ht="22.5" customHeight="1">
      <c r="A627" s="8"/>
      <c r="B627" s="128"/>
      <c r="C627" s="129"/>
      <c r="D627" s="124"/>
      <c r="E627" s="124"/>
      <c r="F627" s="124"/>
      <c r="G627" s="124"/>
      <c r="H627" s="124"/>
      <c r="I627" s="124"/>
    </row>
    <row r="628" ht="22.5" customHeight="1">
      <c r="A628" s="8"/>
      <c r="B628" s="128"/>
      <c r="C628" s="129"/>
      <c r="D628" s="124"/>
      <c r="E628" s="124"/>
      <c r="F628" s="124"/>
      <c r="G628" s="124"/>
      <c r="H628" s="124"/>
      <c r="I628" s="124"/>
    </row>
    <row r="629" ht="22.5" customHeight="1">
      <c r="A629" s="8"/>
      <c r="B629" s="128"/>
      <c r="C629" s="129"/>
      <c r="D629" s="124"/>
      <c r="E629" s="124"/>
      <c r="F629" s="124"/>
      <c r="G629" s="124"/>
      <c r="H629" s="124"/>
      <c r="I629" s="124"/>
    </row>
    <row r="630" ht="22.5" customHeight="1">
      <c r="A630" s="8"/>
      <c r="B630" s="128"/>
      <c r="C630" s="129"/>
      <c r="D630" s="124"/>
      <c r="E630" s="124"/>
      <c r="F630" s="124"/>
      <c r="G630" s="124"/>
      <c r="H630" s="124"/>
      <c r="I630" s="124"/>
    </row>
    <row r="631" ht="22.5" customHeight="1">
      <c r="A631" s="8"/>
      <c r="B631" s="128"/>
      <c r="C631" s="129"/>
      <c r="D631" s="124"/>
      <c r="E631" s="124"/>
      <c r="F631" s="124"/>
      <c r="G631" s="124"/>
      <c r="H631" s="124"/>
      <c r="I631" s="124"/>
    </row>
    <row r="632" ht="22.5" customHeight="1">
      <c r="A632" s="8"/>
      <c r="B632" s="128"/>
      <c r="C632" s="129"/>
      <c r="D632" s="124"/>
      <c r="E632" s="124"/>
      <c r="F632" s="124"/>
      <c r="G632" s="124"/>
      <c r="H632" s="124"/>
      <c r="I632" s="124"/>
    </row>
    <row r="633" ht="22.5" customHeight="1">
      <c r="A633" s="8"/>
      <c r="B633" s="128"/>
      <c r="C633" s="129"/>
      <c r="D633" s="124"/>
      <c r="E633" s="124"/>
      <c r="F633" s="124"/>
      <c r="G633" s="124"/>
      <c r="H633" s="124"/>
      <c r="I633" s="124"/>
    </row>
    <row r="634" ht="22.5" customHeight="1">
      <c r="A634" s="8"/>
      <c r="B634" s="128"/>
      <c r="C634" s="129"/>
      <c r="D634" s="124"/>
      <c r="E634" s="124"/>
      <c r="F634" s="124"/>
      <c r="G634" s="124"/>
      <c r="H634" s="124"/>
      <c r="I634" s="124"/>
    </row>
    <row r="635" ht="22.5" customHeight="1">
      <c r="A635" s="8"/>
      <c r="B635" s="128"/>
      <c r="C635" s="129"/>
      <c r="D635" s="124"/>
      <c r="E635" s="124"/>
      <c r="F635" s="124"/>
      <c r="G635" s="124"/>
      <c r="H635" s="124"/>
      <c r="I635" s="124"/>
    </row>
    <row r="636" ht="22.5" customHeight="1">
      <c r="A636" s="8"/>
      <c r="B636" s="128"/>
      <c r="C636" s="129"/>
      <c r="D636" s="124"/>
      <c r="E636" s="124"/>
      <c r="F636" s="124"/>
      <c r="G636" s="124"/>
      <c r="H636" s="124"/>
      <c r="I636" s="124"/>
    </row>
    <row r="637" ht="22.5" customHeight="1">
      <c r="A637" s="8"/>
      <c r="B637" s="128"/>
      <c r="C637" s="129"/>
      <c r="D637" s="124"/>
      <c r="E637" s="124"/>
      <c r="F637" s="124"/>
      <c r="G637" s="124"/>
      <c r="H637" s="124"/>
      <c r="I637" s="124"/>
    </row>
    <row r="638" ht="22.5" customHeight="1">
      <c r="A638" s="8"/>
      <c r="B638" s="128"/>
      <c r="C638" s="129"/>
      <c r="D638" s="124"/>
      <c r="E638" s="124"/>
      <c r="F638" s="124"/>
      <c r="G638" s="124"/>
      <c r="H638" s="124"/>
      <c r="I638" s="124"/>
    </row>
    <row r="639" ht="22.5" customHeight="1">
      <c r="A639" s="8"/>
      <c r="B639" s="128"/>
      <c r="C639" s="129"/>
      <c r="D639" s="124"/>
      <c r="E639" s="124"/>
      <c r="F639" s="124"/>
      <c r="G639" s="124"/>
      <c r="H639" s="124"/>
      <c r="I639" s="124"/>
    </row>
    <row r="640" ht="22.5" customHeight="1">
      <c r="A640" s="8"/>
      <c r="B640" s="128"/>
      <c r="C640" s="129"/>
      <c r="D640" s="124"/>
      <c r="E640" s="124"/>
      <c r="F640" s="124"/>
      <c r="G640" s="124"/>
      <c r="H640" s="124"/>
      <c r="I640" s="124"/>
    </row>
    <row r="641" ht="22.5" customHeight="1">
      <c r="A641" s="8"/>
      <c r="B641" s="128"/>
      <c r="C641" s="129"/>
      <c r="D641" s="124"/>
      <c r="E641" s="124"/>
      <c r="F641" s="124"/>
      <c r="G641" s="124"/>
      <c r="H641" s="124"/>
      <c r="I641" s="124"/>
    </row>
    <row r="642" ht="22.5" customHeight="1">
      <c r="A642" s="8"/>
      <c r="B642" s="128"/>
      <c r="C642" s="129"/>
      <c r="D642" s="124"/>
      <c r="E642" s="124"/>
      <c r="F642" s="124"/>
      <c r="G642" s="124"/>
      <c r="H642" s="124"/>
      <c r="I642" s="124"/>
    </row>
    <row r="643" ht="22.5" customHeight="1">
      <c r="A643" s="8"/>
      <c r="B643" s="128"/>
      <c r="C643" s="129"/>
      <c r="D643" s="124"/>
      <c r="E643" s="124"/>
      <c r="F643" s="124"/>
      <c r="G643" s="124"/>
      <c r="H643" s="124"/>
      <c r="I643" s="124"/>
    </row>
    <row r="644" ht="22.5" customHeight="1">
      <c r="A644" s="8"/>
      <c r="B644" s="128"/>
      <c r="C644" s="129"/>
      <c r="D644" s="124"/>
      <c r="E644" s="124"/>
      <c r="F644" s="124"/>
      <c r="G644" s="124"/>
      <c r="H644" s="124"/>
      <c r="I644" s="124"/>
    </row>
    <row r="645" ht="22.5" customHeight="1">
      <c r="A645" s="8"/>
      <c r="B645" s="128"/>
      <c r="C645" s="129"/>
      <c r="D645" s="124"/>
      <c r="E645" s="124"/>
      <c r="F645" s="124"/>
      <c r="G645" s="124"/>
      <c r="H645" s="124"/>
      <c r="I645" s="124"/>
    </row>
    <row r="646" ht="22.5" customHeight="1">
      <c r="A646" s="8"/>
      <c r="B646" s="128"/>
      <c r="C646" s="129"/>
      <c r="D646" s="124"/>
      <c r="E646" s="124"/>
      <c r="F646" s="124"/>
      <c r="G646" s="124"/>
      <c r="H646" s="124"/>
      <c r="I646" s="124"/>
    </row>
    <row r="647" ht="22.5" customHeight="1">
      <c r="A647" s="8"/>
      <c r="B647" s="128"/>
      <c r="C647" s="129"/>
      <c r="D647" s="124"/>
      <c r="E647" s="124"/>
      <c r="F647" s="124"/>
      <c r="G647" s="124"/>
      <c r="H647" s="124"/>
      <c r="I647" s="124"/>
    </row>
    <row r="648" ht="22.5" customHeight="1">
      <c r="A648" s="8"/>
      <c r="B648" s="128"/>
      <c r="C648" s="129"/>
      <c r="D648" s="124"/>
      <c r="E648" s="124"/>
      <c r="F648" s="124"/>
      <c r="G648" s="124"/>
      <c r="H648" s="124"/>
      <c r="I648" s="124"/>
    </row>
    <row r="649" ht="22.5" customHeight="1">
      <c r="A649" s="8"/>
      <c r="B649" s="128"/>
      <c r="C649" s="129"/>
      <c r="D649" s="124"/>
      <c r="E649" s="124"/>
      <c r="F649" s="124"/>
      <c r="G649" s="124"/>
      <c r="H649" s="124"/>
      <c r="I649" s="124"/>
    </row>
    <row r="650" ht="22.5" customHeight="1">
      <c r="A650" s="8"/>
      <c r="B650" s="128"/>
      <c r="C650" s="129"/>
      <c r="D650" s="124"/>
      <c r="E650" s="124"/>
      <c r="F650" s="124"/>
      <c r="G650" s="124"/>
      <c r="H650" s="124"/>
      <c r="I650" s="124"/>
    </row>
    <row r="651" ht="22.5" customHeight="1">
      <c r="A651" s="8"/>
      <c r="B651" s="128"/>
      <c r="C651" s="129"/>
      <c r="D651" s="124"/>
      <c r="E651" s="124"/>
      <c r="F651" s="124"/>
      <c r="G651" s="124"/>
      <c r="H651" s="124"/>
      <c r="I651" s="124"/>
    </row>
    <row r="652" ht="22.5" customHeight="1">
      <c r="A652" s="8"/>
      <c r="B652" s="128"/>
      <c r="C652" s="129"/>
      <c r="D652" s="124"/>
      <c r="E652" s="124"/>
      <c r="F652" s="124"/>
      <c r="G652" s="124"/>
      <c r="H652" s="124"/>
      <c r="I652" s="124"/>
    </row>
    <row r="653" ht="22.5" customHeight="1">
      <c r="A653" s="8"/>
      <c r="B653" s="128"/>
      <c r="C653" s="129"/>
      <c r="D653" s="124"/>
      <c r="E653" s="124"/>
      <c r="F653" s="124"/>
      <c r="G653" s="124"/>
      <c r="H653" s="124"/>
      <c r="I653" s="124"/>
    </row>
    <row r="654" ht="22.5" customHeight="1">
      <c r="A654" s="8"/>
      <c r="B654" s="128"/>
      <c r="C654" s="129"/>
      <c r="D654" s="124"/>
      <c r="E654" s="124"/>
      <c r="F654" s="124"/>
      <c r="G654" s="124"/>
      <c r="H654" s="124"/>
      <c r="I654" s="124"/>
    </row>
    <row r="655" ht="22.5" customHeight="1">
      <c r="A655" s="8"/>
      <c r="B655" s="128"/>
      <c r="C655" s="129"/>
      <c r="D655" s="124"/>
      <c r="E655" s="124"/>
      <c r="F655" s="124"/>
      <c r="G655" s="124"/>
      <c r="H655" s="124"/>
      <c r="I655" s="124"/>
    </row>
    <row r="656" ht="22.5" customHeight="1">
      <c r="A656" s="8"/>
      <c r="B656" s="128"/>
      <c r="C656" s="129"/>
      <c r="D656" s="124"/>
      <c r="E656" s="124"/>
      <c r="F656" s="124"/>
      <c r="G656" s="124"/>
      <c r="H656" s="124"/>
      <c r="I656" s="124"/>
    </row>
    <row r="657" ht="22.5" customHeight="1">
      <c r="A657" s="8"/>
      <c r="B657" s="128"/>
      <c r="C657" s="129"/>
      <c r="D657" s="124"/>
      <c r="E657" s="124"/>
      <c r="F657" s="124"/>
      <c r="G657" s="124"/>
      <c r="H657" s="124"/>
      <c r="I657" s="124"/>
    </row>
    <row r="658" ht="22.5" customHeight="1">
      <c r="A658" s="8"/>
      <c r="B658" s="128"/>
      <c r="C658" s="129"/>
      <c r="D658" s="124"/>
      <c r="E658" s="124"/>
      <c r="F658" s="124"/>
      <c r="G658" s="124"/>
      <c r="H658" s="124"/>
      <c r="I658" s="124"/>
    </row>
    <row r="659" ht="22.5" customHeight="1">
      <c r="A659" s="8"/>
      <c r="B659" s="128"/>
      <c r="C659" s="129"/>
      <c r="D659" s="124"/>
      <c r="E659" s="124"/>
      <c r="F659" s="124"/>
      <c r="G659" s="124"/>
      <c r="H659" s="124"/>
      <c r="I659" s="124"/>
    </row>
    <row r="660" ht="22.5" customHeight="1">
      <c r="A660" s="8"/>
      <c r="B660" s="128"/>
      <c r="C660" s="129"/>
      <c r="D660" s="124"/>
      <c r="E660" s="124"/>
      <c r="F660" s="124"/>
      <c r="G660" s="124"/>
      <c r="H660" s="124"/>
      <c r="I660" s="124"/>
    </row>
    <row r="661" ht="22.5" customHeight="1">
      <c r="A661" s="8"/>
      <c r="B661" s="128"/>
      <c r="C661" s="129"/>
      <c r="D661" s="124"/>
      <c r="E661" s="124"/>
      <c r="F661" s="124"/>
      <c r="G661" s="124"/>
      <c r="H661" s="124"/>
      <c r="I661" s="124"/>
    </row>
    <row r="662" ht="22.5" customHeight="1">
      <c r="A662" s="8"/>
      <c r="B662" s="128"/>
      <c r="C662" s="129"/>
      <c r="D662" s="124"/>
      <c r="E662" s="124"/>
      <c r="F662" s="124"/>
      <c r="G662" s="124"/>
      <c r="H662" s="124"/>
      <c r="I662" s="124"/>
    </row>
    <row r="663" ht="22.5" customHeight="1">
      <c r="A663" s="8"/>
      <c r="B663" s="128"/>
      <c r="C663" s="129"/>
      <c r="D663" s="124"/>
      <c r="E663" s="124"/>
      <c r="F663" s="124"/>
      <c r="G663" s="124"/>
      <c r="H663" s="124"/>
      <c r="I663" s="124"/>
    </row>
    <row r="664" ht="22.5" customHeight="1">
      <c r="A664" s="8"/>
      <c r="B664" s="128"/>
      <c r="C664" s="129"/>
      <c r="D664" s="124"/>
      <c r="E664" s="124"/>
      <c r="F664" s="124"/>
      <c r="G664" s="124"/>
      <c r="H664" s="124"/>
      <c r="I664" s="124"/>
    </row>
    <row r="665" ht="22.5" customHeight="1">
      <c r="A665" s="8"/>
      <c r="B665" s="128"/>
      <c r="C665" s="129"/>
      <c r="D665" s="124"/>
      <c r="E665" s="124"/>
      <c r="F665" s="124"/>
      <c r="G665" s="124"/>
      <c r="H665" s="124"/>
      <c r="I665" s="124"/>
    </row>
    <row r="666" ht="22.5" customHeight="1">
      <c r="A666" s="8"/>
      <c r="B666" s="128"/>
      <c r="C666" s="129"/>
      <c r="D666" s="124"/>
      <c r="E666" s="124"/>
      <c r="F666" s="124"/>
      <c r="G666" s="124"/>
      <c r="H666" s="124"/>
      <c r="I666" s="124"/>
    </row>
    <row r="667" ht="22.5" customHeight="1">
      <c r="A667" s="8"/>
      <c r="B667" s="128"/>
      <c r="C667" s="129"/>
      <c r="D667" s="124"/>
      <c r="E667" s="124"/>
      <c r="F667" s="124"/>
      <c r="G667" s="124"/>
      <c r="H667" s="124"/>
      <c r="I667" s="124"/>
    </row>
    <row r="668" ht="22.5" customHeight="1">
      <c r="A668" s="8"/>
      <c r="B668" s="128"/>
      <c r="C668" s="129"/>
      <c r="D668" s="124"/>
      <c r="E668" s="124"/>
      <c r="F668" s="124"/>
      <c r="G668" s="124"/>
      <c r="H668" s="124"/>
      <c r="I668" s="124"/>
    </row>
    <row r="669" ht="22.5" customHeight="1">
      <c r="A669" s="8"/>
      <c r="B669" s="128"/>
      <c r="C669" s="129"/>
      <c r="D669" s="124"/>
      <c r="E669" s="124"/>
      <c r="F669" s="124"/>
      <c r="G669" s="124"/>
      <c r="H669" s="124"/>
      <c r="I669" s="124"/>
    </row>
    <row r="670" ht="22.5" customHeight="1">
      <c r="A670" s="8"/>
      <c r="B670" s="128"/>
      <c r="C670" s="129"/>
      <c r="D670" s="124"/>
      <c r="E670" s="124"/>
      <c r="F670" s="124"/>
      <c r="G670" s="124"/>
      <c r="H670" s="124"/>
      <c r="I670" s="124"/>
    </row>
    <row r="671" ht="22.5" customHeight="1">
      <c r="A671" s="8"/>
      <c r="B671" s="128"/>
      <c r="C671" s="129"/>
      <c r="D671" s="124"/>
      <c r="E671" s="124"/>
      <c r="F671" s="124"/>
      <c r="G671" s="124"/>
      <c r="H671" s="124"/>
      <c r="I671" s="124"/>
    </row>
    <row r="672" ht="22.5" customHeight="1">
      <c r="A672" s="8"/>
      <c r="B672" s="128"/>
      <c r="C672" s="129"/>
      <c r="D672" s="124"/>
      <c r="E672" s="124"/>
      <c r="F672" s="124"/>
      <c r="G672" s="124"/>
      <c r="H672" s="124"/>
      <c r="I672" s="124"/>
    </row>
    <row r="673" ht="22.5" customHeight="1">
      <c r="A673" s="8"/>
      <c r="B673" s="128"/>
      <c r="C673" s="129"/>
      <c r="D673" s="124"/>
      <c r="E673" s="124"/>
      <c r="F673" s="124"/>
      <c r="G673" s="124"/>
      <c r="H673" s="124"/>
      <c r="I673" s="124"/>
    </row>
    <row r="674" ht="22.5" customHeight="1">
      <c r="A674" s="8"/>
      <c r="B674" s="128"/>
      <c r="C674" s="129"/>
      <c r="D674" s="124"/>
      <c r="E674" s="124"/>
      <c r="F674" s="124"/>
      <c r="G674" s="124"/>
      <c r="H674" s="124"/>
      <c r="I674" s="124"/>
    </row>
    <row r="675" ht="22.5" customHeight="1">
      <c r="A675" s="8"/>
      <c r="B675" s="128"/>
      <c r="C675" s="129"/>
      <c r="D675" s="124"/>
      <c r="E675" s="124"/>
      <c r="F675" s="124"/>
      <c r="G675" s="124"/>
      <c r="H675" s="124"/>
      <c r="I675" s="124"/>
    </row>
    <row r="676" ht="22.5" customHeight="1">
      <c r="A676" s="8"/>
      <c r="B676" s="128"/>
      <c r="C676" s="129"/>
      <c r="D676" s="124"/>
      <c r="E676" s="124"/>
      <c r="F676" s="124"/>
      <c r="G676" s="124"/>
      <c r="H676" s="124"/>
      <c r="I676" s="124"/>
    </row>
    <row r="677" ht="22.5" customHeight="1">
      <c r="A677" s="8"/>
      <c r="B677" s="128"/>
      <c r="C677" s="129"/>
      <c r="D677" s="124"/>
      <c r="E677" s="124"/>
      <c r="F677" s="124"/>
      <c r="G677" s="124"/>
      <c r="H677" s="124"/>
      <c r="I677" s="124"/>
    </row>
    <row r="678" ht="22.5" customHeight="1">
      <c r="A678" s="8"/>
      <c r="B678" s="128"/>
      <c r="C678" s="129"/>
      <c r="D678" s="124"/>
      <c r="E678" s="124"/>
      <c r="F678" s="124"/>
      <c r="G678" s="124"/>
      <c r="H678" s="124"/>
      <c r="I678" s="124"/>
    </row>
    <row r="679" ht="22.5" customHeight="1">
      <c r="A679" s="8"/>
      <c r="B679" s="128"/>
      <c r="C679" s="129"/>
      <c r="D679" s="124"/>
      <c r="E679" s="124"/>
      <c r="F679" s="124"/>
      <c r="G679" s="124"/>
      <c r="H679" s="124"/>
      <c r="I679" s="124"/>
    </row>
    <row r="680" ht="22.5" customHeight="1">
      <c r="A680" s="8"/>
      <c r="B680" s="128"/>
      <c r="C680" s="129"/>
      <c r="D680" s="124"/>
      <c r="E680" s="124"/>
      <c r="F680" s="124"/>
      <c r="G680" s="124"/>
      <c r="H680" s="124"/>
      <c r="I680" s="124"/>
    </row>
    <row r="681" ht="22.5" customHeight="1">
      <c r="A681" s="8"/>
      <c r="B681" s="128"/>
      <c r="C681" s="129"/>
      <c r="D681" s="124"/>
      <c r="E681" s="124"/>
      <c r="F681" s="124"/>
      <c r="G681" s="124"/>
      <c r="H681" s="124"/>
      <c r="I681" s="124"/>
    </row>
    <row r="682" ht="22.5" customHeight="1">
      <c r="A682" s="8"/>
      <c r="B682" s="128"/>
      <c r="C682" s="129"/>
      <c r="D682" s="124"/>
      <c r="E682" s="124"/>
      <c r="F682" s="124"/>
      <c r="G682" s="124"/>
      <c r="H682" s="124"/>
      <c r="I682" s="124"/>
    </row>
    <row r="683" ht="22.5" customHeight="1">
      <c r="A683" s="8"/>
      <c r="B683" s="128"/>
      <c r="C683" s="129"/>
      <c r="D683" s="124"/>
      <c r="E683" s="124"/>
      <c r="F683" s="124"/>
      <c r="G683" s="124"/>
      <c r="H683" s="124"/>
      <c r="I683" s="124"/>
    </row>
    <row r="684" ht="22.5" customHeight="1">
      <c r="A684" s="8"/>
      <c r="B684" s="128"/>
      <c r="C684" s="129"/>
      <c r="D684" s="124"/>
      <c r="E684" s="124"/>
      <c r="F684" s="124"/>
      <c r="G684" s="124"/>
      <c r="H684" s="124"/>
      <c r="I684" s="124"/>
    </row>
    <row r="685" ht="22.5" customHeight="1">
      <c r="A685" s="8"/>
      <c r="B685" s="128"/>
      <c r="C685" s="129"/>
      <c r="D685" s="124"/>
      <c r="E685" s="124"/>
      <c r="F685" s="124"/>
      <c r="G685" s="124"/>
      <c r="H685" s="124"/>
      <c r="I685" s="124"/>
    </row>
    <row r="686" ht="22.5" customHeight="1">
      <c r="A686" s="8"/>
      <c r="B686" s="128"/>
      <c r="C686" s="129"/>
      <c r="D686" s="124"/>
      <c r="E686" s="124"/>
      <c r="F686" s="124"/>
      <c r="G686" s="124"/>
      <c r="H686" s="124"/>
      <c r="I686" s="124"/>
    </row>
    <row r="687" ht="22.5" customHeight="1">
      <c r="A687" s="8"/>
      <c r="B687" s="128"/>
      <c r="C687" s="129"/>
      <c r="D687" s="124"/>
      <c r="E687" s="124"/>
      <c r="F687" s="124"/>
      <c r="G687" s="124"/>
      <c r="H687" s="124"/>
      <c r="I687" s="124"/>
    </row>
    <row r="688" ht="22.5" customHeight="1">
      <c r="A688" s="8"/>
      <c r="B688" s="128"/>
      <c r="C688" s="129"/>
      <c r="D688" s="124"/>
      <c r="E688" s="124"/>
      <c r="F688" s="124"/>
      <c r="G688" s="124"/>
      <c r="H688" s="124"/>
      <c r="I688" s="124"/>
    </row>
    <row r="689" ht="22.5" customHeight="1">
      <c r="A689" s="8"/>
      <c r="B689" s="128"/>
      <c r="C689" s="129"/>
      <c r="D689" s="124"/>
      <c r="E689" s="124"/>
      <c r="F689" s="124"/>
      <c r="G689" s="124"/>
      <c r="H689" s="124"/>
      <c r="I689" s="124"/>
    </row>
    <row r="690" ht="22.5" customHeight="1">
      <c r="A690" s="8"/>
      <c r="B690" s="128"/>
      <c r="C690" s="129"/>
      <c r="D690" s="124"/>
      <c r="E690" s="124"/>
      <c r="F690" s="124"/>
      <c r="G690" s="124"/>
      <c r="H690" s="124"/>
      <c r="I690" s="124"/>
    </row>
    <row r="691" ht="22.5" customHeight="1">
      <c r="A691" s="8"/>
      <c r="B691" s="128"/>
      <c r="C691" s="129"/>
      <c r="D691" s="124"/>
      <c r="E691" s="124"/>
      <c r="F691" s="124"/>
      <c r="G691" s="124"/>
      <c r="H691" s="124"/>
      <c r="I691" s="124"/>
    </row>
    <row r="692" ht="22.5" customHeight="1">
      <c r="A692" s="8"/>
      <c r="B692" s="128"/>
      <c r="C692" s="129"/>
      <c r="D692" s="124"/>
      <c r="E692" s="124"/>
      <c r="F692" s="124"/>
      <c r="G692" s="124"/>
      <c r="H692" s="124"/>
      <c r="I692" s="124"/>
    </row>
    <row r="693" ht="22.5" customHeight="1">
      <c r="A693" s="8"/>
      <c r="B693" s="128"/>
      <c r="C693" s="129"/>
      <c r="D693" s="124"/>
      <c r="E693" s="124"/>
      <c r="F693" s="124"/>
      <c r="G693" s="124"/>
      <c r="H693" s="124"/>
      <c r="I693" s="124"/>
    </row>
    <row r="694" ht="22.5" customHeight="1">
      <c r="A694" s="8"/>
      <c r="B694" s="128"/>
      <c r="C694" s="129"/>
      <c r="D694" s="124"/>
      <c r="E694" s="124"/>
      <c r="F694" s="124"/>
      <c r="G694" s="124"/>
      <c r="H694" s="124"/>
      <c r="I694" s="124"/>
    </row>
    <row r="695" ht="22.5" customHeight="1">
      <c r="A695" s="8"/>
      <c r="B695" s="128"/>
      <c r="C695" s="129"/>
      <c r="D695" s="124"/>
      <c r="E695" s="124"/>
      <c r="F695" s="124"/>
      <c r="G695" s="124"/>
      <c r="H695" s="124"/>
      <c r="I695" s="124"/>
    </row>
    <row r="696" ht="22.5" customHeight="1">
      <c r="A696" s="8"/>
      <c r="B696" s="128"/>
      <c r="C696" s="129"/>
      <c r="D696" s="124"/>
      <c r="E696" s="124"/>
      <c r="F696" s="124"/>
      <c r="G696" s="124"/>
      <c r="H696" s="124"/>
      <c r="I696" s="124"/>
    </row>
    <row r="697" ht="22.5" customHeight="1">
      <c r="A697" s="8"/>
      <c r="B697" s="128"/>
      <c r="C697" s="129"/>
      <c r="D697" s="124"/>
      <c r="E697" s="124"/>
      <c r="F697" s="124"/>
      <c r="G697" s="124"/>
      <c r="H697" s="124"/>
      <c r="I697" s="124"/>
    </row>
    <row r="698" ht="22.5" customHeight="1">
      <c r="A698" s="8"/>
      <c r="B698" s="128"/>
      <c r="C698" s="129"/>
      <c r="D698" s="124"/>
      <c r="E698" s="124"/>
      <c r="F698" s="124"/>
      <c r="G698" s="124"/>
      <c r="H698" s="124"/>
      <c r="I698" s="124"/>
    </row>
    <row r="699" ht="22.5" customHeight="1">
      <c r="A699" s="8"/>
      <c r="B699" s="128"/>
      <c r="C699" s="129"/>
      <c r="D699" s="124"/>
      <c r="E699" s="124"/>
      <c r="F699" s="124"/>
      <c r="G699" s="124"/>
      <c r="H699" s="124"/>
      <c r="I699" s="124"/>
    </row>
    <row r="700" ht="22.5" customHeight="1">
      <c r="A700" s="8"/>
      <c r="B700" s="128"/>
      <c r="C700" s="129"/>
      <c r="D700" s="124"/>
      <c r="E700" s="124"/>
      <c r="F700" s="124"/>
      <c r="G700" s="124"/>
      <c r="H700" s="124"/>
      <c r="I700" s="124"/>
    </row>
    <row r="701" ht="22.5" customHeight="1">
      <c r="A701" s="8"/>
      <c r="B701" s="128"/>
      <c r="C701" s="129"/>
      <c r="D701" s="124"/>
      <c r="E701" s="124"/>
      <c r="F701" s="124"/>
      <c r="G701" s="124"/>
      <c r="H701" s="124"/>
      <c r="I701" s="124"/>
    </row>
    <row r="702" ht="22.5" customHeight="1">
      <c r="A702" s="8"/>
      <c r="B702" s="128"/>
      <c r="C702" s="129"/>
      <c r="D702" s="124"/>
      <c r="E702" s="124"/>
      <c r="F702" s="124"/>
      <c r="G702" s="124"/>
      <c r="H702" s="124"/>
      <c r="I702" s="124"/>
    </row>
    <row r="703" ht="22.5" customHeight="1">
      <c r="A703" s="8"/>
      <c r="B703" s="128"/>
      <c r="C703" s="129"/>
      <c r="D703" s="124"/>
      <c r="E703" s="124"/>
      <c r="F703" s="124"/>
      <c r="G703" s="124"/>
      <c r="H703" s="124"/>
      <c r="I703" s="124"/>
    </row>
    <row r="704" ht="22.5" customHeight="1">
      <c r="A704" s="8"/>
      <c r="B704" s="128"/>
      <c r="C704" s="129"/>
      <c r="D704" s="124"/>
      <c r="E704" s="124"/>
      <c r="F704" s="124"/>
      <c r="G704" s="124"/>
      <c r="H704" s="124"/>
      <c r="I704" s="124"/>
    </row>
    <row r="705" ht="22.5" customHeight="1">
      <c r="A705" s="8"/>
      <c r="B705" s="128"/>
      <c r="C705" s="129"/>
      <c r="D705" s="124"/>
      <c r="E705" s="124"/>
      <c r="F705" s="124"/>
      <c r="G705" s="124"/>
      <c r="H705" s="124"/>
      <c r="I705" s="124"/>
    </row>
    <row r="706" ht="22.5" customHeight="1">
      <c r="A706" s="8"/>
      <c r="B706" s="128"/>
      <c r="C706" s="129"/>
      <c r="D706" s="124"/>
      <c r="E706" s="124"/>
      <c r="F706" s="124"/>
      <c r="G706" s="124"/>
      <c r="H706" s="124"/>
      <c r="I706" s="124"/>
    </row>
    <row r="707" ht="22.5" customHeight="1">
      <c r="A707" s="8"/>
      <c r="B707" s="128"/>
      <c r="C707" s="129"/>
      <c r="D707" s="124"/>
      <c r="E707" s="124"/>
      <c r="F707" s="124"/>
      <c r="G707" s="124"/>
      <c r="H707" s="124"/>
      <c r="I707" s="124"/>
    </row>
    <row r="708" ht="22.5" customHeight="1">
      <c r="A708" s="8"/>
      <c r="B708" s="128"/>
      <c r="C708" s="129"/>
      <c r="D708" s="124"/>
      <c r="E708" s="124"/>
      <c r="F708" s="124"/>
      <c r="G708" s="124"/>
      <c r="H708" s="124"/>
      <c r="I708" s="124"/>
    </row>
    <row r="709" ht="22.5" customHeight="1">
      <c r="A709" s="8"/>
      <c r="B709" s="128"/>
      <c r="C709" s="129"/>
      <c r="D709" s="124"/>
      <c r="E709" s="124"/>
      <c r="F709" s="124"/>
      <c r="G709" s="124"/>
      <c r="H709" s="124"/>
      <c r="I709" s="124"/>
    </row>
    <row r="710" ht="22.5" customHeight="1">
      <c r="A710" s="8"/>
      <c r="B710" s="128"/>
      <c r="C710" s="129"/>
      <c r="D710" s="124"/>
      <c r="E710" s="124"/>
      <c r="F710" s="124"/>
      <c r="G710" s="124"/>
      <c r="H710" s="124"/>
      <c r="I710" s="124"/>
    </row>
    <row r="711" ht="22.5" customHeight="1">
      <c r="A711" s="8"/>
      <c r="B711" s="128"/>
      <c r="C711" s="129"/>
      <c r="D711" s="124"/>
      <c r="E711" s="124"/>
      <c r="F711" s="124"/>
      <c r="G711" s="124"/>
      <c r="H711" s="124"/>
      <c r="I711" s="124"/>
    </row>
    <row r="712" ht="22.5" customHeight="1">
      <c r="A712" s="8"/>
      <c r="B712" s="128"/>
      <c r="C712" s="129"/>
      <c r="D712" s="124"/>
      <c r="E712" s="124"/>
      <c r="F712" s="124"/>
      <c r="G712" s="124"/>
      <c r="H712" s="124"/>
      <c r="I712" s="124"/>
    </row>
    <row r="713" ht="22.5" customHeight="1">
      <c r="A713" s="8"/>
      <c r="B713" s="128"/>
      <c r="C713" s="129"/>
      <c r="D713" s="124"/>
      <c r="E713" s="124"/>
      <c r="F713" s="124"/>
      <c r="G713" s="124"/>
      <c r="H713" s="124"/>
      <c r="I713" s="124"/>
    </row>
    <row r="714" ht="22.5" customHeight="1">
      <c r="A714" s="8"/>
      <c r="B714" s="128"/>
      <c r="C714" s="129"/>
      <c r="D714" s="124"/>
      <c r="E714" s="124"/>
      <c r="F714" s="124"/>
      <c r="G714" s="124"/>
      <c r="H714" s="124"/>
      <c r="I714" s="124"/>
    </row>
    <row r="715" ht="22.5" customHeight="1">
      <c r="A715" s="8"/>
      <c r="B715" s="128"/>
      <c r="C715" s="129"/>
      <c r="D715" s="124"/>
      <c r="E715" s="124"/>
      <c r="F715" s="124"/>
      <c r="G715" s="124"/>
      <c r="H715" s="124"/>
      <c r="I715" s="124"/>
    </row>
    <row r="716" ht="22.5" customHeight="1">
      <c r="A716" s="8"/>
      <c r="B716" s="128"/>
      <c r="C716" s="129"/>
      <c r="D716" s="124"/>
      <c r="E716" s="124"/>
      <c r="F716" s="124"/>
      <c r="G716" s="124"/>
      <c r="H716" s="124"/>
      <c r="I716" s="124"/>
    </row>
    <row r="717" ht="22.5" customHeight="1">
      <c r="A717" s="8"/>
      <c r="B717" s="128"/>
      <c r="C717" s="129"/>
      <c r="D717" s="124"/>
      <c r="E717" s="124"/>
      <c r="F717" s="124"/>
      <c r="G717" s="124"/>
      <c r="H717" s="124"/>
      <c r="I717" s="124"/>
    </row>
    <row r="718" ht="22.5" customHeight="1">
      <c r="A718" s="8"/>
      <c r="B718" s="128"/>
      <c r="C718" s="129"/>
      <c r="D718" s="124"/>
      <c r="E718" s="124"/>
      <c r="F718" s="124"/>
      <c r="G718" s="124"/>
      <c r="H718" s="124"/>
      <c r="I718" s="124"/>
    </row>
    <row r="719" ht="22.5" customHeight="1">
      <c r="A719" s="8"/>
      <c r="B719" s="128"/>
      <c r="C719" s="129"/>
      <c r="D719" s="124"/>
      <c r="E719" s="124"/>
      <c r="F719" s="124"/>
      <c r="G719" s="124"/>
      <c r="H719" s="124"/>
      <c r="I719" s="124"/>
    </row>
    <row r="720" ht="22.5" customHeight="1">
      <c r="A720" s="8"/>
      <c r="B720" s="128"/>
      <c r="C720" s="129"/>
      <c r="D720" s="124"/>
      <c r="E720" s="124"/>
      <c r="F720" s="124"/>
      <c r="G720" s="124"/>
      <c r="H720" s="124"/>
      <c r="I720" s="124"/>
    </row>
    <row r="721" ht="22.5" customHeight="1">
      <c r="A721" s="8"/>
      <c r="B721" s="128"/>
      <c r="C721" s="129"/>
      <c r="D721" s="124"/>
      <c r="E721" s="124"/>
      <c r="F721" s="124"/>
      <c r="G721" s="124"/>
      <c r="H721" s="124"/>
      <c r="I721" s="124"/>
    </row>
    <row r="722" ht="22.5" customHeight="1">
      <c r="A722" s="8"/>
      <c r="B722" s="128"/>
      <c r="C722" s="129"/>
      <c r="D722" s="124"/>
      <c r="E722" s="124"/>
      <c r="F722" s="124"/>
      <c r="G722" s="124"/>
      <c r="H722" s="124"/>
      <c r="I722" s="124"/>
    </row>
    <row r="723" ht="22.5" customHeight="1">
      <c r="A723" s="8"/>
      <c r="B723" s="128"/>
      <c r="C723" s="129"/>
      <c r="D723" s="124"/>
      <c r="E723" s="124"/>
      <c r="F723" s="124"/>
      <c r="G723" s="124"/>
      <c r="H723" s="124"/>
      <c r="I723" s="124"/>
    </row>
    <row r="724" ht="22.5" customHeight="1">
      <c r="A724" s="8"/>
      <c r="B724" s="128"/>
      <c r="C724" s="129"/>
      <c r="D724" s="124"/>
      <c r="E724" s="124"/>
      <c r="F724" s="124"/>
      <c r="G724" s="124"/>
      <c r="H724" s="124"/>
      <c r="I724" s="124"/>
    </row>
    <row r="725" ht="22.5" customHeight="1">
      <c r="A725" s="8"/>
      <c r="B725" s="128"/>
      <c r="C725" s="129"/>
      <c r="D725" s="124"/>
      <c r="E725" s="124"/>
      <c r="F725" s="124"/>
      <c r="G725" s="124"/>
      <c r="H725" s="124"/>
      <c r="I725" s="124"/>
    </row>
    <row r="726" ht="22.5" customHeight="1">
      <c r="A726" s="8"/>
      <c r="B726" s="128"/>
      <c r="C726" s="129"/>
      <c r="D726" s="124"/>
      <c r="E726" s="124"/>
      <c r="F726" s="124"/>
      <c r="G726" s="124"/>
      <c r="H726" s="124"/>
      <c r="I726" s="124"/>
    </row>
    <row r="727" ht="22.5" customHeight="1">
      <c r="A727" s="8"/>
      <c r="B727" s="128"/>
      <c r="C727" s="129"/>
      <c r="D727" s="124"/>
      <c r="E727" s="124"/>
      <c r="F727" s="124"/>
      <c r="G727" s="124"/>
      <c r="H727" s="124"/>
      <c r="I727" s="124"/>
    </row>
    <row r="728" ht="22.5" customHeight="1">
      <c r="A728" s="8"/>
      <c r="B728" s="128"/>
      <c r="C728" s="129"/>
      <c r="D728" s="124"/>
      <c r="E728" s="124"/>
      <c r="F728" s="124"/>
      <c r="G728" s="124"/>
      <c r="H728" s="124"/>
      <c r="I728" s="124"/>
    </row>
    <row r="729" ht="22.5" customHeight="1">
      <c r="A729" s="8"/>
      <c r="B729" s="128"/>
      <c r="C729" s="129"/>
      <c r="D729" s="124"/>
      <c r="E729" s="124"/>
      <c r="F729" s="124"/>
      <c r="G729" s="124"/>
      <c r="H729" s="124"/>
      <c r="I729" s="124"/>
    </row>
    <row r="730" ht="22.5" customHeight="1">
      <c r="A730" s="8"/>
      <c r="B730" s="128"/>
      <c r="C730" s="129"/>
      <c r="D730" s="124"/>
      <c r="E730" s="124"/>
      <c r="F730" s="124"/>
      <c r="G730" s="124"/>
      <c r="H730" s="124"/>
      <c r="I730" s="124"/>
    </row>
    <row r="731" ht="22.5" customHeight="1">
      <c r="A731" s="8"/>
      <c r="B731" s="128"/>
      <c r="C731" s="129"/>
      <c r="D731" s="124"/>
      <c r="E731" s="124"/>
      <c r="F731" s="124"/>
      <c r="G731" s="124"/>
      <c r="H731" s="124"/>
      <c r="I731" s="124"/>
    </row>
    <row r="732" ht="22.5" customHeight="1">
      <c r="A732" s="8"/>
      <c r="B732" s="128"/>
      <c r="C732" s="129"/>
      <c r="D732" s="124"/>
      <c r="E732" s="124"/>
      <c r="F732" s="124"/>
      <c r="G732" s="124"/>
      <c r="H732" s="124"/>
      <c r="I732" s="124"/>
    </row>
    <row r="733" ht="22.5" customHeight="1">
      <c r="A733" s="8"/>
      <c r="B733" s="128"/>
      <c r="C733" s="129"/>
      <c r="D733" s="124"/>
      <c r="E733" s="124"/>
      <c r="F733" s="124"/>
      <c r="G733" s="124"/>
      <c r="H733" s="124"/>
      <c r="I733" s="124"/>
    </row>
    <row r="734" ht="22.5" customHeight="1">
      <c r="A734" s="8"/>
      <c r="B734" s="128"/>
      <c r="C734" s="129"/>
      <c r="D734" s="124"/>
      <c r="E734" s="124"/>
      <c r="F734" s="124"/>
      <c r="G734" s="124"/>
      <c r="H734" s="124"/>
      <c r="I734" s="124"/>
    </row>
    <row r="735" ht="22.5" customHeight="1">
      <c r="A735" s="8"/>
      <c r="B735" s="128"/>
      <c r="C735" s="129"/>
      <c r="D735" s="124"/>
      <c r="E735" s="124"/>
      <c r="F735" s="124"/>
      <c r="G735" s="124"/>
      <c r="H735" s="124"/>
      <c r="I735" s="124"/>
    </row>
    <row r="736" ht="22.5" customHeight="1">
      <c r="A736" s="8"/>
      <c r="B736" s="128"/>
      <c r="C736" s="129"/>
      <c r="D736" s="124"/>
      <c r="E736" s="124"/>
      <c r="F736" s="124"/>
      <c r="G736" s="124"/>
      <c r="H736" s="124"/>
      <c r="I736" s="124"/>
    </row>
    <row r="737" ht="22.5" customHeight="1">
      <c r="A737" s="8"/>
      <c r="B737" s="128"/>
      <c r="C737" s="129"/>
      <c r="D737" s="124"/>
      <c r="E737" s="124"/>
      <c r="F737" s="124"/>
      <c r="G737" s="124"/>
      <c r="H737" s="124"/>
      <c r="I737" s="124"/>
    </row>
    <row r="738" ht="22.5" customHeight="1">
      <c r="A738" s="8"/>
      <c r="B738" s="128"/>
      <c r="C738" s="129"/>
      <c r="D738" s="124"/>
      <c r="E738" s="124"/>
      <c r="F738" s="124"/>
      <c r="G738" s="124"/>
      <c r="H738" s="124"/>
      <c r="I738" s="124"/>
    </row>
    <row r="739" ht="22.5" customHeight="1">
      <c r="A739" s="8"/>
      <c r="B739" s="128"/>
      <c r="C739" s="129"/>
      <c r="D739" s="124"/>
      <c r="E739" s="124"/>
      <c r="F739" s="124"/>
      <c r="G739" s="124"/>
      <c r="H739" s="124"/>
      <c r="I739" s="124"/>
    </row>
    <row r="740" ht="22.5" customHeight="1">
      <c r="A740" s="8"/>
      <c r="B740" s="128"/>
      <c r="C740" s="129"/>
      <c r="D740" s="124"/>
      <c r="E740" s="124"/>
      <c r="F740" s="124"/>
      <c r="G740" s="124"/>
      <c r="H740" s="124"/>
      <c r="I740" s="124"/>
    </row>
    <row r="741" ht="22.5" customHeight="1">
      <c r="A741" s="8"/>
      <c r="B741" s="128"/>
      <c r="C741" s="129"/>
      <c r="D741" s="124"/>
      <c r="E741" s="124"/>
      <c r="F741" s="124"/>
      <c r="G741" s="124"/>
      <c r="H741" s="124"/>
      <c r="I741" s="124"/>
    </row>
    <row r="742" ht="22.5" customHeight="1">
      <c r="A742" s="8"/>
      <c r="B742" s="128"/>
      <c r="C742" s="129"/>
      <c r="D742" s="124"/>
      <c r="E742" s="124"/>
      <c r="F742" s="124"/>
      <c r="G742" s="124"/>
      <c r="H742" s="124"/>
      <c r="I742" s="124"/>
    </row>
    <row r="743" ht="22.5" customHeight="1">
      <c r="A743" s="8"/>
      <c r="B743" s="128"/>
      <c r="C743" s="129"/>
      <c r="D743" s="124"/>
      <c r="E743" s="124"/>
      <c r="F743" s="124"/>
      <c r="G743" s="124"/>
      <c r="H743" s="124"/>
      <c r="I743" s="124"/>
    </row>
    <row r="744" ht="22.5" customHeight="1">
      <c r="A744" s="8"/>
      <c r="B744" s="128"/>
      <c r="C744" s="129"/>
      <c r="D744" s="124"/>
      <c r="E744" s="124"/>
      <c r="F744" s="124"/>
      <c r="G744" s="124"/>
      <c r="H744" s="124"/>
      <c r="I744" s="124"/>
    </row>
    <row r="745" ht="22.5" customHeight="1">
      <c r="A745" s="8"/>
      <c r="B745" s="128"/>
      <c r="C745" s="129"/>
      <c r="D745" s="124"/>
      <c r="E745" s="124"/>
      <c r="F745" s="124"/>
      <c r="G745" s="124"/>
      <c r="H745" s="124"/>
      <c r="I745" s="124"/>
    </row>
    <row r="746" ht="22.5" customHeight="1">
      <c r="A746" s="8"/>
      <c r="B746" s="128"/>
      <c r="C746" s="129"/>
      <c r="D746" s="124"/>
      <c r="E746" s="124"/>
      <c r="F746" s="124"/>
      <c r="G746" s="124"/>
      <c r="H746" s="124"/>
      <c r="I746" s="124"/>
    </row>
    <row r="747" ht="22.5" customHeight="1">
      <c r="A747" s="8"/>
      <c r="B747" s="128"/>
      <c r="C747" s="129"/>
      <c r="D747" s="124"/>
      <c r="E747" s="124"/>
      <c r="F747" s="124"/>
      <c r="G747" s="124"/>
      <c r="H747" s="124"/>
      <c r="I747" s="124"/>
    </row>
    <row r="748" ht="22.5" customHeight="1">
      <c r="A748" s="8"/>
      <c r="B748" s="128"/>
      <c r="C748" s="129"/>
      <c r="D748" s="124"/>
      <c r="E748" s="124"/>
      <c r="F748" s="124"/>
      <c r="G748" s="124"/>
      <c r="H748" s="124"/>
      <c r="I748" s="124"/>
    </row>
    <row r="749" ht="22.5" customHeight="1">
      <c r="A749" s="8"/>
      <c r="B749" s="128"/>
      <c r="C749" s="129"/>
      <c r="D749" s="124"/>
      <c r="E749" s="124"/>
      <c r="F749" s="124"/>
      <c r="G749" s="124"/>
      <c r="H749" s="124"/>
      <c r="I749" s="124"/>
    </row>
    <row r="750" ht="22.5" customHeight="1">
      <c r="A750" s="8"/>
      <c r="B750" s="128"/>
      <c r="C750" s="129"/>
      <c r="D750" s="124"/>
      <c r="E750" s="124"/>
      <c r="F750" s="124"/>
      <c r="G750" s="124"/>
      <c r="H750" s="124"/>
      <c r="I750" s="124"/>
    </row>
    <row r="751" ht="22.5" customHeight="1">
      <c r="A751" s="8"/>
      <c r="B751" s="128"/>
      <c r="C751" s="129"/>
      <c r="D751" s="124"/>
      <c r="E751" s="124"/>
      <c r="F751" s="124"/>
      <c r="G751" s="124"/>
      <c r="H751" s="124"/>
      <c r="I751" s="124"/>
    </row>
    <row r="752" ht="22.5" customHeight="1">
      <c r="A752" s="8"/>
      <c r="B752" s="128"/>
      <c r="C752" s="129"/>
      <c r="D752" s="124"/>
      <c r="E752" s="124"/>
      <c r="F752" s="124"/>
      <c r="G752" s="124"/>
      <c r="H752" s="124"/>
      <c r="I752" s="124"/>
    </row>
    <row r="753" ht="22.5" customHeight="1">
      <c r="A753" s="8"/>
      <c r="B753" s="128"/>
      <c r="C753" s="129"/>
      <c r="D753" s="124"/>
      <c r="E753" s="124"/>
      <c r="F753" s="124"/>
      <c r="G753" s="124"/>
      <c r="H753" s="124"/>
      <c r="I753" s="124"/>
    </row>
    <row r="754" ht="22.5" customHeight="1">
      <c r="A754" s="8"/>
      <c r="B754" s="128"/>
      <c r="C754" s="129"/>
      <c r="D754" s="124"/>
      <c r="E754" s="124"/>
      <c r="F754" s="124"/>
      <c r="G754" s="124"/>
      <c r="H754" s="124"/>
      <c r="I754" s="124"/>
    </row>
    <row r="755" ht="22.5" customHeight="1">
      <c r="A755" s="8"/>
      <c r="B755" s="128"/>
      <c r="C755" s="129"/>
      <c r="D755" s="124"/>
      <c r="E755" s="124"/>
      <c r="F755" s="124"/>
      <c r="G755" s="124"/>
      <c r="H755" s="124"/>
      <c r="I755" s="124"/>
    </row>
    <row r="756" ht="22.5" customHeight="1">
      <c r="A756" s="8"/>
      <c r="B756" s="128"/>
      <c r="C756" s="129"/>
      <c r="D756" s="124"/>
      <c r="E756" s="124"/>
      <c r="F756" s="124"/>
      <c r="G756" s="124"/>
      <c r="H756" s="124"/>
      <c r="I756" s="124"/>
    </row>
    <row r="757" ht="22.5" customHeight="1">
      <c r="A757" s="8"/>
      <c r="B757" s="128"/>
      <c r="C757" s="129"/>
      <c r="D757" s="124"/>
      <c r="E757" s="124"/>
      <c r="F757" s="124"/>
      <c r="G757" s="124"/>
      <c r="H757" s="124"/>
      <c r="I757" s="124"/>
    </row>
    <row r="758" ht="22.5" customHeight="1">
      <c r="A758" s="8"/>
      <c r="B758" s="128"/>
      <c r="C758" s="129"/>
      <c r="D758" s="124"/>
      <c r="E758" s="124"/>
      <c r="F758" s="124"/>
      <c r="G758" s="124"/>
      <c r="H758" s="124"/>
      <c r="I758" s="124"/>
    </row>
    <row r="759" ht="22.5" customHeight="1">
      <c r="A759" s="8"/>
      <c r="B759" s="128"/>
      <c r="C759" s="129"/>
      <c r="D759" s="124"/>
      <c r="E759" s="124"/>
      <c r="F759" s="124"/>
      <c r="G759" s="124"/>
      <c r="H759" s="124"/>
      <c r="I759" s="124"/>
    </row>
    <row r="760" ht="22.5" customHeight="1">
      <c r="A760" s="8"/>
      <c r="B760" s="128"/>
      <c r="C760" s="129"/>
      <c r="D760" s="124"/>
      <c r="E760" s="124"/>
      <c r="F760" s="124"/>
      <c r="G760" s="124"/>
      <c r="H760" s="124"/>
      <c r="I760" s="124"/>
    </row>
    <row r="761" ht="22.5" customHeight="1">
      <c r="A761" s="8"/>
      <c r="B761" s="128"/>
      <c r="C761" s="129"/>
      <c r="D761" s="124"/>
      <c r="E761" s="124"/>
      <c r="F761" s="124"/>
      <c r="G761" s="124"/>
      <c r="H761" s="124"/>
      <c r="I761" s="124"/>
    </row>
    <row r="762" ht="22.5" customHeight="1">
      <c r="A762" s="8"/>
      <c r="B762" s="128"/>
      <c r="C762" s="129"/>
      <c r="D762" s="124"/>
      <c r="E762" s="124"/>
      <c r="F762" s="124"/>
      <c r="G762" s="124"/>
      <c r="H762" s="124"/>
      <c r="I762" s="124"/>
    </row>
    <row r="763" ht="22.5" customHeight="1">
      <c r="A763" s="8"/>
      <c r="B763" s="128"/>
      <c r="C763" s="129"/>
      <c r="D763" s="124"/>
      <c r="E763" s="124"/>
      <c r="F763" s="124"/>
      <c r="G763" s="124"/>
      <c r="H763" s="124"/>
      <c r="I763" s="124"/>
    </row>
    <row r="764" ht="22.5" customHeight="1">
      <c r="A764" s="8"/>
      <c r="B764" s="128"/>
      <c r="C764" s="129"/>
      <c r="D764" s="124"/>
      <c r="E764" s="124"/>
      <c r="F764" s="124"/>
      <c r="G764" s="124"/>
      <c r="H764" s="124"/>
      <c r="I764" s="124"/>
    </row>
    <row r="765" ht="22.5" customHeight="1">
      <c r="A765" s="8"/>
      <c r="B765" s="128"/>
      <c r="C765" s="129"/>
      <c r="D765" s="124"/>
      <c r="E765" s="124"/>
      <c r="F765" s="124"/>
      <c r="G765" s="124"/>
      <c r="H765" s="124"/>
      <c r="I765" s="124"/>
    </row>
    <row r="766" ht="22.5" customHeight="1">
      <c r="A766" s="8"/>
      <c r="B766" s="128"/>
      <c r="C766" s="129"/>
      <c r="D766" s="124"/>
      <c r="E766" s="124"/>
      <c r="F766" s="124"/>
      <c r="G766" s="124"/>
      <c r="H766" s="124"/>
      <c r="I766" s="124"/>
    </row>
    <row r="767" ht="22.5" customHeight="1">
      <c r="A767" s="8"/>
      <c r="B767" s="128"/>
      <c r="C767" s="129"/>
      <c r="D767" s="124"/>
      <c r="E767" s="124"/>
      <c r="F767" s="124"/>
      <c r="G767" s="124"/>
      <c r="H767" s="124"/>
      <c r="I767" s="124"/>
    </row>
    <row r="768" ht="22.5" customHeight="1">
      <c r="A768" s="8"/>
      <c r="B768" s="128"/>
      <c r="C768" s="129"/>
      <c r="D768" s="124"/>
      <c r="E768" s="124"/>
      <c r="F768" s="124"/>
      <c r="G768" s="124"/>
      <c r="H768" s="124"/>
      <c r="I768" s="124"/>
    </row>
    <row r="769" ht="22.5" customHeight="1">
      <c r="A769" s="8"/>
      <c r="B769" s="128"/>
      <c r="C769" s="129"/>
      <c r="D769" s="124"/>
      <c r="E769" s="124"/>
      <c r="F769" s="124"/>
      <c r="G769" s="124"/>
      <c r="H769" s="124"/>
      <c r="I769" s="124"/>
    </row>
    <row r="770" ht="22.5" customHeight="1">
      <c r="A770" s="8"/>
      <c r="B770" s="128"/>
      <c r="C770" s="129"/>
      <c r="D770" s="124"/>
      <c r="E770" s="124"/>
      <c r="F770" s="124"/>
      <c r="G770" s="124"/>
      <c r="H770" s="124"/>
      <c r="I770" s="124"/>
    </row>
    <row r="771" ht="22.5" customHeight="1">
      <c r="A771" s="8"/>
      <c r="B771" s="128"/>
      <c r="C771" s="129"/>
      <c r="D771" s="124"/>
      <c r="E771" s="124"/>
      <c r="F771" s="124"/>
      <c r="G771" s="124"/>
      <c r="H771" s="124"/>
      <c r="I771" s="124"/>
    </row>
    <row r="772" ht="22.5" customHeight="1">
      <c r="A772" s="8"/>
      <c r="B772" s="128"/>
      <c r="C772" s="129"/>
      <c r="D772" s="124"/>
      <c r="E772" s="124"/>
      <c r="F772" s="124"/>
      <c r="G772" s="124"/>
      <c r="H772" s="124"/>
      <c r="I772" s="124"/>
    </row>
    <row r="773" ht="22.5" customHeight="1">
      <c r="A773" s="8"/>
      <c r="B773" s="128"/>
      <c r="C773" s="129"/>
      <c r="D773" s="124"/>
      <c r="E773" s="124"/>
      <c r="F773" s="124"/>
      <c r="G773" s="124"/>
      <c r="H773" s="124"/>
      <c r="I773" s="124"/>
    </row>
    <row r="774" ht="22.5" customHeight="1">
      <c r="A774" s="8"/>
      <c r="B774" s="128"/>
      <c r="C774" s="129"/>
      <c r="D774" s="124"/>
      <c r="E774" s="124"/>
      <c r="F774" s="124"/>
      <c r="G774" s="124"/>
      <c r="H774" s="124"/>
      <c r="I774" s="124"/>
    </row>
    <row r="775" ht="22.5" customHeight="1">
      <c r="A775" s="8"/>
      <c r="B775" s="128"/>
      <c r="C775" s="129"/>
      <c r="D775" s="124"/>
      <c r="E775" s="124"/>
      <c r="F775" s="124"/>
      <c r="G775" s="124"/>
      <c r="H775" s="124"/>
      <c r="I775" s="124"/>
    </row>
    <row r="776" ht="22.5" customHeight="1">
      <c r="A776" s="8"/>
      <c r="B776" s="128"/>
      <c r="C776" s="129"/>
      <c r="D776" s="124"/>
      <c r="E776" s="124"/>
      <c r="F776" s="124"/>
      <c r="G776" s="124"/>
      <c r="H776" s="124"/>
      <c r="I776" s="124"/>
    </row>
    <row r="777" ht="22.5" customHeight="1">
      <c r="A777" s="8"/>
      <c r="B777" s="128"/>
      <c r="C777" s="129"/>
      <c r="D777" s="124"/>
      <c r="E777" s="124"/>
      <c r="F777" s="124"/>
      <c r="G777" s="124"/>
      <c r="H777" s="124"/>
      <c r="I777" s="124"/>
    </row>
    <row r="778" ht="22.5" customHeight="1">
      <c r="A778" s="8"/>
      <c r="B778" s="128"/>
      <c r="C778" s="129"/>
      <c r="D778" s="124"/>
      <c r="E778" s="124"/>
      <c r="F778" s="124"/>
      <c r="G778" s="124"/>
      <c r="H778" s="124"/>
      <c r="I778" s="124"/>
    </row>
    <row r="779" ht="22.5" customHeight="1">
      <c r="A779" s="8"/>
      <c r="B779" s="128"/>
      <c r="C779" s="129"/>
      <c r="D779" s="124"/>
      <c r="E779" s="124"/>
      <c r="F779" s="124"/>
      <c r="G779" s="124"/>
      <c r="H779" s="124"/>
      <c r="I779" s="124"/>
    </row>
    <row r="780" ht="22.5" customHeight="1">
      <c r="A780" s="8"/>
      <c r="B780" s="128"/>
      <c r="C780" s="129"/>
      <c r="D780" s="124"/>
      <c r="E780" s="124"/>
      <c r="F780" s="124"/>
      <c r="G780" s="124"/>
      <c r="H780" s="124"/>
      <c r="I780" s="124"/>
    </row>
    <row r="781" ht="22.5" customHeight="1">
      <c r="A781" s="8"/>
      <c r="B781" s="128"/>
      <c r="C781" s="129"/>
      <c r="D781" s="124"/>
      <c r="E781" s="124"/>
      <c r="F781" s="124"/>
      <c r="G781" s="124"/>
      <c r="H781" s="124"/>
      <c r="I781" s="124"/>
    </row>
    <row r="782" ht="22.5" customHeight="1">
      <c r="A782" s="8"/>
      <c r="B782" s="128"/>
      <c r="C782" s="129"/>
      <c r="D782" s="124"/>
      <c r="E782" s="124"/>
      <c r="F782" s="124"/>
      <c r="G782" s="124"/>
      <c r="H782" s="124"/>
      <c r="I782" s="124"/>
    </row>
    <row r="783" ht="22.5" customHeight="1">
      <c r="A783" s="8"/>
      <c r="B783" s="128"/>
      <c r="C783" s="129"/>
      <c r="D783" s="124"/>
      <c r="E783" s="124"/>
      <c r="F783" s="124"/>
      <c r="G783" s="124"/>
      <c r="H783" s="124"/>
      <c r="I783" s="124"/>
    </row>
    <row r="784" ht="22.5" customHeight="1">
      <c r="A784" s="8"/>
      <c r="B784" s="128"/>
      <c r="C784" s="129"/>
      <c r="D784" s="124"/>
      <c r="E784" s="124"/>
      <c r="F784" s="124"/>
      <c r="G784" s="124"/>
      <c r="H784" s="124"/>
      <c r="I784" s="124"/>
    </row>
    <row r="785" ht="22.5" customHeight="1">
      <c r="A785" s="8"/>
      <c r="B785" s="128"/>
      <c r="C785" s="129"/>
      <c r="D785" s="124"/>
      <c r="E785" s="124"/>
      <c r="F785" s="124"/>
      <c r="G785" s="124"/>
      <c r="H785" s="124"/>
      <c r="I785" s="124"/>
    </row>
    <row r="786" ht="22.5" customHeight="1">
      <c r="A786" s="8"/>
      <c r="B786" s="128"/>
      <c r="C786" s="129"/>
      <c r="D786" s="124"/>
      <c r="E786" s="124"/>
      <c r="F786" s="124"/>
      <c r="G786" s="124"/>
      <c r="H786" s="124"/>
      <c r="I786" s="124"/>
    </row>
    <row r="787" ht="22.5" customHeight="1">
      <c r="A787" s="8"/>
      <c r="B787" s="128"/>
      <c r="C787" s="129"/>
      <c r="D787" s="124"/>
      <c r="E787" s="124"/>
      <c r="F787" s="124"/>
      <c r="G787" s="124"/>
      <c r="H787" s="124"/>
      <c r="I787" s="124"/>
    </row>
    <row r="788" ht="22.5" customHeight="1">
      <c r="A788" s="8"/>
      <c r="B788" s="128"/>
      <c r="C788" s="129"/>
      <c r="D788" s="124"/>
      <c r="E788" s="124"/>
      <c r="F788" s="124"/>
      <c r="G788" s="124"/>
      <c r="H788" s="124"/>
      <c r="I788" s="124"/>
    </row>
    <row r="789" ht="22.5" customHeight="1">
      <c r="A789" s="8"/>
      <c r="B789" s="128"/>
      <c r="C789" s="129"/>
      <c r="D789" s="124"/>
      <c r="E789" s="124"/>
      <c r="F789" s="124"/>
      <c r="G789" s="124"/>
      <c r="H789" s="124"/>
      <c r="I789" s="124"/>
    </row>
    <row r="790" ht="22.5" customHeight="1">
      <c r="A790" s="8"/>
      <c r="B790" s="128"/>
      <c r="C790" s="129"/>
      <c r="D790" s="124"/>
      <c r="E790" s="124"/>
      <c r="F790" s="124"/>
      <c r="G790" s="124"/>
      <c r="H790" s="124"/>
      <c r="I790" s="124"/>
    </row>
    <row r="791" ht="22.5" customHeight="1">
      <c r="A791" s="8"/>
      <c r="B791" s="128"/>
      <c r="C791" s="129"/>
      <c r="D791" s="124"/>
      <c r="E791" s="124"/>
      <c r="F791" s="124"/>
      <c r="G791" s="124"/>
      <c r="H791" s="124"/>
      <c r="I791" s="124"/>
    </row>
    <row r="792" ht="22.5" customHeight="1">
      <c r="A792" s="8"/>
      <c r="B792" s="128"/>
      <c r="C792" s="129"/>
      <c r="D792" s="124"/>
      <c r="E792" s="124"/>
      <c r="F792" s="124"/>
      <c r="G792" s="124"/>
      <c r="H792" s="124"/>
      <c r="I792" s="124"/>
    </row>
    <row r="793" ht="22.5" customHeight="1">
      <c r="A793" s="8"/>
      <c r="B793" s="128"/>
      <c r="C793" s="129"/>
      <c r="D793" s="124"/>
      <c r="E793" s="124"/>
      <c r="F793" s="124"/>
      <c r="G793" s="124"/>
      <c r="H793" s="124"/>
      <c r="I793" s="124"/>
    </row>
    <row r="794" ht="22.5" customHeight="1">
      <c r="A794" s="8"/>
      <c r="B794" s="128"/>
      <c r="C794" s="129"/>
      <c r="D794" s="124"/>
      <c r="E794" s="124"/>
      <c r="F794" s="124"/>
      <c r="G794" s="124"/>
      <c r="H794" s="124"/>
      <c r="I794" s="124"/>
    </row>
    <row r="795" ht="22.5" customHeight="1">
      <c r="A795" s="8"/>
      <c r="B795" s="128"/>
      <c r="C795" s="129"/>
      <c r="D795" s="124"/>
      <c r="E795" s="124"/>
      <c r="F795" s="124"/>
      <c r="G795" s="124"/>
      <c r="H795" s="124"/>
      <c r="I795" s="124"/>
    </row>
    <row r="796" ht="22.5" customHeight="1">
      <c r="A796" s="8"/>
      <c r="B796" s="128"/>
      <c r="C796" s="129"/>
      <c r="D796" s="124"/>
      <c r="E796" s="124"/>
      <c r="F796" s="124"/>
      <c r="G796" s="124"/>
      <c r="H796" s="124"/>
      <c r="I796" s="124"/>
    </row>
    <row r="797" ht="22.5" customHeight="1">
      <c r="A797" s="8"/>
      <c r="B797" s="128"/>
      <c r="C797" s="129"/>
      <c r="D797" s="124"/>
      <c r="E797" s="124"/>
      <c r="F797" s="124"/>
      <c r="G797" s="124"/>
      <c r="H797" s="124"/>
      <c r="I797" s="124"/>
    </row>
    <row r="798" ht="22.5" customHeight="1">
      <c r="A798" s="8"/>
      <c r="B798" s="128"/>
      <c r="C798" s="129"/>
      <c r="D798" s="124"/>
      <c r="E798" s="124"/>
      <c r="F798" s="124"/>
      <c r="G798" s="124"/>
      <c r="H798" s="124"/>
      <c r="I798" s="124"/>
    </row>
    <row r="799" ht="22.5" customHeight="1">
      <c r="A799" s="8"/>
      <c r="B799" s="128"/>
      <c r="C799" s="129"/>
      <c r="D799" s="124"/>
      <c r="E799" s="124"/>
      <c r="F799" s="124"/>
      <c r="G799" s="124"/>
      <c r="H799" s="124"/>
      <c r="I799" s="124"/>
    </row>
    <row r="800" ht="22.5" customHeight="1">
      <c r="A800" s="8"/>
      <c r="B800" s="128"/>
      <c r="C800" s="129"/>
      <c r="D800" s="124"/>
      <c r="E800" s="124"/>
      <c r="F800" s="124"/>
      <c r="G800" s="124"/>
      <c r="H800" s="124"/>
      <c r="I800" s="124"/>
    </row>
    <row r="801" ht="22.5" customHeight="1">
      <c r="A801" s="8"/>
      <c r="B801" s="128"/>
      <c r="C801" s="129"/>
      <c r="D801" s="124"/>
      <c r="E801" s="124"/>
      <c r="F801" s="124"/>
      <c r="G801" s="124"/>
      <c r="H801" s="124"/>
      <c r="I801" s="124"/>
    </row>
    <row r="802" ht="22.5" customHeight="1">
      <c r="A802" s="8"/>
      <c r="B802" s="128"/>
      <c r="C802" s="129"/>
      <c r="D802" s="124"/>
      <c r="E802" s="124"/>
      <c r="F802" s="124"/>
      <c r="G802" s="124"/>
      <c r="H802" s="124"/>
      <c r="I802" s="124"/>
    </row>
    <row r="803" ht="22.5" customHeight="1">
      <c r="A803" s="8"/>
      <c r="B803" s="128"/>
      <c r="C803" s="129"/>
      <c r="D803" s="124"/>
      <c r="E803" s="124"/>
      <c r="F803" s="124"/>
      <c r="G803" s="124"/>
      <c r="H803" s="124"/>
      <c r="I803" s="124"/>
    </row>
    <row r="804" ht="22.5" customHeight="1">
      <c r="A804" s="8"/>
      <c r="B804" s="128"/>
      <c r="C804" s="129"/>
      <c r="D804" s="124"/>
      <c r="E804" s="124"/>
      <c r="F804" s="124"/>
      <c r="G804" s="124"/>
      <c r="H804" s="124"/>
      <c r="I804" s="124"/>
    </row>
    <row r="805" ht="22.5" customHeight="1">
      <c r="A805" s="8"/>
      <c r="B805" s="128"/>
      <c r="C805" s="129"/>
      <c r="D805" s="124"/>
      <c r="E805" s="124"/>
      <c r="F805" s="124"/>
      <c r="G805" s="124"/>
      <c r="H805" s="124"/>
      <c r="I805" s="124"/>
    </row>
    <row r="806" ht="22.5" customHeight="1">
      <c r="A806" s="8"/>
      <c r="B806" s="128"/>
      <c r="C806" s="129"/>
      <c r="D806" s="124"/>
      <c r="E806" s="124"/>
      <c r="F806" s="124"/>
      <c r="G806" s="124"/>
      <c r="H806" s="124"/>
      <c r="I806" s="124"/>
    </row>
    <row r="807" ht="22.5" customHeight="1">
      <c r="A807" s="8"/>
      <c r="B807" s="128"/>
      <c r="C807" s="129"/>
      <c r="D807" s="124"/>
      <c r="E807" s="124"/>
      <c r="F807" s="124"/>
      <c r="G807" s="124"/>
      <c r="H807" s="124"/>
      <c r="I807" s="124"/>
    </row>
    <row r="808" ht="22.5" customHeight="1">
      <c r="A808" s="8"/>
      <c r="B808" s="128"/>
      <c r="C808" s="129"/>
      <c r="D808" s="124"/>
      <c r="E808" s="124"/>
      <c r="F808" s="124"/>
      <c r="G808" s="124"/>
      <c r="H808" s="124"/>
      <c r="I808" s="124"/>
    </row>
    <row r="809" ht="22.5" customHeight="1">
      <c r="A809" s="8"/>
      <c r="B809" s="128"/>
      <c r="C809" s="129"/>
      <c r="D809" s="124"/>
      <c r="E809" s="124"/>
      <c r="F809" s="124"/>
      <c r="G809" s="124"/>
      <c r="H809" s="124"/>
      <c r="I809" s="124"/>
    </row>
    <row r="810" ht="22.5" customHeight="1">
      <c r="A810" s="8"/>
      <c r="B810" s="128"/>
      <c r="C810" s="129"/>
      <c r="D810" s="124"/>
      <c r="E810" s="124"/>
      <c r="F810" s="124"/>
      <c r="G810" s="124"/>
      <c r="H810" s="124"/>
      <c r="I810" s="124"/>
    </row>
    <row r="811" ht="22.5" customHeight="1">
      <c r="A811" s="8"/>
      <c r="B811" s="128"/>
      <c r="C811" s="129"/>
      <c r="D811" s="124"/>
      <c r="E811" s="124"/>
      <c r="F811" s="124"/>
      <c r="G811" s="124"/>
      <c r="H811" s="124"/>
      <c r="I811" s="124"/>
    </row>
    <row r="812" ht="22.5" customHeight="1">
      <c r="A812" s="8"/>
      <c r="B812" s="128"/>
      <c r="C812" s="129"/>
      <c r="D812" s="124"/>
      <c r="E812" s="124"/>
      <c r="F812" s="124"/>
      <c r="G812" s="124"/>
      <c r="H812" s="124"/>
      <c r="I812" s="124"/>
    </row>
    <row r="813" ht="22.5" customHeight="1">
      <c r="A813" s="8"/>
      <c r="B813" s="128"/>
      <c r="C813" s="129"/>
      <c r="D813" s="124"/>
      <c r="E813" s="124"/>
      <c r="F813" s="124"/>
      <c r="G813" s="124"/>
      <c r="H813" s="124"/>
      <c r="I813" s="124"/>
    </row>
    <row r="814" ht="22.5" customHeight="1">
      <c r="A814" s="8"/>
      <c r="B814" s="128"/>
      <c r="C814" s="129"/>
      <c r="D814" s="124"/>
      <c r="E814" s="124"/>
      <c r="F814" s="124"/>
      <c r="G814" s="124"/>
      <c r="H814" s="124"/>
      <c r="I814" s="124"/>
    </row>
    <row r="815" ht="22.5" customHeight="1">
      <c r="A815" s="8"/>
      <c r="B815" s="128"/>
      <c r="C815" s="129"/>
      <c r="D815" s="124"/>
      <c r="E815" s="124"/>
      <c r="F815" s="124"/>
      <c r="G815" s="124"/>
      <c r="H815" s="124"/>
      <c r="I815" s="124"/>
    </row>
    <row r="816" ht="22.5" customHeight="1">
      <c r="A816" s="8"/>
      <c r="B816" s="128"/>
      <c r="C816" s="129"/>
      <c r="D816" s="124"/>
      <c r="E816" s="124"/>
      <c r="F816" s="124"/>
      <c r="G816" s="124"/>
      <c r="H816" s="124"/>
      <c r="I816" s="124"/>
    </row>
    <row r="817" ht="22.5" customHeight="1">
      <c r="A817" s="8"/>
      <c r="B817" s="128"/>
      <c r="C817" s="129"/>
      <c r="D817" s="124"/>
      <c r="E817" s="124"/>
      <c r="F817" s="124"/>
      <c r="G817" s="124"/>
      <c r="H817" s="124"/>
      <c r="I817" s="124"/>
    </row>
    <row r="818" ht="22.5" customHeight="1">
      <c r="A818" s="8"/>
      <c r="B818" s="128"/>
      <c r="C818" s="129"/>
      <c r="D818" s="124"/>
      <c r="E818" s="124"/>
      <c r="F818" s="124"/>
      <c r="G818" s="124"/>
      <c r="H818" s="124"/>
      <c r="I818" s="124"/>
    </row>
    <row r="819" ht="22.5" customHeight="1">
      <c r="A819" s="8"/>
      <c r="B819" s="128"/>
      <c r="C819" s="129"/>
      <c r="D819" s="124"/>
      <c r="E819" s="124"/>
      <c r="F819" s="124"/>
      <c r="G819" s="124"/>
      <c r="H819" s="124"/>
      <c r="I819" s="124"/>
    </row>
    <row r="820" ht="22.5" customHeight="1">
      <c r="A820" s="8"/>
      <c r="B820" s="128"/>
      <c r="C820" s="129"/>
      <c r="D820" s="124"/>
      <c r="E820" s="124"/>
      <c r="F820" s="124"/>
      <c r="G820" s="124"/>
      <c r="H820" s="124"/>
      <c r="I820" s="124"/>
    </row>
    <row r="821" ht="22.5" customHeight="1">
      <c r="A821" s="8"/>
      <c r="B821" s="128"/>
      <c r="C821" s="129"/>
      <c r="D821" s="124"/>
      <c r="E821" s="124"/>
      <c r="F821" s="124"/>
      <c r="G821" s="124"/>
      <c r="H821" s="124"/>
      <c r="I821" s="124"/>
    </row>
    <row r="822" ht="22.5" customHeight="1">
      <c r="A822" s="8"/>
      <c r="B822" s="128"/>
      <c r="C822" s="129"/>
      <c r="D822" s="124"/>
      <c r="E822" s="124"/>
      <c r="F822" s="124"/>
      <c r="G822" s="124"/>
      <c r="H822" s="124"/>
      <c r="I822" s="124"/>
    </row>
    <row r="823" ht="22.5" customHeight="1">
      <c r="A823" s="8"/>
      <c r="B823" s="128"/>
      <c r="C823" s="129"/>
      <c r="D823" s="124"/>
      <c r="E823" s="124"/>
      <c r="F823" s="124"/>
      <c r="G823" s="124"/>
      <c r="H823" s="124"/>
      <c r="I823" s="124"/>
    </row>
    <row r="824" ht="22.5" customHeight="1">
      <c r="A824" s="8"/>
      <c r="B824" s="128"/>
      <c r="C824" s="129"/>
      <c r="D824" s="124"/>
      <c r="E824" s="124"/>
      <c r="F824" s="124"/>
      <c r="G824" s="124"/>
      <c r="H824" s="124"/>
      <c r="I824" s="124"/>
    </row>
    <row r="825" ht="22.5" customHeight="1">
      <c r="A825" s="8"/>
      <c r="B825" s="128"/>
      <c r="C825" s="129"/>
      <c r="D825" s="124"/>
      <c r="E825" s="124"/>
      <c r="F825" s="124"/>
      <c r="G825" s="124"/>
      <c r="H825" s="124"/>
      <c r="I825" s="124"/>
    </row>
    <row r="826" ht="22.5" customHeight="1">
      <c r="A826" s="8"/>
      <c r="B826" s="128"/>
      <c r="C826" s="129"/>
      <c r="D826" s="124"/>
      <c r="E826" s="124"/>
      <c r="F826" s="124"/>
      <c r="G826" s="124"/>
      <c r="H826" s="124"/>
      <c r="I826" s="124"/>
    </row>
    <row r="827" ht="22.5" customHeight="1">
      <c r="A827" s="8"/>
      <c r="B827" s="128"/>
      <c r="C827" s="129"/>
      <c r="D827" s="124"/>
      <c r="E827" s="124"/>
      <c r="F827" s="124"/>
      <c r="G827" s="124"/>
      <c r="H827" s="124"/>
      <c r="I827" s="124"/>
    </row>
    <row r="828" ht="22.5" customHeight="1">
      <c r="A828" s="8"/>
      <c r="B828" s="128"/>
      <c r="C828" s="129"/>
      <c r="D828" s="124"/>
      <c r="E828" s="124"/>
      <c r="F828" s="124"/>
      <c r="G828" s="124"/>
      <c r="H828" s="124"/>
      <c r="I828" s="124"/>
    </row>
    <row r="829" ht="22.5" customHeight="1">
      <c r="A829" s="8"/>
      <c r="B829" s="128"/>
      <c r="C829" s="129"/>
      <c r="D829" s="124"/>
      <c r="E829" s="124"/>
      <c r="F829" s="124"/>
      <c r="G829" s="124"/>
      <c r="H829" s="124"/>
      <c r="I829" s="124"/>
    </row>
    <row r="830" ht="22.5" customHeight="1">
      <c r="A830" s="8"/>
      <c r="B830" s="128"/>
      <c r="C830" s="129"/>
      <c r="D830" s="124"/>
      <c r="E830" s="124"/>
      <c r="F830" s="124"/>
      <c r="G830" s="124"/>
      <c r="H830" s="124"/>
      <c r="I830" s="124"/>
    </row>
    <row r="831" ht="22.5" customHeight="1">
      <c r="A831" s="8"/>
      <c r="B831" s="128"/>
      <c r="C831" s="129"/>
      <c r="D831" s="124"/>
      <c r="E831" s="124"/>
      <c r="F831" s="124"/>
      <c r="G831" s="124"/>
      <c r="H831" s="124"/>
      <c r="I831" s="124"/>
    </row>
    <row r="832" ht="22.5" customHeight="1">
      <c r="A832" s="8"/>
      <c r="B832" s="128"/>
      <c r="C832" s="129"/>
      <c r="D832" s="124"/>
      <c r="E832" s="124"/>
      <c r="F832" s="124"/>
      <c r="G832" s="124"/>
      <c r="H832" s="124"/>
      <c r="I832" s="124"/>
    </row>
    <row r="833" ht="22.5" customHeight="1">
      <c r="A833" s="8"/>
      <c r="B833" s="128"/>
      <c r="C833" s="129"/>
      <c r="D833" s="124"/>
      <c r="E833" s="124"/>
      <c r="F833" s="124"/>
      <c r="G833" s="124"/>
      <c r="H833" s="124"/>
      <c r="I833" s="124"/>
    </row>
    <row r="834" ht="22.5" customHeight="1">
      <c r="A834" s="8"/>
      <c r="B834" s="128"/>
      <c r="C834" s="129"/>
      <c r="D834" s="124"/>
      <c r="E834" s="124"/>
      <c r="F834" s="124"/>
      <c r="G834" s="124"/>
      <c r="H834" s="124"/>
      <c r="I834" s="124"/>
    </row>
    <row r="835" ht="22.5" customHeight="1">
      <c r="A835" s="8"/>
      <c r="B835" s="128"/>
      <c r="C835" s="129"/>
      <c r="D835" s="124"/>
      <c r="E835" s="124"/>
      <c r="F835" s="124"/>
      <c r="G835" s="124"/>
      <c r="H835" s="124"/>
      <c r="I835" s="124"/>
    </row>
    <row r="836" ht="22.5" customHeight="1">
      <c r="A836" s="8"/>
      <c r="B836" s="128"/>
      <c r="C836" s="129"/>
      <c r="D836" s="124"/>
      <c r="E836" s="124"/>
      <c r="F836" s="124"/>
      <c r="G836" s="124"/>
      <c r="H836" s="124"/>
      <c r="I836" s="124"/>
    </row>
    <row r="837" ht="22.5" customHeight="1">
      <c r="A837" s="8"/>
      <c r="B837" s="128"/>
      <c r="C837" s="129"/>
      <c r="D837" s="124"/>
      <c r="E837" s="124"/>
      <c r="F837" s="124"/>
      <c r="G837" s="124"/>
      <c r="H837" s="124"/>
      <c r="I837" s="124"/>
    </row>
    <row r="838" ht="22.5" customHeight="1">
      <c r="A838" s="8"/>
      <c r="B838" s="128"/>
      <c r="C838" s="129"/>
      <c r="D838" s="124"/>
      <c r="E838" s="124"/>
      <c r="F838" s="124"/>
      <c r="G838" s="124"/>
      <c r="H838" s="124"/>
      <c r="I838" s="124"/>
    </row>
    <row r="839" ht="22.5" customHeight="1">
      <c r="A839" s="8"/>
      <c r="B839" s="128"/>
      <c r="C839" s="129"/>
      <c r="D839" s="124"/>
      <c r="E839" s="124"/>
      <c r="F839" s="124"/>
      <c r="G839" s="124"/>
      <c r="H839" s="124"/>
      <c r="I839" s="124"/>
    </row>
    <row r="840" ht="22.5" customHeight="1">
      <c r="A840" s="8"/>
      <c r="B840" s="128"/>
      <c r="C840" s="129"/>
      <c r="D840" s="124"/>
      <c r="E840" s="124"/>
      <c r="F840" s="124"/>
      <c r="G840" s="124"/>
      <c r="H840" s="124"/>
      <c r="I840" s="124"/>
    </row>
    <row r="841" ht="22.5" customHeight="1">
      <c r="A841" s="8"/>
      <c r="B841" s="128"/>
      <c r="C841" s="129"/>
      <c r="D841" s="124"/>
      <c r="E841" s="124"/>
      <c r="F841" s="124"/>
      <c r="G841" s="124"/>
      <c r="H841" s="124"/>
      <c r="I841" s="124"/>
    </row>
    <row r="842" ht="22.5" customHeight="1">
      <c r="A842" s="8"/>
      <c r="B842" s="128"/>
      <c r="C842" s="129"/>
      <c r="D842" s="124"/>
      <c r="E842" s="124"/>
      <c r="F842" s="124"/>
      <c r="G842" s="124"/>
      <c r="H842" s="124"/>
      <c r="I842" s="124"/>
    </row>
    <row r="843" ht="22.5" customHeight="1">
      <c r="A843" s="8"/>
      <c r="B843" s="128"/>
      <c r="C843" s="129"/>
      <c r="D843" s="124"/>
      <c r="E843" s="124"/>
      <c r="F843" s="124"/>
      <c r="G843" s="124"/>
      <c r="H843" s="124"/>
      <c r="I843" s="124"/>
    </row>
    <row r="844" ht="22.5" customHeight="1">
      <c r="A844" s="8"/>
      <c r="B844" s="128"/>
      <c r="C844" s="129"/>
      <c r="D844" s="124"/>
      <c r="E844" s="124"/>
      <c r="F844" s="124"/>
      <c r="G844" s="124"/>
      <c r="H844" s="124"/>
      <c r="I844" s="124"/>
    </row>
    <row r="845" ht="22.5" customHeight="1">
      <c r="A845" s="8"/>
      <c r="B845" s="128"/>
      <c r="C845" s="129"/>
      <c r="D845" s="124"/>
      <c r="E845" s="124"/>
      <c r="F845" s="124"/>
      <c r="G845" s="124"/>
      <c r="H845" s="124"/>
      <c r="I845" s="124"/>
    </row>
    <row r="846" ht="22.5" customHeight="1">
      <c r="A846" s="8"/>
      <c r="B846" s="128"/>
      <c r="C846" s="129"/>
      <c r="D846" s="124"/>
      <c r="E846" s="124"/>
      <c r="F846" s="124"/>
      <c r="G846" s="124"/>
      <c r="H846" s="124"/>
      <c r="I846" s="124"/>
    </row>
    <row r="847" ht="22.5" customHeight="1">
      <c r="A847" s="8"/>
      <c r="B847" s="128"/>
      <c r="C847" s="129"/>
      <c r="D847" s="124"/>
      <c r="E847" s="124"/>
      <c r="F847" s="124"/>
      <c r="G847" s="124"/>
      <c r="H847" s="124"/>
      <c r="I847" s="124"/>
    </row>
    <row r="848" ht="22.5" customHeight="1">
      <c r="A848" s="8"/>
      <c r="B848" s="128"/>
      <c r="C848" s="129"/>
      <c r="D848" s="124"/>
      <c r="E848" s="124"/>
      <c r="F848" s="124"/>
      <c r="G848" s="124"/>
      <c r="H848" s="124"/>
      <c r="I848" s="124"/>
    </row>
    <row r="849" ht="22.5" customHeight="1">
      <c r="A849" s="8"/>
      <c r="B849" s="128"/>
      <c r="C849" s="129"/>
      <c r="D849" s="124"/>
      <c r="E849" s="124"/>
      <c r="F849" s="124"/>
      <c r="G849" s="124"/>
      <c r="H849" s="124"/>
      <c r="I849" s="124"/>
    </row>
    <row r="850" ht="22.5" customHeight="1">
      <c r="A850" s="8"/>
      <c r="B850" s="128"/>
      <c r="C850" s="129"/>
      <c r="D850" s="124"/>
      <c r="E850" s="124"/>
      <c r="F850" s="124"/>
      <c r="G850" s="124"/>
      <c r="H850" s="124"/>
      <c r="I850" s="124"/>
    </row>
    <row r="851" ht="22.5" customHeight="1">
      <c r="A851" s="8"/>
      <c r="B851" s="128"/>
      <c r="C851" s="129"/>
      <c r="D851" s="124"/>
      <c r="E851" s="124"/>
      <c r="F851" s="124"/>
      <c r="G851" s="124"/>
      <c r="H851" s="124"/>
      <c r="I851" s="124"/>
    </row>
    <row r="852" ht="22.5" customHeight="1">
      <c r="A852" s="8"/>
      <c r="B852" s="128"/>
      <c r="C852" s="129"/>
      <c r="D852" s="124"/>
      <c r="E852" s="124"/>
      <c r="F852" s="124"/>
      <c r="G852" s="124"/>
      <c r="H852" s="124"/>
      <c r="I852" s="124"/>
    </row>
    <row r="853" ht="22.5" customHeight="1">
      <c r="A853" s="8"/>
      <c r="B853" s="128"/>
      <c r="C853" s="129"/>
      <c r="D853" s="124"/>
      <c r="E853" s="124"/>
      <c r="F853" s="124"/>
      <c r="G853" s="124"/>
      <c r="H853" s="124"/>
      <c r="I853" s="124"/>
    </row>
    <row r="854" ht="22.5" customHeight="1">
      <c r="A854" s="8"/>
      <c r="B854" s="128"/>
      <c r="C854" s="129"/>
      <c r="D854" s="124"/>
      <c r="E854" s="124"/>
      <c r="F854" s="124"/>
      <c r="G854" s="124"/>
      <c r="H854" s="124"/>
      <c r="I854" s="124"/>
    </row>
    <row r="855" ht="22.5" customHeight="1">
      <c r="A855" s="8"/>
      <c r="B855" s="128"/>
      <c r="C855" s="129"/>
      <c r="D855" s="124"/>
      <c r="E855" s="124"/>
      <c r="F855" s="124"/>
      <c r="G855" s="124"/>
      <c r="H855" s="124"/>
      <c r="I855" s="124"/>
    </row>
    <row r="856" ht="22.5" customHeight="1">
      <c r="A856" s="8"/>
      <c r="B856" s="128"/>
      <c r="C856" s="129"/>
      <c r="D856" s="124"/>
      <c r="E856" s="124"/>
      <c r="F856" s="124"/>
      <c r="G856" s="124"/>
      <c r="H856" s="124"/>
      <c r="I856" s="124"/>
    </row>
    <row r="857" ht="22.5" customHeight="1">
      <c r="A857" s="8"/>
      <c r="B857" s="128"/>
      <c r="C857" s="129"/>
      <c r="D857" s="124"/>
      <c r="E857" s="124"/>
      <c r="F857" s="124"/>
      <c r="G857" s="124"/>
      <c r="H857" s="124"/>
      <c r="I857" s="124"/>
    </row>
    <row r="858" ht="22.5" customHeight="1">
      <c r="A858" s="8"/>
      <c r="B858" s="128"/>
      <c r="C858" s="129"/>
      <c r="D858" s="124"/>
      <c r="E858" s="124"/>
      <c r="F858" s="124"/>
      <c r="G858" s="124"/>
      <c r="H858" s="124"/>
      <c r="I858" s="124"/>
    </row>
    <row r="859" ht="22.5" customHeight="1">
      <c r="A859" s="8"/>
      <c r="B859" s="128"/>
      <c r="C859" s="129"/>
      <c r="D859" s="124"/>
      <c r="E859" s="124"/>
      <c r="F859" s="124"/>
      <c r="G859" s="124"/>
      <c r="H859" s="124"/>
      <c r="I859" s="124"/>
    </row>
    <row r="860" ht="22.5" customHeight="1">
      <c r="A860" s="8"/>
      <c r="B860" s="128"/>
      <c r="C860" s="129"/>
      <c r="D860" s="124"/>
      <c r="E860" s="124"/>
      <c r="F860" s="124"/>
      <c r="G860" s="124"/>
      <c r="H860" s="124"/>
      <c r="I860" s="124"/>
    </row>
    <row r="861" ht="22.5" customHeight="1">
      <c r="A861" s="8"/>
      <c r="B861" s="128"/>
      <c r="C861" s="129"/>
      <c r="D861" s="124"/>
      <c r="E861" s="124"/>
      <c r="F861" s="124"/>
      <c r="G861" s="124"/>
      <c r="H861" s="124"/>
      <c r="I861" s="124"/>
    </row>
    <row r="862" ht="22.5" customHeight="1">
      <c r="A862" s="8"/>
      <c r="B862" s="128"/>
      <c r="C862" s="129"/>
      <c r="D862" s="124"/>
      <c r="E862" s="124"/>
      <c r="F862" s="124"/>
      <c r="G862" s="124"/>
      <c r="H862" s="124"/>
      <c r="I862" s="124"/>
    </row>
    <row r="863" ht="22.5" customHeight="1">
      <c r="A863" s="8"/>
      <c r="B863" s="128"/>
      <c r="C863" s="129"/>
      <c r="D863" s="124"/>
      <c r="E863" s="124"/>
      <c r="F863" s="124"/>
      <c r="G863" s="124"/>
      <c r="H863" s="124"/>
      <c r="I863" s="124"/>
    </row>
    <row r="864" ht="22.5" customHeight="1">
      <c r="A864" s="8"/>
      <c r="B864" s="128"/>
      <c r="C864" s="129"/>
      <c r="D864" s="124"/>
      <c r="E864" s="124"/>
      <c r="F864" s="124"/>
      <c r="G864" s="124"/>
      <c r="H864" s="124"/>
      <c r="I864" s="124"/>
    </row>
    <row r="865" ht="22.5" customHeight="1">
      <c r="A865" s="8"/>
      <c r="B865" s="128"/>
      <c r="C865" s="129"/>
      <c r="D865" s="124"/>
      <c r="E865" s="124"/>
      <c r="F865" s="124"/>
      <c r="G865" s="124"/>
      <c r="H865" s="124"/>
      <c r="I865" s="124"/>
    </row>
    <row r="866" ht="22.5" customHeight="1">
      <c r="A866" s="8"/>
      <c r="B866" s="128"/>
      <c r="C866" s="129"/>
      <c r="D866" s="124"/>
      <c r="E866" s="124"/>
      <c r="F866" s="124"/>
      <c r="G866" s="124"/>
      <c r="H866" s="124"/>
      <c r="I866" s="124"/>
    </row>
    <row r="867" ht="22.5" customHeight="1">
      <c r="A867" s="8"/>
      <c r="B867" s="128"/>
      <c r="C867" s="129"/>
      <c r="D867" s="124"/>
      <c r="E867" s="124"/>
      <c r="F867" s="124"/>
      <c r="G867" s="124"/>
      <c r="H867" s="124"/>
      <c r="I867" s="124"/>
    </row>
    <row r="868" ht="22.5" customHeight="1">
      <c r="A868" s="8"/>
      <c r="B868" s="128"/>
      <c r="C868" s="129"/>
      <c r="D868" s="124"/>
      <c r="E868" s="124"/>
      <c r="F868" s="124"/>
      <c r="G868" s="124"/>
      <c r="H868" s="124"/>
      <c r="I868" s="124"/>
    </row>
    <row r="869" ht="22.5" customHeight="1">
      <c r="A869" s="8"/>
      <c r="B869" s="128"/>
      <c r="C869" s="129"/>
      <c r="D869" s="124"/>
      <c r="E869" s="124"/>
      <c r="F869" s="124"/>
      <c r="G869" s="124"/>
      <c r="H869" s="124"/>
      <c r="I869" s="124"/>
    </row>
    <row r="870" ht="22.5" customHeight="1">
      <c r="A870" s="8"/>
      <c r="B870" s="128"/>
      <c r="C870" s="129"/>
      <c r="D870" s="124"/>
      <c r="E870" s="124"/>
      <c r="F870" s="124"/>
      <c r="G870" s="124"/>
      <c r="H870" s="124"/>
      <c r="I870" s="124"/>
    </row>
    <row r="871" ht="22.5" customHeight="1">
      <c r="A871" s="8"/>
      <c r="B871" s="128"/>
      <c r="C871" s="129"/>
      <c r="D871" s="124"/>
      <c r="E871" s="124"/>
      <c r="F871" s="124"/>
      <c r="G871" s="124"/>
      <c r="H871" s="124"/>
      <c r="I871" s="124"/>
    </row>
    <row r="872" ht="22.5" customHeight="1">
      <c r="A872" s="8"/>
      <c r="B872" s="128"/>
      <c r="C872" s="129"/>
      <c r="D872" s="124"/>
      <c r="E872" s="124"/>
      <c r="F872" s="124"/>
      <c r="G872" s="124"/>
      <c r="H872" s="124"/>
      <c r="I872" s="124"/>
    </row>
    <row r="873" ht="22.5" customHeight="1">
      <c r="A873" s="8"/>
      <c r="B873" s="128"/>
      <c r="C873" s="129"/>
      <c r="D873" s="124"/>
      <c r="E873" s="124"/>
      <c r="F873" s="124"/>
      <c r="G873" s="124"/>
      <c r="H873" s="124"/>
      <c r="I873" s="124"/>
    </row>
    <row r="874" ht="22.5" customHeight="1">
      <c r="A874" s="8"/>
      <c r="B874" s="128"/>
      <c r="C874" s="129"/>
      <c r="D874" s="124"/>
      <c r="E874" s="124"/>
      <c r="F874" s="124"/>
      <c r="G874" s="124"/>
      <c r="H874" s="124"/>
      <c r="I874" s="124"/>
    </row>
    <row r="875" ht="22.5" customHeight="1">
      <c r="A875" s="8"/>
      <c r="B875" s="128"/>
      <c r="C875" s="129"/>
      <c r="D875" s="124"/>
      <c r="E875" s="124"/>
      <c r="F875" s="124"/>
      <c r="G875" s="124"/>
      <c r="H875" s="124"/>
      <c r="I875" s="124"/>
    </row>
    <row r="876" ht="22.5" customHeight="1">
      <c r="A876" s="8"/>
      <c r="B876" s="128"/>
      <c r="C876" s="129"/>
      <c r="D876" s="124"/>
      <c r="E876" s="124"/>
      <c r="F876" s="124"/>
      <c r="G876" s="124"/>
      <c r="H876" s="124"/>
      <c r="I876" s="124"/>
    </row>
    <row r="877" ht="22.5" customHeight="1">
      <c r="A877" s="8"/>
      <c r="B877" s="128"/>
      <c r="C877" s="129"/>
      <c r="D877" s="124"/>
      <c r="E877" s="124"/>
      <c r="F877" s="124"/>
      <c r="G877" s="124"/>
      <c r="H877" s="124"/>
      <c r="I877" s="124"/>
    </row>
    <row r="878" ht="22.5" customHeight="1">
      <c r="A878" s="8"/>
      <c r="B878" s="128"/>
      <c r="C878" s="129"/>
      <c r="D878" s="124"/>
      <c r="E878" s="124"/>
      <c r="F878" s="124"/>
      <c r="G878" s="124"/>
      <c r="H878" s="124"/>
      <c r="I878" s="124"/>
    </row>
    <row r="879" ht="22.5" customHeight="1">
      <c r="A879" s="8"/>
      <c r="B879" s="128"/>
      <c r="C879" s="129"/>
      <c r="D879" s="124"/>
      <c r="E879" s="124"/>
      <c r="F879" s="124"/>
      <c r="G879" s="124"/>
      <c r="H879" s="124"/>
      <c r="I879" s="124"/>
    </row>
    <row r="880" ht="22.5" customHeight="1">
      <c r="A880" s="8"/>
      <c r="B880" s="128"/>
      <c r="C880" s="129"/>
      <c r="D880" s="124"/>
      <c r="E880" s="124"/>
      <c r="F880" s="124"/>
      <c r="G880" s="124"/>
      <c r="H880" s="124"/>
      <c r="I880" s="124"/>
    </row>
    <row r="881" ht="22.5" customHeight="1">
      <c r="A881" s="8"/>
      <c r="B881" s="128"/>
      <c r="C881" s="129"/>
      <c r="D881" s="124"/>
      <c r="E881" s="124"/>
      <c r="F881" s="124"/>
      <c r="G881" s="124"/>
      <c r="H881" s="124"/>
      <c r="I881" s="124"/>
    </row>
    <row r="882" ht="22.5" customHeight="1">
      <c r="A882" s="8"/>
      <c r="B882" s="128"/>
      <c r="C882" s="129"/>
      <c r="D882" s="124"/>
      <c r="E882" s="124"/>
      <c r="F882" s="124"/>
      <c r="G882" s="124"/>
      <c r="H882" s="124"/>
      <c r="I882" s="124"/>
    </row>
    <row r="883" ht="22.5" customHeight="1">
      <c r="A883" s="8"/>
      <c r="B883" s="128"/>
      <c r="C883" s="129"/>
      <c r="D883" s="124"/>
      <c r="E883" s="124"/>
      <c r="F883" s="124"/>
      <c r="G883" s="124"/>
      <c r="H883" s="124"/>
      <c r="I883" s="124"/>
    </row>
    <row r="884" ht="22.5" customHeight="1">
      <c r="A884" s="8"/>
      <c r="B884" s="128"/>
      <c r="C884" s="129"/>
      <c r="D884" s="124"/>
      <c r="E884" s="124"/>
      <c r="F884" s="124"/>
      <c r="G884" s="124"/>
      <c r="H884" s="124"/>
      <c r="I884" s="124"/>
    </row>
    <row r="885" ht="22.5" customHeight="1">
      <c r="A885" s="8"/>
      <c r="B885" s="128"/>
      <c r="C885" s="129"/>
      <c r="D885" s="124"/>
      <c r="E885" s="124"/>
      <c r="F885" s="124"/>
      <c r="G885" s="124"/>
      <c r="H885" s="124"/>
      <c r="I885" s="124"/>
    </row>
    <row r="886" ht="22.5" customHeight="1">
      <c r="A886" s="8"/>
      <c r="B886" s="128"/>
      <c r="C886" s="129"/>
      <c r="D886" s="124"/>
      <c r="E886" s="124"/>
      <c r="F886" s="124"/>
      <c r="G886" s="124"/>
      <c r="H886" s="124"/>
      <c r="I886" s="124"/>
    </row>
    <row r="887" ht="22.5" customHeight="1">
      <c r="A887" s="8"/>
      <c r="B887" s="128"/>
      <c r="C887" s="129"/>
      <c r="D887" s="124"/>
      <c r="E887" s="124"/>
      <c r="F887" s="124"/>
      <c r="G887" s="124"/>
      <c r="H887" s="124"/>
      <c r="I887" s="124"/>
    </row>
    <row r="888" ht="22.5" customHeight="1">
      <c r="A888" s="8"/>
      <c r="B888" s="128"/>
      <c r="C888" s="129"/>
      <c r="D888" s="124"/>
      <c r="E888" s="124"/>
      <c r="F888" s="124"/>
      <c r="G888" s="124"/>
      <c r="H888" s="124"/>
      <c r="I888" s="124"/>
    </row>
    <row r="889" ht="22.5" customHeight="1">
      <c r="A889" s="8"/>
      <c r="B889" s="128"/>
      <c r="C889" s="129"/>
      <c r="D889" s="124"/>
      <c r="E889" s="124"/>
      <c r="F889" s="124"/>
      <c r="G889" s="124"/>
      <c r="H889" s="124"/>
      <c r="I889" s="124"/>
    </row>
    <row r="890" ht="22.5" customHeight="1">
      <c r="A890" s="8"/>
      <c r="B890" s="128"/>
      <c r="C890" s="129"/>
      <c r="D890" s="124"/>
      <c r="E890" s="124"/>
      <c r="F890" s="124"/>
      <c r="G890" s="124"/>
      <c r="H890" s="124"/>
      <c r="I890" s="124"/>
    </row>
    <row r="891" ht="22.5" customHeight="1">
      <c r="A891" s="8"/>
      <c r="B891" s="128"/>
      <c r="C891" s="129"/>
      <c r="D891" s="124"/>
      <c r="E891" s="124"/>
      <c r="F891" s="124"/>
      <c r="G891" s="124"/>
      <c r="H891" s="124"/>
      <c r="I891" s="124"/>
    </row>
    <row r="892" ht="22.5" customHeight="1">
      <c r="A892" s="8"/>
      <c r="B892" s="128"/>
      <c r="C892" s="129"/>
      <c r="D892" s="124"/>
      <c r="E892" s="124"/>
      <c r="F892" s="124"/>
      <c r="G892" s="124"/>
      <c r="H892" s="124"/>
      <c r="I892" s="124"/>
    </row>
    <row r="893" ht="22.5" customHeight="1">
      <c r="A893" s="8"/>
      <c r="B893" s="128"/>
      <c r="C893" s="129"/>
      <c r="D893" s="124"/>
      <c r="E893" s="124"/>
      <c r="F893" s="124"/>
      <c r="G893" s="124"/>
      <c r="H893" s="124"/>
      <c r="I893" s="124"/>
    </row>
    <row r="894" ht="22.5" customHeight="1">
      <c r="A894" s="8"/>
      <c r="B894" s="128"/>
      <c r="C894" s="129"/>
      <c r="D894" s="124"/>
      <c r="E894" s="124"/>
      <c r="F894" s="124"/>
      <c r="G894" s="124"/>
      <c r="H894" s="124"/>
      <c r="I894" s="124"/>
    </row>
    <row r="895" ht="22.5" customHeight="1">
      <c r="A895" s="8"/>
      <c r="B895" s="128"/>
      <c r="C895" s="129"/>
      <c r="D895" s="124"/>
      <c r="E895" s="124"/>
      <c r="F895" s="124"/>
      <c r="G895" s="124"/>
      <c r="H895" s="124"/>
      <c r="I895" s="124"/>
    </row>
    <row r="896" ht="22.5" customHeight="1">
      <c r="A896" s="8"/>
      <c r="B896" s="128"/>
      <c r="C896" s="129"/>
      <c r="D896" s="124"/>
      <c r="E896" s="124"/>
      <c r="F896" s="124"/>
      <c r="G896" s="124"/>
      <c r="H896" s="124"/>
      <c r="I896" s="124"/>
    </row>
    <row r="897" ht="22.5" customHeight="1">
      <c r="A897" s="8"/>
      <c r="B897" s="128"/>
      <c r="C897" s="129"/>
      <c r="D897" s="124"/>
      <c r="E897" s="124"/>
      <c r="F897" s="124"/>
      <c r="G897" s="124"/>
      <c r="H897" s="124"/>
      <c r="I897" s="124"/>
    </row>
    <row r="898" ht="22.5" customHeight="1">
      <c r="A898" s="8"/>
      <c r="B898" s="128"/>
      <c r="C898" s="129"/>
      <c r="D898" s="124"/>
      <c r="E898" s="124"/>
      <c r="F898" s="124"/>
      <c r="G898" s="124"/>
      <c r="H898" s="124"/>
      <c r="I898" s="124"/>
    </row>
    <row r="899" ht="22.5" customHeight="1">
      <c r="A899" s="8"/>
      <c r="B899" s="128"/>
      <c r="C899" s="129"/>
      <c r="D899" s="124"/>
      <c r="E899" s="124"/>
      <c r="F899" s="124"/>
      <c r="G899" s="124"/>
      <c r="H899" s="124"/>
      <c r="I899" s="124"/>
    </row>
    <row r="900" ht="22.5" customHeight="1">
      <c r="A900" s="8"/>
      <c r="B900" s="128"/>
      <c r="C900" s="129"/>
      <c r="D900" s="124"/>
      <c r="E900" s="124"/>
      <c r="F900" s="124"/>
      <c r="G900" s="124"/>
      <c r="H900" s="124"/>
      <c r="I900" s="124"/>
    </row>
    <row r="901" ht="22.5" customHeight="1">
      <c r="A901" s="8"/>
      <c r="B901" s="128"/>
      <c r="C901" s="129"/>
      <c r="D901" s="124"/>
      <c r="E901" s="124"/>
      <c r="F901" s="124"/>
      <c r="G901" s="124"/>
      <c r="H901" s="124"/>
      <c r="I901" s="124"/>
    </row>
    <row r="902" ht="22.5" customHeight="1">
      <c r="A902" s="8"/>
      <c r="B902" s="128"/>
      <c r="C902" s="129"/>
      <c r="D902" s="124"/>
      <c r="E902" s="124"/>
      <c r="F902" s="124"/>
      <c r="G902" s="124"/>
      <c r="H902" s="124"/>
      <c r="I902" s="124"/>
    </row>
    <row r="903" ht="22.5" customHeight="1">
      <c r="A903" s="8"/>
      <c r="B903" s="128"/>
      <c r="C903" s="129"/>
      <c r="D903" s="124"/>
      <c r="E903" s="124"/>
      <c r="F903" s="124"/>
      <c r="G903" s="124"/>
      <c r="H903" s="124"/>
      <c r="I903" s="124"/>
    </row>
    <row r="904" ht="22.5" customHeight="1">
      <c r="A904" s="8"/>
      <c r="B904" s="128"/>
      <c r="C904" s="129"/>
      <c r="D904" s="124"/>
      <c r="E904" s="124"/>
      <c r="F904" s="124"/>
      <c r="G904" s="124"/>
      <c r="H904" s="124"/>
      <c r="I904" s="124"/>
    </row>
    <row r="905" ht="22.5" customHeight="1">
      <c r="A905" s="8"/>
      <c r="B905" s="128"/>
      <c r="C905" s="129"/>
      <c r="D905" s="124"/>
      <c r="E905" s="124"/>
      <c r="F905" s="124"/>
      <c r="G905" s="124"/>
      <c r="H905" s="124"/>
      <c r="I905" s="124"/>
    </row>
    <row r="906" ht="22.5" customHeight="1">
      <c r="A906" s="8"/>
      <c r="B906" s="128"/>
      <c r="C906" s="129"/>
      <c r="D906" s="124"/>
      <c r="E906" s="124"/>
      <c r="F906" s="124"/>
      <c r="G906" s="124"/>
      <c r="H906" s="124"/>
      <c r="I906" s="124"/>
    </row>
    <row r="907" ht="22.5" customHeight="1">
      <c r="A907" s="8"/>
      <c r="B907" s="128"/>
      <c r="C907" s="129"/>
      <c r="D907" s="124"/>
      <c r="E907" s="124"/>
      <c r="F907" s="124"/>
      <c r="G907" s="124"/>
      <c r="H907" s="124"/>
      <c r="I907" s="124"/>
    </row>
    <row r="908" ht="22.5" customHeight="1">
      <c r="A908" s="8"/>
      <c r="B908" s="128"/>
      <c r="C908" s="129"/>
      <c r="D908" s="124"/>
      <c r="E908" s="124"/>
      <c r="F908" s="124"/>
      <c r="G908" s="124"/>
      <c r="H908" s="124"/>
      <c r="I908" s="124"/>
    </row>
    <row r="909" ht="22.5" customHeight="1">
      <c r="A909" s="8"/>
      <c r="B909" s="128"/>
      <c r="C909" s="129"/>
      <c r="D909" s="124"/>
      <c r="E909" s="124"/>
      <c r="F909" s="124"/>
      <c r="G909" s="124"/>
      <c r="H909" s="124"/>
      <c r="I909" s="124"/>
    </row>
    <row r="910" ht="22.5" customHeight="1">
      <c r="A910" s="8"/>
      <c r="B910" s="128"/>
      <c r="C910" s="129"/>
      <c r="D910" s="124"/>
      <c r="E910" s="124"/>
      <c r="F910" s="124"/>
      <c r="G910" s="124"/>
      <c r="H910" s="124"/>
      <c r="I910" s="124"/>
    </row>
    <row r="911" ht="22.5" customHeight="1">
      <c r="A911" s="8"/>
      <c r="B911" s="128"/>
      <c r="C911" s="129"/>
      <c r="D911" s="124"/>
      <c r="E911" s="124"/>
      <c r="F911" s="124"/>
      <c r="G911" s="124"/>
      <c r="H911" s="124"/>
      <c r="I911" s="124"/>
    </row>
    <row r="912" ht="22.5" customHeight="1">
      <c r="A912" s="8"/>
      <c r="B912" s="128"/>
      <c r="C912" s="129"/>
      <c r="D912" s="124"/>
      <c r="E912" s="124"/>
      <c r="F912" s="124"/>
      <c r="G912" s="124"/>
      <c r="H912" s="124"/>
      <c r="I912" s="124"/>
    </row>
    <row r="913" ht="22.5" customHeight="1">
      <c r="A913" s="8"/>
      <c r="B913" s="128"/>
      <c r="C913" s="129"/>
      <c r="D913" s="124"/>
      <c r="E913" s="124"/>
      <c r="F913" s="124"/>
      <c r="G913" s="124"/>
      <c r="H913" s="124"/>
      <c r="I913" s="124"/>
    </row>
    <row r="914" ht="22.5" customHeight="1">
      <c r="A914" s="8"/>
      <c r="B914" s="128"/>
      <c r="C914" s="129"/>
      <c r="D914" s="124"/>
      <c r="E914" s="124"/>
      <c r="F914" s="124"/>
      <c r="G914" s="124"/>
      <c r="H914" s="124"/>
      <c r="I914" s="124"/>
    </row>
    <row r="915" ht="22.5" customHeight="1">
      <c r="A915" s="8"/>
      <c r="B915" s="128"/>
      <c r="C915" s="129"/>
      <c r="D915" s="124"/>
      <c r="E915" s="124"/>
      <c r="F915" s="124"/>
      <c r="G915" s="124"/>
      <c r="H915" s="124"/>
      <c r="I915" s="124"/>
    </row>
    <row r="916" ht="22.5" customHeight="1">
      <c r="A916" s="8"/>
      <c r="B916" s="128"/>
      <c r="C916" s="129"/>
      <c r="D916" s="124"/>
      <c r="E916" s="124"/>
      <c r="F916" s="124"/>
      <c r="G916" s="124"/>
      <c r="H916" s="124"/>
      <c r="I916" s="124"/>
    </row>
    <row r="917" ht="22.5" customHeight="1">
      <c r="A917" s="8"/>
      <c r="B917" s="128"/>
      <c r="C917" s="129"/>
      <c r="D917" s="124"/>
      <c r="E917" s="124"/>
      <c r="F917" s="124"/>
      <c r="G917" s="124"/>
      <c r="H917" s="124"/>
      <c r="I917" s="124"/>
    </row>
    <row r="918" ht="22.5" customHeight="1">
      <c r="A918" s="8"/>
      <c r="B918" s="128"/>
      <c r="C918" s="129"/>
      <c r="D918" s="124"/>
      <c r="E918" s="124"/>
      <c r="F918" s="124"/>
      <c r="G918" s="124"/>
      <c r="H918" s="124"/>
      <c r="I918" s="124"/>
    </row>
    <row r="919" ht="22.5" customHeight="1">
      <c r="A919" s="8"/>
      <c r="B919" s="128"/>
      <c r="C919" s="129"/>
      <c r="D919" s="124"/>
      <c r="E919" s="124"/>
      <c r="F919" s="124"/>
      <c r="G919" s="124"/>
      <c r="H919" s="124"/>
      <c r="I919" s="124"/>
    </row>
    <row r="920" ht="22.5" customHeight="1">
      <c r="A920" s="8"/>
      <c r="B920" s="128"/>
      <c r="C920" s="129"/>
      <c r="D920" s="124"/>
      <c r="E920" s="124"/>
      <c r="F920" s="124"/>
      <c r="G920" s="124"/>
      <c r="H920" s="124"/>
      <c r="I920" s="124"/>
    </row>
    <row r="921" ht="22.5" customHeight="1">
      <c r="A921" s="8"/>
      <c r="B921" s="128"/>
      <c r="C921" s="129"/>
      <c r="D921" s="124"/>
      <c r="E921" s="124"/>
      <c r="F921" s="124"/>
      <c r="G921" s="124"/>
      <c r="H921" s="124"/>
      <c r="I921" s="124"/>
    </row>
    <row r="922" ht="22.5" customHeight="1">
      <c r="A922" s="8"/>
      <c r="B922" s="128"/>
      <c r="C922" s="129"/>
      <c r="D922" s="124"/>
      <c r="E922" s="124"/>
      <c r="F922" s="124"/>
      <c r="G922" s="124"/>
      <c r="H922" s="124"/>
      <c r="I922" s="124"/>
    </row>
    <row r="923" ht="22.5" customHeight="1">
      <c r="A923" s="8"/>
      <c r="B923" s="128"/>
      <c r="C923" s="129"/>
      <c r="D923" s="124"/>
      <c r="E923" s="124"/>
      <c r="F923" s="124"/>
      <c r="G923" s="124"/>
      <c r="H923" s="124"/>
      <c r="I923" s="124"/>
    </row>
    <row r="924" ht="22.5" customHeight="1">
      <c r="A924" s="8"/>
      <c r="B924" s="128"/>
      <c r="C924" s="129"/>
      <c r="D924" s="124"/>
      <c r="E924" s="124"/>
      <c r="F924" s="124"/>
      <c r="G924" s="124"/>
      <c r="H924" s="124"/>
      <c r="I924" s="124"/>
    </row>
    <row r="925" ht="22.5" customHeight="1">
      <c r="A925" s="8"/>
      <c r="B925" s="128"/>
      <c r="C925" s="129"/>
      <c r="D925" s="124"/>
      <c r="E925" s="124"/>
      <c r="F925" s="124"/>
      <c r="G925" s="124"/>
      <c r="H925" s="124"/>
      <c r="I925" s="124"/>
    </row>
    <row r="926" ht="22.5" customHeight="1">
      <c r="A926" s="8"/>
      <c r="B926" s="128"/>
      <c r="C926" s="129"/>
      <c r="D926" s="124"/>
      <c r="E926" s="124"/>
      <c r="F926" s="124"/>
      <c r="G926" s="124"/>
      <c r="H926" s="124"/>
      <c r="I926" s="124"/>
    </row>
    <row r="927" ht="22.5" customHeight="1">
      <c r="A927" s="8"/>
      <c r="B927" s="128"/>
      <c r="C927" s="129"/>
      <c r="D927" s="124"/>
      <c r="E927" s="124"/>
      <c r="F927" s="124"/>
      <c r="G927" s="124"/>
      <c r="H927" s="124"/>
      <c r="I927" s="124"/>
    </row>
    <row r="928" ht="22.5" customHeight="1">
      <c r="A928" s="8"/>
      <c r="B928" s="128"/>
      <c r="C928" s="129"/>
      <c r="D928" s="124"/>
      <c r="E928" s="124"/>
      <c r="F928" s="124"/>
      <c r="G928" s="124"/>
      <c r="H928" s="124"/>
      <c r="I928" s="124"/>
    </row>
    <row r="929" ht="22.5" customHeight="1">
      <c r="A929" s="8"/>
      <c r="B929" s="128"/>
      <c r="C929" s="129"/>
      <c r="D929" s="124"/>
      <c r="E929" s="124"/>
      <c r="F929" s="124"/>
      <c r="G929" s="124"/>
      <c r="H929" s="124"/>
      <c r="I929" s="124"/>
    </row>
    <row r="930" ht="22.5" customHeight="1">
      <c r="A930" s="8"/>
      <c r="B930" s="128"/>
      <c r="C930" s="129"/>
      <c r="D930" s="124"/>
      <c r="E930" s="124"/>
      <c r="F930" s="124"/>
      <c r="G930" s="124"/>
      <c r="H930" s="124"/>
      <c r="I930" s="124"/>
    </row>
    <row r="931" ht="22.5" customHeight="1">
      <c r="A931" s="8"/>
      <c r="B931" s="128"/>
      <c r="C931" s="129"/>
      <c r="D931" s="124"/>
      <c r="E931" s="124"/>
      <c r="F931" s="124"/>
      <c r="G931" s="124"/>
      <c r="H931" s="124"/>
      <c r="I931" s="124"/>
    </row>
    <row r="932" ht="22.5" customHeight="1">
      <c r="A932" s="8"/>
      <c r="B932" s="128"/>
      <c r="C932" s="129"/>
      <c r="D932" s="124"/>
      <c r="E932" s="124"/>
      <c r="F932" s="124"/>
      <c r="G932" s="124"/>
      <c r="H932" s="124"/>
      <c r="I932" s="124"/>
    </row>
    <row r="933" ht="22.5" customHeight="1">
      <c r="A933" s="8"/>
      <c r="B933" s="128"/>
      <c r="C933" s="129"/>
      <c r="D933" s="124"/>
      <c r="E933" s="124"/>
      <c r="F933" s="124"/>
      <c r="G933" s="124"/>
      <c r="H933" s="124"/>
      <c r="I933" s="124"/>
    </row>
    <row r="934" ht="22.5" customHeight="1">
      <c r="A934" s="8"/>
      <c r="B934" s="128"/>
      <c r="C934" s="129"/>
      <c r="D934" s="124"/>
      <c r="E934" s="124"/>
      <c r="F934" s="124"/>
      <c r="G934" s="124"/>
      <c r="H934" s="124"/>
      <c r="I934" s="124"/>
    </row>
    <row r="935" ht="22.5" customHeight="1">
      <c r="A935" s="8"/>
      <c r="B935" s="128"/>
      <c r="C935" s="129"/>
      <c r="D935" s="124"/>
      <c r="E935" s="124"/>
      <c r="F935" s="124"/>
      <c r="G935" s="124"/>
      <c r="H935" s="124"/>
      <c r="I935" s="124"/>
    </row>
    <row r="936" ht="22.5" customHeight="1">
      <c r="A936" s="8"/>
      <c r="B936" s="128"/>
      <c r="C936" s="129"/>
      <c r="D936" s="124"/>
      <c r="E936" s="124"/>
      <c r="F936" s="124"/>
      <c r="G936" s="124"/>
      <c r="H936" s="124"/>
      <c r="I936" s="124"/>
    </row>
    <row r="937" ht="22.5" customHeight="1">
      <c r="A937" s="8"/>
      <c r="B937" s="128"/>
      <c r="C937" s="129"/>
      <c r="D937" s="124"/>
      <c r="E937" s="124"/>
      <c r="F937" s="124"/>
      <c r="G937" s="124"/>
      <c r="H937" s="124"/>
      <c r="I937" s="124"/>
    </row>
    <row r="938" ht="22.5" customHeight="1">
      <c r="A938" s="8"/>
      <c r="B938" s="128"/>
      <c r="C938" s="129"/>
      <c r="D938" s="124"/>
      <c r="E938" s="124"/>
      <c r="F938" s="124"/>
      <c r="G938" s="124"/>
      <c r="H938" s="124"/>
      <c r="I938" s="124"/>
    </row>
    <row r="939" ht="22.5" customHeight="1">
      <c r="A939" s="8"/>
      <c r="B939" s="128"/>
      <c r="C939" s="129"/>
      <c r="D939" s="124"/>
      <c r="E939" s="124"/>
      <c r="F939" s="124"/>
      <c r="G939" s="124"/>
      <c r="H939" s="124"/>
      <c r="I939" s="124"/>
    </row>
    <row r="940" ht="22.5" customHeight="1">
      <c r="A940" s="8"/>
      <c r="B940" s="128"/>
      <c r="C940" s="129"/>
      <c r="D940" s="124"/>
      <c r="E940" s="124"/>
      <c r="F940" s="124"/>
      <c r="G940" s="124"/>
      <c r="H940" s="124"/>
      <c r="I940" s="124"/>
    </row>
    <row r="941" ht="22.5" customHeight="1">
      <c r="A941" s="8"/>
      <c r="B941" s="128"/>
      <c r="C941" s="129"/>
      <c r="D941" s="124"/>
      <c r="E941" s="124"/>
      <c r="F941" s="124"/>
      <c r="G941" s="124"/>
      <c r="H941" s="124"/>
      <c r="I941" s="124"/>
    </row>
    <row r="942" ht="22.5" customHeight="1">
      <c r="A942" s="8"/>
      <c r="B942" s="128"/>
      <c r="C942" s="129"/>
      <c r="D942" s="124"/>
      <c r="E942" s="124"/>
      <c r="F942" s="124"/>
      <c r="G942" s="124"/>
      <c r="H942" s="124"/>
      <c r="I942" s="124"/>
    </row>
    <row r="943" ht="22.5" customHeight="1">
      <c r="A943" s="8"/>
      <c r="B943" s="128"/>
      <c r="C943" s="129"/>
      <c r="D943" s="124"/>
      <c r="E943" s="124"/>
      <c r="F943" s="124"/>
      <c r="G943" s="124"/>
      <c r="H943" s="124"/>
      <c r="I943" s="124"/>
    </row>
    <row r="944" ht="22.5" customHeight="1">
      <c r="A944" s="8"/>
      <c r="B944" s="128"/>
      <c r="C944" s="129"/>
      <c r="D944" s="124"/>
      <c r="E944" s="124"/>
      <c r="F944" s="124"/>
      <c r="G944" s="124"/>
      <c r="H944" s="124"/>
      <c r="I944" s="124"/>
    </row>
    <row r="945" ht="22.5" customHeight="1">
      <c r="A945" s="8"/>
      <c r="B945" s="128"/>
      <c r="C945" s="129"/>
      <c r="D945" s="124"/>
      <c r="E945" s="124"/>
      <c r="F945" s="124"/>
      <c r="G945" s="124"/>
      <c r="H945" s="124"/>
      <c r="I945" s="124"/>
    </row>
    <row r="946" ht="22.5" customHeight="1">
      <c r="A946" s="8"/>
      <c r="B946" s="128"/>
      <c r="C946" s="129"/>
      <c r="D946" s="124"/>
      <c r="E946" s="124"/>
      <c r="F946" s="124"/>
      <c r="G946" s="124"/>
      <c r="H946" s="124"/>
      <c r="I946" s="124"/>
    </row>
    <row r="947" ht="22.5" customHeight="1">
      <c r="A947" s="8"/>
      <c r="B947" s="128"/>
      <c r="C947" s="129"/>
      <c r="D947" s="124"/>
      <c r="E947" s="124"/>
      <c r="F947" s="124"/>
      <c r="G947" s="124"/>
      <c r="H947" s="124"/>
      <c r="I947" s="124"/>
    </row>
    <row r="948" ht="22.5" customHeight="1">
      <c r="A948" s="8"/>
      <c r="B948" s="128"/>
      <c r="C948" s="129"/>
      <c r="D948" s="124"/>
      <c r="E948" s="124"/>
      <c r="F948" s="124"/>
      <c r="G948" s="124"/>
      <c r="H948" s="124"/>
      <c r="I948" s="124"/>
    </row>
    <row r="949" ht="22.5" customHeight="1">
      <c r="A949" s="8"/>
      <c r="B949" s="128"/>
      <c r="C949" s="129"/>
      <c r="D949" s="124"/>
      <c r="E949" s="124"/>
      <c r="F949" s="124"/>
      <c r="G949" s="124"/>
      <c r="H949" s="124"/>
      <c r="I949" s="124"/>
    </row>
    <row r="950" ht="22.5" customHeight="1">
      <c r="A950" s="8"/>
      <c r="B950" s="128"/>
      <c r="C950" s="129"/>
      <c r="D950" s="124"/>
      <c r="E950" s="124"/>
      <c r="F950" s="124"/>
      <c r="G950" s="124"/>
      <c r="H950" s="124"/>
      <c r="I950" s="124"/>
    </row>
    <row r="951" ht="22.5" customHeight="1">
      <c r="A951" s="8"/>
      <c r="B951" s="128"/>
      <c r="C951" s="129"/>
      <c r="D951" s="124"/>
      <c r="E951" s="124"/>
      <c r="F951" s="124"/>
      <c r="G951" s="124"/>
      <c r="H951" s="124"/>
      <c r="I951" s="124"/>
    </row>
    <row r="952" ht="22.5" customHeight="1">
      <c r="A952" s="8"/>
      <c r="B952" s="128"/>
      <c r="C952" s="129"/>
      <c r="D952" s="124"/>
      <c r="E952" s="124"/>
      <c r="F952" s="124"/>
      <c r="G952" s="124"/>
      <c r="H952" s="124"/>
      <c r="I952" s="124"/>
    </row>
    <row r="953" ht="22.5" customHeight="1">
      <c r="A953" s="8"/>
      <c r="B953" s="128"/>
      <c r="C953" s="129"/>
      <c r="D953" s="124"/>
      <c r="E953" s="124"/>
      <c r="F953" s="124"/>
      <c r="G953" s="124"/>
      <c r="H953" s="124"/>
      <c r="I953" s="124"/>
    </row>
    <row r="954" ht="22.5" customHeight="1">
      <c r="A954" s="8"/>
      <c r="B954" s="128"/>
      <c r="C954" s="129"/>
      <c r="D954" s="124"/>
      <c r="E954" s="124"/>
      <c r="F954" s="124"/>
      <c r="G954" s="124"/>
      <c r="H954" s="124"/>
      <c r="I954" s="124"/>
    </row>
    <row r="955" ht="22.5" customHeight="1">
      <c r="A955" s="8"/>
      <c r="B955" s="128"/>
      <c r="C955" s="129"/>
      <c r="D955" s="124"/>
      <c r="E955" s="124"/>
      <c r="F955" s="124"/>
      <c r="G955" s="124"/>
      <c r="H955" s="124"/>
      <c r="I955" s="124"/>
    </row>
    <row r="956" ht="22.5" customHeight="1">
      <c r="A956" s="8"/>
      <c r="B956" s="128"/>
      <c r="C956" s="129"/>
      <c r="D956" s="124"/>
      <c r="E956" s="124"/>
      <c r="F956" s="124"/>
      <c r="G956" s="124"/>
      <c r="H956" s="124"/>
      <c r="I956" s="124"/>
    </row>
    <row r="957" ht="22.5" customHeight="1">
      <c r="A957" s="8"/>
      <c r="B957" s="128"/>
      <c r="C957" s="129"/>
      <c r="D957" s="124"/>
      <c r="E957" s="124"/>
      <c r="F957" s="124"/>
      <c r="G957" s="124"/>
      <c r="H957" s="124"/>
      <c r="I957" s="124"/>
    </row>
    <row r="958" ht="22.5" customHeight="1">
      <c r="A958" s="8"/>
      <c r="B958" s="128"/>
      <c r="C958" s="129"/>
      <c r="D958" s="124"/>
      <c r="E958" s="124"/>
      <c r="F958" s="124"/>
      <c r="G958" s="124"/>
      <c r="H958" s="124"/>
      <c r="I958" s="124"/>
    </row>
    <row r="959" ht="22.5" customHeight="1">
      <c r="A959" s="8"/>
      <c r="B959" s="128"/>
      <c r="C959" s="129"/>
      <c r="D959" s="124"/>
      <c r="E959" s="124"/>
      <c r="F959" s="124"/>
      <c r="G959" s="124"/>
      <c r="H959" s="124"/>
      <c r="I959" s="124"/>
    </row>
    <row r="960" ht="22.5" customHeight="1">
      <c r="A960" s="8"/>
      <c r="B960" s="128"/>
      <c r="C960" s="129"/>
      <c r="D960" s="124"/>
      <c r="E960" s="124"/>
      <c r="F960" s="124"/>
      <c r="G960" s="124"/>
      <c r="H960" s="124"/>
      <c r="I960" s="124"/>
    </row>
    <row r="961" ht="22.5" customHeight="1">
      <c r="A961" s="8"/>
      <c r="B961" s="128"/>
      <c r="C961" s="129"/>
      <c r="D961" s="124"/>
      <c r="E961" s="124"/>
      <c r="F961" s="124"/>
      <c r="G961" s="124"/>
      <c r="H961" s="124"/>
      <c r="I961" s="124"/>
    </row>
    <row r="962" ht="22.5" customHeight="1">
      <c r="A962" s="8"/>
      <c r="B962" s="128"/>
      <c r="C962" s="129"/>
      <c r="D962" s="124"/>
      <c r="E962" s="124"/>
      <c r="F962" s="124"/>
      <c r="G962" s="124"/>
      <c r="H962" s="124"/>
      <c r="I962" s="124"/>
    </row>
    <row r="963" ht="22.5" customHeight="1">
      <c r="A963" s="8"/>
      <c r="B963" s="128"/>
      <c r="C963" s="129"/>
      <c r="D963" s="124"/>
      <c r="E963" s="124"/>
      <c r="F963" s="124"/>
      <c r="G963" s="124"/>
      <c r="H963" s="124"/>
      <c r="I963" s="124"/>
    </row>
    <row r="964" ht="22.5" customHeight="1">
      <c r="A964" s="8"/>
      <c r="B964" s="128"/>
      <c r="C964" s="129"/>
      <c r="D964" s="124"/>
      <c r="E964" s="124"/>
      <c r="F964" s="124"/>
      <c r="G964" s="124"/>
      <c r="H964" s="124"/>
      <c r="I964" s="124"/>
    </row>
    <row r="965" ht="22.5" customHeight="1">
      <c r="A965" s="8"/>
      <c r="B965" s="128"/>
      <c r="C965" s="129"/>
      <c r="D965" s="124"/>
      <c r="E965" s="124"/>
      <c r="F965" s="124"/>
      <c r="G965" s="124"/>
      <c r="H965" s="124"/>
      <c r="I965" s="124"/>
    </row>
    <row r="966" ht="22.5" customHeight="1">
      <c r="A966" s="8"/>
      <c r="B966" s="128"/>
      <c r="C966" s="129"/>
      <c r="D966" s="124"/>
      <c r="E966" s="124"/>
      <c r="F966" s="124"/>
      <c r="G966" s="124"/>
      <c r="H966" s="124"/>
      <c r="I966" s="124"/>
    </row>
    <row r="967" ht="22.5" customHeight="1">
      <c r="A967" s="8"/>
      <c r="B967" s="128"/>
      <c r="C967" s="129"/>
      <c r="D967" s="124"/>
      <c r="E967" s="124"/>
      <c r="F967" s="124"/>
      <c r="G967" s="124"/>
      <c r="H967" s="124"/>
      <c r="I967" s="124"/>
    </row>
    <row r="968" ht="22.5" customHeight="1">
      <c r="A968" s="8"/>
      <c r="B968" s="128"/>
      <c r="C968" s="129"/>
      <c r="D968" s="124"/>
      <c r="E968" s="124"/>
      <c r="F968" s="124"/>
      <c r="G968" s="124"/>
      <c r="H968" s="124"/>
      <c r="I968" s="124"/>
    </row>
    <row r="969" ht="22.5" customHeight="1">
      <c r="A969" s="8"/>
      <c r="B969" s="128"/>
      <c r="C969" s="129"/>
      <c r="D969" s="124"/>
      <c r="E969" s="124"/>
      <c r="F969" s="124"/>
      <c r="G969" s="124"/>
      <c r="H969" s="124"/>
      <c r="I969" s="124"/>
    </row>
    <row r="970" ht="22.5" customHeight="1">
      <c r="A970" s="8"/>
      <c r="B970" s="128"/>
      <c r="C970" s="129"/>
      <c r="D970" s="124"/>
      <c r="E970" s="124"/>
      <c r="F970" s="124"/>
      <c r="G970" s="124"/>
      <c r="H970" s="124"/>
      <c r="I970" s="124"/>
    </row>
    <row r="971" ht="22.5" customHeight="1">
      <c r="A971" s="8"/>
      <c r="B971" s="128"/>
      <c r="C971" s="129"/>
      <c r="D971" s="124"/>
      <c r="E971" s="124"/>
      <c r="F971" s="124"/>
      <c r="G971" s="124"/>
      <c r="H971" s="124"/>
      <c r="I971" s="124"/>
    </row>
    <row r="972" ht="22.5" customHeight="1">
      <c r="A972" s="8"/>
      <c r="B972" s="128"/>
      <c r="C972" s="129"/>
      <c r="D972" s="124"/>
      <c r="E972" s="124"/>
      <c r="F972" s="124"/>
      <c r="G972" s="124"/>
      <c r="H972" s="124"/>
      <c r="I972" s="124"/>
    </row>
    <row r="973" ht="22.5" customHeight="1">
      <c r="A973" s="8"/>
      <c r="B973" s="128"/>
      <c r="C973" s="129"/>
      <c r="D973" s="124"/>
      <c r="E973" s="124"/>
      <c r="F973" s="124"/>
      <c r="G973" s="124"/>
      <c r="H973" s="124"/>
      <c r="I973" s="124"/>
    </row>
    <row r="974" ht="22.5" customHeight="1">
      <c r="A974" s="8"/>
      <c r="B974" s="128"/>
      <c r="C974" s="129"/>
      <c r="D974" s="124"/>
      <c r="E974" s="124"/>
      <c r="F974" s="124"/>
      <c r="G974" s="124"/>
      <c r="H974" s="124"/>
      <c r="I974" s="124"/>
    </row>
    <row r="975" ht="22.5" customHeight="1">
      <c r="A975" s="8"/>
      <c r="B975" s="128"/>
      <c r="C975" s="129"/>
      <c r="D975" s="124"/>
      <c r="E975" s="124"/>
      <c r="F975" s="124"/>
      <c r="G975" s="124"/>
      <c r="H975" s="124"/>
      <c r="I975" s="124"/>
    </row>
    <row r="976" ht="22.5" customHeight="1">
      <c r="A976" s="8"/>
      <c r="B976" s="128"/>
      <c r="C976" s="129"/>
      <c r="D976" s="124"/>
      <c r="E976" s="124"/>
      <c r="F976" s="124"/>
      <c r="G976" s="124"/>
      <c r="H976" s="124"/>
      <c r="I976" s="124"/>
    </row>
    <row r="977" ht="22.5" customHeight="1">
      <c r="A977" s="8"/>
      <c r="B977" s="128"/>
      <c r="C977" s="129"/>
      <c r="D977" s="124"/>
      <c r="E977" s="124"/>
      <c r="F977" s="124"/>
      <c r="G977" s="124"/>
      <c r="H977" s="124"/>
      <c r="I977" s="124"/>
    </row>
    <row r="978" ht="22.5" customHeight="1">
      <c r="A978" s="8"/>
      <c r="B978" s="128"/>
      <c r="C978" s="129"/>
      <c r="D978" s="124"/>
      <c r="E978" s="124"/>
      <c r="F978" s="124"/>
      <c r="G978" s="124"/>
      <c r="H978" s="124"/>
      <c r="I978" s="124"/>
    </row>
    <row r="979" ht="22.5" customHeight="1">
      <c r="A979" s="8"/>
      <c r="B979" s="128"/>
      <c r="C979" s="129"/>
      <c r="D979" s="124"/>
      <c r="E979" s="124"/>
      <c r="F979" s="124"/>
      <c r="G979" s="124"/>
      <c r="H979" s="124"/>
      <c r="I979" s="124"/>
    </row>
    <row r="980" ht="22.5" customHeight="1">
      <c r="A980" s="8"/>
      <c r="B980" s="128"/>
      <c r="C980" s="129"/>
      <c r="D980" s="124"/>
      <c r="E980" s="124"/>
      <c r="F980" s="124"/>
      <c r="G980" s="124"/>
      <c r="H980" s="124"/>
      <c r="I980" s="124"/>
    </row>
    <row r="981" ht="22.5" customHeight="1">
      <c r="A981" s="8"/>
      <c r="B981" s="128"/>
      <c r="C981" s="129"/>
      <c r="D981" s="124"/>
      <c r="E981" s="124"/>
      <c r="F981" s="124"/>
      <c r="G981" s="124"/>
      <c r="H981" s="124"/>
      <c r="I981" s="124"/>
    </row>
    <row r="982" ht="22.5" customHeight="1">
      <c r="A982" s="8"/>
      <c r="B982" s="128"/>
      <c r="C982" s="129"/>
      <c r="D982" s="124"/>
      <c r="E982" s="124"/>
      <c r="F982" s="124"/>
      <c r="G982" s="124"/>
      <c r="H982" s="124"/>
      <c r="I982" s="124"/>
    </row>
    <row r="983" ht="22.5" customHeight="1">
      <c r="A983" s="8"/>
      <c r="B983" s="128"/>
      <c r="C983" s="129"/>
      <c r="D983" s="124"/>
      <c r="E983" s="124"/>
      <c r="F983" s="124"/>
      <c r="G983" s="124"/>
      <c r="H983" s="124"/>
      <c r="I983" s="124"/>
    </row>
    <row r="984" ht="22.5" customHeight="1">
      <c r="A984" s="8"/>
      <c r="B984" s="128"/>
      <c r="C984" s="129"/>
      <c r="D984" s="124"/>
      <c r="E984" s="124"/>
      <c r="F984" s="124"/>
      <c r="G984" s="124"/>
      <c r="H984" s="124"/>
      <c r="I984" s="124"/>
    </row>
    <row r="985" ht="22.5" customHeight="1">
      <c r="A985" s="8"/>
      <c r="B985" s="128"/>
      <c r="C985" s="129"/>
      <c r="D985" s="124"/>
      <c r="E985" s="124"/>
      <c r="F985" s="124"/>
      <c r="G985" s="124"/>
      <c r="H985" s="124"/>
      <c r="I985" s="124"/>
    </row>
    <row r="986" ht="22.5" customHeight="1">
      <c r="A986" s="8"/>
      <c r="B986" s="128"/>
      <c r="C986" s="129"/>
      <c r="D986" s="124"/>
      <c r="E986" s="124"/>
      <c r="F986" s="124"/>
      <c r="G986" s="124"/>
      <c r="H986" s="124"/>
      <c r="I986" s="124"/>
    </row>
    <row r="987" ht="22.5" customHeight="1">
      <c r="A987" s="8"/>
      <c r="B987" s="128"/>
      <c r="C987" s="129"/>
      <c r="D987" s="124"/>
      <c r="E987" s="124"/>
      <c r="F987" s="124"/>
      <c r="G987" s="124"/>
      <c r="H987" s="124"/>
      <c r="I987" s="124"/>
    </row>
    <row r="988" ht="22.5" customHeight="1">
      <c r="A988" s="8"/>
      <c r="B988" s="128"/>
      <c r="C988" s="129"/>
      <c r="D988" s="124"/>
      <c r="E988" s="124"/>
      <c r="F988" s="124"/>
      <c r="G988" s="124"/>
      <c r="H988" s="124"/>
      <c r="I988" s="124"/>
    </row>
    <row r="989" ht="22.5" customHeight="1">
      <c r="A989" s="8"/>
      <c r="B989" s="128"/>
      <c r="C989" s="129"/>
      <c r="D989" s="124"/>
      <c r="E989" s="124"/>
      <c r="F989" s="124"/>
      <c r="G989" s="124"/>
      <c r="H989" s="124"/>
      <c r="I989" s="124"/>
    </row>
    <row r="990" ht="22.5" customHeight="1">
      <c r="A990" s="8"/>
      <c r="B990" s="128"/>
      <c r="C990" s="129"/>
      <c r="D990" s="124"/>
      <c r="E990" s="124"/>
      <c r="F990" s="124"/>
      <c r="G990" s="124"/>
      <c r="H990" s="124"/>
      <c r="I990" s="124"/>
    </row>
    <row r="991" ht="22.5" customHeight="1">
      <c r="A991" s="8"/>
      <c r="B991" s="128"/>
      <c r="C991" s="129"/>
      <c r="D991" s="124"/>
      <c r="E991" s="124"/>
      <c r="F991" s="124"/>
      <c r="G991" s="124"/>
      <c r="H991" s="124"/>
      <c r="I991" s="124"/>
    </row>
    <row r="992" ht="22.5" customHeight="1">
      <c r="A992" s="8"/>
      <c r="B992" s="128"/>
      <c r="C992" s="129"/>
      <c r="D992" s="124"/>
      <c r="E992" s="124"/>
      <c r="F992" s="124"/>
      <c r="G992" s="124"/>
      <c r="H992" s="124"/>
      <c r="I992" s="124"/>
    </row>
    <row r="993" ht="22.5" customHeight="1">
      <c r="A993" s="8"/>
      <c r="B993" s="128"/>
      <c r="C993" s="129"/>
      <c r="D993" s="124"/>
      <c r="E993" s="124"/>
      <c r="F993" s="124"/>
      <c r="G993" s="124"/>
      <c r="H993" s="124"/>
      <c r="I993" s="124"/>
    </row>
    <row r="994" ht="22.5" customHeight="1">
      <c r="A994" s="8"/>
      <c r="B994" s="128"/>
      <c r="C994" s="129"/>
      <c r="D994" s="124"/>
      <c r="E994" s="124"/>
      <c r="F994" s="124"/>
      <c r="G994" s="124"/>
      <c r="H994" s="124"/>
      <c r="I994" s="124"/>
    </row>
    <row r="995" ht="22.5" customHeight="1">
      <c r="A995" s="8"/>
      <c r="B995" s="128"/>
      <c r="C995" s="129"/>
      <c r="D995" s="124"/>
      <c r="E995" s="124"/>
      <c r="F995" s="124"/>
      <c r="G995" s="124"/>
      <c r="H995" s="124"/>
      <c r="I995" s="124"/>
    </row>
    <row r="996" ht="22.5" customHeight="1">
      <c r="A996" s="8"/>
      <c r="B996" s="128"/>
      <c r="C996" s="129"/>
      <c r="D996" s="124"/>
      <c r="E996" s="124"/>
      <c r="F996" s="124"/>
      <c r="G996" s="124"/>
      <c r="H996" s="124"/>
      <c r="I996" s="124"/>
    </row>
    <row r="997" ht="22.5" customHeight="1">
      <c r="A997" s="8"/>
      <c r="B997" s="128"/>
      <c r="C997" s="129"/>
      <c r="D997" s="124"/>
      <c r="E997" s="124"/>
      <c r="F997" s="124"/>
      <c r="G997" s="124"/>
      <c r="H997" s="124"/>
      <c r="I997" s="124"/>
    </row>
    <row r="998" ht="22.5" customHeight="1">
      <c r="A998" s="8"/>
      <c r="B998" s="128"/>
      <c r="C998" s="129"/>
      <c r="D998" s="124"/>
      <c r="E998" s="124"/>
      <c r="F998" s="124"/>
      <c r="G998" s="124"/>
      <c r="H998" s="124"/>
      <c r="I998" s="124"/>
    </row>
    <row r="999" ht="22.5" customHeight="1">
      <c r="A999" s="8"/>
      <c r="B999" s="128"/>
      <c r="C999" s="129"/>
      <c r="D999" s="124"/>
      <c r="E999" s="124"/>
      <c r="F999" s="124"/>
      <c r="G999" s="124"/>
      <c r="H999" s="124"/>
      <c r="I999" s="124"/>
    </row>
    <row r="1000" ht="22.5" customHeight="1">
      <c r="A1000" s="8"/>
      <c r="B1000" s="128"/>
      <c r="C1000" s="129"/>
      <c r="D1000" s="124"/>
      <c r="E1000" s="124"/>
      <c r="F1000" s="124"/>
      <c r="G1000" s="124"/>
      <c r="H1000" s="124"/>
      <c r="I1000" s="124"/>
    </row>
    <row r="1001" ht="22.5" customHeight="1">
      <c r="A1001" s="8"/>
      <c r="B1001" s="128"/>
      <c r="C1001" s="129"/>
      <c r="D1001" s="124"/>
      <c r="E1001" s="124"/>
      <c r="F1001" s="124"/>
      <c r="G1001" s="124"/>
      <c r="H1001" s="124"/>
      <c r="I1001" s="124"/>
    </row>
    <row r="1002" ht="22.5" customHeight="1">
      <c r="A1002" s="8"/>
      <c r="B1002" s="128"/>
      <c r="C1002" s="129"/>
      <c r="D1002" s="124"/>
      <c r="E1002" s="124"/>
      <c r="F1002" s="124"/>
      <c r="G1002" s="124"/>
      <c r="H1002" s="124"/>
      <c r="I1002" s="124"/>
    </row>
    <row r="1003" ht="22.5" customHeight="1">
      <c r="A1003" s="8"/>
      <c r="B1003" s="128"/>
      <c r="C1003" s="129"/>
      <c r="D1003" s="124"/>
      <c r="E1003" s="124"/>
      <c r="F1003" s="124"/>
      <c r="G1003" s="124"/>
      <c r="H1003" s="124"/>
      <c r="I1003" s="124"/>
    </row>
    <row r="1004" ht="22.5" customHeight="1">
      <c r="A1004" s="8"/>
      <c r="B1004" s="128"/>
      <c r="C1004" s="129"/>
      <c r="D1004" s="124"/>
      <c r="E1004" s="124"/>
      <c r="F1004" s="124"/>
      <c r="G1004" s="124"/>
      <c r="H1004" s="124"/>
      <c r="I1004" s="124"/>
    </row>
    <row r="1005" ht="22.5" customHeight="1">
      <c r="A1005" s="8"/>
      <c r="B1005" s="128"/>
      <c r="C1005" s="129"/>
      <c r="D1005" s="124"/>
      <c r="E1005" s="124"/>
      <c r="F1005" s="124"/>
      <c r="G1005" s="124"/>
      <c r="H1005" s="124"/>
      <c r="I1005" s="124"/>
    </row>
    <row r="1006" ht="22.5" customHeight="1">
      <c r="A1006" s="8"/>
      <c r="B1006" s="128"/>
      <c r="C1006" s="129"/>
      <c r="D1006" s="124"/>
      <c r="E1006" s="124"/>
      <c r="F1006" s="124"/>
      <c r="G1006" s="124"/>
      <c r="H1006" s="124"/>
      <c r="I1006" s="124"/>
    </row>
    <row r="1007" ht="22.5" customHeight="1">
      <c r="A1007" s="8"/>
      <c r="B1007" s="128"/>
      <c r="C1007" s="129"/>
      <c r="D1007" s="124"/>
      <c r="E1007" s="124"/>
      <c r="F1007" s="124"/>
      <c r="G1007" s="124"/>
      <c r="H1007" s="124"/>
      <c r="I1007" s="124"/>
    </row>
    <row r="1008" ht="22.5" customHeight="1">
      <c r="A1008" s="8"/>
      <c r="B1008" s="128"/>
      <c r="C1008" s="129"/>
      <c r="D1008" s="124"/>
      <c r="E1008" s="124"/>
      <c r="F1008" s="124"/>
      <c r="G1008" s="124"/>
      <c r="H1008" s="124"/>
      <c r="I1008" s="124"/>
    </row>
    <row r="1009" ht="22.5" customHeight="1">
      <c r="A1009" s="8"/>
      <c r="B1009" s="128"/>
      <c r="C1009" s="129"/>
      <c r="D1009" s="124"/>
      <c r="E1009" s="124"/>
      <c r="F1009" s="124"/>
      <c r="G1009" s="124"/>
      <c r="H1009" s="124"/>
      <c r="I1009" s="124"/>
    </row>
    <row r="1010" ht="22.5" customHeight="1">
      <c r="A1010" s="8"/>
      <c r="B1010" s="128"/>
      <c r="C1010" s="129"/>
      <c r="D1010" s="124"/>
      <c r="E1010" s="124"/>
      <c r="F1010" s="124"/>
      <c r="G1010" s="124"/>
      <c r="H1010" s="124"/>
      <c r="I1010" s="124"/>
    </row>
    <row r="1011" ht="22.5" customHeight="1">
      <c r="A1011" s="8"/>
      <c r="B1011" s="128"/>
      <c r="C1011" s="129"/>
      <c r="D1011" s="124"/>
      <c r="E1011" s="124"/>
      <c r="F1011" s="124"/>
      <c r="G1011" s="124"/>
      <c r="H1011" s="124"/>
      <c r="I1011" s="124"/>
    </row>
    <row r="1012" ht="22.5" customHeight="1">
      <c r="A1012" s="8"/>
      <c r="B1012" s="128"/>
      <c r="C1012" s="129"/>
      <c r="D1012" s="124"/>
      <c r="E1012" s="124"/>
      <c r="F1012" s="124"/>
      <c r="G1012" s="124"/>
      <c r="H1012" s="124"/>
      <c r="I1012" s="124"/>
    </row>
    <row r="1013" ht="22.5" customHeight="1">
      <c r="A1013" s="8"/>
      <c r="B1013" s="128"/>
      <c r="C1013" s="129"/>
      <c r="D1013" s="124"/>
      <c r="E1013" s="124"/>
      <c r="F1013" s="124"/>
      <c r="G1013" s="124"/>
      <c r="H1013" s="124"/>
      <c r="I1013" s="124"/>
    </row>
    <row r="1014" ht="22.5" customHeight="1">
      <c r="A1014" s="8"/>
      <c r="B1014" s="128"/>
      <c r="C1014" s="129"/>
      <c r="D1014" s="124"/>
      <c r="E1014" s="124"/>
      <c r="F1014" s="124"/>
      <c r="G1014" s="124"/>
      <c r="H1014" s="124"/>
      <c r="I1014" s="124"/>
    </row>
    <row r="1015" ht="22.5" customHeight="1">
      <c r="A1015" s="8"/>
      <c r="B1015" s="128"/>
      <c r="C1015" s="129"/>
      <c r="D1015" s="124"/>
      <c r="E1015" s="124"/>
      <c r="F1015" s="124"/>
      <c r="G1015" s="124"/>
      <c r="H1015" s="124"/>
      <c r="I1015" s="124"/>
    </row>
    <row r="1016" ht="22.5" customHeight="1">
      <c r="A1016" s="8"/>
      <c r="B1016" s="128"/>
      <c r="C1016" s="129"/>
      <c r="D1016" s="124"/>
      <c r="E1016" s="124"/>
      <c r="F1016" s="124"/>
      <c r="G1016" s="124"/>
      <c r="H1016" s="124"/>
      <c r="I1016" s="124"/>
    </row>
    <row r="1017" ht="22.5" customHeight="1">
      <c r="A1017" s="8"/>
      <c r="B1017" s="128"/>
      <c r="C1017" s="129"/>
      <c r="D1017" s="124"/>
      <c r="E1017" s="124"/>
      <c r="F1017" s="124"/>
      <c r="G1017" s="124"/>
      <c r="H1017" s="124"/>
      <c r="I1017" s="124"/>
    </row>
    <row r="1018" ht="22.5" customHeight="1">
      <c r="A1018" s="8"/>
      <c r="B1018" s="128"/>
      <c r="C1018" s="129"/>
      <c r="D1018" s="124"/>
      <c r="E1018" s="124"/>
      <c r="F1018" s="124"/>
      <c r="G1018" s="124"/>
      <c r="H1018" s="124"/>
      <c r="I1018" s="124"/>
    </row>
    <row r="1019" ht="22.5" customHeight="1">
      <c r="A1019" s="8"/>
      <c r="B1019" s="128"/>
      <c r="C1019" s="129"/>
      <c r="D1019" s="124"/>
      <c r="E1019" s="124"/>
      <c r="F1019" s="124"/>
      <c r="G1019" s="124"/>
      <c r="H1019" s="124"/>
      <c r="I1019" s="124"/>
    </row>
    <row r="1020" ht="22.5" customHeight="1">
      <c r="A1020" s="8"/>
      <c r="B1020" s="128"/>
      <c r="C1020" s="129"/>
      <c r="D1020" s="124"/>
      <c r="E1020" s="124"/>
      <c r="F1020" s="124"/>
      <c r="G1020" s="124"/>
      <c r="H1020" s="124"/>
      <c r="I1020" s="124"/>
    </row>
    <row r="1021" ht="22.5" customHeight="1">
      <c r="A1021" s="8"/>
      <c r="B1021" s="128"/>
      <c r="C1021" s="129"/>
      <c r="D1021" s="124"/>
      <c r="E1021" s="124"/>
      <c r="F1021" s="124"/>
      <c r="G1021" s="124"/>
      <c r="H1021" s="124"/>
      <c r="I1021" s="124"/>
    </row>
    <row r="1022" ht="22.5" customHeight="1">
      <c r="A1022" s="8"/>
      <c r="B1022" s="128"/>
      <c r="C1022" s="129"/>
      <c r="D1022" s="124"/>
      <c r="E1022" s="124"/>
      <c r="F1022" s="124"/>
      <c r="G1022" s="124"/>
      <c r="H1022" s="124"/>
      <c r="I1022" s="124"/>
    </row>
    <row r="1023" ht="22.5" customHeight="1">
      <c r="A1023" s="8"/>
      <c r="B1023" s="128"/>
      <c r="C1023" s="129"/>
      <c r="D1023" s="124"/>
      <c r="E1023" s="124"/>
      <c r="F1023" s="124"/>
      <c r="G1023" s="124"/>
      <c r="H1023" s="124"/>
      <c r="I1023" s="124"/>
    </row>
    <row r="1024" ht="22.5" customHeight="1">
      <c r="A1024" s="8"/>
      <c r="B1024" s="128"/>
      <c r="C1024" s="129"/>
      <c r="D1024" s="124"/>
      <c r="E1024" s="124"/>
      <c r="F1024" s="124"/>
      <c r="G1024" s="124"/>
      <c r="H1024" s="124"/>
      <c r="I1024" s="124"/>
    </row>
    <row r="1025" ht="22.5" customHeight="1">
      <c r="A1025" s="8"/>
      <c r="B1025" s="128"/>
      <c r="C1025" s="129"/>
      <c r="D1025" s="124"/>
      <c r="E1025" s="124"/>
      <c r="F1025" s="124"/>
      <c r="G1025" s="124"/>
      <c r="H1025" s="124"/>
      <c r="I1025" s="124"/>
    </row>
    <row r="1026" ht="22.5" customHeight="1">
      <c r="A1026" s="8"/>
      <c r="B1026" s="128"/>
      <c r="C1026" s="129"/>
      <c r="D1026" s="124"/>
      <c r="E1026" s="124"/>
      <c r="F1026" s="124"/>
      <c r="G1026" s="124"/>
      <c r="H1026" s="124"/>
      <c r="I1026" s="124"/>
    </row>
    <row r="1027" ht="22.5" customHeight="1">
      <c r="A1027" s="8"/>
      <c r="B1027" s="128"/>
      <c r="C1027" s="129"/>
      <c r="D1027" s="124"/>
      <c r="E1027" s="124"/>
      <c r="F1027" s="124"/>
      <c r="G1027" s="124"/>
      <c r="H1027" s="124"/>
      <c r="I1027" s="124"/>
    </row>
    <row r="1028" ht="22.5" customHeight="1">
      <c r="A1028" s="8"/>
      <c r="B1028" s="128"/>
      <c r="C1028" s="129"/>
      <c r="D1028" s="124"/>
      <c r="E1028" s="124"/>
      <c r="F1028" s="124"/>
      <c r="G1028" s="124"/>
      <c r="H1028" s="124"/>
      <c r="I1028" s="124"/>
    </row>
    <row r="1029" ht="22.5" customHeight="1">
      <c r="A1029" s="8"/>
      <c r="B1029" s="128"/>
      <c r="C1029" s="129"/>
      <c r="D1029" s="124"/>
      <c r="E1029" s="124"/>
      <c r="F1029" s="124"/>
      <c r="G1029" s="124"/>
      <c r="H1029" s="124"/>
      <c r="I1029" s="124"/>
    </row>
    <row r="1030" ht="22.5" customHeight="1">
      <c r="A1030" s="8"/>
      <c r="B1030" s="128"/>
      <c r="C1030" s="129"/>
      <c r="D1030" s="124"/>
      <c r="E1030" s="124"/>
      <c r="F1030" s="124"/>
      <c r="G1030" s="124"/>
      <c r="H1030" s="124"/>
      <c r="I1030" s="124"/>
    </row>
    <row r="1031" ht="22.5" customHeight="1">
      <c r="A1031" s="8"/>
      <c r="B1031" s="128"/>
      <c r="C1031" s="129"/>
      <c r="D1031" s="124"/>
      <c r="E1031" s="124"/>
      <c r="F1031" s="124"/>
      <c r="G1031" s="124"/>
      <c r="H1031" s="124"/>
      <c r="I1031" s="124"/>
    </row>
    <row r="1032" ht="22.5" customHeight="1">
      <c r="A1032" s="8"/>
      <c r="B1032" s="128"/>
      <c r="C1032" s="129"/>
      <c r="D1032" s="124"/>
      <c r="E1032" s="124"/>
      <c r="F1032" s="124"/>
      <c r="G1032" s="124"/>
      <c r="H1032" s="124"/>
      <c r="I1032" s="124"/>
    </row>
    <row r="1033" ht="22.5" customHeight="1">
      <c r="A1033" s="8"/>
      <c r="B1033" s="128"/>
      <c r="C1033" s="129"/>
      <c r="D1033" s="124"/>
      <c r="E1033" s="124"/>
      <c r="F1033" s="124"/>
      <c r="G1033" s="124"/>
      <c r="H1033" s="124"/>
      <c r="I1033" s="124"/>
    </row>
    <row r="1034" ht="22.5" customHeight="1">
      <c r="A1034" s="8"/>
      <c r="B1034" s="128"/>
      <c r="C1034" s="129"/>
      <c r="D1034" s="124"/>
      <c r="E1034" s="124"/>
      <c r="F1034" s="124"/>
      <c r="G1034" s="124"/>
      <c r="H1034" s="124"/>
      <c r="I1034" s="124"/>
    </row>
    <row r="1035" ht="22.5" customHeight="1">
      <c r="A1035" s="8"/>
      <c r="B1035" s="128"/>
      <c r="C1035" s="129"/>
      <c r="D1035" s="124"/>
      <c r="E1035" s="124"/>
      <c r="F1035" s="124"/>
      <c r="G1035" s="124"/>
      <c r="H1035" s="124"/>
      <c r="I1035" s="124"/>
    </row>
    <row r="1036" ht="22.5" customHeight="1">
      <c r="A1036" s="8"/>
      <c r="B1036" s="128"/>
      <c r="C1036" s="129"/>
      <c r="D1036" s="124"/>
      <c r="E1036" s="124"/>
      <c r="F1036" s="124"/>
      <c r="G1036" s="124"/>
      <c r="H1036" s="124"/>
      <c r="I1036" s="124"/>
    </row>
    <row r="1037" ht="22.5" customHeight="1">
      <c r="A1037" s="8"/>
      <c r="B1037" s="128"/>
      <c r="C1037" s="129"/>
      <c r="D1037" s="124"/>
      <c r="E1037" s="124"/>
      <c r="F1037" s="124"/>
      <c r="G1037" s="124"/>
      <c r="H1037" s="124"/>
      <c r="I1037" s="124"/>
    </row>
    <row r="1038" ht="22.5" customHeight="1">
      <c r="A1038" s="8"/>
      <c r="B1038" s="128"/>
      <c r="C1038" s="129"/>
      <c r="D1038" s="124"/>
      <c r="E1038" s="124"/>
      <c r="F1038" s="124"/>
      <c r="G1038" s="124"/>
      <c r="H1038" s="124"/>
      <c r="I1038" s="124"/>
    </row>
    <row r="1039" ht="22.5" customHeight="1">
      <c r="A1039" s="8"/>
      <c r="B1039" s="128"/>
      <c r="C1039" s="129"/>
      <c r="D1039" s="124"/>
      <c r="E1039" s="124"/>
      <c r="F1039" s="124"/>
      <c r="G1039" s="124"/>
      <c r="H1039" s="124"/>
      <c r="I1039" s="124"/>
    </row>
    <row r="1040" ht="22.5" customHeight="1">
      <c r="A1040" s="8"/>
      <c r="B1040" s="128"/>
      <c r="C1040" s="129"/>
      <c r="D1040" s="124"/>
      <c r="E1040" s="124"/>
      <c r="F1040" s="124"/>
      <c r="G1040" s="124"/>
      <c r="H1040" s="124"/>
      <c r="I1040" s="124"/>
    </row>
    <row r="1041" ht="22.5" customHeight="1">
      <c r="A1041" s="8"/>
      <c r="B1041" s="128"/>
      <c r="C1041" s="129"/>
      <c r="D1041" s="124"/>
      <c r="E1041" s="124"/>
      <c r="F1041" s="124"/>
      <c r="G1041" s="124"/>
      <c r="H1041" s="124"/>
      <c r="I1041" s="124"/>
    </row>
    <row r="1042" ht="22.5" customHeight="1">
      <c r="A1042" s="8"/>
      <c r="B1042" s="128"/>
      <c r="C1042" s="129"/>
      <c r="D1042" s="124"/>
      <c r="E1042" s="124"/>
      <c r="F1042" s="124"/>
      <c r="G1042" s="124"/>
      <c r="H1042" s="124"/>
      <c r="I1042" s="124"/>
    </row>
    <row r="1043" ht="22.5" customHeight="1">
      <c r="A1043" s="8"/>
      <c r="B1043" s="128"/>
      <c r="C1043" s="129"/>
      <c r="D1043" s="124"/>
      <c r="E1043" s="124"/>
      <c r="F1043" s="124"/>
      <c r="G1043" s="124"/>
      <c r="H1043" s="124"/>
      <c r="I1043" s="124"/>
    </row>
    <row r="1044" ht="22.5" customHeight="1">
      <c r="A1044" s="8"/>
      <c r="B1044" s="128"/>
      <c r="C1044" s="129"/>
      <c r="D1044" s="124"/>
      <c r="E1044" s="124"/>
      <c r="F1044" s="124"/>
      <c r="G1044" s="124"/>
      <c r="H1044" s="124"/>
      <c r="I1044" s="124"/>
    </row>
    <row r="1045" ht="22.5" customHeight="1">
      <c r="A1045" s="8"/>
      <c r="B1045" s="128"/>
      <c r="C1045" s="129"/>
      <c r="D1045" s="124"/>
      <c r="E1045" s="124"/>
      <c r="F1045" s="124"/>
      <c r="G1045" s="124"/>
      <c r="H1045" s="124"/>
      <c r="I1045" s="124"/>
    </row>
    <row r="1046" ht="22.5" customHeight="1">
      <c r="A1046" s="8"/>
      <c r="B1046" s="128"/>
      <c r="C1046" s="129"/>
      <c r="D1046" s="124"/>
      <c r="E1046" s="124"/>
      <c r="F1046" s="124"/>
      <c r="G1046" s="124"/>
      <c r="H1046" s="124"/>
      <c r="I1046" s="124"/>
    </row>
    <row r="1047" ht="22.5" customHeight="1">
      <c r="A1047" s="8"/>
      <c r="B1047" s="128"/>
      <c r="C1047" s="129"/>
      <c r="D1047" s="124"/>
      <c r="E1047" s="124"/>
      <c r="F1047" s="124"/>
      <c r="G1047" s="124"/>
      <c r="H1047" s="124"/>
      <c r="I1047" s="124"/>
    </row>
    <row r="1048" ht="22.5" customHeight="1">
      <c r="A1048" s="8"/>
      <c r="B1048" s="128"/>
      <c r="C1048" s="129"/>
      <c r="D1048" s="124"/>
      <c r="E1048" s="124"/>
      <c r="F1048" s="124"/>
      <c r="G1048" s="124"/>
      <c r="H1048" s="124"/>
      <c r="I1048" s="124"/>
    </row>
  </sheetData>
  <mergeCells count="1">
    <mergeCell ref="B1:C1"/>
  </mergeCells>
  <conditionalFormatting sqref="A3:I1048">
    <cfRule type="expression" dxfId="0" priority="1">
      <formula>$B3=TRUE</formula>
    </cfRule>
  </conditionalFormatting>
  <hyperlinks>
    <hyperlink r:id="rId1" ref="G3"/>
    <hyperlink r:id="rId2" ref="G6"/>
    <hyperlink r:id="rId3" ref="G8"/>
    <hyperlink r:id="rId4" ref="G13"/>
    <hyperlink r:id="rId5" ref="G14"/>
    <hyperlink r:id="rId6" ref="G29"/>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63"/>
    <col customWidth="1" min="2" max="2" width="19.88"/>
    <col customWidth="1" min="3" max="3" width="22.25"/>
  </cols>
  <sheetData>
    <row r="1">
      <c r="A1" s="130" t="s">
        <v>841</v>
      </c>
      <c r="B1" s="131" t="s">
        <v>842</v>
      </c>
      <c r="C1" s="130" t="s">
        <v>843</v>
      </c>
      <c r="D1" s="132"/>
    </row>
    <row r="2">
      <c r="A2" s="133" t="s">
        <v>152</v>
      </c>
      <c r="B2" s="134" t="s">
        <v>256</v>
      </c>
      <c r="C2" s="135">
        <v>7.509111199E9</v>
      </c>
      <c r="D2" s="136"/>
    </row>
    <row r="3">
      <c r="A3" s="133" t="s">
        <v>844</v>
      </c>
      <c r="B3" s="134" t="s">
        <v>379</v>
      </c>
      <c r="C3" s="135">
        <v>7.50437515E9</v>
      </c>
      <c r="D3" s="136"/>
    </row>
    <row r="4">
      <c r="A4" s="137" t="s">
        <v>700</v>
      </c>
      <c r="B4" s="138" t="s">
        <v>845</v>
      </c>
      <c r="C4" s="139">
        <v>7.508773067E9</v>
      </c>
      <c r="D4" s="136"/>
    </row>
    <row r="5">
      <c r="A5" s="137" t="s">
        <v>846</v>
      </c>
      <c r="B5" s="134" t="s">
        <v>847</v>
      </c>
      <c r="C5" s="135">
        <v>7.504486291E9</v>
      </c>
      <c r="D5" s="136"/>
    </row>
    <row r="6">
      <c r="A6" s="137" t="s">
        <v>848</v>
      </c>
      <c r="B6" s="134" t="s">
        <v>849</v>
      </c>
      <c r="C6" s="135">
        <v>7.50661996E9</v>
      </c>
      <c r="D6" s="136"/>
    </row>
    <row r="7">
      <c r="A7" s="140" t="s">
        <v>850</v>
      </c>
      <c r="B7" s="134" t="s">
        <v>851</v>
      </c>
      <c r="C7" s="135">
        <v>7.901560103E9</v>
      </c>
      <c r="D7" s="136"/>
    </row>
    <row r="8">
      <c r="A8" s="140" t="s">
        <v>852</v>
      </c>
      <c r="B8" s="134" t="s">
        <v>853</v>
      </c>
      <c r="C8" s="135" t="s">
        <v>854</v>
      </c>
      <c r="D8" s="136"/>
    </row>
    <row r="9">
      <c r="A9" s="140" t="s">
        <v>855</v>
      </c>
      <c r="B9" s="134" t="s">
        <v>856</v>
      </c>
      <c r="C9" s="135">
        <v>7.504531911E9</v>
      </c>
      <c r="D9" s="136"/>
    </row>
    <row r="10">
      <c r="A10" s="140" t="s">
        <v>857</v>
      </c>
      <c r="B10" s="134" t="s">
        <v>858</v>
      </c>
      <c r="C10" s="135">
        <v>7.503393333E9</v>
      </c>
      <c r="D10" s="136"/>
    </row>
    <row r="11">
      <c r="A11" s="140" t="s">
        <v>859</v>
      </c>
      <c r="B11" s="134" t="s">
        <v>860</v>
      </c>
      <c r="C11" s="135">
        <v>7.504291294E9</v>
      </c>
      <c r="D11" s="136"/>
    </row>
    <row r="12">
      <c r="A12" s="140" t="s">
        <v>861</v>
      </c>
      <c r="B12" s="134" t="s">
        <v>862</v>
      </c>
      <c r="C12" s="135">
        <v>7.761352525E9</v>
      </c>
      <c r="D12" s="136"/>
    </row>
    <row r="13">
      <c r="A13" s="140" t="s">
        <v>863</v>
      </c>
      <c r="B13" s="141"/>
      <c r="C13" s="142"/>
      <c r="D13" s="136"/>
    </row>
    <row r="14">
      <c r="A14" s="143" t="s">
        <v>864</v>
      </c>
      <c r="B14" s="134" t="s">
        <v>865</v>
      </c>
      <c r="C14" s="135">
        <v>7.701541157E9</v>
      </c>
      <c r="D14" s="136"/>
    </row>
    <row r="15">
      <c r="A15" s="143" t="s">
        <v>866</v>
      </c>
      <c r="B15" s="134" t="s">
        <v>867</v>
      </c>
      <c r="C15" s="135">
        <v>7.504856244E9</v>
      </c>
      <c r="D15" s="136"/>
    </row>
    <row r="16">
      <c r="A16" s="143" t="s">
        <v>868</v>
      </c>
      <c r="B16" s="134" t="s">
        <v>869</v>
      </c>
      <c r="C16" s="135">
        <v>7.508883488E9</v>
      </c>
      <c r="D16" s="136"/>
    </row>
    <row r="17">
      <c r="A17" s="143" t="s">
        <v>870</v>
      </c>
      <c r="B17" s="134" t="s">
        <v>540</v>
      </c>
      <c r="C17" s="144">
        <v>7.504452102E9</v>
      </c>
      <c r="D17" s="136"/>
    </row>
    <row r="18">
      <c r="A18" s="143" t="s">
        <v>871</v>
      </c>
      <c r="B18" s="134" t="s">
        <v>872</v>
      </c>
      <c r="C18" s="135">
        <v>7.507896889E9</v>
      </c>
      <c r="D18" s="136"/>
    </row>
    <row r="19">
      <c r="A19" s="143" t="s">
        <v>873</v>
      </c>
      <c r="B19" s="134" t="s">
        <v>874</v>
      </c>
      <c r="C19" s="135">
        <v>7.504187001E9</v>
      </c>
      <c r="D19" s="136"/>
    </row>
    <row r="20">
      <c r="A20" s="143" t="s">
        <v>875</v>
      </c>
      <c r="B20" s="134" t="s">
        <v>876</v>
      </c>
      <c r="C20" s="135">
        <v>7.507434041E9</v>
      </c>
      <c r="D20" s="136"/>
    </row>
    <row r="21">
      <c r="A21" s="143" t="s">
        <v>877</v>
      </c>
      <c r="B21" s="134" t="s">
        <v>878</v>
      </c>
      <c r="C21" s="135">
        <v>7.507334427E9</v>
      </c>
      <c r="D21" s="136"/>
    </row>
    <row r="22">
      <c r="A22" s="145" t="s">
        <v>879</v>
      </c>
      <c r="B22" s="134" t="s">
        <v>634</v>
      </c>
      <c r="C22" s="135">
        <v>9.05377371313E11</v>
      </c>
      <c r="D22" s="136"/>
    </row>
    <row r="23">
      <c r="A23" s="145" t="s">
        <v>880</v>
      </c>
      <c r="B23" s="134" t="s">
        <v>881</v>
      </c>
      <c r="C23" s="135">
        <v>7.504606295E9</v>
      </c>
      <c r="D23" s="136"/>
    </row>
    <row r="24">
      <c r="A24" s="134" t="s">
        <v>172</v>
      </c>
      <c r="B24" s="134" t="s">
        <v>882</v>
      </c>
      <c r="C24" s="134">
        <v>9.6279650887E11</v>
      </c>
      <c r="D24" s="146"/>
    </row>
    <row r="25">
      <c r="A25" s="134" t="s">
        <v>883</v>
      </c>
      <c r="B25" s="141"/>
      <c r="C25" s="141"/>
      <c r="D25" s="146"/>
    </row>
    <row r="26">
      <c r="A26" s="147" t="s">
        <v>613</v>
      </c>
      <c r="B26" s="147" t="s">
        <v>735</v>
      </c>
      <c r="C26" s="147">
        <v>7.804329674E9</v>
      </c>
      <c r="D26" s="148"/>
    </row>
    <row r="27">
      <c r="A27" s="149" t="s">
        <v>884</v>
      </c>
      <c r="B27" s="150"/>
      <c r="C27" s="150"/>
      <c r="D27" s="148"/>
    </row>
    <row r="28">
      <c r="A28" s="149" t="s">
        <v>885</v>
      </c>
      <c r="B28" s="148"/>
      <c r="C28" s="148"/>
      <c r="D28" s="148"/>
    </row>
    <row r="29">
      <c r="A29" s="134" t="s">
        <v>886</v>
      </c>
      <c r="B29" s="134" t="s">
        <v>887</v>
      </c>
      <c r="C29" s="134">
        <v>9.71504266758E11</v>
      </c>
      <c r="D29" s="146"/>
    </row>
    <row r="30">
      <c r="A30" s="134" t="s">
        <v>888</v>
      </c>
      <c r="B30" s="134" t="s">
        <v>889</v>
      </c>
      <c r="C30" s="134">
        <v>9.7430555569E10</v>
      </c>
      <c r="D30" s="146"/>
    </row>
    <row r="31">
      <c r="A31" s="134" t="s">
        <v>890</v>
      </c>
      <c r="B31" s="134" t="s">
        <v>891</v>
      </c>
      <c r="C31" s="134">
        <v>7.504764327E9</v>
      </c>
      <c r="D31" s="146"/>
    </row>
    <row r="32">
      <c r="A32" s="134" t="s">
        <v>892</v>
      </c>
      <c r="B32" s="134" t="s">
        <v>893</v>
      </c>
      <c r="C32" s="134">
        <v>7.734888686E9</v>
      </c>
      <c r="D32" s="146"/>
    </row>
    <row r="33">
      <c r="A33" s="134" t="s">
        <v>657</v>
      </c>
      <c r="B33" s="134" t="s">
        <v>658</v>
      </c>
      <c r="C33" s="134">
        <v>7.501817171E9</v>
      </c>
      <c r="D33" s="146"/>
    </row>
    <row r="34">
      <c r="A34" s="134" t="s">
        <v>894</v>
      </c>
      <c r="B34" s="141"/>
      <c r="C34" s="141"/>
      <c r="D34" s="146"/>
    </row>
    <row r="35">
      <c r="A35" s="134" t="s">
        <v>895</v>
      </c>
      <c r="B35" s="134" t="s">
        <v>896</v>
      </c>
      <c r="C35" s="134">
        <v>7.505550444E9</v>
      </c>
      <c r="D35" s="146"/>
    </row>
    <row r="36">
      <c r="A36" s="134" t="s">
        <v>897</v>
      </c>
      <c r="B36" s="134" t="s">
        <v>853</v>
      </c>
      <c r="C36" s="134" t="s">
        <v>854</v>
      </c>
      <c r="D36" s="146"/>
    </row>
    <row r="37">
      <c r="A37" s="134" t="s">
        <v>898</v>
      </c>
      <c r="B37" s="141"/>
      <c r="C37" s="141"/>
      <c r="D37" s="146"/>
    </row>
    <row r="38">
      <c r="A38" s="134" t="s">
        <v>899</v>
      </c>
      <c r="B38" s="134" t="s">
        <v>874</v>
      </c>
      <c r="C38" s="134">
        <v>7.511966252E9</v>
      </c>
      <c r="D38" s="146"/>
    </row>
    <row r="39">
      <c r="A39" s="134" t="s">
        <v>167</v>
      </c>
      <c r="B39" s="134" t="s">
        <v>900</v>
      </c>
      <c r="C39" s="134" t="s">
        <v>901</v>
      </c>
      <c r="D39" s="151"/>
    </row>
    <row r="40">
      <c r="A40" s="134" t="s">
        <v>902</v>
      </c>
      <c r="B40" s="134" t="s">
        <v>903</v>
      </c>
      <c r="C40" s="141"/>
      <c r="D40" s="146"/>
    </row>
    <row r="41">
      <c r="A41" s="134" t="s">
        <v>904</v>
      </c>
      <c r="B41" s="141"/>
      <c r="C41" s="141"/>
      <c r="D41" s="146"/>
    </row>
    <row r="42">
      <c r="A42" s="134" t="s">
        <v>236</v>
      </c>
      <c r="B42" s="134" t="s">
        <v>905</v>
      </c>
      <c r="C42" s="134">
        <v>7.508098106E9</v>
      </c>
      <c r="D42" s="146"/>
    </row>
    <row r="43">
      <c r="A43" s="134" t="s">
        <v>906</v>
      </c>
      <c r="B43" s="134" t="s">
        <v>907</v>
      </c>
      <c r="C43" s="134">
        <v>9.05447200083E11</v>
      </c>
      <c r="D43" s="146"/>
    </row>
    <row r="44">
      <c r="A44" s="134" t="s">
        <v>908</v>
      </c>
      <c r="B44" s="134" t="s">
        <v>909</v>
      </c>
      <c r="C44" s="134">
        <v>7.509229977E9</v>
      </c>
      <c r="D44" s="146"/>
    </row>
    <row r="45">
      <c r="A45" s="134" t="s">
        <v>910</v>
      </c>
      <c r="B45" s="152" t="s">
        <v>911</v>
      </c>
      <c r="C45" s="153">
        <v>7.503640136E9</v>
      </c>
      <c r="D45" s="146"/>
    </row>
    <row r="46">
      <c r="A46" s="134" t="s">
        <v>912</v>
      </c>
      <c r="B46" s="152" t="s">
        <v>225</v>
      </c>
      <c r="C46" s="153">
        <v>7.5022525E9</v>
      </c>
      <c r="D46" s="146"/>
    </row>
    <row r="47">
      <c r="A47" s="134" t="s">
        <v>913</v>
      </c>
      <c r="B47" s="154" t="s">
        <v>914</v>
      </c>
      <c r="C47" s="155">
        <v>7.504441153E9</v>
      </c>
      <c r="D47" s="146"/>
    </row>
    <row r="48">
      <c r="A48" s="134" t="s">
        <v>915</v>
      </c>
      <c r="B48" s="156"/>
      <c r="C48" s="157"/>
      <c r="D48" s="146"/>
    </row>
    <row r="49">
      <c r="A49" s="134" t="s">
        <v>549</v>
      </c>
      <c r="B49" s="134" t="s">
        <v>916</v>
      </c>
      <c r="C49" s="158">
        <v>7.504510556E9</v>
      </c>
      <c r="D49" s="146"/>
    </row>
    <row r="50">
      <c r="A50" s="159" t="s">
        <v>917</v>
      </c>
      <c r="B50" s="146"/>
      <c r="C50" s="160"/>
      <c r="D50" s="146"/>
    </row>
    <row r="51">
      <c r="A51" s="134" t="s">
        <v>918</v>
      </c>
      <c r="B51" s="134" t="s">
        <v>677</v>
      </c>
      <c r="C51" s="158">
        <v>9.71543963378E11</v>
      </c>
      <c r="D51" s="146"/>
    </row>
    <row r="52">
      <c r="A52" s="134" t="s">
        <v>919</v>
      </c>
      <c r="B52" s="134" t="s">
        <v>920</v>
      </c>
      <c r="C52" s="158" t="s">
        <v>921</v>
      </c>
      <c r="D52" s="146"/>
    </row>
    <row r="53">
      <c r="A53" s="134" t="s">
        <v>922</v>
      </c>
      <c r="B53" s="141"/>
      <c r="C53" s="161"/>
      <c r="D53" s="146"/>
    </row>
    <row r="54">
      <c r="A54" s="134" t="s">
        <v>923</v>
      </c>
      <c r="B54" s="134" t="s">
        <v>677</v>
      </c>
      <c r="C54" s="158">
        <v>7.50430315E9</v>
      </c>
      <c r="D54" s="146"/>
    </row>
    <row r="55">
      <c r="A55" s="134" t="s">
        <v>924</v>
      </c>
      <c r="B55" s="141"/>
      <c r="C55" s="161"/>
      <c r="D55" s="146"/>
    </row>
    <row r="56">
      <c r="A56" s="134" t="s">
        <v>925</v>
      </c>
      <c r="B56" s="134" t="s">
        <v>558</v>
      </c>
      <c r="C56" s="134">
        <v>7.501000775E9</v>
      </c>
      <c r="D56" s="146"/>
    </row>
    <row r="57">
      <c r="A57" s="134" t="s">
        <v>926</v>
      </c>
      <c r="B57" s="134" t="s">
        <v>927</v>
      </c>
      <c r="C57" s="134">
        <v>9.71586983033E11</v>
      </c>
      <c r="D57" s="146"/>
    </row>
    <row r="58">
      <c r="A58" s="162" t="s">
        <v>928</v>
      </c>
      <c r="B58" s="134" t="s">
        <v>929</v>
      </c>
      <c r="C58" s="134">
        <v>9.71569588813E11</v>
      </c>
      <c r="D58" s="146"/>
    </row>
    <row r="59">
      <c r="A59" s="134" t="s">
        <v>930</v>
      </c>
      <c r="B59" s="134" t="s">
        <v>931</v>
      </c>
      <c r="C59" s="134">
        <v>7.706882288E9</v>
      </c>
      <c r="D59" s="146"/>
    </row>
    <row r="60">
      <c r="A60" s="134" t="s">
        <v>932</v>
      </c>
      <c r="B60" s="163"/>
      <c r="C60" s="134">
        <v>7.504148885E9</v>
      </c>
      <c r="D60" s="146"/>
    </row>
    <row r="61">
      <c r="A61" s="134" t="s">
        <v>933</v>
      </c>
      <c r="B61" s="134" t="s">
        <v>934</v>
      </c>
      <c r="C61" s="134">
        <v>7.707712373E9</v>
      </c>
      <c r="D61" s="146"/>
    </row>
    <row r="62">
      <c r="A62" s="134" t="s">
        <v>935</v>
      </c>
      <c r="B62" s="134" t="s">
        <v>936</v>
      </c>
      <c r="C62" s="158">
        <v>7.504487793E9</v>
      </c>
      <c r="D62" s="146"/>
    </row>
    <row r="63">
      <c r="A63" s="134" t="s">
        <v>937</v>
      </c>
      <c r="B63" s="134" t="s">
        <v>938</v>
      </c>
      <c r="C63" s="158">
        <v>7.504491581E9</v>
      </c>
      <c r="D63" s="146"/>
    </row>
    <row r="64">
      <c r="A64" s="134" t="s">
        <v>939</v>
      </c>
      <c r="B64" s="134" t="s">
        <v>940</v>
      </c>
      <c r="C64" s="158">
        <v>7.50423231E9</v>
      </c>
      <c r="D64" s="146"/>
    </row>
    <row r="65">
      <c r="A65" s="141"/>
      <c r="B65" s="141"/>
      <c r="C65" s="161"/>
      <c r="D65" s="146"/>
    </row>
    <row r="66">
      <c r="A66" s="134" t="s">
        <v>941</v>
      </c>
      <c r="B66" s="134" t="s">
        <v>942</v>
      </c>
      <c r="C66" s="141"/>
      <c r="D66" s="146"/>
    </row>
    <row r="67">
      <c r="A67" s="134" t="s">
        <v>943</v>
      </c>
      <c r="B67" s="141"/>
      <c r="C67" s="141"/>
      <c r="D67" s="146"/>
    </row>
    <row r="68">
      <c r="A68" s="134" t="s">
        <v>944</v>
      </c>
      <c r="B68" s="141"/>
      <c r="C68" s="141"/>
      <c r="D68" s="146"/>
    </row>
    <row r="69">
      <c r="A69" s="142"/>
      <c r="B69" s="141"/>
      <c r="C69" s="142"/>
      <c r="D69" s="136"/>
    </row>
    <row r="70">
      <c r="A70" s="142"/>
      <c r="B70" s="141"/>
      <c r="C70" s="142"/>
      <c r="D70" s="13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8" width="16.0"/>
  </cols>
  <sheetData>
    <row r="1" ht="57.0" customHeight="1">
      <c r="A1" s="164" t="s">
        <v>945</v>
      </c>
      <c r="B1" s="53"/>
      <c r="C1" s="53"/>
      <c r="D1" s="53"/>
      <c r="E1" s="53"/>
      <c r="F1" s="3"/>
      <c r="G1" s="3"/>
      <c r="H1" s="4"/>
    </row>
    <row r="2" ht="30.0" customHeight="1">
      <c r="A2" s="31"/>
      <c r="B2" s="31" t="s">
        <v>0</v>
      </c>
      <c r="C2" s="31" t="s">
        <v>1</v>
      </c>
      <c r="D2" s="165" t="s">
        <v>669</v>
      </c>
      <c r="E2" s="166" t="s">
        <v>670</v>
      </c>
      <c r="F2" s="166" t="s">
        <v>671</v>
      </c>
      <c r="G2" s="166" t="s">
        <v>4</v>
      </c>
      <c r="H2" s="166" t="s">
        <v>6</v>
      </c>
    </row>
    <row r="3" ht="26.25" customHeight="1">
      <c r="A3" s="167">
        <v>1.0</v>
      </c>
      <c r="B3" s="168" t="b">
        <v>0</v>
      </c>
      <c r="C3" s="168" t="s">
        <v>946</v>
      </c>
      <c r="D3" s="169" t="s">
        <v>947</v>
      </c>
      <c r="E3" s="169" t="s">
        <v>823</v>
      </c>
      <c r="F3" s="170" t="s">
        <v>948</v>
      </c>
      <c r="G3" s="171" t="s">
        <v>781</v>
      </c>
      <c r="H3" s="172"/>
    </row>
    <row r="4" ht="26.25" customHeight="1">
      <c r="A4" s="167">
        <v>2.0</v>
      </c>
      <c r="B4" s="168" t="b">
        <v>0</v>
      </c>
      <c r="C4" s="168" t="s">
        <v>949</v>
      </c>
      <c r="D4" s="168" t="s">
        <v>676</v>
      </c>
      <c r="E4" s="168" t="s">
        <v>950</v>
      </c>
      <c r="F4" s="173" t="s">
        <v>951</v>
      </c>
      <c r="G4" s="174" t="s">
        <v>781</v>
      </c>
      <c r="H4" s="173"/>
    </row>
    <row r="5" ht="26.25" customHeight="1">
      <c r="A5" s="167">
        <v>3.0</v>
      </c>
      <c r="B5" s="168" t="b">
        <v>0</v>
      </c>
      <c r="C5" s="168" t="s">
        <v>952</v>
      </c>
      <c r="D5" s="168" t="s">
        <v>717</v>
      </c>
      <c r="E5" s="168" t="s">
        <v>953</v>
      </c>
      <c r="F5" s="173" t="s">
        <v>954</v>
      </c>
      <c r="G5" s="174" t="s">
        <v>781</v>
      </c>
      <c r="H5" s="173"/>
    </row>
    <row r="6" ht="26.25" customHeight="1">
      <c r="A6" s="167">
        <v>4.0</v>
      </c>
      <c r="B6" s="168" t="b">
        <v>0</v>
      </c>
      <c r="C6" s="168" t="s">
        <v>955</v>
      </c>
      <c r="D6" s="168" t="s">
        <v>956</v>
      </c>
      <c r="E6" s="168" t="s">
        <v>957</v>
      </c>
      <c r="F6" s="173" t="s">
        <v>958</v>
      </c>
      <c r="G6" s="174" t="s">
        <v>781</v>
      </c>
      <c r="H6" s="173"/>
    </row>
    <row r="7" ht="26.25" customHeight="1">
      <c r="A7" s="167">
        <v>5.0</v>
      </c>
      <c r="B7" s="168" t="b">
        <v>0</v>
      </c>
      <c r="C7" s="168" t="s">
        <v>959</v>
      </c>
      <c r="D7" s="168" t="s">
        <v>960</v>
      </c>
      <c r="E7" s="168" t="s">
        <v>961</v>
      </c>
      <c r="F7" s="175" t="s">
        <v>962</v>
      </c>
      <c r="G7" s="174" t="s">
        <v>781</v>
      </c>
      <c r="H7" s="173"/>
    </row>
    <row r="8" ht="26.25" customHeight="1">
      <c r="A8" s="167">
        <v>6.0</v>
      </c>
      <c r="B8" s="168" t="b">
        <v>0</v>
      </c>
      <c r="C8" s="168" t="s">
        <v>963</v>
      </c>
      <c r="D8" s="168" t="s">
        <v>676</v>
      </c>
      <c r="E8" s="168" t="s">
        <v>727</v>
      </c>
      <c r="F8" s="173" t="s">
        <v>964</v>
      </c>
      <c r="G8" s="174" t="s">
        <v>781</v>
      </c>
      <c r="H8" s="173"/>
    </row>
    <row r="9" ht="26.25" customHeight="1">
      <c r="A9" s="167">
        <v>7.0</v>
      </c>
      <c r="B9" s="168" t="b">
        <v>0</v>
      </c>
      <c r="C9" s="168" t="s">
        <v>965</v>
      </c>
      <c r="D9" s="176" t="s">
        <v>674</v>
      </c>
      <c r="E9" s="168" t="s">
        <v>966</v>
      </c>
      <c r="F9" s="173" t="s">
        <v>967</v>
      </c>
      <c r="G9" s="174" t="s">
        <v>781</v>
      </c>
      <c r="H9" s="173"/>
    </row>
    <row r="10" ht="26.25" customHeight="1">
      <c r="A10" s="167">
        <v>8.0</v>
      </c>
      <c r="B10" s="168" t="b">
        <v>0</v>
      </c>
      <c r="C10" s="168" t="s">
        <v>968</v>
      </c>
      <c r="D10" s="168" t="s">
        <v>717</v>
      </c>
      <c r="E10" s="168" t="s">
        <v>969</v>
      </c>
      <c r="F10" s="173" t="s">
        <v>970</v>
      </c>
      <c r="G10" s="174" t="s">
        <v>781</v>
      </c>
      <c r="H10" s="173"/>
    </row>
    <row r="11" ht="26.25" customHeight="1">
      <c r="A11" s="167">
        <v>9.0</v>
      </c>
      <c r="B11" s="168" t="b">
        <v>0</v>
      </c>
      <c r="C11" s="168" t="s">
        <v>971</v>
      </c>
      <c r="D11" s="176" t="s">
        <v>717</v>
      </c>
      <c r="E11" s="168" t="s">
        <v>808</v>
      </c>
      <c r="F11" s="173" t="s">
        <v>972</v>
      </c>
      <c r="G11" s="174" t="s">
        <v>781</v>
      </c>
      <c r="H11" s="173"/>
    </row>
    <row r="12" ht="26.25" customHeight="1">
      <c r="A12" s="167">
        <v>10.0</v>
      </c>
      <c r="B12" s="168" t="b">
        <v>0</v>
      </c>
      <c r="C12" s="168" t="s">
        <v>973</v>
      </c>
      <c r="D12" s="173"/>
      <c r="E12" s="168" t="s">
        <v>950</v>
      </c>
      <c r="F12" s="173" t="s">
        <v>974</v>
      </c>
      <c r="G12" s="174" t="s">
        <v>781</v>
      </c>
      <c r="H12" s="173"/>
    </row>
    <row r="13" ht="26.25" customHeight="1">
      <c r="A13" s="167">
        <v>12.0</v>
      </c>
      <c r="B13" s="168" t="b">
        <v>0</v>
      </c>
      <c r="C13" s="177" t="s">
        <v>975</v>
      </c>
      <c r="D13" s="177"/>
      <c r="E13" s="177" t="s">
        <v>710</v>
      </c>
      <c r="F13" s="177" t="s">
        <v>976</v>
      </c>
      <c r="G13" s="173"/>
      <c r="H13" s="173"/>
    </row>
    <row r="14" ht="26.25" customHeight="1">
      <c r="A14" s="167">
        <v>13.0</v>
      </c>
      <c r="B14" s="168" t="b">
        <v>0</v>
      </c>
      <c r="C14" s="177" t="s">
        <v>977</v>
      </c>
      <c r="D14" s="177"/>
      <c r="E14" s="177" t="s">
        <v>694</v>
      </c>
      <c r="F14" s="177" t="s">
        <v>978</v>
      </c>
      <c r="G14" s="173"/>
      <c r="H14" s="173"/>
    </row>
    <row r="15" ht="26.25" customHeight="1">
      <c r="A15" s="167">
        <v>14.0</v>
      </c>
      <c r="B15" s="168" t="b">
        <v>0</v>
      </c>
      <c r="C15" s="177" t="s">
        <v>979</v>
      </c>
      <c r="D15" s="177"/>
      <c r="E15" s="177" t="s">
        <v>980</v>
      </c>
      <c r="F15" s="177" t="s">
        <v>981</v>
      </c>
      <c r="G15" s="173"/>
      <c r="H15" s="173"/>
    </row>
    <row r="16" ht="26.25" customHeight="1">
      <c r="A16" s="167">
        <v>15.0</v>
      </c>
      <c r="B16" s="168" t="b">
        <v>0</v>
      </c>
      <c r="C16" s="177" t="s">
        <v>982</v>
      </c>
      <c r="D16" s="177"/>
      <c r="E16" s="177" t="s">
        <v>983</v>
      </c>
      <c r="F16" s="177" t="s">
        <v>984</v>
      </c>
      <c r="G16" s="173"/>
      <c r="H16" s="173"/>
    </row>
    <row r="17" ht="26.25" customHeight="1">
      <c r="A17" s="167">
        <v>16.0</v>
      </c>
      <c r="B17" s="168" t="b">
        <v>0</v>
      </c>
      <c r="C17" s="177" t="s">
        <v>985</v>
      </c>
      <c r="D17" s="177"/>
      <c r="E17" s="177" t="s">
        <v>986</v>
      </c>
      <c r="F17" s="177" t="s">
        <v>987</v>
      </c>
      <c r="G17" s="173"/>
      <c r="H17" s="173"/>
    </row>
    <row r="18" ht="26.25" customHeight="1">
      <c r="A18" s="167">
        <v>17.0</v>
      </c>
      <c r="B18" s="168" t="b">
        <v>0</v>
      </c>
      <c r="C18" s="177" t="s">
        <v>988</v>
      </c>
      <c r="D18" s="177"/>
      <c r="E18" s="177" t="s">
        <v>989</v>
      </c>
      <c r="F18" s="177" t="s">
        <v>990</v>
      </c>
      <c r="G18" s="173"/>
      <c r="H18" s="173"/>
    </row>
    <row r="19" ht="26.25" customHeight="1">
      <c r="A19" s="167">
        <v>18.0</v>
      </c>
      <c r="B19" s="168" t="b">
        <v>0</v>
      </c>
      <c r="C19" s="177" t="s">
        <v>991</v>
      </c>
      <c r="D19" s="177"/>
      <c r="E19" s="177" t="s">
        <v>992</v>
      </c>
      <c r="F19" s="177" t="s">
        <v>993</v>
      </c>
      <c r="G19" s="173"/>
      <c r="H19" s="173"/>
    </row>
    <row r="20" ht="26.25" customHeight="1">
      <c r="A20" s="167">
        <v>21.0</v>
      </c>
      <c r="B20" s="168" t="b">
        <v>0</v>
      </c>
      <c r="C20" s="177" t="s">
        <v>994</v>
      </c>
      <c r="D20" s="178"/>
      <c r="E20" s="178"/>
      <c r="F20" s="178"/>
      <c r="G20" s="173"/>
      <c r="H20" s="173"/>
    </row>
    <row r="21" ht="26.25" customHeight="1">
      <c r="A21" s="167">
        <v>23.0</v>
      </c>
      <c r="B21" s="168" t="b">
        <v>0</v>
      </c>
      <c r="C21" s="177" t="s">
        <v>995</v>
      </c>
      <c r="D21" s="177"/>
      <c r="E21" s="177" t="s">
        <v>996</v>
      </c>
      <c r="F21" s="177" t="s">
        <v>997</v>
      </c>
      <c r="G21" s="173"/>
      <c r="H21" s="173"/>
    </row>
    <row r="22" ht="26.25" customHeight="1">
      <c r="A22" s="167">
        <v>24.0</v>
      </c>
      <c r="B22" s="168" t="b">
        <v>0</v>
      </c>
      <c r="C22" s="177" t="s">
        <v>998</v>
      </c>
      <c r="D22" s="177"/>
      <c r="E22" s="177" t="s">
        <v>996</v>
      </c>
      <c r="F22" s="179" t="s">
        <v>997</v>
      </c>
      <c r="G22" s="173"/>
      <c r="H22" s="173"/>
    </row>
    <row r="23" ht="26.25" customHeight="1">
      <c r="A23" s="167">
        <v>25.0</v>
      </c>
      <c r="B23" s="168" t="b">
        <v>0</v>
      </c>
      <c r="C23" s="177" t="s">
        <v>553</v>
      </c>
      <c r="D23" s="177"/>
      <c r="E23" s="177" t="s">
        <v>999</v>
      </c>
      <c r="F23" s="177" t="s">
        <v>1000</v>
      </c>
      <c r="G23" s="173"/>
      <c r="H23" s="173"/>
    </row>
    <row r="24" ht="26.25" customHeight="1">
      <c r="A24" s="167">
        <v>27.0</v>
      </c>
      <c r="B24" s="168" t="b">
        <v>0</v>
      </c>
      <c r="C24" s="177" t="s">
        <v>1001</v>
      </c>
      <c r="D24" s="177"/>
      <c r="E24" s="177" t="s">
        <v>677</v>
      </c>
      <c r="F24" s="177" t="s">
        <v>1002</v>
      </c>
      <c r="G24" s="173"/>
      <c r="H24" s="173"/>
    </row>
    <row r="25" ht="26.25" customHeight="1">
      <c r="A25" s="167">
        <v>31.0</v>
      </c>
      <c r="B25" s="168" t="b">
        <v>0</v>
      </c>
      <c r="C25" s="177" t="s">
        <v>1003</v>
      </c>
      <c r="D25" s="178"/>
      <c r="E25" s="178"/>
      <c r="F25" s="177" t="s">
        <v>1004</v>
      </c>
      <c r="G25" s="173"/>
      <c r="H25" s="173"/>
    </row>
    <row r="26" ht="26.25" customHeight="1">
      <c r="A26" s="167">
        <v>33.0</v>
      </c>
      <c r="B26" s="168" t="b">
        <v>0</v>
      </c>
      <c r="C26" s="180"/>
      <c r="D26" s="173"/>
      <c r="E26" s="173"/>
      <c r="F26" s="173"/>
      <c r="G26" s="173"/>
      <c r="H26" s="173"/>
    </row>
    <row r="27" ht="26.25" customHeight="1">
      <c r="A27" s="167">
        <v>34.0</v>
      </c>
      <c r="B27" s="168" t="b">
        <v>0</v>
      </c>
      <c r="C27" s="180"/>
      <c r="D27" s="173"/>
      <c r="E27" s="173"/>
      <c r="F27" s="173"/>
      <c r="G27" s="173"/>
      <c r="H27" s="173"/>
    </row>
    <row r="28" ht="26.25" customHeight="1">
      <c r="A28" s="167">
        <v>35.0</v>
      </c>
      <c r="B28" s="168" t="b">
        <v>0</v>
      </c>
      <c r="C28" s="180"/>
      <c r="D28" s="173"/>
      <c r="E28" s="173"/>
      <c r="F28" s="173"/>
      <c r="G28" s="173"/>
      <c r="H28" s="173"/>
    </row>
    <row r="29" ht="26.25" customHeight="1">
      <c r="A29" s="167">
        <v>36.0</v>
      </c>
      <c r="B29" s="168" t="b">
        <v>0</v>
      </c>
      <c r="C29" s="180"/>
      <c r="D29" s="173"/>
      <c r="E29" s="173"/>
      <c r="F29" s="173"/>
      <c r="G29" s="173"/>
      <c r="H29" s="173"/>
    </row>
    <row r="30" ht="26.25" customHeight="1">
      <c r="A30" s="167">
        <v>37.0</v>
      </c>
      <c r="B30" s="168" t="b">
        <v>0</v>
      </c>
      <c r="C30" s="180"/>
      <c r="D30" s="173"/>
      <c r="E30" s="173"/>
      <c r="F30" s="173"/>
      <c r="G30" s="173"/>
      <c r="H30" s="173"/>
    </row>
    <row r="31" ht="26.25" customHeight="1">
      <c r="A31" s="167">
        <v>38.0</v>
      </c>
      <c r="B31" s="168" t="b">
        <v>0</v>
      </c>
      <c r="C31" s="180"/>
      <c r="D31" s="173"/>
      <c r="E31" s="173"/>
      <c r="F31" s="173"/>
      <c r="G31" s="173"/>
      <c r="H31" s="173"/>
    </row>
    <row r="32" ht="26.25" customHeight="1">
      <c r="A32" s="167">
        <v>39.0</v>
      </c>
      <c r="B32" s="168" t="b">
        <v>0</v>
      </c>
      <c r="C32" s="180"/>
      <c r="D32" s="173"/>
      <c r="E32" s="173"/>
      <c r="F32" s="173"/>
      <c r="G32" s="173"/>
      <c r="H32" s="173"/>
    </row>
    <row r="33" ht="26.25" customHeight="1">
      <c r="A33" s="167">
        <v>40.0</v>
      </c>
      <c r="B33" s="168" t="b">
        <v>0</v>
      </c>
      <c r="C33" s="180"/>
      <c r="D33" s="173"/>
      <c r="E33" s="173"/>
      <c r="F33" s="173"/>
      <c r="G33" s="173"/>
      <c r="H33" s="173"/>
    </row>
    <row r="34" ht="26.25" customHeight="1">
      <c r="A34" s="167">
        <v>41.0</v>
      </c>
      <c r="B34" s="168" t="b">
        <v>0</v>
      </c>
      <c r="C34" s="180"/>
      <c r="D34" s="173"/>
      <c r="E34" s="173"/>
      <c r="F34" s="173"/>
      <c r="G34" s="173"/>
      <c r="H34" s="173"/>
    </row>
    <row r="35" ht="26.25" customHeight="1">
      <c r="A35" s="167">
        <v>42.0</v>
      </c>
      <c r="B35" s="168" t="b">
        <v>0</v>
      </c>
      <c r="C35" s="180"/>
      <c r="D35" s="173"/>
      <c r="E35" s="173"/>
      <c r="F35" s="173"/>
      <c r="G35" s="173"/>
      <c r="H35" s="173"/>
    </row>
    <row r="36" ht="26.25" customHeight="1">
      <c r="A36" s="167">
        <v>43.0</v>
      </c>
      <c r="B36" s="168" t="b">
        <v>0</v>
      </c>
      <c r="C36" s="180"/>
      <c r="D36" s="173"/>
      <c r="E36" s="173"/>
      <c r="F36" s="173"/>
      <c r="G36" s="173"/>
      <c r="H36" s="173"/>
    </row>
    <row r="37" ht="26.25" customHeight="1">
      <c r="A37" s="167">
        <v>44.0</v>
      </c>
      <c r="B37" s="168" t="b">
        <v>0</v>
      </c>
      <c r="C37" s="180"/>
      <c r="D37" s="173"/>
      <c r="E37" s="173"/>
      <c r="F37" s="173"/>
      <c r="G37" s="173"/>
      <c r="H37" s="173"/>
    </row>
    <row r="38" ht="26.25" customHeight="1">
      <c r="A38" s="167">
        <v>45.0</v>
      </c>
      <c r="B38" s="168" t="b">
        <v>0</v>
      </c>
      <c r="C38" s="180"/>
      <c r="D38" s="173"/>
      <c r="E38" s="173"/>
      <c r="F38" s="173"/>
      <c r="G38" s="173"/>
      <c r="H38" s="173"/>
    </row>
    <row r="39" ht="26.25" customHeight="1">
      <c r="A39" s="167">
        <v>46.0</v>
      </c>
      <c r="B39" s="168" t="b">
        <v>0</v>
      </c>
      <c r="C39" s="180"/>
      <c r="D39" s="173"/>
      <c r="E39" s="173"/>
      <c r="F39" s="173"/>
      <c r="G39" s="173"/>
      <c r="H39" s="173"/>
    </row>
    <row r="40" ht="26.25" customHeight="1">
      <c r="A40" s="167">
        <v>47.0</v>
      </c>
      <c r="B40" s="168" t="b">
        <v>0</v>
      </c>
      <c r="C40" s="180"/>
      <c r="D40" s="173"/>
      <c r="E40" s="173"/>
      <c r="F40" s="173"/>
      <c r="G40" s="173"/>
      <c r="H40" s="173"/>
    </row>
    <row r="41" ht="22.5" hidden="1" customHeight="1">
      <c r="A41" s="167">
        <v>48.0</v>
      </c>
      <c r="B41" s="168" t="b">
        <v>0</v>
      </c>
      <c r="C41" s="180"/>
      <c r="D41" s="173"/>
      <c r="E41" s="173"/>
      <c r="F41" s="173"/>
      <c r="G41" s="173"/>
      <c r="H41" s="173"/>
    </row>
    <row r="42" ht="22.5" customHeight="1">
      <c r="A42" s="167">
        <v>49.0</v>
      </c>
      <c r="B42" s="168" t="b">
        <v>0</v>
      </c>
      <c r="C42" s="180"/>
      <c r="D42" s="173"/>
      <c r="E42" s="173"/>
      <c r="F42" s="173"/>
      <c r="G42" s="173"/>
      <c r="H42" s="173"/>
    </row>
    <row r="43" ht="22.5" customHeight="1">
      <c r="A43" s="167">
        <v>50.0</v>
      </c>
      <c r="B43" s="168" t="b">
        <v>0</v>
      </c>
      <c r="C43" s="180"/>
      <c r="D43" s="173"/>
      <c r="E43" s="173"/>
      <c r="F43" s="173"/>
      <c r="G43" s="173"/>
      <c r="H43" s="173"/>
    </row>
    <row r="44" ht="22.5" customHeight="1">
      <c r="A44" s="167">
        <v>51.0</v>
      </c>
      <c r="B44" s="168" t="b">
        <v>0</v>
      </c>
      <c r="C44" s="180"/>
      <c r="D44" s="173"/>
      <c r="E44" s="173"/>
      <c r="F44" s="173"/>
      <c r="G44" s="173"/>
      <c r="H44" s="173"/>
    </row>
    <row r="45" ht="22.5" customHeight="1">
      <c r="A45" s="167">
        <v>52.0</v>
      </c>
      <c r="B45" s="168" t="b">
        <v>0</v>
      </c>
      <c r="C45" s="180"/>
      <c r="D45" s="173"/>
      <c r="E45" s="173"/>
      <c r="F45" s="173"/>
      <c r="G45" s="173"/>
      <c r="H45" s="173"/>
    </row>
    <row r="46" ht="22.5" customHeight="1">
      <c r="A46" s="167">
        <v>53.0</v>
      </c>
      <c r="B46" s="168" t="b">
        <v>0</v>
      </c>
      <c r="C46" s="180"/>
      <c r="D46" s="173"/>
      <c r="E46" s="173"/>
      <c r="F46" s="173"/>
      <c r="G46" s="173"/>
      <c r="H46" s="173"/>
    </row>
    <row r="47" ht="22.5" customHeight="1">
      <c r="A47" s="167">
        <v>54.0</v>
      </c>
      <c r="B47" s="168" t="b">
        <v>0</v>
      </c>
      <c r="C47" s="180"/>
      <c r="D47" s="173"/>
      <c r="E47" s="173"/>
      <c r="F47" s="173"/>
      <c r="G47" s="173"/>
      <c r="H47" s="173"/>
    </row>
    <row r="48" ht="22.5" customHeight="1">
      <c r="A48" s="167">
        <v>55.0</v>
      </c>
      <c r="B48" s="168" t="b">
        <v>0</v>
      </c>
      <c r="C48" s="180"/>
      <c r="D48" s="173"/>
      <c r="E48" s="173"/>
      <c r="F48" s="173"/>
      <c r="G48" s="173"/>
      <c r="H48" s="173"/>
    </row>
    <row r="49" ht="22.5" customHeight="1">
      <c r="A49" s="167">
        <v>56.0</v>
      </c>
      <c r="B49" s="168" t="b">
        <v>0</v>
      </c>
      <c r="C49" s="180"/>
      <c r="D49" s="173"/>
      <c r="E49" s="173"/>
      <c r="F49" s="173"/>
      <c r="G49" s="173"/>
      <c r="H49" s="173"/>
    </row>
    <row r="50" ht="22.5" customHeight="1">
      <c r="A50" s="167">
        <v>57.0</v>
      </c>
      <c r="B50" s="168" t="b">
        <v>0</v>
      </c>
      <c r="C50" s="180"/>
      <c r="D50" s="173"/>
      <c r="E50" s="173"/>
      <c r="F50" s="173"/>
      <c r="G50" s="173"/>
      <c r="H50" s="173"/>
    </row>
    <row r="51" ht="22.5" customHeight="1">
      <c r="A51" s="167">
        <v>58.0</v>
      </c>
      <c r="B51" s="168" t="b">
        <v>0</v>
      </c>
      <c r="C51" s="180"/>
      <c r="D51" s="173"/>
      <c r="E51" s="173"/>
      <c r="F51" s="173"/>
      <c r="G51" s="173"/>
      <c r="H51" s="173"/>
    </row>
    <row r="52" ht="22.5" customHeight="1">
      <c r="A52" s="167">
        <v>59.0</v>
      </c>
      <c r="B52" s="168" t="b">
        <v>0</v>
      </c>
      <c r="C52" s="180"/>
      <c r="D52" s="173"/>
      <c r="E52" s="173"/>
      <c r="F52" s="173"/>
      <c r="G52" s="173"/>
      <c r="H52" s="173"/>
    </row>
    <row r="53" ht="22.5" customHeight="1">
      <c r="A53" s="167">
        <v>60.0</v>
      </c>
      <c r="B53" s="168" t="b">
        <v>0</v>
      </c>
      <c r="C53" s="180"/>
      <c r="D53" s="173"/>
      <c r="E53" s="173"/>
      <c r="F53" s="173"/>
      <c r="G53" s="173"/>
      <c r="H53" s="173"/>
    </row>
    <row r="54" ht="22.5" customHeight="1">
      <c r="A54" s="167">
        <v>61.0</v>
      </c>
      <c r="B54" s="168" t="b">
        <v>0</v>
      </c>
      <c r="C54" s="180"/>
      <c r="D54" s="173"/>
      <c r="E54" s="173"/>
      <c r="F54" s="173"/>
      <c r="G54" s="173"/>
      <c r="H54" s="173"/>
    </row>
    <row r="55" ht="22.5" customHeight="1">
      <c r="A55" s="167">
        <v>62.0</v>
      </c>
      <c r="B55" s="168" t="b">
        <v>0</v>
      </c>
      <c r="C55" s="180"/>
      <c r="D55" s="173"/>
      <c r="E55" s="173"/>
      <c r="F55" s="173"/>
      <c r="G55" s="173"/>
      <c r="H55" s="173"/>
    </row>
    <row r="56" ht="22.5" customHeight="1">
      <c r="A56" s="167">
        <v>63.0</v>
      </c>
      <c r="B56" s="168" t="b">
        <v>0</v>
      </c>
      <c r="C56" s="180"/>
      <c r="D56" s="173"/>
      <c r="E56" s="173"/>
      <c r="F56" s="173"/>
      <c r="G56" s="173"/>
      <c r="H56" s="173"/>
    </row>
    <row r="57" ht="22.5" customHeight="1">
      <c r="A57" s="167">
        <v>64.0</v>
      </c>
      <c r="B57" s="168" t="b">
        <v>0</v>
      </c>
      <c r="C57" s="180"/>
      <c r="D57" s="173"/>
      <c r="E57" s="173"/>
      <c r="F57" s="173"/>
      <c r="G57" s="173"/>
      <c r="H57" s="173"/>
    </row>
    <row r="58" ht="22.5" customHeight="1">
      <c r="A58" s="167">
        <v>65.0</v>
      </c>
      <c r="B58" s="168" t="b">
        <v>0</v>
      </c>
      <c r="C58" s="180"/>
      <c r="D58" s="173"/>
      <c r="E58" s="173"/>
      <c r="F58" s="173"/>
      <c r="G58" s="173"/>
      <c r="H58" s="173"/>
    </row>
    <row r="59" ht="22.5" customHeight="1">
      <c r="A59" s="167">
        <v>66.0</v>
      </c>
      <c r="B59" s="168" t="b">
        <v>0</v>
      </c>
      <c r="C59" s="180"/>
      <c r="D59" s="173"/>
      <c r="E59" s="173"/>
      <c r="F59" s="173"/>
      <c r="G59" s="173"/>
      <c r="H59" s="173"/>
    </row>
    <row r="60" ht="22.5" customHeight="1">
      <c r="A60" s="167">
        <v>67.0</v>
      </c>
      <c r="B60" s="168" t="b">
        <v>0</v>
      </c>
      <c r="C60" s="180"/>
      <c r="D60" s="173"/>
      <c r="E60" s="173"/>
      <c r="F60" s="173"/>
      <c r="G60" s="173"/>
      <c r="H60" s="173"/>
    </row>
    <row r="61" ht="22.5" customHeight="1">
      <c r="A61" s="167">
        <v>68.0</v>
      </c>
      <c r="B61" s="168" t="b">
        <v>0</v>
      </c>
      <c r="C61" s="180"/>
      <c r="D61" s="173"/>
      <c r="E61" s="173"/>
      <c r="F61" s="173"/>
      <c r="G61" s="173"/>
      <c r="H61" s="173"/>
    </row>
    <row r="62" ht="22.5" customHeight="1">
      <c r="A62" s="167">
        <v>69.0</v>
      </c>
      <c r="B62" s="168" t="b">
        <v>0</v>
      </c>
      <c r="C62" s="180"/>
      <c r="D62" s="173"/>
      <c r="E62" s="173"/>
      <c r="F62" s="173"/>
      <c r="G62" s="173"/>
      <c r="H62" s="173"/>
    </row>
    <row r="63" ht="22.5" customHeight="1">
      <c r="A63" s="167">
        <v>70.0</v>
      </c>
      <c r="B63" s="168" t="b">
        <v>0</v>
      </c>
      <c r="C63" s="180"/>
      <c r="D63" s="173"/>
      <c r="E63" s="173"/>
      <c r="F63" s="173"/>
      <c r="G63" s="173"/>
      <c r="H63" s="173"/>
    </row>
    <row r="64" ht="22.5" customHeight="1">
      <c r="A64" s="167">
        <v>71.0</v>
      </c>
      <c r="B64" s="168" t="b">
        <v>0</v>
      </c>
      <c r="C64" s="180"/>
      <c r="D64" s="173"/>
      <c r="E64" s="173"/>
      <c r="F64" s="173"/>
      <c r="G64" s="173"/>
      <c r="H64" s="173"/>
    </row>
    <row r="65" ht="22.5" customHeight="1">
      <c r="A65" s="167">
        <v>72.0</v>
      </c>
      <c r="B65" s="168" t="b">
        <v>0</v>
      </c>
      <c r="C65" s="180"/>
      <c r="D65" s="173"/>
      <c r="E65" s="173"/>
      <c r="F65" s="173"/>
      <c r="G65" s="173"/>
      <c r="H65" s="173"/>
    </row>
    <row r="66" ht="22.5" customHeight="1">
      <c r="A66" s="167">
        <v>73.0</v>
      </c>
      <c r="B66" s="168" t="b">
        <v>0</v>
      </c>
      <c r="C66" s="180"/>
      <c r="D66" s="173"/>
      <c r="E66" s="173"/>
      <c r="F66" s="173"/>
      <c r="G66" s="173"/>
      <c r="H66" s="173"/>
    </row>
    <row r="67" ht="22.5" customHeight="1">
      <c r="A67" s="167">
        <v>74.0</v>
      </c>
      <c r="B67" s="168" t="b">
        <v>0</v>
      </c>
      <c r="C67" s="180"/>
      <c r="D67" s="173"/>
      <c r="E67" s="173"/>
      <c r="F67" s="173"/>
      <c r="G67" s="173"/>
      <c r="H67" s="173"/>
    </row>
    <row r="68" ht="22.5" customHeight="1">
      <c r="A68" s="167">
        <v>75.0</v>
      </c>
      <c r="B68" s="168" t="b">
        <v>0</v>
      </c>
      <c r="C68" s="180"/>
      <c r="D68" s="173"/>
      <c r="E68" s="173"/>
      <c r="F68" s="173"/>
      <c r="G68" s="173"/>
      <c r="H68" s="173"/>
    </row>
    <row r="69" ht="22.5" customHeight="1">
      <c r="A69" s="167">
        <v>76.0</v>
      </c>
      <c r="B69" s="168" t="b">
        <v>0</v>
      </c>
      <c r="C69" s="180"/>
      <c r="D69" s="173"/>
      <c r="E69" s="173"/>
      <c r="F69" s="173"/>
      <c r="G69" s="173"/>
      <c r="H69" s="173"/>
    </row>
    <row r="70" ht="22.5" customHeight="1">
      <c r="A70" s="167">
        <v>77.0</v>
      </c>
      <c r="B70" s="168" t="b">
        <v>0</v>
      </c>
      <c r="C70" s="180"/>
      <c r="D70" s="173"/>
      <c r="E70" s="173"/>
      <c r="F70" s="173"/>
      <c r="G70" s="173"/>
      <c r="H70" s="173"/>
    </row>
    <row r="71" ht="22.5" customHeight="1">
      <c r="A71" s="167">
        <v>78.0</v>
      </c>
      <c r="B71" s="168" t="b">
        <v>0</v>
      </c>
      <c r="C71" s="180"/>
      <c r="D71" s="173"/>
      <c r="E71" s="173"/>
      <c r="F71" s="173"/>
      <c r="G71" s="173"/>
      <c r="H71" s="173"/>
    </row>
    <row r="72" ht="22.5" customHeight="1">
      <c r="A72" s="167">
        <v>79.0</v>
      </c>
      <c r="B72" s="168" t="b">
        <v>0</v>
      </c>
      <c r="C72" s="180"/>
      <c r="D72" s="173"/>
      <c r="E72" s="173"/>
      <c r="F72" s="173"/>
      <c r="G72" s="173"/>
      <c r="H72" s="173"/>
    </row>
    <row r="73" ht="22.5" customHeight="1">
      <c r="A73" s="167">
        <v>80.0</v>
      </c>
      <c r="B73" s="168" t="b">
        <v>0</v>
      </c>
      <c r="C73" s="180"/>
      <c r="D73" s="173"/>
      <c r="E73" s="173"/>
      <c r="F73" s="173"/>
      <c r="G73" s="173"/>
      <c r="H73" s="173"/>
    </row>
    <row r="74" ht="22.5" customHeight="1">
      <c r="A74" s="167">
        <v>81.0</v>
      </c>
      <c r="B74" s="168" t="b">
        <v>0</v>
      </c>
      <c r="C74" s="180"/>
      <c r="D74" s="173"/>
      <c r="E74" s="173"/>
      <c r="F74" s="173"/>
      <c r="G74" s="173"/>
      <c r="H74" s="173"/>
    </row>
    <row r="75" ht="22.5" customHeight="1">
      <c r="A75" s="167">
        <v>82.0</v>
      </c>
      <c r="B75" s="168" t="b">
        <v>0</v>
      </c>
      <c r="C75" s="180"/>
      <c r="D75" s="173"/>
      <c r="E75" s="173"/>
      <c r="F75" s="173"/>
      <c r="G75" s="173"/>
      <c r="H75" s="173"/>
    </row>
    <row r="76" ht="22.5" customHeight="1">
      <c r="A76" s="167">
        <v>83.0</v>
      </c>
      <c r="B76" s="168" t="b">
        <v>0</v>
      </c>
      <c r="C76" s="180"/>
      <c r="D76" s="173"/>
      <c r="E76" s="173"/>
      <c r="F76" s="173"/>
      <c r="G76" s="173"/>
      <c r="H76" s="173"/>
    </row>
    <row r="77" ht="22.5" customHeight="1">
      <c r="A77" s="167">
        <v>84.0</v>
      </c>
      <c r="B77" s="168" t="b">
        <v>0</v>
      </c>
      <c r="C77" s="180"/>
      <c r="D77" s="173"/>
      <c r="E77" s="173"/>
      <c r="F77" s="173"/>
      <c r="G77" s="173"/>
      <c r="H77" s="173"/>
    </row>
    <row r="78" ht="22.5" customHeight="1">
      <c r="A78" s="167">
        <v>85.0</v>
      </c>
      <c r="B78" s="168" t="b">
        <v>0</v>
      </c>
      <c r="C78" s="180"/>
      <c r="D78" s="173"/>
      <c r="E78" s="173"/>
      <c r="F78" s="173"/>
      <c r="G78" s="173"/>
      <c r="H78" s="173"/>
    </row>
    <row r="79" ht="22.5" customHeight="1">
      <c r="A79" s="167">
        <v>86.0</v>
      </c>
      <c r="B79" s="168" t="b">
        <v>0</v>
      </c>
      <c r="C79" s="180"/>
      <c r="D79" s="173"/>
      <c r="E79" s="173"/>
      <c r="F79" s="173"/>
      <c r="G79" s="173"/>
      <c r="H79" s="173"/>
    </row>
    <row r="80" ht="22.5" customHeight="1">
      <c r="A80" s="167">
        <v>87.0</v>
      </c>
      <c r="B80" s="168" t="b">
        <v>0</v>
      </c>
      <c r="C80" s="180"/>
      <c r="D80" s="173"/>
      <c r="E80" s="173"/>
      <c r="F80" s="173"/>
      <c r="G80" s="173"/>
      <c r="H80" s="173"/>
    </row>
    <row r="81" ht="22.5" customHeight="1">
      <c r="A81" s="167">
        <v>88.0</v>
      </c>
      <c r="B81" s="168" t="b">
        <v>0</v>
      </c>
      <c r="C81" s="180"/>
      <c r="D81" s="173"/>
      <c r="E81" s="173"/>
      <c r="F81" s="173"/>
      <c r="G81" s="173"/>
      <c r="H81" s="173"/>
    </row>
    <row r="82" ht="22.5" customHeight="1">
      <c r="A82" s="167">
        <v>89.0</v>
      </c>
      <c r="B82" s="168" t="b">
        <v>0</v>
      </c>
      <c r="C82" s="180"/>
      <c r="D82" s="173"/>
      <c r="E82" s="173"/>
      <c r="F82" s="173"/>
      <c r="G82" s="173"/>
      <c r="H82" s="173"/>
    </row>
    <row r="83" ht="22.5" customHeight="1">
      <c r="A83" s="167">
        <v>90.0</v>
      </c>
      <c r="B83" s="168" t="b">
        <v>0</v>
      </c>
      <c r="C83" s="180"/>
      <c r="D83" s="173"/>
      <c r="E83" s="173"/>
      <c r="F83" s="173"/>
      <c r="G83" s="173"/>
      <c r="H83" s="173"/>
    </row>
    <row r="84" ht="22.5" customHeight="1">
      <c r="A84" s="167">
        <v>91.0</v>
      </c>
      <c r="B84" s="168" t="b">
        <v>0</v>
      </c>
      <c r="C84" s="180"/>
      <c r="D84" s="173"/>
      <c r="E84" s="173"/>
      <c r="F84" s="173"/>
      <c r="G84" s="173"/>
      <c r="H84" s="173"/>
    </row>
    <row r="85" ht="22.5" customHeight="1">
      <c r="A85" s="167">
        <v>92.0</v>
      </c>
      <c r="B85" s="168" t="b">
        <v>0</v>
      </c>
      <c r="C85" s="180"/>
      <c r="D85" s="173"/>
      <c r="E85" s="173"/>
      <c r="F85" s="173"/>
      <c r="G85" s="173"/>
      <c r="H85" s="173"/>
    </row>
    <row r="86" ht="22.5" customHeight="1">
      <c r="A86" s="167">
        <v>93.0</v>
      </c>
      <c r="B86" s="168" t="b">
        <v>0</v>
      </c>
      <c r="C86" s="180"/>
      <c r="D86" s="173"/>
      <c r="E86" s="173"/>
      <c r="F86" s="173"/>
      <c r="G86" s="173"/>
      <c r="H86" s="173"/>
    </row>
    <row r="87" ht="22.5" customHeight="1">
      <c r="A87" s="167">
        <v>94.0</v>
      </c>
      <c r="B87" s="168" t="b">
        <v>0</v>
      </c>
      <c r="C87" s="180"/>
      <c r="D87" s="173"/>
      <c r="E87" s="173"/>
      <c r="F87" s="173"/>
      <c r="G87" s="173"/>
      <c r="H87" s="173"/>
    </row>
    <row r="88" ht="22.5" customHeight="1">
      <c r="A88" s="167">
        <v>95.0</v>
      </c>
      <c r="B88" s="168" t="b">
        <v>0</v>
      </c>
      <c r="C88" s="180"/>
      <c r="D88" s="173"/>
      <c r="E88" s="173"/>
      <c r="F88" s="173"/>
      <c r="G88" s="173"/>
      <c r="H88" s="173"/>
    </row>
    <row r="89" ht="22.5" customHeight="1">
      <c r="A89" s="167">
        <v>96.0</v>
      </c>
      <c r="B89" s="168" t="b">
        <v>0</v>
      </c>
      <c r="C89" s="180"/>
      <c r="D89" s="173"/>
      <c r="E89" s="173"/>
      <c r="F89" s="173"/>
      <c r="G89" s="173"/>
      <c r="H89" s="173"/>
    </row>
    <row r="90" ht="22.5" customHeight="1">
      <c r="A90" s="167">
        <v>97.0</v>
      </c>
      <c r="B90" s="168" t="b">
        <v>0</v>
      </c>
      <c r="C90" s="180"/>
      <c r="D90" s="173"/>
      <c r="E90" s="173"/>
      <c r="F90" s="173"/>
      <c r="G90" s="173"/>
      <c r="H90" s="173"/>
    </row>
    <row r="91" ht="22.5" customHeight="1">
      <c r="A91" s="167">
        <v>98.0</v>
      </c>
      <c r="B91" s="168" t="b">
        <v>0</v>
      </c>
      <c r="C91" s="180"/>
      <c r="D91" s="173"/>
      <c r="E91" s="173"/>
      <c r="F91" s="173"/>
      <c r="G91" s="173"/>
      <c r="H91" s="173"/>
    </row>
    <row r="92" ht="22.5" customHeight="1">
      <c r="A92" s="167">
        <v>99.0</v>
      </c>
      <c r="B92" s="168" t="b">
        <v>0</v>
      </c>
      <c r="C92" s="180"/>
      <c r="D92" s="173"/>
      <c r="E92" s="173"/>
      <c r="F92" s="173"/>
      <c r="G92" s="173"/>
      <c r="H92" s="173"/>
    </row>
    <row r="93" ht="22.5" customHeight="1">
      <c r="A93" s="167">
        <v>100.0</v>
      </c>
      <c r="B93" s="168" t="b">
        <v>0</v>
      </c>
      <c r="C93" s="180"/>
      <c r="D93" s="173"/>
      <c r="E93" s="173"/>
      <c r="F93" s="173"/>
      <c r="G93" s="173"/>
      <c r="H93" s="173"/>
    </row>
    <row r="94" ht="22.5" customHeight="1">
      <c r="A94" s="167">
        <v>101.0</v>
      </c>
      <c r="B94" s="168" t="b">
        <v>0</v>
      </c>
      <c r="C94" s="180"/>
      <c r="D94" s="173"/>
      <c r="E94" s="173"/>
      <c r="F94" s="173"/>
      <c r="G94" s="173"/>
      <c r="H94" s="173"/>
    </row>
    <row r="95" ht="22.5" customHeight="1">
      <c r="A95" s="167">
        <v>102.0</v>
      </c>
      <c r="B95" s="168" t="b">
        <v>0</v>
      </c>
      <c r="C95" s="180"/>
      <c r="D95" s="173"/>
      <c r="E95" s="173"/>
      <c r="F95" s="173"/>
      <c r="G95" s="173"/>
      <c r="H95" s="173"/>
    </row>
    <row r="96" ht="22.5" customHeight="1">
      <c r="A96" s="167">
        <v>103.0</v>
      </c>
      <c r="B96" s="168" t="b">
        <v>0</v>
      </c>
      <c r="C96" s="180"/>
      <c r="D96" s="173"/>
      <c r="E96" s="173"/>
      <c r="F96" s="173"/>
      <c r="G96" s="173"/>
      <c r="H96" s="173"/>
    </row>
    <row r="97" ht="22.5" customHeight="1">
      <c r="A97" s="167">
        <v>104.0</v>
      </c>
      <c r="B97" s="168" t="b">
        <v>0</v>
      </c>
      <c r="C97" s="180"/>
      <c r="D97" s="173"/>
      <c r="E97" s="173"/>
      <c r="F97" s="173"/>
      <c r="G97" s="173"/>
      <c r="H97" s="173"/>
    </row>
    <row r="98" ht="22.5" customHeight="1">
      <c r="A98" s="167">
        <v>105.0</v>
      </c>
      <c r="B98" s="168" t="b">
        <v>0</v>
      </c>
      <c r="C98" s="180"/>
      <c r="D98" s="173"/>
      <c r="E98" s="173"/>
      <c r="F98" s="173"/>
      <c r="G98" s="173"/>
      <c r="H98" s="173"/>
    </row>
    <row r="99" ht="22.5" customHeight="1">
      <c r="A99" s="167">
        <v>106.0</v>
      </c>
      <c r="B99" s="168" t="b">
        <v>0</v>
      </c>
      <c r="C99" s="180"/>
      <c r="D99" s="173"/>
      <c r="E99" s="173"/>
      <c r="F99" s="173"/>
      <c r="G99" s="173"/>
      <c r="H99" s="173"/>
    </row>
    <row r="100" ht="22.5" customHeight="1">
      <c r="A100" s="167">
        <v>107.0</v>
      </c>
      <c r="B100" s="168" t="b">
        <v>0</v>
      </c>
      <c r="C100" s="180"/>
      <c r="D100" s="173"/>
      <c r="E100" s="173"/>
      <c r="F100" s="173"/>
      <c r="G100" s="173"/>
      <c r="H100" s="173"/>
    </row>
    <row r="101" ht="22.5" customHeight="1">
      <c r="A101" s="167">
        <v>108.0</v>
      </c>
      <c r="B101" s="168" t="b">
        <v>0</v>
      </c>
      <c r="C101" s="180"/>
      <c r="D101" s="173"/>
      <c r="E101" s="173"/>
      <c r="F101" s="173"/>
      <c r="G101" s="173"/>
      <c r="H101" s="173"/>
    </row>
    <row r="102" ht="22.5" customHeight="1">
      <c r="A102" s="167">
        <v>109.0</v>
      </c>
      <c r="B102" s="168" t="b">
        <v>0</v>
      </c>
      <c r="C102" s="180"/>
      <c r="D102" s="173"/>
      <c r="E102" s="173"/>
      <c r="F102" s="173"/>
      <c r="G102" s="173"/>
      <c r="H102" s="173"/>
    </row>
    <row r="103" ht="22.5" customHeight="1">
      <c r="A103" s="167">
        <v>110.0</v>
      </c>
      <c r="B103" s="168" t="b">
        <v>0</v>
      </c>
      <c r="C103" s="180"/>
      <c r="D103" s="173"/>
      <c r="E103" s="173"/>
      <c r="F103" s="173"/>
      <c r="G103" s="173"/>
      <c r="H103" s="173"/>
    </row>
    <row r="104" ht="22.5" customHeight="1">
      <c r="A104" s="167">
        <v>111.0</v>
      </c>
      <c r="B104" s="168" t="b">
        <v>0</v>
      </c>
      <c r="C104" s="180"/>
      <c r="D104" s="173"/>
      <c r="E104" s="173"/>
      <c r="F104" s="173"/>
      <c r="G104" s="173"/>
      <c r="H104" s="173"/>
    </row>
    <row r="105" ht="22.5" customHeight="1">
      <c r="A105" s="167">
        <v>112.0</v>
      </c>
      <c r="B105" s="168" t="b">
        <v>0</v>
      </c>
      <c r="C105" s="180"/>
      <c r="D105" s="173"/>
      <c r="E105" s="173"/>
      <c r="F105" s="173"/>
      <c r="G105" s="173"/>
      <c r="H105" s="173"/>
    </row>
    <row r="106" ht="22.5" customHeight="1">
      <c r="A106" s="167">
        <v>113.0</v>
      </c>
      <c r="B106" s="168" t="b">
        <v>0</v>
      </c>
      <c r="C106" s="180"/>
      <c r="D106" s="173"/>
      <c r="E106" s="173"/>
      <c r="F106" s="173"/>
      <c r="G106" s="173"/>
      <c r="H106" s="173"/>
    </row>
    <row r="107" ht="22.5" customHeight="1">
      <c r="A107" s="167">
        <v>114.0</v>
      </c>
      <c r="B107" s="168" t="b">
        <v>0</v>
      </c>
      <c r="C107" s="180"/>
      <c r="D107" s="173"/>
      <c r="E107" s="173"/>
      <c r="F107" s="173"/>
      <c r="G107" s="173"/>
      <c r="H107" s="173"/>
    </row>
    <row r="108" ht="22.5" customHeight="1">
      <c r="A108" s="167">
        <v>115.0</v>
      </c>
      <c r="B108" s="168" t="b">
        <v>0</v>
      </c>
      <c r="C108" s="180"/>
      <c r="D108" s="173"/>
      <c r="E108" s="173"/>
      <c r="F108" s="173"/>
      <c r="G108" s="173"/>
      <c r="H108" s="173"/>
    </row>
    <row r="109" ht="22.5" customHeight="1">
      <c r="A109" s="167">
        <v>116.0</v>
      </c>
      <c r="B109" s="168" t="b">
        <v>0</v>
      </c>
      <c r="C109" s="180"/>
      <c r="D109" s="173"/>
      <c r="E109" s="173"/>
      <c r="F109" s="173"/>
      <c r="G109" s="173"/>
      <c r="H109" s="173"/>
    </row>
    <row r="110" ht="22.5" customHeight="1">
      <c r="A110" s="167">
        <v>117.0</v>
      </c>
      <c r="B110" s="168" t="b">
        <v>0</v>
      </c>
      <c r="C110" s="180"/>
      <c r="D110" s="173"/>
      <c r="E110" s="173"/>
      <c r="F110" s="173"/>
      <c r="G110" s="173"/>
      <c r="H110" s="173"/>
    </row>
    <row r="111" ht="22.5" customHeight="1">
      <c r="A111" s="167">
        <v>118.0</v>
      </c>
      <c r="B111" s="168" t="b">
        <v>0</v>
      </c>
      <c r="C111" s="180"/>
      <c r="D111" s="173"/>
      <c r="E111" s="173"/>
      <c r="F111" s="173"/>
      <c r="G111" s="173"/>
      <c r="H111" s="173"/>
    </row>
    <row r="112" ht="22.5" customHeight="1">
      <c r="A112" s="167">
        <v>119.0</v>
      </c>
      <c r="B112" s="168" t="b">
        <v>0</v>
      </c>
      <c r="C112" s="180"/>
      <c r="D112" s="173"/>
      <c r="E112" s="173"/>
      <c r="F112" s="173"/>
      <c r="G112" s="173"/>
      <c r="H112" s="173"/>
    </row>
    <row r="113" ht="22.5" customHeight="1">
      <c r="A113" s="167">
        <v>120.0</v>
      </c>
      <c r="B113" s="168" t="b">
        <v>0</v>
      </c>
      <c r="C113" s="180"/>
      <c r="D113" s="173"/>
      <c r="E113" s="173"/>
      <c r="F113" s="173"/>
      <c r="G113" s="173"/>
      <c r="H113" s="173"/>
    </row>
    <row r="114" ht="22.5" customHeight="1">
      <c r="A114" s="167">
        <v>121.0</v>
      </c>
      <c r="B114" s="168" t="b">
        <v>0</v>
      </c>
      <c r="C114" s="180"/>
      <c r="D114" s="173"/>
      <c r="E114" s="173"/>
      <c r="F114" s="173"/>
      <c r="G114" s="173"/>
      <c r="H114" s="173"/>
    </row>
    <row r="115" ht="22.5" customHeight="1">
      <c r="A115" s="167">
        <v>122.0</v>
      </c>
      <c r="B115" s="168" t="b">
        <v>0</v>
      </c>
      <c r="C115" s="180"/>
      <c r="D115" s="173"/>
      <c r="E115" s="173"/>
      <c r="F115" s="173"/>
      <c r="G115" s="173"/>
      <c r="H115" s="173"/>
    </row>
    <row r="116" ht="22.5" customHeight="1">
      <c r="A116" s="167">
        <v>123.0</v>
      </c>
      <c r="B116" s="168" t="b">
        <v>0</v>
      </c>
      <c r="C116" s="180"/>
      <c r="D116" s="173"/>
      <c r="E116" s="173"/>
      <c r="F116" s="173"/>
      <c r="G116" s="173"/>
      <c r="H116" s="173"/>
    </row>
    <row r="117" ht="22.5" customHeight="1">
      <c r="A117" s="167">
        <v>124.0</v>
      </c>
      <c r="B117" s="168" t="b">
        <v>0</v>
      </c>
      <c r="C117" s="180"/>
      <c r="D117" s="173"/>
      <c r="E117" s="173"/>
      <c r="F117" s="173"/>
      <c r="G117" s="173"/>
      <c r="H117" s="173"/>
    </row>
    <row r="118" ht="22.5" customHeight="1">
      <c r="A118" s="167">
        <v>125.0</v>
      </c>
      <c r="B118" s="168" t="b">
        <v>0</v>
      </c>
      <c r="C118" s="180"/>
      <c r="D118" s="173"/>
      <c r="E118" s="173"/>
      <c r="F118" s="173"/>
      <c r="G118" s="173"/>
      <c r="H118" s="173"/>
    </row>
    <row r="119" ht="22.5" customHeight="1">
      <c r="A119" s="167">
        <v>126.0</v>
      </c>
      <c r="B119" s="168" t="b">
        <v>0</v>
      </c>
      <c r="C119" s="180"/>
      <c r="D119" s="173"/>
      <c r="E119" s="173"/>
      <c r="F119" s="173"/>
      <c r="G119" s="173"/>
      <c r="H119" s="173"/>
    </row>
    <row r="120" ht="22.5" customHeight="1">
      <c r="A120" s="167">
        <v>127.0</v>
      </c>
      <c r="B120" s="168" t="b">
        <v>0</v>
      </c>
      <c r="C120" s="180"/>
      <c r="D120" s="173"/>
      <c r="E120" s="173"/>
      <c r="F120" s="173"/>
      <c r="G120" s="173"/>
      <c r="H120" s="173"/>
    </row>
    <row r="121" ht="22.5" customHeight="1">
      <c r="A121" s="167">
        <v>128.0</v>
      </c>
      <c r="B121" s="168" t="b">
        <v>0</v>
      </c>
      <c r="C121" s="180"/>
      <c r="D121" s="173"/>
      <c r="E121" s="173"/>
      <c r="F121" s="173"/>
      <c r="G121" s="173"/>
      <c r="H121" s="173"/>
    </row>
    <row r="122" ht="22.5" customHeight="1">
      <c r="A122" s="167">
        <v>129.0</v>
      </c>
      <c r="B122" s="168" t="b">
        <v>0</v>
      </c>
      <c r="C122" s="180"/>
      <c r="D122" s="173"/>
      <c r="E122" s="173"/>
      <c r="F122" s="173"/>
      <c r="G122" s="173"/>
      <c r="H122" s="173"/>
    </row>
    <row r="123" ht="22.5" customHeight="1">
      <c r="A123" s="167">
        <v>130.0</v>
      </c>
      <c r="B123" s="168" t="b">
        <v>0</v>
      </c>
      <c r="C123" s="180"/>
      <c r="D123" s="173"/>
      <c r="E123" s="173"/>
      <c r="F123" s="173"/>
      <c r="G123" s="173"/>
      <c r="H123" s="173"/>
    </row>
    <row r="124" ht="22.5" customHeight="1">
      <c r="A124" s="167">
        <v>131.0</v>
      </c>
      <c r="B124" s="168" t="b">
        <v>0</v>
      </c>
      <c r="C124" s="180"/>
      <c r="D124" s="173"/>
      <c r="E124" s="173"/>
      <c r="F124" s="173"/>
      <c r="G124" s="173"/>
      <c r="H124" s="173"/>
    </row>
    <row r="125" ht="22.5" customHeight="1">
      <c r="A125" s="167">
        <v>132.0</v>
      </c>
      <c r="B125" s="168" t="b">
        <v>0</v>
      </c>
      <c r="C125" s="180"/>
      <c r="D125" s="173"/>
      <c r="E125" s="173"/>
      <c r="F125" s="173"/>
      <c r="G125" s="173"/>
      <c r="H125" s="173"/>
    </row>
    <row r="126" ht="22.5" customHeight="1">
      <c r="A126" s="167">
        <v>133.0</v>
      </c>
      <c r="B126" s="168" t="b">
        <v>0</v>
      </c>
      <c r="C126" s="180"/>
      <c r="D126" s="173"/>
      <c r="E126" s="173"/>
      <c r="F126" s="173"/>
      <c r="G126" s="173"/>
      <c r="H126" s="173"/>
    </row>
    <row r="127" ht="22.5" customHeight="1">
      <c r="A127" s="167">
        <v>134.0</v>
      </c>
      <c r="B127" s="168" t="b">
        <v>0</v>
      </c>
      <c r="C127" s="180"/>
      <c r="D127" s="173"/>
      <c r="E127" s="173"/>
      <c r="F127" s="173"/>
      <c r="G127" s="173"/>
      <c r="H127" s="173"/>
    </row>
    <row r="128" ht="22.5" customHeight="1">
      <c r="A128" s="167">
        <v>135.0</v>
      </c>
      <c r="B128" s="168" t="b">
        <v>0</v>
      </c>
      <c r="C128" s="180"/>
      <c r="D128" s="173"/>
      <c r="E128" s="173"/>
      <c r="F128" s="173"/>
      <c r="G128" s="173"/>
      <c r="H128" s="173"/>
    </row>
    <row r="129" ht="22.5" customHeight="1">
      <c r="A129" s="167">
        <v>136.0</v>
      </c>
      <c r="B129" s="168" t="b">
        <v>0</v>
      </c>
      <c r="C129" s="180"/>
      <c r="D129" s="173"/>
      <c r="E129" s="173"/>
      <c r="F129" s="173"/>
      <c r="G129" s="173"/>
      <c r="H129" s="173"/>
    </row>
    <row r="130" ht="22.5" customHeight="1">
      <c r="A130" s="167">
        <v>137.0</v>
      </c>
      <c r="B130" s="168" t="b">
        <v>0</v>
      </c>
      <c r="C130" s="180"/>
      <c r="D130" s="173"/>
      <c r="E130" s="173"/>
      <c r="F130" s="173"/>
      <c r="G130" s="173"/>
      <c r="H130" s="173"/>
    </row>
    <row r="131" ht="22.5" customHeight="1">
      <c r="A131" s="167">
        <v>138.0</v>
      </c>
      <c r="B131" s="168" t="b">
        <v>0</v>
      </c>
      <c r="C131" s="180"/>
      <c r="D131" s="173"/>
      <c r="E131" s="173"/>
      <c r="F131" s="173"/>
      <c r="G131" s="173"/>
      <c r="H131" s="173"/>
    </row>
    <row r="132" ht="22.5" customHeight="1">
      <c r="A132" s="167">
        <v>139.0</v>
      </c>
      <c r="B132" s="168" t="b">
        <v>0</v>
      </c>
      <c r="C132" s="180"/>
      <c r="D132" s="173"/>
      <c r="E132" s="173"/>
      <c r="F132" s="173"/>
      <c r="G132" s="173"/>
      <c r="H132" s="173"/>
    </row>
    <row r="133" ht="22.5" customHeight="1">
      <c r="A133" s="167">
        <v>140.0</v>
      </c>
      <c r="B133" s="168" t="b">
        <v>0</v>
      </c>
      <c r="C133" s="180"/>
      <c r="D133" s="173"/>
      <c r="E133" s="173"/>
      <c r="F133" s="173"/>
      <c r="G133" s="173"/>
      <c r="H133" s="173"/>
    </row>
    <row r="134" ht="22.5" customHeight="1">
      <c r="A134" s="167">
        <v>141.0</v>
      </c>
      <c r="B134" s="168" t="b">
        <v>0</v>
      </c>
      <c r="C134" s="180"/>
      <c r="D134" s="173"/>
      <c r="E134" s="173"/>
      <c r="F134" s="173"/>
      <c r="G134" s="173"/>
      <c r="H134" s="173"/>
    </row>
    <row r="135" ht="22.5" customHeight="1">
      <c r="A135" s="167">
        <v>142.0</v>
      </c>
      <c r="B135" s="168" t="b">
        <v>0</v>
      </c>
      <c r="C135" s="180"/>
      <c r="D135" s="173"/>
      <c r="E135" s="173"/>
      <c r="F135" s="173"/>
      <c r="G135" s="173"/>
      <c r="H135" s="173"/>
    </row>
    <row r="136" ht="22.5" customHeight="1">
      <c r="A136" s="167">
        <v>143.0</v>
      </c>
      <c r="B136" s="168" t="b">
        <v>0</v>
      </c>
      <c r="C136" s="180"/>
      <c r="D136" s="173"/>
      <c r="E136" s="173"/>
      <c r="F136" s="173"/>
      <c r="G136" s="173"/>
      <c r="H136" s="173"/>
    </row>
    <row r="137" ht="22.5" customHeight="1">
      <c r="A137" s="167">
        <v>144.0</v>
      </c>
      <c r="B137" s="168" t="b">
        <v>0</v>
      </c>
      <c r="C137" s="180"/>
      <c r="D137" s="173"/>
      <c r="E137" s="173"/>
      <c r="F137" s="173"/>
      <c r="G137" s="173"/>
      <c r="H137" s="173"/>
    </row>
    <row r="138" ht="22.5" customHeight="1">
      <c r="A138" s="167">
        <v>145.0</v>
      </c>
      <c r="B138" s="168" t="b">
        <v>0</v>
      </c>
      <c r="C138" s="180"/>
      <c r="D138" s="173"/>
      <c r="E138" s="173"/>
      <c r="F138" s="173"/>
      <c r="G138" s="173"/>
      <c r="H138" s="173"/>
    </row>
    <row r="139" ht="22.5" customHeight="1">
      <c r="A139" s="167">
        <v>146.0</v>
      </c>
      <c r="B139" s="168" t="b">
        <v>0</v>
      </c>
      <c r="C139" s="180"/>
      <c r="D139" s="173"/>
      <c r="E139" s="173"/>
      <c r="F139" s="173"/>
      <c r="G139" s="173"/>
      <c r="H139" s="173"/>
    </row>
    <row r="140" ht="22.5" customHeight="1">
      <c r="A140" s="167">
        <v>147.0</v>
      </c>
      <c r="B140" s="168" t="b">
        <v>0</v>
      </c>
      <c r="C140" s="180"/>
      <c r="D140" s="173"/>
      <c r="E140" s="173"/>
      <c r="F140" s="173"/>
      <c r="G140" s="173"/>
      <c r="H140" s="173"/>
    </row>
    <row r="141" ht="22.5" customHeight="1">
      <c r="A141" s="167">
        <v>148.0</v>
      </c>
      <c r="B141" s="168" t="b">
        <v>0</v>
      </c>
      <c r="C141" s="180"/>
      <c r="D141" s="173"/>
      <c r="E141" s="173"/>
      <c r="F141" s="173"/>
      <c r="G141" s="173"/>
      <c r="H141" s="173"/>
    </row>
    <row r="142" ht="22.5" customHeight="1">
      <c r="A142" s="167">
        <v>149.0</v>
      </c>
      <c r="B142" s="168" t="b">
        <v>0</v>
      </c>
      <c r="C142" s="180"/>
      <c r="D142" s="173"/>
      <c r="E142" s="173"/>
      <c r="F142" s="173"/>
      <c r="G142" s="173"/>
      <c r="H142" s="173"/>
    </row>
    <row r="143" ht="22.5" customHeight="1">
      <c r="A143" s="167">
        <v>150.0</v>
      </c>
      <c r="B143" s="168" t="b">
        <v>0</v>
      </c>
      <c r="C143" s="180"/>
      <c r="D143" s="173"/>
      <c r="E143" s="173"/>
      <c r="F143" s="173"/>
      <c r="G143" s="173"/>
      <c r="H143" s="173"/>
    </row>
    <row r="144" ht="22.5" customHeight="1">
      <c r="A144" s="167">
        <v>151.0</v>
      </c>
      <c r="B144" s="168" t="b">
        <v>0</v>
      </c>
      <c r="C144" s="180"/>
      <c r="D144" s="173"/>
      <c r="E144" s="173"/>
      <c r="F144" s="173"/>
      <c r="G144" s="173"/>
      <c r="H144" s="173"/>
    </row>
    <row r="145" ht="22.5" customHeight="1">
      <c r="A145" s="167">
        <v>152.0</v>
      </c>
      <c r="B145" s="168" t="b">
        <v>0</v>
      </c>
      <c r="C145" s="180"/>
      <c r="D145" s="173"/>
      <c r="E145" s="173"/>
      <c r="F145" s="173"/>
      <c r="G145" s="173"/>
      <c r="H145" s="173"/>
    </row>
    <row r="146" ht="22.5" customHeight="1">
      <c r="A146" s="167">
        <v>153.0</v>
      </c>
      <c r="B146" s="168" t="b">
        <v>0</v>
      </c>
      <c r="C146" s="180"/>
      <c r="D146" s="173"/>
      <c r="E146" s="173"/>
      <c r="F146" s="173"/>
      <c r="G146" s="173"/>
      <c r="H146" s="173"/>
    </row>
    <row r="147" ht="22.5" customHeight="1">
      <c r="A147" s="167">
        <v>154.0</v>
      </c>
      <c r="B147" s="168" t="b">
        <v>0</v>
      </c>
      <c r="C147" s="180"/>
      <c r="D147" s="173"/>
      <c r="E147" s="173"/>
      <c r="F147" s="173"/>
      <c r="G147" s="173"/>
      <c r="H147" s="173"/>
    </row>
    <row r="148" ht="22.5" customHeight="1">
      <c r="A148" s="167">
        <v>155.0</v>
      </c>
      <c r="B148" s="168" t="b">
        <v>0</v>
      </c>
      <c r="C148" s="180"/>
      <c r="D148" s="173"/>
      <c r="E148" s="173"/>
      <c r="F148" s="173"/>
      <c r="G148" s="173"/>
      <c r="H148" s="173"/>
    </row>
    <row r="149" ht="22.5" customHeight="1">
      <c r="A149" s="167">
        <v>156.0</v>
      </c>
      <c r="B149" s="168" t="b">
        <v>0</v>
      </c>
      <c r="C149" s="180"/>
      <c r="D149" s="173"/>
      <c r="E149" s="173"/>
      <c r="F149" s="173"/>
      <c r="G149" s="173"/>
      <c r="H149" s="173"/>
    </row>
    <row r="150" ht="22.5" customHeight="1">
      <c r="A150" s="167">
        <v>157.0</v>
      </c>
      <c r="B150" s="168" t="b">
        <v>0</v>
      </c>
      <c r="C150" s="180"/>
      <c r="D150" s="173"/>
      <c r="E150" s="173"/>
      <c r="F150" s="173"/>
      <c r="G150" s="173"/>
      <c r="H150" s="173"/>
    </row>
    <row r="151" ht="22.5" customHeight="1">
      <c r="A151" s="167">
        <v>158.0</v>
      </c>
      <c r="B151" s="168" t="b">
        <v>0</v>
      </c>
      <c r="C151" s="180"/>
      <c r="D151" s="173"/>
      <c r="E151" s="173"/>
      <c r="F151" s="173"/>
      <c r="G151" s="173"/>
      <c r="H151" s="173"/>
    </row>
    <row r="152" ht="22.5" customHeight="1">
      <c r="A152" s="167">
        <v>159.0</v>
      </c>
      <c r="B152" s="168" t="b">
        <v>0</v>
      </c>
      <c r="C152" s="180"/>
      <c r="D152" s="173"/>
      <c r="E152" s="173"/>
      <c r="F152" s="173"/>
      <c r="G152" s="173"/>
      <c r="H152" s="173"/>
    </row>
    <row r="153" ht="22.5" customHeight="1">
      <c r="A153" s="167">
        <v>160.0</v>
      </c>
      <c r="B153" s="168" t="b">
        <v>0</v>
      </c>
      <c r="C153" s="180"/>
      <c r="D153" s="173"/>
      <c r="E153" s="173"/>
      <c r="F153" s="173"/>
      <c r="G153" s="173"/>
      <c r="H153" s="173"/>
    </row>
    <row r="154" ht="22.5" customHeight="1">
      <c r="A154" s="167">
        <v>161.0</v>
      </c>
      <c r="B154" s="168" t="b">
        <v>0</v>
      </c>
      <c r="C154" s="180"/>
      <c r="D154" s="173"/>
      <c r="E154" s="173"/>
      <c r="F154" s="173"/>
      <c r="G154" s="173"/>
      <c r="H154" s="173"/>
    </row>
    <row r="155" ht="22.5" customHeight="1">
      <c r="A155" s="167">
        <v>162.0</v>
      </c>
      <c r="B155" s="168" t="b">
        <v>0</v>
      </c>
      <c r="C155" s="180"/>
      <c r="D155" s="173"/>
      <c r="E155" s="173"/>
      <c r="F155" s="173"/>
      <c r="G155" s="173"/>
      <c r="H155" s="173"/>
    </row>
    <row r="156" ht="22.5" customHeight="1">
      <c r="A156" s="167">
        <v>163.0</v>
      </c>
      <c r="B156" s="168" t="b">
        <v>0</v>
      </c>
      <c r="C156" s="180"/>
      <c r="D156" s="173"/>
      <c r="E156" s="173"/>
      <c r="F156" s="173"/>
      <c r="G156" s="173"/>
      <c r="H156" s="173"/>
    </row>
    <row r="157" ht="22.5" customHeight="1">
      <c r="A157" s="167">
        <v>164.0</v>
      </c>
      <c r="B157" s="168" t="b">
        <v>0</v>
      </c>
      <c r="C157" s="180"/>
      <c r="D157" s="173"/>
      <c r="E157" s="173"/>
      <c r="F157" s="173"/>
      <c r="G157" s="173"/>
      <c r="H157" s="173"/>
    </row>
    <row r="158" ht="22.5" customHeight="1">
      <c r="A158" s="167">
        <v>165.0</v>
      </c>
      <c r="B158" s="168" t="b">
        <v>0</v>
      </c>
      <c r="C158" s="180"/>
      <c r="D158" s="173"/>
      <c r="E158" s="173"/>
      <c r="F158" s="173"/>
      <c r="G158" s="173"/>
      <c r="H158" s="173"/>
    </row>
    <row r="159" ht="22.5" customHeight="1">
      <c r="A159" s="167">
        <v>166.0</v>
      </c>
      <c r="B159" s="168" t="b">
        <v>0</v>
      </c>
      <c r="C159" s="180"/>
      <c r="D159" s="173"/>
      <c r="E159" s="173"/>
      <c r="F159" s="173"/>
      <c r="G159" s="173"/>
      <c r="H159" s="173"/>
    </row>
    <row r="160" ht="22.5" customHeight="1">
      <c r="A160" s="167">
        <v>167.0</v>
      </c>
      <c r="B160" s="168" t="b">
        <v>0</v>
      </c>
      <c r="C160" s="180"/>
      <c r="D160" s="173"/>
      <c r="E160" s="173"/>
      <c r="F160" s="173"/>
      <c r="G160" s="173"/>
      <c r="H160" s="173"/>
    </row>
    <row r="161" ht="22.5" customHeight="1">
      <c r="A161" s="167">
        <v>168.0</v>
      </c>
      <c r="B161" s="168" t="b">
        <v>0</v>
      </c>
      <c r="C161" s="180"/>
      <c r="D161" s="173"/>
      <c r="E161" s="173"/>
      <c r="F161" s="173"/>
      <c r="G161" s="173"/>
      <c r="H161" s="173"/>
    </row>
    <row r="162" ht="22.5" customHeight="1">
      <c r="A162" s="167">
        <v>169.0</v>
      </c>
      <c r="B162" s="168" t="b">
        <v>0</v>
      </c>
      <c r="C162" s="180"/>
      <c r="D162" s="173"/>
      <c r="E162" s="173"/>
      <c r="F162" s="173"/>
      <c r="G162" s="173"/>
      <c r="H162" s="173"/>
    </row>
    <row r="163" ht="22.5" customHeight="1">
      <c r="A163" s="167">
        <v>170.0</v>
      </c>
      <c r="B163" s="168" t="b">
        <v>0</v>
      </c>
      <c r="C163" s="180"/>
      <c r="D163" s="173"/>
      <c r="E163" s="173"/>
      <c r="F163" s="173"/>
      <c r="G163" s="173"/>
      <c r="H163" s="173"/>
    </row>
    <row r="164" ht="22.5" customHeight="1">
      <c r="A164" s="167">
        <v>171.0</v>
      </c>
      <c r="B164" s="168" t="b">
        <v>0</v>
      </c>
      <c r="C164" s="180"/>
      <c r="D164" s="173"/>
      <c r="E164" s="173"/>
      <c r="F164" s="173"/>
      <c r="G164" s="173"/>
      <c r="H164" s="173"/>
    </row>
    <row r="165" ht="22.5" customHeight="1">
      <c r="A165" s="167">
        <v>172.0</v>
      </c>
      <c r="B165" s="168" t="b">
        <v>0</v>
      </c>
      <c r="C165" s="180"/>
      <c r="D165" s="173"/>
      <c r="E165" s="173"/>
      <c r="F165" s="173"/>
      <c r="G165" s="173"/>
      <c r="H165" s="173"/>
    </row>
    <row r="166" ht="22.5" customHeight="1">
      <c r="A166" s="167">
        <v>173.0</v>
      </c>
      <c r="B166" s="168" t="b">
        <v>0</v>
      </c>
      <c r="C166" s="180"/>
      <c r="D166" s="173"/>
      <c r="E166" s="173"/>
      <c r="F166" s="173"/>
      <c r="G166" s="173"/>
      <c r="H166" s="173"/>
    </row>
    <row r="167" ht="22.5" customHeight="1">
      <c r="A167" s="167">
        <v>174.0</v>
      </c>
      <c r="B167" s="168" t="b">
        <v>0</v>
      </c>
      <c r="C167" s="180"/>
      <c r="D167" s="173"/>
      <c r="E167" s="173"/>
      <c r="F167" s="173"/>
      <c r="G167" s="173"/>
      <c r="H167" s="173"/>
    </row>
    <row r="168" ht="22.5" customHeight="1">
      <c r="A168" s="167">
        <v>175.0</v>
      </c>
      <c r="B168" s="168" t="b">
        <v>0</v>
      </c>
      <c r="C168" s="180"/>
      <c r="D168" s="173"/>
      <c r="E168" s="173"/>
      <c r="F168" s="173"/>
      <c r="G168" s="173"/>
      <c r="H168" s="173"/>
    </row>
    <row r="169" ht="22.5" customHeight="1">
      <c r="A169" s="167">
        <v>176.0</v>
      </c>
      <c r="B169" s="168" t="b">
        <v>0</v>
      </c>
      <c r="C169" s="180"/>
      <c r="D169" s="173"/>
      <c r="E169" s="173"/>
      <c r="F169" s="173"/>
      <c r="G169" s="173"/>
      <c r="H169" s="173"/>
    </row>
    <row r="170" ht="22.5" customHeight="1">
      <c r="A170" s="167">
        <v>177.0</v>
      </c>
      <c r="B170" s="168" t="b">
        <v>0</v>
      </c>
      <c r="C170" s="180"/>
      <c r="D170" s="173"/>
      <c r="E170" s="173"/>
      <c r="F170" s="173"/>
      <c r="G170" s="173"/>
      <c r="H170" s="173"/>
    </row>
    <row r="171" ht="22.5" customHeight="1">
      <c r="A171" s="167">
        <v>178.0</v>
      </c>
      <c r="B171" s="168" t="b">
        <v>0</v>
      </c>
      <c r="C171" s="180"/>
      <c r="D171" s="173"/>
      <c r="E171" s="173"/>
      <c r="F171" s="173"/>
      <c r="G171" s="173"/>
      <c r="H171" s="173"/>
    </row>
    <row r="172" ht="22.5" customHeight="1">
      <c r="A172" s="167">
        <v>179.0</v>
      </c>
      <c r="B172" s="168" t="b">
        <v>0</v>
      </c>
      <c r="C172" s="180"/>
      <c r="D172" s="173"/>
      <c r="E172" s="173"/>
      <c r="F172" s="173"/>
      <c r="G172" s="173"/>
      <c r="H172" s="173"/>
    </row>
    <row r="173" ht="22.5" customHeight="1">
      <c r="A173" s="167">
        <v>180.0</v>
      </c>
      <c r="B173" s="168" t="b">
        <v>0</v>
      </c>
      <c r="C173" s="180"/>
      <c r="D173" s="173"/>
      <c r="E173" s="173"/>
      <c r="F173" s="173"/>
      <c r="G173" s="173"/>
      <c r="H173" s="173"/>
    </row>
    <row r="174" ht="22.5" customHeight="1">
      <c r="A174" s="167">
        <v>181.0</v>
      </c>
      <c r="B174" s="168" t="b">
        <v>0</v>
      </c>
      <c r="C174" s="180"/>
      <c r="D174" s="173"/>
      <c r="E174" s="173"/>
      <c r="F174" s="173"/>
      <c r="G174" s="173"/>
      <c r="H174" s="173"/>
    </row>
    <row r="175" ht="22.5" customHeight="1">
      <c r="A175" s="167">
        <v>182.0</v>
      </c>
      <c r="B175" s="168" t="b">
        <v>0</v>
      </c>
      <c r="C175" s="180"/>
      <c r="D175" s="173"/>
      <c r="E175" s="173"/>
      <c r="F175" s="173"/>
      <c r="G175" s="173"/>
      <c r="H175" s="173"/>
    </row>
    <row r="176" ht="22.5" customHeight="1">
      <c r="A176" s="167">
        <v>183.0</v>
      </c>
      <c r="B176" s="168" t="b">
        <v>0</v>
      </c>
      <c r="C176" s="180"/>
      <c r="D176" s="173"/>
      <c r="E176" s="173"/>
      <c r="F176" s="173"/>
      <c r="G176" s="173"/>
      <c r="H176" s="173"/>
    </row>
    <row r="177" ht="22.5" customHeight="1">
      <c r="A177" s="167">
        <v>184.0</v>
      </c>
      <c r="B177" s="168" t="b">
        <v>0</v>
      </c>
      <c r="C177" s="180"/>
      <c r="D177" s="173"/>
      <c r="E177" s="173"/>
      <c r="F177" s="173"/>
      <c r="G177" s="173"/>
      <c r="H177" s="173"/>
    </row>
    <row r="178" ht="22.5" customHeight="1">
      <c r="A178" s="167">
        <v>185.0</v>
      </c>
      <c r="B178" s="168" t="b">
        <v>0</v>
      </c>
      <c r="C178" s="180"/>
      <c r="D178" s="173"/>
      <c r="E178" s="173"/>
      <c r="F178" s="173"/>
      <c r="G178" s="173"/>
      <c r="H178" s="173"/>
    </row>
    <row r="179" ht="22.5" customHeight="1">
      <c r="A179" s="167">
        <v>186.0</v>
      </c>
      <c r="B179" s="168" t="b">
        <v>0</v>
      </c>
      <c r="C179" s="180"/>
      <c r="D179" s="173"/>
      <c r="E179" s="173"/>
      <c r="F179" s="173"/>
      <c r="G179" s="173"/>
      <c r="H179" s="173"/>
    </row>
    <row r="180" ht="22.5" customHeight="1">
      <c r="A180" s="167">
        <v>187.0</v>
      </c>
      <c r="B180" s="168" t="b">
        <v>0</v>
      </c>
      <c r="C180" s="180"/>
      <c r="D180" s="173"/>
      <c r="E180" s="173"/>
      <c r="F180" s="173"/>
      <c r="G180" s="173"/>
      <c r="H180" s="173"/>
    </row>
    <row r="181" ht="22.5" customHeight="1">
      <c r="A181" s="167">
        <v>188.0</v>
      </c>
      <c r="B181" s="168" t="b">
        <v>0</v>
      </c>
      <c r="C181" s="180"/>
      <c r="D181" s="173"/>
      <c r="E181" s="173"/>
      <c r="F181" s="173"/>
      <c r="G181" s="173"/>
      <c r="H181" s="173"/>
    </row>
    <row r="182" ht="22.5" customHeight="1">
      <c r="A182" s="167">
        <v>189.0</v>
      </c>
      <c r="B182" s="168" t="b">
        <v>0</v>
      </c>
      <c r="C182" s="180"/>
      <c r="D182" s="173"/>
      <c r="E182" s="173"/>
      <c r="F182" s="173"/>
      <c r="G182" s="173"/>
      <c r="H182" s="173"/>
    </row>
    <row r="183" ht="22.5" customHeight="1">
      <c r="A183" s="167">
        <v>190.0</v>
      </c>
      <c r="B183" s="168" t="b">
        <v>0</v>
      </c>
      <c r="C183" s="180"/>
      <c r="D183" s="173"/>
      <c r="E183" s="173"/>
      <c r="F183" s="173"/>
      <c r="G183" s="173"/>
      <c r="H183" s="173"/>
    </row>
    <row r="184" ht="22.5" customHeight="1">
      <c r="A184" s="167">
        <v>191.0</v>
      </c>
      <c r="B184" s="168" t="b">
        <v>0</v>
      </c>
      <c r="C184" s="180"/>
      <c r="D184" s="173"/>
      <c r="E184" s="173"/>
      <c r="F184" s="173"/>
      <c r="G184" s="173"/>
      <c r="H184" s="173"/>
    </row>
    <row r="185" ht="22.5" customHeight="1">
      <c r="A185" s="167">
        <v>192.0</v>
      </c>
      <c r="B185" s="168" t="b">
        <v>0</v>
      </c>
      <c r="C185" s="180"/>
      <c r="D185" s="173"/>
      <c r="E185" s="173"/>
      <c r="F185" s="173"/>
      <c r="G185" s="173"/>
      <c r="H185" s="173"/>
    </row>
    <row r="186" ht="22.5" customHeight="1">
      <c r="A186" s="167">
        <v>193.0</v>
      </c>
      <c r="B186" s="168" t="b">
        <v>0</v>
      </c>
      <c r="C186" s="180"/>
      <c r="D186" s="173"/>
      <c r="E186" s="173"/>
      <c r="F186" s="173"/>
      <c r="G186" s="173"/>
      <c r="H186" s="173"/>
    </row>
    <row r="187" ht="22.5" customHeight="1">
      <c r="A187" s="167">
        <v>194.0</v>
      </c>
      <c r="B187" s="168" t="b">
        <v>0</v>
      </c>
      <c r="C187" s="180"/>
      <c r="D187" s="173"/>
      <c r="E187" s="173"/>
      <c r="F187" s="173"/>
      <c r="G187" s="173"/>
      <c r="H187" s="173"/>
    </row>
    <row r="188" ht="22.5" customHeight="1">
      <c r="A188" s="167">
        <v>195.0</v>
      </c>
      <c r="B188" s="168" t="b">
        <v>0</v>
      </c>
      <c r="C188" s="180"/>
      <c r="D188" s="173"/>
      <c r="E188" s="173"/>
      <c r="F188" s="173"/>
      <c r="G188" s="173"/>
      <c r="H188" s="173"/>
    </row>
    <row r="189" ht="22.5" customHeight="1">
      <c r="A189" s="167">
        <v>196.0</v>
      </c>
      <c r="B189" s="168" t="b">
        <v>0</v>
      </c>
      <c r="C189" s="180"/>
      <c r="D189" s="173"/>
      <c r="E189" s="173"/>
      <c r="F189" s="173"/>
      <c r="G189" s="173"/>
      <c r="H189" s="173"/>
    </row>
    <row r="190" ht="22.5" customHeight="1">
      <c r="A190" s="167">
        <v>197.0</v>
      </c>
      <c r="B190" s="168" t="b">
        <v>0</v>
      </c>
      <c r="C190" s="180"/>
      <c r="D190" s="173"/>
      <c r="E190" s="173"/>
      <c r="F190" s="173"/>
      <c r="G190" s="173"/>
      <c r="H190" s="173"/>
    </row>
    <row r="191" ht="22.5" customHeight="1">
      <c r="A191" s="167">
        <v>198.0</v>
      </c>
      <c r="B191" s="168" t="b">
        <v>0</v>
      </c>
      <c r="C191" s="180"/>
      <c r="D191" s="173"/>
      <c r="E191" s="173"/>
      <c r="F191" s="173"/>
      <c r="G191" s="173"/>
      <c r="H191" s="173"/>
    </row>
    <row r="192" ht="22.5" customHeight="1">
      <c r="A192" s="167">
        <v>199.0</v>
      </c>
      <c r="B192" s="168" t="b">
        <v>0</v>
      </c>
      <c r="C192" s="180"/>
      <c r="D192" s="173"/>
      <c r="E192" s="173"/>
      <c r="F192" s="173"/>
      <c r="G192" s="173"/>
      <c r="H192" s="173"/>
    </row>
    <row r="193" ht="22.5" customHeight="1">
      <c r="A193" s="167">
        <v>200.0</v>
      </c>
      <c r="B193" s="168" t="b">
        <v>0</v>
      </c>
      <c r="C193" s="180"/>
      <c r="D193" s="173"/>
      <c r="E193" s="173"/>
      <c r="F193" s="173"/>
      <c r="G193" s="173"/>
      <c r="H193" s="173"/>
    </row>
    <row r="194" ht="22.5" customHeight="1">
      <c r="A194" s="167">
        <v>201.0</v>
      </c>
      <c r="B194" s="168" t="b">
        <v>0</v>
      </c>
      <c r="C194" s="180"/>
      <c r="D194" s="173"/>
      <c r="E194" s="173"/>
      <c r="F194" s="173"/>
      <c r="G194" s="173"/>
      <c r="H194" s="173"/>
    </row>
    <row r="195" ht="22.5" customHeight="1">
      <c r="A195" s="167">
        <v>202.0</v>
      </c>
      <c r="B195" s="168" t="b">
        <v>0</v>
      </c>
      <c r="C195" s="180"/>
      <c r="D195" s="173"/>
      <c r="E195" s="173"/>
      <c r="F195" s="173"/>
      <c r="G195" s="173"/>
      <c r="H195" s="173"/>
    </row>
    <row r="196" ht="22.5" customHeight="1">
      <c r="A196" s="167">
        <v>203.0</v>
      </c>
      <c r="B196" s="168" t="b">
        <v>0</v>
      </c>
      <c r="C196" s="180"/>
      <c r="D196" s="173"/>
      <c r="E196" s="173"/>
      <c r="F196" s="173"/>
      <c r="G196" s="173"/>
      <c r="H196" s="173"/>
    </row>
    <row r="197" ht="22.5" customHeight="1">
      <c r="A197" s="167">
        <v>204.0</v>
      </c>
      <c r="B197" s="168" t="b">
        <v>0</v>
      </c>
      <c r="C197" s="180"/>
      <c r="D197" s="173"/>
      <c r="E197" s="173"/>
      <c r="F197" s="173"/>
      <c r="G197" s="173"/>
      <c r="H197" s="173"/>
    </row>
    <row r="198" ht="22.5" customHeight="1">
      <c r="A198" s="167">
        <v>205.0</v>
      </c>
      <c r="B198" s="168" t="b">
        <v>0</v>
      </c>
      <c r="C198" s="180"/>
      <c r="D198" s="173"/>
      <c r="E198" s="173"/>
      <c r="F198" s="173"/>
      <c r="G198" s="173"/>
      <c r="H198" s="173"/>
    </row>
    <row r="199" ht="22.5" customHeight="1">
      <c r="A199" s="167">
        <v>206.0</v>
      </c>
      <c r="B199" s="168" t="b">
        <v>0</v>
      </c>
      <c r="C199" s="180"/>
      <c r="D199" s="173"/>
      <c r="E199" s="173"/>
      <c r="F199" s="173"/>
      <c r="G199" s="173"/>
      <c r="H199" s="173"/>
    </row>
    <row r="200" ht="22.5" customHeight="1">
      <c r="A200" s="167">
        <v>207.0</v>
      </c>
      <c r="B200" s="168" t="b">
        <v>0</v>
      </c>
      <c r="C200" s="180"/>
      <c r="D200" s="173"/>
      <c r="E200" s="173"/>
      <c r="F200" s="173"/>
      <c r="G200" s="173"/>
      <c r="H200" s="173"/>
    </row>
    <row r="201" ht="22.5" customHeight="1">
      <c r="A201" s="167">
        <v>208.0</v>
      </c>
      <c r="B201" s="168" t="b">
        <v>0</v>
      </c>
      <c r="C201" s="180"/>
      <c r="D201" s="173"/>
      <c r="E201" s="173"/>
      <c r="F201" s="173"/>
      <c r="G201" s="173"/>
      <c r="H201" s="173"/>
    </row>
    <row r="202" ht="22.5" customHeight="1">
      <c r="A202" s="167">
        <v>209.0</v>
      </c>
      <c r="B202" s="168" t="b">
        <v>0</v>
      </c>
      <c r="C202" s="180"/>
      <c r="D202" s="173"/>
      <c r="E202" s="173"/>
      <c r="F202" s="173"/>
      <c r="G202" s="173"/>
      <c r="H202" s="173"/>
    </row>
    <row r="203" ht="22.5" customHeight="1">
      <c r="A203" s="167">
        <v>210.0</v>
      </c>
      <c r="B203" s="168" t="b">
        <v>0</v>
      </c>
      <c r="C203" s="180"/>
      <c r="D203" s="173"/>
      <c r="E203" s="173"/>
      <c r="F203" s="173"/>
      <c r="G203" s="173"/>
      <c r="H203" s="173"/>
    </row>
    <row r="204" ht="22.5" customHeight="1">
      <c r="A204" s="167">
        <v>211.0</v>
      </c>
      <c r="B204" s="168" t="b">
        <v>0</v>
      </c>
      <c r="C204" s="180"/>
      <c r="D204" s="173"/>
      <c r="E204" s="173"/>
      <c r="F204" s="173"/>
      <c r="G204" s="173"/>
      <c r="H204" s="173"/>
    </row>
    <row r="205" ht="22.5" customHeight="1">
      <c r="A205" s="167">
        <v>212.0</v>
      </c>
      <c r="B205" s="168" t="b">
        <v>0</v>
      </c>
      <c r="C205" s="180"/>
      <c r="D205" s="173"/>
      <c r="E205" s="173"/>
      <c r="F205" s="173"/>
      <c r="G205" s="173"/>
      <c r="H205" s="173"/>
    </row>
    <row r="206" ht="22.5" customHeight="1">
      <c r="A206" s="167">
        <v>213.0</v>
      </c>
      <c r="B206" s="168" t="b">
        <v>0</v>
      </c>
      <c r="C206" s="180"/>
      <c r="D206" s="173"/>
      <c r="E206" s="173"/>
      <c r="F206" s="173"/>
      <c r="G206" s="173"/>
      <c r="H206" s="173"/>
    </row>
    <row r="207" ht="22.5" customHeight="1">
      <c r="A207" s="167">
        <v>214.0</v>
      </c>
      <c r="B207" s="168" t="b">
        <v>0</v>
      </c>
      <c r="C207" s="180"/>
      <c r="D207" s="173"/>
      <c r="E207" s="173"/>
      <c r="F207" s="173"/>
      <c r="G207" s="173"/>
      <c r="H207" s="173"/>
    </row>
    <row r="208" ht="22.5" customHeight="1">
      <c r="A208" s="167">
        <v>215.0</v>
      </c>
      <c r="B208" s="168" t="b">
        <v>0</v>
      </c>
      <c r="C208" s="180"/>
      <c r="D208" s="173"/>
      <c r="E208" s="173"/>
      <c r="F208" s="173"/>
      <c r="G208" s="173"/>
      <c r="H208" s="173"/>
    </row>
    <row r="209" ht="22.5" customHeight="1">
      <c r="A209" s="167">
        <v>216.0</v>
      </c>
      <c r="B209" s="168" t="b">
        <v>0</v>
      </c>
      <c r="C209" s="180"/>
      <c r="D209" s="173"/>
      <c r="E209" s="173"/>
      <c r="F209" s="173"/>
      <c r="G209" s="173"/>
      <c r="H209" s="173"/>
    </row>
    <row r="210" ht="22.5" customHeight="1">
      <c r="A210" s="167">
        <v>217.0</v>
      </c>
      <c r="B210" s="168" t="b">
        <v>0</v>
      </c>
      <c r="C210" s="180"/>
      <c r="D210" s="173"/>
      <c r="E210" s="173"/>
      <c r="F210" s="173"/>
      <c r="G210" s="173"/>
      <c r="H210" s="173"/>
    </row>
    <row r="211" ht="22.5" customHeight="1">
      <c r="A211" s="167">
        <v>218.0</v>
      </c>
      <c r="B211" s="168" t="b">
        <v>0</v>
      </c>
      <c r="C211" s="180"/>
      <c r="D211" s="173"/>
      <c r="E211" s="173"/>
      <c r="F211" s="173"/>
      <c r="G211" s="173"/>
      <c r="H211" s="173"/>
    </row>
    <row r="212" ht="22.5" customHeight="1">
      <c r="A212" s="167">
        <v>219.0</v>
      </c>
      <c r="B212" s="168" t="b">
        <v>0</v>
      </c>
      <c r="C212" s="180"/>
      <c r="D212" s="173"/>
      <c r="E212" s="173"/>
      <c r="F212" s="173"/>
      <c r="G212" s="173"/>
      <c r="H212" s="173"/>
    </row>
    <row r="213" ht="22.5" customHeight="1">
      <c r="A213" s="167">
        <v>220.0</v>
      </c>
      <c r="B213" s="168" t="b">
        <v>0</v>
      </c>
      <c r="C213" s="180"/>
      <c r="D213" s="173"/>
      <c r="E213" s="173"/>
      <c r="F213" s="173"/>
      <c r="G213" s="173"/>
      <c r="H213" s="173"/>
    </row>
    <row r="214" ht="22.5" customHeight="1">
      <c r="A214" s="167">
        <v>221.0</v>
      </c>
      <c r="B214" s="168" t="b">
        <v>0</v>
      </c>
      <c r="C214" s="180"/>
      <c r="D214" s="173"/>
      <c r="E214" s="173"/>
      <c r="F214" s="173"/>
      <c r="G214" s="173"/>
      <c r="H214" s="173"/>
    </row>
    <row r="215" ht="22.5" customHeight="1">
      <c r="A215" s="167">
        <v>222.0</v>
      </c>
      <c r="B215" s="168" t="b">
        <v>0</v>
      </c>
      <c r="C215" s="180"/>
      <c r="D215" s="173"/>
      <c r="E215" s="173"/>
      <c r="F215" s="173"/>
      <c r="G215" s="173"/>
      <c r="H215" s="173"/>
    </row>
    <row r="216" ht="22.5" customHeight="1">
      <c r="A216" s="167">
        <v>223.0</v>
      </c>
      <c r="B216" s="168" t="b">
        <v>0</v>
      </c>
      <c r="C216" s="180"/>
      <c r="D216" s="173"/>
      <c r="E216" s="173"/>
      <c r="F216" s="173"/>
      <c r="G216" s="173"/>
      <c r="H216" s="173"/>
    </row>
    <row r="217" ht="22.5" customHeight="1">
      <c r="A217" s="167">
        <v>224.0</v>
      </c>
      <c r="B217" s="168" t="b">
        <v>0</v>
      </c>
      <c r="C217" s="180"/>
      <c r="D217" s="173"/>
      <c r="E217" s="173"/>
      <c r="F217" s="173"/>
      <c r="G217" s="173"/>
      <c r="H217" s="173"/>
    </row>
    <row r="218" ht="22.5" customHeight="1">
      <c r="A218" s="167">
        <v>225.0</v>
      </c>
      <c r="B218" s="168" t="b">
        <v>0</v>
      </c>
      <c r="C218" s="180"/>
      <c r="D218" s="173"/>
      <c r="E218" s="173"/>
      <c r="F218" s="173"/>
      <c r="G218" s="173"/>
      <c r="H218" s="173"/>
    </row>
    <row r="219" ht="22.5" customHeight="1">
      <c r="A219" s="167">
        <v>226.0</v>
      </c>
      <c r="B219" s="168" t="b">
        <v>0</v>
      </c>
      <c r="C219" s="180"/>
      <c r="D219" s="173"/>
      <c r="E219" s="173"/>
      <c r="F219" s="173"/>
      <c r="G219" s="173"/>
      <c r="H219" s="173"/>
    </row>
    <row r="220" ht="22.5" customHeight="1">
      <c r="A220" s="167">
        <v>227.0</v>
      </c>
      <c r="B220" s="168" t="b">
        <v>0</v>
      </c>
      <c r="C220" s="180"/>
      <c r="D220" s="173"/>
      <c r="E220" s="173"/>
      <c r="F220" s="173"/>
      <c r="G220" s="173"/>
      <c r="H220" s="173"/>
    </row>
    <row r="221" ht="22.5" customHeight="1">
      <c r="A221" s="167">
        <v>228.0</v>
      </c>
      <c r="B221" s="168" t="b">
        <v>0</v>
      </c>
      <c r="C221" s="180"/>
      <c r="D221" s="173"/>
      <c r="E221" s="173"/>
      <c r="F221" s="173"/>
      <c r="G221" s="173"/>
      <c r="H221" s="173"/>
    </row>
    <row r="222" ht="22.5" customHeight="1">
      <c r="A222" s="167">
        <v>229.0</v>
      </c>
      <c r="B222" s="168" t="b">
        <v>0</v>
      </c>
      <c r="C222" s="180"/>
      <c r="D222" s="173"/>
      <c r="E222" s="173"/>
      <c r="F222" s="173"/>
      <c r="G222" s="173"/>
      <c r="H222" s="173"/>
    </row>
    <row r="223" ht="22.5" customHeight="1">
      <c r="A223" s="167">
        <v>230.0</v>
      </c>
      <c r="B223" s="168" t="b">
        <v>0</v>
      </c>
      <c r="C223" s="180"/>
      <c r="D223" s="173"/>
      <c r="E223" s="173"/>
      <c r="F223" s="173"/>
      <c r="G223" s="173"/>
      <c r="H223" s="173"/>
    </row>
    <row r="224" ht="22.5" customHeight="1">
      <c r="A224" s="167">
        <v>231.0</v>
      </c>
      <c r="B224" s="168" t="b">
        <v>0</v>
      </c>
      <c r="C224" s="180"/>
      <c r="D224" s="173"/>
      <c r="E224" s="173"/>
      <c r="F224" s="173"/>
      <c r="G224" s="173"/>
      <c r="H224" s="173"/>
    </row>
    <row r="225" ht="22.5" customHeight="1">
      <c r="A225" s="167">
        <v>232.0</v>
      </c>
      <c r="B225" s="168" t="b">
        <v>0</v>
      </c>
      <c r="C225" s="180"/>
      <c r="D225" s="173"/>
      <c r="E225" s="173"/>
      <c r="F225" s="173"/>
      <c r="G225" s="173"/>
      <c r="H225" s="173"/>
    </row>
    <row r="226" ht="22.5" customHeight="1">
      <c r="A226" s="167">
        <v>233.0</v>
      </c>
      <c r="B226" s="168" t="b">
        <v>0</v>
      </c>
      <c r="C226" s="180"/>
      <c r="D226" s="173"/>
      <c r="E226" s="173"/>
      <c r="F226" s="173"/>
      <c r="G226" s="173"/>
      <c r="H226" s="173"/>
    </row>
    <row r="227" ht="22.5" customHeight="1">
      <c r="A227" s="167">
        <v>234.0</v>
      </c>
      <c r="B227" s="168" t="b">
        <v>0</v>
      </c>
      <c r="C227" s="180"/>
      <c r="D227" s="173"/>
      <c r="E227" s="173"/>
      <c r="F227" s="173"/>
      <c r="G227" s="173"/>
      <c r="H227" s="173"/>
    </row>
    <row r="228" ht="22.5" customHeight="1">
      <c r="A228" s="167">
        <v>235.0</v>
      </c>
      <c r="B228" s="168" t="b">
        <v>0</v>
      </c>
      <c r="C228" s="180"/>
      <c r="D228" s="173"/>
      <c r="E228" s="173"/>
      <c r="F228" s="173"/>
      <c r="G228" s="173"/>
      <c r="H228" s="173"/>
    </row>
    <row r="229" ht="22.5" customHeight="1">
      <c r="A229" s="167">
        <v>236.0</v>
      </c>
      <c r="B229" s="168" t="b">
        <v>0</v>
      </c>
      <c r="C229" s="180"/>
      <c r="D229" s="173"/>
      <c r="E229" s="173"/>
      <c r="F229" s="173"/>
      <c r="G229" s="173"/>
      <c r="H229" s="173"/>
    </row>
    <row r="230" ht="22.5" customHeight="1">
      <c r="A230" s="167">
        <v>237.0</v>
      </c>
      <c r="B230" s="168" t="b">
        <v>0</v>
      </c>
      <c r="C230" s="180"/>
      <c r="D230" s="173"/>
      <c r="E230" s="173"/>
      <c r="F230" s="173"/>
      <c r="G230" s="173"/>
      <c r="H230" s="173"/>
    </row>
    <row r="231" ht="22.5" customHeight="1">
      <c r="A231" s="167">
        <v>238.0</v>
      </c>
      <c r="B231" s="168" t="b">
        <v>0</v>
      </c>
      <c r="C231" s="180"/>
      <c r="D231" s="173"/>
      <c r="E231" s="173"/>
      <c r="F231" s="173"/>
      <c r="G231" s="173"/>
      <c r="H231" s="173"/>
    </row>
    <row r="232" ht="22.5" customHeight="1">
      <c r="A232" s="167">
        <v>239.0</v>
      </c>
      <c r="B232" s="168" t="b">
        <v>0</v>
      </c>
      <c r="C232" s="180"/>
      <c r="D232" s="173"/>
      <c r="E232" s="173"/>
      <c r="F232" s="173"/>
      <c r="G232" s="173"/>
      <c r="H232" s="173"/>
    </row>
    <row r="233" ht="22.5" customHeight="1">
      <c r="A233" s="167">
        <v>240.0</v>
      </c>
      <c r="B233" s="168" t="b">
        <v>0</v>
      </c>
      <c r="C233" s="180"/>
      <c r="D233" s="173"/>
      <c r="E233" s="173"/>
      <c r="F233" s="173"/>
      <c r="G233" s="173"/>
      <c r="H233" s="173"/>
    </row>
    <row r="234" ht="22.5" customHeight="1">
      <c r="A234" s="167">
        <v>241.0</v>
      </c>
      <c r="B234" s="168" t="b">
        <v>0</v>
      </c>
      <c r="C234" s="180"/>
      <c r="D234" s="173"/>
      <c r="E234" s="173"/>
      <c r="F234" s="173"/>
      <c r="G234" s="173"/>
      <c r="H234" s="173"/>
    </row>
    <row r="235" ht="22.5" customHeight="1">
      <c r="A235" s="167">
        <v>242.0</v>
      </c>
      <c r="B235" s="168" t="b">
        <v>0</v>
      </c>
      <c r="C235" s="180"/>
      <c r="D235" s="173"/>
      <c r="E235" s="173"/>
      <c r="F235" s="173"/>
      <c r="G235" s="173"/>
      <c r="H235" s="173"/>
    </row>
    <row r="236" ht="22.5" customHeight="1">
      <c r="A236" s="167">
        <v>243.0</v>
      </c>
      <c r="B236" s="168" t="b">
        <v>0</v>
      </c>
      <c r="C236" s="180"/>
      <c r="D236" s="173"/>
      <c r="E236" s="173"/>
      <c r="F236" s="173"/>
      <c r="G236" s="173"/>
      <c r="H236" s="173"/>
    </row>
    <row r="237" ht="22.5" customHeight="1">
      <c r="A237" s="167">
        <v>244.0</v>
      </c>
      <c r="B237" s="168" t="b">
        <v>0</v>
      </c>
      <c r="C237" s="180"/>
      <c r="D237" s="173"/>
      <c r="E237" s="173"/>
      <c r="F237" s="173"/>
      <c r="G237" s="173"/>
      <c r="H237" s="173"/>
    </row>
    <row r="238" ht="22.5" customHeight="1">
      <c r="A238" s="167">
        <v>245.0</v>
      </c>
      <c r="B238" s="168" t="b">
        <v>0</v>
      </c>
      <c r="C238" s="180"/>
      <c r="D238" s="173"/>
      <c r="E238" s="173"/>
      <c r="F238" s="173"/>
      <c r="G238" s="173"/>
      <c r="H238" s="173"/>
    </row>
    <row r="239" ht="22.5" customHeight="1">
      <c r="A239" s="167">
        <v>246.0</v>
      </c>
      <c r="B239" s="168" t="b">
        <v>0</v>
      </c>
      <c r="C239" s="180"/>
      <c r="D239" s="173"/>
      <c r="E239" s="173"/>
      <c r="F239" s="173"/>
      <c r="G239" s="173"/>
      <c r="H239" s="173"/>
    </row>
    <row r="240" ht="22.5" customHeight="1">
      <c r="A240" s="167">
        <v>247.0</v>
      </c>
      <c r="B240" s="168" t="b">
        <v>0</v>
      </c>
      <c r="C240" s="180"/>
      <c r="D240" s="173"/>
      <c r="E240" s="173"/>
      <c r="F240" s="173"/>
      <c r="G240" s="173"/>
      <c r="H240" s="173"/>
    </row>
    <row r="241" ht="22.5" customHeight="1">
      <c r="A241" s="167">
        <v>248.0</v>
      </c>
      <c r="B241" s="168" t="b">
        <v>0</v>
      </c>
      <c r="C241" s="180"/>
      <c r="D241" s="173"/>
      <c r="E241" s="173"/>
      <c r="F241" s="173"/>
      <c r="G241" s="173"/>
      <c r="H241" s="173"/>
    </row>
    <row r="242" ht="22.5" customHeight="1">
      <c r="A242" s="167">
        <v>249.0</v>
      </c>
      <c r="B242" s="168" t="b">
        <v>0</v>
      </c>
      <c r="C242" s="180"/>
      <c r="D242" s="173"/>
      <c r="E242" s="173"/>
      <c r="F242" s="173"/>
      <c r="G242" s="173"/>
      <c r="H242" s="173"/>
    </row>
    <row r="243" ht="22.5" customHeight="1">
      <c r="A243" s="167">
        <v>250.0</v>
      </c>
      <c r="B243" s="168" t="b">
        <v>0</v>
      </c>
      <c r="C243" s="180"/>
      <c r="D243" s="173"/>
      <c r="E243" s="173"/>
      <c r="F243" s="173"/>
      <c r="G243" s="173"/>
      <c r="H243" s="173"/>
    </row>
    <row r="244" ht="22.5" customHeight="1">
      <c r="A244" s="167">
        <v>251.0</v>
      </c>
      <c r="B244" s="168" t="b">
        <v>0</v>
      </c>
      <c r="C244" s="180"/>
      <c r="D244" s="173"/>
      <c r="E244" s="173"/>
      <c r="F244" s="173"/>
      <c r="G244" s="173"/>
      <c r="H244" s="173"/>
    </row>
    <row r="245" ht="22.5" customHeight="1">
      <c r="A245" s="167">
        <v>252.0</v>
      </c>
      <c r="B245" s="168" t="b">
        <v>0</v>
      </c>
      <c r="C245" s="180"/>
      <c r="D245" s="173"/>
      <c r="E245" s="173"/>
      <c r="F245" s="173"/>
      <c r="G245" s="173"/>
      <c r="H245" s="173"/>
    </row>
    <row r="246" ht="22.5" customHeight="1">
      <c r="A246" s="167">
        <v>253.0</v>
      </c>
      <c r="B246" s="168" t="b">
        <v>0</v>
      </c>
      <c r="C246" s="180"/>
      <c r="D246" s="173"/>
      <c r="E246" s="173"/>
      <c r="F246" s="173"/>
      <c r="G246" s="173"/>
      <c r="H246" s="173"/>
    </row>
    <row r="247" ht="22.5" customHeight="1">
      <c r="A247" s="167">
        <v>254.0</v>
      </c>
      <c r="B247" s="168" t="b">
        <v>0</v>
      </c>
      <c r="C247" s="180"/>
      <c r="D247" s="173"/>
      <c r="E247" s="173"/>
      <c r="F247" s="173"/>
      <c r="G247" s="173"/>
      <c r="H247" s="173"/>
    </row>
    <row r="248" ht="22.5" customHeight="1">
      <c r="A248" s="167">
        <v>255.0</v>
      </c>
      <c r="B248" s="168" t="b">
        <v>0</v>
      </c>
      <c r="C248" s="180"/>
      <c r="D248" s="173"/>
      <c r="E248" s="173"/>
      <c r="F248" s="173"/>
      <c r="G248" s="173"/>
      <c r="H248" s="173"/>
    </row>
    <row r="249" ht="22.5" customHeight="1">
      <c r="A249" s="167">
        <v>256.0</v>
      </c>
      <c r="B249" s="168" t="b">
        <v>0</v>
      </c>
      <c r="C249" s="180"/>
      <c r="D249" s="173"/>
      <c r="E249" s="173"/>
      <c r="F249" s="173"/>
      <c r="G249" s="173"/>
      <c r="H249" s="173"/>
    </row>
    <row r="250" ht="22.5" customHeight="1">
      <c r="A250" s="167">
        <v>257.0</v>
      </c>
      <c r="B250" s="168" t="b">
        <v>0</v>
      </c>
      <c r="C250" s="180"/>
      <c r="D250" s="173"/>
      <c r="E250" s="173"/>
      <c r="F250" s="173"/>
      <c r="G250" s="173"/>
      <c r="H250" s="173"/>
    </row>
    <row r="251" ht="22.5" customHeight="1">
      <c r="A251" s="167">
        <v>258.0</v>
      </c>
      <c r="B251" s="168" t="b">
        <v>0</v>
      </c>
      <c r="C251" s="180"/>
      <c r="D251" s="173"/>
      <c r="E251" s="173"/>
      <c r="F251" s="173"/>
      <c r="G251" s="173"/>
      <c r="H251" s="173"/>
    </row>
    <row r="252" ht="22.5" customHeight="1">
      <c r="A252" s="167">
        <v>259.0</v>
      </c>
      <c r="B252" s="168" t="b">
        <v>0</v>
      </c>
      <c r="C252" s="180"/>
      <c r="D252" s="173"/>
      <c r="E252" s="173"/>
      <c r="F252" s="173"/>
      <c r="G252" s="173"/>
      <c r="H252" s="173"/>
    </row>
    <row r="253" ht="22.5" customHeight="1">
      <c r="A253" s="167">
        <v>260.0</v>
      </c>
      <c r="B253" s="168" t="b">
        <v>0</v>
      </c>
      <c r="C253" s="180"/>
      <c r="D253" s="173"/>
      <c r="E253" s="173"/>
      <c r="F253" s="173"/>
      <c r="G253" s="173"/>
      <c r="H253" s="173"/>
    </row>
    <row r="254" ht="22.5" customHeight="1">
      <c r="A254" s="167">
        <v>261.0</v>
      </c>
      <c r="B254" s="168" t="b">
        <v>0</v>
      </c>
      <c r="C254" s="180"/>
      <c r="D254" s="173"/>
      <c r="E254" s="173"/>
      <c r="F254" s="173"/>
      <c r="G254" s="173"/>
      <c r="H254" s="173"/>
    </row>
    <row r="255" ht="22.5" customHeight="1">
      <c r="A255" s="167">
        <v>262.0</v>
      </c>
      <c r="B255" s="168" t="b">
        <v>0</v>
      </c>
      <c r="C255" s="180"/>
      <c r="D255" s="173"/>
      <c r="E255" s="173"/>
      <c r="F255" s="173"/>
      <c r="G255" s="173"/>
      <c r="H255" s="173"/>
    </row>
    <row r="256" ht="22.5" customHeight="1">
      <c r="A256" s="167">
        <v>263.0</v>
      </c>
      <c r="B256" s="168" t="b">
        <v>0</v>
      </c>
      <c r="C256" s="180"/>
      <c r="D256" s="173"/>
      <c r="E256" s="173"/>
      <c r="F256" s="173"/>
      <c r="G256" s="173"/>
      <c r="H256" s="173"/>
    </row>
    <row r="257" ht="22.5" customHeight="1">
      <c r="A257" s="167">
        <v>264.0</v>
      </c>
      <c r="B257" s="168" t="b">
        <v>0</v>
      </c>
      <c r="C257" s="180"/>
      <c r="D257" s="173"/>
      <c r="E257" s="173"/>
      <c r="F257" s="173"/>
      <c r="G257" s="173"/>
      <c r="H257" s="173"/>
    </row>
    <row r="258" ht="22.5" customHeight="1">
      <c r="A258" s="167">
        <v>265.0</v>
      </c>
      <c r="B258" s="168" t="b">
        <v>0</v>
      </c>
      <c r="C258" s="180"/>
      <c r="D258" s="173"/>
      <c r="E258" s="173"/>
      <c r="F258" s="173"/>
      <c r="G258" s="173"/>
      <c r="H258" s="173"/>
    </row>
    <row r="259" ht="22.5" customHeight="1">
      <c r="A259" s="167">
        <v>266.0</v>
      </c>
      <c r="B259" s="168" t="b">
        <v>0</v>
      </c>
      <c r="C259" s="180"/>
      <c r="D259" s="173"/>
      <c r="E259" s="173"/>
      <c r="F259" s="173"/>
      <c r="G259" s="173"/>
      <c r="H259" s="173"/>
    </row>
    <row r="260" ht="22.5" customHeight="1">
      <c r="A260" s="167">
        <v>267.0</v>
      </c>
      <c r="B260" s="168" t="b">
        <v>0</v>
      </c>
      <c r="C260" s="180"/>
      <c r="D260" s="173"/>
      <c r="E260" s="173"/>
      <c r="F260" s="173"/>
      <c r="G260" s="173"/>
      <c r="H260" s="173"/>
    </row>
    <row r="261" ht="22.5" customHeight="1">
      <c r="A261" s="167">
        <v>268.0</v>
      </c>
      <c r="B261" s="168" t="b">
        <v>0</v>
      </c>
      <c r="C261" s="180"/>
      <c r="D261" s="173"/>
      <c r="E261" s="173"/>
      <c r="F261" s="173"/>
      <c r="G261" s="173"/>
      <c r="H261" s="173"/>
    </row>
    <row r="262" ht="22.5" customHeight="1">
      <c r="A262" s="167">
        <v>269.0</v>
      </c>
      <c r="B262" s="168" t="b">
        <v>0</v>
      </c>
      <c r="C262" s="180"/>
      <c r="D262" s="173"/>
      <c r="E262" s="173"/>
      <c r="F262" s="173"/>
      <c r="G262" s="173"/>
      <c r="H262" s="173"/>
    </row>
    <row r="263" ht="22.5" customHeight="1">
      <c r="A263" s="167">
        <v>270.0</v>
      </c>
      <c r="B263" s="168" t="b">
        <v>0</v>
      </c>
      <c r="C263" s="180"/>
      <c r="D263" s="173"/>
      <c r="E263" s="173"/>
      <c r="F263" s="173"/>
      <c r="G263" s="173"/>
      <c r="H263" s="173"/>
    </row>
    <row r="264" ht="22.5" customHeight="1">
      <c r="A264" s="167">
        <v>271.0</v>
      </c>
      <c r="B264" s="168" t="b">
        <v>0</v>
      </c>
      <c r="C264" s="180"/>
      <c r="D264" s="173"/>
      <c r="E264" s="173"/>
      <c r="F264" s="173"/>
      <c r="G264" s="173"/>
      <c r="H264" s="173"/>
    </row>
    <row r="265" ht="22.5" customHeight="1">
      <c r="A265" s="167">
        <v>272.0</v>
      </c>
      <c r="B265" s="168" t="b">
        <v>0</v>
      </c>
      <c r="C265" s="180"/>
      <c r="D265" s="173"/>
      <c r="E265" s="173"/>
      <c r="F265" s="173"/>
      <c r="G265" s="173"/>
      <c r="H265" s="173"/>
    </row>
    <row r="266" ht="22.5" customHeight="1">
      <c r="A266" s="167">
        <v>273.0</v>
      </c>
      <c r="B266" s="168" t="b">
        <v>0</v>
      </c>
      <c r="C266" s="180"/>
      <c r="D266" s="173"/>
      <c r="E266" s="173"/>
      <c r="F266" s="173"/>
      <c r="G266" s="173"/>
      <c r="H266" s="173"/>
    </row>
    <row r="267" ht="22.5" customHeight="1">
      <c r="A267" s="167">
        <v>274.0</v>
      </c>
      <c r="B267" s="168" t="b">
        <v>0</v>
      </c>
      <c r="C267" s="180"/>
      <c r="D267" s="173"/>
      <c r="E267" s="173"/>
      <c r="F267" s="173"/>
      <c r="G267" s="173"/>
      <c r="H267" s="173"/>
    </row>
    <row r="268" ht="22.5" customHeight="1">
      <c r="A268" s="167">
        <v>275.0</v>
      </c>
      <c r="B268" s="168" t="b">
        <v>0</v>
      </c>
      <c r="C268" s="180"/>
      <c r="D268" s="173"/>
      <c r="E268" s="173"/>
      <c r="F268" s="173"/>
      <c r="G268" s="173"/>
      <c r="H268" s="173"/>
    </row>
    <row r="269" ht="22.5" customHeight="1">
      <c r="A269" s="167">
        <v>276.0</v>
      </c>
      <c r="B269" s="168" t="b">
        <v>0</v>
      </c>
      <c r="C269" s="180"/>
      <c r="D269" s="173"/>
      <c r="E269" s="173"/>
      <c r="F269" s="173"/>
      <c r="G269" s="173"/>
      <c r="H269" s="173"/>
    </row>
    <row r="270" ht="22.5" customHeight="1">
      <c r="A270" s="167">
        <v>277.0</v>
      </c>
      <c r="B270" s="168" t="b">
        <v>0</v>
      </c>
      <c r="C270" s="180"/>
      <c r="D270" s="173"/>
      <c r="E270" s="173"/>
      <c r="F270" s="173"/>
      <c r="G270" s="173"/>
      <c r="H270" s="173"/>
    </row>
    <row r="271" ht="22.5" customHeight="1">
      <c r="A271" s="167">
        <v>278.0</v>
      </c>
      <c r="B271" s="168" t="b">
        <v>0</v>
      </c>
      <c r="C271" s="180"/>
      <c r="D271" s="173"/>
      <c r="E271" s="173"/>
      <c r="F271" s="173"/>
      <c r="G271" s="173"/>
      <c r="H271" s="173"/>
    </row>
    <row r="272" ht="22.5" customHeight="1">
      <c r="A272" s="167">
        <v>279.0</v>
      </c>
      <c r="B272" s="168" t="b">
        <v>0</v>
      </c>
      <c r="C272" s="180"/>
      <c r="D272" s="173"/>
      <c r="E272" s="173"/>
      <c r="F272" s="173"/>
      <c r="G272" s="173"/>
      <c r="H272" s="173"/>
    </row>
    <row r="273" ht="22.5" customHeight="1">
      <c r="A273" s="167">
        <v>280.0</v>
      </c>
      <c r="B273" s="168" t="b">
        <v>0</v>
      </c>
      <c r="C273" s="180"/>
      <c r="D273" s="173"/>
      <c r="E273" s="173"/>
      <c r="F273" s="173"/>
      <c r="G273" s="173"/>
      <c r="H273" s="173"/>
    </row>
    <row r="274" ht="22.5" customHeight="1">
      <c r="A274" s="167">
        <v>281.0</v>
      </c>
      <c r="B274" s="168" t="b">
        <v>0</v>
      </c>
      <c r="C274" s="180"/>
      <c r="D274" s="173"/>
      <c r="E274" s="173"/>
      <c r="F274" s="173"/>
      <c r="G274" s="173"/>
      <c r="H274" s="173"/>
    </row>
    <row r="275" ht="22.5" customHeight="1">
      <c r="A275" s="167">
        <v>282.0</v>
      </c>
      <c r="B275" s="168" t="b">
        <v>0</v>
      </c>
      <c r="C275" s="180"/>
      <c r="D275" s="173"/>
      <c r="E275" s="173"/>
      <c r="F275" s="173"/>
      <c r="G275" s="173"/>
      <c r="H275" s="173"/>
    </row>
    <row r="276" ht="22.5" customHeight="1">
      <c r="A276" s="167">
        <v>283.0</v>
      </c>
      <c r="B276" s="168" t="b">
        <v>0</v>
      </c>
      <c r="C276" s="180"/>
      <c r="D276" s="173"/>
      <c r="E276" s="173"/>
      <c r="F276" s="173"/>
      <c r="G276" s="173"/>
      <c r="H276" s="173"/>
    </row>
    <row r="277" ht="22.5" customHeight="1">
      <c r="A277" s="167">
        <v>284.0</v>
      </c>
      <c r="B277" s="168" t="b">
        <v>0</v>
      </c>
      <c r="C277" s="180"/>
      <c r="D277" s="173"/>
      <c r="E277" s="173"/>
      <c r="F277" s="173"/>
      <c r="G277" s="173"/>
      <c r="H277" s="173"/>
    </row>
    <row r="278" ht="22.5" customHeight="1">
      <c r="A278" s="167">
        <v>285.0</v>
      </c>
      <c r="B278" s="168" t="b">
        <v>0</v>
      </c>
      <c r="C278" s="180"/>
      <c r="D278" s="173"/>
      <c r="E278" s="173"/>
      <c r="F278" s="173"/>
      <c r="G278" s="173"/>
      <c r="H278" s="173"/>
    </row>
    <row r="279" ht="22.5" customHeight="1">
      <c r="A279" s="167">
        <v>286.0</v>
      </c>
      <c r="B279" s="168" t="b">
        <v>0</v>
      </c>
      <c r="C279" s="180"/>
      <c r="D279" s="173"/>
      <c r="E279" s="173"/>
      <c r="F279" s="173"/>
      <c r="G279" s="173"/>
      <c r="H279" s="173"/>
    </row>
    <row r="280" ht="22.5" customHeight="1">
      <c r="A280" s="167">
        <v>287.0</v>
      </c>
      <c r="B280" s="168" t="b">
        <v>0</v>
      </c>
      <c r="C280" s="180"/>
      <c r="D280" s="173"/>
      <c r="E280" s="173"/>
      <c r="F280" s="173"/>
      <c r="G280" s="173"/>
      <c r="H280" s="173"/>
    </row>
    <row r="281" ht="22.5" customHeight="1">
      <c r="A281" s="167">
        <v>288.0</v>
      </c>
      <c r="B281" s="168" t="b">
        <v>0</v>
      </c>
      <c r="C281" s="180"/>
      <c r="D281" s="173"/>
      <c r="E281" s="173"/>
      <c r="F281" s="173"/>
      <c r="G281" s="173"/>
      <c r="H281" s="173"/>
    </row>
    <row r="282" ht="22.5" customHeight="1">
      <c r="A282" s="167">
        <v>289.0</v>
      </c>
      <c r="B282" s="168" t="b">
        <v>0</v>
      </c>
      <c r="C282" s="180"/>
      <c r="D282" s="173"/>
      <c r="E282" s="173"/>
      <c r="F282" s="173"/>
      <c r="G282" s="173"/>
      <c r="H282" s="173"/>
    </row>
    <row r="283" ht="22.5" customHeight="1">
      <c r="A283" s="167">
        <v>290.0</v>
      </c>
      <c r="B283" s="168" t="b">
        <v>0</v>
      </c>
      <c r="C283" s="180"/>
      <c r="D283" s="173"/>
      <c r="E283" s="173"/>
      <c r="F283" s="173"/>
      <c r="G283" s="173"/>
      <c r="H283" s="173"/>
    </row>
    <row r="284" ht="22.5" customHeight="1">
      <c r="A284" s="167">
        <v>291.0</v>
      </c>
      <c r="B284" s="168" t="b">
        <v>0</v>
      </c>
      <c r="C284" s="180"/>
      <c r="D284" s="173"/>
      <c r="E284" s="173"/>
      <c r="F284" s="173"/>
      <c r="G284" s="173"/>
      <c r="H284" s="173"/>
    </row>
    <row r="285" ht="22.5" customHeight="1">
      <c r="A285" s="167">
        <v>292.0</v>
      </c>
      <c r="B285" s="168" t="b">
        <v>0</v>
      </c>
      <c r="C285" s="180"/>
      <c r="D285" s="173"/>
      <c r="E285" s="173"/>
      <c r="F285" s="173"/>
      <c r="G285" s="173"/>
      <c r="H285" s="173"/>
    </row>
    <row r="286" ht="22.5" customHeight="1">
      <c r="A286" s="167">
        <v>293.0</v>
      </c>
      <c r="B286" s="168" t="b">
        <v>0</v>
      </c>
      <c r="C286" s="180"/>
      <c r="D286" s="173"/>
      <c r="E286" s="173"/>
      <c r="F286" s="173"/>
      <c r="G286" s="173"/>
      <c r="H286" s="173"/>
    </row>
    <row r="287" ht="22.5" customHeight="1">
      <c r="A287" s="167">
        <v>294.0</v>
      </c>
      <c r="B287" s="168" t="b">
        <v>0</v>
      </c>
      <c r="C287" s="180"/>
      <c r="D287" s="173"/>
      <c r="E287" s="173"/>
      <c r="F287" s="173"/>
      <c r="G287" s="173"/>
      <c r="H287" s="173"/>
    </row>
    <row r="288" ht="22.5" customHeight="1">
      <c r="A288" s="167">
        <v>295.0</v>
      </c>
      <c r="B288" s="168" t="b">
        <v>0</v>
      </c>
      <c r="C288" s="180"/>
      <c r="D288" s="173"/>
      <c r="E288" s="173"/>
      <c r="F288" s="173"/>
      <c r="G288" s="173"/>
      <c r="H288" s="173"/>
    </row>
    <row r="289" ht="22.5" customHeight="1">
      <c r="A289" s="167">
        <v>296.0</v>
      </c>
      <c r="B289" s="168" t="b">
        <v>0</v>
      </c>
      <c r="C289" s="180"/>
      <c r="D289" s="173"/>
      <c r="E289" s="173"/>
      <c r="F289" s="173"/>
      <c r="G289" s="173"/>
      <c r="H289" s="173"/>
    </row>
    <row r="290" ht="22.5" customHeight="1">
      <c r="A290" s="167">
        <v>297.0</v>
      </c>
      <c r="B290" s="168" t="b">
        <v>0</v>
      </c>
      <c r="C290" s="180"/>
      <c r="D290" s="173"/>
      <c r="E290" s="173"/>
      <c r="F290" s="173"/>
      <c r="G290" s="173"/>
      <c r="H290" s="173"/>
    </row>
    <row r="291" ht="22.5" customHeight="1">
      <c r="A291" s="167">
        <v>298.0</v>
      </c>
      <c r="B291" s="168" t="b">
        <v>0</v>
      </c>
      <c r="C291" s="180"/>
      <c r="D291" s="173"/>
      <c r="E291" s="173"/>
      <c r="F291" s="173"/>
      <c r="G291" s="173"/>
      <c r="H291" s="173"/>
    </row>
    <row r="292" ht="22.5" customHeight="1">
      <c r="A292" s="167">
        <v>299.0</v>
      </c>
      <c r="B292" s="168" t="b">
        <v>0</v>
      </c>
      <c r="C292" s="180"/>
      <c r="D292" s="173"/>
      <c r="E292" s="173"/>
      <c r="F292" s="173"/>
      <c r="G292" s="173"/>
      <c r="H292" s="173"/>
    </row>
    <row r="293" ht="22.5" customHeight="1">
      <c r="A293" s="167">
        <v>300.0</v>
      </c>
      <c r="B293" s="168" t="b">
        <v>0</v>
      </c>
      <c r="C293" s="180"/>
      <c r="D293" s="173"/>
      <c r="E293" s="173"/>
      <c r="F293" s="173"/>
      <c r="G293" s="173"/>
      <c r="H293" s="173"/>
    </row>
    <row r="294" ht="22.5" customHeight="1">
      <c r="A294" s="167">
        <v>301.0</v>
      </c>
      <c r="B294" s="168" t="b">
        <v>0</v>
      </c>
      <c r="C294" s="180"/>
      <c r="D294" s="173"/>
      <c r="E294" s="173"/>
      <c r="F294" s="173"/>
      <c r="G294" s="173"/>
      <c r="H294" s="173"/>
    </row>
    <row r="295" ht="22.5" customHeight="1">
      <c r="A295" s="167">
        <v>302.0</v>
      </c>
      <c r="B295" s="168" t="b">
        <v>0</v>
      </c>
      <c r="C295" s="180"/>
      <c r="D295" s="173"/>
      <c r="E295" s="173"/>
      <c r="F295" s="173"/>
      <c r="G295" s="173"/>
      <c r="H295" s="173"/>
    </row>
    <row r="296" ht="22.5" customHeight="1">
      <c r="A296" s="167">
        <v>303.0</v>
      </c>
      <c r="B296" s="168" t="b">
        <v>0</v>
      </c>
      <c r="C296" s="180"/>
      <c r="D296" s="173"/>
      <c r="E296" s="173"/>
      <c r="F296" s="173"/>
      <c r="G296" s="173"/>
      <c r="H296" s="173"/>
    </row>
    <row r="297" ht="22.5" customHeight="1">
      <c r="A297" s="167">
        <v>304.0</v>
      </c>
      <c r="B297" s="168" t="b">
        <v>0</v>
      </c>
      <c r="C297" s="180"/>
      <c r="D297" s="173"/>
      <c r="E297" s="173"/>
      <c r="F297" s="173"/>
      <c r="G297" s="173"/>
      <c r="H297" s="173"/>
    </row>
    <row r="298" ht="22.5" customHeight="1">
      <c r="A298" s="167">
        <v>305.0</v>
      </c>
      <c r="B298" s="168" t="b">
        <v>0</v>
      </c>
      <c r="C298" s="180"/>
      <c r="D298" s="173"/>
      <c r="E298" s="173"/>
      <c r="F298" s="173"/>
      <c r="G298" s="173"/>
      <c r="H298" s="173"/>
    </row>
    <row r="299" ht="22.5" customHeight="1">
      <c r="A299" s="167">
        <v>306.0</v>
      </c>
      <c r="B299" s="168" t="b">
        <v>0</v>
      </c>
      <c r="C299" s="180"/>
      <c r="D299" s="173"/>
      <c r="E299" s="173"/>
      <c r="F299" s="173"/>
      <c r="G299" s="173"/>
      <c r="H299" s="173"/>
    </row>
    <row r="300" ht="22.5" customHeight="1">
      <c r="A300" s="167">
        <v>307.0</v>
      </c>
      <c r="B300" s="168" t="b">
        <v>0</v>
      </c>
      <c r="C300" s="180"/>
      <c r="D300" s="173"/>
      <c r="E300" s="173"/>
      <c r="F300" s="173"/>
      <c r="G300" s="173"/>
      <c r="H300" s="173"/>
    </row>
    <row r="301" ht="22.5" customHeight="1">
      <c r="A301" s="167">
        <v>308.0</v>
      </c>
      <c r="B301" s="168" t="b">
        <v>0</v>
      </c>
      <c r="C301" s="180"/>
      <c r="D301" s="173"/>
      <c r="E301" s="173"/>
      <c r="F301" s="173"/>
      <c r="G301" s="173"/>
      <c r="H301" s="173"/>
    </row>
    <row r="302" ht="22.5" customHeight="1">
      <c r="A302" s="167">
        <v>309.0</v>
      </c>
      <c r="B302" s="168" t="b">
        <v>0</v>
      </c>
      <c r="C302" s="180"/>
      <c r="D302" s="173"/>
      <c r="E302" s="173"/>
      <c r="F302" s="173"/>
      <c r="G302" s="173"/>
      <c r="H302" s="173"/>
    </row>
    <row r="303" ht="22.5" customHeight="1">
      <c r="A303" s="167">
        <v>310.0</v>
      </c>
      <c r="B303" s="168"/>
      <c r="C303" s="180"/>
      <c r="D303" s="173"/>
      <c r="E303" s="173"/>
      <c r="F303" s="173"/>
      <c r="G303" s="173"/>
      <c r="H303" s="173"/>
    </row>
    <row r="304" ht="22.5" customHeight="1">
      <c r="A304" s="167">
        <v>311.0</v>
      </c>
      <c r="B304" s="168"/>
      <c r="C304" s="180"/>
      <c r="D304" s="173"/>
      <c r="E304" s="173"/>
      <c r="F304" s="173"/>
      <c r="G304" s="173"/>
      <c r="H304" s="173"/>
    </row>
    <row r="305" ht="22.5" customHeight="1">
      <c r="A305" s="167">
        <v>312.0</v>
      </c>
      <c r="B305" s="168"/>
      <c r="C305" s="180"/>
      <c r="D305" s="173"/>
      <c r="E305" s="173"/>
      <c r="F305" s="173"/>
      <c r="G305" s="173"/>
      <c r="H305" s="173"/>
    </row>
    <row r="306" ht="22.5" customHeight="1">
      <c r="A306" s="167">
        <v>313.0</v>
      </c>
      <c r="B306" s="168"/>
      <c r="C306" s="180"/>
      <c r="D306" s="173"/>
      <c r="E306" s="173"/>
      <c r="F306" s="173"/>
      <c r="G306" s="173"/>
      <c r="H306" s="173"/>
    </row>
    <row r="307" ht="22.5" customHeight="1">
      <c r="A307" s="167">
        <v>314.0</v>
      </c>
      <c r="B307" s="168"/>
      <c r="C307" s="180"/>
      <c r="D307" s="173"/>
      <c r="E307" s="173"/>
      <c r="F307" s="173"/>
      <c r="G307" s="173"/>
      <c r="H307" s="173"/>
    </row>
    <row r="308" ht="22.5" customHeight="1">
      <c r="A308" s="167">
        <v>315.0</v>
      </c>
      <c r="B308" s="168"/>
      <c r="C308" s="180"/>
      <c r="D308" s="173"/>
      <c r="E308" s="173"/>
      <c r="F308" s="173"/>
      <c r="G308" s="173"/>
      <c r="H308" s="173"/>
    </row>
    <row r="309" ht="22.5" customHeight="1">
      <c r="A309" s="167">
        <v>316.0</v>
      </c>
      <c r="B309" s="168"/>
      <c r="C309" s="180"/>
      <c r="D309" s="173"/>
      <c r="E309" s="173"/>
      <c r="F309" s="173"/>
      <c r="G309" s="173"/>
      <c r="H309" s="173"/>
    </row>
    <row r="310" ht="22.5" customHeight="1">
      <c r="A310" s="167">
        <v>317.0</v>
      </c>
      <c r="B310" s="168"/>
      <c r="C310" s="180"/>
      <c r="D310" s="173"/>
      <c r="E310" s="173"/>
      <c r="F310" s="173"/>
      <c r="G310" s="173"/>
      <c r="H310" s="173"/>
    </row>
    <row r="311" ht="22.5" customHeight="1">
      <c r="A311" s="167">
        <v>318.0</v>
      </c>
      <c r="B311" s="168"/>
      <c r="C311" s="180"/>
      <c r="D311" s="173"/>
      <c r="E311" s="173"/>
      <c r="F311" s="173"/>
      <c r="G311" s="173"/>
      <c r="H311" s="173"/>
    </row>
    <row r="312" ht="22.5" customHeight="1">
      <c r="A312" s="167">
        <v>319.0</v>
      </c>
      <c r="B312" s="168"/>
      <c r="C312" s="180"/>
      <c r="D312" s="173"/>
      <c r="E312" s="173"/>
      <c r="F312" s="173"/>
      <c r="G312" s="173"/>
      <c r="H312" s="173"/>
    </row>
    <row r="313" ht="22.5" customHeight="1">
      <c r="A313" s="167">
        <v>320.0</v>
      </c>
      <c r="B313" s="168"/>
      <c r="C313" s="180"/>
      <c r="D313" s="173"/>
      <c r="E313" s="173"/>
      <c r="F313" s="173"/>
      <c r="G313" s="173"/>
      <c r="H313" s="173"/>
    </row>
    <row r="314" ht="22.5" customHeight="1">
      <c r="A314" s="167">
        <v>321.0</v>
      </c>
      <c r="B314" s="168"/>
      <c r="C314" s="180"/>
      <c r="D314" s="173"/>
      <c r="E314" s="173"/>
      <c r="F314" s="173"/>
      <c r="G314" s="173"/>
      <c r="H314" s="173"/>
    </row>
    <row r="315" ht="22.5" customHeight="1">
      <c r="A315" s="167">
        <v>322.0</v>
      </c>
      <c r="B315" s="168"/>
      <c r="C315" s="180"/>
      <c r="D315" s="173"/>
      <c r="E315" s="173"/>
      <c r="F315" s="173"/>
      <c r="G315" s="173"/>
      <c r="H315" s="173"/>
    </row>
    <row r="316" ht="22.5" customHeight="1">
      <c r="A316" s="167">
        <v>323.0</v>
      </c>
      <c r="B316" s="168"/>
      <c r="C316" s="180"/>
      <c r="D316" s="173"/>
      <c r="E316" s="173"/>
      <c r="F316" s="173"/>
      <c r="G316" s="173"/>
      <c r="H316" s="173"/>
    </row>
    <row r="317" ht="22.5" customHeight="1">
      <c r="A317" s="167">
        <v>324.0</v>
      </c>
      <c r="B317" s="168"/>
      <c r="C317" s="180"/>
      <c r="D317" s="173"/>
      <c r="E317" s="173"/>
      <c r="F317" s="173"/>
      <c r="G317" s="173"/>
      <c r="H317" s="173"/>
    </row>
    <row r="318" ht="22.5" customHeight="1">
      <c r="A318" s="167">
        <v>325.0</v>
      </c>
      <c r="B318" s="168"/>
      <c r="C318" s="180"/>
      <c r="D318" s="173"/>
      <c r="E318" s="173"/>
      <c r="F318" s="173"/>
      <c r="G318" s="173"/>
      <c r="H318" s="173"/>
    </row>
    <row r="319" ht="22.5" customHeight="1">
      <c r="A319" s="167">
        <v>326.0</v>
      </c>
      <c r="B319" s="168"/>
      <c r="C319" s="180"/>
      <c r="D319" s="173"/>
      <c r="E319" s="173"/>
      <c r="F319" s="173"/>
      <c r="G319" s="173"/>
      <c r="H319" s="173"/>
    </row>
    <row r="320" ht="22.5" customHeight="1">
      <c r="A320" s="167">
        <v>327.0</v>
      </c>
      <c r="B320" s="168"/>
      <c r="C320" s="180"/>
      <c r="D320" s="173"/>
      <c r="E320" s="173"/>
      <c r="F320" s="173"/>
      <c r="G320" s="173"/>
      <c r="H320" s="173"/>
    </row>
    <row r="321" ht="22.5" customHeight="1">
      <c r="A321" s="167">
        <v>328.0</v>
      </c>
      <c r="B321" s="168"/>
      <c r="C321" s="180"/>
      <c r="D321" s="173"/>
      <c r="E321" s="173"/>
      <c r="F321" s="173"/>
      <c r="G321" s="173"/>
      <c r="H321" s="173"/>
    </row>
    <row r="322" ht="22.5" customHeight="1">
      <c r="A322" s="167">
        <v>329.0</v>
      </c>
      <c r="B322" s="168"/>
      <c r="C322" s="180"/>
      <c r="D322" s="173"/>
      <c r="E322" s="173"/>
      <c r="F322" s="173"/>
      <c r="G322" s="173"/>
      <c r="H322" s="173"/>
    </row>
    <row r="323" ht="22.5" customHeight="1">
      <c r="A323" s="167">
        <v>330.0</v>
      </c>
      <c r="B323" s="168"/>
      <c r="C323" s="180"/>
      <c r="D323" s="173"/>
      <c r="E323" s="173"/>
      <c r="F323" s="173"/>
      <c r="G323" s="173"/>
      <c r="H323" s="173"/>
    </row>
    <row r="324" ht="22.5" customHeight="1">
      <c r="A324" s="167">
        <v>331.0</v>
      </c>
      <c r="B324" s="168"/>
      <c r="C324" s="180"/>
      <c r="D324" s="173"/>
      <c r="E324" s="173"/>
      <c r="F324" s="173"/>
      <c r="G324" s="173"/>
      <c r="H324" s="173"/>
    </row>
    <row r="325" ht="22.5" customHeight="1">
      <c r="A325" s="167">
        <v>332.0</v>
      </c>
      <c r="B325" s="168"/>
      <c r="C325" s="180"/>
      <c r="D325" s="173"/>
      <c r="E325" s="173"/>
      <c r="F325" s="173"/>
      <c r="G325" s="173"/>
      <c r="H325" s="173"/>
    </row>
    <row r="326" ht="22.5" customHeight="1">
      <c r="A326" s="167">
        <v>333.0</v>
      </c>
      <c r="B326" s="168"/>
      <c r="C326" s="180"/>
      <c r="D326" s="173"/>
      <c r="E326" s="173"/>
      <c r="F326" s="173"/>
      <c r="G326" s="173"/>
      <c r="H326" s="173"/>
    </row>
    <row r="327" ht="22.5" customHeight="1">
      <c r="A327" s="167">
        <v>334.0</v>
      </c>
      <c r="B327" s="168"/>
      <c r="C327" s="180"/>
      <c r="D327" s="173"/>
      <c r="E327" s="173"/>
      <c r="F327" s="173"/>
      <c r="G327" s="173"/>
      <c r="H327" s="173"/>
    </row>
    <row r="328" ht="22.5" customHeight="1">
      <c r="A328" s="167">
        <v>335.0</v>
      </c>
      <c r="B328" s="168"/>
      <c r="C328" s="180"/>
      <c r="D328" s="173"/>
      <c r="E328" s="173"/>
      <c r="F328" s="173"/>
      <c r="G328" s="173"/>
      <c r="H328" s="173"/>
    </row>
    <row r="329" ht="22.5" customHeight="1">
      <c r="A329" s="167">
        <v>336.0</v>
      </c>
      <c r="B329" s="168"/>
      <c r="C329" s="180"/>
      <c r="D329" s="173"/>
      <c r="E329" s="173"/>
      <c r="F329" s="173"/>
      <c r="G329" s="173"/>
      <c r="H329" s="173"/>
    </row>
    <row r="330" ht="22.5" customHeight="1">
      <c r="A330" s="167">
        <v>337.0</v>
      </c>
      <c r="B330" s="168"/>
      <c r="C330" s="180"/>
      <c r="D330" s="173"/>
      <c r="E330" s="173"/>
      <c r="F330" s="173"/>
      <c r="G330" s="173"/>
      <c r="H330" s="173"/>
    </row>
    <row r="331" ht="22.5" customHeight="1">
      <c r="A331" s="167">
        <v>338.0</v>
      </c>
      <c r="B331" s="168"/>
      <c r="C331" s="180"/>
      <c r="D331" s="173"/>
      <c r="E331" s="173"/>
      <c r="F331" s="173"/>
      <c r="G331" s="173"/>
      <c r="H331" s="173"/>
    </row>
    <row r="332" ht="22.5" customHeight="1">
      <c r="A332" s="167">
        <v>339.0</v>
      </c>
      <c r="B332" s="168"/>
      <c r="C332" s="180"/>
      <c r="D332" s="173"/>
      <c r="E332" s="173"/>
      <c r="F332" s="173"/>
      <c r="G332" s="173"/>
      <c r="H332" s="173"/>
    </row>
    <row r="333" ht="22.5" customHeight="1">
      <c r="A333" s="167">
        <v>340.0</v>
      </c>
      <c r="B333" s="168"/>
      <c r="C333" s="180"/>
      <c r="D333" s="173"/>
      <c r="E333" s="173"/>
      <c r="F333" s="173"/>
      <c r="G333" s="173"/>
      <c r="H333" s="173"/>
    </row>
    <row r="334" ht="22.5" customHeight="1">
      <c r="A334" s="167">
        <v>341.0</v>
      </c>
      <c r="B334" s="168"/>
      <c r="C334" s="180"/>
      <c r="D334" s="173"/>
      <c r="E334" s="173"/>
      <c r="F334" s="173"/>
      <c r="G334" s="173"/>
      <c r="H334" s="173"/>
    </row>
    <row r="335" ht="22.5" customHeight="1">
      <c r="A335" s="167">
        <v>342.0</v>
      </c>
      <c r="B335" s="168"/>
      <c r="C335" s="180"/>
      <c r="D335" s="173"/>
      <c r="E335" s="173"/>
      <c r="F335" s="173"/>
      <c r="G335" s="173"/>
      <c r="H335" s="173"/>
    </row>
    <row r="336" ht="22.5" customHeight="1">
      <c r="A336" s="167">
        <v>343.0</v>
      </c>
      <c r="B336" s="168"/>
      <c r="C336" s="180"/>
      <c r="D336" s="173"/>
      <c r="E336" s="173"/>
      <c r="F336" s="173"/>
      <c r="G336" s="173"/>
      <c r="H336" s="173"/>
    </row>
    <row r="337" ht="22.5" customHeight="1">
      <c r="A337" s="167">
        <v>344.0</v>
      </c>
      <c r="B337" s="168"/>
      <c r="C337" s="180"/>
      <c r="D337" s="173"/>
      <c r="E337" s="173"/>
      <c r="F337" s="173"/>
      <c r="G337" s="173"/>
      <c r="H337" s="173"/>
    </row>
    <row r="338" ht="22.5" customHeight="1">
      <c r="A338" s="167">
        <v>345.0</v>
      </c>
      <c r="B338" s="168"/>
      <c r="C338" s="180"/>
      <c r="D338" s="173"/>
      <c r="E338" s="173"/>
      <c r="F338" s="173"/>
      <c r="G338" s="173"/>
      <c r="H338" s="173"/>
    </row>
    <row r="339" ht="22.5" customHeight="1">
      <c r="A339" s="167">
        <v>346.0</v>
      </c>
      <c r="B339" s="168"/>
      <c r="C339" s="180"/>
      <c r="D339" s="173"/>
      <c r="E339" s="173"/>
      <c r="F339" s="173"/>
      <c r="G339" s="173"/>
      <c r="H339" s="173"/>
    </row>
    <row r="340" ht="22.5" customHeight="1">
      <c r="A340" s="167">
        <v>347.0</v>
      </c>
      <c r="B340" s="168"/>
      <c r="C340" s="180"/>
      <c r="D340" s="173"/>
      <c r="E340" s="173"/>
      <c r="F340" s="173"/>
      <c r="G340" s="173"/>
      <c r="H340" s="173"/>
    </row>
    <row r="341" ht="22.5" customHeight="1">
      <c r="A341" s="167">
        <v>348.0</v>
      </c>
      <c r="B341" s="168"/>
      <c r="C341" s="180"/>
      <c r="D341" s="173"/>
      <c r="E341" s="173"/>
      <c r="F341" s="173"/>
      <c r="G341" s="173"/>
      <c r="H341" s="173"/>
    </row>
    <row r="342" ht="22.5" customHeight="1">
      <c r="A342" s="167">
        <v>349.0</v>
      </c>
      <c r="B342" s="168"/>
      <c r="C342" s="180"/>
      <c r="D342" s="173"/>
      <c r="E342" s="173"/>
      <c r="F342" s="173"/>
      <c r="G342" s="173"/>
      <c r="H342" s="173"/>
    </row>
    <row r="343" ht="22.5" customHeight="1">
      <c r="A343" s="167">
        <v>350.0</v>
      </c>
      <c r="B343" s="168"/>
      <c r="C343" s="180"/>
      <c r="D343" s="173"/>
      <c r="E343" s="173"/>
      <c r="F343" s="173"/>
      <c r="G343" s="173"/>
      <c r="H343" s="173"/>
    </row>
    <row r="344" ht="22.5" customHeight="1">
      <c r="A344" s="167">
        <v>351.0</v>
      </c>
      <c r="B344" s="168"/>
      <c r="C344" s="180"/>
      <c r="D344" s="173"/>
      <c r="E344" s="173"/>
      <c r="F344" s="173"/>
      <c r="G344" s="173"/>
      <c r="H344" s="173"/>
    </row>
    <row r="345" ht="22.5" customHeight="1">
      <c r="A345" s="167">
        <v>352.0</v>
      </c>
      <c r="B345" s="168"/>
      <c r="C345" s="180"/>
      <c r="D345" s="173"/>
      <c r="E345" s="173"/>
      <c r="F345" s="173"/>
      <c r="G345" s="173"/>
      <c r="H345" s="173"/>
    </row>
    <row r="346" ht="22.5" customHeight="1">
      <c r="A346" s="167">
        <v>353.0</v>
      </c>
      <c r="B346" s="168"/>
      <c r="C346" s="180"/>
      <c r="D346" s="173"/>
      <c r="E346" s="173"/>
      <c r="F346" s="173"/>
      <c r="G346" s="173"/>
      <c r="H346" s="173"/>
    </row>
    <row r="347" ht="22.5" customHeight="1">
      <c r="A347" s="167">
        <v>354.0</v>
      </c>
      <c r="B347" s="168"/>
      <c r="C347" s="180"/>
      <c r="D347" s="173"/>
      <c r="E347" s="173"/>
      <c r="F347" s="173"/>
      <c r="G347" s="173"/>
      <c r="H347" s="173"/>
    </row>
    <row r="348" ht="22.5" customHeight="1">
      <c r="A348" s="167">
        <v>355.0</v>
      </c>
      <c r="B348" s="168"/>
      <c r="C348" s="180"/>
      <c r="D348" s="173"/>
      <c r="E348" s="173"/>
      <c r="F348" s="173"/>
      <c r="G348" s="173"/>
      <c r="H348" s="173"/>
    </row>
    <row r="349" ht="22.5" customHeight="1">
      <c r="A349" s="167">
        <v>356.0</v>
      </c>
      <c r="B349" s="168"/>
      <c r="C349" s="180"/>
      <c r="D349" s="173"/>
      <c r="E349" s="173"/>
      <c r="F349" s="173"/>
      <c r="G349" s="173"/>
      <c r="H349" s="173"/>
    </row>
    <row r="350" ht="22.5" customHeight="1">
      <c r="A350" s="167">
        <v>357.0</v>
      </c>
      <c r="B350" s="168"/>
      <c r="C350" s="180"/>
      <c r="D350" s="173"/>
      <c r="E350" s="173"/>
      <c r="F350" s="173"/>
      <c r="G350" s="173"/>
      <c r="H350" s="173"/>
    </row>
    <row r="351" ht="22.5" customHeight="1">
      <c r="A351" s="167">
        <v>358.0</v>
      </c>
      <c r="B351" s="168"/>
      <c r="C351" s="180"/>
      <c r="D351" s="173"/>
      <c r="E351" s="173"/>
      <c r="F351" s="173"/>
      <c r="G351" s="173"/>
      <c r="H351" s="173"/>
    </row>
    <row r="352" ht="22.5" customHeight="1">
      <c r="A352" s="167">
        <v>359.0</v>
      </c>
      <c r="B352" s="168"/>
      <c r="C352" s="180"/>
      <c r="D352" s="173"/>
      <c r="E352" s="173"/>
      <c r="F352" s="173"/>
      <c r="G352" s="173"/>
      <c r="H352" s="173"/>
    </row>
    <row r="353" ht="22.5" customHeight="1">
      <c r="A353" s="167">
        <v>360.0</v>
      </c>
      <c r="B353" s="168"/>
      <c r="C353" s="180"/>
      <c r="D353" s="173"/>
      <c r="E353" s="173"/>
      <c r="F353" s="173"/>
      <c r="G353" s="173"/>
      <c r="H353" s="173"/>
    </row>
    <row r="354" ht="22.5" customHeight="1">
      <c r="A354" s="167">
        <v>361.0</v>
      </c>
      <c r="B354" s="168"/>
      <c r="C354" s="180"/>
      <c r="D354" s="173"/>
      <c r="E354" s="173"/>
      <c r="F354" s="173"/>
      <c r="G354" s="173"/>
      <c r="H354" s="173"/>
    </row>
    <row r="355" ht="22.5" customHeight="1">
      <c r="A355" s="167">
        <v>362.0</v>
      </c>
      <c r="B355" s="168"/>
      <c r="C355" s="180"/>
      <c r="D355" s="173"/>
      <c r="E355" s="173"/>
      <c r="F355" s="173"/>
      <c r="G355" s="173"/>
      <c r="H355" s="173"/>
    </row>
    <row r="356" ht="22.5" customHeight="1">
      <c r="A356" s="167">
        <v>363.0</v>
      </c>
      <c r="B356" s="168"/>
      <c r="C356" s="180"/>
      <c r="D356" s="173"/>
      <c r="E356" s="173"/>
      <c r="F356" s="173"/>
      <c r="G356" s="173"/>
      <c r="H356" s="173"/>
    </row>
    <row r="357" ht="22.5" customHeight="1">
      <c r="A357" s="167">
        <v>364.0</v>
      </c>
      <c r="B357" s="168"/>
      <c r="C357" s="180"/>
      <c r="D357" s="173"/>
      <c r="E357" s="173"/>
      <c r="F357" s="173"/>
      <c r="G357" s="173"/>
      <c r="H357" s="173"/>
    </row>
    <row r="358" ht="22.5" customHeight="1">
      <c r="A358" s="167">
        <v>365.0</v>
      </c>
      <c r="B358" s="168"/>
      <c r="C358" s="180"/>
      <c r="D358" s="173"/>
      <c r="E358" s="173"/>
      <c r="F358" s="173"/>
      <c r="G358" s="173"/>
      <c r="H358" s="173"/>
    </row>
    <row r="359" ht="22.5" customHeight="1">
      <c r="A359" s="167">
        <v>366.0</v>
      </c>
      <c r="B359" s="168"/>
      <c r="C359" s="180"/>
      <c r="D359" s="173"/>
      <c r="E359" s="173"/>
      <c r="F359" s="173"/>
      <c r="G359" s="173"/>
      <c r="H359" s="173"/>
    </row>
    <row r="360" ht="22.5" customHeight="1">
      <c r="A360" s="167">
        <v>367.0</v>
      </c>
      <c r="B360" s="168"/>
      <c r="C360" s="180"/>
      <c r="D360" s="173"/>
      <c r="E360" s="173"/>
      <c r="F360" s="173"/>
      <c r="G360" s="173"/>
      <c r="H360" s="173"/>
    </row>
    <row r="361" ht="22.5" customHeight="1">
      <c r="A361" s="167">
        <v>368.0</v>
      </c>
      <c r="B361" s="168"/>
      <c r="C361" s="180"/>
      <c r="D361" s="173"/>
      <c r="E361" s="173"/>
      <c r="F361" s="173"/>
      <c r="G361" s="173"/>
      <c r="H361" s="173"/>
    </row>
    <row r="362" ht="22.5" customHeight="1">
      <c r="A362" s="167">
        <v>369.0</v>
      </c>
      <c r="B362" s="168"/>
      <c r="C362" s="180"/>
      <c r="D362" s="173"/>
      <c r="E362" s="173"/>
      <c r="F362" s="173"/>
      <c r="G362" s="173"/>
      <c r="H362" s="173"/>
    </row>
    <row r="363" ht="22.5" customHeight="1">
      <c r="A363" s="167">
        <v>370.0</v>
      </c>
      <c r="B363" s="168"/>
      <c r="C363" s="180"/>
      <c r="D363" s="173"/>
      <c r="E363" s="173"/>
      <c r="F363" s="173"/>
      <c r="G363" s="173"/>
      <c r="H363" s="173"/>
    </row>
    <row r="364" ht="22.5" customHeight="1">
      <c r="A364" s="167">
        <v>371.0</v>
      </c>
      <c r="B364" s="168"/>
      <c r="C364" s="180"/>
      <c r="D364" s="173"/>
      <c r="E364" s="173"/>
      <c r="F364" s="173"/>
      <c r="G364" s="173"/>
      <c r="H364" s="173"/>
    </row>
    <row r="365" ht="22.5" customHeight="1">
      <c r="A365" s="167">
        <v>372.0</v>
      </c>
      <c r="B365" s="168"/>
      <c r="C365" s="180"/>
      <c r="D365" s="173"/>
      <c r="E365" s="173"/>
      <c r="F365" s="173"/>
      <c r="G365" s="173"/>
      <c r="H365" s="173"/>
    </row>
    <row r="366" ht="22.5" customHeight="1">
      <c r="A366" s="167">
        <v>373.0</v>
      </c>
      <c r="B366" s="168"/>
      <c r="C366" s="180"/>
      <c r="D366" s="173"/>
      <c r="E366" s="173"/>
      <c r="F366" s="173"/>
      <c r="G366" s="173"/>
      <c r="H366" s="173"/>
    </row>
    <row r="367" ht="22.5" customHeight="1">
      <c r="A367" s="167">
        <v>374.0</v>
      </c>
      <c r="B367" s="168"/>
      <c r="C367" s="180"/>
      <c r="D367" s="173"/>
      <c r="E367" s="173"/>
      <c r="F367" s="173"/>
      <c r="G367" s="173"/>
      <c r="H367" s="173"/>
    </row>
    <row r="368" ht="22.5" customHeight="1">
      <c r="A368" s="167">
        <v>375.0</v>
      </c>
      <c r="B368" s="168"/>
      <c r="C368" s="180"/>
      <c r="D368" s="173"/>
      <c r="E368" s="173"/>
      <c r="F368" s="173"/>
      <c r="G368" s="173"/>
      <c r="H368" s="173"/>
    </row>
    <row r="369" ht="22.5" customHeight="1">
      <c r="A369" s="167">
        <v>376.0</v>
      </c>
      <c r="B369" s="168"/>
      <c r="C369" s="180"/>
      <c r="D369" s="173"/>
      <c r="E369" s="173"/>
      <c r="F369" s="173"/>
      <c r="G369" s="173"/>
      <c r="H369" s="173"/>
    </row>
    <row r="370" ht="22.5" customHeight="1">
      <c r="A370" s="167">
        <v>377.0</v>
      </c>
      <c r="B370" s="168"/>
      <c r="C370" s="180"/>
      <c r="D370" s="173"/>
      <c r="E370" s="173"/>
      <c r="F370" s="173"/>
      <c r="G370" s="173"/>
      <c r="H370" s="173"/>
    </row>
    <row r="371" ht="22.5" customHeight="1">
      <c r="A371" s="167">
        <v>378.0</v>
      </c>
      <c r="B371" s="168"/>
      <c r="C371" s="180"/>
      <c r="D371" s="173"/>
      <c r="E371" s="173"/>
      <c r="F371" s="173"/>
      <c r="G371" s="173"/>
      <c r="H371" s="173"/>
    </row>
    <row r="372" ht="22.5" customHeight="1">
      <c r="A372" s="167">
        <v>379.0</v>
      </c>
      <c r="B372" s="168"/>
      <c r="C372" s="180"/>
      <c r="D372" s="173"/>
      <c r="E372" s="173"/>
      <c r="F372" s="173"/>
      <c r="G372" s="173"/>
      <c r="H372" s="173"/>
    </row>
    <row r="373" ht="22.5" customHeight="1">
      <c r="A373" s="167">
        <v>380.0</v>
      </c>
      <c r="B373" s="168"/>
      <c r="C373" s="180"/>
      <c r="D373" s="173"/>
      <c r="E373" s="173"/>
      <c r="F373" s="173"/>
      <c r="G373" s="173"/>
      <c r="H373" s="173"/>
    </row>
    <row r="374" ht="22.5" customHeight="1">
      <c r="A374" s="167">
        <v>381.0</v>
      </c>
      <c r="B374" s="168"/>
      <c r="C374" s="180"/>
      <c r="D374" s="173"/>
      <c r="E374" s="173"/>
      <c r="F374" s="173"/>
      <c r="G374" s="173"/>
      <c r="H374" s="173"/>
    </row>
    <row r="375" ht="22.5" customHeight="1">
      <c r="A375" s="167">
        <v>382.0</v>
      </c>
      <c r="B375" s="168"/>
      <c r="C375" s="180"/>
      <c r="D375" s="173"/>
      <c r="E375" s="173"/>
      <c r="F375" s="173"/>
      <c r="G375" s="173"/>
      <c r="H375" s="173"/>
    </row>
    <row r="376" ht="22.5" customHeight="1">
      <c r="A376" s="167">
        <v>383.0</v>
      </c>
      <c r="B376" s="168"/>
      <c r="C376" s="180"/>
      <c r="D376" s="173"/>
      <c r="E376" s="173"/>
      <c r="F376" s="173"/>
      <c r="G376" s="173"/>
      <c r="H376" s="173"/>
    </row>
    <row r="377" ht="22.5" customHeight="1">
      <c r="A377" s="167">
        <v>384.0</v>
      </c>
      <c r="B377" s="168"/>
      <c r="C377" s="180"/>
      <c r="D377" s="173"/>
      <c r="E377" s="173"/>
      <c r="F377" s="173"/>
      <c r="G377" s="173"/>
      <c r="H377" s="173"/>
    </row>
    <row r="378" ht="22.5" customHeight="1">
      <c r="A378" s="167">
        <v>385.0</v>
      </c>
      <c r="B378" s="168"/>
      <c r="C378" s="180"/>
      <c r="D378" s="173"/>
      <c r="E378" s="173"/>
      <c r="F378" s="173"/>
      <c r="G378" s="173"/>
      <c r="H378" s="173"/>
    </row>
    <row r="379" ht="22.5" customHeight="1">
      <c r="A379" s="167">
        <v>386.0</v>
      </c>
      <c r="B379" s="168"/>
      <c r="C379" s="180"/>
      <c r="D379" s="173"/>
      <c r="E379" s="173"/>
      <c r="F379" s="173"/>
      <c r="G379" s="173"/>
      <c r="H379" s="173"/>
    </row>
    <row r="380" ht="22.5" customHeight="1">
      <c r="A380" s="167">
        <v>387.0</v>
      </c>
      <c r="B380" s="168"/>
      <c r="C380" s="180"/>
      <c r="D380" s="173"/>
      <c r="E380" s="173"/>
      <c r="F380" s="173"/>
      <c r="G380" s="173"/>
      <c r="H380" s="173"/>
    </row>
    <row r="381" ht="22.5" customHeight="1">
      <c r="A381" s="167">
        <v>388.0</v>
      </c>
      <c r="B381" s="168"/>
      <c r="C381" s="180"/>
      <c r="D381" s="173"/>
      <c r="E381" s="173"/>
      <c r="F381" s="173"/>
      <c r="G381" s="173"/>
      <c r="H381" s="173"/>
    </row>
    <row r="382" ht="22.5" customHeight="1">
      <c r="A382" s="167">
        <v>389.0</v>
      </c>
      <c r="B382" s="168"/>
      <c r="C382" s="180"/>
      <c r="D382" s="173"/>
      <c r="E382" s="173"/>
      <c r="F382" s="173"/>
      <c r="G382" s="173"/>
      <c r="H382" s="173"/>
    </row>
    <row r="383" ht="22.5" customHeight="1">
      <c r="A383" s="167">
        <v>390.0</v>
      </c>
      <c r="B383" s="168"/>
      <c r="C383" s="180"/>
      <c r="D383" s="173"/>
      <c r="E383" s="173"/>
      <c r="F383" s="173"/>
      <c r="G383" s="173"/>
      <c r="H383" s="173"/>
    </row>
    <row r="384" ht="22.5" customHeight="1">
      <c r="A384" s="167">
        <v>391.0</v>
      </c>
      <c r="B384" s="168"/>
      <c r="C384" s="180"/>
      <c r="D384" s="173"/>
      <c r="E384" s="173"/>
      <c r="F384" s="173"/>
      <c r="G384" s="173"/>
      <c r="H384" s="173"/>
    </row>
    <row r="385" ht="22.5" customHeight="1">
      <c r="A385" s="167">
        <v>392.0</v>
      </c>
      <c r="B385" s="168"/>
      <c r="C385" s="180"/>
      <c r="D385" s="173"/>
      <c r="E385" s="173"/>
      <c r="F385" s="173"/>
      <c r="G385" s="173"/>
      <c r="H385" s="173"/>
    </row>
    <row r="386" ht="22.5" customHeight="1">
      <c r="A386" s="167">
        <v>393.0</v>
      </c>
      <c r="B386" s="168"/>
      <c r="C386" s="180"/>
      <c r="D386" s="173"/>
      <c r="E386" s="173"/>
      <c r="F386" s="173"/>
      <c r="G386" s="173"/>
      <c r="H386" s="173"/>
    </row>
    <row r="387" ht="22.5" customHeight="1">
      <c r="A387" s="167">
        <v>394.0</v>
      </c>
      <c r="B387" s="168"/>
      <c r="C387" s="180"/>
      <c r="D387" s="173"/>
      <c r="E387" s="173"/>
      <c r="F387" s="173"/>
      <c r="G387" s="173"/>
      <c r="H387" s="173"/>
    </row>
    <row r="388" ht="22.5" customHeight="1">
      <c r="A388" s="167">
        <v>395.0</v>
      </c>
      <c r="B388" s="168"/>
      <c r="C388" s="180"/>
      <c r="D388" s="173"/>
      <c r="E388" s="173"/>
      <c r="F388" s="173"/>
      <c r="G388" s="173"/>
      <c r="H388" s="173"/>
    </row>
    <row r="389" ht="22.5" customHeight="1">
      <c r="A389" s="167">
        <v>396.0</v>
      </c>
      <c r="B389" s="168"/>
      <c r="C389" s="180"/>
      <c r="D389" s="173"/>
      <c r="E389" s="173"/>
      <c r="F389" s="173"/>
      <c r="G389" s="173"/>
      <c r="H389" s="173"/>
    </row>
    <row r="390" ht="22.5" customHeight="1">
      <c r="A390" s="167">
        <v>397.0</v>
      </c>
      <c r="B390" s="168"/>
      <c r="C390" s="180"/>
      <c r="D390" s="173"/>
      <c r="E390" s="173"/>
      <c r="F390" s="173"/>
      <c r="G390" s="173"/>
      <c r="H390" s="173"/>
    </row>
    <row r="391" ht="22.5" customHeight="1">
      <c r="A391" s="167">
        <v>398.0</v>
      </c>
      <c r="B391" s="168"/>
      <c r="C391" s="180"/>
      <c r="D391" s="173"/>
      <c r="E391" s="173"/>
      <c r="F391" s="173"/>
      <c r="G391" s="173"/>
      <c r="H391" s="173"/>
    </row>
    <row r="392" ht="22.5" customHeight="1">
      <c r="A392" s="167">
        <v>399.0</v>
      </c>
      <c r="B392" s="168"/>
      <c r="C392" s="180"/>
      <c r="D392" s="173"/>
      <c r="E392" s="173"/>
      <c r="F392" s="173"/>
      <c r="G392" s="173"/>
      <c r="H392" s="173"/>
    </row>
    <row r="393" ht="22.5" customHeight="1">
      <c r="A393" s="167">
        <v>400.0</v>
      </c>
      <c r="B393" s="168"/>
      <c r="C393" s="180"/>
      <c r="D393" s="173"/>
      <c r="E393" s="173"/>
      <c r="F393" s="173"/>
      <c r="G393" s="173"/>
      <c r="H393" s="173"/>
    </row>
    <row r="394" ht="22.5" customHeight="1">
      <c r="A394" s="167">
        <v>401.0</v>
      </c>
      <c r="B394" s="168"/>
      <c r="C394" s="180"/>
      <c r="D394" s="173"/>
      <c r="E394" s="173"/>
      <c r="F394" s="173"/>
      <c r="G394" s="173"/>
      <c r="H394" s="173"/>
    </row>
    <row r="395" ht="22.5" customHeight="1">
      <c r="A395" s="167">
        <v>402.0</v>
      </c>
      <c r="B395" s="168"/>
      <c r="C395" s="180"/>
      <c r="D395" s="173"/>
      <c r="E395" s="173"/>
      <c r="F395" s="173"/>
      <c r="G395" s="173"/>
      <c r="H395" s="173"/>
    </row>
    <row r="396" ht="22.5" customHeight="1">
      <c r="A396" s="167">
        <v>403.0</v>
      </c>
      <c r="B396" s="168"/>
      <c r="C396" s="180"/>
      <c r="D396" s="173"/>
      <c r="E396" s="173"/>
      <c r="F396" s="173"/>
      <c r="G396" s="173"/>
      <c r="H396" s="173"/>
    </row>
    <row r="397" ht="22.5" customHeight="1">
      <c r="A397" s="167">
        <v>404.0</v>
      </c>
      <c r="B397" s="168"/>
      <c r="C397" s="180"/>
      <c r="D397" s="173"/>
      <c r="E397" s="173"/>
      <c r="F397" s="173"/>
      <c r="G397" s="173"/>
      <c r="H397" s="173"/>
    </row>
    <row r="398" ht="22.5" customHeight="1">
      <c r="A398" s="167">
        <v>405.0</v>
      </c>
      <c r="B398" s="168"/>
      <c r="C398" s="180"/>
      <c r="D398" s="173"/>
      <c r="E398" s="173"/>
      <c r="F398" s="173"/>
      <c r="G398" s="173"/>
      <c r="H398" s="173"/>
    </row>
    <row r="399" ht="22.5" customHeight="1">
      <c r="A399" s="167">
        <v>406.0</v>
      </c>
      <c r="B399" s="168"/>
      <c r="C399" s="180"/>
      <c r="D399" s="173"/>
      <c r="E399" s="173"/>
      <c r="F399" s="173"/>
      <c r="G399" s="173"/>
      <c r="H399" s="173"/>
    </row>
    <row r="400" ht="22.5" customHeight="1">
      <c r="A400" s="167">
        <v>407.0</v>
      </c>
      <c r="B400" s="168"/>
      <c r="C400" s="180"/>
      <c r="D400" s="173"/>
      <c r="E400" s="173"/>
      <c r="F400" s="173"/>
      <c r="G400" s="173"/>
      <c r="H400" s="173"/>
    </row>
    <row r="401" ht="22.5" customHeight="1">
      <c r="A401" s="167">
        <v>408.0</v>
      </c>
      <c r="B401" s="168"/>
      <c r="C401" s="180"/>
      <c r="D401" s="173"/>
      <c r="E401" s="173"/>
      <c r="F401" s="173"/>
      <c r="G401" s="173"/>
      <c r="H401" s="173"/>
    </row>
    <row r="402" ht="22.5" customHeight="1">
      <c r="A402" s="167">
        <v>409.0</v>
      </c>
      <c r="B402" s="168"/>
      <c r="C402" s="180"/>
      <c r="D402" s="173"/>
      <c r="E402" s="173"/>
      <c r="F402" s="173"/>
      <c r="G402" s="173"/>
      <c r="H402" s="173"/>
    </row>
    <row r="403" ht="22.5" customHeight="1">
      <c r="A403" s="167">
        <v>410.0</v>
      </c>
      <c r="B403" s="168"/>
      <c r="C403" s="180"/>
      <c r="D403" s="173"/>
      <c r="E403" s="173"/>
      <c r="F403" s="173"/>
      <c r="G403" s="173"/>
      <c r="H403" s="173"/>
    </row>
    <row r="404" ht="22.5" customHeight="1">
      <c r="A404" s="167">
        <v>411.0</v>
      </c>
      <c r="B404" s="168"/>
      <c r="C404" s="180"/>
      <c r="D404" s="173"/>
      <c r="E404" s="173"/>
      <c r="F404" s="173"/>
      <c r="G404" s="173"/>
      <c r="H404" s="173"/>
    </row>
    <row r="405" ht="22.5" customHeight="1">
      <c r="A405" s="167">
        <v>412.0</v>
      </c>
      <c r="B405" s="168"/>
      <c r="C405" s="180"/>
      <c r="D405" s="173"/>
      <c r="E405" s="173"/>
      <c r="F405" s="173"/>
      <c r="G405" s="173"/>
      <c r="H405" s="173"/>
    </row>
    <row r="406" ht="22.5" customHeight="1">
      <c r="A406" s="167">
        <v>413.0</v>
      </c>
      <c r="B406" s="168"/>
      <c r="C406" s="180"/>
      <c r="D406" s="173"/>
      <c r="E406" s="173"/>
      <c r="F406" s="173"/>
      <c r="G406" s="173"/>
      <c r="H406" s="173"/>
    </row>
    <row r="407" ht="22.5" customHeight="1">
      <c r="A407" s="167">
        <v>414.0</v>
      </c>
      <c r="B407" s="168"/>
      <c r="C407" s="180"/>
      <c r="D407" s="173"/>
      <c r="E407" s="173"/>
      <c r="F407" s="173"/>
      <c r="G407" s="173"/>
      <c r="H407" s="173"/>
    </row>
    <row r="408" ht="22.5" customHeight="1">
      <c r="A408" s="167">
        <v>415.0</v>
      </c>
      <c r="B408" s="168"/>
      <c r="C408" s="180"/>
      <c r="D408" s="173"/>
      <c r="E408" s="173"/>
      <c r="F408" s="173"/>
      <c r="G408" s="173"/>
      <c r="H408" s="173"/>
    </row>
    <row r="409" ht="22.5" customHeight="1">
      <c r="A409" s="167">
        <v>416.0</v>
      </c>
      <c r="B409" s="168"/>
      <c r="C409" s="180"/>
      <c r="D409" s="173"/>
      <c r="E409" s="173"/>
      <c r="F409" s="173"/>
      <c r="G409" s="173"/>
      <c r="H409" s="173"/>
    </row>
    <row r="410" ht="22.5" customHeight="1">
      <c r="A410" s="167">
        <v>417.0</v>
      </c>
      <c r="B410" s="168"/>
      <c r="C410" s="180"/>
      <c r="D410" s="173"/>
      <c r="E410" s="173"/>
      <c r="F410" s="173"/>
      <c r="G410" s="173"/>
      <c r="H410" s="173"/>
    </row>
    <row r="411" ht="22.5" customHeight="1">
      <c r="A411" s="167">
        <v>418.0</v>
      </c>
      <c r="B411" s="168"/>
      <c r="C411" s="180"/>
      <c r="D411" s="173"/>
      <c r="E411" s="173"/>
      <c r="F411" s="173"/>
      <c r="G411" s="173"/>
      <c r="H411" s="173"/>
    </row>
    <row r="412" ht="22.5" customHeight="1">
      <c r="A412" s="167">
        <v>419.0</v>
      </c>
      <c r="B412" s="168"/>
      <c r="C412" s="180"/>
      <c r="D412" s="173"/>
      <c r="E412" s="173"/>
      <c r="F412" s="173"/>
      <c r="G412" s="173"/>
      <c r="H412" s="173"/>
    </row>
    <row r="413" ht="22.5" customHeight="1">
      <c r="A413" s="167">
        <v>420.0</v>
      </c>
      <c r="B413" s="168"/>
      <c r="C413" s="180"/>
      <c r="D413" s="173"/>
      <c r="E413" s="173"/>
      <c r="F413" s="173"/>
      <c r="G413" s="173"/>
      <c r="H413" s="173"/>
    </row>
    <row r="414" ht="22.5" customHeight="1">
      <c r="A414" s="167">
        <v>421.0</v>
      </c>
      <c r="B414" s="168"/>
      <c r="C414" s="180"/>
      <c r="D414" s="173"/>
      <c r="E414" s="173"/>
      <c r="F414" s="173"/>
      <c r="G414" s="173"/>
      <c r="H414" s="173"/>
    </row>
    <row r="415" ht="22.5" customHeight="1">
      <c r="A415" s="167">
        <v>422.0</v>
      </c>
      <c r="B415" s="168"/>
      <c r="C415" s="180"/>
      <c r="D415" s="173"/>
      <c r="E415" s="173"/>
      <c r="F415" s="173"/>
      <c r="G415" s="173"/>
      <c r="H415" s="173"/>
    </row>
    <row r="416" ht="22.5" customHeight="1">
      <c r="A416" s="167">
        <v>423.0</v>
      </c>
      <c r="B416" s="168"/>
      <c r="C416" s="180"/>
      <c r="D416" s="173"/>
      <c r="E416" s="173"/>
      <c r="F416" s="173"/>
      <c r="G416" s="173"/>
      <c r="H416" s="173"/>
    </row>
    <row r="417" ht="22.5" customHeight="1">
      <c r="A417" s="167">
        <v>424.0</v>
      </c>
      <c r="B417" s="168"/>
      <c r="C417" s="180"/>
      <c r="D417" s="173"/>
      <c r="E417" s="173"/>
      <c r="F417" s="173"/>
      <c r="G417" s="173"/>
      <c r="H417" s="173"/>
    </row>
    <row r="418" ht="22.5" customHeight="1">
      <c r="A418" s="167">
        <v>425.0</v>
      </c>
      <c r="B418" s="168"/>
      <c r="C418" s="180"/>
      <c r="D418" s="173"/>
      <c r="E418" s="173"/>
      <c r="F418" s="173"/>
      <c r="G418" s="173"/>
      <c r="H418" s="173"/>
    </row>
    <row r="419" ht="22.5" customHeight="1">
      <c r="A419" s="167">
        <v>426.0</v>
      </c>
      <c r="B419" s="168"/>
      <c r="C419" s="180"/>
      <c r="D419" s="173"/>
      <c r="E419" s="173"/>
      <c r="F419" s="173"/>
      <c r="G419" s="173"/>
      <c r="H419" s="173"/>
    </row>
    <row r="420" ht="22.5" customHeight="1">
      <c r="A420" s="167">
        <v>427.0</v>
      </c>
      <c r="B420" s="168"/>
      <c r="C420" s="180"/>
      <c r="D420" s="173"/>
      <c r="E420" s="173"/>
      <c r="F420" s="173"/>
      <c r="G420" s="173"/>
      <c r="H420" s="173"/>
    </row>
    <row r="421" ht="22.5" customHeight="1">
      <c r="A421" s="167">
        <v>428.0</v>
      </c>
      <c r="B421" s="168"/>
      <c r="C421" s="180"/>
      <c r="D421" s="173"/>
      <c r="E421" s="173"/>
      <c r="F421" s="173"/>
      <c r="G421" s="173"/>
      <c r="H421" s="173"/>
    </row>
    <row r="422" ht="22.5" customHeight="1">
      <c r="A422" s="167">
        <v>429.0</v>
      </c>
      <c r="B422" s="168"/>
      <c r="C422" s="180"/>
      <c r="D422" s="173"/>
      <c r="E422" s="173"/>
      <c r="F422" s="173"/>
      <c r="G422" s="173"/>
      <c r="H422" s="173"/>
    </row>
    <row r="423" ht="22.5" customHeight="1">
      <c r="A423" s="167">
        <v>430.0</v>
      </c>
      <c r="B423" s="168"/>
      <c r="C423" s="180"/>
      <c r="D423" s="173"/>
      <c r="E423" s="173"/>
      <c r="F423" s="173"/>
      <c r="G423" s="173"/>
      <c r="H423" s="173"/>
    </row>
    <row r="424" ht="22.5" customHeight="1">
      <c r="A424" s="167">
        <v>431.0</v>
      </c>
      <c r="B424" s="168"/>
      <c r="C424" s="180"/>
      <c r="D424" s="173"/>
      <c r="E424" s="173"/>
      <c r="F424" s="173"/>
      <c r="G424" s="173"/>
      <c r="H424" s="173"/>
    </row>
    <row r="425" ht="22.5" customHeight="1">
      <c r="A425" s="167">
        <v>432.0</v>
      </c>
      <c r="B425" s="168"/>
      <c r="C425" s="180"/>
      <c r="D425" s="173"/>
      <c r="E425" s="173"/>
      <c r="F425" s="173"/>
      <c r="G425" s="173"/>
      <c r="H425" s="173"/>
    </row>
    <row r="426" ht="22.5" customHeight="1">
      <c r="A426" s="167">
        <v>433.0</v>
      </c>
      <c r="B426" s="168"/>
      <c r="C426" s="180"/>
      <c r="D426" s="173"/>
      <c r="E426" s="173"/>
      <c r="F426" s="173"/>
      <c r="G426" s="173"/>
      <c r="H426" s="173"/>
    </row>
    <row r="427" ht="22.5" customHeight="1">
      <c r="A427" s="167">
        <v>434.0</v>
      </c>
      <c r="B427" s="168"/>
      <c r="C427" s="180"/>
      <c r="D427" s="173"/>
      <c r="E427" s="173"/>
      <c r="F427" s="173"/>
      <c r="G427" s="173"/>
      <c r="H427" s="173"/>
    </row>
    <row r="428" ht="22.5" customHeight="1">
      <c r="A428" s="167">
        <v>435.0</v>
      </c>
      <c r="B428" s="168"/>
      <c r="C428" s="180"/>
      <c r="D428" s="173"/>
      <c r="E428" s="173"/>
      <c r="F428" s="173"/>
      <c r="G428" s="173"/>
      <c r="H428" s="173"/>
    </row>
    <row r="429" ht="22.5" customHeight="1">
      <c r="A429" s="167">
        <v>436.0</v>
      </c>
      <c r="B429" s="168"/>
      <c r="C429" s="180"/>
      <c r="D429" s="173"/>
      <c r="E429" s="173"/>
      <c r="F429" s="173"/>
      <c r="G429" s="173"/>
      <c r="H429" s="173"/>
    </row>
    <row r="430" ht="22.5" customHeight="1">
      <c r="A430" s="167">
        <v>437.0</v>
      </c>
      <c r="B430" s="168"/>
      <c r="C430" s="180"/>
      <c r="D430" s="173"/>
      <c r="E430" s="173"/>
      <c r="F430" s="173"/>
      <c r="G430" s="173"/>
      <c r="H430" s="173"/>
    </row>
    <row r="431" ht="22.5" customHeight="1">
      <c r="A431" s="167">
        <v>438.0</v>
      </c>
      <c r="B431" s="168"/>
      <c r="C431" s="180"/>
      <c r="D431" s="173"/>
      <c r="E431" s="173"/>
      <c r="F431" s="173"/>
      <c r="G431" s="173"/>
      <c r="H431" s="173"/>
    </row>
    <row r="432" ht="22.5" customHeight="1">
      <c r="A432" s="167">
        <v>439.0</v>
      </c>
      <c r="B432" s="168"/>
      <c r="C432" s="180"/>
      <c r="D432" s="173"/>
      <c r="E432" s="173"/>
      <c r="F432" s="173"/>
      <c r="G432" s="173"/>
      <c r="H432" s="173"/>
    </row>
    <row r="433" ht="22.5" customHeight="1">
      <c r="A433" s="167">
        <v>440.0</v>
      </c>
      <c r="B433" s="168"/>
      <c r="C433" s="180"/>
      <c r="D433" s="173"/>
      <c r="E433" s="173"/>
      <c r="F433" s="173"/>
      <c r="G433" s="173"/>
      <c r="H433" s="173"/>
    </row>
    <row r="434" ht="22.5" customHeight="1">
      <c r="A434" s="167">
        <v>441.0</v>
      </c>
      <c r="B434" s="168"/>
      <c r="C434" s="180"/>
      <c r="D434" s="173"/>
      <c r="E434" s="173"/>
      <c r="F434" s="173"/>
      <c r="G434" s="173"/>
      <c r="H434" s="173"/>
    </row>
    <row r="435" ht="22.5" customHeight="1">
      <c r="A435" s="167">
        <v>442.0</v>
      </c>
      <c r="B435" s="168"/>
      <c r="C435" s="180"/>
      <c r="D435" s="173"/>
      <c r="E435" s="173"/>
      <c r="F435" s="173"/>
      <c r="G435" s="173"/>
      <c r="H435" s="173"/>
    </row>
    <row r="436" ht="22.5" customHeight="1">
      <c r="A436" s="167">
        <v>443.0</v>
      </c>
      <c r="B436" s="168"/>
      <c r="C436" s="180"/>
      <c r="D436" s="173"/>
      <c r="E436" s="173"/>
      <c r="F436" s="173"/>
      <c r="G436" s="173"/>
      <c r="H436" s="173"/>
    </row>
    <row r="437" ht="22.5" customHeight="1">
      <c r="A437" s="167">
        <v>444.0</v>
      </c>
      <c r="B437" s="168"/>
      <c r="C437" s="180"/>
      <c r="D437" s="173"/>
      <c r="E437" s="173"/>
      <c r="F437" s="173"/>
      <c r="G437" s="173"/>
      <c r="H437" s="173"/>
    </row>
    <row r="438" ht="22.5" customHeight="1">
      <c r="A438" s="167">
        <v>445.0</v>
      </c>
      <c r="B438" s="168"/>
      <c r="C438" s="180"/>
      <c r="D438" s="173"/>
      <c r="E438" s="173"/>
      <c r="F438" s="173"/>
      <c r="G438" s="173"/>
      <c r="H438" s="173"/>
    </row>
    <row r="439" ht="22.5" customHeight="1">
      <c r="A439" s="167">
        <v>446.0</v>
      </c>
      <c r="B439" s="168"/>
      <c r="C439" s="180"/>
      <c r="D439" s="173"/>
      <c r="E439" s="173"/>
      <c r="F439" s="173"/>
      <c r="G439" s="173"/>
      <c r="H439" s="173"/>
    </row>
    <row r="440" ht="22.5" customHeight="1">
      <c r="A440" s="167">
        <v>447.0</v>
      </c>
      <c r="B440" s="168"/>
      <c r="C440" s="180"/>
      <c r="D440" s="173"/>
      <c r="E440" s="173"/>
      <c r="F440" s="173"/>
      <c r="G440" s="173"/>
      <c r="H440" s="173"/>
    </row>
    <row r="441" ht="22.5" customHeight="1">
      <c r="A441" s="167">
        <v>448.0</v>
      </c>
      <c r="B441" s="168"/>
      <c r="C441" s="180"/>
      <c r="D441" s="173"/>
      <c r="E441" s="173"/>
      <c r="F441" s="173"/>
      <c r="G441" s="173"/>
      <c r="H441" s="173"/>
    </row>
    <row r="442" ht="22.5" customHeight="1">
      <c r="A442" s="167">
        <v>449.0</v>
      </c>
      <c r="B442" s="168"/>
      <c r="C442" s="180"/>
      <c r="D442" s="173"/>
      <c r="E442" s="173"/>
      <c r="F442" s="173"/>
      <c r="G442" s="173"/>
      <c r="H442" s="173"/>
    </row>
    <row r="443" ht="22.5" customHeight="1">
      <c r="A443" s="167">
        <v>450.0</v>
      </c>
      <c r="B443" s="168"/>
      <c r="C443" s="180"/>
      <c r="D443" s="173"/>
      <c r="E443" s="173"/>
      <c r="F443" s="173"/>
      <c r="G443" s="173"/>
      <c r="H443" s="173"/>
    </row>
    <row r="444" ht="22.5" customHeight="1">
      <c r="A444" s="167">
        <v>451.0</v>
      </c>
      <c r="B444" s="168"/>
      <c r="C444" s="180"/>
      <c r="D444" s="173"/>
      <c r="E444" s="173"/>
      <c r="F444" s="173"/>
      <c r="G444" s="173"/>
      <c r="H444" s="173"/>
    </row>
    <row r="445" ht="22.5" customHeight="1">
      <c r="A445" s="167">
        <v>452.0</v>
      </c>
      <c r="B445" s="168"/>
      <c r="C445" s="180"/>
      <c r="D445" s="173"/>
      <c r="E445" s="173"/>
      <c r="F445" s="173"/>
      <c r="G445" s="173"/>
      <c r="H445" s="173"/>
    </row>
    <row r="446" ht="22.5" customHeight="1">
      <c r="A446" s="167">
        <v>453.0</v>
      </c>
      <c r="B446" s="168"/>
      <c r="C446" s="180"/>
      <c r="D446" s="173"/>
      <c r="E446" s="173"/>
      <c r="F446" s="173"/>
      <c r="G446" s="173"/>
      <c r="H446" s="173"/>
    </row>
    <row r="447" ht="22.5" customHeight="1">
      <c r="A447" s="167">
        <v>454.0</v>
      </c>
      <c r="B447" s="168"/>
      <c r="C447" s="180"/>
      <c r="D447" s="173"/>
      <c r="E447" s="173"/>
      <c r="F447" s="173"/>
      <c r="G447" s="173"/>
      <c r="H447" s="173"/>
    </row>
    <row r="448" ht="22.5" customHeight="1">
      <c r="A448" s="167">
        <v>455.0</v>
      </c>
      <c r="B448" s="168"/>
      <c r="C448" s="180"/>
      <c r="D448" s="173"/>
      <c r="E448" s="173"/>
      <c r="F448" s="173"/>
      <c r="G448" s="173"/>
      <c r="H448" s="173"/>
    </row>
    <row r="449" ht="22.5" customHeight="1">
      <c r="A449" s="167">
        <v>456.0</v>
      </c>
      <c r="B449" s="168"/>
      <c r="C449" s="180"/>
      <c r="D449" s="173"/>
      <c r="E449" s="173"/>
      <c r="F449" s="173"/>
      <c r="G449" s="173"/>
      <c r="H449" s="173"/>
    </row>
    <row r="450" ht="22.5" customHeight="1">
      <c r="A450" s="167">
        <v>457.0</v>
      </c>
      <c r="B450" s="168"/>
      <c r="C450" s="180"/>
      <c r="D450" s="173"/>
      <c r="E450" s="173"/>
      <c r="F450" s="173"/>
      <c r="G450" s="173"/>
      <c r="H450" s="173"/>
    </row>
    <row r="451" ht="22.5" customHeight="1">
      <c r="A451" s="167">
        <v>458.0</v>
      </c>
      <c r="B451" s="168"/>
      <c r="C451" s="180"/>
      <c r="D451" s="173"/>
      <c r="E451" s="173"/>
      <c r="F451" s="173"/>
      <c r="G451" s="173"/>
      <c r="H451" s="173"/>
    </row>
    <row r="452" ht="22.5" customHeight="1">
      <c r="A452" s="167">
        <v>459.0</v>
      </c>
      <c r="B452" s="168"/>
      <c r="C452" s="180"/>
      <c r="D452" s="173"/>
      <c r="E452" s="173"/>
      <c r="F452" s="173"/>
      <c r="G452" s="173"/>
      <c r="H452" s="173"/>
    </row>
    <row r="453" ht="22.5" customHeight="1">
      <c r="A453" s="167">
        <v>460.0</v>
      </c>
      <c r="B453" s="168"/>
      <c r="C453" s="180"/>
      <c r="D453" s="173"/>
      <c r="E453" s="173"/>
      <c r="F453" s="173"/>
      <c r="G453" s="173"/>
      <c r="H453" s="173"/>
    </row>
    <row r="454" ht="22.5" customHeight="1">
      <c r="A454" s="167">
        <v>461.0</v>
      </c>
      <c r="B454" s="168"/>
      <c r="C454" s="180"/>
      <c r="D454" s="173"/>
      <c r="E454" s="173"/>
      <c r="F454" s="173"/>
      <c r="G454" s="173"/>
      <c r="H454" s="173"/>
    </row>
    <row r="455" ht="22.5" customHeight="1">
      <c r="A455" s="167">
        <v>462.0</v>
      </c>
      <c r="B455" s="168"/>
      <c r="C455" s="180"/>
      <c r="D455" s="173"/>
      <c r="E455" s="173"/>
      <c r="F455" s="173"/>
      <c r="G455" s="173"/>
      <c r="H455" s="173"/>
    </row>
    <row r="456" ht="22.5" customHeight="1">
      <c r="A456" s="167">
        <v>463.0</v>
      </c>
      <c r="B456" s="168"/>
      <c r="C456" s="180"/>
      <c r="D456" s="173"/>
      <c r="E456" s="173"/>
      <c r="F456" s="173"/>
      <c r="G456" s="173"/>
      <c r="H456" s="173"/>
    </row>
    <row r="457" ht="22.5" customHeight="1">
      <c r="A457" s="167">
        <v>464.0</v>
      </c>
      <c r="B457" s="168"/>
      <c r="C457" s="180"/>
      <c r="D457" s="173"/>
      <c r="E457" s="173"/>
      <c r="F457" s="173"/>
      <c r="G457" s="173"/>
      <c r="H457" s="173"/>
    </row>
    <row r="458" ht="22.5" customHeight="1">
      <c r="A458" s="167">
        <v>465.0</v>
      </c>
      <c r="B458" s="168"/>
      <c r="C458" s="180"/>
      <c r="D458" s="173"/>
      <c r="E458" s="173"/>
      <c r="F458" s="173"/>
      <c r="G458" s="173"/>
      <c r="H458" s="173"/>
    </row>
    <row r="459" ht="22.5" customHeight="1">
      <c r="A459" s="167">
        <v>466.0</v>
      </c>
      <c r="B459" s="168"/>
      <c r="C459" s="180"/>
      <c r="D459" s="173"/>
      <c r="E459" s="173"/>
      <c r="F459" s="173"/>
      <c r="G459" s="173"/>
      <c r="H459" s="173"/>
    </row>
    <row r="460" ht="22.5" customHeight="1">
      <c r="A460" s="167">
        <v>467.0</v>
      </c>
      <c r="B460" s="168"/>
      <c r="C460" s="180"/>
      <c r="D460" s="173"/>
      <c r="E460" s="173"/>
      <c r="F460" s="173"/>
      <c r="G460" s="173"/>
      <c r="H460" s="173"/>
    </row>
    <row r="461" ht="22.5" customHeight="1">
      <c r="A461" s="167">
        <v>468.0</v>
      </c>
      <c r="B461" s="168"/>
      <c r="C461" s="180"/>
      <c r="D461" s="173"/>
      <c r="E461" s="173"/>
      <c r="F461" s="173"/>
      <c r="G461" s="173"/>
      <c r="H461" s="173"/>
    </row>
    <row r="462" ht="22.5" customHeight="1">
      <c r="A462" s="167">
        <v>469.0</v>
      </c>
      <c r="B462" s="168"/>
      <c r="C462" s="180"/>
      <c r="D462" s="173"/>
      <c r="E462" s="173"/>
      <c r="F462" s="173"/>
      <c r="G462" s="173"/>
      <c r="H462" s="173"/>
    </row>
    <row r="463" ht="22.5" customHeight="1">
      <c r="A463" s="167">
        <v>470.0</v>
      </c>
      <c r="B463" s="168"/>
      <c r="C463" s="180"/>
      <c r="D463" s="173"/>
      <c r="E463" s="173"/>
      <c r="F463" s="173"/>
      <c r="G463" s="173"/>
      <c r="H463" s="173"/>
    </row>
    <row r="464" ht="22.5" customHeight="1">
      <c r="A464" s="167">
        <v>471.0</v>
      </c>
      <c r="B464" s="168"/>
      <c r="C464" s="180"/>
      <c r="D464" s="173"/>
      <c r="E464" s="173"/>
      <c r="F464" s="173"/>
      <c r="G464" s="173"/>
      <c r="H464" s="173"/>
    </row>
    <row r="465" ht="22.5" customHeight="1">
      <c r="A465" s="167">
        <v>472.0</v>
      </c>
      <c r="B465" s="168"/>
      <c r="C465" s="180"/>
      <c r="D465" s="173"/>
      <c r="E465" s="173"/>
      <c r="F465" s="173"/>
      <c r="G465" s="173"/>
      <c r="H465" s="173"/>
    </row>
    <row r="466" ht="22.5" customHeight="1">
      <c r="A466" s="167">
        <v>473.0</v>
      </c>
      <c r="B466" s="168"/>
      <c r="C466" s="180"/>
      <c r="D466" s="173"/>
      <c r="E466" s="173"/>
      <c r="F466" s="173"/>
      <c r="G466" s="173"/>
      <c r="H466" s="173"/>
    </row>
    <row r="467" ht="22.5" customHeight="1">
      <c r="A467" s="167">
        <v>474.0</v>
      </c>
      <c r="B467" s="168"/>
      <c r="C467" s="180"/>
      <c r="D467" s="173"/>
      <c r="E467" s="173"/>
      <c r="F467" s="173"/>
      <c r="G467" s="173"/>
      <c r="H467" s="173"/>
    </row>
    <row r="468" ht="22.5" customHeight="1">
      <c r="A468" s="167">
        <v>475.0</v>
      </c>
      <c r="B468" s="168"/>
      <c r="C468" s="180"/>
      <c r="D468" s="173"/>
      <c r="E468" s="173"/>
      <c r="F468" s="173"/>
      <c r="G468" s="173"/>
      <c r="H468" s="173"/>
    </row>
    <row r="469" ht="22.5" customHeight="1">
      <c r="A469" s="167">
        <v>476.0</v>
      </c>
      <c r="B469" s="168"/>
      <c r="C469" s="180"/>
      <c r="D469" s="173"/>
      <c r="E469" s="173"/>
      <c r="F469" s="173"/>
      <c r="G469" s="173"/>
      <c r="H469" s="173"/>
    </row>
    <row r="470" ht="22.5" customHeight="1">
      <c r="A470" s="167">
        <v>477.0</v>
      </c>
      <c r="B470" s="168"/>
      <c r="C470" s="180"/>
      <c r="D470" s="173"/>
      <c r="E470" s="173"/>
      <c r="F470" s="173"/>
      <c r="G470" s="173"/>
      <c r="H470" s="173"/>
    </row>
    <row r="471" ht="22.5" customHeight="1">
      <c r="A471" s="167">
        <v>478.0</v>
      </c>
      <c r="B471" s="168"/>
      <c r="C471" s="180"/>
      <c r="D471" s="173"/>
      <c r="E471" s="173"/>
      <c r="F471" s="173"/>
      <c r="G471" s="173"/>
      <c r="H471" s="173"/>
    </row>
    <row r="472" ht="22.5" customHeight="1">
      <c r="A472" s="167">
        <v>479.0</v>
      </c>
      <c r="B472" s="168"/>
      <c r="C472" s="180"/>
      <c r="D472" s="173"/>
      <c r="E472" s="173"/>
      <c r="F472" s="173"/>
      <c r="G472" s="173"/>
      <c r="H472" s="173"/>
    </row>
    <row r="473" ht="22.5" customHeight="1">
      <c r="A473" s="167">
        <v>480.0</v>
      </c>
      <c r="B473" s="168"/>
      <c r="C473" s="180"/>
      <c r="D473" s="173"/>
      <c r="E473" s="173"/>
      <c r="F473" s="173"/>
      <c r="G473" s="173"/>
      <c r="H473" s="173"/>
    </row>
    <row r="474" ht="22.5" customHeight="1">
      <c r="A474" s="167">
        <v>481.0</v>
      </c>
      <c r="B474" s="168"/>
      <c r="C474" s="180"/>
      <c r="D474" s="173"/>
      <c r="E474" s="173"/>
      <c r="F474" s="173"/>
      <c r="G474" s="173"/>
      <c r="H474" s="173"/>
    </row>
    <row r="475" ht="22.5" customHeight="1">
      <c r="A475" s="167">
        <v>482.0</v>
      </c>
      <c r="B475" s="168"/>
      <c r="C475" s="180"/>
      <c r="D475" s="173"/>
      <c r="E475" s="173"/>
      <c r="F475" s="173"/>
      <c r="G475" s="173"/>
      <c r="H475" s="173"/>
    </row>
    <row r="476" ht="22.5" customHeight="1">
      <c r="A476" s="167">
        <v>483.0</v>
      </c>
      <c r="B476" s="168"/>
      <c r="C476" s="180"/>
      <c r="D476" s="173"/>
      <c r="E476" s="173"/>
      <c r="F476" s="173"/>
      <c r="G476" s="173"/>
      <c r="H476" s="173"/>
    </row>
    <row r="477" ht="22.5" customHeight="1">
      <c r="A477" s="167">
        <v>484.0</v>
      </c>
      <c r="B477" s="168"/>
      <c r="C477" s="180"/>
      <c r="D477" s="173"/>
      <c r="E477" s="173"/>
      <c r="F477" s="173"/>
      <c r="G477" s="173"/>
      <c r="H477" s="173"/>
    </row>
    <row r="478" ht="22.5" customHeight="1">
      <c r="A478" s="167">
        <v>485.0</v>
      </c>
      <c r="B478" s="168"/>
      <c r="C478" s="180"/>
      <c r="D478" s="173"/>
      <c r="E478" s="173"/>
      <c r="F478" s="173"/>
      <c r="G478" s="173"/>
      <c r="H478" s="173"/>
    </row>
    <row r="479" ht="22.5" customHeight="1">
      <c r="A479" s="167">
        <v>486.0</v>
      </c>
      <c r="B479" s="168"/>
      <c r="C479" s="180"/>
      <c r="D479" s="173"/>
      <c r="E479" s="173"/>
      <c r="F479" s="173"/>
      <c r="G479" s="173"/>
      <c r="H479" s="173"/>
    </row>
    <row r="480" ht="22.5" customHeight="1">
      <c r="A480" s="167">
        <v>487.0</v>
      </c>
      <c r="B480" s="168"/>
      <c r="C480" s="180"/>
      <c r="D480" s="173"/>
      <c r="E480" s="173"/>
      <c r="F480" s="173"/>
      <c r="G480" s="173"/>
      <c r="H480" s="173"/>
    </row>
    <row r="481" ht="22.5" customHeight="1">
      <c r="A481" s="167">
        <v>488.0</v>
      </c>
      <c r="B481" s="168"/>
      <c r="C481" s="180"/>
      <c r="D481" s="173"/>
      <c r="E481" s="173"/>
      <c r="F481" s="173"/>
      <c r="G481" s="173"/>
      <c r="H481" s="173"/>
    </row>
    <row r="482" ht="22.5" customHeight="1">
      <c r="A482" s="167">
        <v>489.0</v>
      </c>
      <c r="B482" s="168"/>
      <c r="C482" s="180"/>
      <c r="D482" s="173"/>
      <c r="E482" s="173"/>
      <c r="F482" s="173"/>
      <c r="G482" s="173"/>
      <c r="H482" s="173"/>
    </row>
    <row r="483" ht="22.5" customHeight="1">
      <c r="A483" s="167">
        <v>490.0</v>
      </c>
      <c r="B483" s="168"/>
      <c r="C483" s="180"/>
      <c r="D483" s="173"/>
      <c r="E483" s="173"/>
      <c r="F483" s="173"/>
      <c r="G483" s="173"/>
      <c r="H483" s="173"/>
    </row>
    <row r="484" ht="22.5" customHeight="1">
      <c r="A484" s="167">
        <v>491.0</v>
      </c>
      <c r="B484" s="168"/>
      <c r="C484" s="180"/>
      <c r="D484" s="173"/>
      <c r="E484" s="173"/>
      <c r="F484" s="173"/>
      <c r="G484" s="173"/>
      <c r="H484" s="173"/>
    </row>
    <row r="485" ht="22.5" customHeight="1">
      <c r="A485" s="167">
        <v>492.0</v>
      </c>
      <c r="B485" s="168"/>
      <c r="C485" s="180"/>
      <c r="D485" s="173"/>
      <c r="E485" s="173"/>
      <c r="F485" s="173"/>
      <c r="G485" s="173"/>
      <c r="H485" s="173"/>
    </row>
    <row r="486" ht="22.5" customHeight="1">
      <c r="A486" s="167">
        <v>493.0</v>
      </c>
      <c r="B486" s="168"/>
      <c r="C486" s="180"/>
      <c r="D486" s="173"/>
      <c r="E486" s="173"/>
      <c r="F486" s="173"/>
      <c r="G486" s="173"/>
      <c r="H486" s="173"/>
    </row>
    <row r="487" ht="22.5" customHeight="1">
      <c r="A487" s="167">
        <v>494.0</v>
      </c>
      <c r="B487" s="168"/>
      <c r="C487" s="180"/>
      <c r="D487" s="173"/>
      <c r="E487" s="173"/>
      <c r="F487" s="173"/>
      <c r="G487" s="173"/>
      <c r="H487" s="173"/>
    </row>
    <row r="488" ht="22.5" customHeight="1">
      <c r="A488" s="167">
        <v>495.0</v>
      </c>
      <c r="B488" s="168"/>
      <c r="C488" s="180"/>
      <c r="D488" s="173"/>
      <c r="E488" s="173"/>
      <c r="F488" s="173"/>
      <c r="G488" s="173"/>
      <c r="H488" s="173"/>
    </row>
    <row r="489" ht="22.5" customHeight="1">
      <c r="A489" s="167">
        <v>496.0</v>
      </c>
      <c r="B489" s="168"/>
      <c r="C489" s="180"/>
      <c r="D489" s="173"/>
      <c r="E489" s="173"/>
      <c r="F489" s="173"/>
      <c r="G489" s="173"/>
      <c r="H489" s="173"/>
    </row>
    <row r="490" ht="22.5" customHeight="1">
      <c r="A490" s="167">
        <v>497.0</v>
      </c>
      <c r="B490" s="168"/>
      <c r="C490" s="180"/>
      <c r="D490" s="173"/>
      <c r="E490" s="173"/>
      <c r="F490" s="173"/>
      <c r="G490" s="173"/>
      <c r="H490" s="173"/>
    </row>
    <row r="491" ht="22.5" customHeight="1">
      <c r="A491" s="167">
        <v>498.0</v>
      </c>
      <c r="B491" s="168"/>
      <c r="C491" s="180"/>
      <c r="D491" s="173"/>
      <c r="E491" s="173"/>
      <c r="F491" s="173"/>
      <c r="G491" s="173"/>
      <c r="H491" s="173"/>
    </row>
    <row r="492" ht="22.5" customHeight="1">
      <c r="A492" s="167">
        <v>499.0</v>
      </c>
      <c r="B492" s="168"/>
      <c r="C492" s="180"/>
      <c r="D492" s="173"/>
      <c r="E492" s="173"/>
      <c r="F492" s="173"/>
      <c r="G492" s="173"/>
      <c r="H492" s="173"/>
    </row>
    <row r="493" ht="22.5" customHeight="1">
      <c r="A493" s="167">
        <v>500.0</v>
      </c>
      <c r="B493" s="168"/>
      <c r="C493" s="180"/>
      <c r="D493" s="173"/>
      <c r="E493" s="173"/>
      <c r="F493" s="173"/>
      <c r="G493" s="173"/>
      <c r="H493" s="173"/>
    </row>
    <row r="494" ht="22.5" customHeight="1">
      <c r="A494" s="167">
        <v>501.0</v>
      </c>
      <c r="B494" s="168"/>
      <c r="C494" s="180"/>
      <c r="D494" s="173"/>
      <c r="E494" s="173"/>
      <c r="F494" s="173"/>
      <c r="G494" s="173"/>
      <c r="H494" s="173"/>
    </row>
    <row r="495" ht="22.5" customHeight="1">
      <c r="A495" s="167">
        <v>502.0</v>
      </c>
      <c r="B495" s="168"/>
      <c r="C495" s="180"/>
      <c r="D495" s="173"/>
      <c r="E495" s="173"/>
      <c r="F495" s="173"/>
      <c r="G495" s="173"/>
      <c r="H495" s="173"/>
    </row>
    <row r="496" ht="22.5" customHeight="1">
      <c r="A496" s="167">
        <v>503.0</v>
      </c>
      <c r="B496" s="168"/>
      <c r="C496" s="180"/>
      <c r="D496" s="173"/>
      <c r="E496" s="173"/>
      <c r="F496" s="173"/>
      <c r="G496" s="173"/>
      <c r="H496" s="173"/>
    </row>
    <row r="497" ht="22.5" customHeight="1">
      <c r="A497" s="167">
        <v>504.0</v>
      </c>
      <c r="B497" s="168"/>
      <c r="C497" s="180"/>
      <c r="D497" s="173"/>
      <c r="E497" s="173"/>
      <c r="F497" s="173"/>
      <c r="G497" s="173"/>
      <c r="H497" s="173"/>
    </row>
    <row r="498" ht="22.5" customHeight="1">
      <c r="A498" s="167">
        <v>505.0</v>
      </c>
      <c r="B498" s="168"/>
      <c r="C498" s="180"/>
      <c r="D498" s="173"/>
      <c r="E498" s="173"/>
      <c r="F498" s="173"/>
      <c r="G498" s="173"/>
      <c r="H498" s="173"/>
    </row>
    <row r="499" ht="22.5" customHeight="1">
      <c r="A499" s="167">
        <v>506.0</v>
      </c>
      <c r="B499" s="168"/>
      <c r="C499" s="180"/>
      <c r="D499" s="173"/>
      <c r="E499" s="173"/>
      <c r="F499" s="173"/>
      <c r="G499" s="173"/>
      <c r="H499" s="173"/>
    </row>
    <row r="500" ht="22.5" customHeight="1">
      <c r="A500" s="167">
        <v>507.0</v>
      </c>
      <c r="B500" s="168"/>
      <c r="C500" s="180"/>
      <c r="D500" s="173"/>
      <c r="E500" s="173"/>
      <c r="F500" s="173"/>
      <c r="G500" s="173"/>
      <c r="H500" s="173"/>
    </row>
    <row r="501" ht="22.5" customHeight="1">
      <c r="A501" s="167">
        <v>508.0</v>
      </c>
      <c r="B501" s="168"/>
      <c r="C501" s="180"/>
      <c r="D501" s="173"/>
      <c r="E501" s="173"/>
      <c r="F501" s="173"/>
      <c r="G501" s="173"/>
      <c r="H501" s="173"/>
    </row>
    <row r="502" ht="22.5" customHeight="1">
      <c r="A502" s="167">
        <v>509.0</v>
      </c>
      <c r="B502" s="168"/>
      <c r="C502" s="180"/>
      <c r="D502" s="173"/>
      <c r="E502" s="173"/>
      <c r="F502" s="173"/>
      <c r="G502" s="173"/>
      <c r="H502" s="173"/>
    </row>
    <row r="503" ht="22.5" customHeight="1">
      <c r="A503" s="167">
        <v>510.0</v>
      </c>
      <c r="B503" s="168"/>
      <c r="C503" s="180"/>
      <c r="D503" s="173"/>
      <c r="E503" s="173"/>
      <c r="F503" s="173"/>
      <c r="G503" s="173"/>
      <c r="H503" s="173"/>
    </row>
    <row r="504" ht="22.5" customHeight="1">
      <c r="A504" s="167">
        <v>511.0</v>
      </c>
      <c r="B504" s="168"/>
      <c r="C504" s="180"/>
      <c r="D504" s="173"/>
      <c r="E504" s="173"/>
      <c r="F504" s="173"/>
      <c r="G504" s="173"/>
      <c r="H504" s="173"/>
    </row>
    <row r="505" ht="22.5" customHeight="1">
      <c r="A505" s="167">
        <v>512.0</v>
      </c>
      <c r="B505" s="168"/>
      <c r="C505" s="180"/>
      <c r="D505" s="173"/>
      <c r="E505" s="173"/>
      <c r="F505" s="173"/>
      <c r="G505" s="173"/>
      <c r="H505" s="173"/>
    </row>
    <row r="506" ht="22.5" customHeight="1">
      <c r="A506" s="167">
        <v>513.0</v>
      </c>
      <c r="B506" s="168"/>
      <c r="C506" s="180"/>
      <c r="D506" s="173"/>
      <c r="E506" s="173"/>
      <c r="F506" s="173"/>
      <c r="G506" s="173"/>
      <c r="H506" s="173"/>
    </row>
    <row r="507" ht="22.5" customHeight="1">
      <c r="A507" s="167">
        <v>514.0</v>
      </c>
      <c r="B507" s="168"/>
      <c r="C507" s="180"/>
      <c r="D507" s="173"/>
      <c r="E507" s="173"/>
      <c r="F507" s="173"/>
      <c r="G507" s="173"/>
      <c r="H507" s="173"/>
    </row>
    <row r="508" ht="22.5" customHeight="1">
      <c r="A508" s="167">
        <v>515.0</v>
      </c>
      <c r="B508" s="168"/>
      <c r="C508" s="180"/>
      <c r="D508" s="173"/>
      <c r="E508" s="173"/>
      <c r="F508" s="173"/>
      <c r="G508" s="173"/>
      <c r="H508" s="173"/>
    </row>
    <row r="509" ht="22.5" customHeight="1">
      <c r="A509" s="167">
        <v>516.0</v>
      </c>
      <c r="B509" s="168"/>
      <c r="C509" s="180"/>
      <c r="D509" s="173"/>
      <c r="E509" s="173"/>
      <c r="F509" s="173"/>
      <c r="G509" s="173"/>
      <c r="H509" s="173"/>
    </row>
    <row r="510" ht="22.5" customHeight="1">
      <c r="A510" s="167">
        <v>517.0</v>
      </c>
      <c r="B510" s="168"/>
      <c r="C510" s="180"/>
      <c r="D510" s="173"/>
      <c r="E510" s="173"/>
      <c r="F510" s="173"/>
      <c r="G510" s="173"/>
      <c r="H510" s="173"/>
    </row>
    <row r="511" ht="22.5" customHeight="1">
      <c r="A511" s="167">
        <v>518.0</v>
      </c>
      <c r="B511" s="168"/>
      <c r="C511" s="180"/>
      <c r="D511" s="173"/>
      <c r="E511" s="173"/>
      <c r="F511" s="173"/>
      <c r="G511" s="173"/>
      <c r="H511" s="173"/>
    </row>
    <row r="512" ht="22.5" customHeight="1">
      <c r="A512" s="167">
        <v>519.0</v>
      </c>
      <c r="B512" s="168"/>
      <c r="C512" s="180"/>
      <c r="D512" s="173"/>
      <c r="E512" s="173"/>
      <c r="F512" s="173"/>
      <c r="G512" s="173"/>
      <c r="H512" s="173"/>
    </row>
    <row r="513" ht="22.5" customHeight="1">
      <c r="A513" s="167">
        <v>520.0</v>
      </c>
      <c r="B513" s="168"/>
      <c r="C513" s="180"/>
      <c r="D513" s="173"/>
      <c r="E513" s="173"/>
      <c r="F513" s="173"/>
      <c r="G513" s="173"/>
      <c r="H513" s="173"/>
    </row>
    <row r="514" ht="22.5" customHeight="1">
      <c r="A514" s="167">
        <v>521.0</v>
      </c>
      <c r="B514" s="168"/>
      <c r="C514" s="180"/>
      <c r="D514" s="173"/>
      <c r="E514" s="173"/>
      <c r="F514" s="173"/>
      <c r="G514" s="173"/>
      <c r="H514" s="173"/>
    </row>
    <row r="515" ht="22.5" customHeight="1">
      <c r="A515" s="167">
        <v>522.0</v>
      </c>
      <c r="B515" s="168"/>
      <c r="C515" s="180"/>
      <c r="D515" s="173"/>
      <c r="E515" s="173"/>
      <c r="F515" s="173"/>
      <c r="G515" s="173"/>
      <c r="H515" s="173"/>
    </row>
    <row r="516" ht="22.5" customHeight="1">
      <c r="A516" s="167">
        <v>523.0</v>
      </c>
      <c r="B516" s="168"/>
      <c r="C516" s="180"/>
      <c r="D516" s="173"/>
      <c r="E516" s="173"/>
      <c r="F516" s="173"/>
      <c r="G516" s="173"/>
      <c r="H516" s="173"/>
    </row>
    <row r="517" ht="22.5" customHeight="1">
      <c r="A517" s="167">
        <v>524.0</v>
      </c>
      <c r="B517" s="168"/>
      <c r="C517" s="180"/>
      <c r="D517" s="173"/>
      <c r="E517" s="173"/>
      <c r="F517" s="173"/>
      <c r="G517" s="173"/>
      <c r="H517" s="173"/>
    </row>
    <row r="518" ht="22.5" customHeight="1">
      <c r="A518" s="167">
        <v>525.0</v>
      </c>
      <c r="B518" s="168"/>
      <c r="C518" s="180"/>
      <c r="D518" s="173"/>
      <c r="E518" s="173"/>
      <c r="F518" s="173"/>
      <c r="G518" s="173"/>
      <c r="H518" s="173"/>
    </row>
    <row r="519" ht="22.5" customHeight="1">
      <c r="A519" s="167">
        <v>526.0</v>
      </c>
      <c r="B519" s="168"/>
      <c r="C519" s="180"/>
      <c r="D519" s="173"/>
      <c r="E519" s="173"/>
      <c r="F519" s="173"/>
      <c r="G519" s="173"/>
      <c r="H519" s="173"/>
    </row>
    <row r="520" ht="22.5" customHeight="1">
      <c r="A520" s="167">
        <v>527.0</v>
      </c>
      <c r="B520" s="168"/>
      <c r="C520" s="180"/>
      <c r="D520" s="173"/>
      <c r="E520" s="173"/>
      <c r="F520" s="173"/>
      <c r="G520" s="173"/>
      <c r="H520" s="173"/>
    </row>
    <row r="521" ht="22.5" customHeight="1">
      <c r="A521" s="167">
        <v>528.0</v>
      </c>
      <c r="B521" s="168"/>
      <c r="C521" s="180"/>
      <c r="D521" s="173"/>
      <c r="E521" s="173"/>
      <c r="F521" s="173"/>
      <c r="G521" s="173"/>
      <c r="H521" s="173"/>
    </row>
    <row r="522" ht="22.5" customHeight="1">
      <c r="A522" s="167">
        <v>529.0</v>
      </c>
      <c r="B522" s="168"/>
      <c r="C522" s="180"/>
      <c r="D522" s="173"/>
      <c r="E522" s="173"/>
      <c r="F522" s="173"/>
      <c r="G522" s="173"/>
      <c r="H522" s="173"/>
    </row>
    <row r="523" ht="22.5" customHeight="1">
      <c r="A523" s="167">
        <v>530.0</v>
      </c>
      <c r="B523" s="168"/>
      <c r="C523" s="180"/>
      <c r="D523" s="173"/>
      <c r="E523" s="173"/>
      <c r="F523" s="173"/>
      <c r="G523" s="173"/>
      <c r="H523" s="173"/>
    </row>
    <row r="524" ht="22.5" customHeight="1">
      <c r="A524" s="167">
        <v>531.0</v>
      </c>
      <c r="B524" s="168"/>
      <c r="C524" s="180"/>
      <c r="D524" s="173"/>
      <c r="E524" s="173"/>
      <c r="F524" s="173"/>
      <c r="G524" s="173"/>
      <c r="H524" s="173"/>
    </row>
    <row r="525" ht="22.5" customHeight="1">
      <c r="A525" s="167">
        <v>532.0</v>
      </c>
      <c r="B525" s="168"/>
      <c r="C525" s="180"/>
      <c r="D525" s="173"/>
      <c r="E525" s="173"/>
      <c r="F525" s="173"/>
      <c r="G525" s="173"/>
      <c r="H525" s="173"/>
    </row>
    <row r="526" ht="22.5" customHeight="1">
      <c r="A526" s="167">
        <v>533.0</v>
      </c>
      <c r="B526" s="168"/>
      <c r="C526" s="180"/>
      <c r="D526" s="173"/>
      <c r="E526" s="173"/>
      <c r="F526" s="173"/>
      <c r="G526" s="173"/>
      <c r="H526" s="173"/>
    </row>
    <row r="527" ht="22.5" customHeight="1">
      <c r="A527" s="167">
        <v>534.0</v>
      </c>
      <c r="B527" s="168"/>
      <c r="C527" s="180"/>
      <c r="D527" s="173"/>
      <c r="E527" s="173"/>
      <c r="F527" s="173"/>
      <c r="G527" s="173"/>
      <c r="H527" s="173"/>
    </row>
    <row r="528" ht="22.5" customHeight="1">
      <c r="A528" s="167">
        <v>535.0</v>
      </c>
      <c r="B528" s="168"/>
      <c r="C528" s="180"/>
      <c r="D528" s="173"/>
      <c r="E528" s="173"/>
      <c r="F528" s="173"/>
      <c r="G528" s="173"/>
      <c r="H528" s="173"/>
    </row>
    <row r="529" ht="22.5" customHeight="1">
      <c r="A529" s="167">
        <v>536.0</v>
      </c>
      <c r="B529" s="168"/>
      <c r="C529" s="180"/>
      <c r="D529" s="173"/>
      <c r="E529" s="173"/>
      <c r="F529" s="173"/>
      <c r="G529" s="173"/>
      <c r="H529" s="173"/>
    </row>
    <row r="530" ht="22.5" customHeight="1">
      <c r="A530" s="167">
        <v>537.0</v>
      </c>
      <c r="B530" s="168"/>
      <c r="C530" s="180"/>
      <c r="D530" s="173"/>
      <c r="E530" s="173"/>
      <c r="F530" s="173"/>
      <c r="G530" s="173"/>
      <c r="H530" s="173"/>
    </row>
    <row r="531" ht="22.5" customHeight="1">
      <c r="A531" s="167">
        <v>538.0</v>
      </c>
      <c r="B531" s="168"/>
      <c r="C531" s="180"/>
      <c r="D531" s="173"/>
      <c r="E531" s="173"/>
      <c r="F531" s="173"/>
      <c r="G531" s="173"/>
      <c r="H531" s="173"/>
    </row>
    <row r="532" ht="22.5" customHeight="1">
      <c r="A532" s="167">
        <v>539.0</v>
      </c>
      <c r="B532" s="168"/>
      <c r="C532" s="180"/>
      <c r="D532" s="173"/>
      <c r="E532" s="173"/>
      <c r="F532" s="173"/>
      <c r="G532" s="173"/>
      <c r="H532" s="173"/>
    </row>
    <row r="533" ht="22.5" customHeight="1">
      <c r="A533" s="167">
        <v>540.0</v>
      </c>
      <c r="B533" s="168"/>
      <c r="C533" s="180"/>
      <c r="D533" s="173"/>
      <c r="E533" s="173"/>
      <c r="F533" s="173"/>
      <c r="G533" s="173"/>
      <c r="H533" s="173"/>
    </row>
    <row r="534" ht="22.5" customHeight="1">
      <c r="A534" s="167">
        <v>541.0</v>
      </c>
      <c r="B534" s="168"/>
      <c r="C534" s="180"/>
      <c r="D534" s="173"/>
      <c r="E534" s="173"/>
      <c r="F534" s="173"/>
      <c r="G534" s="173"/>
      <c r="H534" s="173"/>
    </row>
    <row r="535" ht="22.5" customHeight="1">
      <c r="A535" s="167">
        <v>542.0</v>
      </c>
      <c r="B535" s="168"/>
      <c r="C535" s="180"/>
      <c r="D535" s="173"/>
      <c r="E535" s="173"/>
      <c r="F535" s="173"/>
      <c r="G535" s="173"/>
      <c r="H535" s="173"/>
    </row>
    <row r="536" ht="22.5" customHeight="1">
      <c r="A536" s="167">
        <v>543.0</v>
      </c>
      <c r="B536" s="168"/>
      <c r="C536" s="180"/>
      <c r="D536" s="173"/>
      <c r="E536" s="173"/>
      <c r="F536" s="173"/>
      <c r="G536" s="173"/>
      <c r="H536" s="173"/>
    </row>
    <row r="537" ht="22.5" customHeight="1">
      <c r="A537" s="167">
        <v>544.0</v>
      </c>
      <c r="B537" s="168"/>
      <c r="C537" s="180"/>
      <c r="D537" s="173"/>
      <c r="E537" s="173"/>
      <c r="F537" s="173"/>
      <c r="G537" s="173"/>
      <c r="H537" s="173"/>
    </row>
    <row r="538" ht="22.5" customHeight="1">
      <c r="A538" s="167">
        <v>545.0</v>
      </c>
      <c r="B538" s="168"/>
      <c r="C538" s="180"/>
      <c r="D538" s="173"/>
      <c r="E538" s="173"/>
      <c r="F538" s="173"/>
      <c r="G538" s="173"/>
      <c r="H538" s="173"/>
    </row>
    <row r="539" ht="22.5" customHeight="1">
      <c r="A539" s="167">
        <v>546.0</v>
      </c>
      <c r="B539" s="168"/>
      <c r="C539" s="180"/>
      <c r="D539" s="173"/>
      <c r="E539" s="173"/>
      <c r="F539" s="173"/>
      <c r="G539" s="173"/>
      <c r="H539" s="173"/>
    </row>
    <row r="540" ht="22.5" customHeight="1">
      <c r="A540" s="167">
        <v>547.0</v>
      </c>
      <c r="B540" s="168"/>
      <c r="C540" s="180"/>
      <c r="D540" s="173"/>
      <c r="E540" s="173"/>
      <c r="F540" s="173"/>
      <c r="G540" s="173"/>
      <c r="H540" s="173"/>
    </row>
    <row r="541" ht="22.5" customHeight="1">
      <c r="A541" s="167">
        <v>548.0</v>
      </c>
      <c r="B541" s="168"/>
      <c r="C541" s="180"/>
      <c r="D541" s="173"/>
      <c r="E541" s="173"/>
      <c r="F541" s="173"/>
      <c r="G541" s="173"/>
      <c r="H541" s="173"/>
    </row>
    <row r="542" ht="22.5" customHeight="1">
      <c r="A542" s="167">
        <v>549.0</v>
      </c>
      <c r="B542" s="168"/>
      <c r="C542" s="180"/>
      <c r="D542" s="173"/>
      <c r="E542" s="173"/>
      <c r="F542" s="173"/>
      <c r="G542" s="173"/>
      <c r="H542" s="173"/>
    </row>
    <row r="543" ht="22.5" customHeight="1">
      <c r="A543" s="167">
        <v>550.0</v>
      </c>
      <c r="B543" s="168"/>
      <c r="C543" s="180"/>
      <c r="D543" s="173"/>
      <c r="E543" s="173"/>
      <c r="F543" s="173"/>
      <c r="G543" s="173"/>
      <c r="H543" s="173"/>
    </row>
    <row r="544" ht="22.5" customHeight="1">
      <c r="A544" s="167">
        <v>551.0</v>
      </c>
      <c r="B544" s="168"/>
      <c r="C544" s="180"/>
      <c r="D544" s="173"/>
      <c r="E544" s="173"/>
      <c r="F544" s="173"/>
      <c r="G544" s="173"/>
      <c r="H544" s="173"/>
    </row>
    <row r="545" ht="22.5" customHeight="1">
      <c r="A545" s="167">
        <v>552.0</v>
      </c>
      <c r="B545" s="168"/>
      <c r="C545" s="180"/>
      <c r="D545" s="173"/>
      <c r="E545" s="173"/>
      <c r="F545" s="173"/>
      <c r="G545" s="173"/>
      <c r="H545" s="173"/>
    </row>
    <row r="546" ht="22.5" customHeight="1">
      <c r="A546" s="167">
        <v>553.0</v>
      </c>
      <c r="B546" s="168"/>
      <c r="C546" s="180"/>
      <c r="D546" s="173"/>
      <c r="E546" s="173"/>
      <c r="F546" s="173"/>
      <c r="G546" s="173"/>
      <c r="H546" s="173"/>
    </row>
    <row r="547" ht="22.5" customHeight="1">
      <c r="A547" s="167">
        <v>554.0</v>
      </c>
      <c r="B547" s="168"/>
      <c r="C547" s="180"/>
      <c r="D547" s="173"/>
      <c r="E547" s="173"/>
      <c r="F547" s="173"/>
      <c r="G547" s="173"/>
      <c r="H547" s="173"/>
    </row>
    <row r="548" ht="22.5" customHeight="1">
      <c r="A548" s="167">
        <v>555.0</v>
      </c>
      <c r="B548" s="168"/>
      <c r="C548" s="180"/>
      <c r="D548" s="173"/>
      <c r="E548" s="173"/>
      <c r="F548" s="173"/>
      <c r="G548" s="173"/>
      <c r="H548" s="173"/>
    </row>
    <row r="549" ht="22.5" customHeight="1">
      <c r="A549" s="167">
        <v>556.0</v>
      </c>
      <c r="B549" s="168"/>
      <c r="C549" s="180"/>
      <c r="D549" s="173"/>
      <c r="E549" s="173"/>
      <c r="F549" s="173"/>
      <c r="G549" s="173"/>
      <c r="H549" s="173"/>
    </row>
    <row r="550" ht="22.5" customHeight="1">
      <c r="A550" s="167">
        <v>557.0</v>
      </c>
      <c r="B550" s="168"/>
      <c r="C550" s="180"/>
      <c r="D550" s="173"/>
      <c r="E550" s="173"/>
      <c r="F550" s="173"/>
      <c r="G550" s="173"/>
      <c r="H550" s="173"/>
    </row>
    <row r="551" ht="22.5" customHeight="1">
      <c r="A551" s="167">
        <v>558.0</v>
      </c>
      <c r="B551" s="168"/>
      <c r="C551" s="180"/>
      <c r="D551" s="173"/>
      <c r="E551" s="173"/>
      <c r="F551" s="173"/>
      <c r="G551" s="173"/>
      <c r="H551" s="173"/>
    </row>
    <row r="552" ht="22.5" customHeight="1">
      <c r="A552" s="167">
        <v>559.0</v>
      </c>
      <c r="B552" s="168"/>
      <c r="C552" s="180"/>
      <c r="D552" s="173"/>
      <c r="E552" s="173"/>
      <c r="F552" s="173"/>
      <c r="G552" s="173"/>
      <c r="H552" s="173"/>
    </row>
    <row r="553" ht="22.5" customHeight="1">
      <c r="A553" s="167">
        <v>560.0</v>
      </c>
      <c r="B553" s="168"/>
      <c r="C553" s="180"/>
      <c r="D553" s="173"/>
      <c r="E553" s="173"/>
      <c r="F553" s="173"/>
      <c r="G553" s="173"/>
      <c r="H553" s="173"/>
    </row>
    <row r="554" ht="22.5" customHeight="1">
      <c r="A554" s="167">
        <v>561.0</v>
      </c>
      <c r="B554" s="168"/>
      <c r="C554" s="180"/>
      <c r="D554" s="173"/>
      <c r="E554" s="173"/>
      <c r="F554" s="173"/>
      <c r="G554" s="173"/>
      <c r="H554" s="173"/>
    </row>
    <row r="555" ht="22.5" customHeight="1">
      <c r="A555" s="167">
        <v>562.0</v>
      </c>
      <c r="B555" s="168"/>
      <c r="C555" s="180"/>
      <c r="D555" s="173"/>
      <c r="E555" s="173"/>
      <c r="F555" s="173"/>
      <c r="G555" s="173"/>
      <c r="H555" s="173"/>
    </row>
    <row r="556" ht="22.5" customHeight="1">
      <c r="A556" s="167">
        <v>563.0</v>
      </c>
      <c r="B556" s="168"/>
      <c r="C556" s="180"/>
      <c r="D556" s="173"/>
      <c r="E556" s="173"/>
      <c r="F556" s="173"/>
      <c r="G556" s="173"/>
      <c r="H556" s="173"/>
    </row>
    <row r="557" ht="22.5" customHeight="1">
      <c r="A557" s="167">
        <v>564.0</v>
      </c>
      <c r="B557" s="168"/>
      <c r="C557" s="180"/>
      <c r="D557" s="173"/>
      <c r="E557" s="173"/>
      <c r="F557" s="173"/>
      <c r="G557" s="173"/>
      <c r="H557" s="173"/>
    </row>
    <row r="558" ht="22.5" customHeight="1">
      <c r="A558" s="167">
        <v>565.0</v>
      </c>
      <c r="B558" s="168"/>
      <c r="C558" s="180"/>
      <c r="D558" s="173"/>
      <c r="E558" s="173"/>
      <c r="F558" s="173"/>
      <c r="G558" s="173"/>
      <c r="H558" s="173"/>
    </row>
    <row r="559" ht="22.5" customHeight="1">
      <c r="A559" s="167">
        <v>566.0</v>
      </c>
      <c r="B559" s="168"/>
      <c r="C559" s="180"/>
      <c r="D559" s="173"/>
      <c r="E559" s="173"/>
      <c r="F559" s="173"/>
      <c r="G559" s="173"/>
      <c r="H559" s="173"/>
    </row>
    <row r="560" ht="22.5" customHeight="1">
      <c r="A560" s="167">
        <v>567.0</v>
      </c>
      <c r="B560" s="168"/>
      <c r="C560" s="180"/>
      <c r="D560" s="173"/>
      <c r="E560" s="173"/>
      <c r="F560" s="173"/>
      <c r="G560" s="173"/>
      <c r="H560" s="173"/>
    </row>
    <row r="561" ht="22.5" customHeight="1">
      <c r="A561" s="167">
        <v>568.0</v>
      </c>
      <c r="B561" s="168"/>
      <c r="C561" s="180"/>
      <c r="D561" s="173"/>
      <c r="E561" s="173"/>
      <c r="F561" s="173"/>
      <c r="G561" s="173"/>
      <c r="H561" s="173"/>
    </row>
    <row r="562" ht="22.5" customHeight="1">
      <c r="A562" s="167">
        <v>569.0</v>
      </c>
      <c r="B562" s="168"/>
      <c r="C562" s="180"/>
      <c r="D562" s="173"/>
      <c r="E562" s="173"/>
      <c r="F562" s="173"/>
      <c r="G562" s="173"/>
      <c r="H562" s="173"/>
    </row>
    <row r="563" ht="22.5" customHeight="1">
      <c r="A563" s="167">
        <v>570.0</v>
      </c>
      <c r="B563" s="168"/>
      <c r="C563" s="180"/>
      <c r="D563" s="173"/>
      <c r="E563" s="173"/>
      <c r="F563" s="173"/>
      <c r="G563" s="173"/>
      <c r="H563" s="173"/>
    </row>
    <row r="564" ht="22.5" customHeight="1">
      <c r="A564" s="167">
        <v>571.0</v>
      </c>
      <c r="B564" s="168"/>
      <c r="C564" s="180"/>
      <c r="D564" s="173"/>
      <c r="E564" s="173"/>
      <c r="F564" s="173"/>
      <c r="G564" s="173"/>
      <c r="H564" s="173"/>
    </row>
    <row r="565" ht="22.5" customHeight="1">
      <c r="A565" s="167">
        <v>572.0</v>
      </c>
      <c r="B565" s="168"/>
      <c r="C565" s="180"/>
      <c r="D565" s="173"/>
      <c r="E565" s="173"/>
      <c r="F565" s="173"/>
      <c r="G565" s="173"/>
      <c r="H565" s="173"/>
    </row>
    <row r="566" ht="22.5" customHeight="1">
      <c r="A566" s="167">
        <v>573.0</v>
      </c>
      <c r="B566" s="168"/>
      <c r="C566" s="180"/>
      <c r="D566" s="173"/>
      <c r="E566" s="173"/>
      <c r="F566" s="173"/>
      <c r="G566" s="173"/>
      <c r="H566" s="173"/>
    </row>
    <row r="567" ht="22.5" customHeight="1">
      <c r="A567" s="167">
        <v>574.0</v>
      </c>
      <c r="B567" s="168"/>
      <c r="C567" s="180"/>
      <c r="D567" s="173"/>
      <c r="E567" s="173"/>
      <c r="F567" s="173"/>
      <c r="G567" s="173"/>
      <c r="H567" s="173"/>
    </row>
    <row r="568" ht="22.5" customHeight="1">
      <c r="A568" s="167">
        <v>575.0</v>
      </c>
      <c r="B568" s="168"/>
      <c r="C568" s="180"/>
      <c r="D568" s="173"/>
      <c r="E568" s="173"/>
      <c r="F568" s="173"/>
      <c r="G568" s="173"/>
      <c r="H568" s="173"/>
    </row>
    <row r="569" ht="22.5" customHeight="1">
      <c r="A569" s="167">
        <v>576.0</v>
      </c>
      <c r="B569" s="168"/>
      <c r="C569" s="180"/>
      <c r="D569" s="173"/>
      <c r="E569" s="173"/>
      <c r="F569" s="173"/>
      <c r="G569" s="173"/>
      <c r="H569" s="173"/>
    </row>
    <row r="570" ht="22.5" customHeight="1">
      <c r="A570" s="167">
        <v>577.0</v>
      </c>
      <c r="B570" s="168"/>
      <c r="C570" s="180"/>
      <c r="D570" s="173"/>
      <c r="E570" s="173"/>
      <c r="F570" s="173"/>
      <c r="G570" s="173"/>
      <c r="H570" s="173"/>
    </row>
    <row r="571" ht="22.5" customHeight="1">
      <c r="A571" s="167">
        <v>578.0</v>
      </c>
      <c r="B571" s="168"/>
      <c r="C571" s="180"/>
      <c r="D571" s="173"/>
      <c r="E571" s="173"/>
      <c r="F571" s="173"/>
      <c r="G571" s="173"/>
      <c r="H571" s="173"/>
    </row>
    <row r="572" ht="22.5" customHeight="1">
      <c r="A572" s="167">
        <v>579.0</v>
      </c>
      <c r="B572" s="168"/>
      <c r="C572" s="180"/>
      <c r="D572" s="173"/>
      <c r="E572" s="173"/>
      <c r="F572" s="173"/>
      <c r="G572" s="173"/>
      <c r="H572" s="173"/>
    </row>
    <row r="573" ht="22.5" customHeight="1">
      <c r="A573" s="167">
        <v>580.0</v>
      </c>
      <c r="B573" s="168"/>
      <c r="C573" s="180"/>
      <c r="D573" s="173"/>
      <c r="E573" s="173"/>
      <c r="F573" s="173"/>
      <c r="G573" s="173"/>
      <c r="H573" s="173"/>
    </row>
    <row r="574" ht="22.5" customHeight="1">
      <c r="A574" s="167">
        <v>581.0</v>
      </c>
      <c r="B574" s="168"/>
      <c r="C574" s="180"/>
      <c r="D574" s="173"/>
      <c r="E574" s="173"/>
      <c r="F574" s="173"/>
      <c r="G574" s="173"/>
      <c r="H574" s="173"/>
    </row>
    <row r="575" ht="22.5" customHeight="1">
      <c r="A575" s="167">
        <v>582.0</v>
      </c>
      <c r="B575" s="168"/>
      <c r="C575" s="180"/>
      <c r="D575" s="173"/>
      <c r="E575" s="173"/>
      <c r="F575" s="173"/>
      <c r="G575" s="173"/>
      <c r="H575" s="173"/>
    </row>
    <row r="576" ht="22.5" customHeight="1">
      <c r="A576" s="167">
        <v>583.0</v>
      </c>
      <c r="B576" s="168"/>
      <c r="C576" s="180"/>
      <c r="D576" s="173"/>
      <c r="E576" s="173"/>
      <c r="F576" s="173"/>
      <c r="G576" s="173"/>
      <c r="H576" s="173"/>
    </row>
    <row r="577" ht="22.5" customHeight="1">
      <c r="A577" s="167">
        <v>584.0</v>
      </c>
      <c r="B577" s="168"/>
      <c r="C577" s="180"/>
      <c r="D577" s="173"/>
      <c r="E577" s="173"/>
      <c r="F577" s="173"/>
      <c r="G577" s="173"/>
      <c r="H577" s="173"/>
    </row>
    <row r="578" ht="22.5" customHeight="1">
      <c r="A578" s="167">
        <v>585.0</v>
      </c>
      <c r="B578" s="168"/>
      <c r="C578" s="180"/>
      <c r="D578" s="173"/>
      <c r="E578" s="173"/>
      <c r="F578" s="173"/>
      <c r="G578" s="173"/>
      <c r="H578" s="173"/>
    </row>
    <row r="579" ht="22.5" customHeight="1">
      <c r="A579" s="167">
        <v>586.0</v>
      </c>
      <c r="B579" s="168"/>
      <c r="C579" s="180"/>
      <c r="D579" s="173"/>
      <c r="E579" s="173"/>
      <c r="F579" s="173"/>
      <c r="G579" s="173"/>
      <c r="H579" s="173"/>
    </row>
    <row r="580" ht="22.5" customHeight="1">
      <c r="A580" s="167">
        <v>587.0</v>
      </c>
      <c r="B580" s="168"/>
      <c r="C580" s="180"/>
      <c r="D580" s="173"/>
      <c r="E580" s="173"/>
      <c r="F580" s="173"/>
      <c r="G580" s="173"/>
      <c r="H580" s="173"/>
    </row>
    <row r="581" ht="22.5" customHeight="1">
      <c r="A581" s="167">
        <v>588.0</v>
      </c>
      <c r="B581" s="168"/>
      <c r="C581" s="180"/>
      <c r="D581" s="173"/>
      <c r="E581" s="173"/>
      <c r="F581" s="173"/>
      <c r="G581" s="173"/>
      <c r="H581" s="173"/>
    </row>
    <row r="582" ht="22.5" customHeight="1">
      <c r="A582" s="167">
        <v>589.0</v>
      </c>
      <c r="B582" s="168"/>
      <c r="C582" s="180"/>
      <c r="D582" s="173"/>
      <c r="E582" s="173"/>
      <c r="F582" s="173"/>
      <c r="G582" s="173"/>
      <c r="H582" s="173"/>
    </row>
    <row r="583" ht="22.5" customHeight="1">
      <c r="A583" s="167">
        <v>590.0</v>
      </c>
      <c r="B583" s="168"/>
      <c r="C583" s="180"/>
      <c r="D583" s="173"/>
      <c r="E583" s="173"/>
      <c r="F583" s="173"/>
      <c r="G583" s="173"/>
      <c r="H583" s="173"/>
    </row>
    <row r="584" ht="22.5" customHeight="1">
      <c r="A584" s="167">
        <v>591.0</v>
      </c>
      <c r="B584" s="168"/>
      <c r="C584" s="180"/>
      <c r="D584" s="173"/>
      <c r="E584" s="173"/>
      <c r="F584" s="173"/>
      <c r="G584" s="173"/>
      <c r="H584" s="173"/>
    </row>
    <row r="585" ht="22.5" customHeight="1">
      <c r="A585" s="167">
        <v>592.0</v>
      </c>
      <c r="B585" s="168"/>
      <c r="C585" s="180"/>
      <c r="D585" s="173"/>
      <c r="E585" s="173"/>
      <c r="F585" s="173"/>
      <c r="G585" s="173"/>
      <c r="H585" s="173"/>
    </row>
    <row r="586" ht="22.5" customHeight="1">
      <c r="A586" s="167">
        <v>593.0</v>
      </c>
      <c r="B586" s="168"/>
      <c r="C586" s="180"/>
      <c r="D586" s="173"/>
      <c r="E586" s="173"/>
      <c r="F586" s="173"/>
      <c r="G586" s="173"/>
      <c r="H586" s="173"/>
    </row>
    <row r="587" ht="22.5" customHeight="1">
      <c r="A587" s="167">
        <v>594.0</v>
      </c>
      <c r="B587" s="168"/>
      <c r="C587" s="180"/>
      <c r="D587" s="173"/>
      <c r="E587" s="173"/>
      <c r="F587" s="173"/>
      <c r="G587" s="173"/>
      <c r="H587" s="173"/>
    </row>
    <row r="588" ht="22.5" customHeight="1">
      <c r="A588" s="167">
        <v>595.0</v>
      </c>
      <c r="B588" s="168"/>
      <c r="C588" s="180"/>
      <c r="D588" s="173"/>
      <c r="E588" s="173"/>
      <c r="F588" s="173"/>
      <c r="G588" s="173"/>
      <c r="H588" s="173"/>
    </row>
    <row r="589" ht="22.5" customHeight="1">
      <c r="A589" s="167">
        <v>596.0</v>
      </c>
      <c r="B589" s="168"/>
      <c r="C589" s="180"/>
      <c r="D589" s="173"/>
      <c r="E589" s="173"/>
      <c r="F589" s="173"/>
      <c r="G589" s="173"/>
      <c r="H589" s="173"/>
    </row>
    <row r="590" ht="22.5" customHeight="1">
      <c r="A590" s="167">
        <v>597.0</v>
      </c>
      <c r="B590" s="168"/>
      <c r="C590" s="180"/>
      <c r="D590" s="173"/>
      <c r="E590" s="173"/>
      <c r="F590" s="173"/>
      <c r="G590" s="173"/>
      <c r="H590" s="173"/>
    </row>
    <row r="591" ht="22.5" customHeight="1">
      <c r="A591" s="167">
        <v>598.0</v>
      </c>
      <c r="B591" s="168"/>
      <c r="C591" s="180"/>
      <c r="D591" s="173"/>
      <c r="E591" s="173"/>
      <c r="F591" s="173"/>
      <c r="G591" s="173"/>
      <c r="H591" s="173"/>
    </row>
    <row r="592" ht="22.5" customHeight="1">
      <c r="A592" s="167">
        <v>599.0</v>
      </c>
      <c r="B592" s="168"/>
      <c r="C592" s="180"/>
      <c r="D592" s="173"/>
      <c r="E592" s="173"/>
      <c r="F592" s="173"/>
      <c r="G592" s="173"/>
      <c r="H592" s="173"/>
    </row>
    <row r="593" ht="22.5" customHeight="1">
      <c r="A593" s="167">
        <v>600.0</v>
      </c>
      <c r="B593" s="168"/>
      <c r="C593" s="180"/>
      <c r="D593" s="173"/>
      <c r="E593" s="173"/>
      <c r="F593" s="173"/>
      <c r="G593" s="173"/>
      <c r="H593" s="173"/>
    </row>
    <row r="594" ht="22.5" customHeight="1">
      <c r="A594" s="167">
        <v>601.0</v>
      </c>
      <c r="B594" s="168"/>
      <c r="C594" s="180"/>
      <c r="D594" s="173"/>
      <c r="E594" s="173"/>
      <c r="F594" s="173"/>
      <c r="G594" s="173"/>
      <c r="H594" s="173"/>
    </row>
    <row r="595" ht="22.5" customHeight="1">
      <c r="A595" s="167">
        <v>602.0</v>
      </c>
      <c r="B595" s="168"/>
      <c r="C595" s="180"/>
      <c r="D595" s="173"/>
      <c r="E595" s="173"/>
      <c r="F595" s="173"/>
      <c r="G595" s="173"/>
      <c r="H595" s="173"/>
    </row>
    <row r="596" ht="22.5" customHeight="1">
      <c r="A596" s="167">
        <v>603.0</v>
      </c>
      <c r="B596" s="168"/>
      <c r="C596" s="180"/>
      <c r="D596" s="173"/>
      <c r="E596" s="173"/>
      <c r="F596" s="173"/>
      <c r="G596" s="173"/>
      <c r="H596" s="173"/>
    </row>
    <row r="597" ht="22.5" customHeight="1">
      <c r="A597" s="167">
        <v>604.0</v>
      </c>
      <c r="B597" s="168"/>
      <c r="C597" s="180"/>
      <c r="D597" s="173"/>
      <c r="E597" s="173"/>
      <c r="F597" s="173"/>
      <c r="G597" s="173"/>
      <c r="H597" s="173"/>
    </row>
    <row r="598" ht="22.5" customHeight="1">
      <c r="A598" s="167">
        <v>605.0</v>
      </c>
      <c r="B598" s="168"/>
      <c r="C598" s="180"/>
      <c r="D598" s="173"/>
      <c r="E598" s="173"/>
      <c r="F598" s="173"/>
      <c r="G598" s="173"/>
      <c r="H598" s="173"/>
    </row>
    <row r="599" ht="22.5" customHeight="1">
      <c r="A599" s="168"/>
      <c r="B599" s="168"/>
      <c r="C599" s="180"/>
      <c r="D599" s="173"/>
      <c r="E599" s="173"/>
      <c r="F599" s="173"/>
      <c r="G599" s="173"/>
      <c r="H599" s="173"/>
    </row>
    <row r="600" ht="22.5" customHeight="1">
      <c r="A600" s="168"/>
      <c r="B600" s="168"/>
      <c r="C600" s="180"/>
      <c r="D600" s="173"/>
      <c r="E600" s="173"/>
      <c r="F600" s="173"/>
      <c r="G600" s="173"/>
      <c r="H600" s="173"/>
    </row>
    <row r="601" ht="22.5" customHeight="1">
      <c r="A601" s="168"/>
      <c r="B601" s="168"/>
      <c r="C601" s="180"/>
      <c r="D601" s="173"/>
      <c r="E601" s="173"/>
      <c r="F601" s="173"/>
      <c r="G601" s="173"/>
      <c r="H601" s="173"/>
    </row>
    <row r="602" ht="22.5" customHeight="1">
      <c r="A602" s="168"/>
      <c r="B602" s="168"/>
      <c r="C602" s="180"/>
      <c r="D602" s="173"/>
      <c r="E602" s="173"/>
      <c r="F602" s="173"/>
      <c r="G602" s="173"/>
      <c r="H602" s="173"/>
    </row>
    <row r="603" ht="22.5" customHeight="1">
      <c r="A603" s="168"/>
      <c r="B603" s="168"/>
      <c r="C603" s="180"/>
      <c r="D603" s="173"/>
      <c r="E603" s="173"/>
      <c r="F603" s="173"/>
      <c r="G603" s="173"/>
      <c r="H603" s="173"/>
    </row>
    <row r="604" ht="22.5" customHeight="1">
      <c r="A604" s="168"/>
      <c r="B604" s="168"/>
      <c r="C604" s="180"/>
      <c r="D604" s="173"/>
      <c r="E604" s="173"/>
      <c r="F604" s="173"/>
      <c r="G604" s="173"/>
      <c r="H604" s="173"/>
    </row>
    <row r="605" ht="22.5" customHeight="1">
      <c r="A605" s="168"/>
      <c r="B605" s="168"/>
      <c r="C605" s="180"/>
      <c r="D605" s="173"/>
      <c r="E605" s="173"/>
      <c r="F605" s="173"/>
      <c r="G605" s="173"/>
      <c r="H605" s="173"/>
    </row>
    <row r="606" ht="22.5" customHeight="1">
      <c r="A606" s="168"/>
      <c r="B606" s="168"/>
      <c r="C606" s="180"/>
      <c r="D606" s="173"/>
      <c r="E606" s="173"/>
      <c r="F606" s="173"/>
      <c r="G606" s="173"/>
      <c r="H606" s="173"/>
    </row>
    <row r="607" ht="22.5" customHeight="1">
      <c r="A607" s="168"/>
      <c r="B607" s="168"/>
      <c r="C607" s="180"/>
      <c r="D607" s="173"/>
      <c r="E607" s="173"/>
      <c r="F607" s="173"/>
      <c r="G607" s="173"/>
      <c r="H607" s="173"/>
    </row>
    <row r="608" ht="22.5" customHeight="1">
      <c r="A608" s="168"/>
      <c r="B608" s="168"/>
      <c r="C608" s="180"/>
      <c r="D608" s="173"/>
      <c r="E608" s="173"/>
      <c r="F608" s="173"/>
      <c r="G608" s="173"/>
      <c r="H608" s="173"/>
    </row>
    <row r="609" ht="22.5" customHeight="1">
      <c r="A609" s="168"/>
      <c r="B609" s="168"/>
      <c r="C609" s="180"/>
      <c r="D609" s="173"/>
      <c r="E609" s="173"/>
      <c r="F609" s="173"/>
      <c r="G609" s="173"/>
      <c r="H609" s="173"/>
    </row>
    <row r="610" ht="22.5" customHeight="1">
      <c r="A610" s="168"/>
      <c r="B610" s="168"/>
      <c r="C610" s="180"/>
      <c r="D610" s="173"/>
      <c r="E610" s="173"/>
      <c r="F610" s="173"/>
      <c r="G610" s="173"/>
      <c r="H610" s="173"/>
    </row>
    <row r="611" ht="22.5" customHeight="1">
      <c r="A611" s="168"/>
      <c r="B611" s="168"/>
      <c r="C611" s="180"/>
      <c r="D611" s="173"/>
      <c r="E611" s="173"/>
      <c r="F611" s="173"/>
      <c r="G611" s="173"/>
      <c r="H611" s="173"/>
    </row>
    <row r="612" ht="22.5" customHeight="1">
      <c r="A612" s="168"/>
      <c r="B612" s="168"/>
      <c r="C612" s="180"/>
      <c r="D612" s="173"/>
      <c r="E612" s="173"/>
      <c r="F612" s="173"/>
      <c r="G612" s="173"/>
      <c r="H612" s="173"/>
    </row>
    <row r="613" ht="22.5" customHeight="1">
      <c r="A613" s="168"/>
      <c r="B613" s="168"/>
      <c r="C613" s="180"/>
      <c r="D613" s="173"/>
      <c r="E613" s="173"/>
      <c r="F613" s="173"/>
      <c r="G613" s="173"/>
      <c r="H613" s="173"/>
    </row>
    <row r="614" ht="22.5" customHeight="1">
      <c r="A614" s="168"/>
      <c r="B614" s="168"/>
      <c r="C614" s="180"/>
      <c r="D614" s="173"/>
      <c r="E614" s="173"/>
      <c r="F614" s="173"/>
      <c r="G614" s="173"/>
      <c r="H614" s="173"/>
    </row>
    <row r="615" ht="22.5" customHeight="1">
      <c r="A615" s="168"/>
      <c r="B615" s="168"/>
      <c r="C615" s="180"/>
      <c r="D615" s="173"/>
      <c r="E615" s="173"/>
      <c r="F615" s="173"/>
      <c r="G615" s="173"/>
      <c r="H615" s="173"/>
    </row>
    <row r="616" ht="22.5" customHeight="1">
      <c r="A616" s="168"/>
      <c r="B616" s="168"/>
      <c r="C616" s="180"/>
      <c r="D616" s="173"/>
      <c r="E616" s="173"/>
      <c r="F616" s="173"/>
      <c r="G616" s="173"/>
      <c r="H616" s="173"/>
    </row>
    <row r="617" ht="22.5" customHeight="1">
      <c r="A617" s="168"/>
      <c r="B617" s="168"/>
      <c r="C617" s="180"/>
      <c r="D617" s="173"/>
      <c r="E617" s="173"/>
      <c r="F617" s="173"/>
      <c r="G617" s="173"/>
      <c r="H617" s="173"/>
    </row>
    <row r="618" ht="22.5" customHeight="1">
      <c r="A618" s="168"/>
      <c r="B618" s="168"/>
      <c r="C618" s="180"/>
      <c r="D618" s="173"/>
      <c r="E618" s="173"/>
      <c r="F618" s="173"/>
      <c r="G618" s="173"/>
      <c r="H618" s="173"/>
    </row>
    <row r="619" ht="22.5" customHeight="1">
      <c r="A619" s="168"/>
      <c r="B619" s="168"/>
      <c r="C619" s="180"/>
      <c r="D619" s="173"/>
      <c r="E619" s="173"/>
      <c r="F619" s="173"/>
      <c r="G619" s="173"/>
      <c r="H619" s="173"/>
    </row>
    <row r="620" ht="22.5" customHeight="1">
      <c r="A620" s="168"/>
      <c r="B620" s="168"/>
      <c r="C620" s="180"/>
      <c r="D620" s="173"/>
      <c r="E620" s="173"/>
      <c r="F620" s="173"/>
      <c r="G620" s="173"/>
      <c r="H620" s="173"/>
    </row>
    <row r="621" ht="22.5" customHeight="1">
      <c r="A621" s="168"/>
      <c r="B621" s="168"/>
      <c r="C621" s="180"/>
      <c r="D621" s="173"/>
      <c r="E621" s="173"/>
      <c r="F621" s="173"/>
      <c r="G621" s="173"/>
      <c r="H621" s="173"/>
    </row>
    <row r="622" ht="22.5" customHeight="1">
      <c r="A622" s="168"/>
      <c r="B622" s="168"/>
      <c r="C622" s="180"/>
      <c r="D622" s="173"/>
      <c r="E622" s="173"/>
      <c r="F622" s="173"/>
      <c r="G622" s="173"/>
      <c r="H622" s="173"/>
    </row>
    <row r="623" ht="22.5" customHeight="1">
      <c r="A623" s="168"/>
      <c r="B623" s="168"/>
      <c r="C623" s="180"/>
      <c r="D623" s="173"/>
      <c r="E623" s="173"/>
      <c r="F623" s="173"/>
      <c r="G623" s="173"/>
      <c r="H623" s="173"/>
    </row>
    <row r="624" ht="22.5" customHeight="1">
      <c r="A624" s="168"/>
      <c r="B624" s="168"/>
      <c r="C624" s="180"/>
      <c r="D624" s="173"/>
      <c r="E624" s="173"/>
      <c r="F624" s="173"/>
      <c r="G624" s="173"/>
      <c r="H624" s="173"/>
    </row>
    <row r="625" ht="22.5" customHeight="1">
      <c r="A625" s="168"/>
      <c r="B625" s="168"/>
      <c r="C625" s="180"/>
      <c r="D625" s="173"/>
      <c r="E625" s="173"/>
      <c r="F625" s="173"/>
      <c r="G625" s="173"/>
      <c r="H625" s="173"/>
    </row>
    <row r="626" ht="22.5" customHeight="1">
      <c r="A626" s="168"/>
      <c r="B626" s="168"/>
      <c r="C626" s="180"/>
      <c r="D626" s="173"/>
      <c r="E626" s="173"/>
      <c r="F626" s="173"/>
      <c r="G626" s="173"/>
      <c r="H626" s="173"/>
    </row>
    <row r="627" ht="22.5" customHeight="1">
      <c r="A627" s="168"/>
      <c r="B627" s="168"/>
      <c r="C627" s="180"/>
      <c r="D627" s="173"/>
      <c r="E627" s="173"/>
      <c r="F627" s="173"/>
      <c r="G627" s="173"/>
      <c r="H627" s="173"/>
    </row>
    <row r="628" ht="22.5" customHeight="1">
      <c r="A628" s="168"/>
      <c r="B628" s="168"/>
      <c r="C628" s="180"/>
      <c r="D628" s="173"/>
      <c r="E628" s="173"/>
      <c r="F628" s="173"/>
      <c r="G628" s="173"/>
      <c r="H628" s="173"/>
    </row>
    <row r="629" ht="22.5" customHeight="1">
      <c r="A629" s="168"/>
      <c r="B629" s="168"/>
      <c r="C629" s="180"/>
      <c r="D629" s="173"/>
      <c r="E629" s="173"/>
      <c r="F629" s="173"/>
      <c r="G629" s="173"/>
      <c r="H629" s="173"/>
    </row>
    <row r="630" ht="22.5" customHeight="1">
      <c r="A630" s="168"/>
      <c r="B630" s="168"/>
      <c r="C630" s="180"/>
      <c r="D630" s="173"/>
      <c r="E630" s="173"/>
      <c r="F630" s="173"/>
      <c r="G630" s="173"/>
      <c r="H630" s="173"/>
    </row>
    <row r="631" ht="22.5" customHeight="1">
      <c r="A631" s="168"/>
      <c r="B631" s="168"/>
      <c r="C631" s="180"/>
      <c r="D631" s="173"/>
      <c r="E631" s="173"/>
      <c r="F631" s="173"/>
      <c r="G631" s="173"/>
      <c r="H631" s="173"/>
    </row>
    <row r="632" ht="22.5" customHeight="1">
      <c r="A632" s="168"/>
      <c r="B632" s="168"/>
      <c r="C632" s="180"/>
      <c r="D632" s="173"/>
      <c r="E632" s="173"/>
      <c r="F632" s="173"/>
      <c r="G632" s="173"/>
      <c r="H632" s="173"/>
    </row>
    <row r="633" ht="22.5" customHeight="1">
      <c r="A633" s="168"/>
      <c r="B633" s="168"/>
      <c r="C633" s="180"/>
      <c r="D633" s="173"/>
      <c r="E633" s="173"/>
      <c r="F633" s="173"/>
      <c r="G633" s="173"/>
      <c r="H633" s="173"/>
    </row>
    <row r="634" ht="22.5" customHeight="1">
      <c r="A634" s="168"/>
      <c r="B634" s="168"/>
      <c r="C634" s="180"/>
      <c r="D634" s="173"/>
      <c r="E634" s="173"/>
      <c r="F634" s="173"/>
      <c r="G634" s="173"/>
      <c r="H634" s="173"/>
    </row>
    <row r="635" ht="22.5" customHeight="1">
      <c r="A635" s="168"/>
      <c r="B635" s="168"/>
      <c r="C635" s="180"/>
      <c r="D635" s="173"/>
      <c r="E635" s="173"/>
      <c r="F635" s="173"/>
      <c r="G635" s="173"/>
      <c r="H635" s="173"/>
    </row>
    <row r="636" ht="22.5" customHeight="1">
      <c r="A636" s="168"/>
      <c r="B636" s="168"/>
      <c r="C636" s="180"/>
      <c r="D636" s="173"/>
      <c r="E636" s="173"/>
      <c r="F636" s="173"/>
      <c r="G636" s="173"/>
      <c r="H636" s="173"/>
    </row>
    <row r="637" ht="22.5" customHeight="1">
      <c r="A637" s="168"/>
      <c r="B637" s="168"/>
      <c r="C637" s="180"/>
      <c r="D637" s="173"/>
      <c r="E637" s="173"/>
      <c r="F637" s="173"/>
      <c r="G637" s="173"/>
      <c r="H637" s="173"/>
    </row>
    <row r="638" ht="22.5" customHeight="1">
      <c r="A638" s="168"/>
      <c r="B638" s="168"/>
      <c r="C638" s="180"/>
      <c r="D638" s="173"/>
      <c r="E638" s="173"/>
      <c r="F638" s="173"/>
      <c r="G638" s="173"/>
      <c r="H638" s="173"/>
    </row>
    <row r="639" ht="22.5" customHeight="1">
      <c r="A639" s="168"/>
      <c r="B639" s="168"/>
      <c r="C639" s="180"/>
      <c r="D639" s="173"/>
      <c r="E639" s="173"/>
      <c r="F639" s="173"/>
      <c r="G639" s="173"/>
      <c r="H639" s="173"/>
    </row>
    <row r="640" ht="22.5" customHeight="1">
      <c r="A640" s="168"/>
      <c r="B640" s="168"/>
      <c r="C640" s="180"/>
      <c r="D640" s="173"/>
      <c r="E640" s="173"/>
      <c r="F640" s="173"/>
      <c r="G640" s="173"/>
      <c r="H640" s="173"/>
    </row>
    <row r="641" ht="22.5" customHeight="1">
      <c r="A641" s="168"/>
      <c r="B641" s="168"/>
      <c r="C641" s="180"/>
      <c r="D641" s="173"/>
      <c r="E641" s="173"/>
      <c r="F641" s="173"/>
      <c r="G641" s="173"/>
      <c r="H641" s="173"/>
    </row>
    <row r="642" ht="22.5" customHeight="1">
      <c r="A642" s="168"/>
      <c r="B642" s="168"/>
      <c r="C642" s="180"/>
      <c r="D642" s="173"/>
      <c r="E642" s="173"/>
      <c r="F642" s="173"/>
      <c r="G642" s="173"/>
      <c r="H642" s="173"/>
    </row>
    <row r="643" ht="22.5" customHeight="1">
      <c r="A643" s="168"/>
      <c r="B643" s="168"/>
      <c r="C643" s="180"/>
      <c r="D643" s="173"/>
      <c r="E643" s="173"/>
      <c r="F643" s="173"/>
      <c r="G643" s="173"/>
      <c r="H643" s="173"/>
    </row>
    <row r="644" ht="22.5" customHeight="1">
      <c r="A644" s="168"/>
      <c r="B644" s="168"/>
      <c r="C644" s="180"/>
      <c r="D644" s="173"/>
      <c r="E644" s="173"/>
      <c r="F644" s="173"/>
      <c r="G644" s="173"/>
      <c r="H644" s="173"/>
    </row>
    <row r="645" ht="22.5" customHeight="1">
      <c r="A645" s="168"/>
      <c r="B645" s="168"/>
      <c r="C645" s="180"/>
      <c r="D645" s="173"/>
      <c r="E645" s="173"/>
      <c r="F645" s="173"/>
      <c r="G645" s="173"/>
      <c r="H645" s="173"/>
    </row>
    <row r="646" ht="22.5" customHeight="1">
      <c r="A646" s="168"/>
      <c r="B646" s="168"/>
      <c r="C646" s="180"/>
      <c r="D646" s="173"/>
      <c r="E646" s="173"/>
      <c r="F646" s="173"/>
      <c r="G646" s="173"/>
      <c r="H646" s="173"/>
    </row>
    <row r="647" ht="22.5" customHeight="1">
      <c r="A647" s="168"/>
      <c r="B647" s="168"/>
      <c r="C647" s="180"/>
      <c r="D647" s="173"/>
      <c r="E647" s="173"/>
      <c r="F647" s="173"/>
      <c r="G647" s="173"/>
      <c r="H647" s="173"/>
    </row>
    <row r="648" ht="22.5" customHeight="1">
      <c r="A648" s="168"/>
      <c r="B648" s="168"/>
      <c r="C648" s="180"/>
      <c r="D648" s="173"/>
      <c r="E648" s="173"/>
      <c r="F648" s="173"/>
      <c r="G648" s="173"/>
      <c r="H648" s="173"/>
    </row>
    <row r="649" ht="22.5" customHeight="1">
      <c r="A649" s="168"/>
      <c r="B649" s="168"/>
      <c r="C649" s="180"/>
      <c r="D649" s="173"/>
      <c r="E649" s="173"/>
      <c r="F649" s="173"/>
      <c r="G649" s="173"/>
      <c r="H649" s="173"/>
    </row>
    <row r="650" ht="22.5" customHeight="1">
      <c r="A650" s="168"/>
      <c r="B650" s="168"/>
      <c r="C650" s="180"/>
      <c r="D650" s="173"/>
      <c r="E650" s="173"/>
      <c r="F650" s="173"/>
      <c r="G650" s="173"/>
      <c r="H650" s="173"/>
    </row>
    <row r="651" ht="22.5" customHeight="1">
      <c r="A651" s="168"/>
      <c r="B651" s="168"/>
      <c r="C651" s="180"/>
      <c r="D651" s="173"/>
      <c r="E651" s="173"/>
      <c r="F651" s="173"/>
      <c r="G651" s="173"/>
      <c r="H651" s="173"/>
    </row>
    <row r="652" ht="22.5" customHeight="1">
      <c r="A652" s="168"/>
      <c r="B652" s="168"/>
      <c r="C652" s="180"/>
      <c r="D652" s="173"/>
      <c r="E652" s="173"/>
      <c r="F652" s="173"/>
      <c r="G652" s="173"/>
      <c r="H652" s="173"/>
    </row>
    <row r="653" ht="22.5" customHeight="1">
      <c r="A653" s="168"/>
      <c r="B653" s="168"/>
      <c r="C653" s="180"/>
      <c r="D653" s="173"/>
      <c r="E653" s="173"/>
      <c r="F653" s="173"/>
      <c r="G653" s="173"/>
      <c r="H653" s="173"/>
    </row>
    <row r="654" ht="22.5" customHeight="1">
      <c r="A654" s="168"/>
      <c r="B654" s="168"/>
      <c r="C654" s="180"/>
      <c r="D654" s="173"/>
      <c r="E654" s="173"/>
      <c r="F654" s="173"/>
      <c r="G654" s="173"/>
      <c r="H654" s="173"/>
    </row>
    <row r="655" ht="22.5" customHeight="1">
      <c r="A655" s="168"/>
      <c r="B655" s="168"/>
      <c r="C655" s="180"/>
      <c r="D655" s="173"/>
      <c r="E655" s="173"/>
      <c r="F655" s="173"/>
      <c r="G655" s="173"/>
      <c r="H655" s="173"/>
    </row>
    <row r="656" ht="22.5" customHeight="1">
      <c r="A656" s="168"/>
      <c r="B656" s="168"/>
      <c r="C656" s="180"/>
      <c r="D656" s="173"/>
      <c r="E656" s="173"/>
      <c r="F656" s="173"/>
      <c r="G656" s="173"/>
      <c r="H656" s="173"/>
    </row>
    <row r="657" ht="22.5" customHeight="1">
      <c r="A657" s="168"/>
      <c r="B657" s="168"/>
      <c r="C657" s="180"/>
      <c r="D657" s="173"/>
      <c r="E657" s="173"/>
      <c r="F657" s="173"/>
      <c r="G657" s="173"/>
      <c r="H657" s="173"/>
    </row>
    <row r="658" ht="22.5" customHeight="1">
      <c r="A658" s="168"/>
      <c r="B658" s="168"/>
      <c r="C658" s="180"/>
      <c r="D658" s="173"/>
      <c r="E658" s="173"/>
      <c r="F658" s="173"/>
      <c r="G658" s="173"/>
      <c r="H658" s="173"/>
    </row>
    <row r="659" ht="22.5" customHeight="1">
      <c r="A659" s="168"/>
      <c r="B659" s="168"/>
      <c r="C659" s="180"/>
      <c r="D659" s="173"/>
      <c r="E659" s="173"/>
      <c r="F659" s="173"/>
      <c r="G659" s="173"/>
      <c r="H659" s="173"/>
    </row>
    <row r="660" ht="22.5" customHeight="1">
      <c r="A660" s="168"/>
      <c r="B660" s="168"/>
      <c r="C660" s="180"/>
      <c r="D660" s="173"/>
      <c r="E660" s="173"/>
      <c r="F660" s="173"/>
      <c r="G660" s="173"/>
      <c r="H660" s="173"/>
    </row>
    <row r="661" ht="22.5" customHeight="1">
      <c r="A661" s="168"/>
      <c r="B661" s="168"/>
      <c r="C661" s="180"/>
      <c r="D661" s="173"/>
      <c r="E661" s="173"/>
      <c r="F661" s="173"/>
      <c r="G661" s="173"/>
      <c r="H661" s="173"/>
    </row>
    <row r="662" ht="22.5" customHeight="1">
      <c r="A662" s="168"/>
      <c r="B662" s="168"/>
      <c r="C662" s="180"/>
      <c r="D662" s="173"/>
      <c r="E662" s="173"/>
      <c r="F662" s="173"/>
      <c r="G662" s="173"/>
      <c r="H662" s="173"/>
    </row>
    <row r="663" ht="22.5" customHeight="1">
      <c r="A663" s="168"/>
      <c r="B663" s="168"/>
      <c r="C663" s="180"/>
      <c r="D663" s="173"/>
      <c r="E663" s="173"/>
      <c r="F663" s="173"/>
      <c r="G663" s="173"/>
      <c r="H663" s="173"/>
    </row>
    <row r="664" ht="22.5" customHeight="1">
      <c r="A664" s="168"/>
      <c r="B664" s="168"/>
      <c r="C664" s="180"/>
      <c r="D664" s="173"/>
      <c r="E664" s="173"/>
      <c r="F664" s="173"/>
      <c r="G664" s="173"/>
      <c r="H664" s="173"/>
    </row>
    <row r="665" ht="22.5" customHeight="1">
      <c r="A665" s="168"/>
      <c r="B665" s="168"/>
      <c r="C665" s="180"/>
      <c r="D665" s="173"/>
      <c r="E665" s="173"/>
      <c r="F665" s="173"/>
      <c r="G665" s="173"/>
      <c r="H665" s="173"/>
    </row>
    <row r="666" ht="22.5" customHeight="1">
      <c r="A666" s="168"/>
      <c r="B666" s="168"/>
      <c r="C666" s="180"/>
      <c r="D666" s="173"/>
      <c r="E666" s="173"/>
      <c r="F666" s="173"/>
      <c r="G666" s="173"/>
      <c r="H666" s="173"/>
    </row>
    <row r="667" ht="22.5" customHeight="1">
      <c r="A667" s="168"/>
      <c r="B667" s="168"/>
      <c r="C667" s="180"/>
      <c r="D667" s="173"/>
      <c r="E667" s="173"/>
      <c r="F667" s="173"/>
      <c r="G667" s="173"/>
      <c r="H667" s="173"/>
    </row>
    <row r="668" ht="22.5" customHeight="1">
      <c r="A668" s="168"/>
      <c r="B668" s="168"/>
      <c r="C668" s="180"/>
      <c r="D668" s="173"/>
      <c r="E668" s="173"/>
      <c r="F668" s="173"/>
      <c r="G668" s="173"/>
      <c r="H668" s="173"/>
    </row>
    <row r="669" ht="22.5" customHeight="1">
      <c r="A669" s="168"/>
      <c r="B669" s="168"/>
      <c r="C669" s="180"/>
      <c r="D669" s="173"/>
      <c r="E669" s="173"/>
      <c r="F669" s="173"/>
      <c r="G669" s="173"/>
      <c r="H669" s="173"/>
    </row>
    <row r="670" ht="22.5" customHeight="1">
      <c r="A670" s="168"/>
      <c r="B670" s="168"/>
      <c r="C670" s="180"/>
      <c r="D670" s="173"/>
      <c r="E670" s="173"/>
      <c r="F670" s="173"/>
      <c r="G670" s="173"/>
      <c r="H670" s="173"/>
    </row>
    <row r="671" ht="22.5" customHeight="1">
      <c r="A671" s="168"/>
      <c r="B671" s="168"/>
      <c r="C671" s="180"/>
      <c r="D671" s="173"/>
      <c r="E671" s="173"/>
      <c r="F671" s="173"/>
      <c r="G671" s="173"/>
      <c r="H671" s="173"/>
    </row>
    <row r="672" ht="22.5" customHeight="1">
      <c r="A672" s="168"/>
      <c r="B672" s="168"/>
      <c r="C672" s="180"/>
      <c r="D672" s="173"/>
      <c r="E672" s="173"/>
      <c r="F672" s="173"/>
      <c r="G672" s="173"/>
      <c r="H672" s="173"/>
    </row>
    <row r="673" ht="22.5" customHeight="1">
      <c r="A673" s="168"/>
      <c r="B673" s="168"/>
      <c r="C673" s="180"/>
      <c r="D673" s="173"/>
      <c r="E673" s="173"/>
      <c r="F673" s="173"/>
      <c r="G673" s="173"/>
      <c r="H673" s="173"/>
    </row>
    <row r="674" ht="22.5" customHeight="1">
      <c r="A674" s="168"/>
      <c r="B674" s="168"/>
      <c r="C674" s="180"/>
      <c r="D674" s="173"/>
      <c r="E674" s="173"/>
      <c r="F674" s="173"/>
      <c r="G674" s="173"/>
      <c r="H674" s="173"/>
    </row>
    <row r="675" ht="22.5" customHeight="1">
      <c r="A675" s="168"/>
      <c r="B675" s="168"/>
      <c r="C675" s="180"/>
      <c r="D675" s="173"/>
      <c r="E675" s="173"/>
      <c r="F675" s="173"/>
      <c r="G675" s="173"/>
      <c r="H675" s="173"/>
    </row>
    <row r="676" ht="22.5" customHeight="1">
      <c r="A676" s="168"/>
      <c r="B676" s="168"/>
      <c r="C676" s="180"/>
      <c r="D676" s="173"/>
      <c r="E676" s="173"/>
      <c r="F676" s="173"/>
      <c r="G676" s="173"/>
      <c r="H676" s="173"/>
    </row>
    <row r="677" ht="22.5" customHeight="1">
      <c r="A677" s="168"/>
      <c r="B677" s="168"/>
      <c r="C677" s="180"/>
      <c r="D677" s="173"/>
      <c r="E677" s="173"/>
      <c r="F677" s="173"/>
      <c r="G677" s="173"/>
      <c r="H677" s="173"/>
    </row>
    <row r="678" ht="22.5" customHeight="1">
      <c r="A678" s="168"/>
      <c r="B678" s="168"/>
      <c r="C678" s="180"/>
      <c r="D678" s="173"/>
      <c r="E678" s="173"/>
      <c r="F678" s="173"/>
      <c r="G678" s="173"/>
      <c r="H678" s="173"/>
    </row>
    <row r="679" ht="22.5" customHeight="1">
      <c r="A679" s="168"/>
      <c r="B679" s="168"/>
      <c r="C679" s="180"/>
      <c r="D679" s="173"/>
      <c r="E679" s="173"/>
      <c r="F679" s="173"/>
      <c r="G679" s="173"/>
      <c r="H679" s="173"/>
    </row>
    <row r="680" ht="22.5" customHeight="1">
      <c r="A680" s="168"/>
      <c r="B680" s="168"/>
      <c r="C680" s="180"/>
      <c r="D680" s="173"/>
      <c r="E680" s="173"/>
      <c r="F680" s="173"/>
      <c r="G680" s="173"/>
      <c r="H680" s="173"/>
    </row>
    <row r="681" ht="22.5" customHeight="1">
      <c r="A681" s="168"/>
      <c r="B681" s="168"/>
      <c r="C681" s="180"/>
      <c r="D681" s="173"/>
      <c r="E681" s="173"/>
      <c r="F681" s="173"/>
      <c r="G681" s="173"/>
      <c r="H681" s="173"/>
    </row>
    <row r="682" ht="22.5" customHeight="1">
      <c r="A682" s="168"/>
      <c r="B682" s="168"/>
      <c r="C682" s="180"/>
      <c r="D682" s="173"/>
      <c r="E682" s="173"/>
      <c r="F682" s="173"/>
      <c r="G682" s="173"/>
      <c r="H682" s="173"/>
    </row>
    <row r="683" ht="22.5" customHeight="1">
      <c r="A683" s="168"/>
      <c r="B683" s="168"/>
      <c r="C683" s="180"/>
      <c r="D683" s="173"/>
      <c r="E683" s="173"/>
      <c r="F683" s="173"/>
      <c r="G683" s="173"/>
      <c r="H683" s="173"/>
    </row>
    <row r="684" ht="22.5" customHeight="1">
      <c r="A684" s="168"/>
      <c r="B684" s="168"/>
      <c r="C684" s="180"/>
      <c r="D684" s="173"/>
      <c r="E684" s="173"/>
      <c r="F684" s="173"/>
      <c r="G684" s="173"/>
      <c r="H684" s="173"/>
    </row>
    <row r="685" ht="22.5" customHeight="1">
      <c r="A685" s="168"/>
      <c r="B685" s="168"/>
      <c r="C685" s="180"/>
      <c r="D685" s="173"/>
      <c r="E685" s="173"/>
      <c r="F685" s="173"/>
      <c r="G685" s="173"/>
      <c r="H685" s="173"/>
    </row>
    <row r="686" ht="22.5" customHeight="1">
      <c r="A686" s="168"/>
      <c r="B686" s="168"/>
      <c r="C686" s="180"/>
      <c r="D686" s="173"/>
      <c r="E686" s="173"/>
      <c r="F686" s="173"/>
      <c r="G686" s="173"/>
      <c r="H686" s="173"/>
    </row>
    <row r="687" ht="22.5" customHeight="1">
      <c r="A687" s="168"/>
      <c r="B687" s="168"/>
      <c r="C687" s="180"/>
      <c r="D687" s="173"/>
      <c r="E687" s="173"/>
      <c r="F687" s="173"/>
      <c r="G687" s="173"/>
      <c r="H687" s="173"/>
    </row>
    <row r="688" ht="22.5" customHeight="1">
      <c r="A688" s="168"/>
      <c r="B688" s="168"/>
      <c r="C688" s="180"/>
      <c r="D688" s="173"/>
      <c r="E688" s="173"/>
      <c r="F688" s="173"/>
      <c r="G688" s="173"/>
      <c r="H688" s="173"/>
    </row>
    <row r="689" ht="22.5" customHeight="1">
      <c r="A689" s="168"/>
      <c r="B689" s="168"/>
      <c r="C689" s="180"/>
      <c r="D689" s="173"/>
      <c r="E689" s="173"/>
      <c r="F689" s="173"/>
      <c r="G689" s="173"/>
      <c r="H689" s="173"/>
    </row>
    <row r="690" ht="22.5" customHeight="1">
      <c r="A690" s="168"/>
      <c r="B690" s="168"/>
      <c r="C690" s="180"/>
      <c r="D690" s="173"/>
      <c r="E690" s="173"/>
      <c r="F690" s="173"/>
      <c r="G690" s="173"/>
      <c r="H690" s="173"/>
    </row>
    <row r="691" ht="22.5" customHeight="1">
      <c r="A691" s="168"/>
      <c r="B691" s="168"/>
      <c r="C691" s="180"/>
      <c r="D691" s="173"/>
      <c r="E691" s="173"/>
      <c r="F691" s="173"/>
      <c r="G691" s="173"/>
      <c r="H691" s="173"/>
    </row>
    <row r="692" ht="22.5" customHeight="1">
      <c r="A692" s="168"/>
      <c r="B692" s="168"/>
      <c r="C692" s="180"/>
      <c r="D692" s="173"/>
      <c r="E692" s="173"/>
      <c r="F692" s="173"/>
      <c r="G692" s="173"/>
      <c r="H692" s="173"/>
    </row>
    <row r="693" ht="22.5" customHeight="1">
      <c r="A693" s="168"/>
      <c r="B693" s="168"/>
      <c r="C693" s="180"/>
      <c r="D693" s="173"/>
      <c r="E693" s="173"/>
      <c r="F693" s="173"/>
      <c r="G693" s="173"/>
      <c r="H693" s="173"/>
    </row>
    <row r="694" ht="22.5" customHeight="1">
      <c r="A694" s="168"/>
      <c r="B694" s="168"/>
      <c r="C694" s="180"/>
      <c r="D694" s="173"/>
      <c r="E694" s="173"/>
      <c r="F694" s="173"/>
      <c r="G694" s="173"/>
      <c r="H694" s="173"/>
    </row>
    <row r="695" ht="22.5" customHeight="1">
      <c r="A695" s="168"/>
      <c r="B695" s="168"/>
      <c r="C695" s="180"/>
      <c r="D695" s="173"/>
      <c r="E695" s="173"/>
      <c r="F695" s="173"/>
      <c r="G695" s="173"/>
      <c r="H695" s="173"/>
    </row>
    <row r="696" ht="22.5" customHeight="1">
      <c r="A696" s="168"/>
      <c r="B696" s="168"/>
      <c r="C696" s="180"/>
      <c r="D696" s="173"/>
      <c r="E696" s="173"/>
      <c r="F696" s="173"/>
      <c r="G696" s="173"/>
      <c r="H696" s="173"/>
    </row>
    <row r="697" ht="22.5" customHeight="1">
      <c r="A697" s="168"/>
      <c r="B697" s="168"/>
      <c r="C697" s="180"/>
      <c r="D697" s="173"/>
      <c r="E697" s="173"/>
      <c r="F697" s="173"/>
      <c r="G697" s="173"/>
      <c r="H697" s="173"/>
    </row>
    <row r="698" ht="22.5" customHeight="1">
      <c r="A698" s="168"/>
      <c r="B698" s="168"/>
      <c r="C698" s="180"/>
      <c r="D698" s="173"/>
      <c r="E698" s="173"/>
      <c r="F698" s="173"/>
      <c r="G698" s="173"/>
      <c r="H698" s="173"/>
    </row>
    <row r="699" ht="22.5" customHeight="1">
      <c r="A699" s="168"/>
      <c r="B699" s="168"/>
      <c r="C699" s="180"/>
      <c r="D699" s="173"/>
      <c r="E699" s="173"/>
      <c r="F699" s="173"/>
      <c r="G699" s="173"/>
      <c r="H699" s="173"/>
    </row>
    <row r="700" ht="22.5" customHeight="1">
      <c r="A700" s="168"/>
      <c r="B700" s="168"/>
      <c r="C700" s="180"/>
      <c r="D700" s="173"/>
      <c r="E700" s="173"/>
      <c r="F700" s="173"/>
      <c r="G700" s="173"/>
      <c r="H700" s="173"/>
    </row>
    <row r="701" ht="22.5" customHeight="1">
      <c r="A701" s="168"/>
      <c r="B701" s="168"/>
      <c r="C701" s="180"/>
      <c r="D701" s="173"/>
      <c r="E701" s="173"/>
      <c r="F701" s="173"/>
      <c r="G701" s="173"/>
      <c r="H701" s="173"/>
    </row>
    <row r="702" ht="22.5" customHeight="1">
      <c r="A702" s="168"/>
      <c r="B702" s="168"/>
      <c r="C702" s="180"/>
      <c r="D702" s="173"/>
      <c r="E702" s="173"/>
      <c r="F702" s="173"/>
      <c r="G702" s="173"/>
      <c r="H702" s="173"/>
    </row>
    <row r="703" ht="22.5" customHeight="1">
      <c r="A703" s="168"/>
      <c r="B703" s="168"/>
      <c r="C703" s="180"/>
      <c r="D703" s="173"/>
      <c r="E703" s="173"/>
      <c r="F703" s="173"/>
      <c r="G703" s="173"/>
      <c r="H703" s="173"/>
    </row>
    <row r="704" ht="22.5" customHeight="1">
      <c r="A704" s="168"/>
      <c r="B704" s="168"/>
      <c r="C704" s="180"/>
      <c r="D704" s="173"/>
      <c r="E704" s="173"/>
      <c r="F704" s="173"/>
      <c r="G704" s="173"/>
      <c r="H704" s="173"/>
    </row>
    <row r="705" ht="22.5" customHeight="1">
      <c r="A705" s="168"/>
      <c r="B705" s="168"/>
      <c r="C705" s="180"/>
      <c r="D705" s="173"/>
      <c r="E705" s="173"/>
      <c r="F705" s="173"/>
      <c r="G705" s="173"/>
      <c r="H705" s="173"/>
    </row>
    <row r="706" ht="22.5" customHeight="1">
      <c r="A706" s="168"/>
      <c r="B706" s="168"/>
      <c r="C706" s="180"/>
      <c r="D706" s="173"/>
      <c r="E706" s="173"/>
      <c r="F706" s="173"/>
      <c r="G706" s="173"/>
      <c r="H706" s="173"/>
    </row>
    <row r="707" ht="22.5" customHeight="1">
      <c r="A707" s="168"/>
      <c r="B707" s="168"/>
      <c r="C707" s="180"/>
      <c r="D707" s="173"/>
      <c r="E707" s="173"/>
      <c r="F707" s="173"/>
      <c r="G707" s="173"/>
      <c r="H707" s="173"/>
    </row>
    <row r="708" ht="22.5" customHeight="1">
      <c r="A708" s="168"/>
      <c r="B708" s="168"/>
      <c r="C708" s="180"/>
      <c r="D708" s="173"/>
      <c r="E708" s="173"/>
      <c r="F708" s="173"/>
      <c r="G708" s="173"/>
      <c r="H708" s="173"/>
    </row>
    <row r="709" ht="22.5" customHeight="1">
      <c r="A709" s="168"/>
      <c r="B709" s="168"/>
      <c r="C709" s="180"/>
      <c r="D709" s="173"/>
      <c r="E709" s="173"/>
      <c r="F709" s="173"/>
      <c r="G709" s="173"/>
      <c r="H709" s="173"/>
    </row>
    <row r="710" ht="22.5" customHeight="1">
      <c r="A710" s="168"/>
      <c r="B710" s="168"/>
      <c r="C710" s="180"/>
      <c r="D710" s="173"/>
      <c r="E710" s="173"/>
      <c r="F710" s="173"/>
      <c r="G710" s="173"/>
      <c r="H710" s="173"/>
    </row>
    <row r="711" ht="22.5" customHeight="1">
      <c r="A711" s="168"/>
      <c r="B711" s="168"/>
      <c r="C711" s="180"/>
      <c r="D711" s="173"/>
      <c r="E711" s="173"/>
      <c r="F711" s="173"/>
      <c r="G711" s="173"/>
      <c r="H711" s="173"/>
    </row>
    <row r="712" ht="22.5" customHeight="1">
      <c r="A712" s="168"/>
      <c r="B712" s="168"/>
      <c r="C712" s="180"/>
      <c r="D712" s="173"/>
      <c r="E712" s="173"/>
      <c r="F712" s="173"/>
      <c r="G712" s="173"/>
      <c r="H712" s="173"/>
    </row>
    <row r="713" ht="22.5" customHeight="1">
      <c r="A713" s="168"/>
      <c r="B713" s="168"/>
      <c r="C713" s="180"/>
      <c r="D713" s="173"/>
      <c r="E713" s="173"/>
      <c r="F713" s="173"/>
      <c r="G713" s="173"/>
      <c r="H713" s="173"/>
    </row>
    <row r="714" ht="22.5" customHeight="1">
      <c r="A714" s="168"/>
      <c r="B714" s="168"/>
      <c r="C714" s="180"/>
      <c r="D714" s="173"/>
      <c r="E714" s="173"/>
      <c r="F714" s="173"/>
      <c r="G714" s="173"/>
      <c r="H714" s="173"/>
    </row>
    <row r="715" ht="22.5" customHeight="1">
      <c r="A715" s="168"/>
      <c r="B715" s="168"/>
      <c r="C715" s="180"/>
      <c r="D715" s="173"/>
      <c r="E715" s="173"/>
      <c r="F715" s="173"/>
      <c r="G715" s="173"/>
      <c r="H715" s="173"/>
    </row>
    <row r="716" ht="22.5" customHeight="1">
      <c r="A716" s="168"/>
      <c r="B716" s="168"/>
      <c r="C716" s="180"/>
      <c r="D716" s="173"/>
      <c r="E716" s="173"/>
      <c r="F716" s="173"/>
      <c r="G716" s="173"/>
      <c r="H716" s="173"/>
    </row>
    <row r="717" ht="22.5" customHeight="1">
      <c r="A717" s="168"/>
      <c r="B717" s="168"/>
      <c r="C717" s="180"/>
      <c r="D717" s="173"/>
      <c r="E717" s="173"/>
      <c r="F717" s="173"/>
      <c r="G717" s="173"/>
      <c r="H717" s="173"/>
    </row>
    <row r="718" ht="22.5" customHeight="1">
      <c r="A718" s="168"/>
      <c r="B718" s="168"/>
      <c r="C718" s="180"/>
      <c r="D718" s="173"/>
      <c r="E718" s="173"/>
      <c r="F718" s="173"/>
      <c r="G718" s="173"/>
      <c r="H718" s="173"/>
    </row>
    <row r="719" ht="22.5" customHeight="1">
      <c r="A719" s="168"/>
      <c r="B719" s="168"/>
      <c r="C719" s="180"/>
      <c r="D719" s="173"/>
      <c r="E719" s="173"/>
      <c r="F719" s="173"/>
      <c r="G719" s="173"/>
      <c r="H719" s="173"/>
    </row>
    <row r="720" ht="22.5" customHeight="1">
      <c r="A720" s="168"/>
      <c r="B720" s="168"/>
      <c r="C720" s="180"/>
      <c r="D720" s="173"/>
      <c r="E720" s="173"/>
      <c r="F720" s="173"/>
      <c r="G720" s="173"/>
      <c r="H720" s="173"/>
    </row>
    <row r="721" ht="22.5" customHeight="1">
      <c r="A721" s="168"/>
      <c r="B721" s="168"/>
      <c r="C721" s="180"/>
      <c r="D721" s="173"/>
      <c r="E721" s="173"/>
      <c r="F721" s="173"/>
      <c r="G721" s="173"/>
      <c r="H721" s="173"/>
    </row>
    <row r="722" ht="22.5" customHeight="1">
      <c r="A722" s="168"/>
      <c r="B722" s="168"/>
      <c r="C722" s="180"/>
      <c r="D722" s="173"/>
      <c r="E722" s="173"/>
      <c r="F722" s="173"/>
      <c r="G722" s="173"/>
      <c r="H722" s="173"/>
    </row>
    <row r="723" ht="22.5" customHeight="1">
      <c r="A723" s="168"/>
      <c r="B723" s="168"/>
      <c r="C723" s="180"/>
      <c r="D723" s="173"/>
      <c r="E723" s="173"/>
      <c r="F723" s="173"/>
      <c r="G723" s="173"/>
      <c r="H723" s="173"/>
    </row>
    <row r="724" ht="22.5" customHeight="1">
      <c r="A724" s="168"/>
      <c r="B724" s="168"/>
      <c r="C724" s="180"/>
      <c r="D724" s="173"/>
      <c r="E724" s="173"/>
      <c r="F724" s="173"/>
      <c r="G724" s="173"/>
      <c r="H724" s="173"/>
    </row>
    <row r="725" ht="22.5" customHeight="1">
      <c r="A725" s="168"/>
      <c r="B725" s="168"/>
      <c r="C725" s="180"/>
      <c r="D725" s="173"/>
      <c r="E725" s="173"/>
      <c r="F725" s="173"/>
      <c r="G725" s="173"/>
      <c r="H725" s="173"/>
    </row>
    <row r="726" ht="22.5" customHeight="1">
      <c r="A726" s="168"/>
      <c r="B726" s="168"/>
      <c r="C726" s="180"/>
      <c r="D726" s="173"/>
      <c r="E726" s="173"/>
      <c r="F726" s="173"/>
      <c r="G726" s="173"/>
      <c r="H726" s="173"/>
    </row>
    <row r="727" ht="22.5" customHeight="1">
      <c r="A727" s="168"/>
      <c r="B727" s="168"/>
      <c r="C727" s="180"/>
      <c r="D727" s="173"/>
      <c r="E727" s="173"/>
      <c r="F727" s="173"/>
      <c r="G727" s="173"/>
      <c r="H727" s="173"/>
    </row>
    <row r="728" ht="22.5" customHeight="1">
      <c r="A728" s="168"/>
      <c r="B728" s="168"/>
      <c r="C728" s="180"/>
      <c r="D728" s="173"/>
      <c r="E728" s="173"/>
      <c r="F728" s="173"/>
      <c r="G728" s="173"/>
      <c r="H728" s="173"/>
    </row>
    <row r="729" ht="22.5" customHeight="1">
      <c r="A729" s="168"/>
      <c r="B729" s="168"/>
      <c r="C729" s="180"/>
      <c r="D729" s="173"/>
      <c r="E729" s="173"/>
      <c r="F729" s="173"/>
      <c r="G729" s="173"/>
      <c r="H729" s="173"/>
    </row>
    <row r="730" ht="22.5" customHeight="1">
      <c r="A730" s="168"/>
      <c r="B730" s="168"/>
      <c r="C730" s="180"/>
      <c r="D730" s="173"/>
      <c r="E730" s="173"/>
      <c r="F730" s="173"/>
      <c r="G730" s="173"/>
      <c r="H730" s="173"/>
    </row>
    <row r="731" ht="22.5" customHeight="1">
      <c r="A731" s="168"/>
      <c r="B731" s="168"/>
      <c r="C731" s="180"/>
      <c r="D731" s="173"/>
      <c r="E731" s="173"/>
      <c r="F731" s="173"/>
      <c r="G731" s="173"/>
      <c r="H731" s="173"/>
    </row>
    <row r="732" ht="22.5" customHeight="1">
      <c r="A732" s="168"/>
      <c r="B732" s="168"/>
      <c r="C732" s="180"/>
      <c r="D732" s="173"/>
      <c r="E732" s="173"/>
      <c r="F732" s="173"/>
      <c r="G732" s="173"/>
      <c r="H732" s="173"/>
    </row>
    <row r="733" ht="22.5" customHeight="1">
      <c r="A733" s="168"/>
      <c r="B733" s="168"/>
      <c r="C733" s="180"/>
      <c r="D733" s="173"/>
      <c r="E733" s="173"/>
      <c r="F733" s="173"/>
      <c r="G733" s="173"/>
      <c r="H733" s="173"/>
    </row>
    <row r="734" ht="22.5" customHeight="1">
      <c r="A734" s="168"/>
      <c r="B734" s="168"/>
      <c r="C734" s="180"/>
      <c r="D734" s="173"/>
      <c r="E734" s="173"/>
      <c r="F734" s="173"/>
      <c r="G734" s="173"/>
      <c r="H734" s="173"/>
    </row>
    <row r="735" ht="22.5" customHeight="1">
      <c r="A735" s="168"/>
      <c r="B735" s="168"/>
      <c r="C735" s="180"/>
      <c r="D735" s="173"/>
      <c r="E735" s="173"/>
      <c r="F735" s="173"/>
      <c r="G735" s="173"/>
      <c r="H735" s="173"/>
    </row>
    <row r="736" ht="22.5" customHeight="1">
      <c r="A736" s="168"/>
      <c r="B736" s="168"/>
      <c r="C736" s="180"/>
      <c r="D736" s="173"/>
      <c r="E736" s="173"/>
      <c r="F736" s="173"/>
      <c r="G736" s="173"/>
      <c r="H736" s="173"/>
    </row>
    <row r="737" ht="22.5" customHeight="1">
      <c r="A737" s="168"/>
      <c r="B737" s="168"/>
      <c r="C737" s="180"/>
      <c r="D737" s="173"/>
      <c r="E737" s="173"/>
      <c r="F737" s="173"/>
      <c r="G737" s="173"/>
      <c r="H737" s="173"/>
    </row>
    <row r="738" ht="22.5" customHeight="1">
      <c r="A738" s="168"/>
      <c r="B738" s="168"/>
      <c r="C738" s="180"/>
      <c r="D738" s="173"/>
      <c r="E738" s="173"/>
      <c r="F738" s="173"/>
      <c r="G738" s="173"/>
      <c r="H738" s="173"/>
    </row>
    <row r="739" ht="22.5" customHeight="1">
      <c r="A739" s="168"/>
      <c r="B739" s="168"/>
      <c r="C739" s="180"/>
      <c r="D739" s="173"/>
      <c r="E739" s="173"/>
      <c r="F739" s="173"/>
      <c r="G739" s="173"/>
      <c r="H739" s="173"/>
    </row>
    <row r="740" ht="22.5" customHeight="1">
      <c r="A740" s="168"/>
      <c r="B740" s="168"/>
      <c r="C740" s="180"/>
      <c r="D740" s="173"/>
      <c r="E740" s="173"/>
      <c r="F740" s="173"/>
      <c r="G740" s="173"/>
      <c r="H740" s="173"/>
    </row>
    <row r="741" ht="22.5" customHeight="1">
      <c r="A741" s="168"/>
      <c r="B741" s="168"/>
      <c r="C741" s="180"/>
      <c r="D741" s="173"/>
      <c r="E741" s="173"/>
      <c r="F741" s="173"/>
      <c r="G741" s="173"/>
      <c r="H741" s="173"/>
    </row>
    <row r="742" ht="22.5" customHeight="1">
      <c r="A742" s="168"/>
      <c r="B742" s="168"/>
      <c r="C742" s="180"/>
      <c r="D742" s="173"/>
      <c r="E742" s="173"/>
      <c r="F742" s="173"/>
      <c r="G742" s="173"/>
      <c r="H742" s="173"/>
    </row>
    <row r="743" ht="22.5" customHeight="1">
      <c r="A743" s="168"/>
      <c r="B743" s="168"/>
      <c r="C743" s="180"/>
      <c r="D743" s="173"/>
      <c r="E743" s="173"/>
      <c r="F743" s="173"/>
      <c r="G743" s="173"/>
      <c r="H743" s="173"/>
    </row>
    <row r="744" ht="22.5" customHeight="1">
      <c r="A744" s="168"/>
      <c r="B744" s="168"/>
      <c r="C744" s="180"/>
      <c r="D744" s="173"/>
      <c r="E744" s="173"/>
      <c r="F744" s="173"/>
      <c r="G744" s="173"/>
      <c r="H744" s="173"/>
    </row>
    <row r="745" ht="22.5" customHeight="1">
      <c r="A745" s="168"/>
      <c r="B745" s="168"/>
      <c r="C745" s="180"/>
      <c r="D745" s="173"/>
      <c r="E745" s="173"/>
      <c r="F745" s="173"/>
      <c r="G745" s="173"/>
      <c r="H745" s="173"/>
    </row>
    <row r="746" ht="22.5" customHeight="1">
      <c r="A746" s="168"/>
      <c r="B746" s="168"/>
      <c r="C746" s="180"/>
      <c r="D746" s="173"/>
      <c r="E746" s="173"/>
      <c r="F746" s="173"/>
      <c r="G746" s="173"/>
      <c r="H746" s="173"/>
    </row>
    <row r="747" ht="22.5" customHeight="1">
      <c r="A747" s="168"/>
      <c r="B747" s="168"/>
      <c r="C747" s="180"/>
      <c r="D747" s="173"/>
      <c r="E747" s="173"/>
      <c r="F747" s="173"/>
      <c r="G747" s="173"/>
      <c r="H747" s="173"/>
    </row>
    <row r="748" ht="22.5" customHeight="1">
      <c r="A748" s="168"/>
      <c r="B748" s="168"/>
      <c r="C748" s="180"/>
      <c r="D748" s="173"/>
      <c r="E748" s="173"/>
      <c r="F748" s="173"/>
      <c r="G748" s="173"/>
      <c r="H748" s="173"/>
    </row>
    <row r="749" ht="22.5" customHeight="1">
      <c r="A749" s="168"/>
      <c r="B749" s="168"/>
      <c r="C749" s="180"/>
      <c r="D749" s="173"/>
      <c r="E749" s="173"/>
      <c r="F749" s="173"/>
      <c r="G749" s="173"/>
      <c r="H749" s="173"/>
    </row>
    <row r="750" ht="22.5" customHeight="1">
      <c r="A750" s="168"/>
      <c r="B750" s="168"/>
      <c r="C750" s="180"/>
      <c r="D750" s="173"/>
      <c r="E750" s="173"/>
      <c r="F750" s="173"/>
      <c r="G750" s="173"/>
      <c r="H750" s="173"/>
    </row>
    <row r="751" ht="22.5" customHeight="1">
      <c r="A751" s="168"/>
      <c r="B751" s="168"/>
      <c r="C751" s="180"/>
      <c r="D751" s="173"/>
      <c r="E751" s="173"/>
      <c r="F751" s="173"/>
      <c r="G751" s="173"/>
      <c r="H751" s="173"/>
    </row>
    <row r="752" ht="22.5" customHeight="1">
      <c r="A752" s="168"/>
      <c r="B752" s="168"/>
      <c r="C752" s="180"/>
      <c r="D752" s="173"/>
      <c r="E752" s="173"/>
      <c r="F752" s="173"/>
      <c r="G752" s="173"/>
      <c r="H752" s="173"/>
    </row>
    <row r="753" ht="22.5" customHeight="1">
      <c r="A753" s="168"/>
      <c r="B753" s="168"/>
      <c r="C753" s="180"/>
      <c r="D753" s="173"/>
      <c r="E753" s="173"/>
      <c r="F753" s="173"/>
      <c r="G753" s="173"/>
      <c r="H753" s="173"/>
    </row>
    <row r="754" ht="22.5" customHeight="1">
      <c r="A754" s="168"/>
      <c r="B754" s="168"/>
      <c r="C754" s="180"/>
      <c r="D754" s="173"/>
      <c r="E754" s="173"/>
      <c r="F754" s="173"/>
      <c r="G754" s="173"/>
      <c r="H754" s="173"/>
    </row>
    <row r="755" ht="22.5" customHeight="1">
      <c r="A755" s="168"/>
      <c r="B755" s="168"/>
      <c r="C755" s="180"/>
      <c r="D755" s="173"/>
      <c r="E755" s="173"/>
      <c r="F755" s="173"/>
      <c r="G755" s="173"/>
      <c r="H755" s="173"/>
    </row>
    <row r="756" ht="22.5" customHeight="1">
      <c r="A756" s="168"/>
      <c r="B756" s="168"/>
      <c r="C756" s="180"/>
      <c r="D756" s="173"/>
      <c r="E756" s="173"/>
      <c r="F756" s="173"/>
      <c r="G756" s="173"/>
      <c r="H756" s="173"/>
    </row>
    <row r="757" ht="22.5" customHeight="1">
      <c r="A757" s="168"/>
      <c r="B757" s="168"/>
      <c r="C757" s="180"/>
      <c r="D757" s="173"/>
      <c r="E757" s="173"/>
      <c r="F757" s="173"/>
      <c r="G757" s="173"/>
      <c r="H757" s="173"/>
    </row>
    <row r="758" ht="22.5" customHeight="1">
      <c r="A758" s="168"/>
      <c r="B758" s="168"/>
      <c r="C758" s="180"/>
      <c r="D758" s="173"/>
      <c r="E758" s="173"/>
      <c r="F758" s="173"/>
      <c r="G758" s="173"/>
      <c r="H758" s="173"/>
    </row>
    <row r="759" ht="22.5" customHeight="1">
      <c r="A759" s="168"/>
      <c r="B759" s="168"/>
      <c r="C759" s="180"/>
      <c r="D759" s="173"/>
      <c r="E759" s="173"/>
      <c r="F759" s="173"/>
      <c r="G759" s="173"/>
      <c r="H759" s="173"/>
    </row>
    <row r="760" ht="22.5" customHeight="1">
      <c r="A760" s="168"/>
      <c r="B760" s="168"/>
      <c r="C760" s="180"/>
      <c r="D760" s="173"/>
      <c r="E760" s="173"/>
      <c r="F760" s="173"/>
      <c r="G760" s="173"/>
      <c r="H760" s="173"/>
    </row>
    <row r="761" ht="22.5" customHeight="1">
      <c r="A761" s="168"/>
      <c r="B761" s="168"/>
      <c r="C761" s="180"/>
      <c r="D761" s="173"/>
      <c r="E761" s="173"/>
      <c r="F761" s="173"/>
      <c r="G761" s="173"/>
      <c r="H761" s="173"/>
    </row>
    <row r="762" ht="22.5" customHeight="1">
      <c r="A762" s="168"/>
      <c r="B762" s="168"/>
      <c r="C762" s="180"/>
      <c r="D762" s="173"/>
      <c r="E762" s="173"/>
      <c r="F762" s="173"/>
      <c r="G762" s="173"/>
      <c r="H762" s="173"/>
    </row>
    <row r="763" ht="22.5" customHeight="1">
      <c r="A763" s="168"/>
      <c r="B763" s="168"/>
      <c r="C763" s="180"/>
      <c r="D763" s="173"/>
      <c r="E763" s="173"/>
      <c r="F763" s="173"/>
      <c r="G763" s="173"/>
      <c r="H763" s="173"/>
    </row>
    <row r="764" ht="22.5" customHeight="1">
      <c r="A764" s="168"/>
      <c r="B764" s="168"/>
      <c r="C764" s="180"/>
      <c r="D764" s="173"/>
      <c r="E764" s="173"/>
      <c r="F764" s="173"/>
      <c r="G764" s="173"/>
      <c r="H764" s="173"/>
    </row>
    <row r="765" ht="22.5" customHeight="1">
      <c r="A765" s="168"/>
      <c r="B765" s="168"/>
      <c r="C765" s="180"/>
      <c r="D765" s="173"/>
      <c r="E765" s="173"/>
      <c r="F765" s="173"/>
      <c r="G765" s="173"/>
      <c r="H765" s="173"/>
    </row>
    <row r="766" ht="22.5" customHeight="1">
      <c r="A766" s="168"/>
      <c r="B766" s="168"/>
      <c r="C766" s="180"/>
      <c r="D766" s="173"/>
      <c r="E766" s="173"/>
      <c r="F766" s="173"/>
      <c r="G766" s="173"/>
      <c r="H766" s="173"/>
    </row>
    <row r="767" ht="22.5" customHeight="1">
      <c r="A767" s="168"/>
      <c r="B767" s="168"/>
      <c r="C767" s="180"/>
      <c r="D767" s="173"/>
      <c r="E767" s="173"/>
      <c r="F767" s="173"/>
      <c r="G767" s="173"/>
      <c r="H767" s="173"/>
    </row>
    <row r="768" ht="22.5" customHeight="1">
      <c r="A768" s="168"/>
      <c r="B768" s="168"/>
      <c r="C768" s="180"/>
      <c r="D768" s="173"/>
      <c r="E768" s="173"/>
      <c r="F768" s="173"/>
      <c r="G768" s="173"/>
      <c r="H768" s="173"/>
    </row>
    <row r="769" ht="22.5" customHeight="1">
      <c r="A769" s="168"/>
      <c r="B769" s="168"/>
      <c r="C769" s="180"/>
      <c r="D769" s="173"/>
      <c r="E769" s="173"/>
      <c r="F769" s="173"/>
      <c r="G769" s="173"/>
      <c r="H769" s="173"/>
    </row>
    <row r="770" ht="22.5" customHeight="1">
      <c r="A770" s="168"/>
      <c r="B770" s="168"/>
      <c r="C770" s="180"/>
      <c r="D770" s="173"/>
      <c r="E770" s="173"/>
      <c r="F770" s="173"/>
      <c r="G770" s="173"/>
      <c r="H770" s="173"/>
    </row>
    <row r="771" ht="22.5" customHeight="1">
      <c r="A771" s="168"/>
      <c r="B771" s="168"/>
      <c r="C771" s="180"/>
      <c r="D771" s="173"/>
      <c r="E771" s="173"/>
      <c r="F771" s="173"/>
      <c r="G771" s="173"/>
      <c r="H771" s="173"/>
    </row>
    <row r="772" ht="22.5" customHeight="1">
      <c r="A772" s="168"/>
      <c r="B772" s="168"/>
      <c r="C772" s="180"/>
      <c r="D772" s="173"/>
      <c r="E772" s="173"/>
      <c r="F772" s="173"/>
      <c r="G772" s="173"/>
      <c r="H772" s="173"/>
    </row>
    <row r="773" ht="22.5" customHeight="1">
      <c r="A773" s="168"/>
      <c r="B773" s="168"/>
      <c r="C773" s="180"/>
      <c r="D773" s="173"/>
      <c r="E773" s="173"/>
      <c r="F773" s="173"/>
      <c r="G773" s="173"/>
      <c r="H773" s="173"/>
    </row>
    <row r="774" ht="22.5" customHeight="1">
      <c r="A774" s="168"/>
      <c r="B774" s="168"/>
      <c r="C774" s="180"/>
      <c r="D774" s="173"/>
      <c r="E774" s="173"/>
      <c r="F774" s="173"/>
      <c r="G774" s="173"/>
      <c r="H774" s="173"/>
    </row>
    <row r="775" ht="22.5" customHeight="1">
      <c r="A775" s="168"/>
      <c r="B775" s="168"/>
      <c r="C775" s="180"/>
      <c r="D775" s="173"/>
      <c r="E775" s="173"/>
      <c r="F775" s="173"/>
      <c r="G775" s="173"/>
      <c r="H775" s="173"/>
    </row>
    <row r="776" ht="22.5" customHeight="1">
      <c r="A776" s="168"/>
      <c r="B776" s="168"/>
      <c r="C776" s="180"/>
      <c r="D776" s="173"/>
      <c r="E776" s="173"/>
      <c r="F776" s="173"/>
      <c r="G776" s="173"/>
      <c r="H776" s="173"/>
    </row>
    <row r="777" ht="22.5" customHeight="1">
      <c r="A777" s="168"/>
      <c r="B777" s="168"/>
      <c r="C777" s="180"/>
      <c r="D777" s="173"/>
      <c r="E777" s="173"/>
      <c r="F777" s="173"/>
      <c r="G777" s="173"/>
      <c r="H777" s="173"/>
    </row>
    <row r="778" ht="22.5" customHeight="1">
      <c r="A778" s="168"/>
      <c r="B778" s="168"/>
      <c r="C778" s="180"/>
      <c r="D778" s="173"/>
      <c r="E778" s="173"/>
      <c r="F778" s="173"/>
      <c r="G778" s="173"/>
      <c r="H778" s="173"/>
    </row>
    <row r="779" ht="22.5" customHeight="1">
      <c r="A779" s="168"/>
      <c r="B779" s="168"/>
      <c r="C779" s="180"/>
      <c r="D779" s="173"/>
      <c r="E779" s="173"/>
      <c r="F779" s="173"/>
      <c r="G779" s="173"/>
      <c r="H779" s="173"/>
    </row>
    <row r="780" ht="22.5" customHeight="1">
      <c r="A780" s="168"/>
      <c r="B780" s="168"/>
      <c r="C780" s="180"/>
      <c r="D780" s="173"/>
      <c r="E780" s="173"/>
      <c r="F780" s="173"/>
      <c r="G780" s="173"/>
      <c r="H780" s="173"/>
    </row>
    <row r="781" ht="22.5" customHeight="1">
      <c r="A781" s="168"/>
      <c r="B781" s="168"/>
      <c r="C781" s="180"/>
      <c r="D781" s="173"/>
      <c r="E781" s="173"/>
      <c r="F781" s="173"/>
      <c r="G781" s="173"/>
      <c r="H781" s="173"/>
    </row>
    <row r="782" ht="22.5" customHeight="1">
      <c r="A782" s="168"/>
      <c r="B782" s="168"/>
      <c r="C782" s="180"/>
      <c r="D782" s="173"/>
      <c r="E782" s="173"/>
      <c r="F782" s="173"/>
      <c r="G782" s="173"/>
      <c r="H782" s="173"/>
    </row>
    <row r="783" ht="22.5" customHeight="1">
      <c r="A783" s="168"/>
      <c r="B783" s="168"/>
      <c r="C783" s="180"/>
      <c r="D783" s="173"/>
      <c r="E783" s="173"/>
      <c r="F783" s="173"/>
      <c r="G783" s="173"/>
      <c r="H783" s="173"/>
    </row>
    <row r="784" ht="22.5" customHeight="1">
      <c r="A784" s="168"/>
      <c r="B784" s="168"/>
      <c r="C784" s="180"/>
      <c r="D784" s="173"/>
      <c r="E784" s="173"/>
      <c r="F784" s="173"/>
      <c r="G784" s="173"/>
      <c r="H784" s="173"/>
    </row>
    <row r="785" ht="22.5" customHeight="1">
      <c r="A785" s="168"/>
      <c r="B785" s="168"/>
      <c r="C785" s="180"/>
      <c r="D785" s="173"/>
      <c r="E785" s="173"/>
      <c r="F785" s="173"/>
      <c r="G785" s="173"/>
      <c r="H785" s="173"/>
    </row>
    <row r="786" ht="22.5" customHeight="1">
      <c r="A786" s="168"/>
      <c r="B786" s="168"/>
      <c r="C786" s="180"/>
      <c r="D786" s="173"/>
      <c r="E786" s="173"/>
      <c r="F786" s="173"/>
      <c r="G786" s="173"/>
      <c r="H786" s="173"/>
    </row>
    <row r="787" ht="22.5" customHeight="1">
      <c r="A787" s="168"/>
      <c r="B787" s="168"/>
      <c r="C787" s="180"/>
      <c r="D787" s="173"/>
      <c r="E787" s="173"/>
      <c r="F787" s="173"/>
      <c r="G787" s="173"/>
      <c r="H787" s="173"/>
    </row>
    <row r="788" ht="22.5" customHeight="1">
      <c r="A788" s="168"/>
      <c r="B788" s="168"/>
      <c r="C788" s="180"/>
      <c r="D788" s="173"/>
      <c r="E788" s="173"/>
      <c r="F788" s="173"/>
      <c r="G788" s="173"/>
      <c r="H788" s="173"/>
    </row>
    <row r="789" ht="22.5" customHeight="1">
      <c r="A789" s="168"/>
      <c r="B789" s="168"/>
      <c r="C789" s="180"/>
      <c r="D789" s="173"/>
      <c r="E789" s="173"/>
      <c r="F789" s="173"/>
      <c r="G789" s="173"/>
      <c r="H789" s="173"/>
    </row>
    <row r="790" ht="22.5" customHeight="1">
      <c r="A790" s="168"/>
      <c r="B790" s="168"/>
      <c r="C790" s="180"/>
      <c r="D790" s="173"/>
      <c r="E790" s="173"/>
      <c r="F790" s="173"/>
      <c r="G790" s="173"/>
      <c r="H790" s="173"/>
    </row>
    <row r="791" ht="22.5" customHeight="1">
      <c r="A791" s="168"/>
      <c r="B791" s="168"/>
      <c r="C791" s="180"/>
      <c r="D791" s="173"/>
      <c r="E791" s="173"/>
      <c r="F791" s="173"/>
      <c r="G791" s="173"/>
      <c r="H791" s="173"/>
    </row>
    <row r="792" ht="22.5" customHeight="1">
      <c r="A792" s="168"/>
      <c r="B792" s="168"/>
      <c r="C792" s="180"/>
      <c r="D792" s="173"/>
      <c r="E792" s="173"/>
      <c r="F792" s="173"/>
      <c r="G792" s="173"/>
      <c r="H792" s="173"/>
    </row>
    <row r="793" ht="22.5" customHeight="1">
      <c r="A793" s="168"/>
      <c r="B793" s="168"/>
      <c r="C793" s="180"/>
      <c r="D793" s="173"/>
      <c r="E793" s="173"/>
      <c r="F793" s="173"/>
      <c r="G793" s="173"/>
      <c r="H793" s="173"/>
    </row>
    <row r="794" ht="22.5" customHeight="1">
      <c r="A794" s="168"/>
      <c r="B794" s="168"/>
      <c r="C794" s="180"/>
      <c r="D794" s="173"/>
      <c r="E794" s="173"/>
      <c r="F794" s="173"/>
      <c r="G794" s="173"/>
      <c r="H794" s="173"/>
    </row>
    <row r="795" ht="22.5" customHeight="1">
      <c r="A795" s="168"/>
      <c r="B795" s="168"/>
      <c r="C795" s="180"/>
      <c r="D795" s="173"/>
      <c r="E795" s="173"/>
      <c r="F795" s="173"/>
      <c r="G795" s="173"/>
      <c r="H795" s="173"/>
    </row>
    <row r="796" ht="22.5" customHeight="1">
      <c r="A796" s="168"/>
      <c r="B796" s="168"/>
      <c r="C796" s="180"/>
      <c r="D796" s="173"/>
      <c r="E796" s="173"/>
      <c r="F796" s="173"/>
      <c r="G796" s="173"/>
      <c r="H796" s="173"/>
    </row>
    <row r="797" ht="22.5" customHeight="1">
      <c r="A797" s="168"/>
      <c r="B797" s="168"/>
      <c r="C797" s="180"/>
      <c r="D797" s="173"/>
      <c r="E797" s="173"/>
      <c r="F797" s="173"/>
      <c r="G797" s="173"/>
      <c r="H797" s="173"/>
    </row>
    <row r="798" ht="22.5" customHeight="1">
      <c r="A798" s="168"/>
      <c r="B798" s="168"/>
      <c r="C798" s="180"/>
      <c r="D798" s="173"/>
      <c r="E798" s="173"/>
      <c r="F798" s="173"/>
      <c r="G798" s="173"/>
      <c r="H798" s="173"/>
    </row>
    <row r="799" ht="22.5" customHeight="1">
      <c r="A799" s="168"/>
      <c r="B799" s="168"/>
      <c r="C799" s="180"/>
      <c r="D799" s="173"/>
      <c r="E799" s="173"/>
      <c r="F799" s="173"/>
      <c r="G799" s="173"/>
      <c r="H799" s="173"/>
    </row>
    <row r="800" ht="22.5" customHeight="1">
      <c r="A800" s="168"/>
      <c r="B800" s="168"/>
      <c r="C800" s="180"/>
      <c r="D800" s="173"/>
      <c r="E800" s="173"/>
      <c r="F800" s="173"/>
      <c r="G800" s="173"/>
      <c r="H800" s="173"/>
    </row>
    <row r="801" ht="22.5" customHeight="1">
      <c r="A801" s="168"/>
      <c r="B801" s="168"/>
      <c r="C801" s="180"/>
      <c r="D801" s="173"/>
      <c r="E801" s="173"/>
      <c r="F801" s="173"/>
      <c r="G801" s="173"/>
      <c r="H801" s="173"/>
    </row>
    <row r="802" ht="22.5" customHeight="1">
      <c r="A802" s="168"/>
      <c r="B802" s="168"/>
      <c r="C802" s="180"/>
      <c r="D802" s="173"/>
      <c r="E802" s="173"/>
      <c r="F802" s="173"/>
      <c r="G802" s="173"/>
      <c r="H802" s="173"/>
    </row>
    <row r="803" ht="22.5" customHeight="1">
      <c r="A803" s="168"/>
      <c r="B803" s="168"/>
      <c r="C803" s="180"/>
      <c r="D803" s="173"/>
      <c r="E803" s="173"/>
      <c r="F803" s="173"/>
      <c r="G803" s="173"/>
      <c r="H803" s="173"/>
    </row>
    <row r="804" ht="22.5" customHeight="1">
      <c r="A804" s="168"/>
      <c r="B804" s="168"/>
      <c r="C804" s="180"/>
      <c r="D804" s="173"/>
      <c r="E804" s="173"/>
      <c r="F804" s="173"/>
      <c r="G804" s="173"/>
      <c r="H804" s="173"/>
    </row>
    <row r="805" ht="22.5" customHeight="1">
      <c r="A805" s="168"/>
      <c r="B805" s="168"/>
      <c r="C805" s="180"/>
      <c r="D805" s="173"/>
      <c r="E805" s="173"/>
      <c r="F805" s="173"/>
      <c r="G805" s="173"/>
      <c r="H805" s="173"/>
    </row>
    <row r="806" ht="22.5" customHeight="1">
      <c r="A806" s="168"/>
      <c r="B806" s="168"/>
      <c r="C806" s="180"/>
      <c r="D806" s="173"/>
      <c r="E806" s="173"/>
      <c r="F806" s="173"/>
      <c r="G806" s="173"/>
      <c r="H806" s="173"/>
    </row>
    <row r="807" ht="22.5" customHeight="1">
      <c r="A807" s="168"/>
      <c r="B807" s="168"/>
      <c r="C807" s="180"/>
      <c r="D807" s="173"/>
      <c r="E807" s="173"/>
      <c r="F807" s="173"/>
      <c r="G807" s="173"/>
      <c r="H807" s="173"/>
    </row>
    <row r="808" ht="22.5" customHeight="1">
      <c r="A808" s="168"/>
      <c r="B808" s="168"/>
      <c r="C808" s="180"/>
      <c r="D808" s="173"/>
      <c r="E808" s="173"/>
      <c r="F808" s="173"/>
      <c r="G808" s="173"/>
      <c r="H808" s="173"/>
    </row>
    <row r="809" ht="22.5" customHeight="1">
      <c r="A809" s="168"/>
      <c r="B809" s="168"/>
      <c r="C809" s="180"/>
      <c r="D809" s="173"/>
      <c r="E809" s="173"/>
      <c r="F809" s="173"/>
      <c r="G809" s="173"/>
      <c r="H809" s="173"/>
    </row>
    <row r="810" ht="22.5" customHeight="1">
      <c r="A810" s="168"/>
      <c r="B810" s="168"/>
      <c r="C810" s="180"/>
      <c r="D810" s="173"/>
      <c r="E810" s="173"/>
      <c r="F810" s="173"/>
      <c r="G810" s="173"/>
      <c r="H810" s="173"/>
    </row>
    <row r="811" ht="22.5" customHeight="1">
      <c r="A811" s="168"/>
      <c r="B811" s="168"/>
      <c r="C811" s="180"/>
      <c r="D811" s="173"/>
      <c r="E811" s="173"/>
      <c r="F811" s="173"/>
      <c r="G811" s="173"/>
      <c r="H811" s="173"/>
    </row>
    <row r="812" ht="22.5" customHeight="1">
      <c r="A812" s="168"/>
      <c r="B812" s="168"/>
      <c r="C812" s="180"/>
      <c r="D812" s="173"/>
      <c r="E812" s="173"/>
      <c r="F812" s="173"/>
      <c r="G812" s="173"/>
      <c r="H812" s="173"/>
    </row>
    <row r="813" ht="22.5" customHeight="1">
      <c r="A813" s="168"/>
      <c r="B813" s="168"/>
      <c r="C813" s="180"/>
      <c r="D813" s="173"/>
      <c r="E813" s="173"/>
      <c r="F813" s="173"/>
      <c r="G813" s="173"/>
      <c r="H813" s="173"/>
    </row>
    <row r="814" ht="22.5" customHeight="1">
      <c r="A814" s="168"/>
      <c r="B814" s="168"/>
      <c r="C814" s="180"/>
      <c r="D814" s="173"/>
      <c r="E814" s="173"/>
      <c r="F814" s="173"/>
      <c r="G814" s="173"/>
      <c r="H814" s="173"/>
    </row>
    <row r="815" ht="22.5" customHeight="1">
      <c r="A815" s="168"/>
      <c r="B815" s="168"/>
      <c r="C815" s="180"/>
      <c r="D815" s="173"/>
      <c r="E815" s="173"/>
      <c r="F815" s="173"/>
      <c r="G815" s="173"/>
      <c r="H815" s="173"/>
    </row>
    <row r="816" ht="22.5" customHeight="1">
      <c r="A816" s="168"/>
      <c r="B816" s="168"/>
      <c r="C816" s="180"/>
      <c r="D816" s="173"/>
      <c r="E816" s="173"/>
      <c r="F816" s="173"/>
      <c r="G816" s="173"/>
      <c r="H816" s="173"/>
    </row>
    <row r="817" ht="22.5" customHeight="1">
      <c r="A817" s="168"/>
      <c r="B817" s="168"/>
      <c r="C817" s="180"/>
      <c r="D817" s="173"/>
      <c r="E817" s="173"/>
      <c r="F817" s="173"/>
      <c r="G817" s="173"/>
      <c r="H817" s="173"/>
    </row>
    <row r="818" ht="22.5" customHeight="1">
      <c r="A818" s="168"/>
      <c r="B818" s="168"/>
      <c r="C818" s="180"/>
      <c r="D818" s="173"/>
      <c r="E818" s="173"/>
      <c r="F818" s="173"/>
      <c r="G818" s="173"/>
      <c r="H818" s="173"/>
    </row>
    <row r="819" ht="22.5" customHeight="1">
      <c r="A819" s="168"/>
      <c r="B819" s="168"/>
      <c r="C819" s="180"/>
      <c r="D819" s="173"/>
      <c r="E819" s="173"/>
      <c r="F819" s="173"/>
      <c r="G819" s="173"/>
      <c r="H819" s="173"/>
    </row>
    <row r="820" ht="22.5" customHeight="1">
      <c r="A820" s="168"/>
      <c r="B820" s="168"/>
      <c r="C820" s="180"/>
      <c r="D820" s="173"/>
      <c r="E820" s="173"/>
      <c r="F820" s="173"/>
      <c r="G820" s="173"/>
      <c r="H820" s="173"/>
    </row>
    <row r="821" ht="22.5" customHeight="1">
      <c r="A821" s="168"/>
      <c r="B821" s="168"/>
      <c r="C821" s="180"/>
      <c r="D821" s="173"/>
      <c r="E821" s="173"/>
      <c r="F821" s="173"/>
      <c r="G821" s="173"/>
      <c r="H821" s="173"/>
    </row>
    <row r="822" ht="22.5" customHeight="1">
      <c r="A822" s="168"/>
      <c r="B822" s="168"/>
      <c r="C822" s="180"/>
      <c r="D822" s="173"/>
      <c r="E822" s="173"/>
      <c r="F822" s="173"/>
      <c r="G822" s="173"/>
      <c r="H822" s="173"/>
    </row>
    <row r="823" ht="22.5" customHeight="1">
      <c r="A823" s="168"/>
      <c r="B823" s="168"/>
      <c r="C823" s="180"/>
      <c r="D823" s="173"/>
      <c r="E823" s="173"/>
      <c r="F823" s="173"/>
      <c r="G823" s="173"/>
      <c r="H823" s="173"/>
    </row>
    <row r="824" ht="22.5" customHeight="1">
      <c r="A824" s="168"/>
      <c r="B824" s="168"/>
      <c r="C824" s="180"/>
      <c r="D824" s="173"/>
      <c r="E824" s="173"/>
      <c r="F824" s="173"/>
      <c r="G824" s="173"/>
      <c r="H824" s="173"/>
    </row>
    <row r="825" ht="22.5" customHeight="1">
      <c r="A825" s="168"/>
      <c r="B825" s="168"/>
      <c r="C825" s="180"/>
      <c r="D825" s="173"/>
      <c r="E825" s="173"/>
      <c r="F825" s="173"/>
      <c r="G825" s="173"/>
      <c r="H825" s="173"/>
    </row>
    <row r="826" ht="22.5" customHeight="1">
      <c r="A826" s="168"/>
      <c r="B826" s="168"/>
      <c r="C826" s="180"/>
      <c r="D826" s="173"/>
      <c r="E826" s="173"/>
      <c r="F826" s="173"/>
      <c r="G826" s="173"/>
      <c r="H826" s="173"/>
    </row>
    <row r="827" ht="22.5" customHeight="1">
      <c r="A827" s="168"/>
      <c r="B827" s="168"/>
      <c r="C827" s="180"/>
      <c r="D827" s="173"/>
      <c r="E827" s="173"/>
      <c r="F827" s="173"/>
      <c r="G827" s="173"/>
      <c r="H827" s="173"/>
    </row>
    <row r="828" ht="22.5" customHeight="1">
      <c r="A828" s="168"/>
      <c r="B828" s="168"/>
      <c r="C828" s="180"/>
      <c r="D828" s="173"/>
      <c r="E828" s="173"/>
      <c r="F828" s="173"/>
      <c r="G828" s="173"/>
      <c r="H828" s="173"/>
    </row>
    <row r="829" ht="22.5" customHeight="1">
      <c r="A829" s="168"/>
      <c r="B829" s="168"/>
      <c r="C829" s="180"/>
      <c r="D829" s="173"/>
      <c r="E829" s="173"/>
      <c r="F829" s="173"/>
      <c r="G829" s="173"/>
      <c r="H829" s="173"/>
    </row>
    <row r="830" ht="22.5" customHeight="1">
      <c r="A830" s="168"/>
      <c r="B830" s="168"/>
      <c r="C830" s="180"/>
      <c r="D830" s="173"/>
      <c r="E830" s="173"/>
      <c r="F830" s="173"/>
      <c r="G830" s="173"/>
      <c r="H830" s="173"/>
    </row>
    <row r="831" ht="22.5" customHeight="1">
      <c r="A831" s="168"/>
      <c r="B831" s="168"/>
      <c r="C831" s="180"/>
      <c r="D831" s="173"/>
      <c r="E831" s="173"/>
      <c r="F831" s="173"/>
      <c r="G831" s="173"/>
      <c r="H831" s="173"/>
    </row>
    <row r="832" ht="22.5" customHeight="1">
      <c r="A832" s="168"/>
      <c r="B832" s="168"/>
      <c r="C832" s="180"/>
      <c r="D832" s="173"/>
      <c r="E832" s="173"/>
      <c r="F832" s="173"/>
      <c r="G832" s="173"/>
      <c r="H832" s="173"/>
    </row>
    <row r="833" ht="22.5" customHeight="1">
      <c r="A833" s="168"/>
      <c r="B833" s="168"/>
      <c r="C833" s="180"/>
      <c r="D833" s="173"/>
      <c r="E833" s="173"/>
      <c r="F833" s="173"/>
      <c r="G833" s="173"/>
      <c r="H833" s="173"/>
    </row>
    <row r="834" ht="22.5" customHeight="1">
      <c r="A834" s="168"/>
      <c r="B834" s="168"/>
      <c r="C834" s="180"/>
      <c r="D834" s="173"/>
      <c r="E834" s="173"/>
      <c r="F834" s="173"/>
      <c r="G834" s="173"/>
      <c r="H834" s="173"/>
    </row>
    <row r="835" ht="22.5" customHeight="1">
      <c r="A835" s="168"/>
      <c r="B835" s="168"/>
      <c r="C835" s="180"/>
      <c r="D835" s="173"/>
      <c r="E835" s="173"/>
      <c r="F835" s="173"/>
      <c r="G835" s="173"/>
      <c r="H835" s="173"/>
    </row>
    <row r="836" ht="22.5" customHeight="1">
      <c r="A836" s="168"/>
      <c r="B836" s="168"/>
      <c r="C836" s="180"/>
      <c r="D836" s="173"/>
      <c r="E836" s="173"/>
      <c r="F836" s="173"/>
      <c r="G836" s="173"/>
      <c r="H836" s="173"/>
    </row>
    <row r="837" ht="22.5" customHeight="1">
      <c r="A837" s="168"/>
      <c r="B837" s="168"/>
      <c r="C837" s="180"/>
      <c r="D837" s="173"/>
      <c r="E837" s="173"/>
      <c r="F837" s="173"/>
      <c r="G837" s="173"/>
      <c r="H837" s="173"/>
    </row>
    <row r="838" ht="22.5" customHeight="1">
      <c r="A838" s="168"/>
      <c r="B838" s="168"/>
      <c r="C838" s="180"/>
      <c r="D838" s="173"/>
      <c r="E838" s="173"/>
      <c r="F838" s="173"/>
      <c r="G838" s="173"/>
      <c r="H838" s="173"/>
    </row>
    <row r="839" ht="22.5" customHeight="1">
      <c r="A839" s="168"/>
      <c r="B839" s="168"/>
      <c r="C839" s="180"/>
      <c r="D839" s="173"/>
      <c r="E839" s="173"/>
      <c r="F839" s="173"/>
      <c r="G839" s="173"/>
      <c r="H839" s="173"/>
    </row>
    <row r="840" ht="22.5" customHeight="1">
      <c r="A840" s="168"/>
      <c r="B840" s="168"/>
      <c r="C840" s="180"/>
      <c r="D840" s="173"/>
      <c r="E840" s="173"/>
      <c r="F840" s="173"/>
      <c r="G840" s="173"/>
      <c r="H840" s="173"/>
    </row>
    <row r="841" ht="22.5" customHeight="1">
      <c r="A841" s="168"/>
      <c r="B841" s="168"/>
      <c r="C841" s="180"/>
      <c r="D841" s="173"/>
      <c r="E841" s="173"/>
      <c r="F841" s="173"/>
      <c r="G841" s="173"/>
      <c r="H841" s="173"/>
    </row>
    <row r="842" ht="22.5" customHeight="1">
      <c r="A842" s="168"/>
      <c r="B842" s="168"/>
      <c r="C842" s="180"/>
      <c r="D842" s="173"/>
      <c r="E842" s="173"/>
      <c r="F842" s="173"/>
      <c r="G842" s="173"/>
      <c r="H842" s="173"/>
    </row>
    <row r="843" ht="22.5" customHeight="1">
      <c r="A843" s="168"/>
      <c r="B843" s="168"/>
      <c r="C843" s="180"/>
      <c r="D843" s="173"/>
      <c r="E843" s="173"/>
      <c r="F843" s="173"/>
      <c r="G843" s="173"/>
      <c r="H843" s="173"/>
    </row>
    <row r="844" ht="22.5" customHeight="1">
      <c r="A844" s="168"/>
      <c r="B844" s="168"/>
      <c r="C844" s="180"/>
      <c r="D844" s="173"/>
      <c r="E844" s="173"/>
      <c r="F844" s="173"/>
      <c r="G844" s="173"/>
      <c r="H844" s="173"/>
    </row>
    <row r="845" ht="22.5" customHeight="1">
      <c r="A845" s="168"/>
      <c r="B845" s="168"/>
      <c r="C845" s="180"/>
      <c r="D845" s="173"/>
      <c r="E845" s="173"/>
      <c r="F845" s="173"/>
      <c r="G845" s="173"/>
      <c r="H845" s="173"/>
    </row>
    <row r="846" ht="22.5" customHeight="1">
      <c r="A846" s="168"/>
      <c r="B846" s="168"/>
      <c r="C846" s="180"/>
      <c r="D846" s="173"/>
      <c r="E846" s="173"/>
      <c r="F846" s="173"/>
      <c r="G846" s="173"/>
      <c r="H846" s="173"/>
    </row>
    <row r="847" ht="22.5" customHeight="1">
      <c r="A847" s="168"/>
      <c r="B847" s="168"/>
      <c r="C847" s="180"/>
      <c r="D847" s="173"/>
      <c r="E847" s="173"/>
      <c r="F847" s="173"/>
      <c r="G847" s="173"/>
      <c r="H847" s="173"/>
    </row>
    <row r="848" ht="22.5" customHeight="1">
      <c r="A848" s="168"/>
      <c r="B848" s="168"/>
      <c r="C848" s="180"/>
      <c r="D848" s="173"/>
      <c r="E848" s="173"/>
      <c r="F848" s="173"/>
      <c r="G848" s="173"/>
      <c r="H848" s="173"/>
    </row>
    <row r="849" ht="22.5" customHeight="1">
      <c r="A849" s="168"/>
      <c r="B849" s="168"/>
      <c r="C849" s="180"/>
      <c r="D849" s="173"/>
      <c r="E849" s="173"/>
      <c r="F849" s="173"/>
      <c r="G849" s="173"/>
      <c r="H849" s="173"/>
    </row>
    <row r="850" ht="22.5" customHeight="1">
      <c r="A850" s="168"/>
      <c r="B850" s="168"/>
      <c r="C850" s="180"/>
      <c r="D850" s="173"/>
      <c r="E850" s="173"/>
      <c r="F850" s="173"/>
      <c r="G850" s="173"/>
      <c r="H850" s="173"/>
    </row>
    <row r="851" ht="22.5" customHeight="1">
      <c r="A851" s="168"/>
      <c r="B851" s="168"/>
      <c r="C851" s="180"/>
      <c r="D851" s="173"/>
      <c r="E851" s="173"/>
      <c r="F851" s="173"/>
      <c r="G851" s="173"/>
      <c r="H851" s="173"/>
    </row>
    <row r="852" ht="22.5" customHeight="1">
      <c r="A852" s="168"/>
      <c r="B852" s="168"/>
      <c r="C852" s="180"/>
      <c r="D852" s="173"/>
      <c r="E852" s="173"/>
      <c r="F852" s="173"/>
      <c r="G852" s="173"/>
      <c r="H852" s="173"/>
    </row>
    <row r="853" ht="22.5" customHeight="1">
      <c r="A853" s="168"/>
      <c r="B853" s="168"/>
      <c r="C853" s="180"/>
      <c r="D853" s="173"/>
      <c r="E853" s="173"/>
      <c r="F853" s="173"/>
      <c r="G853" s="173"/>
      <c r="H853" s="173"/>
    </row>
    <row r="854" ht="22.5" customHeight="1">
      <c r="A854" s="168"/>
      <c r="B854" s="168"/>
      <c r="C854" s="180"/>
      <c r="D854" s="173"/>
      <c r="E854" s="173"/>
      <c r="F854" s="173"/>
      <c r="G854" s="173"/>
      <c r="H854" s="173"/>
    </row>
    <row r="855" ht="22.5" customHeight="1">
      <c r="A855" s="168"/>
      <c r="B855" s="168"/>
      <c r="C855" s="180"/>
      <c r="D855" s="173"/>
      <c r="E855" s="173"/>
      <c r="F855" s="173"/>
      <c r="G855" s="173"/>
      <c r="H855" s="173"/>
    </row>
    <row r="856" ht="22.5" customHeight="1">
      <c r="A856" s="168"/>
      <c r="B856" s="168"/>
      <c r="C856" s="180"/>
      <c r="D856" s="173"/>
      <c r="E856" s="173"/>
      <c r="F856" s="173"/>
      <c r="G856" s="173"/>
      <c r="H856" s="173"/>
    </row>
    <row r="857" ht="22.5" customHeight="1">
      <c r="A857" s="168"/>
      <c r="B857" s="168"/>
      <c r="C857" s="180"/>
      <c r="D857" s="173"/>
      <c r="E857" s="173"/>
      <c r="F857" s="173"/>
      <c r="G857" s="173"/>
      <c r="H857" s="173"/>
    </row>
    <row r="858" ht="22.5" customHeight="1">
      <c r="A858" s="168"/>
      <c r="B858" s="168"/>
      <c r="C858" s="180"/>
      <c r="D858" s="173"/>
      <c r="E858" s="173"/>
      <c r="F858" s="173"/>
      <c r="G858" s="173"/>
      <c r="H858" s="173"/>
    </row>
    <row r="859" ht="22.5" customHeight="1">
      <c r="A859" s="168"/>
      <c r="B859" s="168"/>
      <c r="C859" s="180"/>
      <c r="D859" s="173"/>
      <c r="E859" s="173"/>
      <c r="F859" s="173"/>
      <c r="G859" s="173"/>
      <c r="H859" s="173"/>
    </row>
    <row r="860" ht="22.5" customHeight="1">
      <c r="A860" s="168"/>
      <c r="B860" s="168"/>
      <c r="C860" s="180"/>
      <c r="D860" s="173"/>
      <c r="E860" s="173"/>
      <c r="F860" s="173"/>
      <c r="G860" s="173"/>
      <c r="H860" s="173"/>
    </row>
    <row r="861" ht="22.5" customHeight="1">
      <c r="A861" s="168"/>
      <c r="B861" s="168"/>
      <c r="C861" s="180"/>
      <c r="D861" s="173"/>
      <c r="E861" s="173"/>
      <c r="F861" s="173"/>
      <c r="G861" s="173"/>
      <c r="H861" s="173"/>
    </row>
    <row r="862" ht="22.5" customHeight="1">
      <c r="A862" s="168"/>
      <c r="B862" s="168"/>
      <c r="C862" s="180"/>
      <c r="D862" s="173"/>
      <c r="E862" s="173"/>
      <c r="F862" s="173"/>
      <c r="G862" s="173"/>
      <c r="H862" s="173"/>
    </row>
    <row r="863" ht="22.5" customHeight="1">
      <c r="A863" s="168"/>
      <c r="B863" s="168"/>
      <c r="C863" s="180"/>
      <c r="D863" s="173"/>
      <c r="E863" s="173"/>
      <c r="F863" s="173"/>
      <c r="G863" s="173"/>
      <c r="H863" s="173"/>
    </row>
    <row r="864" ht="22.5" customHeight="1">
      <c r="A864" s="168"/>
      <c r="B864" s="168"/>
      <c r="C864" s="180"/>
      <c r="D864" s="173"/>
      <c r="E864" s="173"/>
      <c r="F864" s="173"/>
      <c r="G864" s="173"/>
      <c r="H864" s="173"/>
    </row>
    <row r="865" ht="22.5" customHeight="1">
      <c r="A865" s="168"/>
      <c r="B865" s="168"/>
      <c r="C865" s="180"/>
      <c r="D865" s="173"/>
      <c r="E865" s="173"/>
      <c r="F865" s="173"/>
      <c r="G865" s="173"/>
      <c r="H865" s="173"/>
    </row>
    <row r="866" ht="22.5" customHeight="1">
      <c r="A866" s="168"/>
      <c r="B866" s="168"/>
      <c r="C866" s="180"/>
      <c r="D866" s="173"/>
      <c r="E866" s="173"/>
      <c r="F866" s="173"/>
      <c r="G866" s="173"/>
      <c r="H866" s="173"/>
    </row>
    <row r="867" ht="22.5" customHeight="1">
      <c r="A867" s="168"/>
      <c r="B867" s="168"/>
      <c r="C867" s="180"/>
      <c r="D867" s="173"/>
      <c r="E867" s="173"/>
      <c r="F867" s="173"/>
      <c r="G867" s="173"/>
      <c r="H867" s="173"/>
    </row>
    <row r="868" ht="22.5" customHeight="1">
      <c r="A868" s="168"/>
      <c r="B868" s="168"/>
      <c r="C868" s="180"/>
      <c r="D868" s="173"/>
      <c r="E868" s="173"/>
      <c r="F868" s="173"/>
      <c r="G868" s="173"/>
      <c r="H868" s="173"/>
    </row>
    <row r="869" ht="22.5" customHeight="1">
      <c r="A869" s="168"/>
      <c r="B869" s="168"/>
      <c r="C869" s="180"/>
      <c r="D869" s="173"/>
      <c r="E869" s="173"/>
      <c r="F869" s="173"/>
      <c r="G869" s="173"/>
      <c r="H869" s="173"/>
    </row>
    <row r="870" ht="22.5" customHeight="1">
      <c r="A870" s="168"/>
      <c r="B870" s="168"/>
      <c r="C870" s="180"/>
      <c r="D870" s="173"/>
      <c r="E870" s="173"/>
      <c r="F870" s="173"/>
      <c r="G870" s="173"/>
      <c r="H870" s="173"/>
    </row>
    <row r="871" ht="22.5" customHeight="1">
      <c r="A871" s="168"/>
      <c r="B871" s="168"/>
      <c r="C871" s="180"/>
      <c r="D871" s="173"/>
      <c r="E871" s="173"/>
      <c r="F871" s="173"/>
      <c r="G871" s="173"/>
      <c r="H871" s="173"/>
    </row>
    <row r="872" ht="22.5" customHeight="1">
      <c r="A872" s="168"/>
      <c r="B872" s="168"/>
      <c r="C872" s="180"/>
      <c r="D872" s="173"/>
      <c r="E872" s="173"/>
      <c r="F872" s="173"/>
      <c r="G872" s="173"/>
      <c r="H872" s="173"/>
    </row>
    <row r="873" ht="22.5" customHeight="1">
      <c r="A873" s="168"/>
      <c r="B873" s="168"/>
      <c r="C873" s="180"/>
      <c r="D873" s="173"/>
      <c r="E873" s="173"/>
      <c r="F873" s="173"/>
      <c r="G873" s="173"/>
      <c r="H873" s="173"/>
    </row>
    <row r="874" ht="22.5" customHeight="1">
      <c r="A874" s="168"/>
      <c r="B874" s="168"/>
      <c r="C874" s="180"/>
      <c r="D874" s="173"/>
      <c r="E874" s="173"/>
      <c r="F874" s="173"/>
      <c r="G874" s="173"/>
      <c r="H874" s="173"/>
    </row>
    <row r="875" ht="22.5" customHeight="1">
      <c r="A875" s="168"/>
      <c r="B875" s="168"/>
      <c r="C875" s="180"/>
      <c r="D875" s="173"/>
      <c r="E875" s="173"/>
      <c r="F875" s="173"/>
      <c r="G875" s="173"/>
      <c r="H875" s="173"/>
    </row>
    <row r="876" ht="22.5" customHeight="1">
      <c r="A876" s="168"/>
      <c r="B876" s="168"/>
      <c r="C876" s="180"/>
      <c r="D876" s="173"/>
      <c r="E876" s="173"/>
      <c r="F876" s="173"/>
      <c r="G876" s="173"/>
      <c r="H876" s="173"/>
    </row>
    <row r="877" ht="22.5" customHeight="1">
      <c r="A877" s="168"/>
      <c r="B877" s="168"/>
      <c r="C877" s="180"/>
      <c r="D877" s="173"/>
      <c r="E877" s="173"/>
      <c r="F877" s="173"/>
      <c r="G877" s="173"/>
      <c r="H877" s="173"/>
    </row>
    <row r="878" ht="22.5" customHeight="1">
      <c r="A878" s="168"/>
      <c r="B878" s="168"/>
      <c r="C878" s="180"/>
      <c r="D878" s="173"/>
      <c r="E878" s="173"/>
      <c r="F878" s="173"/>
      <c r="G878" s="173"/>
      <c r="H878" s="173"/>
    </row>
    <row r="879" ht="22.5" customHeight="1">
      <c r="A879" s="168"/>
      <c r="B879" s="168"/>
      <c r="C879" s="180"/>
      <c r="D879" s="173"/>
      <c r="E879" s="173"/>
      <c r="F879" s="173"/>
      <c r="G879" s="173"/>
      <c r="H879" s="173"/>
    </row>
    <row r="880" ht="22.5" customHeight="1">
      <c r="A880" s="168"/>
      <c r="B880" s="168"/>
      <c r="C880" s="180"/>
      <c r="D880" s="173"/>
      <c r="E880" s="173"/>
      <c r="F880" s="173"/>
      <c r="G880" s="173"/>
      <c r="H880" s="173"/>
    </row>
    <row r="881" ht="22.5" customHeight="1">
      <c r="A881" s="168"/>
      <c r="B881" s="168"/>
      <c r="C881" s="180"/>
      <c r="D881" s="173"/>
      <c r="E881" s="173"/>
      <c r="F881" s="173"/>
      <c r="G881" s="173"/>
      <c r="H881" s="173"/>
    </row>
    <row r="882" ht="22.5" customHeight="1">
      <c r="A882" s="168"/>
      <c r="B882" s="168"/>
      <c r="C882" s="180"/>
      <c r="D882" s="173"/>
      <c r="E882" s="173"/>
      <c r="F882" s="173"/>
      <c r="G882" s="173"/>
      <c r="H882" s="173"/>
    </row>
    <row r="883" ht="22.5" customHeight="1">
      <c r="A883" s="168"/>
      <c r="B883" s="168"/>
      <c r="C883" s="180"/>
      <c r="D883" s="173"/>
      <c r="E883" s="173"/>
      <c r="F883" s="173"/>
      <c r="G883" s="173"/>
      <c r="H883" s="173"/>
    </row>
    <row r="884" ht="22.5" customHeight="1">
      <c r="A884" s="168"/>
      <c r="B884" s="168"/>
      <c r="C884" s="180"/>
      <c r="D884" s="173"/>
      <c r="E884" s="173"/>
      <c r="F884" s="173"/>
      <c r="G884" s="173"/>
      <c r="H884" s="173"/>
    </row>
    <row r="885" ht="22.5" customHeight="1">
      <c r="A885" s="168"/>
      <c r="B885" s="168"/>
      <c r="C885" s="180"/>
      <c r="D885" s="173"/>
      <c r="E885" s="173"/>
      <c r="F885" s="173"/>
      <c r="G885" s="173"/>
      <c r="H885" s="173"/>
    </row>
    <row r="886" ht="22.5" customHeight="1">
      <c r="A886" s="168"/>
      <c r="B886" s="168"/>
      <c r="C886" s="180"/>
      <c r="D886" s="173"/>
      <c r="E886" s="173"/>
      <c r="F886" s="173"/>
      <c r="G886" s="173"/>
      <c r="H886" s="173"/>
    </row>
    <row r="887" ht="22.5" customHeight="1">
      <c r="A887" s="168"/>
      <c r="B887" s="168"/>
      <c r="C887" s="180"/>
      <c r="D887" s="173"/>
      <c r="E887" s="173"/>
      <c r="F887" s="173"/>
      <c r="G887" s="173"/>
      <c r="H887" s="173"/>
    </row>
    <row r="888" ht="22.5" customHeight="1">
      <c r="A888" s="168"/>
      <c r="B888" s="168"/>
      <c r="C888" s="180"/>
      <c r="D888" s="173"/>
      <c r="E888" s="173"/>
      <c r="F888" s="173"/>
      <c r="G888" s="173"/>
      <c r="H888" s="173"/>
    </row>
    <row r="889" ht="22.5" customHeight="1">
      <c r="A889" s="168"/>
      <c r="B889" s="168"/>
      <c r="C889" s="180"/>
      <c r="D889" s="173"/>
      <c r="E889" s="173"/>
      <c r="F889" s="173"/>
      <c r="G889" s="173"/>
      <c r="H889" s="173"/>
    </row>
    <row r="890" ht="22.5" customHeight="1">
      <c r="A890" s="168"/>
      <c r="B890" s="168"/>
      <c r="C890" s="180"/>
      <c r="D890" s="173"/>
      <c r="E890" s="173"/>
      <c r="F890" s="173"/>
      <c r="G890" s="173"/>
      <c r="H890" s="173"/>
    </row>
    <row r="891" ht="22.5" customHeight="1">
      <c r="A891" s="168"/>
      <c r="B891" s="168"/>
      <c r="C891" s="180"/>
      <c r="D891" s="173"/>
      <c r="E891" s="173"/>
      <c r="F891" s="173"/>
      <c r="G891" s="173"/>
      <c r="H891" s="173"/>
    </row>
    <row r="892" ht="22.5" customHeight="1">
      <c r="A892" s="168"/>
      <c r="B892" s="168"/>
      <c r="C892" s="180"/>
      <c r="D892" s="173"/>
      <c r="E892" s="173"/>
      <c r="F892" s="173"/>
      <c r="G892" s="173"/>
      <c r="H892" s="173"/>
    </row>
    <row r="893" ht="22.5" customHeight="1">
      <c r="A893" s="168"/>
      <c r="B893" s="168"/>
      <c r="C893" s="180"/>
      <c r="D893" s="173"/>
      <c r="E893" s="173"/>
      <c r="F893" s="173"/>
      <c r="G893" s="173"/>
      <c r="H893" s="173"/>
    </row>
    <row r="894" ht="22.5" customHeight="1">
      <c r="A894" s="168"/>
      <c r="B894" s="168"/>
      <c r="C894" s="180"/>
      <c r="D894" s="173"/>
      <c r="E894" s="173"/>
      <c r="F894" s="173"/>
      <c r="G894" s="173"/>
      <c r="H894" s="173"/>
    </row>
    <row r="895" ht="22.5" customHeight="1">
      <c r="A895" s="168"/>
      <c r="B895" s="168"/>
      <c r="C895" s="180"/>
      <c r="D895" s="173"/>
      <c r="E895" s="173"/>
      <c r="F895" s="173"/>
      <c r="G895" s="173"/>
      <c r="H895" s="173"/>
    </row>
    <row r="896" ht="22.5" customHeight="1">
      <c r="A896" s="168"/>
      <c r="B896" s="168"/>
      <c r="C896" s="180"/>
      <c r="D896" s="173"/>
      <c r="E896" s="173"/>
      <c r="F896" s="173"/>
      <c r="G896" s="173"/>
      <c r="H896" s="173"/>
    </row>
    <row r="897" ht="22.5" customHeight="1">
      <c r="A897" s="168"/>
      <c r="B897" s="168"/>
      <c r="C897" s="180"/>
      <c r="D897" s="173"/>
      <c r="E897" s="173"/>
      <c r="F897" s="173"/>
      <c r="G897" s="173"/>
      <c r="H897" s="173"/>
    </row>
    <row r="898" ht="22.5" customHeight="1">
      <c r="A898" s="168"/>
      <c r="B898" s="168"/>
      <c r="C898" s="180"/>
      <c r="D898" s="173"/>
      <c r="E898" s="173"/>
      <c r="F898" s="173"/>
      <c r="G898" s="173"/>
      <c r="H898" s="173"/>
    </row>
    <row r="899" ht="22.5" customHeight="1">
      <c r="A899" s="168"/>
      <c r="B899" s="168"/>
      <c r="C899" s="180"/>
      <c r="D899" s="173"/>
      <c r="E899" s="173"/>
      <c r="F899" s="173"/>
      <c r="G899" s="173"/>
      <c r="H899" s="173"/>
    </row>
    <row r="900" ht="22.5" customHeight="1">
      <c r="A900" s="168"/>
      <c r="B900" s="168"/>
      <c r="C900" s="180"/>
      <c r="D900" s="173"/>
      <c r="E900" s="173"/>
      <c r="F900" s="173"/>
      <c r="G900" s="173"/>
      <c r="H900" s="173"/>
    </row>
    <row r="901" ht="22.5" customHeight="1">
      <c r="A901" s="168"/>
      <c r="B901" s="168"/>
      <c r="C901" s="180"/>
      <c r="D901" s="173"/>
      <c r="E901" s="173"/>
      <c r="F901" s="173"/>
      <c r="G901" s="173"/>
      <c r="H901" s="173"/>
    </row>
    <row r="902" ht="22.5" customHeight="1">
      <c r="A902" s="168"/>
      <c r="B902" s="168"/>
      <c r="C902" s="180"/>
      <c r="D902" s="173"/>
      <c r="E902" s="173"/>
      <c r="F902" s="173"/>
      <c r="G902" s="173"/>
      <c r="H902" s="173"/>
    </row>
    <row r="903" ht="22.5" customHeight="1">
      <c r="A903" s="168"/>
      <c r="B903" s="168"/>
      <c r="C903" s="180"/>
      <c r="D903" s="173"/>
      <c r="E903" s="173"/>
      <c r="F903" s="173"/>
      <c r="G903" s="173"/>
      <c r="H903" s="173"/>
    </row>
    <row r="904" ht="22.5" customHeight="1">
      <c r="A904" s="168"/>
      <c r="B904" s="168"/>
      <c r="C904" s="180"/>
      <c r="D904" s="173"/>
      <c r="E904" s="173"/>
      <c r="F904" s="173"/>
      <c r="G904" s="173"/>
      <c r="H904" s="173"/>
    </row>
    <row r="905" ht="22.5" customHeight="1">
      <c r="A905" s="168"/>
      <c r="B905" s="168"/>
      <c r="C905" s="180"/>
      <c r="D905" s="173"/>
      <c r="E905" s="173"/>
      <c r="F905" s="173"/>
      <c r="G905" s="173"/>
      <c r="H905" s="173"/>
    </row>
    <row r="906" ht="22.5" customHeight="1">
      <c r="A906" s="168"/>
      <c r="B906" s="168"/>
      <c r="C906" s="180"/>
      <c r="D906" s="173"/>
      <c r="E906" s="173"/>
      <c r="F906" s="173"/>
      <c r="G906" s="173"/>
      <c r="H906" s="173"/>
    </row>
    <row r="907" ht="22.5" customHeight="1">
      <c r="A907" s="168"/>
      <c r="B907" s="168"/>
      <c r="C907" s="180"/>
      <c r="D907" s="173"/>
      <c r="E907" s="173"/>
      <c r="F907" s="173"/>
      <c r="G907" s="173"/>
      <c r="H907" s="173"/>
    </row>
    <row r="908" ht="22.5" customHeight="1">
      <c r="A908" s="168"/>
      <c r="B908" s="168"/>
      <c r="C908" s="180"/>
      <c r="D908" s="173"/>
      <c r="E908" s="173"/>
      <c r="F908" s="173"/>
      <c r="G908" s="173"/>
      <c r="H908" s="173"/>
    </row>
    <row r="909" ht="22.5" customHeight="1">
      <c r="A909" s="168"/>
      <c r="B909" s="168"/>
      <c r="C909" s="180"/>
      <c r="D909" s="173"/>
      <c r="E909" s="173"/>
      <c r="F909" s="173"/>
      <c r="G909" s="173"/>
      <c r="H909" s="173"/>
    </row>
    <row r="910" ht="22.5" customHeight="1">
      <c r="A910" s="168"/>
      <c r="B910" s="168"/>
      <c r="C910" s="180"/>
      <c r="D910" s="173"/>
      <c r="E910" s="173"/>
      <c r="F910" s="173"/>
      <c r="G910" s="173"/>
      <c r="H910" s="173"/>
    </row>
    <row r="911" ht="22.5" customHeight="1">
      <c r="A911" s="168"/>
      <c r="B911" s="168"/>
      <c r="C911" s="180"/>
      <c r="D911" s="173"/>
      <c r="E911" s="173"/>
      <c r="F911" s="173"/>
      <c r="G911" s="173"/>
      <c r="H911" s="173"/>
    </row>
    <row r="912" ht="22.5" customHeight="1">
      <c r="A912" s="168"/>
      <c r="B912" s="168"/>
      <c r="C912" s="180"/>
      <c r="D912" s="173"/>
      <c r="E912" s="173"/>
      <c r="F912" s="173"/>
      <c r="G912" s="173"/>
      <c r="H912" s="173"/>
    </row>
    <row r="913" ht="22.5" customHeight="1">
      <c r="A913" s="168"/>
      <c r="B913" s="168"/>
      <c r="C913" s="180"/>
      <c r="D913" s="173"/>
      <c r="E913" s="173"/>
      <c r="F913" s="173"/>
      <c r="G913" s="173"/>
      <c r="H913" s="173"/>
    </row>
    <row r="914" ht="22.5" customHeight="1">
      <c r="A914" s="168"/>
      <c r="B914" s="168"/>
      <c r="C914" s="180"/>
      <c r="D914" s="173"/>
      <c r="E914" s="173"/>
      <c r="F914" s="173"/>
      <c r="G914" s="173"/>
      <c r="H914" s="173"/>
    </row>
    <row r="915" ht="22.5" customHeight="1">
      <c r="A915" s="168"/>
      <c r="B915" s="168"/>
      <c r="C915" s="180"/>
      <c r="D915" s="173"/>
      <c r="E915" s="173"/>
      <c r="F915" s="173"/>
      <c r="G915" s="173"/>
      <c r="H915" s="173"/>
    </row>
    <row r="916" ht="22.5" customHeight="1">
      <c r="A916" s="168"/>
      <c r="B916" s="168"/>
      <c r="C916" s="180"/>
      <c r="D916" s="173"/>
      <c r="E916" s="173"/>
      <c r="F916" s="173"/>
      <c r="G916" s="173"/>
      <c r="H916" s="173"/>
    </row>
    <row r="917" ht="22.5" customHeight="1">
      <c r="A917" s="168"/>
      <c r="B917" s="168"/>
      <c r="C917" s="180"/>
      <c r="D917" s="173"/>
      <c r="E917" s="173"/>
      <c r="F917" s="173"/>
      <c r="G917" s="173"/>
      <c r="H917" s="173"/>
    </row>
    <row r="918" ht="22.5" customHeight="1">
      <c r="A918" s="168"/>
      <c r="B918" s="168"/>
      <c r="C918" s="180"/>
      <c r="D918" s="173"/>
      <c r="E918" s="173"/>
      <c r="F918" s="173"/>
      <c r="G918" s="173"/>
      <c r="H918" s="173"/>
    </row>
    <row r="919" ht="22.5" customHeight="1">
      <c r="A919" s="168"/>
      <c r="B919" s="168"/>
      <c r="C919" s="180"/>
      <c r="D919" s="173"/>
      <c r="E919" s="173"/>
      <c r="F919" s="173"/>
      <c r="G919" s="173"/>
      <c r="H919" s="173"/>
    </row>
    <row r="920" ht="22.5" customHeight="1">
      <c r="A920" s="168"/>
      <c r="B920" s="168"/>
      <c r="C920" s="180"/>
      <c r="D920" s="173"/>
      <c r="E920" s="173"/>
      <c r="F920" s="173"/>
      <c r="G920" s="173"/>
      <c r="H920" s="173"/>
    </row>
    <row r="921" ht="22.5" customHeight="1">
      <c r="A921" s="168"/>
      <c r="B921" s="168"/>
      <c r="C921" s="180"/>
      <c r="D921" s="173"/>
      <c r="E921" s="173"/>
      <c r="F921" s="173"/>
      <c r="G921" s="173"/>
      <c r="H921" s="173"/>
    </row>
    <row r="922" ht="22.5" customHeight="1">
      <c r="A922" s="168"/>
      <c r="B922" s="168"/>
      <c r="C922" s="180"/>
      <c r="D922" s="173"/>
      <c r="E922" s="173"/>
      <c r="F922" s="173"/>
      <c r="G922" s="173"/>
      <c r="H922" s="173"/>
    </row>
    <row r="923" ht="22.5" customHeight="1">
      <c r="A923" s="168"/>
      <c r="B923" s="168"/>
      <c r="C923" s="180"/>
      <c r="D923" s="173"/>
      <c r="E923" s="173"/>
      <c r="F923" s="173"/>
      <c r="G923" s="173"/>
      <c r="H923" s="173"/>
    </row>
    <row r="924" ht="22.5" customHeight="1">
      <c r="A924" s="168"/>
      <c r="B924" s="168"/>
      <c r="C924" s="180"/>
      <c r="D924" s="173"/>
      <c r="E924" s="173"/>
      <c r="F924" s="173"/>
      <c r="G924" s="173"/>
      <c r="H924" s="173"/>
    </row>
    <row r="925" ht="22.5" customHeight="1">
      <c r="A925" s="168"/>
      <c r="B925" s="168"/>
      <c r="C925" s="180"/>
      <c r="D925" s="173"/>
      <c r="E925" s="173"/>
      <c r="F925" s="173"/>
      <c r="G925" s="173"/>
      <c r="H925" s="173"/>
    </row>
    <row r="926" ht="22.5" customHeight="1">
      <c r="A926" s="168"/>
      <c r="B926" s="168"/>
      <c r="C926" s="180"/>
      <c r="D926" s="173"/>
      <c r="E926" s="173"/>
      <c r="F926" s="173"/>
      <c r="G926" s="173"/>
      <c r="H926" s="173"/>
    </row>
    <row r="927" ht="22.5" customHeight="1">
      <c r="A927" s="168"/>
      <c r="B927" s="168"/>
      <c r="C927" s="180"/>
      <c r="D927" s="173"/>
      <c r="E927" s="173"/>
      <c r="F927" s="173"/>
      <c r="G927" s="173"/>
      <c r="H927" s="173"/>
    </row>
    <row r="928" ht="22.5" customHeight="1">
      <c r="A928" s="168"/>
      <c r="B928" s="168"/>
      <c r="C928" s="180"/>
      <c r="D928" s="173"/>
      <c r="E928" s="173"/>
      <c r="F928" s="173"/>
      <c r="G928" s="173"/>
      <c r="H928" s="173"/>
    </row>
    <row r="929" ht="22.5" customHeight="1">
      <c r="A929" s="168"/>
      <c r="B929" s="168"/>
      <c r="C929" s="180"/>
      <c r="D929" s="173"/>
      <c r="E929" s="173"/>
      <c r="F929" s="173"/>
      <c r="G929" s="173"/>
      <c r="H929" s="173"/>
    </row>
    <row r="930" ht="22.5" customHeight="1">
      <c r="A930" s="168"/>
      <c r="B930" s="168"/>
      <c r="C930" s="180"/>
      <c r="D930" s="173"/>
      <c r="E930" s="173"/>
      <c r="F930" s="173"/>
      <c r="G930" s="173"/>
      <c r="H930" s="173"/>
    </row>
    <row r="931" ht="22.5" customHeight="1">
      <c r="A931" s="168"/>
      <c r="B931" s="168"/>
      <c r="C931" s="180"/>
      <c r="D931" s="173"/>
      <c r="E931" s="173"/>
      <c r="F931" s="173"/>
      <c r="G931" s="173"/>
      <c r="H931" s="173"/>
    </row>
    <row r="932" ht="22.5" customHeight="1">
      <c r="A932" s="168"/>
      <c r="B932" s="168"/>
      <c r="C932" s="180"/>
      <c r="D932" s="173"/>
      <c r="E932" s="173"/>
      <c r="F932" s="173"/>
      <c r="G932" s="173"/>
      <c r="H932" s="173"/>
    </row>
    <row r="933" ht="22.5" customHeight="1">
      <c r="A933" s="168"/>
      <c r="B933" s="168"/>
      <c r="C933" s="180"/>
      <c r="D933" s="173"/>
      <c r="E933" s="173"/>
      <c r="F933" s="173"/>
      <c r="G933" s="173"/>
      <c r="H933" s="173"/>
    </row>
    <row r="934" ht="22.5" customHeight="1">
      <c r="A934" s="168"/>
      <c r="B934" s="168"/>
      <c r="C934" s="180"/>
      <c r="D934" s="173"/>
      <c r="E934" s="173"/>
      <c r="F934" s="173"/>
      <c r="G934" s="173"/>
      <c r="H934" s="173"/>
    </row>
    <row r="935" ht="22.5" customHeight="1">
      <c r="A935" s="168"/>
      <c r="B935" s="168"/>
      <c r="C935" s="180"/>
      <c r="D935" s="173"/>
      <c r="E935" s="173"/>
      <c r="F935" s="173"/>
      <c r="G935" s="173"/>
      <c r="H935" s="173"/>
    </row>
    <row r="936" ht="22.5" customHeight="1">
      <c r="A936" s="168"/>
      <c r="B936" s="168"/>
      <c r="C936" s="180"/>
      <c r="D936" s="173"/>
      <c r="E936" s="173"/>
      <c r="F936" s="173"/>
      <c r="G936" s="173"/>
      <c r="H936" s="173"/>
    </row>
    <row r="937" ht="22.5" customHeight="1">
      <c r="A937" s="168"/>
      <c r="B937" s="168"/>
      <c r="C937" s="180"/>
      <c r="D937" s="173"/>
      <c r="E937" s="173"/>
      <c r="F937" s="173"/>
      <c r="G937" s="173"/>
      <c r="H937" s="173"/>
    </row>
    <row r="938" ht="22.5" customHeight="1">
      <c r="A938" s="168"/>
      <c r="B938" s="168"/>
      <c r="C938" s="180"/>
      <c r="D938" s="173"/>
      <c r="E938" s="173"/>
      <c r="F938" s="173"/>
      <c r="G938" s="173"/>
      <c r="H938" s="173"/>
    </row>
    <row r="939" ht="22.5" customHeight="1">
      <c r="A939" s="168"/>
      <c r="B939" s="168"/>
      <c r="C939" s="180"/>
      <c r="D939" s="173"/>
      <c r="E939" s="173"/>
      <c r="F939" s="173"/>
      <c r="G939" s="173"/>
      <c r="H939" s="173"/>
    </row>
    <row r="940" ht="22.5" customHeight="1">
      <c r="A940" s="168"/>
      <c r="B940" s="168"/>
      <c r="C940" s="180"/>
      <c r="D940" s="173"/>
      <c r="E940" s="173"/>
      <c r="F940" s="173"/>
      <c r="G940" s="173"/>
      <c r="H940" s="173"/>
    </row>
    <row r="941" ht="22.5" customHeight="1">
      <c r="A941" s="168"/>
      <c r="B941" s="168"/>
      <c r="C941" s="180"/>
      <c r="D941" s="173"/>
      <c r="E941" s="173"/>
      <c r="F941" s="173"/>
      <c r="G941" s="173"/>
      <c r="H941" s="173"/>
    </row>
    <row r="942" ht="22.5" customHeight="1">
      <c r="A942" s="168"/>
      <c r="B942" s="168"/>
      <c r="C942" s="180"/>
      <c r="D942" s="173"/>
      <c r="E942" s="173"/>
      <c r="F942" s="173"/>
      <c r="G942" s="173"/>
      <c r="H942" s="173"/>
    </row>
    <row r="943" ht="22.5" customHeight="1">
      <c r="A943" s="168"/>
      <c r="B943" s="168"/>
      <c r="C943" s="180"/>
      <c r="D943" s="173"/>
      <c r="E943" s="173"/>
      <c r="F943" s="173"/>
      <c r="G943" s="173"/>
      <c r="H943" s="173"/>
    </row>
    <row r="944" ht="22.5" customHeight="1">
      <c r="A944" s="168"/>
      <c r="B944" s="168"/>
      <c r="C944" s="180"/>
      <c r="D944" s="173"/>
      <c r="E944" s="173"/>
      <c r="F944" s="173"/>
      <c r="G944" s="173"/>
      <c r="H944" s="173"/>
    </row>
    <row r="945" ht="22.5" customHeight="1">
      <c r="A945" s="168"/>
      <c r="B945" s="168"/>
      <c r="C945" s="180"/>
      <c r="D945" s="173"/>
      <c r="E945" s="173"/>
      <c r="F945" s="173"/>
      <c r="G945" s="173"/>
      <c r="H945" s="173"/>
    </row>
    <row r="946" ht="22.5" customHeight="1">
      <c r="A946" s="168"/>
      <c r="B946" s="168"/>
      <c r="C946" s="180"/>
      <c r="D946" s="173"/>
      <c r="E946" s="173"/>
      <c r="F946" s="173"/>
      <c r="G946" s="173"/>
      <c r="H946" s="173"/>
    </row>
    <row r="947" ht="22.5" customHeight="1">
      <c r="A947" s="168"/>
      <c r="B947" s="168"/>
      <c r="C947" s="180"/>
      <c r="D947" s="173"/>
      <c r="E947" s="173"/>
      <c r="F947" s="173"/>
      <c r="G947" s="173"/>
      <c r="H947" s="173"/>
    </row>
    <row r="948" ht="22.5" customHeight="1">
      <c r="A948" s="168"/>
      <c r="B948" s="168"/>
      <c r="C948" s="180"/>
      <c r="D948" s="173"/>
      <c r="E948" s="173"/>
      <c r="F948" s="173"/>
      <c r="G948" s="173"/>
      <c r="H948" s="173"/>
    </row>
    <row r="949" ht="22.5" customHeight="1">
      <c r="A949" s="168"/>
      <c r="B949" s="168"/>
      <c r="C949" s="180"/>
      <c r="D949" s="173"/>
      <c r="E949" s="173"/>
      <c r="F949" s="173"/>
      <c r="G949" s="173"/>
      <c r="H949" s="173"/>
    </row>
    <row r="950" ht="22.5" customHeight="1">
      <c r="A950" s="168"/>
      <c r="B950" s="168"/>
      <c r="C950" s="180"/>
      <c r="D950" s="173"/>
      <c r="E950" s="173"/>
      <c r="F950" s="173"/>
      <c r="G950" s="173"/>
      <c r="H950" s="173"/>
    </row>
    <row r="951" ht="22.5" customHeight="1">
      <c r="A951" s="168"/>
      <c r="B951" s="168"/>
      <c r="C951" s="180"/>
      <c r="D951" s="173"/>
      <c r="E951" s="173"/>
      <c r="F951" s="173"/>
      <c r="G951" s="173"/>
      <c r="H951" s="173"/>
    </row>
    <row r="952" ht="22.5" customHeight="1">
      <c r="A952" s="168"/>
      <c r="B952" s="168"/>
      <c r="C952" s="180"/>
      <c r="D952" s="173"/>
      <c r="E952" s="173"/>
      <c r="F952" s="173"/>
      <c r="G952" s="173"/>
      <c r="H952" s="173"/>
    </row>
    <row r="953" ht="22.5" customHeight="1">
      <c r="A953" s="168"/>
      <c r="B953" s="168"/>
      <c r="C953" s="180"/>
      <c r="D953" s="173"/>
      <c r="E953" s="173"/>
      <c r="F953" s="173"/>
      <c r="G953" s="173"/>
      <c r="H953" s="173"/>
    </row>
    <row r="954" ht="22.5" customHeight="1">
      <c r="A954" s="168"/>
      <c r="B954" s="168"/>
      <c r="C954" s="180"/>
      <c r="D954" s="173"/>
      <c r="E954" s="173"/>
      <c r="F954" s="173"/>
      <c r="G954" s="173"/>
      <c r="H954" s="173"/>
    </row>
    <row r="955" ht="22.5" customHeight="1">
      <c r="A955" s="168"/>
      <c r="B955" s="168"/>
      <c r="C955" s="180"/>
      <c r="D955" s="173"/>
      <c r="E955" s="173"/>
      <c r="F955" s="173"/>
      <c r="G955" s="173"/>
      <c r="H955" s="173"/>
    </row>
    <row r="956" ht="22.5" customHeight="1">
      <c r="A956" s="168"/>
      <c r="B956" s="168"/>
      <c r="C956" s="180"/>
      <c r="D956" s="173"/>
      <c r="E956" s="173"/>
      <c r="F956" s="173"/>
      <c r="G956" s="173"/>
      <c r="H956" s="173"/>
    </row>
    <row r="957" ht="22.5" customHeight="1">
      <c r="A957" s="168"/>
      <c r="B957" s="168"/>
      <c r="C957" s="180"/>
      <c r="D957" s="173"/>
      <c r="E957" s="173"/>
      <c r="F957" s="173"/>
      <c r="G957" s="173"/>
      <c r="H957" s="173"/>
    </row>
    <row r="958" ht="22.5" customHeight="1">
      <c r="A958" s="168"/>
      <c r="B958" s="168"/>
      <c r="C958" s="180"/>
      <c r="D958" s="173"/>
      <c r="E958" s="173"/>
      <c r="F958" s="173"/>
      <c r="G958" s="173"/>
      <c r="H958" s="173"/>
    </row>
    <row r="959" ht="22.5" customHeight="1">
      <c r="A959" s="168"/>
      <c r="B959" s="168"/>
      <c r="C959" s="180"/>
      <c r="D959" s="173"/>
      <c r="E959" s="173"/>
      <c r="F959" s="173"/>
      <c r="G959" s="173"/>
      <c r="H959" s="173"/>
    </row>
    <row r="960" ht="22.5" customHeight="1">
      <c r="A960" s="168"/>
      <c r="B960" s="168"/>
      <c r="C960" s="180"/>
      <c r="D960" s="173"/>
      <c r="E960" s="173"/>
      <c r="F960" s="173"/>
      <c r="G960" s="173"/>
      <c r="H960" s="173"/>
    </row>
    <row r="961" ht="22.5" customHeight="1">
      <c r="A961" s="168"/>
      <c r="B961" s="168"/>
      <c r="C961" s="180"/>
      <c r="D961" s="173"/>
      <c r="E961" s="173"/>
      <c r="F961" s="173"/>
      <c r="G961" s="173"/>
      <c r="H961" s="173"/>
    </row>
    <row r="962" ht="22.5" customHeight="1">
      <c r="A962" s="168"/>
      <c r="B962" s="168"/>
      <c r="C962" s="180"/>
      <c r="D962" s="173"/>
      <c r="E962" s="173"/>
      <c r="F962" s="173"/>
      <c r="G962" s="173"/>
      <c r="H962" s="173"/>
    </row>
    <row r="963" ht="22.5" customHeight="1">
      <c r="A963" s="168"/>
      <c r="B963" s="168"/>
      <c r="C963" s="180"/>
      <c r="D963" s="173"/>
      <c r="E963" s="173"/>
      <c r="F963" s="173"/>
      <c r="G963" s="173"/>
      <c r="H963" s="173"/>
    </row>
    <row r="964" ht="22.5" customHeight="1">
      <c r="A964" s="168"/>
      <c r="B964" s="168"/>
      <c r="C964" s="180"/>
      <c r="D964" s="173"/>
      <c r="E964" s="173"/>
      <c r="F964" s="173"/>
      <c r="G964" s="173"/>
      <c r="H964" s="173"/>
    </row>
    <row r="965" ht="22.5" customHeight="1">
      <c r="A965" s="168"/>
      <c r="B965" s="168"/>
      <c r="C965" s="180"/>
      <c r="D965" s="173"/>
      <c r="E965" s="173"/>
      <c r="F965" s="173"/>
      <c r="G965" s="173"/>
      <c r="H965" s="173"/>
    </row>
    <row r="966" ht="22.5" customHeight="1">
      <c r="A966" s="168"/>
      <c r="B966" s="168"/>
      <c r="C966" s="180"/>
      <c r="D966" s="173"/>
      <c r="E966" s="173"/>
      <c r="F966" s="173"/>
      <c r="G966" s="173"/>
      <c r="H966" s="173"/>
    </row>
    <row r="967" ht="22.5" customHeight="1">
      <c r="A967" s="168"/>
      <c r="B967" s="168"/>
      <c r="C967" s="180"/>
      <c r="D967" s="173"/>
      <c r="E967" s="173"/>
      <c r="F967" s="173"/>
      <c r="G967" s="173"/>
      <c r="H967" s="173"/>
    </row>
    <row r="968" ht="22.5" customHeight="1">
      <c r="A968" s="168"/>
      <c r="B968" s="168"/>
      <c r="C968" s="180"/>
      <c r="D968" s="173"/>
      <c r="E968" s="173"/>
      <c r="F968" s="173"/>
      <c r="G968" s="173"/>
      <c r="H968" s="173"/>
    </row>
    <row r="969" ht="22.5" customHeight="1">
      <c r="A969" s="168"/>
      <c r="B969" s="168"/>
      <c r="C969" s="180"/>
      <c r="D969" s="173"/>
      <c r="E969" s="173"/>
      <c r="F969" s="173"/>
      <c r="G969" s="173"/>
      <c r="H969" s="173"/>
    </row>
    <row r="970" ht="22.5" customHeight="1">
      <c r="A970" s="168"/>
      <c r="B970" s="168"/>
      <c r="C970" s="180"/>
      <c r="D970" s="173"/>
      <c r="E970" s="173"/>
      <c r="F970" s="173"/>
      <c r="G970" s="173"/>
      <c r="H970" s="173"/>
    </row>
    <row r="971" ht="22.5" customHeight="1">
      <c r="A971" s="168"/>
      <c r="B971" s="168"/>
      <c r="C971" s="180"/>
      <c r="D971" s="173"/>
      <c r="E971" s="173"/>
      <c r="F971" s="173"/>
      <c r="G971" s="173"/>
      <c r="H971" s="173"/>
    </row>
    <row r="972" ht="22.5" customHeight="1">
      <c r="A972" s="168"/>
      <c r="B972" s="168"/>
      <c r="C972" s="180"/>
      <c r="D972" s="173"/>
      <c r="E972" s="173"/>
      <c r="F972" s="173"/>
      <c r="G972" s="173"/>
      <c r="H972" s="173"/>
    </row>
    <row r="973" ht="22.5" customHeight="1">
      <c r="A973" s="168"/>
      <c r="B973" s="168"/>
      <c r="C973" s="180"/>
      <c r="D973" s="173"/>
      <c r="E973" s="173"/>
      <c r="F973" s="173"/>
      <c r="G973" s="173"/>
      <c r="H973" s="173"/>
    </row>
    <row r="974" ht="22.5" customHeight="1">
      <c r="A974" s="168"/>
      <c r="B974" s="168"/>
      <c r="C974" s="180"/>
      <c r="D974" s="173"/>
      <c r="E974" s="173"/>
      <c r="F974" s="173"/>
      <c r="G974" s="173"/>
      <c r="H974" s="173"/>
    </row>
    <row r="975" ht="22.5" customHeight="1">
      <c r="A975" s="168"/>
      <c r="B975" s="168"/>
      <c r="C975" s="180"/>
      <c r="D975" s="173"/>
      <c r="E975" s="173"/>
      <c r="F975" s="173"/>
      <c r="G975" s="173"/>
      <c r="H975" s="173"/>
    </row>
    <row r="976" ht="22.5" customHeight="1">
      <c r="A976" s="168"/>
      <c r="B976" s="168"/>
      <c r="C976" s="180"/>
      <c r="D976" s="173"/>
      <c r="E976" s="173"/>
      <c r="F976" s="173"/>
      <c r="G976" s="173"/>
      <c r="H976" s="173"/>
    </row>
    <row r="977" ht="22.5" customHeight="1">
      <c r="A977" s="168"/>
      <c r="B977" s="168"/>
      <c r="C977" s="180"/>
      <c r="D977" s="173"/>
      <c r="E977" s="173"/>
      <c r="F977" s="173"/>
      <c r="G977" s="173"/>
      <c r="H977" s="173"/>
    </row>
    <row r="978" ht="22.5" customHeight="1">
      <c r="A978" s="168"/>
      <c r="B978" s="168"/>
      <c r="C978" s="180"/>
      <c r="D978" s="173"/>
      <c r="E978" s="173"/>
      <c r="F978" s="173"/>
      <c r="G978" s="173"/>
      <c r="H978" s="173"/>
    </row>
    <row r="979" ht="22.5" customHeight="1">
      <c r="A979" s="168"/>
      <c r="B979" s="168"/>
      <c r="C979" s="180"/>
      <c r="D979" s="173"/>
      <c r="E979" s="173"/>
      <c r="F979" s="173"/>
      <c r="G979" s="173"/>
      <c r="H979" s="173"/>
    </row>
    <row r="980" ht="22.5" customHeight="1">
      <c r="A980" s="168"/>
      <c r="B980" s="168"/>
      <c r="C980" s="180"/>
      <c r="D980" s="173"/>
      <c r="E980" s="173"/>
      <c r="F980" s="173"/>
      <c r="G980" s="173"/>
      <c r="H980" s="173"/>
    </row>
    <row r="981" ht="22.5" customHeight="1">
      <c r="A981" s="168"/>
      <c r="B981" s="168"/>
      <c r="C981" s="180"/>
      <c r="D981" s="173"/>
      <c r="E981" s="173"/>
      <c r="F981" s="173"/>
      <c r="G981" s="173"/>
      <c r="H981" s="173"/>
    </row>
    <row r="982" ht="22.5" customHeight="1">
      <c r="A982" s="168"/>
      <c r="B982" s="168"/>
      <c r="C982" s="180"/>
      <c r="D982" s="173"/>
      <c r="E982" s="173"/>
      <c r="F982" s="173"/>
      <c r="G982" s="173"/>
      <c r="H982" s="173"/>
    </row>
    <row r="983" ht="22.5" customHeight="1">
      <c r="A983" s="168"/>
      <c r="B983" s="168"/>
      <c r="C983" s="180"/>
      <c r="D983" s="173"/>
      <c r="E983" s="173"/>
      <c r="F983" s="173"/>
      <c r="G983" s="173"/>
      <c r="H983" s="173"/>
    </row>
    <row r="984" ht="22.5" customHeight="1">
      <c r="A984" s="168"/>
      <c r="B984" s="168"/>
      <c r="C984" s="180"/>
      <c r="D984" s="173"/>
      <c r="E984" s="173"/>
      <c r="F984" s="173"/>
      <c r="G984" s="173"/>
      <c r="H984" s="173"/>
    </row>
    <row r="985" ht="22.5" customHeight="1">
      <c r="A985" s="168"/>
      <c r="B985" s="168"/>
      <c r="C985" s="180"/>
      <c r="D985" s="173"/>
      <c r="E985" s="173"/>
      <c r="F985" s="173"/>
      <c r="G985" s="173"/>
      <c r="H985" s="173"/>
    </row>
    <row r="986" ht="22.5" customHeight="1">
      <c r="A986" s="168"/>
      <c r="B986" s="168"/>
      <c r="C986" s="180"/>
      <c r="D986" s="173"/>
      <c r="E986" s="173"/>
      <c r="F986" s="173"/>
      <c r="G986" s="173"/>
      <c r="H986" s="173"/>
    </row>
    <row r="987" ht="22.5" customHeight="1">
      <c r="A987" s="168"/>
      <c r="B987" s="168"/>
      <c r="C987" s="180"/>
      <c r="D987" s="173"/>
      <c r="E987" s="173"/>
      <c r="F987" s="173"/>
      <c r="G987" s="173"/>
      <c r="H987" s="173"/>
    </row>
    <row r="988" ht="22.5" customHeight="1">
      <c r="A988" s="168"/>
      <c r="B988" s="168"/>
      <c r="C988" s="180"/>
      <c r="D988" s="173"/>
      <c r="E988" s="173"/>
      <c r="F988" s="173"/>
      <c r="G988" s="173"/>
      <c r="H988" s="173"/>
    </row>
    <row r="989" ht="22.5" customHeight="1">
      <c r="A989" s="168"/>
      <c r="B989" s="168"/>
      <c r="C989" s="180"/>
      <c r="D989" s="173"/>
      <c r="E989" s="173"/>
      <c r="F989" s="173"/>
      <c r="G989" s="173"/>
      <c r="H989" s="173"/>
    </row>
    <row r="990" ht="22.5" customHeight="1">
      <c r="A990" s="168"/>
      <c r="B990" s="168"/>
      <c r="C990" s="180"/>
      <c r="D990" s="173"/>
      <c r="E990" s="173"/>
      <c r="F990" s="173"/>
      <c r="G990" s="173"/>
      <c r="H990" s="173"/>
    </row>
    <row r="991" ht="22.5" customHeight="1">
      <c r="A991" s="168"/>
      <c r="B991" s="168"/>
      <c r="C991" s="180"/>
      <c r="D991" s="173"/>
      <c r="E991" s="173"/>
      <c r="F991" s="173"/>
      <c r="G991" s="173"/>
      <c r="H991" s="173"/>
    </row>
    <row r="992" ht="22.5" customHeight="1">
      <c r="A992" s="168"/>
      <c r="B992" s="168"/>
      <c r="C992" s="180"/>
      <c r="D992" s="173"/>
      <c r="E992" s="173"/>
      <c r="F992" s="173"/>
      <c r="G992" s="173"/>
      <c r="H992" s="173"/>
    </row>
    <row r="993" ht="22.5" customHeight="1">
      <c r="A993" s="168"/>
      <c r="B993" s="168"/>
      <c r="C993" s="180"/>
      <c r="D993" s="173"/>
      <c r="E993" s="173"/>
      <c r="F993" s="173"/>
      <c r="G993" s="173"/>
      <c r="H993" s="173"/>
    </row>
    <row r="994" ht="22.5" customHeight="1">
      <c r="A994" s="168"/>
      <c r="B994" s="168"/>
      <c r="C994" s="180"/>
      <c r="D994" s="173"/>
      <c r="E994" s="173"/>
      <c r="F994" s="173"/>
      <c r="G994" s="173"/>
      <c r="H994" s="173"/>
    </row>
    <row r="995" ht="22.5" customHeight="1">
      <c r="A995" s="168"/>
      <c r="B995" s="168"/>
      <c r="C995" s="180"/>
      <c r="D995" s="173"/>
      <c r="E995" s="173"/>
      <c r="F995" s="173"/>
      <c r="G995" s="173"/>
      <c r="H995" s="173"/>
    </row>
    <row r="996" ht="22.5" customHeight="1">
      <c r="A996" s="168"/>
      <c r="B996" s="168"/>
      <c r="C996" s="180"/>
      <c r="D996" s="173"/>
      <c r="E996" s="173"/>
      <c r="F996" s="173"/>
      <c r="G996" s="173"/>
      <c r="H996" s="173"/>
    </row>
    <row r="997" ht="22.5" customHeight="1">
      <c r="A997" s="168"/>
      <c r="B997" s="168"/>
      <c r="C997" s="180"/>
      <c r="D997" s="173"/>
      <c r="E997" s="173"/>
      <c r="F997" s="173"/>
      <c r="G997" s="173"/>
      <c r="H997" s="173"/>
    </row>
    <row r="998" ht="22.5" customHeight="1">
      <c r="A998" s="168"/>
      <c r="B998" s="168"/>
      <c r="C998" s="180"/>
      <c r="D998" s="173"/>
      <c r="E998" s="173"/>
      <c r="F998" s="173"/>
      <c r="G998" s="173"/>
      <c r="H998" s="173"/>
    </row>
    <row r="999" ht="22.5" customHeight="1">
      <c r="A999" s="168"/>
      <c r="B999" s="168"/>
      <c r="C999" s="180"/>
      <c r="D999" s="173"/>
      <c r="E999" s="173"/>
      <c r="F999" s="173"/>
      <c r="G999" s="173"/>
      <c r="H999" s="173"/>
    </row>
    <row r="1000" ht="22.5" customHeight="1">
      <c r="A1000" s="168"/>
      <c r="B1000" s="168"/>
      <c r="C1000" s="180"/>
      <c r="D1000" s="173"/>
      <c r="E1000" s="173"/>
      <c r="F1000" s="173"/>
      <c r="G1000" s="173"/>
      <c r="H1000" s="173"/>
    </row>
    <row r="1001" ht="22.5" customHeight="1">
      <c r="A1001" s="168"/>
      <c r="B1001" s="168"/>
      <c r="C1001" s="180"/>
      <c r="D1001" s="173"/>
      <c r="E1001" s="173"/>
      <c r="F1001" s="173"/>
      <c r="G1001" s="173"/>
      <c r="H1001" s="173"/>
    </row>
    <row r="1002" ht="22.5" customHeight="1">
      <c r="A1002" s="168"/>
      <c r="B1002" s="168"/>
      <c r="C1002" s="180"/>
      <c r="D1002" s="173"/>
      <c r="E1002" s="173"/>
      <c r="F1002" s="173"/>
      <c r="G1002" s="173"/>
      <c r="H1002" s="173"/>
    </row>
    <row r="1003" ht="22.5" customHeight="1">
      <c r="A1003" s="168"/>
      <c r="B1003" s="168"/>
      <c r="C1003" s="180"/>
      <c r="D1003" s="173"/>
      <c r="E1003" s="173"/>
      <c r="F1003" s="173"/>
      <c r="G1003" s="173"/>
      <c r="H1003" s="173"/>
    </row>
    <row r="1004" ht="22.5" customHeight="1">
      <c r="A1004" s="168"/>
      <c r="B1004" s="168"/>
      <c r="C1004" s="180"/>
      <c r="D1004" s="173"/>
      <c r="E1004" s="173"/>
      <c r="F1004" s="173"/>
      <c r="G1004" s="173"/>
      <c r="H1004" s="173"/>
    </row>
    <row r="1005" ht="22.5" customHeight="1">
      <c r="A1005" s="168"/>
      <c r="B1005" s="168"/>
      <c r="C1005" s="180"/>
      <c r="D1005" s="173"/>
      <c r="E1005" s="173"/>
      <c r="F1005" s="173"/>
      <c r="G1005" s="173"/>
      <c r="H1005" s="173"/>
    </row>
    <row r="1006" ht="22.5" customHeight="1">
      <c r="A1006" s="168"/>
      <c r="B1006" s="168"/>
      <c r="C1006" s="180"/>
      <c r="D1006" s="173"/>
      <c r="E1006" s="173"/>
      <c r="F1006" s="173"/>
      <c r="G1006" s="173"/>
      <c r="H1006" s="173"/>
    </row>
    <row r="1007" ht="22.5" customHeight="1">
      <c r="A1007" s="168"/>
      <c r="B1007" s="168"/>
      <c r="C1007" s="180"/>
      <c r="D1007" s="173"/>
      <c r="E1007" s="173"/>
      <c r="F1007" s="173"/>
      <c r="G1007" s="173"/>
      <c r="H1007" s="173"/>
    </row>
    <row r="1008" ht="22.5" customHeight="1">
      <c r="A1008" s="168"/>
      <c r="B1008" s="168"/>
      <c r="C1008" s="180"/>
      <c r="D1008" s="173"/>
      <c r="E1008" s="173"/>
      <c r="F1008" s="173"/>
      <c r="G1008" s="173"/>
      <c r="H1008" s="173"/>
    </row>
    <row r="1009" ht="22.5" customHeight="1">
      <c r="A1009" s="168"/>
      <c r="B1009" s="168"/>
      <c r="C1009" s="180"/>
      <c r="D1009" s="173"/>
      <c r="E1009" s="173"/>
      <c r="F1009" s="173"/>
      <c r="G1009" s="173"/>
      <c r="H1009" s="173"/>
    </row>
    <row r="1010" ht="22.5" customHeight="1">
      <c r="A1010" s="168"/>
      <c r="B1010" s="168"/>
      <c r="C1010" s="180"/>
      <c r="D1010" s="173"/>
      <c r="E1010" s="173"/>
      <c r="F1010" s="173"/>
      <c r="G1010" s="173"/>
      <c r="H1010" s="173"/>
    </row>
    <row r="1011" ht="22.5" customHeight="1">
      <c r="A1011" s="168"/>
      <c r="B1011" s="168"/>
      <c r="C1011" s="180"/>
      <c r="D1011" s="173"/>
      <c r="E1011" s="173"/>
      <c r="F1011" s="173"/>
      <c r="G1011" s="173"/>
      <c r="H1011" s="173"/>
    </row>
    <row r="1012" ht="22.5" customHeight="1">
      <c r="A1012" s="168"/>
      <c r="B1012" s="168"/>
      <c r="C1012" s="180"/>
      <c r="D1012" s="173"/>
      <c r="E1012" s="173"/>
      <c r="F1012" s="173"/>
      <c r="G1012" s="173"/>
      <c r="H1012" s="173"/>
    </row>
    <row r="1013" ht="22.5" customHeight="1">
      <c r="A1013" s="168"/>
      <c r="B1013" s="168"/>
      <c r="C1013" s="180"/>
      <c r="D1013" s="173"/>
      <c r="E1013" s="173"/>
      <c r="F1013" s="173"/>
      <c r="G1013" s="173"/>
      <c r="H1013" s="173"/>
    </row>
    <row r="1014" ht="22.5" customHeight="1">
      <c r="A1014" s="168"/>
      <c r="B1014" s="168"/>
      <c r="C1014" s="180"/>
      <c r="D1014" s="173"/>
      <c r="E1014" s="173"/>
      <c r="F1014" s="173"/>
      <c r="G1014" s="173"/>
      <c r="H1014" s="173"/>
    </row>
    <row r="1015" ht="22.5" customHeight="1">
      <c r="A1015" s="168"/>
      <c r="B1015" s="168"/>
      <c r="C1015" s="180"/>
      <c r="D1015" s="173"/>
      <c r="E1015" s="173"/>
      <c r="F1015" s="173"/>
      <c r="G1015" s="173"/>
      <c r="H1015" s="173"/>
    </row>
    <row r="1016" ht="22.5" customHeight="1">
      <c r="A1016" s="168"/>
      <c r="B1016" s="168"/>
      <c r="C1016" s="180"/>
      <c r="D1016" s="173"/>
      <c r="E1016" s="173"/>
      <c r="F1016" s="173"/>
      <c r="G1016" s="173"/>
      <c r="H1016" s="173"/>
    </row>
    <row r="1017" ht="22.5" customHeight="1">
      <c r="A1017" s="168"/>
      <c r="B1017" s="168"/>
      <c r="C1017" s="180"/>
      <c r="D1017" s="173"/>
      <c r="E1017" s="173"/>
      <c r="F1017" s="173"/>
      <c r="G1017" s="173"/>
      <c r="H1017" s="173"/>
    </row>
    <row r="1018" ht="22.5" customHeight="1">
      <c r="A1018" s="168"/>
      <c r="B1018" s="168"/>
      <c r="C1018" s="180"/>
      <c r="D1018" s="173"/>
      <c r="E1018" s="173"/>
      <c r="F1018" s="173"/>
      <c r="G1018" s="173"/>
      <c r="H1018" s="173"/>
    </row>
    <row r="1019" ht="22.5" customHeight="1">
      <c r="A1019" s="168"/>
      <c r="B1019" s="168"/>
      <c r="C1019" s="180"/>
      <c r="D1019" s="173"/>
      <c r="E1019" s="173"/>
      <c r="F1019" s="173"/>
      <c r="G1019" s="173"/>
      <c r="H1019" s="173"/>
    </row>
    <row r="1020" ht="22.5" customHeight="1">
      <c r="A1020" s="168"/>
      <c r="B1020" s="168"/>
      <c r="C1020" s="180"/>
      <c r="D1020" s="173"/>
      <c r="E1020" s="173"/>
      <c r="F1020" s="173"/>
      <c r="G1020" s="173"/>
      <c r="H1020" s="173"/>
    </row>
    <row r="1021" ht="22.5" customHeight="1">
      <c r="A1021" s="168"/>
      <c r="B1021" s="168"/>
      <c r="C1021" s="180"/>
      <c r="D1021" s="173"/>
      <c r="E1021" s="173"/>
      <c r="F1021" s="173"/>
      <c r="G1021" s="173"/>
      <c r="H1021" s="173"/>
    </row>
    <row r="1022" ht="22.5" customHeight="1">
      <c r="A1022" s="168"/>
      <c r="B1022" s="168"/>
      <c r="C1022" s="180"/>
      <c r="D1022" s="173"/>
      <c r="E1022" s="173"/>
      <c r="F1022" s="173"/>
      <c r="G1022" s="173"/>
      <c r="H1022" s="173"/>
    </row>
    <row r="1023" ht="22.5" customHeight="1">
      <c r="A1023" s="168"/>
      <c r="B1023" s="168"/>
      <c r="C1023" s="180"/>
      <c r="D1023" s="173"/>
      <c r="E1023" s="173"/>
      <c r="F1023" s="173"/>
      <c r="G1023" s="173"/>
      <c r="H1023" s="173"/>
    </row>
    <row r="1024" ht="22.5" customHeight="1">
      <c r="A1024" s="168"/>
      <c r="B1024" s="168"/>
      <c r="C1024" s="180"/>
      <c r="D1024" s="173"/>
      <c r="E1024" s="173"/>
      <c r="F1024" s="173"/>
      <c r="G1024" s="173"/>
      <c r="H1024" s="173"/>
    </row>
    <row r="1025" ht="22.5" customHeight="1">
      <c r="A1025" s="168"/>
      <c r="B1025" s="168"/>
      <c r="C1025" s="180"/>
      <c r="D1025" s="173"/>
      <c r="E1025" s="173"/>
      <c r="F1025" s="173"/>
      <c r="G1025" s="173"/>
      <c r="H1025" s="173"/>
    </row>
    <row r="1026" ht="22.5" customHeight="1">
      <c r="A1026" s="168"/>
      <c r="B1026" s="168"/>
      <c r="C1026" s="180"/>
      <c r="D1026" s="173"/>
      <c r="E1026" s="173"/>
      <c r="F1026" s="173"/>
      <c r="G1026" s="173"/>
      <c r="H1026" s="173"/>
    </row>
    <row r="1027" ht="22.5" customHeight="1">
      <c r="A1027" s="168"/>
      <c r="B1027" s="168"/>
      <c r="C1027" s="180"/>
      <c r="D1027" s="173"/>
      <c r="E1027" s="173"/>
      <c r="F1027" s="173"/>
      <c r="G1027" s="173"/>
      <c r="H1027" s="173"/>
    </row>
    <row r="1028" ht="22.5" customHeight="1">
      <c r="A1028" s="168"/>
      <c r="B1028" s="168"/>
      <c r="C1028" s="180"/>
      <c r="D1028" s="173"/>
      <c r="E1028" s="173"/>
      <c r="F1028" s="173"/>
      <c r="G1028" s="173"/>
      <c r="H1028" s="173"/>
    </row>
    <row r="1029" ht="22.5" customHeight="1">
      <c r="A1029" s="168"/>
      <c r="B1029" s="168"/>
      <c r="C1029" s="180"/>
      <c r="D1029" s="173"/>
      <c r="E1029" s="173"/>
      <c r="F1029" s="173"/>
      <c r="G1029" s="173"/>
      <c r="H1029" s="173"/>
    </row>
    <row r="1030" ht="22.5" customHeight="1">
      <c r="A1030" s="168"/>
      <c r="B1030" s="168"/>
      <c r="C1030" s="180"/>
      <c r="D1030" s="173"/>
      <c r="E1030" s="173"/>
      <c r="F1030" s="173"/>
      <c r="G1030" s="173"/>
      <c r="H1030" s="173"/>
    </row>
    <row r="1031" ht="22.5" customHeight="1">
      <c r="A1031" s="168"/>
      <c r="B1031" s="168"/>
      <c r="C1031" s="180"/>
      <c r="D1031" s="173"/>
      <c r="E1031" s="173"/>
      <c r="F1031" s="173"/>
      <c r="G1031" s="173"/>
      <c r="H1031" s="173"/>
    </row>
    <row r="1032" ht="22.5" customHeight="1">
      <c r="A1032" s="168"/>
      <c r="B1032" s="168"/>
      <c r="C1032" s="180"/>
      <c r="D1032" s="173"/>
      <c r="E1032" s="173"/>
      <c r="F1032" s="173"/>
      <c r="G1032" s="173"/>
      <c r="H1032" s="173"/>
    </row>
    <row r="1033" ht="22.5" customHeight="1">
      <c r="A1033" s="168"/>
      <c r="B1033" s="168"/>
      <c r="C1033" s="180"/>
      <c r="D1033" s="173"/>
      <c r="E1033" s="173"/>
      <c r="F1033" s="173"/>
      <c r="G1033" s="173"/>
      <c r="H1033" s="173"/>
    </row>
    <row r="1034" ht="22.5" customHeight="1">
      <c r="A1034" s="168"/>
      <c r="B1034" s="168"/>
      <c r="C1034" s="180"/>
      <c r="D1034" s="173"/>
      <c r="E1034" s="173"/>
      <c r="F1034" s="173"/>
      <c r="G1034" s="173"/>
      <c r="H1034" s="173"/>
    </row>
    <row r="1035" ht="22.5" customHeight="1">
      <c r="A1035" s="168"/>
      <c r="B1035" s="168"/>
      <c r="C1035" s="180"/>
      <c r="D1035" s="173"/>
      <c r="E1035" s="173"/>
      <c r="F1035" s="173"/>
      <c r="G1035" s="173"/>
      <c r="H1035" s="173"/>
    </row>
    <row r="1036" ht="22.5" customHeight="1">
      <c r="A1036" s="168"/>
      <c r="B1036" s="168"/>
      <c r="C1036" s="180"/>
      <c r="D1036" s="173"/>
      <c r="E1036" s="173"/>
      <c r="F1036" s="173"/>
      <c r="G1036" s="173"/>
      <c r="H1036" s="173"/>
    </row>
    <row r="1037" ht="22.5" customHeight="1">
      <c r="A1037" s="168"/>
      <c r="B1037" s="168"/>
      <c r="C1037" s="180"/>
      <c r="D1037" s="173"/>
      <c r="E1037" s="173"/>
      <c r="F1037" s="173"/>
      <c r="G1037" s="173"/>
      <c r="H1037" s="173"/>
    </row>
    <row r="1038" ht="22.5" customHeight="1">
      <c r="A1038" s="168"/>
      <c r="B1038" s="168"/>
      <c r="C1038" s="180"/>
      <c r="D1038" s="173"/>
      <c r="E1038" s="173"/>
      <c r="F1038" s="173"/>
      <c r="G1038" s="173"/>
      <c r="H1038" s="173"/>
    </row>
    <row r="1039" ht="22.5" customHeight="1">
      <c r="A1039" s="168"/>
      <c r="B1039" s="168"/>
      <c r="C1039" s="180"/>
      <c r="D1039" s="173"/>
      <c r="E1039" s="173"/>
      <c r="F1039" s="173"/>
      <c r="G1039" s="173"/>
      <c r="H1039" s="173"/>
    </row>
    <row r="1040" ht="22.5" customHeight="1">
      <c r="A1040" s="168"/>
      <c r="B1040" s="168"/>
      <c r="C1040" s="180"/>
      <c r="D1040" s="173"/>
      <c r="E1040" s="173"/>
      <c r="F1040" s="173"/>
      <c r="G1040" s="173"/>
      <c r="H1040" s="173"/>
    </row>
    <row r="1041" ht="22.5" customHeight="1">
      <c r="A1041" s="168"/>
      <c r="B1041" s="168"/>
      <c r="C1041" s="180"/>
      <c r="D1041" s="173"/>
      <c r="E1041" s="173"/>
      <c r="F1041" s="173"/>
      <c r="G1041" s="173"/>
      <c r="H1041" s="173"/>
    </row>
  </sheetData>
  <mergeCells count="1">
    <mergeCell ref="A1:E1"/>
  </mergeCells>
  <conditionalFormatting sqref="A3:H1041">
    <cfRule type="expression" dxfId="0" priority="1">
      <formula>$B3=TRUE</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31.88"/>
    <col customWidth="1" min="3" max="4" width="17.63"/>
    <col customWidth="1" min="5" max="5" width="14.25"/>
    <col customWidth="1" min="7" max="7" width="33.25"/>
    <col customWidth="1" min="8" max="8" width="45.5"/>
  </cols>
  <sheetData>
    <row r="1">
      <c r="A1" s="181" t="s">
        <v>1005</v>
      </c>
      <c r="B1" s="182" t="s">
        <v>1006</v>
      </c>
      <c r="C1" s="182" t="s">
        <v>1007</v>
      </c>
      <c r="D1" s="183" t="s">
        <v>1008</v>
      </c>
      <c r="E1" s="183" t="s">
        <v>1009</v>
      </c>
      <c r="F1" s="183"/>
      <c r="G1" s="183" t="s">
        <v>5</v>
      </c>
      <c r="H1" s="183" t="s">
        <v>5</v>
      </c>
    </row>
    <row r="2">
      <c r="A2" s="181" t="s">
        <v>1005</v>
      </c>
      <c r="B2" s="184" t="s">
        <v>1010</v>
      </c>
      <c r="C2" s="185" t="s">
        <v>1011</v>
      </c>
      <c r="D2" s="186" t="s">
        <v>1012</v>
      </c>
      <c r="E2" s="186" t="s">
        <v>1013</v>
      </c>
      <c r="F2" s="187" t="s">
        <v>1014</v>
      </c>
      <c r="G2" s="188"/>
      <c r="H2" s="189" t="s">
        <v>1015</v>
      </c>
    </row>
    <row r="3">
      <c r="A3" s="181" t="s">
        <v>1005</v>
      </c>
      <c r="B3" s="184" t="s">
        <v>977</v>
      </c>
      <c r="C3" s="185" t="s">
        <v>1011</v>
      </c>
      <c r="D3" s="186" t="s">
        <v>1016</v>
      </c>
      <c r="E3" s="186" t="s">
        <v>1017</v>
      </c>
      <c r="F3" s="190" t="s">
        <v>1018</v>
      </c>
      <c r="G3" s="190" t="s">
        <v>1019</v>
      </c>
      <c r="H3" s="189" t="s">
        <v>1020</v>
      </c>
    </row>
    <row r="4">
      <c r="A4" s="181" t="s">
        <v>1005</v>
      </c>
      <c r="B4" s="191" t="s">
        <v>1021</v>
      </c>
      <c r="C4" s="185" t="s">
        <v>1011</v>
      </c>
      <c r="D4" s="186" t="s">
        <v>1022</v>
      </c>
      <c r="E4" s="186" t="s">
        <v>1023</v>
      </c>
      <c r="F4" s="187" t="s">
        <v>1014</v>
      </c>
      <c r="G4" s="188"/>
      <c r="H4" s="189" t="s">
        <v>1024</v>
      </c>
    </row>
    <row r="5">
      <c r="A5" s="181" t="s">
        <v>1005</v>
      </c>
      <c r="B5" s="184" t="s">
        <v>1025</v>
      </c>
      <c r="C5" s="192" t="s">
        <v>258</v>
      </c>
      <c r="D5" s="186" t="s">
        <v>1026</v>
      </c>
      <c r="E5" s="186">
        <v>7.504456819E9</v>
      </c>
      <c r="F5" s="187" t="s">
        <v>1027</v>
      </c>
      <c r="G5" s="187" t="s">
        <v>1019</v>
      </c>
    </row>
    <row r="6">
      <c r="A6" s="181" t="s">
        <v>1005</v>
      </c>
      <c r="B6" s="184" t="s">
        <v>1028</v>
      </c>
      <c r="C6" s="193" t="s">
        <v>263</v>
      </c>
      <c r="D6" s="186" t="s">
        <v>1029</v>
      </c>
      <c r="E6" s="186" t="s">
        <v>1030</v>
      </c>
      <c r="F6" s="190" t="s">
        <v>1018</v>
      </c>
      <c r="G6" s="190" t="s">
        <v>1019</v>
      </c>
      <c r="H6" s="194"/>
    </row>
    <row r="7">
      <c r="A7" s="181" t="s">
        <v>1005</v>
      </c>
      <c r="B7" s="195" t="s">
        <v>982</v>
      </c>
      <c r="C7" s="193" t="s">
        <v>263</v>
      </c>
      <c r="D7" s="186" t="s">
        <v>1031</v>
      </c>
      <c r="E7" s="186" t="s">
        <v>1032</v>
      </c>
      <c r="F7" s="187" t="s">
        <v>1033</v>
      </c>
      <c r="G7" s="188"/>
      <c r="H7" s="194"/>
    </row>
    <row r="8">
      <c r="A8" s="181" t="s">
        <v>1005</v>
      </c>
      <c r="B8" s="196" t="s">
        <v>1034</v>
      </c>
      <c r="C8" s="193" t="s">
        <v>263</v>
      </c>
      <c r="D8" s="186" t="s">
        <v>1035</v>
      </c>
      <c r="E8" s="186" t="s">
        <v>1036</v>
      </c>
      <c r="F8" s="187" t="s">
        <v>1037</v>
      </c>
      <c r="G8" s="188"/>
      <c r="H8" s="194"/>
    </row>
    <row r="9">
      <c r="A9" s="181" t="s">
        <v>1005</v>
      </c>
      <c r="B9" s="184" t="s">
        <v>723</v>
      </c>
      <c r="C9" s="197" t="s">
        <v>1038</v>
      </c>
      <c r="D9" s="186" t="s">
        <v>1039</v>
      </c>
      <c r="E9" s="186">
        <v>7.504567874E9</v>
      </c>
      <c r="F9" s="187" t="s">
        <v>1040</v>
      </c>
      <c r="G9" s="187" t="s">
        <v>1041</v>
      </c>
      <c r="H9" s="189" t="s">
        <v>1042</v>
      </c>
    </row>
    <row r="10">
      <c r="A10" s="181" t="s">
        <v>1005</v>
      </c>
      <c r="B10" s="184" t="s">
        <v>1043</v>
      </c>
      <c r="C10" s="197" t="s">
        <v>1038</v>
      </c>
      <c r="D10" s="186" t="s">
        <v>1044</v>
      </c>
      <c r="E10" s="186" t="s">
        <v>1045</v>
      </c>
      <c r="F10" s="190" t="s">
        <v>1046</v>
      </c>
      <c r="G10" s="190" t="s">
        <v>1019</v>
      </c>
      <c r="H10" s="189" t="s">
        <v>1042</v>
      </c>
    </row>
    <row r="11">
      <c r="A11" s="181" t="s">
        <v>1005</v>
      </c>
      <c r="B11" s="184" t="s">
        <v>594</v>
      </c>
      <c r="C11" s="193" t="s">
        <v>263</v>
      </c>
      <c r="D11" s="186" t="s">
        <v>1047</v>
      </c>
      <c r="E11" s="198" t="s">
        <v>1048</v>
      </c>
      <c r="F11" s="187" t="s">
        <v>1018</v>
      </c>
      <c r="G11" s="188"/>
      <c r="H11" s="189" t="s">
        <v>1042</v>
      </c>
    </row>
    <row r="12">
      <c r="A12" s="181" t="s">
        <v>1005</v>
      </c>
      <c r="B12" s="184" t="s">
        <v>1049</v>
      </c>
      <c r="C12" s="197" t="s">
        <v>1038</v>
      </c>
      <c r="D12" s="186" t="s">
        <v>1050</v>
      </c>
      <c r="E12" s="186" t="s">
        <v>1051</v>
      </c>
      <c r="F12" s="187" t="s">
        <v>1046</v>
      </c>
      <c r="G12" s="188"/>
      <c r="H12" s="194"/>
    </row>
    <row r="13">
      <c r="A13" s="181" t="s">
        <v>1005</v>
      </c>
      <c r="B13" s="184" t="s">
        <v>1052</v>
      </c>
      <c r="C13" s="197" t="s">
        <v>1038</v>
      </c>
      <c r="D13" s="186" t="s">
        <v>1053</v>
      </c>
      <c r="E13" s="186" t="s">
        <v>1054</v>
      </c>
      <c r="F13" s="187" t="s">
        <v>1055</v>
      </c>
      <c r="G13" s="199" t="s">
        <v>1056</v>
      </c>
      <c r="H13" s="194"/>
    </row>
    <row r="14">
      <c r="A14" s="181" t="s">
        <v>1005</v>
      </c>
      <c r="B14" s="184" t="s">
        <v>1057</v>
      </c>
      <c r="C14" s="200" t="s">
        <v>1058</v>
      </c>
      <c r="D14" s="186" t="s">
        <v>1059</v>
      </c>
      <c r="E14" s="186">
        <v>7.736066066E9</v>
      </c>
      <c r="F14" s="187" t="s">
        <v>1055</v>
      </c>
      <c r="G14" s="188"/>
      <c r="H14" s="194"/>
    </row>
    <row r="15">
      <c r="A15" s="181" t="s">
        <v>1005</v>
      </c>
      <c r="B15" s="184" t="s">
        <v>1060</v>
      </c>
      <c r="C15" s="200" t="s">
        <v>1058</v>
      </c>
      <c r="D15" s="186" t="s">
        <v>1061</v>
      </c>
      <c r="E15" s="186">
        <v>7.50451215E9</v>
      </c>
      <c r="F15" s="187" t="s">
        <v>1062</v>
      </c>
      <c r="G15" s="187" t="s">
        <v>1019</v>
      </c>
      <c r="H15" s="194"/>
    </row>
    <row r="16">
      <c r="A16" s="181" t="s">
        <v>1005</v>
      </c>
      <c r="B16" s="184" t="s">
        <v>172</v>
      </c>
      <c r="C16" s="200" t="s">
        <v>1058</v>
      </c>
      <c r="D16" s="186" t="s">
        <v>1063</v>
      </c>
      <c r="E16" s="186" t="s">
        <v>1064</v>
      </c>
      <c r="F16" s="190" t="s">
        <v>1065</v>
      </c>
      <c r="G16" s="190" t="s">
        <v>1019</v>
      </c>
      <c r="H16" s="194"/>
    </row>
    <row r="17">
      <c r="A17" s="181" t="s">
        <v>1005</v>
      </c>
      <c r="B17" s="184" t="s">
        <v>1066</v>
      </c>
      <c r="C17" s="200" t="s">
        <v>1058</v>
      </c>
      <c r="D17" s="186" t="s">
        <v>1067</v>
      </c>
      <c r="E17" s="186" t="s">
        <v>1068</v>
      </c>
      <c r="F17" s="187" t="s">
        <v>1069</v>
      </c>
      <c r="G17" s="187" t="s">
        <v>1070</v>
      </c>
      <c r="H17" s="194"/>
    </row>
    <row r="18">
      <c r="A18" s="181" t="s">
        <v>1005</v>
      </c>
      <c r="B18" s="184" t="s">
        <v>1071</v>
      </c>
      <c r="C18" s="200" t="s">
        <v>1058</v>
      </c>
      <c r="D18" s="186" t="s">
        <v>1072</v>
      </c>
      <c r="E18" s="186" t="s">
        <v>1073</v>
      </c>
      <c r="F18" s="190" t="s">
        <v>1074</v>
      </c>
      <c r="G18" s="190" t="s">
        <v>1019</v>
      </c>
      <c r="H18" s="194"/>
    </row>
    <row r="19">
      <c r="A19" s="181" t="s">
        <v>1005</v>
      </c>
      <c r="B19" s="191" t="s">
        <v>216</v>
      </c>
      <c r="C19" s="200" t="s">
        <v>1058</v>
      </c>
      <c r="D19" s="186" t="s">
        <v>1075</v>
      </c>
      <c r="E19" s="186" t="s">
        <v>1076</v>
      </c>
      <c r="F19" s="187" t="s">
        <v>1014</v>
      </c>
      <c r="G19" s="188"/>
      <c r="H19" s="194"/>
    </row>
    <row r="20">
      <c r="A20" s="181" t="s">
        <v>1005</v>
      </c>
      <c r="B20" s="184" t="s">
        <v>1077</v>
      </c>
      <c r="C20" s="200" t="s">
        <v>1058</v>
      </c>
      <c r="D20" s="186" t="s">
        <v>1063</v>
      </c>
      <c r="E20" s="186" t="s">
        <v>1078</v>
      </c>
      <c r="F20" s="190" t="s">
        <v>1062</v>
      </c>
      <c r="G20" s="190" t="s">
        <v>1019</v>
      </c>
      <c r="H20" s="194"/>
    </row>
    <row r="21">
      <c r="A21" s="181" t="s">
        <v>1005</v>
      </c>
      <c r="B21" s="191" t="s">
        <v>1079</v>
      </c>
      <c r="C21" s="200" t="s">
        <v>1058</v>
      </c>
      <c r="D21" s="186" t="s">
        <v>1080</v>
      </c>
      <c r="E21" s="186" t="s">
        <v>1081</v>
      </c>
      <c r="F21" s="187" t="s">
        <v>1082</v>
      </c>
      <c r="G21" s="188"/>
      <c r="H21" s="194"/>
    </row>
    <row r="22">
      <c r="A22" s="181" t="s">
        <v>1005</v>
      </c>
      <c r="B22" s="184" t="s">
        <v>1083</v>
      </c>
      <c r="C22" s="200" t="s">
        <v>1058</v>
      </c>
      <c r="D22" s="186" t="s">
        <v>1084</v>
      </c>
      <c r="E22" s="186">
        <v>7.71677886E9</v>
      </c>
      <c r="F22" s="188"/>
      <c r="G22" s="188"/>
      <c r="H22" s="194"/>
    </row>
  </sheetData>
  <mergeCells count="1">
    <mergeCell ref="H28:H3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0.75"/>
    <col customWidth="1" min="3" max="3" width="22.5"/>
  </cols>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38"/>
    <col customWidth="1" min="2" max="2" width="41.13"/>
    <col customWidth="1" min="3" max="3" width="15.25"/>
    <col customWidth="1" min="4" max="4" width="40.88"/>
    <col customWidth="1" min="5" max="5" width="43.13"/>
    <col customWidth="1" min="6" max="6" width="68.63"/>
    <col customWidth="1" min="7" max="7" width="23.63"/>
  </cols>
  <sheetData>
    <row r="1" ht="30.75" customHeight="1">
      <c r="A1" s="201" t="s">
        <v>1085</v>
      </c>
      <c r="B1" s="53"/>
      <c r="C1" s="53"/>
      <c r="D1" s="53"/>
      <c r="E1" s="53"/>
      <c r="F1" s="53"/>
      <c r="G1" s="202"/>
      <c r="H1" s="203"/>
      <c r="I1" s="203"/>
      <c r="J1" s="203"/>
      <c r="K1" s="203"/>
      <c r="L1" s="203"/>
      <c r="M1" s="203"/>
    </row>
    <row r="2">
      <c r="A2" s="204"/>
      <c r="B2" s="204" t="s">
        <v>1</v>
      </c>
      <c r="C2" s="204" t="s">
        <v>2</v>
      </c>
      <c r="D2" s="204" t="s">
        <v>3</v>
      </c>
      <c r="E2" s="204" t="s">
        <v>4</v>
      </c>
      <c r="F2" s="204" t="s">
        <v>5</v>
      </c>
      <c r="G2" s="204" t="s">
        <v>6</v>
      </c>
      <c r="H2" s="203"/>
      <c r="I2" s="203"/>
      <c r="J2" s="203"/>
      <c r="K2" s="203"/>
      <c r="L2" s="203"/>
      <c r="M2" s="203"/>
    </row>
    <row r="3">
      <c r="A3" s="205"/>
      <c r="B3" s="206" t="s">
        <v>1086</v>
      </c>
      <c r="C3" s="53"/>
      <c r="D3" s="53"/>
      <c r="E3" s="53"/>
      <c r="F3" s="53"/>
      <c r="G3" s="202"/>
      <c r="H3" s="203"/>
      <c r="I3" s="203"/>
      <c r="J3" s="203"/>
      <c r="K3" s="203"/>
      <c r="L3" s="203"/>
      <c r="M3" s="203"/>
    </row>
    <row r="4">
      <c r="A4" s="205"/>
      <c r="B4" s="207" t="s">
        <v>1087</v>
      </c>
      <c r="C4" s="208" t="s">
        <v>1088</v>
      </c>
      <c r="D4" s="208" t="s">
        <v>1089</v>
      </c>
      <c r="E4" s="209"/>
      <c r="F4" s="209"/>
      <c r="G4" s="209"/>
      <c r="H4" s="203"/>
      <c r="I4" s="203"/>
      <c r="J4" s="203"/>
      <c r="K4" s="203"/>
      <c r="L4" s="203"/>
      <c r="M4" s="203"/>
    </row>
    <row r="5">
      <c r="A5" s="205"/>
      <c r="B5" s="207" t="s">
        <v>1090</v>
      </c>
      <c r="C5" s="208" t="s">
        <v>1091</v>
      </c>
      <c r="D5" s="208" t="s">
        <v>1092</v>
      </c>
      <c r="E5" s="209"/>
      <c r="F5" s="209"/>
      <c r="G5" s="209"/>
      <c r="H5" s="203"/>
      <c r="I5" s="203"/>
      <c r="J5" s="203"/>
      <c r="K5" s="203"/>
      <c r="L5" s="203"/>
      <c r="M5" s="203"/>
    </row>
    <row r="6">
      <c r="A6" s="205"/>
      <c r="B6" s="207" t="s">
        <v>1093</v>
      </c>
      <c r="C6" s="208"/>
      <c r="D6" s="208"/>
      <c r="E6" s="209"/>
      <c r="F6" s="209"/>
      <c r="G6" s="209"/>
      <c r="H6" s="203"/>
      <c r="I6" s="203"/>
      <c r="J6" s="203"/>
      <c r="K6" s="203"/>
      <c r="L6" s="203"/>
      <c r="M6" s="203"/>
    </row>
    <row r="7">
      <c r="A7" s="205"/>
      <c r="B7" s="207" t="s">
        <v>1094</v>
      </c>
      <c r="C7" s="208"/>
      <c r="D7" s="208"/>
      <c r="E7" s="209"/>
      <c r="F7" s="209"/>
      <c r="G7" s="209"/>
      <c r="H7" s="203"/>
      <c r="I7" s="203"/>
      <c r="J7" s="203"/>
      <c r="K7" s="203"/>
      <c r="L7" s="203"/>
      <c r="M7" s="203"/>
    </row>
    <row r="8">
      <c r="A8" s="205"/>
      <c r="B8" s="207" t="s">
        <v>1095</v>
      </c>
      <c r="C8" s="208"/>
      <c r="D8" s="208" t="s">
        <v>1096</v>
      </c>
      <c r="E8" s="209"/>
      <c r="F8" s="209"/>
      <c r="G8" s="209"/>
      <c r="H8" s="203"/>
      <c r="I8" s="203"/>
      <c r="J8" s="203"/>
      <c r="K8" s="203"/>
      <c r="L8" s="203"/>
      <c r="M8" s="203"/>
    </row>
    <row r="9">
      <c r="A9" s="205"/>
      <c r="B9" s="207" t="s">
        <v>1097</v>
      </c>
      <c r="C9" s="208"/>
      <c r="D9" s="208" t="s">
        <v>1096</v>
      </c>
      <c r="E9" s="209"/>
      <c r="F9" s="209"/>
      <c r="G9" s="209"/>
      <c r="H9" s="203"/>
      <c r="I9" s="203"/>
      <c r="J9" s="203"/>
      <c r="K9" s="203"/>
      <c r="L9" s="203"/>
      <c r="M9" s="203"/>
    </row>
    <row r="10">
      <c r="A10" s="205"/>
      <c r="B10" s="210" t="s">
        <v>1098</v>
      </c>
      <c r="C10" s="208" t="s">
        <v>1099</v>
      </c>
      <c r="D10" s="208" t="s">
        <v>1100</v>
      </c>
      <c r="E10" s="209"/>
      <c r="F10" s="209"/>
      <c r="G10" s="209"/>
      <c r="H10" s="203"/>
      <c r="I10" s="203"/>
      <c r="J10" s="203"/>
      <c r="K10" s="203"/>
      <c r="L10" s="203"/>
      <c r="M10" s="203"/>
    </row>
    <row r="11">
      <c r="A11" s="205"/>
      <c r="B11" s="207" t="s">
        <v>1101</v>
      </c>
      <c r="C11" s="208" t="s">
        <v>1102</v>
      </c>
      <c r="D11" s="208">
        <v>9.647729977775E12</v>
      </c>
      <c r="E11" s="209" t="s">
        <v>1103</v>
      </c>
      <c r="F11" s="211" t="s">
        <v>1104</v>
      </c>
      <c r="G11" s="209"/>
      <c r="H11" s="203"/>
      <c r="I11" s="203"/>
      <c r="J11" s="203"/>
      <c r="K11" s="203"/>
      <c r="L11" s="203"/>
      <c r="M11" s="203"/>
    </row>
    <row r="12">
      <c r="A12" s="205"/>
      <c r="B12" s="207" t="s">
        <v>1105</v>
      </c>
      <c r="C12" s="208" t="s">
        <v>1106</v>
      </c>
      <c r="D12" s="208" t="s">
        <v>1107</v>
      </c>
      <c r="E12" s="209" t="s">
        <v>1108</v>
      </c>
      <c r="F12" s="211" t="s">
        <v>1109</v>
      </c>
      <c r="G12" s="209"/>
      <c r="H12" s="203"/>
      <c r="I12" s="203"/>
      <c r="J12" s="203"/>
      <c r="K12" s="203"/>
      <c r="L12" s="203"/>
      <c r="M12" s="203"/>
    </row>
    <row r="13">
      <c r="A13" s="205"/>
      <c r="B13" s="207" t="s">
        <v>1110</v>
      </c>
      <c r="C13" s="208"/>
      <c r="D13" s="208"/>
      <c r="E13" s="209"/>
      <c r="F13" s="209"/>
      <c r="G13" s="209"/>
      <c r="H13" s="203"/>
      <c r="I13" s="203"/>
      <c r="J13" s="203"/>
      <c r="K13" s="203"/>
      <c r="L13" s="203"/>
      <c r="M13" s="203"/>
    </row>
    <row r="14">
      <c r="A14" s="205"/>
      <c r="B14" s="207" t="s">
        <v>1111</v>
      </c>
      <c r="C14" s="212"/>
      <c r="D14" s="208" t="s">
        <v>1112</v>
      </c>
      <c r="E14" s="209" t="s">
        <v>1113</v>
      </c>
      <c r="F14" s="209"/>
      <c r="G14" s="209"/>
      <c r="H14" s="203"/>
      <c r="I14" s="203"/>
      <c r="J14" s="203"/>
      <c r="K14" s="203"/>
      <c r="L14" s="203"/>
      <c r="M14" s="203"/>
    </row>
    <row r="15">
      <c r="A15" s="205"/>
      <c r="B15" s="207" t="s">
        <v>1114</v>
      </c>
      <c r="C15" s="208" t="s">
        <v>1115</v>
      </c>
      <c r="D15" s="208" t="s">
        <v>1116</v>
      </c>
      <c r="E15" s="209"/>
      <c r="F15" s="209"/>
      <c r="G15" s="209"/>
      <c r="H15" s="203"/>
      <c r="I15" s="203"/>
      <c r="J15" s="203"/>
      <c r="K15" s="203"/>
      <c r="L15" s="203"/>
      <c r="M15" s="203"/>
    </row>
    <row r="16">
      <c r="A16" s="205"/>
      <c r="B16" s="207" t="s">
        <v>1117</v>
      </c>
      <c r="C16" s="208" t="s">
        <v>1115</v>
      </c>
      <c r="D16" s="208" t="s">
        <v>1118</v>
      </c>
      <c r="E16" s="209"/>
      <c r="F16" s="209"/>
      <c r="G16" s="209"/>
      <c r="H16" s="203"/>
      <c r="I16" s="203"/>
      <c r="J16" s="203"/>
      <c r="K16" s="203"/>
      <c r="L16" s="203"/>
      <c r="M16" s="203"/>
    </row>
    <row r="17">
      <c r="A17" s="205"/>
      <c r="B17" s="207" t="s">
        <v>1119</v>
      </c>
      <c r="C17" s="208"/>
      <c r="D17" s="208" t="s">
        <v>1120</v>
      </c>
      <c r="E17" s="209" t="s">
        <v>1121</v>
      </c>
      <c r="F17" s="209"/>
      <c r="G17" s="209"/>
      <c r="H17" s="203"/>
      <c r="I17" s="203"/>
      <c r="J17" s="203"/>
      <c r="K17" s="203"/>
      <c r="L17" s="203"/>
      <c r="M17" s="203"/>
    </row>
    <row r="18">
      <c r="A18" s="205"/>
      <c r="B18" s="207" t="s">
        <v>1122</v>
      </c>
      <c r="C18" s="208" t="s">
        <v>1123</v>
      </c>
      <c r="D18" s="208" t="s">
        <v>1124</v>
      </c>
      <c r="E18" s="209" t="s">
        <v>1125</v>
      </c>
      <c r="F18" s="209"/>
      <c r="G18" s="209"/>
      <c r="H18" s="203"/>
      <c r="I18" s="203"/>
      <c r="J18" s="203"/>
      <c r="K18" s="203"/>
      <c r="L18" s="203"/>
      <c r="M18" s="203"/>
    </row>
    <row r="19">
      <c r="A19" s="205"/>
      <c r="B19" s="207" t="s">
        <v>1126</v>
      </c>
      <c r="C19" s="208" t="s">
        <v>1127</v>
      </c>
      <c r="D19" s="208" t="s">
        <v>1128</v>
      </c>
      <c r="E19" s="209" t="s">
        <v>1129</v>
      </c>
      <c r="F19" s="209"/>
      <c r="G19" s="209"/>
      <c r="H19" s="203"/>
      <c r="I19" s="203"/>
      <c r="J19" s="203"/>
      <c r="K19" s="203"/>
      <c r="L19" s="203"/>
      <c r="M19" s="203"/>
    </row>
    <row r="20">
      <c r="A20" s="205"/>
      <c r="B20" s="207" t="s">
        <v>1130</v>
      </c>
      <c r="C20" s="208"/>
      <c r="D20" s="208"/>
      <c r="E20" s="209"/>
      <c r="F20" s="209"/>
      <c r="G20" s="209"/>
      <c r="H20" s="203"/>
      <c r="I20" s="203"/>
      <c r="J20" s="203"/>
      <c r="K20" s="203"/>
      <c r="L20" s="203"/>
      <c r="M20" s="203"/>
    </row>
    <row r="21">
      <c r="A21" s="205"/>
      <c r="B21" s="207" t="s">
        <v>1131</v>
      </c>
      <c r="C21" s="208" t="s">
        <v>1132</v>
      </c>
      <c r="D21" s="208" t="s">
        <v>1133</v>
      </c>
      <c r="E21" s="209" t="s">
        <v>1134</v>
      </c>
      <c r="F21" s="209"/>
      <c r="G21" s="209"/>
      <c r="H21" s="203"/>
      <c r="I21" s="203"/>
      <c r="J21" s="203"/>
      <c r="K21" s="203"/>
      <c r="L21" s="203"/>
      <c r="M21" s="203"/>
    </row>
    <row r="22">
      <c r="A22" s="205"/>
      <c r="B22" s="207" t="s">
        <v>1135</v>
      </c>
      <c r="C22" s="208" t="s">
        <v>1136</v>
      </c>
      <c r="D22" s="208" t="s">
        <v>1137</v>
      </c>
      <c r="E22" s="209" t="s">
        <v>1138</v>
      </c>
      <c r="F22" s="209"/>
      <c r="G22" s="209"/>
      <c r="H22" s="203"/>
      <c r="I22" s="203"/>
      <c r="J22" s="203"/>
      <c r="K22" s="203"/>
      <c r="L22" s="203"/>
      <c r="M22" s="203"/>
    </row>
    <row r="23">
      <c r="A23" s="205"/>
      <c r="B23" s="207" t="s">
        <v>1139</v>
      </c>
      <c r="C23" s="208" t="s">
        <v>1132</v>
      </c>
      <c r="D23" s="208" t="s">
        <v>1140</v>
      </c>
      <c r="E23" s="209"/>
      <c r="F23" s="209"/>
      <c r="G23" s="209"/>
      <c r="H23" s="203"/>
      <c r="I23" s="203"/>
      <c r="J23" s="203"/>
      <c r="K23" s="203"/>
      <c r="L23" s="203"/>
      <c r="M23" s="203"/>
    </row>
    <row r="24">
      <c r="A24" s="205"/>
      <c r="B24" s="207" t="s">
        <v>1141</v>
      </c>
      <c r="C24" s="208" t="s">
        <v>1102</v>
      </c>
      <c r="D24" s="208" t="s">
        <v>1142</v>
      </c>
      <c r="E24" s="209"/>
      <c r="F24" s="209"/>
      <c r="G24" s="209"/>
      <c r="H24" s="203"/>
      <c r="I24" s="203"/>
      <c r="J24" s="203"/>
      <c r="K24" s="203"/>
      <c r="L24" s="203"/>
      <c r="M24" s="203"/>
    </row>
    <row r="25">
      <c r="A25" s="205"/>
      <c r="B25" s="207" t="s">
        <v>1143</v>
      </c>
      <c r="C25" s="208" t="s">
        <v>1132</v>
      </c>
      <c r="D25" s="208" t="s">
        <v>1144</v>
      </c>
      <c r="E25" s="211" t="s">
        <v>1145</v>
      </c>
      <c r="F25" s="209"/>
      <c r="G25" s="209"/>
      <c r="H25" s="203"/>
      <c r="I25" s="203"/>
      <c r="J25" s="203"/>
      <c r="K25" s="203"/>
      <c r="L25" s="203"/>
      <c r="M25" s="203"/>
    </row>
    <row r="26">
      <c r="A26" s="205"/>
      <c r="B26" s="210" t="s">
        <v>1146</v>
      </c>
      <c r="C26" s="208" t="s">
        <v>1132</v>
      </c>
      <c r="D26" s="208" t="s">
        <v>1147</v>
      </c>
      <c r="E26" s="209"/>
      <c r="F26" s="209"/>
      <c r="G26" s="209"/>
      <c r="H26" s="203"/>
      <c r="I26" s="203"/>
      <c r="J26" s="203"/>
      <c r="K26" s="203"/>
      <c r="L26" s="203"/>
      <c r="M26" s="203"/>
    </row>
    <row r="27">
      <c r="A27" s="205"/>
      <c r="B27" s="207" t="s">
        <v>1148</v>
      </c>
      <c r="C27" s="213" t="s">
        <v>1149</v>
      </c>
      <c r="D27" s="208" t="s">
        <v>1150</v>
      </c>
      <c r="E27" s="209" t="s">
        <v>1151</v>
      </c>
      <c r="F27" s="209"/>
      <c r="G27" s="209"/>
      <c r="H27" s="203"/>
      <c r="I27" s="203"/>
      <c r="J27" s="203"/>
      <c r="K27" s="203"/>
      <c r="L27" s="203"/>
      <c r="M27" s="203"/>
    </row>
    <row r="28">
      <c r="A28" s="205"/>
      <c r="B28" s="207" t="s">
        <v>1152</v>
      </c>
      <c r="C28" s="208" t="s">
        <v>1132</v>
      </c>
      <c r="D28" s="208" t="s">
        <v>1153</v>
      </c>
      <c r="E28" s="209" t="s">
        <v>1154</v>
      </c>
      <c r="F28" s="209"/>
      <c r="G28" s="209"/>
      <c r="H28" s="203"/>
      <c r="I28" s="203"/>
      <c r="J28" s="203"/>
      <c r="K28" s="203"/>
      <c r="L28" s="203"/>
      <c r="M28" s="203"/>
    </row>
    <row r="29">
      <c r="A29" s="205"/>
      <c r="B29" s="207" t="s">
        <v>1155</v>
      </c>
      <c r="C29" s="208" t="s">
        <v>1132</v>
      </c>
      <c r="D29" s="208" t="s">
        <v>1156</v>
      </c>
      <c r="E29" s="209"/>
      <c r="F29" s="209"/>
      <c r="G29" s="209"/>
      <c r="H29" s="203"/>
      <c r="I29" s="203"/>
      <c r="J29" s="203"/>
      <c r="K29" s="203"/>
      <c r="L29" s="203"/>
      <c r="M29" s="203"/>
    </row>
    <row r="30">
      <c r="A30" s="205"/>
      <c r="B30" s="207" t="s">
        <v>1157</v>
      </c>
      <c r="C30" s="208"/>
      <c r="D30" s="208"/>
      <c r="E30" s="209"/>
      <c r="F30" s="209"/>
      <c r="G30" s="209"/>
      <c r="H30" s="203"/>
      <c r="I30" s="203"/>
      <c r="J30" s="203"/>
      <c r="K30" s="203"/>
      <c r="L30" s="203"/>
      <c r="M30" s="203"/>
    </row>
    <row r="31">
      <c r="A31" s="205"/>
      <c r="B31" s="207" t="s">
        <v>1158</v>
      </c>
      <c r="C31" s="208" t="s">
        <v>1159</v>
      </c>
      <c r="D31" s="214" t="s">
        <v>1160</v>
      </c>
      <c r="E31" s="209"/>
      <c r="F31" s="209"/>
      <c r="G31" s="209"/>
      <c r="H31" s="203"/>
      <c r="I31" s="203"/>
      <c r="J31" s="203"/>
      <c r="K31" s="203"/>
      <c r="L31" s="203"/>
      <c r="M31" s="203"/>
    </row>
    <row r="32">
      <c r="A32" s="205"/>
      <c r="B32" s="210" t="s">
        <v>1161</v>
      </c>
      <c r="C32" s="208"/>
      <c r="D32" s="208"/>
      <c r="E32" s="209"/>
      <c r="F32" s="209"/>
      <c r="G32" s="209"/>
      <c r="H32" s="203"/>
      <c r="I32" s="203"/>
      <c r="J32" s="203"/>
      <c r="K32" s="203"/>
      <c r="L32" s="203"/>
      <c r="M32" s="203"/>
    </row>
    <row r="33">
      <c r="A33" s="205"/>
      <c r="B33" s="210" t="s">
        <v>1162</v>
      </c>
      <c r="C33" s="208" t="s">
        <v>1163</v>
      </c>
      <c r="D33" s="208" t="s">
        <v>1164</v>
      </c>
      <c r="E33" s="209" t="s">
        <v>1165</v>
      </c>
      <c r="F33" s="209"/>
      <c r="G33" s="209"/>
      <c r="H33" s="203"/>
      <c r="I33" s="203"/>
      <c r="J33" s="203"/>
      <c r="K33" s="203"/>
      <c r="L33" s="203"/>
      <c r="M33" s="203"/>
    </row>
    <row r="34">
      <c r="A34" s="205"/>
      <c r="B34" s="207" t="s">
        <v>1166</v>
      </c>
      <c r="C34" s="208" t="s">
        <v>1132</v>
      </c>
      <c r="D34" s="208" t="s">
        <v>1167</v>
      </c>
      <c r="E34" s="209"/>
      <c r="F34" s="209"/>
      <c r="G34" s="209"/>
      <c r="H34" s="203"/>
      <c r="I34" s="203"/>
      <c r="J34" s="203"/>
      <c r="K34" s="203"/>
      <c r="L34" s="203"/>
      <c r="M34" s="203"/>
    </row>
    <row r="35">
      <c r="A35" s="205"/>
      <c r="B35" s="207" t="s">
        <v>1168</v>
      </c>
      <c r="C35" s="208" t="s">
        <v>1169</v>
      </c>
      <c r="D35" s="208">
        <v>9.647812899099E12</v>
      </c>
      <c r="E35" s="209"/>
      <c r="F35" s="209"/>
      <c r="G35" s="209"/>
      <c r="H35" s="203"/>
      <c r="I35" s="203"/>
      <c r="J35" s="203"/>
      <c r="K35" s="203"/>
      <c r="L35" s="203"/>
      <c r="M35" s="203"/>
    </row>
    <row r="36">
      <c r="A36" s="205"/>
      <c r="B36" s="207" t="s">
        <v>1170</v>
      </c>
      <c r="C36" s="208" t="s">
        <v>1132</v>
      </c>
      <c r="D36" s="208" t="s">
        <v>1171</v>
      </c>
      <c r="E36" s="209"/>
      <c r="F36" s="209"/>
      <c r="G36" s="209"/>
      <c r="H36" s="203"/>
      <c r="I36" s="203"/>
      <c r="J36" s="203"/>
      <c r="K36" s="203"/>
      <c r="L36" s="203"/>
      <c r="M36" s="203"/>
    </row>
    <row r="37">
      <c r="A37" s="205"/>
      <c r="B37" s="207" t="s">
        <v>1172</v>
      </c>
      <c r="C37" s="208" t="s">
        <v>1173</v>
      </c>
      <c r="D37" s="208" t="s">
        <v>1174</v>
      </c>
      <c r="E37" s="209" t="s">
        <v>1175</v>
      </c>
      <c r="F37" s="209"/>
      <c r="G37" s="209"/>
      <c r="H37" s="203"/>
      <c r="I37" s="203"/>
      <c r="J37" s="203"/>
      <c r="K37" s="203"/>
      <c r="L37" s="203"/>
      <c r="M37" s="203"/>
    </row>
    <row r="38">
      <c r="A38" s="205"/>
      <c r="B38" s="210" t="s">
        <v>1176</v>
      </c>
      <c r="C38" s="208" t="s">
        <v>1177</v>
      </c>
      <c r="D38" s="208" t="s">
        <v>1178</v>
      </c>
      <c r="E38" s="209"/>
      <c r="F38" s="209"/>
      <c r="G38" s="209"/>
      <c r="H38" s="203"/>
      <c r="I38" s="203"/>
      <c r="J38" s="203"/>
      <c r="K38" s="203"/>
      <c r="L38" s="203"/>
      <c r="M38" s="203"/>
    </row>
    <row r="39">
      <c r="A39" s="205"/>
      <c r="B39" s="210" t="s">
        <v>1179</v>
      </c>
      <c r="C39" s="208" t="s">
        <v>1132</v>
      </c>
      <c r="D39" s="208" t="s">
        <v>1180</v>
      </c>
      <c r="E39" s="209"/>
      <c r="F39" s="209"/>
      <c r="G39" s="209"/>
      <c r="H39" s="203"/>
      <c r="I39" s="203"/>
      <c r="J39" s="203"/>
      <c r="K39" s="203"/>
      <c r="L39" s="203"/>
      <c r="M39" s="203"/>
    </row>
    <row r="40">
      <c r="A40" s="205"/>
      <c r="B40" s="207" t="s">
        <v>1181</v>
      </c>
      <c r="C40" s="208" t="s">
        <v>1182</v>
      </c>
      <c r="D40" s="208" t="s">
        <v>1183</v>
      </c>
      <c r="E40" s="209" t="s">
        <v>1184</v>
      </c>
      <c r="F40" s="209"/>
      <c r="G40" s="209"/>
      <c r="H40" s="203"/>
      <c r="I40" s="203"/>
      <c r="J40" s="203"/>
      <c r="K40" s="203"/>
      <c r="L40" s="203"/>
      <c r="M40" s="203"/>
    </row>
    <row r="41">
      <c r="A41" s="205"/>
      <c r="B41" s="215" t="s">
        <v>1185</v>
      </c>
      <c r="C41" s="208" t="s">
        <v>1186</v>
      </c>
      <c r="D41" s="208" t="s">
        <v>1187</v>
      </c>
      <c r="E41" s="209"/>
      <c r="F41" s="209"/>
      <c r="G41" s="209"/>
      <c r="H41" s="203"/>
      <c r="I41" s="203"/>
      <c r="J41" s="203"/>
      <c r="K41" s="203"/>
      <c r="L41" s="203"/>
      <c r="M41" s="203"/>
    </row>
    <row r="42">
      <c r="A42" s="205"/>
      <c r="B42" s="207" t="s">
        <v>1188</v>
      </c>
      <c r="C42" s="208"/>
      <c r="D42" s="208"/>
      <c r="E42" s="209"/>
      <c r="F42" s="209"/>
      <c r="G42" s="209"/>
      <c r="H42" s="203"/>
      <c r="I42" s="203"/>
      <c r="J42" s="203"/>
      <c r="K42" s="203"/>
      <c r="L42" s="203"/>
      <c r="M42" s="203"/>
    </row>
    <row r="43">
      <c r="A43" s="205"/>
      <c r="B43" s="210" t="s">
        <v>1189</v>
      </c>
      <c r="C43" s="208" t="s">
        <v>1190</v>
      </c>
      <c r="D43" s="208" t="s">
        <v>1191</v>
      </c>
      <c r="E43" s="209" t="s">
        <v>1192</v>
      </c>
      <c r="F43" s="209"/>
      <c r="G43" s="209"/>
      <c r="H43" s="203"/>
      <c r="I43" s="203"/>
      <c r="J43" s="203"/>
      <c r="K43" s="203"/>
      <c r="L43" s="203"/>
      <c r="M43" s="203"/>
    </row>
    <row r="44">
      <c r="A44" s="205"/>
      <c r="B44" s="210" t="s">
        <v>1193</v>
      </c>
      <c r="C44" s="208"/>
      <c r="D44" s="208" t="s">
        <v>1194</v>
      </c>
      <c r="E44" s="209"/>
      <c r="F44" s="209"/>
      <c r="G44" s="209"/>
      <c r="H44" s="203"/>
      <c r="I44" s="203"/>
      <c r="J44" s="203"/>
      <c r="K44" s="203"/>
      <c r="L44" s="203"/>
      <c r="M44" s="203"/>
    </row>
    <row r="45">
      <c r="A45" s="205"/>
      <c r="B45" s="216" t="s">
        <v>1195</v>
      </c>
      <c r="C45" s="208"/>
      <c r="D45" s="208" t="s">
        <v>1196</v>
      </c>
      <c r="E45" s="209"/>
      <c r="F45" s="209"/>
      <c r="G45" s="209"/>
      <c r="H45" s="203"/>
      <c r="I45" s="203"/>
      <c r="J45" s="203"/>
      <c r="K45" s="203"/>
      <c r="L45" s="203"/>
      <c r="M45" s="203"/>
    </row>
    <row r="46">
      <c r="A46" s="205"/>
      <c r="B46" s="210" t="s">
        <v>1197</v>
      </c>
      <c r="C46" s="208"/>
      <c r="D46" s="208"/>
      <c r="E46" s="209"/>
      <c r="F46" s="209"/>
      <c r="G46" s="209"/>
      <c r="H46" s="203"/>
      <c r="I46" s="203"/>
      <c r="J46" s="203"/>
      <c r="K46" s="203"/>
      <c r="L46" s="203"/>
      <c r="M46" s="203"/>
    </row>
    <row r="47">
      <c r="A47" s="205"/>
      <c r="B47" s="210" t="s">
        <v>1198</v>
      </c>
      <c r="C47" s="217" t="s">
        <v>1199</v>
      </c>
      <c r="D47" s="208" t="s">
        <v>1200</v>
      </c>
      <c r="E47" s="209" t="s">
        <v>1201</v>
      </c>
      <c r="F47" s="209"/>
      <c r="G47" s="209"/>
      <c r="H47" s="203"/>
      <c r="I47" s="203"/>
      <c r="J47" s="203"/>
      <c r="K47" s="203"/>
      <c r="L47" s="203"/>
      <c r="M47" s="203"/>
    </row>
    <row r="48">
      <c r="A48" s="205"/>
      <c r="B48" s="210" t="s">
        <v>1202</v>
      </c>
      <c r="C48" s="208"/>
      <c r="D48" s="208"/>
      <c r="E48" s="209"/>
      <c r="F48" s="209"/>
      <c r="G48" s="209"/>
      <c r="H48" s="203"/>
      <c r="I48" s="203"/>
      <c r="J48" s="203"/>
      <c r="K48" s="203"/>
      <c r="L48" s="203"/>
      <c r="M48" s="203"/>
    </row>
    <row r="49">
      <c r="A49" s="205"/>
      <c r="B49" s="210" t="s">
        <v>1203</v>
      </c>
      <c r="C49" s="208"/>
      <c r="D49" s="208" t="s">
        <v>1204</v>
      </c>
      <c r="E49" s="209"/>
      <c r="F49" s="209"/>
      <c r="G49" s="209"/>
      <c r="H49" s="203"/>
      <c r="I49" s="203"/>
      <c r="J49" s="203"/>
      <c r="K49" s="203"/>
      <c r="L49" s="203"/>
      <c r="M49" s="203"/>
    </row>
    <row r="50">
      <c r="A50" s="205"/>
      <c r="B50" s="210" t="s">
        <v>1205</v>
      </c>
      <c r="C50" s="208" t="s">
        <v>1206</v>
      </c>
      <c r="D50" s="208" t="s">
        <v>1207</v>
      </c>
      <c r="E50" s="209"/>
      <c r="F50" s="209"/>
      <c r="G50" s="209"/>
      <c r="H50" s="203"/>
      <c r="I50" s="203"/>
      <c r="J50" s="203"/>
      <c r="K50" s="203"/>
      <c r="L50" s="203"/>
      <c r="M50" s="203"/>
    </row>
    <row r="51">
      <c r="A51" s="205"/>
      <c r="B51" s="218" t="s">
        <v>1208</v>
      </c>
      <c r="C51" s="213" t="s">
        <v>1209</v>
      </c>
      <c r="D51" s="208" t="s">
        <v>1210</v>
      </c>
      <c r="E51" s="211" t="s">
        <v>1211</v>
      </c>
      <c r="F51" s="209"/>
      <c r="G51" s="209"/>
      <c r="H51" s="203"/>
      <c r="I51" s="203"/>
      <c r="J51" s="203"/>
      <c r="K51" s="203"/>
      <c r="L51" s="203"/>
      <c r="M51" s="203"/>
    </row>
    <row r="52">
      <c r="A52" s="205"/>
      <c r="B52" s="207" t="s">
        <v>1212</v>
      </c>
      <c r="C52" s="208" t="s">
        <v>1213</v>
      </c>
      <c r="D52" s="208" t="s">
        <v>1214</v>
      </c>
      <c r="E52" s="209"/>
      <c r="F52" s="209"/>
      <c r="G52" s="209"/>
      <c r="H52" s="203"/>
      <c r="I52" s="203"/>
      <c r="J52" s="203"/>
      <c r="K52" s="203"/>
      <c r="L52" s="203"/>
      <c r="M52" s="203"/>
    </row>
    <row r="53">
      <c r="A53" s="205"/>
      <c r="B53" s="210" t="s">
        <v>1215</v>
      </c>
      <c r="C53" s="208" t="s">
        <v>1216</v>
      </c>
      <c r="D53" s="213" t="s">
        <v>1217</v>
      </c>
      <c r="E53" s="209" t="s">
        <v>1218</v>
      </c>
      <c r="F53" s="211" t="s">
        <v>1219</v>
      </c>
      <c r="G53" s="209"/>
      <c r="H53" s="203"/>
      <c r="I53" s="203"/>
      <c r="J53" s="203"/>
      <c r="K53" s="203"/>
      <c r="L53" s="203"/>
      <c r="M53" s="203"/>
    </row>
    <row r="54">
      <c r="A54" s="205"/>
      <c r="B54" s="210" t="s">
        <v>1220</v>
      </c>
      <c r="C54" s="208"/>
      <c r="D54" s="208"/>
      <c r="E54" s="209"/>
      <c r="F54" s="209"/>
      <c r="G54" s="209"/>
      <c r="H54" s="203"/>
      <c r="I54" s="203"/>
      <c r="J54" s="203"/>
      <c r="K54" s="203"/>
      <c r="L54" s="203"/>
      <c r="M54" s="203"/>
    </row>
    <row r="55">
      <c r="A55" s="205"/>
      <c r="B55" s="210" t="s">
        <v>1221</v>
      </c>
      <c r="C55" s="208" t="s">
        <v>1132</v>
      </c>
      <c r="D55" s="208" t="s">
        <v>1222</v>
      </c>
      <c r="E55" s="209" t="s">
        <v>1125</v>
      </c>
      <c r="F55" s="209"/>
      <c r="G55" s="209"/>
      <c r="H55" s="203"/>
      <c r="I55" s="203"/>
      <c r="J55" s="203"/>
      <c r="K55" s="203"/>
      <c r="L55" s="203"/>
      <c r="M55" s="203"/>
    </row>
    <row r="56">
      <c r="A56" s="205"/>
      <c r="B56" s="210" t="s">
        <v>1223</v>
      </c>
      <c r="C56" s="213" t="s">
        <v>1224</v>
      </c>
      <c r="D56" s="208">
        <v>7.835555505E9</v>
      </c>
      <c r="E56" s="209"/>
      <c r="F56" s="209"/>
      <c r="G56" s="209"/>
      <c r="H56" s="203"/>
      <c r="I56" s="203"/>
      <c r="J56" s="203"/>
      <c r="K56" s="203"/>
      <c r="L56" s="203"/>
      <c r="M56" s="203"/>
    </row>
    <row r="57">
      <c r="A57" s="205"/>
      <c r="B57" s="210" t="s">
        <v>1225</v>
      </c>
      <c r="C57" s="208" t="s">
        <v>1226</v>
      </c>
      <c r="D57" s="208" t="s">
        <v>1227</v>
      </c>
      <c r="E57" s="209"/>
      <c r="F57" s="209"/>
      <c r="G57" s="209"/>
      <c r="H57" s="203"/>
      <c r="I57" s="203"/>
      <c r="J57" s="203"/>
      <c r="K57" s="203"/>
      <c r="L57" s="203"/>
      <c r="M57" s="203"/>
    </row>
    <row r="58">
      <c r="A58" s="205"/>
      <c r="B58" s="210" t="s">
        <v>1228</v>
      </c>
      <c r="C58" s="208" t="s">
        <v>1229</v>
      </c>
      <c r="D58" s="208">
        <v>7.744443616E9</v>
      </c>
      <c r="E58" s="209"/>
      <c r="F58" s="209"/>
      <c r="G58" s="209"/>
      <c r="H58" s="203"/>
      <c r="I58" s="203"/>
      <c r="J58" s="203"/>
      <c r="K58" s="203"/>
      <c r="L58" s="203"/>
      <c r="M58" s="203"/>
    </row>
    <row r="59">
      <c r="A59" s="205"/>
      <c r="B59" s="210" t="s">
        <v>1230</v>
      </c>
      <c r="C59" s="208" t="s">
        <v>1132</v>
      </c>
      <c r="D59" s="217" t="s">
        <v>1231</v>
      </c>
      <c r="E59" s="209"/>
      <c r="F59" s="209"/>
      <c r="G59" s="209"/>
      <c r="H59" s="203"/>
      <c r="I59" s="203"/>
      <c r="J59" s="203"/>
      <c r="K59" s="203"/>
      <c r="L59" s="203"/>
      <c r="M59" s="203"/>
    </row>
    <row r="60">
      <c r="A60" s="205"/>
      <c r="B60" s="210" t="s">
        <v>1232</v>
      </c>
      <c r="C60" s="208" t="s">
        <v>1091</v>
      </c>
      <c r="D60" s="208" t="s">
        <v>1150</v>
      </c>
      <c r="E60" s="209" t="s">
        <v>1151</v>
      </c>
      <c r="F60" s="211" t="s">
        <v>1233</v>
      </c>
      <c r="G60" s="211" t="s">
        <v>1233</v>
      </c>
      <c r="H60" s="203"/>
      <c r="I60" s="203"/>
      <c r="J60" s="203"/>
      <c r="K60" s="203"/>
      <c r="L60" s="203"/>
      <c r="M60" s="203"/>
    </row>
    <row r="61">
      <c r="A61" s="205"/>
      <c r="B61" s="210" t="s">
        <v>1234</v>
      </c>
      <c r="C61" s="208" t="s">
        <v>1132</v>
      </c>
      <c r="D61" s="208" t="s">
        <v>1235</v>
      </c>
      <c r="E61" s="209" t="s">
        <v>1236</v>
      </c>
      <c r="F61" s="209"/>
      <c r="G61" s="209"/>
      <c r="H61" s="203"/>
      <c r="I61" s="203"/>
      <c r="J61" s="203"/>
      <c r="K61" s="203"/>
      <c r="L61" s="203"/>
      <c r="M61" s="203"/>
    </row>
    <row r="62">
      <c r="A62" s="205"/>
      <c r="B62" s="210"/>
      <c r="C62" s="208"/>
      <c r="D62" s="208"/>
      <c r="E62" s="209"/>
      <c r="F62" s="209"/>
      <c r="G62" s="209"/>
      <c r="H62" s="203"/>
      <c r="I62" s="203"/>
      <c r="J62" s="203"/>
      <c r="K62" s="203"/>
      <c r="L62" s="203"/>
      <c r="M62" s="203"/>
    </row>
    <row r="63">
      <c r="A63" s="205"/>
      <c r="B63" s="210" t="s">
        <v>1237</v>
      </c>
      <c r="C63" s="208"/>
      <c r="D63" s="208" t="s">
        <v>1238</v>
      </c>
      <c r="E63" s="209" t="s">
        <v>1239</v>
      </c>
      <c r="F63" s="209"/>
      <c r="G63" s="209"/>
      <c r="H63" s="203"/>
      <c r="I63" s="203"/>
      <c r="J63" s="203"/>
      <c r="K63" s="203"/>
      <c r="L63" s="203"/>
      <c r="M63" s="203"/>
    </row>
    <row r="64">
      <c r="A64" s="205"/>
      <c r="B64" s="210" t="s">
        <v>1240</v>
      </c>
      <c r="C64" s="208"/>
      <c r="D64" s="208"/>
      <c r="E64" s="209"/>
      <c r="F64" s="209"/>
      <c r="G64" s="209"/>
      <c r="H64" s="203"/>
      <c r="I64" s="203"/>
      <c r="J64" s="203"/>
      <c r="K64" s="203"/>
      <c r="L64" s="203"/>
      <c r="M64" s="203"/>
    </row>
    <row r="65">
      <c r="A65" s="205"/>
      <c r="B65" s="210" t="s">
        <v>1241</v>
      </c>
      <c r="C65" s="208" t="s">
        <v>1242</v>
      </c>
      <c r="D65" s="208" t="s">
        <v>1243</v>
      </c>
      <c r="E65" s="209"/>
      <c r="F65" s="209"/>
      <c r="G65" s="209"/>
      <c r="H65" s="203"/>
      <c r="I65" s="203"/>
      <c r="J65" s="203"/>
      <c r="K65" s="203"/>
      <c r="L65" s="203"/>
      <c r="M65" s="203"/>
    </row>
    <row r="66">
      <c r="A66" s="205"/>
      <c r="B66" s="210" t="s">
        <v>1244</v>
      </c>
      <c r="C66" s="208" t="s">
        <v>1123</v>
      </c>
      <c r="D66" s="208" t="s">
        <v>1245</v>
      </c>
      <c r="E66" s="209" t="s">
        <v>1246</v>
      </c>
      <c r="F66" s="211" t="s">
        <v>1247</v>
      </c>
      <c r="G66" s="209"/>
      <c r="H66" s="203"/>
      <c r="I66" s="203"/>
      <c r="J66" s="203"/>
      <c r="K66" s="203"/>
      <c r="L66" s="203"/>
      <c r="M66" s="203"/>
    </row>
    <row r="67">
      <c r="A67" s="205"/>
      <c r="B67" s="210" t="s">
        <v>1248</v>
      </c>
      <c r="C67" s="208"/>
      <c r="D67" s="208"/>
      <c r="E67" s="209"/>
      <c r="F67" s="209"/>
      <c r="G67" s="209"/>
      <c r="H67" s="203"/>
      <c r="I67" s="203"/>
      <c r="J67" s="203"/>
      <c r="K67" s="203"/>
      <c r="L67" s="203"/>
      <c r="M67" s="203"/>
    </row>
    <row r="68">
      <c r="A68" s="205"/>
      <c r="B68" s="210" t="s">
        <v>1249</v>
      </c>
      <c r="C68" s="208" t="s">
        <v>1250</v>
      </c>
      <c r="D68" s="208" t="s">
        <v>1251</v>
      </c>
      <c r="E68" s="209" t="s">
        <v>1252</v>
      </c>
      <c r="F68" s="209"/>
      <c r="G68" s="209"/>
      <c r="H68" s="203"/>
      <c r="I68" s="203"/>
      <c r="J68" s="203"/>
      <c r="K68" s="203"/>
      <c r="L68" s="203"/>
      <c r="M68" s="203"/>
    </row>
    <row r="69">
      <c r="A69" s="205"/>
      <c r="B69" s="207" t="s">
        <v>1253</v>
      </c>
      <c r="C69" s="208"/>
      <c r="D69" s="208" t="s">
        <v>1254</v>
      </c>
      <c r="E69" s="209"/>
      <c r="F69" s="209"/>
      <c r="G69" s="209"/>
      <c r="H69" s="203"/>
      <c r="I69" s="203"/>
      <c r="J69" s="203"/>
      <c r="K69" s="203"/>
      <c r="L69" s="203"/>
      <c r="M69" s="203"/>
    </row>
    <row r="70">
      <c r="A70" s="205"/>
      <c r="B70" s="210" t="s">
        <v>1255</v>
      </c>
      <c r="C70" s="208" t="s">
        <v>1132</v>
      </c>
      <c r="D70" s="208" t="s">
        <v>1256</v>
      </c>
      <c r="E70" s="209"/>
      <c r="F70" s="209"/>
      <c r="G70" s="209"/>
      <c r="H70" s="203"/>
      <c r="I70" s="203"/>
      <c r="J70" s="203"/>
      <c r="K70" s="203"/>
      <c r="L70" s="203"/>
      <c r="M70" s="203"/>
    </row>
    <row r="71">
      <c r="A71" s="205"/>
      <c r="B71" s="210" t="s">
        <v>1257</v>
      </c>
      <c r="C71" s="208" t="s">
        <v>1258</v>
      </c>
      <c r="D71" s="208" t="s">
        <v>1259</v>
      </c>
      <c r="E71" s="209"/>
      <c r="F71" s="209"/>
      <c r="G71" s="209"/>
      <c r="H71" s="203"/>
      <c r="I71" s="203"/>
      <c r="J71" s="203"/>
      <c r="K71" s="203"/>
      <c r="L71" s="203"/>
      <c r="M71" s="203"/>
    </row>
    <row r="72">
      <c r="A72" s="205"/>
      <c r="B72" s="207" t="s">
        <v>1260</v>
      </c>
      <c r="C72" s="208"/>
      <c r="D72" s="208"/>
      <c r="E72" s="209"/>
      <c r="F72" s="209"/>
      <c r="G72" s="209"/>
      <c r="H72" s="203"/>
      <c r="I72" s="203"/>
      <c r="J72" s="203"/>
      <c r="K72" s="203"/>
      <c r="L72" s="203"/>
      <c r="M72" s="203"/>
    </row>
    <row r="73">
      <c r="A73" s="205"/>
      <c r="B73" s="219" t="s">
        <v>1261</v>
      </c>
      <c r="C73" s="53"/>
      <c r="D73" s="53"/>
      <c r="E73" s="53"/>
      <c r="F73" s="53"/>
      <c r="G73" s="202"/>
      <c r="H73" s="203"/>
      <c r="I73" s="203"/>
      <c r="J73" s="203"/>
      <c r="K73" s="203"/>
      <c r="L73" s="203"/>
      <c r="M73" s="203"/>
    </row>
    <row r="74">
      <c r="A74" s="205"/>
      <c r="B74" s="207" t="s">
        <v>1262</v>
      </c>
      <c r="C74" s="208" t="s">
        <v>1263</v>
      </c>
      <c r="D74" s="208" t="s">
        <v>1264</v>
      </c>
      <c r="E74" s="209"/>
      <c r="F74" s="209"/>
      <c r="G74" s="209"/>
      <c r="H74" s="203"/>
      <c r="I74" s="203"/>
      <c r="J74" s="203"/>
      <c r="K74" s="203"/>
      <c r="L74" s="203"/>
      <c r="M74" s="203"/>
    </row>
    <row r="75">
      <c r="A75" s="205"/>
      <c r="B75" s="220" t="s">
        <v>1265</v>
      </c>
      <c r="C75" s="208"/>
      <c r="D75" s="208" t="s">
        <v>1266</v>
      </c>
      <c r="E75" s="209" t="s">
        <v>1267</v>
      </c>
      <c r="F75" s="211" t="s">
        <v>1268</v>
      </c>
      <c r="G75" s="209"/>
      <c r="H75" s="203"/>
      <c r="I75" s="203"/>
      <c r="J75" s="203"/>
      <c r="K75" s="203"/>
      <c r="L75" s="203"/>
      <c r="M75" s="203"/>
    </row>
    <row r="76">
      <c r="A76" s="205"/>
      <c r="B76" s="220" t="s">
        <v>1269</v>
      </c>
      <c r="C76" s="208"/>
      <c r="D76" s="208"/>
      <c r="E76" s="209"/>
      <c r="F76" s="209"/>
      <c r="G76" s="209"/>
      <c r="H76" s="203"/>
      <c r="I76" s="203"/>
      <c r="J76" s="203"/>
      <c r="K76" s="203"/>
      <c r="L76" s="203"/>
      <c r="M76" s="203"/>
    </row>
    <row r="77">
      <c r="A77" s="205"/>
      <c r="B77" s="220" t="s">
        <v>1270</v>
      </c>
      <c r="C77" s="208"/>
      <c r="D77" s="208"/>
      <c r="E77" s="209"/>
      <c r="F77" s="209"/>
      <c r="G77" s="209"/>
      <c r="H77" s="203"/>
      <c r="I77" s="203"/>
      <c r="J77" s="203"/>
      <c r="K77" s="203"/>
      <c r="L77" s="203"/>
      <c r="M77" s="203"/>
    </row>
    <row r="78">
      <c r="A78" s="205"/>
      <c r="B78" s="220" t="s">
        <v>1271</v>
      </c>
      <c r="C78" s="208"/>
      <c r="D78" s="208"/>
      <c r="E78" s="209"/>
      <c r="F78" s="209"/>
      <c r="G78" s="209"/>
      <c r="H78" s="203"/>
      <c r="I78" s="203"/>
      <c r="J78" s="203"/>
      <c r="K78" s="203"/>
      <c r="L78" s="203"/>
      <c r="M78" s="203"/>
    </row>
    <row r="79">
      <c r="A79" s="205"/>
      <c r="B79" s="220" t="s">
        <v>1272</v>
      </c>
      <c r="C79" s="208"/>
      <c r="D79" s="208"/>
      <c r="E79" s="209"/>
      <c r="F79" s="209"/>
      <c r="G79" s="209"/>
      <c r="H79" s="203"/>
      <c r="I79" s="203"/>
      <c r="J79" s="203"/>
      <c r="K79" s="203"/>
      <c r="L79" s="203"/>
      <c r="M79" s="203"/>
    </row>
    <row r="80">
      <c r="A80" s="205"/>
      <c r="B80" s="220" t="s">
        <v>1273</v>
      </c>
      <c r="C80" s="208"/>
      <c r="D80" s="208" t="s">
        <v>1274</v>
      </c>
      <c r="E80" s="209"/>
      <c r="F80" s="209"/>
      <c r="G80" s="209"/>
      <c r="H80" s="203"/>
      <c r="I80" s="203"/>
      <c r="J80" s="203"/>
      <c r="K80" s="203"/>
      <c r="L80" s="203"/>
      <c r="M80" s="203"/>
    </row>
    <row r="81">
      <c r="A81" s="205"/>
      <c r="B81" s="207"/>
      <c r="C81" s="208"/>
      <c r="D81" s="208"/>
      <c r="E81" s="209"/>
      <c r="F81" s="209"/>
      <c r="G81" s="209"/>
      <c r="H81" s="203"/>
      <c r="I81" s="203"/>
      <c r="J81" s="203"/>
      <c r="K81" s="203"/>
      <c r="L81" s="203"/>
      <c r="M81" s="203"/>
    </row>
    <row r="82">
      <c r="A82" s="205"/>
      <c r="B82" s="207" t="s">
        <v>1275</v>
      </c>
      <c r="C82" s="208" t="s">
        <v>1276</v>
      </c>
      <c r="D82" s="208" t="s">
        <v>1277</v>
      </c>
      <c r="E82" s="209" t="s">
        <v>1278</v>
      </c>
      <c r="F82" s="211" t="s">
        <v>1279</v>
      </c>
      <c r="G82" s="209"/>
      <c r="H82" s="203"/>
      <c r="I82" s="203"/>
      <c r="J82" s="203"/>
      <c r="K82" s="203"/>
      <c r="L82" s="203"/>
      <c r="M82" s="203"/>
    </row>
    <row r="83">
      <c r="A83" s="205"/>
      <c r="B83" s="207" t="s">
        <v>1280</v>
      </c>
      <c r="C83" s="208"/>
      <c r="D83" s="208" t="s">
        <v>1281</v>
      </c>
      <c r="E83" s="209" t="s">
        <v>1282</v>
      </c>
      <c r="F83" s="211" t="s">
        <v>1283</v>
      </c>
      <c r="G83" s="209"/>
      <c r="H83" s="203"/>
      <c r="I83" s="203"/>
      <c r="J83" s="203"/>
      <c r="K83" s="203"/>
      <c r="L83" s="203"/>
      <c r="M83" s="203"/>
    </row>
    <row r="84">
      <c r="A84" s="205"/>
      <c r="B84" s="207" t="s">
        <v>1284</v>
      </c>
      <c r="C84" s="208" t="s">
        <v>1285</v>
      </c>
      <c r="D84" s="208" t="s">
        <v>1286</v>
      </c>
      <c r="E84" s="209"/>
      <c r="F84" s="209"/>
      <c r="G84" s="209"/>
      <c r="H84" s="203"/>
      <c r="I84" s="203"/>
      <c r="J84" s="203"/>
      <c r="K84" s="203"/>
      <c r="L84" s="203"/>
      <c r="M84" s="203"/>
    </row>
    <row r="85">
      <c r="A85" s="205"/>
      <c r="B85" s="207" t="s">
        <v>1287</v>
      </c>
      <c r="C85" s="208" t="s">
        <v>1288</v>
      </c>
      <c r="D85" s="208" t="s">
        <v>1289</v>
      </c>
      <c r="E85" s="209"/>
      <c r="F85" s="209"/>
      <c r="G85" s="209"/>
      <c r="H85" s="203"/>
      <c r="I85" s="203"/>
      <c r="J85" s="203"/>
      <c r="K85" s="203"/>
      <c r="L85" s="203"/>
      <c r="M85" s="203"/>
    </row>
    <row r="86">
      <c r="A86" s="205"/>
      <c r="B86" s="207"/>
      <c r="C86" s="208"/>
      <c r="D86" s="208"/>
      <c r="E86" s="209"/>
      <c r="F86" s="209"/>
      <c r="G86" s="209"/>
      <c r="H86" s="203"/>
      <c r="I86" s="203"/>
      <c r="J86" s="203"/>
      <c r="K86" s="203"/>
      <c r="L86" s="203"/>
      <c r="M86" s="203"/>
    </row>
    <row r="87">
      <c r="A87" s="205"/>
      <c r="B87" s="207" t="s">
        <v>1290</v>
      </c>
      <c r="C87" s="208" t="s">
        <v>1291</v>
      </c>
      <c r="D87" s="208" t="s">
        <v>1292</v>
      </c>
      <c r="E87" s="209"/>
      <c r="F87" s="209"/>
      <c r="G87" s="209"/>
      <c r="H87" s="203"/>
      <c r="I87" s="203"/>
      <c r="J87" s="203"/>
      <c r="K87" s="203"/>
      <c r="L87" s="203"/>
      <c r="M87" s="203"/>
    </row>
    <row r="88">
      <c r="A88" s="205"/>
      <c r="B88" s="207" t="s">
        <v>1293</v>
      </c>
      <c r="C88" s="208" t="s">
        <v>1294</v>
      </c>
      <c r="D88" s="217" t="s">
        <v>1295</v>
      </c>
      <c r="E88" s="209" t="s">
        <v>1296</v>
      </c>
      <c r="F88" s="209"/>
      <c r="G88" s="209"/>
      <c r="H88" s="203"/>
      <c r="I88" s="203"/>
      <c r="J88" s="203"/>
      <c r="K88" s="203"/>
      <c r="L88" s="203"/>
      <c r="M88" s="203"/>
    </row>
    <row r="89">
      <c r="A89" s="205"/>
      <c r="B89" s="207" t="s">
        <v>1297</v>
      </c>
      <c r="C89" s="208" t="s">
        <v>1298</v>
      </c>
      <c r="D89" s="208" t="s">
        <v>1299</v>
      </c>
      <c r="E89" s="209" t="s">
        <v>1300</v>
      </c>
      <c r="F89" s="211" t="s">
        <v>1301</v>
      </c>
      <c r="G89" s="209"/>
      <c r="H89" s="203"/>
      <c r="I89" s="203"/>
      <c r="J89" s="203"/>
      <c r="K89" s="203"/>
      <c r="L89" s="203"/>
      <c r="M89" s="203"/>
    </row>
    <row r="90">
      <c r="A90" s="205"/>
      <c r="B90" s="207" t="s">
        <v>1302</v>
      </c>
      <c r="C90" s="208" t="s">
        <v>1132</v>
      </c>
      <c r="D90" s="208" t="s">
        <v>1303</v>
      </c>
      <c r="E90" s="209"/>
      <c r="F90" s="209"/>
      <c r="G90" s="209"/>
      <c r="H90" s="203"/>
      <c r="I90" s="203"/>
      <c r="J90" s="203"/>
      <c r="K90" s="203"/>
      <c r="L90" s="203"/>
      <c r="M90" s="203"/>
    </row>
    <row r="91">
      <c r="A91" s="205"/>
      <c r="B91" s="210" t="s">
        <v>1304</v>
      </c>
      <c r="C91" s="208" t="s">
        <v>1132</v>
      </c>
      <c r="D91" s="208" t="s">
        <v>1305</v>
      </c>
      <c r="E91" s="209" t="s">
        <v>1306</v>
      </c>
      <c r="F91" s="209"/>
      <c r="G91" s="209"/>
      <c r="H91" s="203"/>
      <c r="I91" s="203"/>
      <c r="J91" s="203"/>
      <c r="K91" s="203"/>
      <c r="L91" s="203"/>
      <c r="M91" s="203"/>
    </row>
    <row r="92">
      <c r="A92" s="205"/>
      <c r="B92" s="207" t="s">
        <v>1307</v>
      </c>
      <c r="C92" s="208"/>
      <c r="D92" s="208"/>
      <c r="E92" s="209"/>
      <c r="F92" s="211" t="s">
        <v>1308</v>
      </c>
      <c r="G92" s="209"/>
      <c r="H92" s="203"/>
      <c r="I92" s="203"/>
      <c r="J92" s="203"/>
      <c r="K92" s="203"/>
      <c r="L92" s="203"/>
      <c r="M92" s="203"/>
    </row>
    <row r="93">
      <c r="A93" s="205"/>
      <c r="B93" s="207" t="s">
        <v>1309</v>
      </c>
      <c r="C93" s="208" t="s">
        <v>1177</v>
      </c>
      <c r="D93" s="208" t="s">
        <v>1310</v>
      </c>
      <c r="E93" s="209"/>
      <c r="F93" s="209"/>
      <c r="G93" s="209"/>
      <c r="H93" s="203"/>
      <c r="I93" s="203"/>
      <c r="J93" s="203"/>
      <c r="K93" s="203"/>
      <c r="L93" s="203"/>
      <c r="M93" s="203"/>
    </row>
    <row r="94">
      <c r="A94" s="205"/>
      <c r="B94" s="207" t="s">
        <v>1311</v>
      </c>
      <c r="C94" s="208" t="s">
        <v>1312</v>
      </c>
      <c r="D94" s="217" t="s">
        <v>1313</v>
      </c>
      <c r="E94" s="209" t="s">
        <v>1314</v>
      </c>
      <c r="F94" s="209"/>
      <c r="G94" s="209"/>
      <c r="H94" s="203"/>
      <c r="I94" s="203"/>
      <c r="J94" s="203"/>
      <c r="K94" s="203"/>
      <c r="L94" s="203"/>
      <c r="M94" s="203"/>
    </row>
    <row r="95">
      <c r="A95" s="205"/>
      <c r="B95" s="207" t="s">
        <v>1315</v>
      </c>
      <c r="C95" s="208" t="s">
        <v>1316</v>
      </c>
      <c r="D95" s="208" t="s">
        <v>1317</v>
      </c>
      <c r="E95" s="209" t="s">
        <v>1318</v>
      </c>
      <c r="F95" s="211" t="s">
        <v>1319</v>
      </c>
      <c r="G95" s="209"/>
      <c r="H95" s="203"/>
      <c r="I95" s="203"/>
      <c r="J95" s="203"/>
      <c r="K95" s="203"/>
      <c r="L95" s="203"/>
      <c r="M95" s="203"/>
    </row>
    <row r="96">
      <c r="A96" s="205"/>
      <c r="B96" s="207" t="s">
        <v>1320</v>
      </c>
      <c r="C96" s="208"/>
      <c r="D96" s="208"/>
      <c r="E96" s="209" t="s">
        <v>1321</v>
      </c>
      <c r="F96" s="209"/>
      <c r="G96" s="209"/>
      <c r="H96" s="203"/>
      <c r="I96" s="203"/>
      <c r="J96" s="203"/>
      <c r="K96" s="203"/>
      <c r="L96" s="203"/>
      <c r="M96" s="203"/>
    </row>
    <row r="97">
      <c r="A97" s="205"/>
      <c r="B97" s="207" t="s">
        <v>1322</v>
      </c>
      <c r="C97" s="208" t="s">
        <v>1323</v>
      </c>
      <c r="D97" s="208" t="s">
        <v>1324</v>
      </c>
      <c r="E97" s="209" t="s">
        <v>1325</v>
      </c>
      <c r="F97" s="209"/>
      <c r="G97" s="209"/>
      <c r="H97" s="203"/>
      <c r="I97" s="203"/>
      <c r="J97" s="203"/>
      <c r="K97" s="203"/>
      <c r="L97" s="203"/>
      <c r="M97" s="203"/>
    </row>
    <row r="98">
      <c r="A98" s="205"/>
      <c r="B98" s="207" t="s">
        <v>1326</v>
      </c>
      <c r="C98" s="208"/>
      <c r="D98" s="207" t="s">
        <v>1327</v>
      </c>
      <c r="E98" s="209"/>
      <c r="F98" s="209"/>
      <c r="G98" s="209"/>
      <c r="H98" s="203"/>
      <c r="I98" s="203"/>
      <c r="J98" s="203"/>
      <c r="K98" s="203"/>
      <c r="L98" s="203"/>
      <c r="M98" s="203"/>
    </row>
    <row r="99">
      <c r="A99" s="205"/>
      <c r="B99" s="207" t="s">
        <v>1328</v>
      </c>
      <c r="C99" s="208" t="s">
        <v>1329</v>
      </c>
      <c r="D99" s="208">
        <v>7.708700202E9</v>
      </c>
      <c r="E99" s="209"/>
      <c r="F99" s="209"/>
      <c r="G99" s="209"/>
      <c r="H99" s="203"/>
      <c r="I99" s="203"/>
      <c r="J99" s="203"/>
      <c r="K99" s="203"/>
      <c r="L99" s="203"/>
      <c r="M99" s="203"/>
    </row>
    <row r="100">
      <c r="A100" s="205"/>
      <c r="B100" s="208" t="s">
        <v>1330</v>
      </c>
      <c r="C100" s="208"/>
      <c r="D100" s="208" t="s">
        <v>1331</v>
      </c>
      <c r="E100" s="209"/>
      <c r="F100" s="209"/>
      <c r="G100" s="209"/>
      <c r="H100" s="203"/>
      <c r="I100" s="203"/>
      <c r="J100" s="203"/>
      <c r="K100" s="203"/>
      <c r="L100" s="203"/>
      <c r="M100" s="203"/>
    </row>
    <row r="101">
      <c r="A101" s="205"/>
      <c r="B101" s="207" t="s">
        <v>1332</v>
      </c>
      <c r="C101" s="208"/>
      <c r="D101" s="208" t="s">
        <v>1333</v>
      </c>
      <c r="E101" s="209" t="s">
        <v>1334</v>
      </c>
      <c r="F101" s="209"/>
      <c r="G101" s="209"/>
      <c r="H101" s="203"/>
      <c r="I101" s="203"/>
      <c r="J101" s="203"/>
      <c r="K101" s="203"/>
      <c r="L101" s="203"/>
      <c r="M101" s="203"/>
    </row>
    <row r="102">
      <c r="A102" s="205"/>
      <c r="B102" s="207" t="s">
        <v>1335</v>
      </c>
      <c r="C102" s="208"/>
      <c r="D102" s="208"/>
      <c r="E102" s="209"/>
      <c r="F102" s="209"/>
      <c r="G102" s="209"/>
      <c r="H102" s="203"/>
      <c r="I102" s="203"/>
      <c r="J102" s="203"/>
      <c r="K102" s="203"/>
      <c r="L102" s="203"/>
      <c r="M102" s="203"/>
    </row>
    <row r="103">
      <c r="A103" s="205">
        <v>1.0</v>
      </c>
      <c r="B103" s="220" t="s">
        <v>1336</v>
      </c>
      <c r="C103" s="221"/>
      <c r="D103" s="222">
        <v>7.733200028E9</v>
      </c>
      <c r="E103" s="209"/>
      <c r="F103" s="209"/>
      <c r="G103" s="209" t="s">
        <v>1337</v>
      </c>
      <c r="H103" s="203"/>
      <c r="I103" s="203"/>
      <c r="J103" s="203"/>
      <c r="K103" s="203"/>
      <c r="L103" s="203"/>
      <c r="M103" s="203"/>
    </row>
    <row r="104">
      <c r="A104" s="205">
        <v>2.0</v>
      </c>
      <c r="B104" s="220" t="s">
        <v>1338</v>
      </c>
      <c r="C104" s="223"/>
      <c r="D104" s="224">
        <v>7.70770801E9</v>
      </c>
      <c r="E104" s="225"/>
      <c r="F104" s="225"/>
      <c r="G104" s="209" t="s">
        <v>1337</v>
      </c>
      <c r="H104" s="203"/>
      <c r="I104" s="203"/>
      <c r="J104" s="203"/>
      <c r="K104" s="203"/>
      <c r="L104" s="203"/>
      <c r="M104" s="203"/>
    </row>
    <row r="105">
      <c r="A105" s="205">
        <v>3.0</v>
      </c>
      <c r="B105" s="220" t="s">
        <v>1339</v>
      </c>
      <c r="C105" s="223"/>
      <c r="D105" s="224" t="s">
        <v>1340</v>
      </c>
      <c r="E105" s="225"/>
      <c r="F105" s="225"/>
      <c r="G105" s="209" t="s">
        <v>1337</v>
      </c>
      <c r="H105" s="203"/>
      <c r="I105" s="203"/>
      <c r="J105" s="203"/>
      <c r="K105" s="203"/>
      <c r="L105" s="203"/>
      <c r="M105" s="203"/>
    </row>
    <row r="106">
      <c r="A106" s="205">
        <v>4.0</v>
      </c>
      <c r="B106" s="220" t="s">
        <v>1341</v>
      </c>
      <c r="C106" s="223"/>
      <c r="D106" s="224">
        <v>7.725225844E9</v>
      </c>
      <c r="E106" s="225"/>
      <c r="F106" s="225"/>
      <c r="G106" s="209" t="s">
        <v>1337</v>
      </c>
      <c r="H106" s="203"/>
      <c r="I106" s="203"/>
      <c r="J106" s="203"/>
      <c r="K106" s="203"/>
      <c r="L106" s="203"/>
      <c r="M106" s="203"/>
    </row>
    <row r="107">
      <c r="A107" s="205">
        <v>5.0</v>
      </c>
      <c r="B107" s="220" t="s">
        <v>1342</v>
      </c>
      <c r="C107" s="223"/>
      <c r="D107" s="224">
        <v>7.5015269E9</v>
      </c>
      <c r="E107" s="225"/>
      <c r="F107" s="225"/>
      <c r="G107" s="209" t="s">
        <v>1337</v>
      </c>
      <c r="H107" s="203"/>
      <c r="I107" s="203"/>
      <c r="J107" s="203"/>
      <c r="K107" s="203"/>
      <c r="L107" s="203"/>
      <c r="M107" s="203"/>
    </row>
    <row r="108">
      <c r="A108" s="205">
        <v>6.0</v>
      </c>
      <c r="B108" s="220"/>
      <c r="C108" s="223"/>
      <c r="D108" s="223"/>
      <c r="E108" s="225"/>
      <c r="F108" s="225"/>
      <c r="G108" s="209" t="s">
        <v>1337</v>
      </c>
      <c r="H108" s="203"/>
      <c r="I108" s="203"/>
      <c r="J108" s="203"/>
      <c r="K108" s="203"/>
      <c r="L108" s="203"/>
      <c r="M108" s="203"/>
    </row>
    <row r="109">
      <c r="A109" s="205">
        <v>7.0</v>
      </c>
      <c r="B109" s="226" t="s">
        <v>1343</v>
      </c>
      <c r="C109" s="227"/>
      <c r="D109" s="228">
        <v>7.70460101E9</v>
      </c>
      <c r="E109" s="225"/>
      <c r="F109" s="225"/>
      <c r="G109" s="209" t="s">
        <v>1337</v>
      </c>
      <c r="H109" s="203"/>
      <c r="I109" s="203"/>
      <c r="J109" s="203"/>
      <c r="K109" s="203"/>
      <c r="L109" s="203"/>
      <c r="M109" s="203"/>
    </row>
    <row r="110">
      <c r="A110" s="205">
        <v>8.0</v>
      </c>
      <c r="B110" s="220" t="s">
        <v>1344</v>
      </c>
      <c r="C110" s="223"/>
      <c r="D110" s="224">
        <v>7.700851212E9</v>
      </c>
      <c r="E110" s="225"/>
      <c r="F110" s="225"/>
      <c r="G110" s="209" t="s">
        <v>1337</v>
      </c>
      <c r="H110" s="203"/>
      <c r="I110" s="203"/>
      <c r="J110" s="203"/>
      <c r="K110" s="203"/>
      <c r="L110" s="203"/>
      <c r="M110" s="203"/>
    </row>
    <row r="111">
      <c r="A111" s="205">
        <v>9.0</v>
      </c>
      <c r="B111" s="220" t="s">
        <v>1345</v>
      </c>
      <c r="C111" s="223"/>
      <c r="D111" s="224">
        <v>7.701968107E9</v>
      </c>
      <c r="E111" s="225"/>
      <c r="F111" s="225"/>
      <c r="G111" s="209" t="s">
        <v>1337</v>
      </c>
      <c r="H111" s="203"/>
      <c r="I111" s="203"/>
      <c r="J111" s="203"/>
      <c r="K111" s="203"/>
      <c r="L111" s="203"/>
      <c r="M111" s="203"/>
    </row>
    <row r="112">
      <c r="A112" s="205">
        <v>10.0</v>
      </c>
      <c r="B112" s="220" t="s">
        <v>1346</v>
      </c>
      <c r="C112" s="223"/>
      <c r="D112" s="223"/>
      <c r="E112" s="225" t="s">
        <v>1347</v>
      </c>
      <c r="F112" s="225"/>
      <c r="G112" s="209" t="s">
        <v>1337</v>
      </c>
      <c r="H112" s="203"/>
      <c r="I112" s="203"/>
      <c r="J112" s="203"/>
      <c r="K112" s="203"/>
      <c r="L112" s="203"/>
      <c r="M112" s="203"/>
    </row>
    <row r="113">
      <c r="A113" s="205">
        <v>11.0</v>
      </c>
      <c r="B113" s="220" t="s">
        <v>1348</v>
      </c>
      <c r="C113" s="223"/>
      <c r="D113" s="224">
        <v>7.719694746E9</v>
      </c>
      <c r="E113" s="225"/>
      <c r="F113" s="225"/>
      <c r="G113" s="209" t="s">
        <v>1337</v>
      </c>
      <c r="H113" s="203"/>
      <c r="I113" s="203"/>
      <c r="J113" s="203"/>
      <c r="K113" s="203"/>
      <c r="L113" s="203"/>
      <c r="M113" s="203"/>
    </row>
    <row r="114">
      <c r="A114" s="205">
        <v>12.0</v>
      </c>
      <c r="B114" s="220" t="s">
        <v>1349</v>
      </c>
      <c r="C114" s="223"/>
      <c r="D114" s="224">
        <v>7.72214166E9</v>
      </c>
      <c r="E114" s="225"/>
      <c r="F114" s="225"/>
      <c r="G114" s="209" t="s">
        <v>1337</v>
      </c>
      <c r="H114" s="203"/>
      <c r="I114" s="203"/>
      <c r="J114" s="203"/>
      <c r="K114" s="203"/>
      <c r="L114" s="203"/>
      <c r="M114" s="203"/>
    </row>
    <row r="115">
      <c r="A115" s="205">
        <v>13.0</v>
      </c>
      <c r="B115" s="220" t="s">
        <v>1350</v>
      </c>
      <c r="C115" s="223"/>
      <c r="D115" s="220">
        <v>7.702270922E9</v>
      </c>
      <c r="E115" s="225"/>
      <c r="F115" s="225"/>
      <c r="G115" s="209" t="s">
        <v>1337</v>
      </c>
      <c r="H115" s="203"/>
      <c r="I115" s="203"/>
      <c r="J115" s="203"/>
      <c r="K115" s="203"/>
      <c r="L115" s="203"/>
      <c r="M115" s="203"/>
    </row>
    <row r="116">
      <c r="A116" s="205">
        <v>14.0</v>
      </c>
      <c r="B116" s="220" t="s">
        <v>1351</v>
      </c>
      <c r="C116" s="223"/>
      <c r="D116" s="224">
        <v>7.70121E9</v>
      </c>
      <c r="E116" s="225"/>
      <c r="F116" s="225"/>
      <c r="G116" s="209" t="s">
        <v>1337</v>
      </c>
      <c r="H116" s="203"/>
      <c r="I116" s="203"/>
      <c r="J116" s="203"/>
      <c r="K116" s="203"/>
      <c r="L116" s="203"/>
      <c r="M116" s="203"/>
    </row>
    <row r="117">
      <c r="A117" s="205">
        <v>15.0</v>
      </c>
      <c r="B117" s="220" t="s">
        <v>1352</v>
      </c>
      <c r="C117" s="223"/>
      <c r="D117" s="224">
        <v>7.701545046E9</v>
      </c>
      <c r="E117" s="225"/>
      <c r="F117" s="225"/>
      <c r="G117" s="209" t="s">
        <v>1337</v>
      </c>
      <c r="H117" s="203"/>
      <c r="I117" s="203"/>
      <c r="J117" s="203"/>
      <c r="K117" s="203"/>
      <c r="L117" s="203"/>
      <c r="M117" s="203"/>
    </row>
    <row r="118">
      <c r="A118" s="205">
        <v>16.0</v>
      </c>
      <c r="B118" s="220" t="s">
        <v>1353</v>
      </c>
      <c r="C118" s="223"/>
      <c r="D118" s="224">
        <v>7.700340606E9</v>
      </c>
      <c r="E118" s="225"/>
      <c r="F118" s="225"/>
      <c r="G118" s="209" t="s">
        <v>1337</v>
      </c>
      <c r="H118" s="203"/>
      <c r="I118" s="203"/>
      <c r="J118" s="203"/>
      <c r="K118" s="203"/>
      <c r="L118" s="203"/>
      <c r="M118" s="203"/>
    </row>
    <row r="119">
      <c r="A119" s="205">
        <v>17.0</v>
      </c>
      <c r="B119" s="220" t="s">
        <v>1354</v>
      </c>
      <c r="C119" s="223"/>
      <c r="D119" s="224">
        <v>7.737721E9</v>
      </c>
      <c r="E119" s="225"/>
      <c r="F119" s="225"/>
      <c r="G119" s="209" t="s">
        <v>1337</v>
      </c>
      <c r="H119" s="203"/>
      <c r="I119" s="203"/>
      <c r="J119" s="203"/>
      <c r="K119" s="203"/>
      <c r="L119" s="203"/>
      <c r="M119" s="203"/>
    </row>
    <row r="120">
      <c r="A120" s="205">
        <v>18.0</v>
      </c>
      <c r="B120" s="220" t="s">
        <v>1355</v>
      </c>
      <c r="C120" s="223"/>
      <c r="D120" s="224">
        <v>7.701648E9</v>
      </c>
      <c r="E120" s="225" t="s">
        <v>1356</v>
      </c>
      <c r="F120" s="225"/>
      <c r="G120" s="209" t="s">
        <v>1337</v>
      </c>
      <c r="H120" s="203"/>
      <c r="I120" s="203"/>
      <c r="J120" s="203"/>
      <c r="K120" s="203"/>
      <c r="L120" s="203"/>
      <c r="M120" s="203"/>
    </row>
    <row r="121">
      <c r="A121" s="205">
        <v>19.0</v>
      </c>
      <c r="B121" s="220" t="s">
        <v>1357</v>
      </c>
      <c r="C121" s="223"/>
      <c r="D121" s="224">
        <v>7.732622161E9</v>
      </c>
      <c r="E121" s="225"/>
      <c r="F121" s="225"/>
      <c r="G121" s="209" t="s">
        <v>1337</v>
      </c>
      <c r="H121" s="203"/>
      <c r="I121" s="203"/>
      <c r="J121" s="203"/>
      <c r="K121" s="203"/>
      <c r="L121" s="203"/>
      <c r="M121" s="203"/>
    </row>
    <row r="122">
      <c r="A122" s="205">
        <v>20.0</v>
      </c>
      <c r="B122" s="220" t="s">
        <v>1358</v>
      </c>
      <c r="C122" s="223"/>
      <c r="D122" s="224">
        <v>7.723364222E9</v>
      </c>
      <c r="E122" s="225"/>
      <c r="F122" s="225"/>
      <c r="G122" s="209" t="s">
        <v>1337</v>
      </c>
      <c r="H122" s="203"/>
      <c r="I122" s="203"/>
      <c r="J122" s="203"/>
      <c r="K122" s="203"/>
      <c r="L122" s="203"/>
      <c r="M122" s="203"/>
    </row>
    <row r="123">
      <c r="A123" s="205">
        <v>21.0</v>
      </c>
      <c r="B123" s="220" t="s">
        <v>1359</v>
      </c>
      <c r="C123" s="223"/>
      <c r="D123" s="224" t="s">
        <v>1360</v>
      </c>
      <c r="E123" s="225"/>
      <c r="F123" s="225"/>
      <c r="G123" s="209" t="s">
        <v>1337</v>
      </c>
      <c r="H123" s="203"/>
      <c r="I123" s="203"/>
      <c r="J123" s="203"/>
      <c r="K123" s="203"/>
      <c r="L123" s="203"/>
      <c r="M123" s="203"/>
    </row>
    <row r="124">
      <c r="A124" s="205">
        <v>22.0</v>
      </c>
      <c r="B124" s="220" t="s">
        <v>1361</v>
      </c>
      <c r="C124" s="223"/>
      <c r="D124" s="224">
        <v>7.716880001E9</v>
      </c>
      <c r="E124" s="225"/>
      <c r="F124" s="225"/>
      <c r="G124" s="209" t="s">
        <v>1337</v>
      </c>
      <c r="H124" s="203"/>
      <c r="I124" s="203"/>
      <c r="J124" s="203"/>
      <c r="K124" s="203"/>
      <c r="L124" s="203"/>
      <c r="M124" s="203"/>
    </row>
    <row r="125">
      <c r="A125" s="205">
        <v>23.0</v>
      </c>
      <c r="B125" s="220" t="s">
        <v>1362</v>
      </c>
      <c r="C125" s="223"/>
      <c r="D125" s="224">
        <v>7.703504242E9</v>
      </c>
      <c r="E125" s="225">
        <v>7.726334343E9</v>
      </c>
      <c r="F125" s="225"/>
      <c r="G125" s="209" t="s">
        <v>1337</v>
      </c>
      <c r="H125" s="203"/>
      <c r="I125" s="203"/>
      <c r="J125" s="203"/>
      <c r="K125" s="203"/>
      <c r="L125" s="203"/>
      <c r="M125" s="203"/>
    </row>
    <row r="126">
      <c r="A126" s="205">
        <v>24.0</v>
      </c>
      <c r="B126" s="220" t="s">
        <v>1363</v>
      </c>
      <c r="C126" s="223"/>
      <c r="D126" s="224">
        <v>7.703664E9</v>
      </c>
      <c r="E126" s="225"/>
      <c r="F126" s="225"/>
      <c r="G126" s="209" t="s">
        <v>1337</v>
      </c>
      <c r="H126" s="203"/>
      <c r="I126" s="203"/>
      <c r="J126" s="203"/>
      <c r="K126" s="203"/>
      <c r="L126" s="203"/>
      <c r="M126" s="203"/>
    </row>
    <row r="127">
      <c r="A127" s="205">
        <v>25.0</v>
      </c>
      <c r="B127" s="220" t="s">
        <v>1364</v>
      </c>
      <c r="C127" s="223"/>
      <c r="D127" s="224">
        <v>7.702988855E9</v>
      </c>
      <c r="E127" s="225">
        <v>7.705065454E9</v>
      </c>
      <c r="F127" s="225"/>
      <c r="G127" s="209" t="s">
        <v>1337</v>
      </c>
      <c r="H127" s="203"/>
      <c r="I127" s="203"/>
      <c r="J127" s="203"/>
      <c r="K127" s="203"/>
      <c r="L127" s="203"/>
      <c r="M127" s="203"/>
    </row>
    <row r="128">
      <c r="A128" s="205">
        <v>26.0</v>
      </c>
      <c r="B128" s="220" t="s">
        <v>1365</v>
      </c>
      <c r="C128" s="223" t="s">
        <v>1366</v>
      </c>
      <c r="D128" s="224" t="s">
        <v>1367</v>
      </c>
      <c r="E128" s="225" t="s">
        <v>1368</v>
      </c>
      <c r="F128" s="225" t="s">
        <v>1369</v>
      </c>
      <c r="G128" s="209" t="s">
        <v>1337</v>
      </c>
      <c r="H128" s="203"/>
      <c r="I128" s="203"/>
      <c r="J128" s="203"/>
      <c r="K128" s="203"/>
      <c r="L128" s="203"/>
      <c r="M128" s="203"/>
    </row>
    <row r="129">
      <c r="A129" s="205">
        <v>27.0</v>
      </c>
      <c r="B129" s="220" t="s">
        <v>1370</v>
      </c>
      <c r="C129" s="223"/>
      <c r="D129" s="223">
        <v>7.701381909E9</v>
      </c>
      <c r="E129" s="225"/>
      <c r="F129" s="225"/>
      <c r="G129" s="209" t="s">
        <v>1337</v>
      </c>
      <c r="H129" s="203"/>
      <c r="I129" s="203"/>
      <c r="J129" s="203"/>
      <c r="K129" s="203"/>
      <c r="L129" s="203"/>
      <c r="M129" s="203"/>
    </row>
    <row r="130">
      <c r="A130" s="205">
        <v>28.0</v>
      </c>
      <c r="B130" s="220" t="s">
        <v>1371</v>
      </c>
      <c r="C130" s="223"/>
      <c r="D130" s="220">
        <v>7.704557575E9</v>
      </c>
      <c r="E130" s="225"/>
      <c r="F130" s="225" t="s">
        <v>1372</v>
      </c>
      <c r="G130" s="209" t="s">
        <v>1337</v>
      </c>
      <c r="H130" s="203"/>
      <c r="I130" s="203"/>
      <c r="J130" s="203"/>
      <c r="K130" s="203"/>
      <c r="L130" s="203"/>
      <c r="M130" s="203"/>
    </row>
    <row r="131">
      <c r="A131" s="205">
        <v>29.0</v>
      </c>
      <c r="B131" s="220" t="s">
        <v>1373</v>
      </c>
      <c r="C131" s="223"/>
      <c r="D131" s="224">
        <v>7.701447725E9</v>
      </c>
      <c r="E131" s="225"/>
      <c r="F131" s="225"/>
      <c r="G131" s="209" t="s">
        <v>1337</v>
      </c>
      <c r="H131" s="203"/>
      <c r="I131" s="203"/>
      <c r="J131" s="203"/>
      <c r="K131" s="203"/>
      <c r="L131" s="203"/>
      <c r="M131" s="203"/>
    </row>
    <row r="132">
      <c r="A132" s="205">
        <v>30.0</v>
      </c>
      <c r="B132" s="220" t="s">
        <v>1374</v>
      </c>
      <c r="C132" s="223"/>
      <c r="D132" s="224">
        <v>7.71588303E9</v>
      </c>
      <c r="E132" s="225"/>
      <c r="F132" s="225"/>
      <c r="G132" s="209" t="s">
        <v>1337</v>
      </c>
      <c r="H132" s="203"/>
      <c r="I132" s="203"/>
      <c r="J132" s="203"/>
      <c r="K132" s="203"/>
      <c r="L132" s="203"/>
      <c r="M132" s="203"/>
    </row>
    <row r="133">
      <c r="A133" s="205">
        <v>31.0</v>
      </c>
      <c r="B133" s="220" t="s">
        <v>1375</v>
      </c>
      <c r="C133" s="223"/>
      <c r="D133" s="224">
        <v>7.748003221E9</v>
      </c>
      <c r="E133" s="225"/>
      <c r="F133" s="225"/>
      <c r="G133" s="209" t="s">
        <v>1337</v>
      </c>
      <c r="H133" s="203"/>
      <c r="I133" s="203"/>
      <c r="J133" s="203"/>
      <c r="K133" s="203"/>
      <c r="L133" s="203"/>
      <c r="M133" s="203"/>
    </row>
    <row r="134">
      <c r="A134" s="205">
        <v>32.0</v>
      </c>
      <c r="B134" s="220" t="s">
        <v>1376</v>
      </c>
      <c r="C134" s="223" t="s">
        <v>1377</v>
      </c>
      <c r="D134" s="224">
        <v>7.701454646E9</v>
      </c>
      <c r="E134" s="225"/>
      <c r="F134" s="225" t="s">
        <v>1378</v>
      </c>
      <c r="G134" s="209" t="s">
        <v>1337</v>
      </c>
      <c r="H134" s="203"/>
      <c r="I134" s="203"/>
      <c r="J134" s="203"/>
      <c r="K134" s="203"/>
      <c r="L134" s="203"/>
      <c r="M134" s="203"/>
    </row>
    <row r="135">
      <c r="A135" s="205">
        <v>33.0</v>
      </c>
      <c r="B135" s="220" t="s">
        <v>1379</v>
      </c>
      <c r="C135" s="223"/>
      <c r="D135" s="224">
        <v>7.701528828E9</v>
      </c>
      <c r="E135" s="225"/>
      <c r="F135" s="225"/>
      <c r="G135" s="209" t="s">
        <v>1337</v>
      </c>
      <c r="H135" s="203"/>
      <c r="I135" s="203"/>
      <c r="J135" s="203"/>
      <c r="K135" s="203"/>
      <c r="L135" s="203"/>
      <c r="M135" s="203"/>
    </row>
    <row r="136">
      <c r="A136" s="205">
        <v>34.0</v>
      </c>
      <c r="B136" s="220" t="s">
        <v>1380</v>
      </c>
      <c r="C136" s="223"/>
      <c r="D136" s="224">
        <v>7.702189992E9</v>
      </c>
      <c r="E136" s="225"/>
      <c r="F136" s="225"/>
      <c r="G136" s="209" t="s">
        <v>1337</v>
      </c>
      <c r="H136" s="203"/>
      <c r="I136" s="203"/>
      <c r="J136" s="203"/>
      <c r="K136" s="203"/>
      <c r="L136" s="203"/>
      <c r="M136" s="203"/>
    </row>
    <row r="137">
      <c r="A137" s="205">
        <v>35.0</v>
      </c>
      <c r="B137" s="220" t="s">
        <v>1381</v>
      </c>
      <c r="C137" s="223"/>
      <c r="D137" s="224">
        <v>7.710724545E9</v>
      </c>
      <c r="E137" s="225" t="s">
        <v>1382</v>
      </c>
      <c r="F137" s="225"/>
      <c r="G137" s="209" t="s">
        <v>1337</v>
      </c>
      <c r="H137" s="203"/>
      <c r="I137" s="203"/>
      <c r="J137" s="203"/>
      <c r="K137" s="203"/>
      <c r="L137" s="203"/>
      <c r="M137" s="203"/>
    </row>
    <row r="138">
      <c r="A138" s="205">
        <v>36.0</v>
      </c>
      <c r="B138" s="220" t="s">
        <v>1383</v>
      </c>
      <c r="C138" s="223"/>
      <c r="D138" s="224">
        <v>7.701234944E9</v>
      </c>
      <c r="E138" s="225"/>
      <c r="F138" s="225"/>
      <c r="G138" s="209" t="s">
        <v>1337</v>
      </c>
      <c r="H138" s="203"/>
      <c r="I138" s="203"/>
      <c r="J138" s="203"/>
      <c r="K138" s="203"/>
      <c r="L138" s="203"/>
      <c r="M138" s="203"/>
    </row>
    <row r="139">
      <c r="A139" s="205">
        <v>37.0</v>
      </c>
      <c r="B139" s="220" t="s">
        <v>1384</v>
      </c>
      <c r="C139" s="223"/>
      <c r="D139" s="224">
        <v>7.735455055E9</v>
      </c>
      <c r="E139" s="225"/>
      <c r="F139" s="225"/>
      <c r="G139" s="209" t="s">
        <v>1337</v>
      </c>
      <c r="H139" s="203"/>
      <c r="I139" s="203"/>
      <c r="J139" s="203"/>
      <c r="K139" s="203"/>
      <c r="L139" s="203"/>
      <c r="M139" s="203"/>
    </row>
    <row r="140">
      <c r="A140" s="205">
        <v>38.0</v>
      </c>
      <c r="B140" s="220" t="s">
        <v>1385</v>
      </c>
      <c r="C140" s="223"/>
      <c r="D140" s="224">
        <v>7.709103132E9</v>
      </c>
      <c r="E140" s="225"/>
      <c r="F140" s="225"/>
      <c r="G140" s="209" t="s">
        <v>1337</v>
      </c>
      <c r="H140" s="203"/>
      <c r="I140" s="203"/>
      <c r="J140" s="203"/>
      <c r="K140" s="203"/>
      <c r="L140" s="203"/>
      <c r="M140" s="203"/>
    </row>
    <row r="141">
      <c r="A141" s="205">
        <v>39.0</v>
      </c>
      <c r="B141" s="220" t="s">
        <v>1386</v>
      </c>
      <c r="C141" s="223"/>
      <c r="D141" s="224">
        <v>7.725430488E9</v>
      </c>
      <c r="E141" s="225"/>
      <c r="F141" s="225"/>
      <c r="G141" s="209" t="s">
        <v>1337</v>
      </c>
      <c r="H141" s="203"/>
      <c r="I141" s="203"/>
      <c r="J141" s="203"/>
      <c r="K141" s="203"/>
      <c r="L141" s="203"/>
      <c r="M141" s="203"/>
    </row>
    <row r="142">
      <c r="A142" s="205">
        <v>40.0</v>
      </c>
      <c r="B142" s="220" t="s">
        <v>1387</v>
      </c>
      <c r="C142" s="223"/>
      <c r="D142" s="224">
        <v>7.704260101E9</v>
      </c>
      <c r="E142" s="225"/>
      <c r="F142" s="225"/>
      <c r="G142" s="209" t="s">
        <v>1337</v>
      </c>
      <c r="H142" s="203"/>
      <c r="I142" s="203"/>
      <c r="J142" s="203"/>
      <c r="K142" s="203"/>
      <c r="L142" s="203"/>
      <c r="M142" s="203"/>
    </row>
    <row r="143">
      <c r="A143" s="205">
        <v>41.0</v>
      </c>
      <c r="B143" s="220" t="s">
        <v>1388</v>
      </c>
      <c r="C143" s="223"/>
      <c r="D143" s="224">
        <v>7.709400707E9</v>
      </c>
      <c r="E143" s="225"/>
      <c r="F143" s="225"/>
      <c r="G143" s="209" t="s">
        <v>1337</v>
      </c>
      <c r="H143" s="203"/>
      <c r="I143" s="203"/>
      <c r="J143" s="203"/>
      <c r="K143" s="203"/>
      <c r="L143" s="203"/>
      <c r="M143" s="203"/>
    </row>
    <row r="144">
      <c r="A144" s="205">
        <v>42.0</v>
      </c>
      <c r="B144" s="220" t="s">
        <v>1389</v>
      </c>
      <c r="C144" s="223"/>
      <c r="D144" s="224">
        <v>7.701595275E9</v>
      </c>
      <c r="E144" s="225"/>
      <c r="F144" s="225"/>
      <c r="G144" s="209" t="s">
        <v>1337</v>
      </c>
      <c r="H144" s="203"/>
      <c r="I144" s="203"/>
      <c r="J144" s="203"/>
      <c r="K144" s="203"/>
      <c r="L144" s="203"/>
      <c r="M144" s="203"/>
    </row>
    <row r="145">
      <c r="A145" s="205">
        <v>43.0</v>
      </c>
      <c r="B145" s="220" t="s">
        <v>1390</v>
      </c>
      <c r="C145" s="223"/>
      <c r="D145" s="224">
        <v>7.700297272E9</v>
      </c>
      <c r="E145" s="225"/>
      <c r="F145" s="225"/>
      <c r="G145" s="209" t="s">
        <v>1337</v>
      </c>
      <c r="H145" s="203"/>
      <c r="I145" s="203"/>
      <c r="J145" s="203"/>
      <c r="K145" s="203"/>
      <c r="L145" s="203"/>
      <c r="M145" s="203"/>
    </row>
    <row r="146">
      <c r="A146" s="205">
        <v>44.0</v>
      </c>
      <c r="B146" s="220" t="s">
        <v>1391</v>
      </c>
      <c r="C146" s="223"/>
      <c r="D146" s="224">
        <v>7.717702872E9</v>
      </c>
      <c r="E146" s="225"/>
      <c r="F146" s="225"/>
      <c r="G146" s="209" t="s">
        <v>1337</v>
      </c>
      <c r="H146" s="203"/>
      <c r="I146" s="203"/>
      <c r="J146" s="203"/>
      <c r="K146" s="203"/>
      <c r="L146" s="203"/>
      <c r="M146" s="203"/>
    </row>
    <row r="147">
      <c r="A147" s="205"/>
      <c r="B147" s="223" t="s">
        <v>1392</v>
      </c>
      <c r="C147" s="223"/>
      <c r="D147" s="223">
        <v>7.701464445E9</v>
      </c>
      <c r="E147" s="225"/>
      <c r="F147" s="225"/>
      <c r="G147" s="209"/>
      <c r="H147" s="203"/>
      <c r="I147" s="203"/>
      <c r="J147" s="203"/>
      <c r="K147" s="203"/>
      <c r="L147" s="203"/>
      <c r="M147" s="203"/>
    </row>
    <row r="148">
      <c r="A148" s="205"/>
      <c r="B148" s="223" t="s">
        <v>1393</v>
      </c>
      <c r="C148" s="223"/>
      <c r="D148" s="223" t="s">
        <v>1394</v>
      </c>
      <c r="E148" s="225" t="s">
        <v>1395</v>
      </c>
      <c r="F148" s="229" t="s">
        <v>1396</v>
      </c>
      <c r="G148" s="209"/>
      <c r="H148" s="203"/>
      <c r="I148" s="203"/>
      <c r="J148" s="203"/>
      <c r="K148" s="203"/>
      <c r="L148" s="203"/>
      <c r="M148" s="203"/>
    </row>
    <row r="149">
      <c r="A149" s="205">
        <v>45.0</v>
      </c>
      <c r="B149" s="220" t="s">
        <v>1397</v>
      </c>
      <c r="C149" s="223"/>
      <c r="D149" s="224">
        <v>7.748147555E9</v>
      </c>
      <c r="E149" s="225">
        <v>7.507685391E9</v>
      </c>
      <c r="F149" s="225"/>
      <c r="G149" s="209" t="s">
        <v>1337</v>
      </c>
      <c r="H149" s="203"/>
      <c r="I149" s="203"/>
      <c r="J149" s="203"/>
      <c r="K149" s="203"/>
      <c r="L149" s="203"/>
      <c r="M149" s="203"/>
    </row>
    <row r="150">
      <c r="A150" s="205">
        <v>46.0</v>
      </c>
      <c r="B150" s="230"/>
      <c r="C150" s="230"/>
      <c r="D150" s="230"/>
      <c r="E150" s="231" t="s">
        <v>1398</v>
      </c>
      <c r="F150" s="231"/>
      <c r="G150" s="231"/>
      <c r="H150" s="203"/>
      <c r="I150" s="203"/>
      <c r="J150" s="203"/>
      <c r="K150" s="203"/>
      <c r="L150" s="203"/>
      <c r="M150" s="203"/>
    </row>
    <row r="151">
      <c r="A151" s="205">
        <v>47.0</v>
      </c>
      <c r="B151" s="224" t="s">
        <v>1399</v>
      </c>
      <c r="C151" s="223"/>
      <c r="D151" s="224">
        <v>7.508986001E9</v>
      </c>
      <c r="E151" s="225"/>
      <c r="F151" s="225"/>
      <c r="G151" s="225" t="s">
        <v>1400</v>
      </c>
      <c r="H151" s="203"/>
      <c r="I151" s="203"/>
      <c r="J151" s="203"/>
      <c r="K151" s="203"/>
      <c r="L151" s="203"/>
      <c r="M151" s="203"/>
    </row>
    <row r="152">
      <c r="A152" s="205">
        <v>48.0</v>
      </c>
      <c r="B152" s="224" t="s">
        <v>1401</v>
      </c>
      <c r="C152" s="223"/>
      <c r="D152" s="224" t="s">
        <v>1402</v>
      </c>
      <c r="E152" s="225"/>
      <c r="F152" s="225"/>
      <c r="G152" s="225" t="s">
        <v>1400</v>
      </c>
      <c r="H152" s="203"/>
      <c r="I152" s="203"/>
      <c r="J152" s="203"/>
      <c r="K152" s="203"/>
      <c r="L152" s="203"/>
      <c r="M152" s="203"/>
    </row>
    <row r="153">
      <c r="A153" s="205">
        <v>49.0</v>
      </c>
      <c r="B153" s="224" t="s">
        <v>1403</v>
      </c>
      <c r="C153" s="223"/>
      <c r="D153" s="224">
        <v>7.502229599E9</v>
      </c>
      <c r="E153" s="225"/>
      <c r="F153" s="225"/>
      <c r="G153" s="225" t="s">
        <v>1400</v>
      </c>
      <c r="H153" s="203"/>
      <c r="I153" s="203"/>
      <c r="J153" s="203"/>
      <c r="K153" s="203"/>
      <c r="L153" s="203"/>
      <c r="M153" s="203"/>
    </row>
    <row r="154">
      <c r="A154" s="205">
        <v>50.0</v>
      </c>
      <c r="B154" s="224" t="s">
        <v>1404</v>
      </c>
      <c r="C154" s="223"/>
      <c r="D154" s="224">
        <v>7.504590001E9</v>
      </c>
      <c r="E154" s="225"/>
      <c r="F154" s="225"/>
      <c r="G154" s="225" t="s">
        <v>1400</v>
      </c>
      <c r="H154" s="203"/>
      <c r="I154" s="203"/>
      <c r="J154" s="203"/>
      <c r="K154" s="203"/>
      <c r="L154" s="203"/>
      <c r="M154" s="203"/>
    </row>
    <row r="155">
      <c r="A155" s="205"/>
      <c r="B155" s="224" t="s">
        <v>1405</v>
      </c>
      <c r="C155" s="223"/>
      <c r="D155" s="223"/>
      <c r="E155" s="225"/>
      <c r="F155" s="225"/>
      <c r="G155" s="225"/>
      <c r="H155" s="203"/>
      <c r="I155" s="203"/>
      <c r="J155" s="203"/>
      <c r="K155" s="203"/>
      <c r="L155" s="203"/>
      <c r="M155" s="203"/>
    </row>
    <row r="156">
      <c r="A156" s="205">
        <v>51.0</v>
      </c>
      <c r="B156" s="224" t="s">
        <v>1406</v>
      </c>
      <c r="C156" s="223"/>
      <c r="D156" s="224">
        <v>7.50500066E9</v>
      </c>
      <c r="E156" s="225"/>
      <c r="F156" s="225"/>
      <c r="G156" s="225" t="s">
        <v>1400</v>
      </c>
      <c r="H156" s="203"/>
      <c r="I156" s="203"/>
      <c r="J156" s="203"/>
      <c r="K156" s="203"/>
      <c r="L156" s="203"/>
      <c r="M156" s="203"/>
    </row>
    <row r="157">
      <c r="A157" s="205">
        <v>52.0</v>
      </c>
      <c r="B157" s="224" t="s">
        <v>1407</v>
      </c>
      <c r="C157" s="223"/>
      <c r="D157" s="224">
        <v>7.50669696E9</v>
      </c>
      <c r="E157" s="225"/>
      <c r="F157" s="225"/>
      <c r="G157" s="225" t="s">
        <v>1400</v>
      </c>
      <c r="H157" s="203"/>
      <c r="I157" s="203"/>
      <c r="J157" s="203"/>
      <c r="K157" s="203"/>
      <c r="L157" s="203"/>
      <c r="M157" s="203"/>
    </row>
    <row r="158">
      <c r="A158" s="205">
        <v>53.0</v>
      </c>
      <c r="B158" s="224" t="s">
        <v>1408</v>
      </c>
      <c r="C158" s="223"/>
      <c r="D158" s="224">
        <v>7.506112428E9</v>
      </c>
      <c r="E158" s="225"/>
      <c r="F158" s="225"/>
      <c r="G158" s="225" t="s">
        <v>1400</v>
      </c>
      <c r="H158" s="203"/>
      <c r="I158" s="203"/>
      <c r="J158" s="203"/>
      <c r="K158" s="203"/>
      <c r="L158" s="203"/>
      <c r="M158" s="203"/>
    </row>
    <row r="159">
      <c r="A159" s="205"/>
      <c r="B159" s="224" t="s">
        <v>1409</v>
      </c>
      <c r="C159" s="223"/>
      <c r="D159" s="224"/>
      <c r="E159" s="225"/>
      <c r="F159" s="225"/>
      <c r="G159" s="225"/>
      <c r="H159" s="203"/>
      <c r="I159" s="203"/>
      <c r="J159" s="203"/>
      <c r="K159" s="203"/>
      <c r="L159" s="203"/>
      <c r="M159" s="203"/>
    </row>
    <row r="160">
      <c r="A160" s="205">
        <v>54.0</v>
      </c>
      <c r="B160" s="224" t="s">
        <v>1410</v>
      </c>
      <c r="C160" s="223"/>
      <c r="D160" s="224">
        <v>7.507100238E9</v>
      </c>
      <c r="E160" s="225"/>
      <c r="F160" s="225"/>
      <c r="G160" s="225" t="s">
        <v>1400</v>
      </c>
      <c r="H160" s="203"/>
      <c r="I160" s="203"/>
      <c r="J160" s="203"/>
      <c r="K160" s="203"/>
      <c r="L160" s="203"/>
      <c r="M160" s="203"/>
    </row>
    <row r="161">
      <c r="A161" s="205">
        <v>55.0</v>
      </c>
      <c r="B161" s="224" t="s">
        <v>1411</v>
      </c>
      <c r="C161" s="223"/>
      <c r="D161" s="224">
        <v>7.504457187E9</v>
      </c>
      <c r="E161" s="225"/>
      <c r="F161" s="225"/>
      <c r="G161" s="225" t="s">
        <v>1400</v>
      </c>
      <c r="H161" s="203"/>
      <c r="I161" s="203"/>
      <c r="J161" s="203"/>
      <c r="K161" s="203"/>
      <c r="L161" s="203"/>
      <c r="M161" s="203"/>
    </row>
    <row r="162">
      <c r="A162" s="205">
        <v>56.0</v>
      </c>
      <c r="B162" s="224" t="s">
        <v>1412</v>
      </c>
      <c r="C162" s="223"/>
      <c r="D162" s="224">
        <v>7.504735856E9</v>
      </c>
      <c r="E162" s="225"/>
      <c r="F162" s="225"/>
      <c r="G162" s="225" t="s">
        <v>1400</v>
      </c>
      <c r="H162" s="203"/>
      <c r="I162" s="203"/>
      <c r="J162" s="203"/>
      <c r="K162" s="203"/>
      <c r="L162" s="203"/>
      <c r="M162" s="203"/>
    </row>
    <row r="163">
      <c r="A163" s="205">
        <v>57.0</v>
      </c>
      <c r="B163" s="224" t="s">
        <v>1413</v>
      </c>
      <c r="C163" s="223"/>
      <c r="D163" s="224">
        <v>7.501923001E9</v>
      </c>
      <c r="E163" s="225"/>
      <c r="F163" s="225"/>
      <c r="G163" s="225" t="s">
        <v>1400</v>
      </c>
      <c r="H163" s="203"/>
      <c r="I163" s="203"/>
      <c r="J163" s="203"/>
      <c r="K163" s="203"/>
      <c r="L163" s="203"/>
      <c r="M163" s="203"/>
    </row>
    <row r="164">
      <c r="A164" s="205">
        <v>58.0</v>
      </c>
      <c r="B164" s="224" t="s">
        <v>1414</v>
      </c>
      <c r="C164" s="223"/>
      <c r="D164" s="224">
        <v>7.504589997E9</v>
      </c>
      <c r="E164" s="225"/>
      <c r="F164" s="225"/>
      <c r="G164" s="225" t="s">
        <v>1400</v>
      </c>
      <c r="H164" s="203"/>
      <c r="I164" s="203"/>
      <c r="J164" s="203"/>
      <c r="K164" s="203"/>
      <c r="L164" s="203"/>
      <c r="M164" s="203"/>
    </row>
    <row r="165">
      <c r="A165" s="205">
        <v>59.0</v>
      </c>
      <c r="B165" s="224" t="s">
        <v>1415</v>
      </c>
      <c r="C165" s="223"/>
      <c r="D165" s="224">
        <v>7.508372328E9</v>
      </c>
      <c r="E165" s="225"/>
      <c r="F165" s="225"/>
      <c r="G165" s="225" t="s">
        <v>1400</v>
      </c>
      <c r="H165" s="203"/>
      <c r="I165" s="203"/>
      <c r="J165" s="203"/>
      <c r="K165" s="203"/>
      <c r="L165" s="203"/>
      <c r="M165" s="203"/>
    </row>
    <row r="166">
      <c r="A166" s="205">
        <v>60.0</v>
      </c>
      <c r="B166" s="224" t="s">
        <v>1416</v>
      </c>
      <c r="C166" s="223"/>
      <c r="D166" s="224">
        <v>7.503008004E9</v>
      </c>
      <c r="E166" s="225"/>
      <c r="F166" s="225"/>
      <c r="G166" s="225" t="s">
        <v>1400</v>
      </c>
      <c r="H166" s="203"/>
      <c r="I166" s="203"/>
      <c r="J166" s="203"/>
      <c r="K166" s="203"/>
      <c r="L166" s="203"/>
      <c r="M166" s="203"/>
    </row>
    <row r="167">
      <c r="A167" s="205">
        <v>61.0</v>
      </c>
      <c r="B167" s="224" t="s">
        <v>1417</v>
      </c>
      <c r="C167" s="223"/>
      <c r="D167" s="223"/>
      <c r="E167" s="225"/>
      <c r="F167" s="225"/>
      <c r="G167" s="225" t="s">
        <v>1400</v>
      </c>
      <c r="H167" s="203"/>
      <c r="I167" s="203"/>
      <c r="J167" s="203"/>
      <c r="K167" s="203"/>
      <c r="L167" s="203"/>
      <c r="M167" s="203"/>
    </row>
    <row r="168">
      <c r="A168" s="205">
        <v>62.0</v>
      </c>
      <c r="B168" s="224" t="s">
        <v>1418</v>
      </c>
      <c r="C168" s="223"/>
      <c r="D168" s="224">
        <v>7.714448118E9</v>
      </c>
      <c r="E168" s="225"/>
      <c r="F168" s="225"/>
      <c r="G168" s="225" t="s">
        <v>1400</v>
      </c>
      <c r="H168" s="203"/>
      <c r="I168" s="203"/>
      <c r="J168" s="203"/>
      <c r="K168" s="203"/>
      <c r="L168" s="203"/>
      <c r="M168" s="203"/>
    </row>
    <row r="169">
      <c r="A169" s="205">
        <v>63.0</v>
      </c>
      <c r="B169" s="224" t="s">
        <v>1419</v>
      </c>
      <c r="C169" s="223"/>
      <c r="D169" s="224">
        <v>7.504796463E9</v>
      </c>
      <c r="E169" s="225"/>
      <c r="F169" s="225"/>
      <c r="G169" s="225" t="s">
        <v>1400</v>
      </c>
      <c r="H169" s="203"/>
      <c r="I169" s="203"/>
      <c r="J169" s="203"/>
      <c r="K169" s="203"/>
      <c r="L169" s="203"/>
      <c r="M169" s="203"/>
    </row>
    <row r="170">
      <c r="A170" s="205">
        <v>64.0</v>
      </c>
      <c r="B170" s="224" t="s">
        <v>1420</v>
      </c>
      <c r="C170" s="223"/>
      <c r="D170" s="223">
        <v>7.504111181E9</v>
      </c>
      <c r="E170" s="225"/>
      <c r="F170" s="225"/>
      <c r="G170" s="225" t="s">
        <v>1400</v>
      </c>
      <c r="H170" s="203"/>
      <c r="I170" s="203"/>
      <c r="J170" s="203"/>
      <c r="K170" s="203"/>
      <c r="L170" s="203"/>
      <c r="M170" s="203"/>
    </row>
    <row r="171">
      <c r="A171" s="205">
        <v>65.0</v>
      </c>
      <c r="B171" s="224" t="s">
        <v>1421</v>
      </c>
      <c r="C171" s="223"/>
      <c r="D171" s="224">
        <v>7.507584222E9</v>
      </c>
      <c r="E171" s="225"/>
      <c r="F171" s="225"/>
      <c r="G171" s="225" t="s">
        <v>1400</v>
      </c>
      <c r="H171" s="203"/>
      <c r="I171" s="203"/>
      <c r="J171" s="203"/>
      <c r="K171" s="203"/>
      <c r="L171" s="203"/>
      <c r="M171" s="203"/>
    </row>
    <row r="172">
      <c r="A172" s="205">
        <v>66.0</v>
      </c>
      <c r="B172" s="224" t="s">
        <v>1422</v>
      </c>
      <c r="C172" s="223"/>
      <c r="D172" s="224">
        <v>7.503134502E9</v>
      </c>
      <c r="E172" s="225"/>
      <c r="F172" s="225"/>
      <c r="G172" s="225" t="s">
        <v>1400</v>
      </c>
      <c r="H172" s="203"/>
      <c r="I172" s="203"/>
      <c r="J172" s="203"/>
      <c r="K172" s="203"/>
      <c r="L172" s="203"/>
      <c r="M172" s="203"/>
    </row>
    <row r="173">
      <c r="A173" s="205">
        <v>67.0</v>
      </c>
      <c r="B173" s="224" t="s">
        <v>1423</v>
      </c>
      <c r="C173" s="223"/>
      <c r="D173" s="224">
        <v>7.505459797E9</v>
      </c>
      <c r="E173" s="225"/>
      <c r="F173" s="225"/>
      <c r="G173" s="225" t="s">
        <v>1400</v>
      </c>
      <c r="H173" s="203"/>
      <c r="I173" s="203"/>
      <c r="J173" s="203"/>
      <c r="K173" s="203"/>
      <c r="L173" s="203"/>
      <c r="M173" s="203"/>
    </row>
    <row r="174">
      <c r="A174" s="205">
        <v>68.0</v>
      </c>
      <c r="B174" s="224" t="s">
        <v>1424</v>
      </c>
      <c r="C174" s="223"/>
      <c r="D174" s="224">
        <v>7.506663141E9</v>
      </c>
      <c r="E174" s="225"/>
      <c r="F174" s="225"/>
      <c r="G174" s="225" t="s">
        <v>1400</v>
      </c>
      <c r="H174" s="203"/>
      <c r="I174" s="203"/>
      <c r="J174" s="203"/>
      <c r="K174" s="203"/>
      <c r="L174" s="203"/>
      <c r="M174" s="203"/>
    </row>
    <row r="175">
      <c r="A175" s="205">
        <v>69.0</v>
      </c>
      <c r="B175" s="224" t="s">
        <v>1425</v>
      </c>
      <c r="C175" s="223"/>
      <c r="D175" s="224">
        <v>7.504639281E9</v>
      </c>
      <c r="E175" s="225"/>
      <c r="F175" s="225"/>
      <c r="G175" s="225" t="s">
        <v>1400</v>
      </c>
      <c r="H175" s="203"/>
      <c r="I175" s="203"/>
      <c r="J175" s="203"/>
      <c r="K175" s="203"/>
      <c r="L175" s="203"/>
      <c r="M175" s="203"/>
    </row>
    <row r="176">
      <c r="A176" s="205">
        <v>70.0</v>
      </c>
      <c r="B176" s="224" t="s">
        <v>1426</v>
      </c>
      <c r="C176" s="223"/>
      <c r="D176" s="224">
        <v>7.508314116E9</v>
      </c>
      <c r="E176" s="225"/>
      <c r="F176" s="225"/>
      <c r="G176" s="225" t="s">
        <v>1400</v>
      </c>
      <c r="H176" s="203"/>
      <c r="I176" s="203"/>
      <c r="J176" s="203"/>
      <c r="K176" s="203"/>
      <c r="L176" s="203"/>
      <c r="M176" s="203"/>
    </row>
    <row r="177">
      <c r="A177" s="205">
        <v>71.0</v>
      </c>
      <c r="B177" s="224" t="s">
        <v>1427</v>
      </c>
      <c r="C177" s="223"/>
      <c r="D177" s="224">
        <v>7.504571176E9</v>
      </c>
      <c r="E177" s="225"/>
      <c r="F177" s="225"/>
      <c r="G177" s="225" t="s">
        <v>1400</v>
      </c>
      <c r="H177" s="203"/>
      <c r="I177" s="203"/>
      <c r="J177" s="203"/>
      <c r="K177" s="203"/>
      <c r="L177" s="203"/>
      <c r="M177" s="203"/>
    </row>
    <row r="178">
      <c r="A178" s="205"/>
      <c r="B178" s="223"/>
      <c r="C178" s="223"/>
      <c r="D178" s="223"/>
      <c r="E178" s="225"/>
      <c r="F178" s="225"/>
      <c r="G178" s="225"/>
      <c r="H178" s="203"/>
      <c r="I178" s="203"/>
      <c r="J178" s="203"/>
      <c r="K178" s="203"/>
      <c r="L178" s="203"/>
      <c r="M178" s="203"/>
    </row>
    <row r="179">
      <c r="A179" s="205">
        <v>72.0</v>
      </c>
      <c r="B179" s="232" t="s">
        <v>1428</v>
      </c>
      <c r="C179" s="53"/>
      <c r="D179" s="53"/>
      <c r="E179" s="53"/>
      <c r="F179" s="53"/>
      <c r="G179" s="202"/>
      <c r="H179" s="203"/>
      <c r="I179" s="203"/>
      <c r="J179" s="203"/>
      <c r="K179" s="203"/>
      <c r="L179" s="203"/>
      <c r="M179" s="203"/>
    </row>
    <row r="180">
      <c r="A180" s="205">
        <v>73.0</v>
      </c>
      <c r="B180" s="223" t="s">
        <v>1429</v>
      </c>
      <c r="C180" s="223"/>
      <c r="D180" s="223">
        <v>7.801001332E9</v>
      </c>
      <c r="E180" s="225"/>
      <c r="F180" s="225" t="s">
        <v>1430</v>
      </c>
      <c r="G180" s="225"/>
      <c r="H180" s="203"/>
      <c r="I180" s="203"/>
      <c r="J180" s="203"/>
      <c r="K180" s="203"/>
      <c r="L180" s="203"/>
      <c r="M180" s="203"/>
    </row>
    <row r="181">
      <c r="A181" s="205">
        <v>74.0</v>
      </c>
      <c r="B181" s="223" t="s">
        <v>1431</v>
      </c>
      <c r="C181" s="223"/>
      <c r="D181" s="223">
        <v>7.757399929E9</v>
      </c>
      <c r="E181" s="225"/>
      <c r="F181" s="225" t="s">
        <v>1430</v>
      </c>
      <c r="G181" s="225"/>
      <c r="H181" s="203"/>
      <c r="I181" s="203"/>
      <c r="J181" s="203"/>
      <c r="K181" s="203"/>
      <c r="L181" s="203"/>
      <c r="M181" s="203"/>
    </row>
    <row r="182">
      <c r="A182" s="205">
        <v>75.0</v>
      </c>
      <c r="B182" s="233" t="s">
        <v>1432</v>
      </c>
      <c r="C182" s="223"/>
      <c r="D182" s="223">
        <v>7.708097012E9</v>
      </c>
      <c r="E182" s="225"/>
      <c r="F182" s="225" t="s">
        <v>1430</v>
      </c>
      <c r="G182" s="225"/>
      <c r="H182" s="203"/>
      <c r="I182" s="203"/>
      <c r="J182" s="203"/>
      <c r="K182" s="203"/>
      <c r="L182" s="203"/>
      <c r="M182" s="203"/>
    </row>
    <row r="183">
      <c r="A183" s="205">
        <v>76.0</v>
      </c>
      <c r="B183" s="223" t="s">
        <v>1433</v>
      </c>
      <c r="C183" s="223"/>
      <c r="D183" s="223">
        <v>7.735578757E9</v>
      </c>
      <c r="E183" s="225"/>
      <c r="F183" s="225" t="s">
        <v>1430</v>
      </c>
      <c r="G183" s="225"/>
      <c r="H183" s="203"/>
      <c r="I183" s="203"/>
      <c r="J183" s="203"/>
      <c r="K183" s="203"/>
      <c r="L183" s="203"/>
      <c r="M183" s="203"/>
    </row>
    <row r="184">
      <c r="A184" s="205">
        <v>77.0</v>
      </c>
      <c r="B184" s="223" t="s">
        <v>1434</v>
      </c>
      <c r="C184" s="223"/>
      <c r="D184" s="223">
        <v>7.829003333E9</v>
      </c>
      <c r="E184" s="225"/>
      <c r="F184" s="225"/>
      <c r="G184" s="225"/>
      <c r="H184" s="203"/>
      <c r="I184" s="203"/>
      <c r="J184" s="203"/>
      <c r="K184" s="203"/>
      <c r="L184" s="203"/>
      <c r="M184" s="203"/>
    </row>
    <row r="185">
      <c r="A185" s="205">
        <v>78.0</v>
      </c>
      <c r="B185" s="223" t="s">
        <v>1435</v>
      </c>
      <c r="C185" s="223"/>
      <c r="D185" s="223">
        <v>7.717566669E9</v>
      </c>
      <c r="E185" s="225"/>
      <c r="F185" s="225"/>
      <c r="G185" s="225"/>
      <c r="H185" s="203"/>
      <c r="I185" s="203"/>
      <c r="J185" s="203"/>
      <c r="K185" s="203"/>
      <c r="L185" s="203"/>
      <c r="M185" s="203"/>
    </row>
    <row r="186">
      <c r="A186" s="205">
        <v>79.0</v>
      </c>
      <c r="B186" s="234" t="s">
        <v>1436</v>
      </c>
      <c r="C186" s="223"/>
      <c r="D186" s="223">
        <v>6776.0</v>
      </c>
      <c r="E186" s="235" t="s">
        <v>1254</v>
      </c>
      <c r="F186" s="235"/>
      <c r="G186" s="225" t="s">
        <v>1437</v>
      </c>
      <c r="H186" s="203"/>
      <c r="I186" s="203"/>
      <c r="J186" s="203"/>
      <c r="K186" s="203"/>
      <c r="L186" s="203"/>
      <c r="M186" s="203"/>
    </row>
    <row r="187">
      <c r="A187" s="205">
        <v>80.0</v>
      </c>
      <c r="B187" s="234" t="s">
        <v>1438</v>
      </c>
      <c r="C187" s="223"/>
      <c r="D187" s="223"/>
      <c r="E187" s="225"/>
      <c r="F187" s="225"/>
      <c r="G187" s="225"/>
      <c r="H187" s="203"/>
      <c r="I187" s="203"/>
      <c r="J187" s="203"/>
      <c r="K187" s="203"/>
      <c r="L187" s="203"/>
      <c r="M187" s="203"/>
    </row>
    <row r="188">
      <c r="A188" s="205">
        <v>81.0</v>
      </c>
      <c r="B188" s="236" t="s">
        <v>1439</v>
      </c>
      <c r="C188" s="223"/>
      <c r="D188" s="237" t="s">
        <v>1440</v>
      </c>
      <c r="E188" s="238" t="s">
        <v>1441</v>
      </c>
      <c r="F188" s="225"/>
      <c r="G188" s="225"/>
      <c r="H188" s="203"/>
      <c r="I188" s="203"/>
      <c r="J188" s="203"/>
      <c r="K188" s="203"/>
      <c r="L188" s="203"/>
      <c r="M188" s="203"/>
    </row>
    <row r="189">
      <c r="A189" s="205">
        <v>82.0</v>
      </c>
      <c r="B189" s="239" t="s">
        <v>1442</v>
      </c>
      <c r="C189" s="223"/>
      <c r="D189" s="223">
        <v>6035.0</v>
      </c>
      <c r="E189" s="225" t="s">
        <v>1443</v>
      </c>
      <c r="F189" s="225"/>
      <c r="G189" s="225"/>
      <c r="H189" s="203"/>
      <c r="I189" s="203"/>
      <c r="J189" s="203"/>
      <c r="K189" s="203"/>
      <c r="L189" s="203"/>
      <c r="M189" s="203"/>
    </row>
    <row r="190">
      <c r="A190" s="205">
        <v>83.0</v>
      </c>
      <c r="B190" s="240" t="s">
        <v>1444</v>
      </c>
      <c r="C190" s="223"/>
      <c r="D190" s="241" t="s">
        <v>1445</v>
      </c>
      <c r="E190" s="225" t="s">
        <v>1446</v>
      </c>
      <c r="F190" s="225"/>
      <c r="G190" s="225"/>
      <c r="H190" s="203"/>
      <c r="I190" s="203"/>
      <c r="J190" s="203"/>
      <c r="K190" s="203"/>
      <c r="L190" s="203"/>
      <c r="M190" s="203"/>
    </row>
    <row r="191">
      <c r="A191" s="205">
        <v>84.0</v>
      </c>
      <c r="B191" s="242" t="s">
        <v>1447</v>
      </c>
      <c r="C191" s="223"/>
      <c r="D191" s="223" t="s">
        <v>1448</v>
      </c>
      <c r="E191" s="225" t="s">
        <v>1449</v>
      </c>
      <c r="F191" s="225"/>
      <c r="G191" s="225"/>
      <c r="H191" s="203"/>
      <c r="I191" s="203"/>
      <c r="J191" s="203"/>
      <c r="K191" s="203"/>
      <c r="L191" s="203"/>
      <c r="M191" s="203"/>
    </row>
    <row r="192">
      <c r="A192" s="205">
        <v>85.0</v>
      </c>
      <c r="B192" s="236" t="s">
        <v>1450</v>
      </c>
      <c r="C192" s="223"/>
      <c r="D192" s="223" t="s">
        <v>1451</v>
      </c>
      <c r="E192" s="235" t="s">
        <v>1452</v>
      </c>
      <c r="F192" s="225"/>
      <c r="G192" s="225"/>
      <c r="H192" s="203"/>
      <c r="I192" s="203"/>
      <c r="J192" s="203"/>
      <c r="K192" s="203"/>
      <c r="L192" s="203"/>
      <c r="M192" s="203"/>
    </row>
    <row r="193">
      <c r="A193" s="205">
        <v>86.0</v>
      </c>
      <c r="B193" s="223" t="s">
        <v>1453</v>
      </c>
      <c r="C193" s="223"/>
      <c r="D193" s="223"/>
      <c r="E193" s="229" t="s">
        <v>1454</v>
      </c>
      <c r="F193" s="225"/>
      <c r="G193" s="225"/>
      <c r="H193" s="203"/>
      <c r="I193" s="203"/>
      <c r="J193" s="203"/>
      <c r="K193" s="203"/>
      <c r="L193" s="203"/>
      <c r="M193" s="203"/>
    </row>
    <row r="194">
      <c r="A194" s="205">
        <v>87.0</v>
      </c>
      <c r="B194" s="236" t="s">
        <v>1455</v>
      </c>
      <c r="C194" s="223"/>
      <c r="D194" s="243" t="s">
        <v>1456</v>
      </c>
      <c r="E194" s="244" t="s">
        <v>1457</v>
      </c>
      <c r="F194" s="225"/>
      <c r="G194" s="225"/>
      <c r="H194" s="203"/>
      <c r="I194" s="203"/>
      <c r="J194" s="203"/>
      <c r="K194" s="203"/>
      <c r="L194" s="203"/>
      <c r="M194" s="203"/>
    </row>
    <row r="195">
      <c r="A195" s="205">
        <v>88.0</v>
      </c>
      <c r="B195" s="245" t="s">
        <v>1458</v>
      </c>
      <c r="C195" s="223"/>
      <c r="D195" s="246" t="s">
        <v>1459</v>
      </c>
      <c r="E195" s="247"/>
      <c r="F195" s="225"/>
      <c r="G195" s="225"/>
      <c r="H195" s="203"/>
      <c r="I195" s="203"/>
      <c r="J195" s="203"/>
      <c r="K195" s="203"/>
      <c r="L195" s="203"/>
      <c r="M195" s="203"/>
    </row>
    <row r="196">
      <c r="A196" s="205">
        <v>89.0</v>
      </c>
      <c r="B196" s="248" t="s">
        <v>1460</v>
      </c>
      <c r="C196" s="223"/>
      <c r="D196" s="249" t="s">
        <v>1461</v>
      </c>
      <c r="E196" s="250" t="s">
        <v>1462</v>
      </c>
      <c r="F196" s="251" t="s">
        <v>1463</v>
      </c>
      <c r="G196" s="225"/>
      <c r="H196" s="203"/>
      <c r="I196" s="203"/>
      <c r="J196" s="203"/>
      <c r="K196" s="203"/>
      <c r="L196" s="203"/>
      <c r="M196" s="203"/>
    </row>
    <row r="197">
      <c r="A197" s="205">
        <v>90.0</v>
      </c>
      <c r="B197" s="252" t="s">
        <v>1464</v>
      </c>
      <c r="C197" s="223"/>
      <c r="D197" s="223"/>
      <c r="E197" s="253" t="s">
        <v>1465</v>
      </c>
      <c r="F197" s="254" t="s">
        <v>1466</v>
      </c>
      <c r="G197" s="225"/>
      <c r="H197" s="203"/>
      <c r="I197" s="203"/>
      <c r="J197" s="203"/>
      <c r="K197" s="203"/>
      <c r="L197" s="203"/>
      <c r="M197" s="203"/>
    </row>
    <row r="198">
      <c r="A198" s="205">
        <v>91.0</v>
      </c>
      <c r="B198" s="245" t="s">
        <v>1467</v>
      </c>
      <c r="C198" s="223"/>
      <c r="D198" s="255" t="s">
        <v>1468</v>
      </c>
      <c r="E198" s="256" t="s">
        <v>1469</v>
      </c>
      <c r="F198" s="257" t="s">
        <v>1470</v>
      </c>
      <c r="G198" s="225"/>
      <c r="H198" s="203"/>
      <c r="I198" s="203"/>
      <c r="J198" s="203"/>
      <c r="K198" s="203"/>
      <c r="L198" s="203"/>
      <c r="M198" s="203"/>
    </row>
    <row r="199">
      <c r="A199" s="205">
        <v>92.0</v>
      </c>
      <c r="B199" s="258" t="s">
        <v>1471</v>
      </c>
      <c r="C199" s="223"/>
      <c r="D199" s="259" t="s">
        <v>1472</v>
      </c>
      <c r="E199" s="243" t="s">
        <v>1473</v>
      </c>
      <c r="F199" s="260" t="s">
        <v>1474</v>
      </c>
      <c r="G199" s="225"/>
      <c r="H199" s="203"/>
      <c r="I199" s="203"/>
      <c r="J199" s="203"/>
      <c r="K199" s="203"/>
      <c r="L199" s="203"/>
      <c r="M199" s="203"/>
    </row>
    <row r="200">
      <c r="A200" s="205">
        <v>93.0</v>
      </c>
      <c r="B200" s="261" t="s">
        <v>1475</v>
      </c>
      <c r="C200" s="223"/>
      <c r="D200" s="243" t="s">
        <v>1476</v>
      </c>
      <c r="E200" s="243" t="s">
        <v>1477</v>
      </c>
      <c r="F200" s="262" t="s">
        <v>1478</v>
      </c>
      <c r="G200" s="225"/>
      <c r="H200" s="203"/>
      <c r="I200" s="203"/>
      <c r="J200" s="203"/>
      <c r="K200" s="203"/>
      <c r="L200" s="203"/>
      <c r="M200" s="203"/>
    </row>
    <row r="201">
      <c r="A201" s="205">
        <v>94.0</v>
      </c>
      <c r="B201" s="263" t="s">
        <v>1479</v>
      </c>
      <c r="C201" s="223"/>
      <c r="D201" s="243" t="s">
        <v>1480</v>
      </c>
      <c r="E201" s="247"/>
      <c r="F201" s="225"/>
      <c r="G201" s="225"/>
      <c r="H201" s="203"/>
      <c r="I201" s="203"/>
      <c r="J201" s="203"/>
      <c r="K201" s="203"/>
      <c r="L201" s="203"/>
      <c r="M201" s="203"/>
    </row>
    <row r="202">
      <c r="A202" s="205">
        <v>95.0</v>
      </c>
      <c r="B202" s="264" t="s">
        <v>1481</v>
      </c>
      <c r="C202" s="223"/>
      <c r="D202" s="243" t="s">
        <v>1482</v>
      </c>
      <c r="E202" s="243" t="s">
        <v>1483</v>
      </c>
      <c r="F202" s="265" t="s">
        <v>1484</v>
      </c>
      <c r="G202" s="225"/>
      <c r="H202" s="203"/>
      <c r="I202" s="203"/>
      <c r="J202" s="203"/>
      <c r="K202" s="203"/>
      <c r="L202" s="203"/>
      <c r="M202" s="203"/>
    </row>
    <row r="203">
      <c r="A203" s="205">
        <v>96.0</v>
      </c>
      <c r="B203" s="266" t="s">
        <v>1485</v>
      </c>
      <c r="C203" s="223"/>
      <c r="D203" s="249" t="s">
        <v>1486</v>
      </c>
      <c r="E203" s="247"/>
      <c r="F203" s="267"/>
      <c r="G203" s="225"/>
      <c r="H203" s="203"/>
      <c r="I203" s="203"/>
      <c r="J203" s="203"/>
      <c r="K203" s="203"/>
      <c r="L203" s="203"/>
      <c r="M203" s="203"/>
    </row>
    <row r="204">
      <c r="A204" s="205">
        <v>97.0</v>
      </c>
      <c r="B204" s="223" t="s">
        <v>1487</v>
      </c>
      <c r="C204" s="223"/>
      <c r="D204" s="247" t="s">
        <v>1488</v>
      </c>
      <c r="E204" s="225"/>
      <c r="F204" s="225"/>
      <c r="G204" s="225"/>
      <c r="H204" s="203"/>
      <c r="I204" s="203"/>
      <c r="J204" s="203"/>
      <c r="K204" s="203"/>
      <c r="L204" s="203"/>
      <c r="M204" s="203"/>
    </row>
    <row r="205">
      <c r="A205" s="205">
        <v>98.0</v>
      </c>
      <c r="B205" s="236" t="s">
        <v>1489</v>
      </c>
      <c r="C205" s="223"/>
      <c r="D205" s="223" t="s">
        <v>1490</v>
      </c>
      <c r="E205" s="225" t="s">
        <v>1491</v>
      </c>
      <c r="F205" s="225"/>
      <c r="G205" s="225" t="s">
        <v>1492</v>
      </c>
      <c r="H205" s="203"/>
      <c r="I205" s="203"/>
      <c r="J205" s="203"/>
      <c r="K205" s="203"/>
      <c r="L205" s="203"/>
      <c r="M205" s="203"/>
    </row>
    <row r="206">
      <c r="A206" s="205">
        <v>99.0</v>
      </c>
      <c r="B206" s="236" t="s">
        <v>1493</v>
      </c>
      <c r="C206" s="223"/>
      <c r="D206" s="223">
        <v>7.765191644E9</v>
      </c>
      <c r="E206" s="225" t="s">
        <v>1494</v>
      </c>
      <c r="F206" s="225"/>
      <c r="G206" s="225"/>
      <c r="H206" s="203"/>
      <c r="I206" s="203"/>
      <c r="J206" s="203"/>
      <c r="K206" s="203"/>
      <c r="L206" s="203"/>
      <c r="M206" s="203"/>
    </row>
    <row r="207">
      <c r="A207" s="205">
        <v>100.0</v>
      </c>
      <c r="B207" s="223" t="s">
        <v>1495</v>
      </c>
      <c r="C207" s="223"/>
      <c r="D207" s="223" t="s">
        <v>1496</v>
      </c>
      <c r="E207" s="225" t="s">
        <v>1496</v>
      </c>
      <c r="F207" s="225"/>
      <c r="G207" s="225"/>
      <c r="H207" s="203"/>
      <c r="I207" s="203"/>
      <c r="J207" s="203"/>
      <c r="K207" s="203"/>
      <c r="L207" s="203"/>
      <c r="M207" s="203"/>
    </row>
    <row r="208">
      <c r="A208" s="205">
        <v>101.0</v>
      </c>
      <c r="B208" s="236" t="s">
        <v>1497</v>
      </c>
      <c r="C208" s="223"/>
      <c r="D208" s="223" t="s">
        <v>1498</v>
      </c>
      <c r="E208" s="225" t="s">
        <v>1499</v>
      </c>
      <c r="F208" s="225"/>
      <c r="G208" s="225" t="s">
        <v>800</v>
      </c>
      <c r="H208" s="203"/>
      <c r="I208" s="203"/>
      <c r="J208" s="203"/>
      <c r="K208" s="203"/>
      <c r="L208" s="203"/>
      <c r="M208" s="203"/>
    </row>
    <row r="209">
      <c r="A209" s="205">
        <v>102.0</v>
      </c>
      <c r="B209" s="268" t="s">
        <v>1500</v>
      </c>
      <c r="C209" s="223"/>
      <c r="D209" s="223" t="s">
        <v>1501</v>
      </c>
      <c r="E209" s="225" t="s">
        <v>1502</v>
      </c>
      <c r="F209" s="229" t="s">
        <v>1503</v>
      </c>
      <c r="G209" s="225"/>
      <c r="H209" s="203"/>
      <c r="I209" s="203"/>
      <c r="J209" s="203"/>
      <c r="K209" s="203"/>
      <c r="L209" s="203"/>
      <c r="M209" s="203"/>
    </row>
    <row r="210">
      <c r="A210" s="205">
        <v>103.0</v>
      </c>
      <c r="B210" s="269" t="s">
        <v>1504</v>
      </c>
      <c r="C210" s="225"/>
      <c r="D210" s="270">
        <v>9.05396720737E11</v>
      </c>
      <c r="E210" s="225" t="s">
        <v>1505</v>
      </c>
      <c r="F210" s="225"/>
      <c r="G210" s="225"/>
      <c r="H210" s="203"/>
      <c r="I210" s="203"/>
      <c r="J210" s="203"/>
      <c r="K210" s="203"/>
      <c r="L210" s="203"/>
      <c r="M210" s="203"/>
    </row>
    <row r="211">
      <c r="A211" s="205">
        <v>104.0</v>
      </c>
      <c r="B211" s="271" t="s">
        <v>1506</v>
      </c>
      <c r="C211" s="271" t="s">
        <v>1507</v>
      </c>
      <c r="D211" s="271">
        <v>7.800034984E9</v>
      </c>
      <c r="E211" s="272" t="s">
        <v>1508</v>
      </c>
      <c r="F211" s="225"/>
      <c r="G211" s="225"/>
      <c r="H211" s="203"/>
      <c r="I211" s="203"/>
      <c r="J211" s="203"/>
      <c r="K211" s="203"/>
      <c r="L211" s="203"/>
      <c r="M211" s="203"/>
    </row>
    <row r="212">
      <c r="A212" s="205">
        <v>105.0</v>
      </c>
      <c r="B212" s="271" t="s">
        <v>1509</v>
      </c>
      <c r="C212" s="271"/>
      <c r="D212" s="271">
        <v>7.814338922E9</v>
      </c>
      <c r="E212" s="272" t="s">
        <v>1510</v>
      </c>
      <c r="F212" s="225"/>
      <c r="G212" s="225"/>
      <c r="H212" s="203"/>
      <c r="I212" s="203"/>
      <c r="J212" s="203"/>
      <c r="K212" s="203"/>
      <c r="L212" s="203"/>
      <c r="M212" s="203"/>
    </row>
    <row r="213">
      <c r="A213" s="205">
        <v>106.0</v>
      </c>
      <c r="B213" s="271" t="s">
        <v>1511</v>
      </c>
      <c r="C213" s="271"/>
      <c r="D213" s="271" t="s">
        <v>1512</v>
      </c>
      <c r="E213" s="272"/>
      <c r="F213" s="225"/>
      <c r="G213" s="225"/>
      <c r="H213" s="203"/>
      <c r="I213" s="203"/>
      <c r="J213" s="203"/>
      <c r="K213" s="203"/>
      <c r="L213" s="203"/>
      <c r="M213" s="203"/>
    </row>
    <row r="214">
      <c r="A214" s="205">
        <v>107.0</v>
      </c>
      <c r="B214" s="271" t="s">
        <v>1513</v>
      </c>
      <c r="C214" s="271"/>
      <c r="D214" s="271">
        <v>7.701111164E9</v>
      </c>
      <c r="E214" s="272" t="s">
        <v>1514</v>
      </c>
      <c r="F214" s="225"/>
      <c r="G214" s="225"/>
      <c r="H214" s="203"/>
      <c r="I214" s="203"/>
      <c r="J214" s="203"/>
      <c r="K214" s="203"/>
      <c r="L214" s="203"/>
      <c r="M214" s="203"/>
    </row>
    <row r="215">
      <c r="A215" s="205">
        <v>108.0</v>
      </c>
      <c r="B215" s="223" t="s">
        <v>1515</v>
      </c>
      <c r="C215" s="223"/>
      <c r="D215" s="223"/>
      <c r="E215" s="225"/>
      <c r="F215" s="225"/>
      <c r="G215" s="225"/>
      <c r="H215" s="203"/>
      <c r="I215" s="203"/>
      <c r="J215" s="203"/>
      <c r="K215" s="203"/>
      <c r="L215" s="203"/>
      <c r="M215" s="203"/>
    </row>
    <row r="216">
      <c r="A216" s="205">
        <v>109.0</v>
      </c>
      <c r="B216" s="216" t="s">
        <v>1471</v>
      </c>
      <c r="C216" s="223"/>
      <c r="D216" s="223"/>
      <c r="E216" s="225"/>
      <c r="F216" s="225"/>
      <c r="G216" s="225"/>
      <c r="H216" s="203"/>
      <c r="I216" s="203"/>
      <c r="J216" s="203"/>
      <c r="K216" s="203"/>
      <c r="L216" s="203"/>
      <c r="M216" s="203"/>
    </row>
    <row r="217">
      <c r="A217" s="205">
        <v>137.0</v>
      </c>
      <c r="B217" s="273" t="s">
        <v>1516</v>
      </c>
      <c r="C217" s="53"/>
      <c r="D217" s="53"/>
      <c r="E217" s="53"/>
      <c r="F217" s="53"/>
      <c r="G217" s="202"/>
      <c r="H217" s="203"/>
      <c r="I217" s="203"/>
      <c r="J217" s="203"/>
      <c r="K217" s="203"/>
      <c r="L217" s="203"/>
      <c r="M217" s="203"/>
    </row>
    <row r="218">
      <c r="A218" s="205">
        <v>138.0</v>
      </c>
      <c r="B218" s="274" t="s">
        <v>1517</v>
      </c>
      <c r="C218" s="223"/>
      <c r="D218" s="275" t="s">
        <v>1518</v>
      </c>
      <c r="E218" s="225"/>
      <c r="F218" s="225"/>
      <c r="G218" s="225"/>
      <c r="H218" s="203"/>
      <c r="I218" s="203"/>
      <c r="J218" s="203"/>
      <c r="K218" s="203"/>
      <c r="L218" s="203"/>
      <c r="M218" s="203"/>
    </row>
    <row r="219">
      <c r="A219" s="205">
        <v>139.0</v>
      </c>
      <c r="B219" s="274" t="s">
        <v>1519</v>
      </c>
      <c r="C219" s="223"/>
      <c r="D219" s="276" t="s">
        <v>1520</v>
      </c>
      <c r="E219" s="244" t="s">
        <v>1521</v>
      </c>
      <c r="F219" s="251" t="s">
        <v>1522</v>
      </c>
      <c r="G219" s="225"/>
      <c r="H219" s="203"/>
      <c r="I219" s="203"/>
      <c r="J219" s="203"/>
      <c r="K219" s="203"/>
      <c r="L219" s="203"/>
      <c r="M219" s="203"/>
    </row>
    <row r="220">
      <c r="A220" s="205">
        <v>140.0</v>
      </c>
      <c r="B220" s="277" t="s">
        <v>1523</v>
      </c>
      <c r="C220" s="223"/>
      <c r="D220" s="223" t="s">
        <v>1524</v>
      </c>
      <c r="E220" s="225"/>
      <c r="F220" s="251" t="s">
        <v>1525</v>
      </c>
      <c r="G220" s="225"/>
      <c r="H220" s="203"/>
      <c r="I220" s="203"/>
      <c r="J220" s="203"/>
      <c r="K220" s="203"/>
      <c r="L220" s="203"/>
      <c r="M220" s="203"/>
    </row>
    <row r="221">
      <c r="A221" s="205">
        <v>141.0</v>
      </c>
      <c r="B221" s="277" t="s">
        <v>1526</v>
      </c>
      <c r="C221" s="223" t="s">
        <v>1527</v>
      </c>
      <c r="D221" s="278" t="s">
        <v>1528</v>
      </c>
      <c r="E221" s="279" t="s">
        <v>1529</v>
      </c>
      <c r="F221" s="229" t="s">
        <v>1530</v>
      </c>
      <c r="G221" s="225"/>
      <c r="H221" s="203"/>
      <c r="I221" s="203"/>
      <c r="J221" s="203"/>
      <c r="K221" s="203"/>
      <c r="L221" s="203"/>
      <c r="M221" s="203"/>
    </row>
    <row r="222">
      <c r="A222" s="205">
        <v>142.0</v>
      </c>
      <c r="B222" s="277" t="s">
        <v>1531</v>
      </c>
      <c r="C222" s="223"/>
      <c r="D222" s="280" t="s">
        <v>1532</v>
      </c>
      <c r="E222" s="225"/>
      <c r="F222" s="229" t="s">
        <v>1533</v>
      </c>
      <c r="G222" s="225"/>
      <c r="H222" s="203"/>
      <c r="I222" s="203"/>
      <c r="J222" s="203"/>
      <c r="K222" s="203"/>
      <c r="L222" s="203"/>
      <c r="M222" s="203"/>
    </row>
    <row r="223">
      <c r="A223" s="205">
        <v>143.0</v>
      </c>
      <c r="B223" s="277" t="s">
        <v>1534</v>
      </c>
      <c r="C223" s="223"/>
      <c r="D223" s="223" t="s">
        <v>1535</v>
      </c>
      <c r="E223" s="281" t="s">
        <v>1536</v>
      </c>
      <c r="F223" s="225"/>
      <c r="G223" s="225"/>
      <c r="H223" s="203"/>
      <c r="I223" s="203"/>
      <c r="J223" s="203"/>
      <c r="K223" s="203"/>
      <c r="L223" s="203"/>
      <c r="M223" s="203"/>
    </row>
    <row r="224">
      <c r="A224" s="205">
        <v>144.0</v>
      </c>
      <c r="B224" s="277" t="s">
        <v>1537</v>
      </c>
      <c r="C224" s="282" t="s">
        <v>1538</v>
      </c>
      <c r="D224" s="282">
        <v>7.704891014E9</v>
      </c>
      <c r="E224" s="282" t="s">
        <v>1539</v>
      </c>
      <c r="F224" s="229" t="s">
        <v>1540</v>
      </c>
      <c r="G224" s="225"/>
      <c r="H224" s="203"/>
      <c r="I224" s="203"/>
      <c r="J224" s="203"/>
      <c r="K224" s="203"/>
      <c r="L224" s="203"/>
      <c r="M224" s="203"/>
    </row>
    <row r="225">
      <c r="A225" s="205">
        <v>145.0</v>
      </c>
      <c r="B225" s="277" t="s">
        <v>1541</v>
      </c>
      <c r="C225" s="223"/>
      <c r="D225" s="223"/>
      <c r="E225" s="283" t="s">
        <v>1542</v>
      </c>
      <c r="F225" s="229" t="s">
        <v>1543</v>
      </c>
      <c r="G225" s="225"/>
      <c r="H225" s="203"/>
      <c r="I225" s="203"/>
      <c r="J225" s="203"/>
      <c r="K225" s="203"/>
      <c r="L225" s="203"/>
      <c r="M225" s="203"/>
    </row>
    <row r="226">
      <c r="A226" s="205">
        <v>146.0</v>
      </c>
      <c r="B226" s="218" t="s">
        <v>1544</v>
      </c>
      <c r="C226" s="223"/>
      <c r="D226" s="223"/>
      <c r="E226" s="284" t="s">
        <v>1545</v>
      </c>
      <c r="F226" s="225"/>
      <c r="G226" s="225"/>
      <c r="H226" s="203"/>
      <c r="I226" s="203"/>
      <c r="J226" s="203"/>
      <c r="K226" s="203"/>
      <c r="L226" s="203"/>
      <c r="M226" s="203"/>
    </row>
    <row r="227">
      <c r="A227" s="205">
        <v>147.0</v>
      </c>
      <c r="B227" s="285" t="s">
        <v>1546</v>
      </c>
      <c r="C227" s="223"/>
      <c r="D227" s="223" t="s">
        <v>1547</v>
      </c>
      <c r="E227" s="286" t="s">
        <v>1548</v>
      </c>
      <c r="F227" s="225"/>
      <c r="G227" s="225"/>
      <c r="H227" s="203"/>
      <c r="I227" s="203"/>
      <c r="J227" s="203"/>
      <c r="K227" s="203"/>
      <c r="L227" s="203"/>
      <c r="M227" s="203"/>
    </row>
    <row r="228">
      <c r="A228" s="205">
        <v>148.0</v>
      </c>
      <c r="B228" s="261" t="s">
        <v>1549</v>
      </c>
      <c r="C228" s="223"/>
      <c r="D228" s="287" t="s">
        <v>1550</v>
      </c>
      <c r="E228" s="244" t="s">
        <v>1551</v>
      </c>
      <c r="F228" s="225"/>
      <c r="G228" s="225"/>
      <c r="H228" s="203"/>
      <c r="I228" s="203"/>
      <c r="J228" s="203"/>
      <c r="K228" s="203"/>
      <c r="L228" s="203"/>
      <c r="M228" s="203"/>
    </row>
    <row r="229">
      <c r="A229" s="205">
        <v>149.0</v>
      </c>
      <c r="B229" s="288" t="s">
        <v>1552</v>
      </c>
      <c r="C229" s="223"/>
      <c r="D229" s="289" t="s">
        <v>1553</v>
      </c>
      <c r="E229" s="290" t="s">
        <v>1554</v>
      </c>
      <c r="F229" s="229" t="s">
        <v>1555</v>
      </c>
      <c r="G229" s="225"/>
      <c r="H229" s="203"/>
      <c r="I229" s="203"/>
      <c r="J229" s="203"/>
      <c r="K229" s="203"/>
      <c r="L229" s="203"/>
      <c r="M229" s="203"/>
    </row>
    <row r="230">
      <c r="A230" s="205">
        <v>150.0</v>
      </c>
      <c r="B230" s="291" t="s">
        <v>1556</v>
      </c>
      <c r="C230" s="292"/>
      <c r="D230" s="293">
        <v>9.64783339989E12</v>
      </c>
      <c r="E230" s="293" t="s">
        <v>1557</v>
      </c>
      <c r="F230" s="251" t="s">
        <v>1558</v>
      </c>
      <c r="G230" s="225"/>
      <c r="H230" s="203"/>
      <c r="I230" s="203"/>
      <c r="J230" s="203"/>
      <c r="K230" s="203"/>
      <c r="L230" s="203"/>
      <c r="M230" s="203"/>
    </row>
    <row r="231">
      <c r="A231" s="205">
        <v>151.0</v>
      </c>
      <c r="B231" s="277" t="s">
        <v>1559</v>
      </c>
      <c r="C231" s="223"/>
      <c r="D231" s="294"/>
      <c r="E231" s="295" t="s">
        <v>1560</v>
      </c>
      <c r="F231" s="229" t="s">
        <v>1561</v>
      </c>
      <c r="G231" s="225"/>
      <c r="H231" s="203"/>
      <c r="I231" s="203"/>
      <c r="J231" s="203"/>
      <c r="K231" s="203"/>
      <c r="L231" s="203"/>
      <c r="M231" s="203"/>
    </row>
    <row r="232">
      <c r="A232" s="205">
        <v>152.0</v>
      </c>
      <c r="B232" s="277" t="s">
        <v>1562</v>
      </c>
      <c r="C232" s="223"/>
      <c r="D232" s="296">
        <v>9.647700073512E12</v>
      </c>
      <c r="E232" s="225" t="s">
        <v>1563</v>
      </c>
      <c r="F232" s="229" t="s">
        <v>1564</v>
      </c>
      <c r="G232" s="225"/>
      <c r="H232" s="203"/>
      <c r="I232" s="203"/>
      <c r="J232" s="203"/>
      <c r="K232" s="203"/>
      <c r="L232" s="203"/>
      <c r="M232" s="203"/>
    </row>
    <row r="233">
      <c r="A233" s="205">
        <v>153.0</v>
      </c>
      <c r="B233" s="297" t="s">
        <v>1565</v>
      </c>
      <c r="C233" s="223"/>
      <c r="D233" s="298" t="s">
        <v>1566</v>
      </c>
      <c r="E233" s="299" t="s">
        <v>1567</v>
      </c>
      <c r="F233" s="229" t="s">
        <v>1568</v>
      </c>
      <c r="G233" s="225"/>
      <c r="H233" s="203"/>
      <c r="I233" s="203"/>
      <c r="J233" s="203"/>
      <c r="K233" s="203"/>
      <c r="L233" s="203"/>
      <c r="M233" s="203"/>
    </row>
    <row r="234">
      <c r="A234" s="205">
        <v>154.0</v>
      </c>
      <c r="B234" s="277" t="s">
        <v>1569</v>
      </c>
      <c r="C234" s="223"/>
      <c r="D234" s="223" t="s">
        <v>1570</v>
      </c>
      <c r="E234" s="299" t="s">
        <v>1571</v>
      </c>
      <c r="F234" s="229" t="s">
        <v>1572</v>
      </c>
      <c r="G234" s="225"/>
      <c r="H234" s="203"/>
      <c r="I234" s="203"/>
      <c r="J234" s="203"/>
      <c r="K234" s="203"/>
      <c r="L234" s="203"/>
      <c r="M234" s="203"/>
    </row>
    <row r="235">
      <c r="A235" s="205">
        <v>155.0</v>
      </c>
      <c r="B235" s="300" t="s">
        <v>1573</v>
      </c>
      <c r="C235" s="223"/>
      <c r="D235" s="223"/>
      <c r="E235" s="225" t="s">
        <v>1574</v>
      </c>
      <c r="F235" s="225"/>
      <c r="G235" s="225"/>
      <c r="H235" s="203"/>
      <c r="I235" s="203"/>
      <c r="J235" s="203"/>
      <c r="K235" s="203"/>
      <c r="L235" s="203"/>
      <c r="M235" s="203"/>
    </row>
    <row r="236">
      <c r="A236" s="205">
        <v>156.0</v>
      </c>
      <c r="B236" s="277" t="s">
        <v>1575</v>
      </c>
      <c r="C236" s="223"/>
      <c r="D236" s="223"/>
      <c r="E236" s="225" t="s">
        <v>1576</v>
      </c>
      <c r="F236" s="225"/>
      <c r="G236" s="225"/>
      <c r="H236" s="203"/>
      <c r="I236" s="203"/>
      <c r="J236" s="203"/>
      <c r="K236" s="203"/>
      <c r="L236" s="203"/>
      <c r="M236" s="203"/>
    </row>
    <row r="237">
      <c r="A237" s="205">
        <v>157.0</v>
      </c>
      <c r="B237" s="277" t="s">
        <v>1577</v>
      </c>
      <c r="C237" s="223"/>
      <c r="D237" s="223">
        <v>9.647505166477E12</v>
      </c>
      <c r="E237" s="225" t="s">
        <v>1578</v>
      </c>
      <c r="F237" s="225"/>
      <c r="G237" s="225"/>
      <c r="H237" s="203"/>
      <c r="I237" s="203"/>
      <c r="J237" s="203"/>
      <c r="K237" s="203"/>
      <c r="L237" s="203"/>
      <c r="M237" s="203"/>
    </row>
    <row r="238">
      <c r="A238" s="205">
        <v>158.0</v>
      </c>
      <c r="B238" s="300" t="s">
        <v>1579</v>
      </c>
      <c r="C238" s="223"/>
      <c r="D238" s="223" t="s">
        <v>1580</v>
      </c>
      <c r="E238" s="225" t="s">
        <v>1581</v>
      </c>
      <c r="F238" s="229" t="s">
        <v>1582</v>
      </c>
      <c r="G238" s="225"/>
      <c r="H238" s="203"/>
      <c r="I238" s="203"/>
      <c r="J238" s="203"/>
      <c r="K238" s="203"/>
      <c r="L238" s="203"/>
      <c r="M238" s="203"/>
    </row>
    <row r="239">
      <c r="A239" s="205">
        <v>159.0</v>
      </c>
      <c r="B239" s="301" t="s">
        <v>1583</v>
      </c>
      <c r="C239" s="223"/>
      <c r="D239" s="302" t="s">
        <v>1584</v>
      </c>
      <c r="E239" s="225" t="s">
        <v>1585</v>
      </c>
      <c r="F239" s="251" t="s">
        <v>1586</v>
      </c>
      <c r="G239" s="225"/>
      <c r="H239" s="203"/>
      <c r="I239" s="203"/>
      <c r="J239" s="203"/>
      <c r="K239" s="203"/>
      <c r="L239" s="203"/>
      <c r="M239" s="203"/>
    </row>
    <row r="240">
      <c r="A240" s="205">
        <v>160.0</v>
      </c>
      <c r="B240" s="300" t="s">
        <v>1587</v>
      </c>
      <c r="C240" s="223"/>
      <c r="D240" s="223" t="s">
        <v>1588</v>
      </c>
      <c r="E240" s="225" t="s">
        <v>1589</v>
      </c>
      <c r="F240" s="229" t="s">
        <v>1590</v>
      </c>
      <c r="G240" s="225"/>
      <c r="H240" s="203"/>
      <c r="I240" s="203"/>
      <c r="J240" s="203"/>
      <c r="K240" s="203"/>
      <c r="L240" s="203"/>
      <c r="M240" s="203"/>
    </row>
    <row r="241">
      <c r="A241" s="205">
        <v>161.0</v>
      </c>
      <c r="B241" s="301" t="s">
        <v>1591</v>
      </c>
      <c r="C241" s="223"/>
      <c r="D241" s="223" t="s">
        <v>1592</v>
      </c>
      <c r="E241" s="286" t="s">
        <v>1593</v>
      </c>
      <c r="F241" s="229" t="s">
        <v>1594</v>
      </c>
      <c r="G241" s="225"/>
      <c r="H241" s="203"/>
      <c r="I241" s="203"/>
      <c r="J241" s="203"/>
      <c r="K241" s="203"/>
      <c r="L241" s="203"/>
      <c r="M241" s="203"/>
    </row>
    <row r="242">
      <c r="A242" s="205">
        <v>162.0</v>
      </c>
      <c r="B242" s="291" t="s">
        <v>1595</v>
      </c>
      <c r="C242" s="223"/>
      <c r="D242" s="302" t="s">
        <v>1596</v>
      </c>
      <c r="E242" s="225" t="s">
        <v>1597</v>
      </c>
      <c r="F242" s="251" t="s">
        <v>1598</v>
      </c>
      <c r="G242" s="225"/>
      <c r="H242" s="203"/>
      <c r="I242" s="203"/>
      <c r="J242" s="203"/>
      <c r="K242" s="203"/>
      <c r="L242" s="203"/>
      <c r="M242" s="203"/>
    </row>
    <row r="243">
      <c r="A243" s="205">
        <v>163.0</v>
      </c>
      <c r="B243" s="301" t="s">
        <v>1599</v>
      </c>
      <c r="C243" s="223"/>
      <c r="D243" s="223" t="s">
        <v>1600</v>
      </c>
      <c r="E243" s="225" t="s">
        <v>1601</v>
      </c>
      <c r="F243" s="229" t="s">
        <v>1602</v>
      </c>
      <c r="G243" s="225"/>
      <c r="H243" s="203"/>
      <c r="I243" s="203"/>
      <c r="J243" s="203"/>
      <c r="K243" s="203"/>
      <c r="L243" s="203"/>
      <c r="M243" s="203"/>
    </row>
    <row r="244">
      <c r="A244" s="205">
        <v>164.0</v>
      </c>
      <c r="B244" s="277" t="s">
        <v>1603</v>
      </c>
      <c r="C244" s="223"/>
      <c r="D244" s="223" t="s">
        <v>1604</v>
      </c>
      <c r="E244" s="225" t="s">
        <v>1605</v>
      </c>
      <c r="F244" s="225"/>
      <c r="G244" s="225"/>
      <c r="H244" s="203"/>
      <c r="I244" s="203"/>
      <c r="J244" s="203"/>
      <c r="K244" s="203"/>
      <c r="L244" s="203"/>
      <c r="M244" s="203"/>
    </row>
    <row r="245">
      <c r="A245" s="205">
        <v>165.0</v>
      </c>
      <c r="B245" s="218" t="s">
        <v>1606</v>
      </c>
      <c r="C245" s="223"/>
      <c r="D245" s="302" t="s">
        <v>1607</v>
      </c>
      <c r="E245" s="225"/>
      <c r="F245" s="229" t="s">
        <v>1608</v>
      </c>
      <c r="G245" s="225"/>
      <c r="H245" s="203"/>
      <c r="I245" s="203"/>
      <c r="J245" s="203"/>
      <c r="K245" s="203"/>
      <c r="L245" s="203"/>
      <c r="M245" s="203"/>
    </row>
    <row r="246">
      <c r="A246" s="205">
        <v>166.0</v>
      </c>
      <c r="B246" s="300" t="s">
        <v>1609</v>
      </c>
      <c r="C246" s="223"/>
      <c r="D246" s="223" t="s">
        <v>1610</v>
      </c>
      <c r="E246" s="225" t="s">
        <v>1611</v>
      </c>
      <c r="F246" s="251" t="s">
        <v>1612</v>
      </c>
      <c r="G246" s="225"/>
      <c r="H246" s="203"/>
      <c r="I246" s="203"/>
      <c r="J246" s="203"/>
      <c r="K246" s="203"/>
      <c r="L246" s="203"/>
      <c r="M246" s="203"/>
    </row>
    <row r="247">
      <c r="A247" s="205">
        <v>167.0</v>
      </c>
      <c r="B247" s="277" t="s">
        <v>1613</v>
      </c>
      <c r="C247" s="223"/>
      <c r="D247" s="302" t="s">
        <v>1614</v>
      </c>
      <c r="E247" s="225" t="s">
        <v>1615</v>
      </c>
      <c r="F247" s="229" t="s">
        <v>1616</v>
      </c>
      <c r="G247" s="225"/>
      <c r="H247" s="203"/>
      <c r="I247" s="203"/>
      <c r="J247" s="203"/>
      <c r="K247" s="203"/>
      <c r="L247" s="203"/>
      <c r="M247" s="203"/>
    </row>
    <row r="248">
      <c r="A248" s="205">
        <v>168.0</v>
      </c>
      <c r="B248" s="277" t="s">
        <v>1617</v>
      </c>
      <c r="C248" s="223"/>
      <c r="D248" s="223"/>
      <c r="E248" s="225" t="s">
        <v>1618</v>
      </c>
      <c r="F248" s="229" t="s">
        <v>1619</v>
      </c>
      <c r="G248" s="225"/>
      <c r="H248" s="203"/>
      <c r="I248" s="203"/>
      <c r="J248" s="203"/>
      <c r="K248" s="203"/>
      <c r="L248" s="203"/>
      <c r="M248" s="203"/>
    </row>
    <row r="249">
      <c r="A249" s="205">
        <v>169.0</v>
      </c>
      <c r="B249" s="218" t="s">
        <v>1620</v>
      </c>
      <c r="C249" s="223"/>
      <c r="D249" s="223" t="s">
        <v>1621</v>
      </c>
      <c r="E249" s="225" t="s">
        <v>1622</v>
      </c>
      <c r="F249" s="225"/>
      <c r="G249" s="225"/>
      <c r="H249" s="203"/>
      <c r="I249" s="203"/>
      <c r="J249" s="203"/>
      <c r="K249" s="203"/>
      <c r="L249" s="203"/>
      <c r="M249" s="203"/>
    </row>
    <row r="250">
      <c r="A250" s="205">
        <v>170.0</v>
      </c>
      <c r="B250" s="300" t="s">
        <v>1623</v>
      </c>
      <c r="C250" s="223"/>
      <c r="D250" s="223"/>
      <c r="E250" s="225" t="s">
        <v>1624</v>
      </c>
      <c r="F250" s="229" t="s">
        <v>1625</v>
      </c>
      <c r="G250" s="225"/>
      <c r="H250" s="203"/>
      <c r="I250" s="203"/>
      <c r="J250" s="203"/>
      <c r="K250" s="203"/>
      <c r="L250" s="203"/>
      <c r="M250" s="203"/>
    </row>
    <row r="251">
      <c r="A251" s="205">
        <v>171.0</v>
      </c>
      <c r="B251" s="218" t="s">
        <v>1626</v>
      </c>
      <c r="C251" s="223"/>
      <c r="D251" s="223">
        <v>7.834907607E9</v>
      </c>
      <c r="E251" s="225" t="s">
        <v>1627</v>
      </c>
      <c r="F251" s="229" t="s">
        <v>1628</v>
      </c>
      <c r="G251" s="225"/>
      <c r="H251" s="203"/>
      <c r="I251" s="203"/>
      <c r="J251" s="203"/>
      <c r="K251" s="203"/>
      <c r="L251" s="203"/>
      <c r="M251" s="203"/>
    </row>
    <row r="252">
      <c r="A252" s="205">
        <v>172.0</v>
      </c>
      <c r="B252" s="300" t="s">
        <v>1629</v>
      </c>
      <c r="C252" s="223"/>
      <c r="D252" s="223" t="s">
        <v>1630</v>
      </c>
      <c r="E252" s="225" t="s">
        <v>1631</v>
      </c>
      <c r="F252" s="229" t="s">
        <v>1632</v>
      </c>
      <c r="G252" s="225"/>
      <c r="H252" s="203"/>
      <c r="I252" s="203"/>
      <c r="J252" s="203"/>
      <c r="K252" s="203"/>
      <c r="L252" s="203"/>
      <c r="M252" s="203"/>
    </row>
    <row r="253">
      <c r="A253" s="205">
        <v>173.0</v>
      </c>
      <c r="B253" s="218" t="s">
        <v>1633</v>
      </c>
      <c r="C253" s="223"/>
      <c r="D253" s="302" t="s">
        <v>1634</v>
      </c>
      <c r="E253" s="225" t="s">
        <v>1635</v>
      </c>
      <c r="F253" s="229" t="s">
        <v>1636</v>
      </c>
      <c r="G253" s="225"/>
      <c r="H253" s="203"/>
      <c r="I253" s="203"/>
      <c r="J253" s="203"/>
      <c r="K253" s="203"/>
      <c r="L253" s="203"/>
      <c r="M253" s="203"/>
    </row>
    <row r="254">
      <c r="A254" s="205">
        <v>174.0</v>
      </c>
      <c r="B254" s="277" t="s">
        <v>1637</v>
      </c>
      <c r="C254" s="223"/>
      <c r="D254" s="223" t="s">
        <v>1638</v>
      </c>
      <c r="E254" s="225" t="s">
        <v>1639</v>
      </c>
      <c r="F254" s="251" t="s">
        <v>1640</v>
      </c>
      <c r="G254" s="225"/>
      <c r="H254" s="203"/>
      <c r="I254" s="203"/>
      <c r="J254" s="203"/>
      <c r="K254" s="203"/>
      <c r="L254" s="203"/>
      <c r="M254" s="203"/>
    </row>
    <row r="255">
      <c r="A255" s="205">
        <v>175.0</v>
      </c>
      <c r="B255" s="277" t="s">
        <v>1641</v>
      </c>
      <c r="C255" s="223"/>
      <c r="D255" s="302" t="s">
        <v>1642</v>
      </c>
      <c r="E255" s="303" t="s">
        <v>1643</v>
      </c>
      <c r="F255" s="251" t="s">
        <v>1644</v>
      </c>
      <c r="G255" s="225"/>
      <c r="H255" s="203"/>
      <c r="I255" s="203"/>
      <c r="J255" s="203"/>
      <c r="K255" s="203"/>
      <c r="L255" s="203"/>
      <c r="M255" s="203"/>
    </row>
    <row r="256">
      <c r="A256" s="205">
        <v>176.0</v>
      </c>
      <c r="B256" s="277" t="s">
        <v>1645</v>
      </c>
      <c r="C256" s="223"/>
      <c r="D256" s="302" t="s">
        <v>1646</v>
      </c>
      <c r="E256" s="225" t="s">
        <v>1647</v>
      </c>
      <c r="F256" s="229" t="s">
        <v>1648</v>
      </c>
      <c r="G256" s="225"/>
      <c r="H256" s="203"/>
      <c r="I256" s="203"/>
      <c r="J256" s="203"/>
      <c r="K256" s="203"/>
      <c r="L256" s="203"/>
      <c r="M256" s="203"/>
    </row>
    <row r="257">
      <c r="A257" s="205">
        <v>177.0</v>
      </c>
      <c r="B257" s="277" t="s">
        <v>1649</v>
      </c>
      <c r="C257" s="223"/>
      <c r="D257" s="223" t="s">
        <v>1650</v>
      </c>
      <c r="E257" s="225" t="s">
        <v>1651</v>
      </c>
      <c r="F257" s="229" t="s">
        <v>1652</v>
      </c>
      <c r="G257" s="225"/>
      <c r="H257" s="203"/>
      <c r="I257" s="203"/>
      <c r="J257" s="203"/>
      <c r="K257" s="203"/>
      <c r="L257" s="203"/>
      <c r="M257" s="203"/>
    </row>
    <row r="258">
      <c r="A258" s="205">
        <v>178.0</v>
      </c>
      <c r="B258" s="277"/>
      <c r="C258" s="223"/>
      <c r="D258" s="223"/>
      <c r="E258" s="225"/>
      <c r="F258" s="225"/>
      <c r="G258" s="225"/>
      <c r="H258" s="203"/>
      <c r="I258" s="203"/>
      <c r="J258" s="203"/>
      <c r="K258" s="203"/>
      <c r="L258" s="203"/>
      <c r="M258" s="203"/>
    </row>
    <row r="259">
      <c r="A259" s="205"/>
      <c r="B259" s="207" t="s">
        <v>1653</v>
      </c>
      <c r="C259" s="207"/>
      <c r="D259" s="223"/>
      <c r="E259" s="207"/>
      <c r="F259" s="304"/>
      <c r="G259" s="207"/>
      <c r="H259" s="203"/>
      <c r="I259" s="203"/>
      <c r="J259" s="203"/>
      <c r="K259" s="203"/>
      <c r="L259" s="203"/>
      <c r="M259" s="203"/>
    </row>
    <row r="260">
      <c r="A260" s="205"/>
      <c r="B260" s="207"/>
      <c r="C260" s="207"/>
      <c r="D260" s="223"/>
      <c r="E260" s="207"/>
      <c r="F260" s="304"/>
      <c r="G260" s="207" t="s">
        <v>1437</v>
      </c>
      <c r="H260" s="203"/>
      <c r="I260" s="203"/>
      <c r="J260" s="203"/>
      <c r="K260" s="203"/>
      <c r="L260" s="203"/>
      <c r="M260" s="203"/>
    </row>
    <row r="261">
      <c r="A261" s="205"/>
      <c r="B261" s="207" t="s">
        <v>1654</v>
      </c>
      <c r="C261" s="207"/>
      <c r="D261" s="223">
        <v>7.827851649E9</v>
      </c>
      <c r="E261" s="207" t="s">
        <v>1655</v>
      </c>
      <c r="F261" s="304"/>
      <c r="G261" s="207" t="s">
        <v>1437</v>
      </c>
      <c r="H261" s="203"/>
      <c r="I261" s="203"/>
      <c r="J261" s="203"/>
      <c r="K261" s="203"/>
      <c r="L261" s="203"/>
      <c r="M261" s="203"/>
    </row>
    <row r="262">
      <c r="A262" s="205"/>
      <c r="B262" s="305"/>
      <c r="C262" s="207"/>
      <c r="D262" s="223"/>
      <c r="E262" s="207"/>
      <c r="F262" s="304"/>
      <c r="G262" s="207" t="s">
        <v>1437</v>
      </c>
      <c r="H262" s="203"/>
      <c r="I262" s="203"/>
      <c r="J262" s="203"/>
      <c r="K262" s="203"/>
      <c r="L262" s="203"/>
      <c r="M262" s="203"/>
    </row>
    <row r="263">
      <c r="A263" s="205"/>
      <c r="B263" s="207" t="s">
        <v>1656</v>
      </c>
      <c r="C263" s="207"/>
      <c r="D263" s="223"/>
      <c r="E263" s="207"/>
      <c r="F263" s="304"/>
      <c r="G263" s="207"/>
      <c r="H263" s="203"/>
      <c r="I263" s="203"/>
      <c r="J263" s="203"/>
      <c r="K263" s="203"/>
      <c r="L263" s="203"/>
      <c r="M263" s="203"/>
    </row>
    <row r="264">
      <c r="A264" s="205"/>
      <c r="B264" s="207" t="s">
        <v>1657</v>
      </c>
      <c r="C264" s="207"/>
      <c r="D264" s="223"/>
      <c r="E264" s="207"/>
      <c r="F264" s="304"/>
      <c r="G264" s="207" t="s">
        <v>1437</v>
      </c>
      <c r="H264" s="203"/>
      <c r="I264" s="203"/>
      <c r="J264" s="203"/>
      <c r="K264" s="203"/>
      <c r="L264" s="203"/>
      <c r="M264" s="203"/>
    </row>
    <row r="265">
      <c r="A265" s="205"/>
      <c r="B265" s="207" t="s">
        <v>1658</v>
      </c>
      <c r="C265" s="207"/>
      <c r="D265" s="223">
        <v>7.704671622E9</v>
      </c>
      <c r="E265" s="207"/>
      <c r="F265" s="304"/>
      <c r="G265" s="207" t="s">
        <v>1437</v>
      </c>
      <c r="H265" s="203"/>
      <c r="I265" s="203"/>
      <c r="J265" s="203"/>
      <c r="K265" s="203"/>
      <c r="L265" s="203"/>
      <c r="M265" s="203"/>
    </row>
    <row r="266">
      <c r="A266" s="205"/>
      <c r="B266" s="305" t="s">
        <v>1659</v>
      </c>
      <c r="C266" s="207"/>
      <c r="D266" s="223" t="s">
        <v>1660</v>
      </c>
      <c r="E266" s="207" t="s">
        <v>1661</v>
      </c>
      <c r="F266" s="304"/>
      <c r="G266" s="207"/>
      <c r="H266" s="203"/>
      <c r="I266" s="203"/>
      <c r="J266" s="203"/>
      <c r="K266" s="203"/>
      <c r="L266" s="203"/>
      <c r="M266" s="203"/>
    </row>
    <row r="267">
      <c r="A267" s="205">
        <v>179.0</v>
      </c>
      <c r="B267" s="306" t="s">
        <v>1662</v>
      </c>
      <c r="C267" s="53"/>
      <c r="D267" s="53"/>
      <c r="E267" s="53"/>
      <c r="F267" s="53"/>
      <c r="G267" s="202"/>
      <c r="H267" s="203"/>
      <c r="I267" s="203"/>
      <c r="J267" s="203"/>
      <c r="K267" s="203"/>
      <c r="L267" s="203"/>
      <c r="M267" s="203"/>
    </row>
    <row r="268">
      <c r="A268" s="205">
        <v>180.0</v>
      </c>
      <c r="B268" s="302" t="s">
        <v>1663</v>
      </c>
      <c r="C268" s="223"/>
      <c r="D268" s="223" t="s">
        <v>1664</v>
      </c>
      <c r="E268" s="225" t="s">
        <v>1665</v>
      </c>
      <c r="F268" s="229" t="s">
        <v>1666</v>
      </c>
      <c r="G268" s="225"/>
      <c r="H268" s="203"/>
      <c r="I268" s="203"/>
      <c r="J268" s="203"/>
      <c r="K268" s="203"/>
      <c r="L268" s="203"/>
      <c r="M268" s="203"/>
    </row>
    <row r="269">
      <c r="A269" s="205">
        <v>181.0</v>
      </c>
      <c r="B269" s="223" t="s">
        <v>1667</v>
      </c>
      <c r="C269" s="223"/>
      <c r="D269" s="223" t="s">
        <v>1668</v>
      </c>
      <c r="E269" s="225" t="s">
        <v>1669</v>
      </c>
      <c r="F269" s="225"/>
      <c r="G269" s="225"/>
      <c r="H269" s="203"/>
      <c r="I269" s="203"/>
      <c r="J269" s="203"/>
      <c r="K269" s="203"/>
      <c r="L269" s="203"/>
      <c r="M269" s="203"/>
    </row>
    <row r="270">
      <c r="A270" s="205">
        <v>182.0</v>
      </c>
      <c r="B270" s="307" t="s">
        <v>1670</v>
      </c>
      <c r="C270" s="223"/>
      <c r="D270" s="302" t="s">
        <v>1671</v>
      </c>
      <c r="E270" s="225" t="s">
        <v>1672</v>
      </c>
      <c r="F270" s="229" t="s">
        <v>1673</v>
      </c>
      <c r="G270" s="225"/>
      <c r="H270" s="203"/>
      <c r="I270" s="203"/>
      <c r="J270" s="203"/>
      <c r="K270" s="203"/>
      <c r="L270" s="203"/>
      <c r="M270" s="203"/>
    </row>
    <row r="271">
      <c r="A271" s="205">
        <v>183.0</v>
      </c>
      <c r="B271" s="223" t="s">
        <v>1674</v>
      </c>
      <c r="C271" s="223"/>
      <c r="D271" s="308" t="s">
        <v>1675</v>
      </c>
      <c r="E271" s="225" t="s">
        <v>1676</v>
      </c>
      <c r="F271" s="229" t="s">
        <v>1677</v>
      </c>
      <c r="G271" s="225"/>
      <c r="H271" s="203"/>
      <c r="I271" s="203"/>
      <c r="J271" s="203"/>
      <c r="K271" s="203"/>
      <c r="L271" s="203"/>
      <c r="M271" s="203"/>
    </row>
    <row r="272">
      <c r="A272" s="205">
        <v>184.0</v>
      </c>
      <c r="B272" s="223" t="s">
        <v>1678</v>
      </c>
      <c r="C272" s="223"/>
      <c r="D272" s="302" t="s">
        <v>1679</v>
      </c>
      <c r="E272" s="225" t="s">
        <v>1680</v>
      </c>
      <c r="F272" s="229" t="s">
        <v>1681</v>
      </c>
      <c r="G272" s="225"/>
      <c r="H272" s="203"/>
      <c r="I272" s="203"/>
      <c r="J272" s="203"/>
      <c r="K272" s="203"/>
      <c r="L272" s="203"/>
      <c r="M272" s="203"/>
    </row>
    <row r="273">
      <c r="A273" s="205">
        <v>185.0</v>
      </c>
      <c r="B273" s="223" t="s">
        <v>1682</v>
      </c>
      <c r="C273" s="223"/>
      <c r="D273" s="223">
        <v>9.647509890989E12</v>
      </c>
      <c r="E273" s="225" t="s">
        <v>1683</v>
      </c>
      <c r="F273" s="309" t="s">
        <v>1684</v>
      </c>
      <c r="G273" s="225"/>
      <c r="H273" s="203"/>
      <c r="I273" s="203"/>
      <c r="J273" s="203"/>
      <c r="K273" s="203"/>
      <c r="L273" s="203"/>
      <c r="M273" s="203"/>
    </row>
    <row r="274">
      <c r="A274" s="205">
        <v>186.0</v>
      </c>
      <c r="B274" s="223" t="s">
        <v>1685</v>
      </c>
      <c r="C274" s="223"/>
      <c r="D274" s="223" t="s">
        <v>1686</v>
      </c>
      <c r="E274" s="225" t="s">
        <v>1687</v>
      </c>
      <c r="F274" s="229" t="s">
        <v>1688</v>
      </c>
      <c r="G274" s="225"/>
      <c r="H274" s="203"/>
      <c r="I274" s="203"/>
      <c r="J274" s="203"/>
      <c r="K274" s="203"/>
      <c r="L274" s="203"/>
      <c r="M274" s="203"/>
    </row>
    <row r="275">
      <c r="A275" s="205">
        <v>187.0</v>
      </c>
      <c r="B275" s="223" t="s">
        <v>1689</v>
      </c>
      <c r="C275" s="223"/>
      <c r="D275" s="223" t="s">
        <v>1690</v>
      </c>
      <c r="E275" s="225" t="s">
        <v>1691</v>
      </c>
      <c r="F275" s="251" t="s">
        <v>1692</v>
      </c>
      <c r="G275" s="225"/>
      <c r="H275" s="203"/>
      <c r="I275" s="203"/>
      <c r="J275" s="203"/>
      <c r="K275" s="203"/>
      <c r="L275" s="203"/>
      <c r="M275" s="203"/>
    </row>
    <row r="276">
      <c r="A276" s="205">
        <v>188.0</v>
      </c>
      <c r="B276" s="223" t="s">
        <v>1693</v>
      </c>
      <c r="C276" s="223"/>
      <c r="D276" s="302" t="s">
        <v>1694</v>
      </c>
      <c r="E276" s="225" t="s">
        <v>1695</v>
      </c>
      <c r="F276" s="251" t="s">
        <v>1696</v>
      </c>
      <c r="G276" s="225"/>
      <c r="H276" s="203"/>
      <c r="I276" s="203"/>
      <c r="J276" s="203"/>
      <c r="K276" s="203"/>
      <c r="L276" s="203"/>
      <c r="M276" s="203"/>
    </row>
    <row r="277">
      <c r="A277" s="205">
        <v>189.0</v>
      </c>
      <c r="B277" s="223" t="s">
        <v>1697</v>
      </c>
      <c r="C277" s="223"/>
      <c r="D277" s="223" t="s">
        <v>1698</v>
      </c>
      <c r="E277" s="225" t="s">
        <v>1699</v>
      </c>
      <c r="F277" s="229" t="s">
        <v>1700</v>
      </c>
      <c r="G277" s="225"/>
      <c r="H277" s="203"/>
      <c r="I277" s="203"/>
      <c r="J277" s="203"/>
      <c r="K277" s="203"/>
      <c r="L277" s="203"/>
      <c r="M277" s="203"/>
    </row>
    <row r="278">
      <c r="A278" s="205">
        <v>190.0</v>
      </c>
      <c r="B278" s="223" t="s">
        <v>1701</v>
      </c>
      <c r="C278" s="223"/>
      <c r="D278" s="310" t="s">
        <v>1702</v>
      </c>
      <c r="E278" s="225" t="s">
        <v>1703</v>
      </c>
      <c r="F278" s="229" t="s">
        <v>1704</v>
      </c>
      <c r="G278" s="225"/>
      <c r="H278" s="203"/>
      <c r="I278" s="203"/>
      <c r="J278" s="203"/>
      <c r="K278" s="203"/>
      <c r="L278" s="203"/>
      <c r="M278" s="203"/>
    </row>
    <row r="279">
      <c r="A279" s="205">
        <v>191.0</v>
      </c>
      <c r="B279" s="223" t="s">
        <v>1705</v>
      </c>
      <c r="C279" s="223"/>
      <c r="D279" s="223" t="s">
        <v>1706</v>
      </c>
      <c r="E279" s="225" t="s">
        <v>1707</v>
      </c>
      <c r="F279" s="229" t="s">
        <v>1708</v>
      </c>
      <c r="G279" s="225"/>
      <c r="H279" s="203"/>
      <c r="I279" s="203"/>
      <c r="J279" s="203"/>
      <c r="K279" s="203"/>
      <c r="L279" s="203"/>
      <c r="M279" s="203"/>
    </row>
    <row r="280">
      <c r="A280" s="205">
        <v>192.0</v>
      </c>
      <c r="B280" s="223" t="s">
        <v>1709</v>
      </c>
      <c r="C280" s="223"/>
      <c r="D280" s="223" t="s">
        <v>1710</v>
      </c>
      <c r="E280" s="225" t="s">
        <v>1711</v>
      </c>
      <c r="F280" s="229" t="s">
        <v>1712</v>
      </c>
      <c r="G280" s="225"/>
      <c r="H280" s="203"/>
      <c r="I280" s="203"/>
      <c r="J280" s="203"/>
      <c r="K280" s="203"/>
      <c r="L280" s="203"/>
      <c r="M280" s="203"/>
    </row>
    <row r="281">
      <c r="A281" s="205">
        <v>193.0</v>
      </c>
      <c r="B281" s="223" t="s">
        <v>1713</v>
      </c>
      <c r="C281" s="223"/>
      <c r="D281" s="223">
        <v>9.647710006E12</v>
      </c>
      <c r="E281" s="225" t="s">
        <v>1714</v>
      </c>
      <c r="F281" s="229" t="s">
        <v>1715</v>
      </c>
      <c r="G281" s="225"/>
      <c r="H281" s="203"/>
      <c r="I281" s="203"/>
      <c r="J281" s="203"/>
      <c r="K281" s="203"/>
      <c r="L281" s="203"/>
      <c r="M281" s="203"/>
    </row>
    <row r="282">
      <c r="A282" s="205">
        <v>194.0</v>
      </c>
      <c r="B282" s="223" t="s">
        <v>1716</v>
      </c>
      <c r="C282" s="223"/>
      <c r="D282" s="302" t="s">
        <v>1717</v>
      </c>
      <c r="E282" s="225" t="s">
        <v>1718</v>
      </c>
      <c r="F282" s="229" t="s">
        <v>1719</v>
      </c>
      <c r="G282" s="225"/>
      <c r="H282" s="203"/>
      <c r="I282" s="203"/>
      <c r="J282" s="203"/>
      <c r="K282" s="203"/>
      <c r="L282" s="203"/>
      <c r="M282" s="203"/>
    </row>
    <row r="283">
      <c r="A283" s="205">
        <v>195.0</v>
      </c>
      <c r="B283" s="236" t="s">
        <v>1720</v>
      </c>
      <c r="C283" s="223"/>
      <c r="D283" s="302" t="s">
        <v>1721</v>
      </c>
      <c r="E283" s="225" t="s">
        <v>1722</v>
      </c>
      <c r="F283" s="229" t="s">
        <v>1723</v>
      </c>
      <c r="G283" s="225"/>
      <c r="H283" s="203"/>
      <c r="I283" s="203"/>
      <c r="J283" s="203"/>
      <c r="K283" s="203"/>
      <c r="L283" s="203"/>
      <c r="M283" s="203"/>
    </row>
    <row r="284">
      <c r="A284" s="205">
        <v>196.0</v>
      </c>
      <c r="B284" s="236" t="s">
        <v>1724</v>
      </c>
      <c r="C284" s="223"/>
      <c r="D284" s="223">
        <v>9.647504617977E12</v>
      </c>
      <c r="E284" s="225" t="s">
        <v>1725</v>
      </c>
      <c r="F284" s="229" t="s">
        <v>1726</v>
      </c>
      <c r="G284" s="225"/>
      <c r="H284" s="203"/>
      <c r="I284" s="203"/>
      <c r="J284" s="203"/>
      <c r="K284" s="203"/>
      <c r="L284" s="203"/>
      <c r="M284" s="203"/>
    </row>
    <row r="285">
      <c r="A285" s="205">
        <v>197.0</v>
      </c>
      <c r="B285" s="307" t="s">
        <v>1727</v>
      </c>
      <c r="C285" s="223"/>
      <c r="D285" s="302" t="s">
        <v>1728</v>
      </c>
      <c r="E285" s="225" t="s">
        <v>1729</v>
      </c>
      <c r="F285" s="229" t="s">
        <v>1730</v>
      </c>
      <c r="G285" s="225"/>
      <c r="H285" s="203"/>
      <c r="I285" s="203"/>
      <c r="J285" s="203"/>
      <c r="K285" s="203"/>
      <c r="L285" s="203"/>
      <c r="M285" s="203"/>
    </row>
    <row r="286">
      <c r="A286" s="205">
        <v>198.0</v>
      </c>
      <c r="B286" s="236" t="s">
        <v>1731</v>
      </c>
      <c r="C286" s="223"/>
      <c r="D286" s="223" t="s">
        <v>1732</v>
      </c>
      <c r="E286" s="225" t="s">
        <v>1733</v>
      </c>
      <c r="F286" s="229" t="s">
        <v>1734</v>
      </c>
      <c r="G286" s="225"/>
      <c r="H286" s="203"/>
      <c r="I286" s="203"/>
      <c r="J286" s="203"/>
      <c r="K286" s="203"/>
      <c r="L286" s="203"/>
      <c r="M286" s="203"/>
    </row>
    <row r="287">
      <c r="A287" s="205">
        <v>199.0</v>
      </c>
      <c r="B287" s="223" t="s">
        <v>1735</v>
      </c>
      <c r="C287" s="223"/>
      <c r="D287" s="223" t="s">
        <v>1736</v>
      </c>
      <c r="E287" s="225" t="s">
        <v>1737</v>
      </c>
      <c r="F287" s="229" t="s">
        <v>1738</v>
      </c>
      <c r="G287" s="225"/>
      <c r="H287" s="203"/>
      <c r="I287" s="203"/>
      <c r="J287" s="203"/>
      <c r="K287" s="203"/>
      <c r="L287" s="203"/>
      <c r="M287" s="203"/>
    </row>
    <row r="288">
      <c r="A288" s="205">
        <v>200.0</v>
      </c>
      <c r="B288" s="311" t="s">
        <v>1739</v>
      </c>
      <c r="C288" s="53"/>
      <c r="D288" s="53"/>
      <c r="E288" s="53"/>
      <c r="F288" s="53"/>
      <c r="G288" s="202"/>
      <c r="H288" s="203"/>
      <c r="I288" s="203"/>
      <c r="J288" s="203"/>
      <c r="K288" s="203"/>
      <c r="L288" s="203"/>
      <c r="M288" s="203"/>
    </row>
    <row r="289">
      <c r="A289" s="205">
        <v>201.0</v>
      </c>
      <c r="B289" s="223" t="s">
        <v>1740</v>
      </c>
      <c r="C289" s="223"/>
      <c r="D289" s="302" t="s">
        <v>1741</v>
      </c>
      <c r="E289" s="225" t="s">
        <v>1742</v>
      </c>
      <c r="F289" s="229" t="s">
        <v>1743</v>
      </c>
      <c r="G289" s="225"/>
      <c r="H289" s="203"/>
      <c r="I289" s="203"/>
      <c r="J289" s="203"/>
      <c r="K289" s="203"/>
      <c r="L289" s="203"/>
      <c r="M289" s="203"/>
    </row>
    <row r="290">
      <c r="A290" s="205">
        <v>202.0</v>
      </c>
      <c r="B290" s="223" t="s">
        <v>1744</v>
      </c>
      <c r="C290" s="223"/>
      <c r="D290" s="223"/>
      <c r="E290" s="225" t="s">
        <v>1745</v>
      </c>
      <c r="F290" s="229" t="s">
        <v>1746</v>
      </c>
      <c r="G290" s="225"/>
      <c r="H290" s="203"/>
      <c r="I290" s="203"/>
      <c r="J290" s="203"/>
      <c r="K290" s="203"/>
      <c r="L290" s="203"/>
      <c r="M290" s="203"/>
    </row>
    <row r="291">
      <c r="A291" s="205">
        <v>203.0</v>
      </c>
      <c r="B291" s="223" t="s">
        <v>1747</v>
      </c>
      <c r="C291" s="223"/>
      <c r="D291" s="223" t="s">
        <v>1748</v>
      </c>
      <c r="E291" s="225" t="s">
        <v>1749</v>
      </c>
      <c r="F291" s="229" t="s">
        <v>1750</v>
      </c>
      <c r="G291" s="225"/>
      <c r="H291" s="203"/>
      <c r="I291" s="203"/>
      <c r="J291" s="203"/>
      <c r="K291" s="203"/>
      <c r="L291" s="203"/>
      <c r="M291" s="203"/>
    </row>
    <row r="292">
      <c r="A292" s="205">
        <v>204.0</v>
      </c>
      <c r="B292" s="223" t="s">
        <v>1751</v>
      </c>
      <c r="C292" s="223"/>
      <c r="D292" s="223" t="s">
        <v>1752</v>
      </c>
      <c r="E292" s="225" t="s">
        <v>1753</v>
      </c>
      <c r="F292" s="229" t="s">
        <v>1754</v>
      </c>
      <c r="G292" s="225"/>
      <c r="H292" s="203"/>
      <c r="I292" s="203"/>
      <c r="J292" s="203"/>
      <c r="K292" s="203"/>
      <c r="L292" s="203"/>
      <c r="M292" s="203"/>
    </row>
    <row r="293">
      <c r="A293" s="312">
        <v>205.0</v>
      </c>
      <c r="B293" s="313" t="s">
        <v>1755</v>
      </c>
      <c r="C293" s="313"/>
      <c r="D293" s="313" t="s">
        <v>1756</v>
      </c>
      <c r="E293" s="314" t="s">
        <v>1757</v>
      </c>
      <c r="F293" s="315" t="s">
        <v>1758</v>
      </c>
      <c r="G293" s="314"/>
      <c r="H293" s="316"/>
      <c r="I293" s="316"/>
      <c r="J293" s="316"/>
      <c r="K293" s="316"/>
      <c r="L293" s="316"/>
      <c r="M293" s="316"/>
      <c r="N293" s="317"/>
      <c r="O293" s="317"/>
      <c r="P293" s="317"/>
      <c r="Q293" s="317"/>
      <c r="R293" s="317"/>
      <c r="S293" s="317"/>
      <c r="T293" s="317"/>
      <c r="U293" s="317"/>
      <c r="V293" s="317"/>
      <c r="W293" s="317"/>
      <c r="X293" s="317"/>
      <c r="Y293" s="317"/>
    </row>
    <row r="294">
      <c r="A294" s="205">
        <v>206.0</v>
      </c>
      <c r="B294" s="223" t="s">
        <v>1759</v>
      </c>
      <c r="C294" s="223"/>
      <c r="D294" s="223" t="s">
        <v>1760</v>
      </c>
      <c r="E294" s="225" t="s">
        <v>1761</v>
      </c>
      <c r="F294" s="229" t="s">
        <v>1762</v>
      </c>
      <c r="G294" s="225"/>
      <c r="H294" s="203"/>
      <c r="I294" s="203"/>
      <c r="J294" s="203"/>
      <c r="K294" s="203"/>
      <c r="L294" s="203"/>
      <c r="M294" s="203"/>
    </row>
    <row r="295">
      <c r="A295" s="205">
        <v>207.0</v>
      </c>
      <c r="B295" s="223" t="s">
        <v>1763</v>
      </c>
      <c r="C295" s="223"/>
      <c r="D295" s="223" t="s">
        <v>1764</v>
      </c>
      <c r="E295" s="225" t="s">
        <v>1765</v>
      </c>
      <c r="F295" s="229" t="s">
        <v>1766</v>
      </c>
      <c r="G295" s="225"/>
      <c r="H295" s="203"/>
      <c r="I295" s="203"/>
      <c r="J295" s="203"/>
      <c r="K295" s="203"/>
      <c r="L295" s="203"/>
      <c r="M295" s="203"/>
    </row>
    <row r="296">
      <c r="A296" s="205">
        <v>208.0</v>
      </c>
      <c r="B296" s="223" t="s">
        <v>1767</v>
      </c>
      <c r="C296" s="223"/>
      <c r="D296" s="223"/>
      <c r="E296" s="225" t="s">
        <v>1768</v>
      </c>
      <c r="F296" s="225"/>
      <c r="G296" s="225"/>
      <c r="H296" s="203"/>
      <c r="I296" s="203"/>
      <c r="J296" s="203"/>
      <c r="K296" s="203"/>
      <c r="L296" s="203"/>
      <c r="M296" s="203"/>
    </row>
    <row r="297">
      <c r="A297" s="205">
        <v>209.0</v>
      </c>
      <c r="B297" s="223" t="s">
        <v>1769</v>
      </c>
      <c r="C297" s="223"/>
      <c r="D297" s="223"/>
      <c r="E297" s="225"/>
      <c r="F297" s="225"/>
      <c r="G297" s="225"/>
      <c r="H297" s="203"/>
      <c r="I297" s="203"/>
      <c r="J297" s="203"/>
      <c r="K297" s="203"/>
      <c r="L297" s="203"/>
      <c r="M297" s="203"/>
    </row>
    <row r="298">
      <c r="A298" s="205">
        <v>210.0</v>
      </c>
      <c r="B298" s="223" t="s">
        <v>1770</v>
      </c>
      <c r="C298" s="223"/>
      <c r="D298" s="223" t="s">
        <v>1771</v>
      </c>
      <c r="E298" s="225"/>
      <c r="F298" s="225"/>
      <c r="G298" s="225"/>
      <c r="H298" s="203"/>
      <c r="I298" s="203"/>
      <c r="J298" s="203"/>
      <c r="K298" s="203"/>
      <c r="L298" s="203"/>
      <c r="M298" s="203"/>
    </row>
    <row r="299">
      <c r="A299" s="205">
        <v>211.0</v>
      </c>
      <c r="B299" s="223" t="s">
        <v>1772</v>
      </c>
      <c r="C299" s="223"/>
      <c r="D299" s="223" t="s">
        <v>1773</v>
      </c>
      <c r="E299" s="225" t="s">
        <v>1774</v>
      </c>
      <c r="F299" s="225"/>
      <c r="G299" s="225"/>
      <c r="H299" s="203"/>
      <c r="I299" s="203"/>
      <c r="J299" s="203"/>
      <c r="K299" s="203"/>
      <c r="L299" s="203"/>
      <c r="M299" s="203"/>
    </row>
    <row r="300">
      <c r="A300" s="205">
        <v>212.0</v>
      </c>
      <c r="B300" s="223" t="s">
        <v>1775</v>
      </c>
      <c r="C300" s="223"/>
      <c r="D300" s="223" t="s">
        <v>1776</v>
      </c>
      <c r="E300" s="225" t="s">
        <v>1777</v>
      </c>
      <c r="F300" s="225"/>
      <c r="G300" s="225"/>
      <c r="H300" s="203"/>
      <c r="I300" s="203"/>
      <c r="J300" s="203"/>
      <c r="K300" s="203"/>
      <c r="L300" s="203"/>
      <c r="M300" s="203"/>
    </row>
    <row r="301">
      <c r="A301" s="205">
        <v>213.0</v>
      </c>
      <c r="B301" s="223" t="s">
        <v>1778</v>
      </c>
      <c r="C301" s="223"/>
      <c r="D301" s="223" t="s">
        <v>1779</v>
      </c>
      <c r="E301" s="225" t="s">
        <v>1780</v>
      </c>
      <c r="F301" s="225"/>
      <c r="G301" s="225"/>
      <c r="H301" s="203"/>
      <c r="I301" s="203"/>
      <c r="J301" s="203"/>
      <c r="K301" s="203"/>
      <c r="L301" s="203"/>
      <c r="M301" s="203"/>
    </row>
    <row r="302">
      <c r="A302" s="205">
        <v>214.0</v>
      </c>
      <c r="B302" s="223" t="s">
        <v>1744</v>
      </c>
      <c r="C302" s="223"/>
      <c r="D302" s="223" t="s">
        <v>1781</v>
      </c>
      <c r="E302" s="225" t="s">
        <v>1745</v>
      </c>
      <c r="F302" s="225"/>
      <c r="G302" s="225"/>
      <c r="H302" s="203"/>
      <c r="I302" s="203"/>
      <c r="J302" s="203"/>
      <c r="K302" s="203"/>
      <c r="L302" s="203"/>
      <c r="M302" s="203"/>
    </row>
    <row r="303">
      <c r="A303" s="205">
        <v>215.0</v>
      </c>
      <c r="B303" s="223" t="s">
        <v>1782</v>
      </c>
      <c r="C303" s="223"/>
      <c r="D303" s="223"/>
      <c r="E303" s="225"/>
      <c r="F303" s="225"/>
      <c r="G303" s="225"/>
      <c r="H303" s="203"/>
      <c r="I303" s="203"/>
      <c r="J303" s="203"/>
      <c r="K303" s="203"/>
      <c r="L303" s="203"/>
      <c r="M303" s="203"/>
    </row>
    <row r="304">
      <c r="A304" s="205">
        <v>216.0</v>
      </c>
      <c r="B304" s="223" t="s">
        <v>1783</v>
      </c>
      <c r="C304" s="223"/>
      <c r="D304" s="223" t="s">
        <v>1784</v>
      </c>
      <c r="E304" s="225" t="s">
        <v>1785</v>
      </c>
      <c r="F304" s="229" t="s">
        <v>1786</v>
      </c>
      <c r="G304" s="225"/>
      <c r="H304" s="203"/>
      <c r="I304" s="203"/>
      <c r="J304" s="203"/>
      <c r="K304" s="203"/>
      <c r="L304" s="203"/>
      <c r="M304" s="203"/>
    </row>
    <row r="305">
      <c r="A305" s="205">
        <v>217.0</v>
      </c>
      <c r="B305" s="223" t="s">
        <v>1787</v>
      </c>
      <c r="C305" s="223"/>
      <c r="D305" s="223" t="s">
        <v>1788</v>
      </c>
      <c r="E305" s="225" t="s">
        <v>1789</v>
      </c>
      <c r="F305" s="229" t="s">
        <v>1790</v>
      </c>
      <c r="G305" s="225"/>
      <c r="H305" s="203"/>
      <c r="I305" s="203"/>
      <c r="J305" s="203"/>
      <c r="K305" s="203"/>
      <c r="L305" s="203"/>
      <c r="M305" s="203"/>
    </row>
    <row r="306">
      <c r="A306" s="205"/>
      <c r="B306" s="223"/>
      <c r="C306" s="223"/>
      <c r="D306" s="223"/>
      <c r="E306" s="225"/>
      <c r="F306" s="225"/>
      <c r="G306" s="225"/>
      <c r="H306" s="203"/>
      <c r="I306" s="203"/>
      <c r="J306" s="203"/>
      <c r="K306" s="203"/>
      <c r="L306" s="203"/>
      <c r="M306" s="203"/>
    </row>
    <row r="307">
      <c r="A307" s="205"/>
      <c r="B307" s="223"/>
      <c r="C307" s="223"/>
      <c r="D307" s="223"/>
      <c r="E307" s="225"/>
      <c r="F307" s="225"/>
      <c r="G307" s="225"/>
      <c r="H307" s="203"/>
      <c r="I307" s="203"/>
      <c r="J307" s="203"/>
      <c r="K307" s="203"/>
      <c r="L307" s="203"/>
      <c r="M307" s="203"/>
    </row>
    <row r="308">
      <c r="A308" s="205"/>
      <c r="B308" s="223"/>
      <c r="C308" s="223"/>
      <c r="D308" s="223"/>
      <c r="E308" s="225"/>
      <c r="F308" s="225"/>
      <c r="G308" s="225"/>
      <c r="H308" s="203"/>
      <c r="I308" s="203"/>
      <c r="J308" s="203"/>
      <c r="K308" s="203"/>
      <c r="L308" s="203"/>
      <c r="M308" s="203"/>
    </row>
    <row r="309">
      <c r="A309" s="205"/>
      <c r="B309" s="223"/>
      <c r="C309" s="223"/>
      <c r="D309" s="223"/>
      <c r="E309" s="225"/>
      <c r="F309" s="225"/>
      <c r="G309" s="225"/>
      <c r="H309" s="203"/>
      <c r="I309" s="203"/>
      <c r="J309" s="203"/>
      <c r="K309" s="203"/>
      <c r="L309" s="203"/>
      <c r="M309" s="203"/>
    </row>
    <row r="310">
      <c r="A310" s="205"/>
      <c r="B310" s="223"/>
      <c r="C310" s="223"/>
      <c r="D310" s="223"/>
      <c r="E310" s="225"/>
      <c r="F310" s="225"/>
      <c r="G310" s="225"/>
      <c r="H310" s="203"/>
      <c r="I310" s="203"/>
      <c r="J310" s="203"/>
      <c r="K310" s="203"/>
      <c r="L310" s="203"/>
      <c r="M310" s="203"/>
    </row>
    <row r="311">
      <c r="A311" s="205"/>
      <c r="B311" s="223"/>
      <c r="C311" s="223"/>
      <c r="D311" s="223"/>
      <c r="E311" s="225"/>
      <c r="F311" s="225"/>
      <c r="G311" s="225"/>
      <c r="H311" s="203"/>
      <c r="I311" s="203"/>
      <c r="J311" s="203"/>
      <c r="K311" s="203"/>
      <c r="L311" s="203"/>
      <c r="M311" s="203"/>
    </row>
    <row r="312">
      <c r="A312" s="205"/>
      <c r="B312" s="223"/>
      <c r="C312" s="223"/>
      <c r="D312" s="223"/>
      <c r="E312" s="225"/>
      <c r="F312" s="225"/>
      <c r="G312" s="225"/>
      <c r="H312" s="203"/>
      <c r="I312" s="203"/>
      <c r="J312" s="203"/>
      <c r="K312" s="203"/>
      <c r="L312" s="203"/>
      <c r="M312" s="203"/>
    </row>
    <row r="313">
      <c r="A313" s="205"/>
      <c r="B313" s="223"/>
      <c r="C313" s="223"/>
      <c r="D313" s="223"/>
      <c r="E313" s="225"/>
      <c r="F313" s="225"/>
      <c r="G313" s="225"/>
      <c r="H313" s="203"/>
      <c r="I313" s="203"/>
      <c r="J313" s="203"/>
      <c r="K313" s="203"/>
      <c r="L313" s="203"/>
      <c r="M313" s="203"/>
    </row>
    <row r="314">
      <c r="A314" s="205"/>
      <c r="B314" s="223"/>
      <c r="C314" s="223"/>
      <c r="D314" s="223"/>
      <c r="E314" s="225"/>
      <c r="F314" s="225"/>
      <c r="G314" s="225"/>
      <c r="H314" s="203"/>
      <c r="I314" s="203"/>
      <c r="J314" s="203"/>
      <c r="K314" s="203"/>
      <c r="L314" s="203"/>
      <c r="M314" s="203"/>
    </row>
    <row r="315">
      <c r="A315" s="205"/>
      <c r="B315" s="223"/>
      <c r="C315" s="223"/>
      <c r="D315" s="223"/>
      <c r="E315" s="225"/>
      <c r="F315" s="225"/>
      <c r="G315" s="225"/>
      <c r="H315" s="203"/>
      <c r="I315" s="203"/>
      <c r="J315" s="203"/>
      <c r="K315" s="203"/>
      <c r="L315" s="203"/>
      <c r="M315" s="203"/>
    </row>
    <row r="316">
      <c r="A316" s="205"/>
      <c r="B316" s="223"/>
      <c r="C316" s="223"/>
      <c r="D316" s="223"/>
      <c r="E316" s="225"/>
      <c r="F316" s="225"/>
      <c r="G316" s="225"/>
      <c r="H316" s="203"/>
      <c r="I316" s="203"/>
      <c r="J316" s="203"/>
      <c r="K316" s="203"/>
      <c r="L316" s="203"/>
      <c r="M316" s="203"/>
    </row>
    <row r="317">
      <c r="A317" s="205"/>
      <c r="B317" s="223"/>
      <c r="C317" s="223"/>
      <c r="D317" s="223"/>
      <c r="E317" s="225"/>
      <c r="F317" s="225"/>
      <c r="G317" s="225"/>
      <c r="H317" s="203"/>
      <c r="I317" s="203"/>
      <c r="J317" s="203"/>
      <c r="K317" s="203"/>
      <c r="L317" s="203"/>
      <c r="M317" s="203"/>
    </row>
    <row r="318">
      <c r="A318" s="205"/>
      <c r="B318" s="223"/>
      <c r="C318" s="223"/>
      <c r="D318" s="223"/>
      <c r="E318" s="225"/>
      <c r="F318" s="225"/>
      <c r="G318" s="225"/>
      <c r="H318" s="203"/>
      <c r="I318" s="203"/>
      <c r="J318" s="203"/>
      <c r="K318" s="203"/>
      <c r="L318" s="203"/>
      <c r="M318" s="203"/>
    </row>
    <row r="319">
      <c r="A319" s="205"/>
      <c r="B319" s="223"/>
      <c r="C319" s="223"/>
      <c r="D319" s="223"/>
      <c r="E319" s="225"/>
      <c r="F319" s="225"/>
      <c r="G319" s="225"/>
      <c r="H319" s="203"/>
      <c r="I319" s="203"/>
      <c r="J319" s="203"/>
      <c r="K319" s="203"/>
      <c r="L319" s="203"/>
      <c r="M319" s="203"/>
    </row>
    <row r="320">
      <c r="A320" s="205"/>
      <c r="B320" s="223"/>
      <c r="C320" s="223"/>
      <c r="D320" s="223"/>
      <c r="E320" s="225"/>
      <c r="F320" s="225"/>
      <c r="G320" s="225"/>
      <c r="H320" s="203"/>
      <c r="I320" s="203"/>
      <c r="J320" s="203"/>
      <c r="K320" s="203"/>
      <c r="L320" s="203"/>
      <c r="M320" s="203"/>
    </row>
    <row r="321">
      <c r="A321" s="205"/>
      <c r="B321" s="223"/>
      <c r="C321" s="223"/>
      <c r="D321" s="223"/>
      <c r="E321" s="225"/>
      <c r="F321" s="225"/>
      <c r="G321" s="225"/>
      <c r="H321" s="203"/>
      <c r="I321" s="203"/>
      <c r="J321" s="203"/>
      <c r="K321" s="203"/>
      <c r="L321" s="203"/>
      <c r="M321" s="203"/>
    </row>
    <row r="322">
      <c r="A322" s="205"/>
      <c r="B322" s="223"/>
      <c r="C322" s="223"/>
      <c r="D322" s="223"/>
      <c r="E322" s="225"/>
      <c r="F322" s="225"/>
      <c r="G322" s="225"/>
      <c r="H322" s="203"/>
      <c r="I322" s="203"/>
      <c r="J322" s="203"/>
      <c r="K322" s="203"/>
      <c r="L322" s="203"/>
      <c r="M322" s="203"/>
    </row>
    <row r="323">
      <c r="A323" s="205"/>
      <c r="B323" s="223"/>
      <c r="C323" s="223"/>
      <c r="D323" s="223"/>
      <c r="E323" s="225"/>
      <c r="F323" s="225"/>
      <c r="G323" s="225"/>
      <c r="H323" s="203"/>
      <c r="I323" s="203"/>
      <c r="J323" s="203"/>
      <c r="K323" s="203"/>
      <c r="L323" s="203"/>
      <c r="M323" s="203"/>
    </row>
    <row r="324">
      <c r="A324" s="205"/>
      <c r="B324" s="223"/>
      <c r="C324" s="223"/>
      <c r="D324" s="223"/>
      <c r="E324" s="225"/>
      <c r="F324" s="225"/>
      <c r="G324" s="225"/>
      <c r="H324" s="203"/>
      <c r="I324" s="203"/>
      <c r="J324" s="203"/>
      <c r="K324" s="203"/>
      <c r="L324" s="203"/>
      <c r="M324" s="203"/>
    </row>
    <row r="325">
      <c r="A325" s="205">
        <v>218.0</v>
      </c>
      <c r="B325" s="223"/>
      <c r="C325" s="223"/>
      <c r="D325" s="223"/>
      <c r="E325" s="225"/>
      <c r="F325" s="225"/>
      <c r="G325" s="225"/>
      <c r="H325" s="203"/>
      <c r="I325" s="203"/>
      <c r="J325" s="203"/>
      <c r="K325" s="203"/>
      <c r="L325" s="203"/>
      <c r="M325" s="203"/>
    </row>
    <row r="326">
      <c r="A326" s="205">
        <v>219.0</v>
      </c>
      <c r="B326" s="311" t="s">
        <v>1791</v>
      </c>
      <c r="C326" s="53"/>
      <c r="D326" s="53"/>
      <c r="E326" s="53"/>
      <c r="F326" s="53"/>
      <c r="G326" s="202"/>
      <c r="H326" s="203"/>
      <c r="I326" s="203"/>
      <c r="J326" s="203"/>
      <c r="K326" s="203"/>
      <c r="L326" s="203"/>
      <c r="M326" s="203"/>
    </row>
    <row r="327">
      <c r="A327" s="205">
        <v>220.0</v>
      </c>
      <c r="B327" s="223" t="s">
        <v>1792</v>
      </c>
      <c r="C327" s="223"/>
      <c r="D327" s="223" t="s">
        <v>1793</v>
      </c>
      <c r="E327" s="225" t="s">
        <v>1794</v>
      </c>
      <c r="F327" s="225"/>
      <c r="G327" s="225"/>
      <c r="H327" s="203"/>
      <c r="I327" s="203"/>
      <c r="J327" s="203"/>
      <c r="K327" s="203"/>
      <c r="L327" s="203"/>
      <c r="M327" s="203"/>
    </row>
    <row r="328">
      <c r="A328" s="205">
        <v>221.0</v>
      </c>
      <c r="B328" s="223" t="s">
        <v>1795</v>
      </c>
      <c r="C328" s="223"/>
      <c r="D328" s="223" t="s">
        <v>1796</v>
      </c>
      <c r="E328" s="225" t="s">
        <v>1797</v>
      </c>
      <c r="F328" s="225"/>
      <c r="G328" s="225"/>
      <c r="H328" s="203"/>
      <c r="I328" s="203"/>
      <c r="J328" s="203"/>
      <c r="K328" s="203"/>
      <c r="L328" s="203"/>
      <c r="M328" s="203"/>
    </row>
    <row r="329">
      <c r="A329" s="205">
        <v>222.0</v>
      </c>
      <c r="B329" s="223" t="s">
        <v>1798</v>
      </c>
      <c r="C329" s="223"/>
      <c r="D329" s="223" t="s">
        <v>1799</v>
      </c>
      <c r="E329" s="223" t="s">
        <v>1800</v>
      </c>
      <c r="F329" s="225"/>
      <c r="G329" s="225"/>
      <c r="H329" s="203"/>
      <c r="I329" s="203"/>
      <c r="J329" s="203"/>
      <c r="K329" s="203"/>
      <c r="L329" s="203"/>
      <c r="M329" s="203"/>
    </row>
    <row r="330">
      <c r="A330" s="205"/>
      <c r="B330" s="223" t="s">
        <v>1801</v>
      </c>
      <c r="C330" s="223"/>
      <c r="D330" s="223" t="s">
        <v>1802</v>
      </c>
      <c r="E330" s="225"/>
      <c r="F330" s="225"/>
      <c r="G330" s="225"/>
      <c r="H330" s="203"/>
      <c r="I330" s="203"/>
      <c r="J330" s="203"/>
      <c r="K330" s="203"/>
      <c r="L330" s="203"/>
      <c r="M330" s="203"/>
    </row>
    <row r="331">
      <c r="A331" s="205"/>
      <c r="B331" s="223" t="s">
        <v>1803</v>
      </c>
      <c r="C331" s="223" t="s">
        <v>1804</v>
      </c>
      <c r="D331" s="223" t="s">
        <v>1805</v>
      </c>
      <c r="E331" s="225"/>
      <c r="F331" s="225"/>
      <c r="G331" s="225"/>
      <c r="H331" s="203"/>
      <c r="I331" s="203"/>
      <c r="J331" s="203"/>
      <c r="K331" s="203"/>
      <c r="L331" s="203"/>
      <c r="M331" s="203"/>
    </row>
    <row r="332">
      <c r="A332" s="205"/>
      <c r="B332" s="223" t="s">
        <v>1806</v>
      </c>
      <c r="C332" s="223" t="s">
        <v>1807</v>
      </c>
      <c r="D332" s="223" t="s">
        <v>1808</v>
      </c>
      <c r="E332" s="225"/>
      <c r="F332" s="225"/>
      <c r="G332" s="225"/>
      <c r="H332" s="203"/>
      <c r="I332" s="203"/>
      <c r="J332" s="203"/>
      <c r="K332" s="203"/>
      <c r="L332" s="203"/>
      <c r="M332" s="203"/>
    </row>
    <row r="333">
      <c r="A333" s="205"/>
      <c r="B333" s="223" t="s">
        <v>1809</v>
      </c>
      <c r="C333" s="223" t="s">
        <v>1810</v>
      </c>
      <c r="D333" s="223" t="s">
        <v>1811</v>
      </c>
      <c r="E333" s="225"/>
      <c r="F333" s="225"/>
      <c r="G333" s="225"/>
      <c r="H333" s="203"/>
      <c r="I333" s="203"/>
      <c r="J333" s="203"/>
      <c r="K333" s="203"/>
      <c r="L333" s="203"/>
      <c r="M333" s="203"/>
    </row>
    <row r="334">
      <c r="A334" s="205"/>
      <c r="B334" s="223" t="s">
        <v>1812</v>
      </c>
      <c r="C334" s="223" t="s">
        <v>1813</v>
      </c>
      <c r="D334" s="223" t="s">
        <v>1814</v>
      </c>
      <c r="E334" s="225"/>
      <c r="F334" s="225"/>
      <c r="G334" s="225"/>
      <c r="H334" s="203"/>
      <c r="I334" s="203"/>
      <c r="J334" s="203"/>
      <c r="K334" s="203"/>
      <c r="L334" s="203"/>
      <c r="M334" s="203"/>
    </row>
    <row r="335">
      <c r="A335" s="205"/>
      <c r="B335" s="223" t="s">
        <v>1815</v>
      </c>
      <c r="C335" s="223" t="s">
        <v>1816</v>
      </c>
      <c r="D335" s="223" t="s">
        <v>1817</v>
      </c>
      <c r="E335" s="225"/>
      <c r="F335" s="225"/>
      <c r="G335" s="225"/>
      <c r="H335" s="203"/>
      <c r="I335" s="203"/>
      <c r="J335" s="203"/>
      <c r="K335" s="203"/>
      <c r="L335" s="203"/>
      <c r="M335" s="203"/>
    </row>
    <row r="336">
      <c r="A336" s="205"/>
      <c r="B336" s="223" t="s">
        <v>1818</v>
      </c>
      <c r="C336" s="223"/>
      <c r="D336" s="223"/>
      <c r="E336" s="225"/>
      <c r="F336" s="225"/>
      <c r="G336" s="225"/>
      <c r="H336" s="203"/>
      <c r="I336" s="203"/>
      <c r="J336" s="203"/>
      <c r="K336" s="203"/>
      <c r="L336" s="203"/>
      <c r="M336" s="203"/>
    </row>
    <row r="337">
      <c r="A337" s="205"/>
      <c r="B337" s="223" t="s">
        <v>1819</v>
      </c>
      <c r="C337" s="223" t="s">
        <v>1820</v>
      </c>
      <c r="D337" s="223" t="s">
        <v>1821</v>
      </c>
      <c r="E337" s="225" t="s">
        <v>1822</v>
      </c>
      <c r="F337" s="225"/>
      <c r="G337" s="225"/>
      <c r="H337" s="203"/>
      <c r="I337" s="203"/>
      <c r="J337" s="203"/>
      <c r="K337" s="203"/>
      <c r="L337" s="203"/>
      <c r="M337" s="203"/>
    </row>
    <row r="338">
      <c r="A338" s="205"/>
      <c r="B338" s="223" t="s">
        <v>1823</v>
      </c>
      <c r="C338" s="223" t="s">
        <v>1824</v>
      </c>
      <c r="D338" s="223" t="s">
        <v>1825</v>
      </c>
      <c r="E338" s="225" t="s">
        <v>1826</v>
      </c>
      <c r="F338" s="225"/>
      <c r="G338" s="225"/>
      <c r="H338" s="203"/>
      <c r="I338" s="203"/>
      <c r="J338" s="203"/>
      <c r="K338" s="203"/>
      <c r="L338" s="203"/>
      <c r="M338" s="203"/>
    </row>
    <row r="339">
      <c r="A339" s="205"/>
      <c r="B339" s="223" t="s">
        <v>1827</v>
      </c>
      <c r="C339" s="223"/>
      <c r="D339" s="223" t="s">
        <v>1828</v>
      </c>
      <c r="E339" s="225"/>
      <c r="F339" s="225"/>
      <c r="G339" s="225"/>
      <c r="H339" s="203"/>
      <c r="I339" s="203"/>
      <c r="J339" s="203"/>
      <c r="K339" s="203"/>
      <c r="L339" s="203"/>
      <c r="M339" s="203"/>
    </row>
    <row r="340">
      <c r="A340" s="205"/>
      <c r="B340" s="223" t="s">
        <v>1829</v>
      </c>
      <c r="C340" s="223"/>
      <c r="D340" s="223" t="s">
        <v>1830</v>
      </c>
      <c r="E340" s="225"/>
      <c r="F340" s="225"/>
      <c r="G340" s="225"/>
      <c r="H340" s="203"/>
      <c r="I340" s="203"/>
      <c r="J340" s="203"/>
      <c r="K340" s="203"/>
      <c r="L340" s="203"/>
      <c r="M340" s="203"/>
    </row>
    <row r="341">
      <c r="A341" s="205"/>
      <c r="B341" s="223" t="s">
        <v>1831</v>
      </c>
      <c r="C341" s="223"/>
      <c r="D341" s="223" t="s">
        <v>1832</v>
      </c>
      <c r="E341" s="225"/>
      <c r="F341" s="225"/>
      <c r="G341" s="225"/>
      <c r="H341" s="203"/>
      <c r="I341" s="203"/>
      <c r="J341" s="203"/>
      <c r="K341" s="203"/>
      <c r="L341" s="203"/>
      <c r="M341" s="203"/>
    </row>
    <row r="342">
      <c r="A342" s="205"/>
      <c r="B342" s="223" t="s">
        <v>1833</v>
      </c>
      <c r="C342" s="223"/>
      <c r="D342" s="223"/>
      <c r="E342" s="225"/>
      <c r="F342" s="225"/>
      <c r="G342" s="225"/>
      <c r="H342" s="203"/>
      <c r="I342" s="203"/>
      <c r="J342" s="203"/>
      <c r="K342" s="203"/>
      <c r="L342" s="203"/>
      <c r="M342" s="203"/>
    </row>
    <row r="343">
      <c r="A343" s="205"/>
      <c r="B343" s="223" t="s">
        <v>1834</v>
      </c>
      <c r="C343" s="223"/>
      <c r="D343" s="223" t="s">
        <v>1835</v>
      </c>
      <c r="E343" s="225" t="s">
        <v>1836</v>
      </c>
      <c r="F343" s="225"/>
      <c r="G343" s="225"/>
      <c r="H343" s="203"/>
      <c r="I343" s="203"/>
      <c r="J343" s="203"/>
      <c r="K343" s="203"/>
      <c r="L343" s="203"/>
      <c r="M343" s="203"/>
    </row>
    <row r="344">
      <c r="A344" s="205"/>
      <c r="B344" s="223"/>
      <c r="C344" s="223"/>
      <c r="D344" s="223"/>
      <c r="E344" s="225"/>
      <c r="F344" s="225"/>
      <c r="G344" s="225"/>
      <c r="H344" s="203"/>
      <c r="I344" s="203"/>
      <c r="J344" s="203"/>
      <c r="K344" s="203"/>
      <c r="L344" s="203"/>
      <c r="M344" s="203"/>
    </row>
    <row r="345">
      <c r="A345" s="205">
        <v>223.0</v>
      </c>
      <c r="B345" s="223" t="s">
        <v>1837</v>
      </c>
      <c r="C345" s="223"/>
      <c r="D345" s="223" t="s">
        <v>1838</v>
      </c>
      <c r="E345" s="225" t="s">
        <v>1839</v>
      </c>
      <c r="F345" s="225"/>
      <c r="G345" s="225"/>
      <c r="H345" s="203"/>
      <c r="I345" s="203"/>
      <c r="J345" s="203"/>
      <c r="K345" s="203"/>
      <c r="L345" s="203"/>
      <c r="M345" s="203"/>
    </row>
    <row r="346">
      <c r="A346" s="205">
        <v>224.0</v>
      </c>
      <c r="B346" s="223" t="s">
        <v>1840</v>
      </c>
      <c r="C346" s="223"/>
      <c r="D346" s="223" t="s">
        <v>1841</v>
      </c>
      <c r="E346" s="225" t="s">
        <v>1842</v>
      </c>
      <c r="F346" s="225"/>
      <c r="G346" s="225"/>
      <c r="H346" s="203"/>
      <c r="I346" s="203"/>
      <c r="J346" s="203"/>
      <c r="K346" s="203"/>
      <c r="L346" s="203"/>
      <c r="M346" s="203"/>
    </row>
    <row r="347">
      <c r="A347" s="205">
        <v>225.0</v>
      </c>
      <c r="B347" s="223" t="s">
        <v>910</v>
      </c>
      <c r="C347" s="223"/>
      <c r="D347" s="223">
        <v>9.647501297777E12</v>
      </c>
      <c r="E347" s="225" t="s">
        <v>419</v>
      </c>
      <c r="F347" s="225"/>
      <c r="G347" s="225"/>
      <c r="H347" s="203"/>
      <c r="I347" s="203"/>
      <c r="J347" s="203"/>
      <c r="K347" s="203"/>
      <c r="L347" s="203"/>
      <c r="M347" s="203"/>
    </row>
    <row r="348">
      <c r="A348" s="205">
        <v>226.0</v>
      </c>
      <c r="B348" s="223" t="s">
        <v>1843</v>
      </c>
      <c r="C348" s="223"/>
      <c r="D348" s="223" t="s">
        <v>1844</v>
      </c>
      <c r="E348" s="225" t="s">
        <v>1845</v>
      </c>
      <c r="F348" s="225"/>
      <c r="G348" s="225"/>
      <c r="H348" s="203"/>
      <c r="I348" s="203"/>
      <c r="J348" s="203"/>
      <c r="K348" s="203"/>
      <c r="L348" s="203"/>
      <c r="M348" s="203"/>
    </row>
    <row r="349">
      <c r="A349" s="205">
        <v>227.0</v>
      </c>
      <c r="B349" s="236" t="s">
        <v>1846</v>
      </c>
      <c r="C349" s="223"/>
      <c r="D349" s="223" t="s">
        <v>1847</v>
      </c>
      <c r="E349" s="225" t="s">
        <v>1848</v>
      </c>
      <c r="F349" s="225"/>
      <c r="G349" s="225"/>
      <c r="H349" s="203"/>
      <c r="I349" s="203"/>
      <c r="J349" s="203"/>
      <c r="K349" s="203"/>
      <c r="L349" s="203"/>
      <c r="M349" s="203"/>
    </row>
    <row r="350">
      <c r="A350" s="205">
        <v>228.0</v>
      </c>
      <c r="B350" s="223" t="s">
        <v>174</v>
      </c>
      <c r="C350" s="223"/>
      <c r="D350" s="223" t="s">
        <v>1849</v>
      </c>
      <c r="E350" s="225" t="s">
        <v>89</v>
      </c>
      <c r="F350" s="225"/>
      <c r="G350" s="225"/>
      <c r="H350" s="203"/>
      <c r="I350" s="203"/>
      <c r="J350" s="203"/>
      <c r="K350" s="203"/>
      <c r="L350" s="203"/>
      <c r="M350" s="203"/>
    </row>
    <row r="351">
      <c r="A351" s="205">
        <v>229.0</v>
      </c>
      <c r="B351" s="223" t="s">
        <v>1850</v>
      </c>
      <c r="C351" s="223"/>
      <c r="D351" s="223" t="s">
        <v>1851</v>
      </c>
      <c r="E351" s="225"/>
      <c r="F351" s="225"/>
      <c r="G351" s="225"/>
      <c r="H351" s="203"/>
      <c r="I351" s="203"/>
      <c r="J351" s="203"/>
      <c r="K351" s="203"/>
      <c r="L351" s="203"/>
      <c r="M351" s="203"/>
    </row>
    <row r="352">
      <c r="A352" s="205">
        <v>230.0</v>
      </c>
      <c r="B352" s="223" t="s">
        <v>1852</v>
      </c>
      <c r="C352" s="223"/>
      <c r="D352" s="223">
        <v>9.647509945555E12</v>
      </c>
      <c r="E352" s="225" t="s">
        <v>1853</v>
      </c>
      <c r="F352" s="225"/>
      <c r="G352" s="225"/>
      <c r="H352" s="203"/>
      <c r="I352" s="203"/>
      <c r="J352" s="203"/>
      <c r="K352" s="203"/>
      <c r="L352" s="203"/>
      <c r="M352" s="203"/>
    </row>
    <row r="353">
      <c r="A353" s="205">
        <v>231.0</v>
      </c>
      <c r="B353" s="236" t="s">
        <v>1854</v>
      </c>
      <c r="C353" s="223"/>
      <c r="D353" s="223" t="s">
        <v>1855</v>
      </c>
      <c r="E353" s="225" t="s">
        <v>1856</v>
      </c>
      <c r="F353" s="225"/>
      <c r="G353" s="225"/>
      <c r="H353" s="203"/>
      <c r="I353" s="203"/>
      <c r="J353" s="203"/>
      <c r="K353" s="203"/>
      <c r="L353" s="203"/>
      <c r="M353" s="203"/>
    </row>
    <row r="354">
      <c r="A354" s="205">
        <v>232.0</v>
      </c>
      <c r="B354" s="223" t="s">
        <v>1857</v>
      </c>
      <c r="C354" s="223"/>
      <c r="D354" s="223">
        <v>7.508041122E9</v>
      </c>
      <c r="E354" s="225" t="s">
        <v>1858</v>
      </c>
      <c r="F354" s="225"/>
      <c r="G354" s="225"/>
      <c r="H354" s="203"/>
      <c r="I354" s="203"/>
      <c r="J354" s="203"/>
      <c r="K354" s="203"/>
      <c r="L354" s="203"/>
      <c r="M354" s="203"/>
    </row>
    <row r="355">
      <c r="A355" s="205">
        <v>233.0</v>
      </c>
      <c r="B355" s="223" t="s">
        <v>1859</v>
      </c>
      <c r="C355" s="223"/>
      <c r="D355" s="223" t="s">
        <v>1860</v>
      </c>
      <c r="E355" s="225" t="s">
        <v>1861</v>
      </c>
      <c r="F355" s="225"/>
      <c r="G355" s="225"/>
      <c r="H355" s="203"/>
      <c r="I355" s="203"/>
      <c r="J355" s="203"/>
      <c r="K355" s="203"/>
      <c r="L355" s="203"/>
      <c r="M355" s="203"/>
    </row>
    <row r="356">
      <c r="A356" s="205">
        <v>234.0</v>
      </c>
      <c r="B356" s="223" t="s">
        <v>726</v>
      </c>
      <c r="C356" s="223"/>
      <c r="D356" s="223" t="s">
        <v>1862</v>
      </c>
      <c r="E356" s="225" t="s">
        <v>1863</v>
      </c>
      <c r="F356" s="225"/>
      <c r="G356" s="225"/>
      <c r="H356" s="203"/>
      <c r="I356" s="203"/>
      <c r="J356" s="203"/>
      <c r="K356" s="203"/>
      <c r="L356" s="203"/>
      <c r="M356" s="203"/>
    </row>
    <row r="357">
      <c r="A357" s="205">
        <v>235.0</v>
      </c>
      <c r="B357" s="223" t="s">
        <v>1864</v>
      </c>
      <c r="C357" s="223"/>
      <c r="D357" s="223" t="s">
        <v>1865</v>
      </c>
      <c r="E357" s="225" t="s">
        <v>1866</v>
      </c>
      <c r="F357" s="225"/>
      <c r="G357" s="225"/>
      <c r="H357" s="203"/>
      <c r="I357" s="203"/>
      <c r="J357" s="203"/>
      <c r="K357" s="203"/>
      <c r="L357" s="203"/>
      <c r="M357" s="203"/>
    </row>
    <row r="358">
      <c r="A358" s="205">
        <v>236.0</v>
      </c>
      <c r="B358" s="223" t="s">
        <v>1867</v>
      </c>
      <c r="C358" s="223"/>
      <c r="D358" s="223" t="s">
        <v>1868</v>
      </c>
      <c r="E358" s="225" t="s">
        <v>1869</v>
      </c>
      <c r="F358" s="225"/>
      <c r="G358" s="225"/>
      <c r="H358" s="203"/>
      <c r="I358" s="203"/>
      <c r="J358" s="203"/>
      <c r="K358" s="203"/>
      <c r="L358" s="203"/>
      <c r="M358" s="203"/>
    </row>
    <row r="359">
      <c r="A359" s="205">
        <v>237.0</v>
      </c>
      <c r="B359" s="223" t="s">
        <v>571</v>
      </c>
      <c r="C359" s="223"/>
      <c r="D359" s="223" t="s">
        <v>1870</v>
      </c>
      <c r="E359" s="225"/>
      <c r="F359" s="225"/>
      <c r="G359" s="225"/>
      <c r="H359" s="203"/>
      <c r="I359" s="203"/>
      <c r="J359" s="203"/>
      <c r="K359" s="203"/>
      <c r="L359" s="203"/>
      <c r="M359" s="203"/>
    </row>
    <row r="360">
      <c r="A360" s="205"/>
      <c r="B360" s="223" t="s">
        <v>1871</v>
      </c>
      <c r="C360" s="223"/>
      <c r="D360" s="223" t="s">
        <v>1872</v>
      </c>
      <c r="E360" s="225" t="s">
        <v>1873</v>
      </c>
      <c r="F360" s="225"/>
      <c r="G360" s="225"/>
      <c r="H360" s="203"/>
      <c r="I360" s="203"/>
      <c r="J360" s="203"/>
      <c r="K360" s="203"/>
      <c r="L360" s="203"/>
      <c r="M360" s="203"/>
    </row>
    <row r="361">
      <c r="A361" s="205"/>
      <c r="B361" s="223" t="s">
        <v>1874</v>
      </c>
      <c r="C361" s="223"/>
      <c r="D361" s="223"/>
      <c r="E361" s="225"/>
      <c r="F361" s="225"/>
      <c r="G361" s="225"/>
      <c r="H361" s="203"/>
      <c r="I361" s="203"/>
      <c r="J361" s="203"/>
      <c r="K361" s="203"/>
      <c r="L361" s="203"/>
      <c r="M361" s="203"/>
    </row>
    <row r="362">
      <c r="A362" s="205"/>
      <c r="B362" s="223" t="s">
        <v>1875</v>
      </c>
      <c r="C362" s="223"/>
      <c r="D362" s="223" t="s">
        <v>1876</v>
      </c>
      <c r="E362" s="225"/>
      <c r="F362" s="225"/>
      <c r="G362" s="225"/>
      <c r="H362" s="203"/>
      <c r="I362" s="203"/>
      <c r="J362" s="203"/>
      <c r="K362" s="203"/>
      <c r="L362" s="203"/>
      <c r="M362" s="203"/>
    </row>
    <row r="363">
      <c r="A363" s="205"/>
      <c r="B363" s="223"/>
      <c r="C363" s="223"/>
      <c r="D363" s="223"/>
      <c r="E363" s="225"/>
      <c r="F363" s="225"/>
      <c r="G363" s="225"/>
      <c r="H363" s="203"/>
      <c r="I363" s="203"/>
      <c r="J363" s="203"/>
      <c r="K363" s="203"/>
      <c r="L363" s="203"/>
      <c r="M363" s="203"/>
    </row>
    <row r="364">
      <c r="A364" s="205"/>
      <c r="B364" s="223" t="s">
        <v>1877</v>
      </c>
      <c r="C364" s="223"/>
      <c r="D364" s="223"/>
      <c r="E364" s="225"/>
      <c r="F364" s="225"/>
      <c r="G364" s="225"/>
      <c r="H364" s="203"/>
      <c r="I364" s="203"/>
      <c r="J364" s="203"/>
      <c r="K364" s="203"/>
      <c r="L364" s="203"/>
      <c r="M364" s="203"/>
    </row>
    <row r="365">
      <c r="A365" s="205"/>
      <c r="B365" s="223" t="s">
        <v>1878</v>
      </c>
      <c r="C365" s="223"/>
      <c r="D365" s="223"/>
      <c r="E365" s="225"/>
      <c r="F365" s="225"/>
      <c r="G365" s="225"/>
      <c r="H365" s="203"/>
      <c r="I365" s="203"/>
      <c r="J365" s="203"/>
      <c r="K365" s="203"/>
      <c r="L365" s="203"/>
      <c r="M365" s="203"/>
    </row>
    <row r="366">
      <c r="A366" s="205"/>
      <c r="B366" s="223" t="s">
        <v>1879</v>
      </c>
      <c r="C366" s="223"/>
      <c r="D366" s="223"/>
      <c r="E366" s="225"/>
      <c r="F366" s="225"/>
      <c r="G366" s="225"/>
      <c r="H366" s="203"/>
      <c r="I366" s="203"/>
      <c r="J366" s="203"/>
      <c r="K366" s="203"/>
      <c r="L366" s="203"/>
      <c r="M366" s="203"/>
    </row>
    <row r="367">
      <c r="A367" s="205"/>
      <c r="B367" s="223" t="s">
        <v>1880</v>
      </c>
      <c r="C367" s="223"/>
      <c r="D367" s="223" t="s">
        <v>1881</v>
      </c>
      <c r="E367" s="225" t="s">
        <v>1882</v>
      </c>
      <c r="F367" s="225"/>
      <c r="G367" s="225"/>
      <c r="H367" s="203"/>
      <c r="I367" s="203"/>
      <c r="J367" s="203"/>
      <c r="K367" s="203"/>
      <c r="L367" s="203"/>
      <c r="M367" s="203"/>
    </row>
    <row r="368">
      <c r="A368" s="205"/>
      <c r="B368" s="223" t="s">
        <v>1883</v>
      </c>
      <c r="C368" s="223"/>
      <c r="D368" s="223"/>
      <c r="E368" s="225"/>
      <c r="F368" s="225"/>
      <c r="G368" s="225"/>
      <c r="H368" s="203"/>
      <c r="I368" s="203"/>
      <c r="J368" s="203"/>
      <c r="K368" s="203"/>
      <c r="L368" s="203"/>
      <c r="M368" s="203"/>
    </row>
    <row r="369">
      <c r="A369" s="205"/>
      <c r="B369" s="223" t="s">
        <v>1884</v>
      </c>
      <c r="C369" s="223"/>
      <c r="D369" s="223"/>
      <c r="E369" s="225"/>
      <c r="F369" s="225"/>
      <c r="G369" s="225"/>
      <c r="H369" s="203"/>
      <c r="I369" s="203"/>
      <c r="J369" s="203"/>
      <c r="K369" s="203"/>
      <c r="L369" s="203"/>
      <c r="M369" s="203"/>
    </row>
    <row r="370">
      <c r="A370" s="205"/>
      <c r="B370" s="223" t="s">
        <v>1885</v>
      </c>
      <c r="C370" s="223"/>
      <c r="D370" s="223"/>
      <c r="E370" s="225"/>
      <c r="F370" s="225"/>
      <c r="G370" s="225"/>
      <c r="H370" s="203"/>
      <c r="I370" s="203"/>
      <c r="J370" s="203"/>
      <c r="K370" s="203"/>
      <c r="L370" s="203"/>
      <c r="M370" s="203"/>
    </row>
    <row r="371">
      <c r="A371" s="205"/>
      <c r="B371" s="223" t="s">
        <v>1886</v>
      </c>
      <c r="C371" s="223"/>
      <c r="D371" s="223" t="s">
        <v>1887</v>
      </c>
      <c r="E371" s="225" t="s">
        <v>1888</v>
      </c>
      <c r="F371" s="225"/>
      <c r="G371" s="225"/>
      <c r="H371" s="203"/>
      <c r="I371" s="203"/>
      <c r="J371" s="203"/>
      <c r="K371" s="203"/>
      <c r="L371" s="203"/>
      <c r="M371" s="203"/>
    </row>
    <row r="372">
      <c r="A372" s="205"/>
      <c r="B372" s="318" t="s">
        <v>1889</v>
      </c>
      <c r="C372" s="223"/>
      <c r="D372" s="223" t="s">
        <v>1890</v>
      </c>
      <c r="E372" s="225"/>
      <c r="F372" s="225"/>
      <c r="G372" s="225"/>
      <c r="H372" s="203"/>
      <c r="I372" s="203"/>
      <c r="J372" s="203"/>
      <c r="K372" s="203"/>
      <c r="L372" s="203"/>
      <c r="M372" s="203"/>
    </row>
    <row r="373">
      <c r="A373" s="205"/>
      <c r="B373" s="223"/>
      <c r="C373" s="223"/>
      <c r="D373" s="223"/>
      <c r="E373" s="225"/>
      <c r="F373" s="225"/>
      <c r="G373" s="225"/>
      <c r="H373" s="203"/>
      <c r="I373" s="203"/>
      <c r="J373" s="203"/>
      <c r="K373" s="203"/>
      <c r="L373" s="203"/>
      <c r="M373" s="203"/>
    </row>
    <row r="374">
      <c r="A374" s="205"/>
      <c r="B374" s="223" t="s">
        <v>1891</v>
      </c>
      <c r="C374" s="223"/>
      <c r="D374" s="223"/>
      <c r="E374" s="225"/>
      <c r="F374" s="225"/>
      <c r="G374" s="225"/>
      <c r="H374" s="203"/>
      <c r="I374" s="203"/>
      <c r="J374" s="203"/>
      <c r="K374" s="203"/>
      <c r="L374" s="203"/>
      <c r="M374" s="203"/>
    </row>
    <row r="375">
      <c r="A375" s="205"/>
      <c r="B375" s="223" t="s">
        <v>1892</v>
      </c>
      <c r="C375" s="223"/>
      <c r="D375" s="223"/>
      <c r="E375" s="225"/>
      <c r="F375" s="225"/>
      <c r="G375" s="225"/>
      <c r="H375" s="203"/>
      <c r="I375" s="203"/>
      <c r="J375" s="203"/>
      <c r="K375" s="203"/>
      <c r="L375" s="203"/>
      <c r="M375" s="203"/>
    </row>
    <row r="376">
      <c r="A376" s="205"/>
      <c r="B376" s="223"/>
      <c r="C376" s="223"/>
      <c r="D376" s="223"/>
      <c r="E376" s="225"/>
      <c r="F376" s="225"/>
      <c r="G376" s="225"/>
      <c r="H376" s="203"/>
      <c r="I376" s="203"/>
      <c r="J376" s="203"/>
      <c r="K376" s="203"/>
      <c r="L376" s="203"/>
      <c r="M376" s="203"/>
    </row>
    <row r="377">
      <c r="A377" s="205"/>
      <c r="B377" s="223" t="s">
        <v>1893</v>
      </c>
      <c r="C377" s="223"/>
      <c r="D377" s="223" t="s">
        <v>1894</v>
      </c>
      <c r="E377" s="225" t="s">
        <v>1895</v>
      </c>
      <c r="F377" s="225" t="s">
        <v>1896</v>
      </c>
      <c r="G377" s="225"/>
      <c r="H377" s="203"/>
      <c r="I377" s="203"/>
      <c r="J377" s="203"/>
      <c r="K377" s="203"/>
      <c r="L377" s="203"/>
      <c r="M377" s="203"/>
    </row>
    <row r="378">
      <c r="A378" s="205"/>
      <c r="B378" s="223" t="s">
        <v>1897</v>
      </c>
      <c r="C378" s="223"/>
      <c r="D378" s="223" t="s">
        <v>1898</v>
      </c>
      <c r="E378" s="225"/>
      <c r="F378" s="225"/>
      <c r="G378" s="225"/>
      <c r="H378" s="203"/>
      <c r="I378" s="203"/>
      <c r="J378" s="203"/>
      <c r="K378" s="203"/>
      <c r="L378" s="203"/>
      <c r="M378" s="203"/>
    </row>
    <row r="379">
      <c r="A379" s="205"/>
      <c r="B379" s="223" t="s">
        <v>1899</v>
      </c>
      <c r="C379" s="223"/>
      <c r="D379" s="223" t="s">
        <v>1900</v>
      </c>
      <c r="E379" s="225" t="s">
        <v>1901</v>
      </c>
      <c r="F379" s="225"/>
      <c r="G379" s="225"/>
      <c r="H379" s="203"/>
      <c r="I379" s="203"/>
      <c r="J379" s="203"/>
      <c r="K379" s="203"/>
      <c r="L379" s="203"/>
      <c r="M379" s="203"/>
    </row>
    <row r="380">
      <c r="A380" s="205"/>
      <c r="B380" s="223" t="s">
        <v>1902</v>
      </c>
      <c r="C380" s="223"/>
      <c r="D380" s="223" t="s">
        <v>1903</v>
      </c>
      <c r="E380" s="225"/>
      <c r="F380" s="225"/>
      <c r="G380" s="225"/>
      <c r="H380" s="203"/>
      <c r="I380" s="203"/>
      <c r="J380" s="203"/>
      <c r="K380" s="203"/>
      <c r="L380" s="203"/>
      <c r="M380" s="203"/>
    </row>
    <row r="381">
      <c r="A381" s="205"/>
      <c r="B381" s="223" t="s">
        <v>1904</v>
      </c>
      <c r="C381" s="223"/>
      <c r="D381" s="223" t="s">
        <v>1905</v>
      </c>
      <c r="E381" s="225"/>
      <c r="F381" s="225"/>
      <c r="G381" s="225"/>
      <c r="H381" s="203"/>
      <c r="I381" s="203"/>
      <c r="J381" s="203"/>
      <c r="K381" s="203"/>
      <c r="L381" s="203"/>
      <c r="M381" s="203"/>
    </row>
    <row r="382">
      <c r="A382" s="205"/>
      <c r="B382" s="236" t="s">
        <v>1906</v>
      </c>
      <c r="C382" s="223"/>
      <c r="D382" s="223"/>
      <c r="E382" s="225"/>
      <c r="F382" s="225"/>
      <c r="G382" s="225"/>
      <c r="H382" s="203"/>
      <c r="I382" s="203"/>
      <c r="J382" s="203"/>
      <c r="K382" s="203"/>
      <c r="L382" s="203"/>
      <c r="M382" s="203"/>
    </row>
    <row r="383">
      <c r="A383" s="205"/>
      <c r="B383" s="223" t="s">
        <v>1907</v>
      </c>
      <c r="C383" s="223"/>
      <c r="D383" s="223" t="s">
        <v>1908</v>
      </c>
      <c r="E383" s="225"/>
      <c r="F383" s="225"/>
      <c r="G383" s="225"/>
      <c r="H383" s="203"/>
      <c r="I383" s="203"/>
      <c r="J383" s="203"/>
      <c r="K383" s="203"/>
      <c r="L383" s="203"/>
      <c r="M383" s="203"/>
    </row>
    <row r="384">
      <c r="A384" s="205"/>
      <c r="B384" s="223" t="s">
        <v>1909</v>
      </c>
      <c r="C384" s="223" t="s">
        <v>1910</v>
      </c>
      <c r="D384" s="223">
        <v>7.508099602E9</v>
      </c>
      <c r="E384" s="225"/>
      <c r="F384" s="225"/>
      <c r="G384" s="225"/>
      <c r="H384" s="203"/>
      <c r="I384" s="203"/>
      <c r="J384" s="203"/>
      <c r="K384" s="203"/>
      <c r="L384" s="203"/>
      <c r="M384" s="203"/>
    </row>
    <row r="385">
      <c r="A385" s="205"/>
      <c r="B385" s="223" t="s">
        <v>1911</v>
      </c>
      <c r="C385" s="223"/>
      <c r="D385" s="223">
        <v>7.502002001E9</v>
      </c>
      <c r="E385" s="225"/>
      <c r="F385" s="225"/>
      <c r="G385" s="225"/>
      <c r="H385" s="203"/>
      <c r="I385" s="203"/>
      <c r="J385" s="203"/>
      <c r="K385" s="203"/>
      <c r="L385" s="203"/>
      <c r="M385" s="203"/>
    </row>
    <row r="386">
      <c r="A386" s="205"/>
      <c r="B386" s="223" t="s">
        <v>1912</v>
      </c>
      <c r="C386" s="223"/>
      <c r="D386" s="223">
        <v>7.749644447E9</v>
      </c>
      <c r="E386" s="225"/>
      <c r="F386" s="225"/>
      <c r="G386" s="225"/>
      <c r="H386" s="203"/>
      <c r="I386" s="203"/>
      <c r="J386" s="203"/>
      <c r="K386" s="203"/>
      <c r="L386" s="203"/>
      <c r="M386" s="203"/>
    </row>
    <row r="387">
      <c r="A387" s="205"/>
      <c r="B387" s="223" t="s">
        <v>1840</v>
      </c>
      <c r="C387" s="223"/>
      <c r="D387" s="223" t="s">
        <v>1841</v>
      </c>
      <c r="E387" s="225"/>
      <c r="F387" s="225"/>
      <c r="G387" s="225"/>
      <c r="H387" s="203"/>
      <c r="I387" s="203"/>
      <c r="J387" s="203"/>
      <c r="K387" s="203"/>
      <c r="L387" s="203"/>
      <c r="M387" s="203"/>
    </row>
    <row r="388">
      <c r="A388" s="205"/>
      <c r="B388" s="223" t="s">
        <v>1913</v>
      </c>
      <c r="C388" s="223"/>
      <c r="D388" s="223">
        <v>7.504454441E9</v>
      </c>
      <c r="E388" s="225"/>
      <c r="F388" s="225"/>
      <c r="G388" s="225"/>
      <c r="H388" s="203"/>
      <c r="I388" s="203"/>
      <c r="J388" s="203"/>
      <c r="K388" s="203"/>
      <c r="L388" s="203"/>
      <c r="M388" s="203"/>
    </row>
    <row r="389">
      <c r="A389" s="205"/>
      <c r="B389" s="223" t="s">
        <v>1914</v>
      </c>
      <c r="C389" s="223"/>
      <c r="D389" s="223">
        <v>7.504520378E9</v>
      </c>
      <c r="E389" s="225"/>
      <c r="F389" s="225"/>
      <c r="G389" s="225"/>
      <c r="H389" s="203"/>
      <c r="I389" s="203"/>
      <c r="J389" s="203"/>
      <c r="K389" s="203"/>
      <c r="L389" s="203"/>
      <c r="M389" s="203"/>
    </row>
    <row r="390">
      <c r="A390" s="205"/>
      <c r="B390" s="223"/>
      <c r="C390" s="223"/>
      <c r="D390" s="223"/>
      <c r="E390" s="225"/>
      <c r="F390" s="225"/>
      <c r="G390" s="225"/>
      <c r="H390" s="203"/>
      <c r="I390" s="203"/>
      <c r="J390" s="203"/>
      <c r="K390" s="203"/>
      <c r="L390" s="203"/>
      <c r="M390" s="203"/>
    </row>
    <row r="391">
      <c r="A391" s="205"/>
      <c r="B391" s="223"/>
      <c r="C391" s="223"/>
      <c r="D391" s="223"/>
      <c r="E391" s="225"/>
      <c r="F391" s="225"/>
      <c r="G391" s="225"/>
      <c r="H391" s="203"/>
      <c r="I391" s="203"/>
      <c r="J391" s="203"/>
      <c r="K391" s="203"/>
      <c r="L391" s="203"/>
      <c r="M391" s="203"/>
    </row>
    <row r="392">
      <c r="A392" s="205"/>
      <c r="B392" s="223"/>
      <c r="C392" s="223"/>
      <c r="D392" s="223"/>
      <c r="E392" s="225"/>
      <c r="F392" s="225"/>
      <c r="G392" s="225"/>
      <c r="H392" s="203"/>
      <c r="I392" s="203"/>
      <c r="J392" s="203"/>
      <c r="K392" s="203"/>
      <c r="L392" s="203"/>
      <c r="M392" s="203"/>
    </row>
    <row r="393">
      <c r="A393" s="205"/>
      <c r="B393" s="223"/>
      <c r="C393" s="223"/>
      <c r="D393" s="223"/>
      <c r="E393" s="225"/>
      <c r="F393" s="225"/>
      <c r="G393" s="225"/>
      <c r="H393" s="203"/>
      <c r="I393" s="203"/>
      <c r="J393" s="203"/>
      <c r="K393" s="203"/>
      <c r="L393" s="203"/>
      <c r="M393" s="203"/>
    </row>
    <row r="394">
      <c r="A394" s="205"/>
      <c r="B394" s="223"/>
      <c r="C394" s="223"/>
      <c r="D394" s="223"/>
      <c r="E394" s="225"/>
      <c r="F394" s="225"/>
      <c r="G394" s="225"/>
      <c r="H394" s="203"/>
      <c r="I394" s="203"/>
      <c r="J394" s="203"/>
      <c r="K394" s="203"/>
      <c r="L394" s="203"/>
      <c r="M394" s="203"/>
    </row>
    <row r="395">
      <c r="A395" s="205"/>
      <c r="B395" s="223"/>
      <c r="C395" s="223"/>
      <c r="D395" s="223"/>
      <c r="E395" s="225"/>
      <c r="F395" s="225"/>
      <c r="G395" s="225"/>
      <c r="H395" s="203"/>
      <c r="I395" s="203"/>
      <c r="J395" s="203"/>
      <c r="K395" s="203"/>
      <c r="L395" s="203"/>
      <c r="M395" s="203"/>
    </row>
    <row r="396">
      <c r="A396" s="205"/>
      <c r="B396" s="223"/>
      <c r="C396" s="223"/>
      <c r="D396" s="223"/>
      <c r="E396" s="225"/>
      <c r="F396" s="225"/>
      <c r="G396" s="225"/>
      <c r="H396" s="203"/>
      <c r="I396" s="203"/>
      <c r="J396" s="203"/>
      <c r="K396" s="203"/>
      <c r="L396" s="203"/>
      <c r="M396" s="203"/>
    </row>
    <row r="397">
      <c r="A397" s="205"/>
      <c r="B397" s="223"/>
      <c r="C397" s="223"/>
      <c r="D397" s="223"/>
      <c r="E397" s="225"/>
      <c r="F397" s="225"/>
      <c r="G397" s="225"/>
      <c r="H397" s="203"/>
      <c r="I397" s="203"/>
      <c r="J397" s="203"/>
      <c r="K397" s="203"/>
      <c r="L397" s="203"/>
      <c r="M397" s="203"/>
    </row>
    <row r="398">
      <c r="A398" s="205"/>
      <c r="B398" s="223"/>
      <c r="C398" s="223"/>
      <c r="D398" s="223"/>
      <c r="E398" s="225"/>
      <c r="F398" s="225"/>
      <c r="G398" s="225"/>
      <c r="H398" s="203"/>
      <c r="I398" s="203"/>
      <c r="J398" s="203"/>
      <c r="K398" s="203"/>
      <c r="L398" s="203"/>
      <c r="M398" s="203"/>
    </row>
    <row r="399">
      <c r="A399" s="205"/>
      <c r="B399" s="223"/>
      <c r="C399" s="223"/>
      <c r="D399" s="223"/>
      <c r="E399" s="225"/>
      <c r="F399" s="225"/>
      <c r="G399" s="225"/>
      <c r="H399" s="203"/>
      <c r="I399" s="203"/>
      <c r="J399" s="203"/>
      <c r="K399" s="203"/>
      <c r="L399" s="203"/>
      <c r="M399" s="203"/>
    </row>
    <row r="400">
      <c r="A400" s="205"/>
      <c r="B400" s="223"/>
      <c r="C400" s="223"/>
      <c r="D400" s="223"/>
      <c r="E400" s="225"/>
      <c r="F400" s="225"/>
      <c r="G400" s="225"/>
      <c r="H400" s="203"/>
      <c r="I400" s="203"/>
      <c r="J400" s="203"/>
      <c r="K400" s="203"/>
      <c r="L400" s="203"/>
      <c r="M400" s="203"/>
    </row>
    <row r="401">
      <c r="A401" s="205"/>
      <c r="B401" s="223"/>
      <c r="C401" s="223"/>
      <c r="D401" s="223"/>
      <c r="E401" s="225"/>
      <c r="F401" s="225"/>
      <c r="G401" s="225"/>
      <c r="H401" s="203"/>
      <c r="I401" s="203"/>
      <c r="J401" s="203"/>
      <c r="K401" s="203"/>
      <c r="L401" s="203"/>
      <c r="M401" s="203"/>
    </row>
    <row r="402">
      <c r="A402" s="205"/>
      <c r="B402" s="223"/>
      <c r="C402" s="223"/>
      <c r="D402" s="223"/>
      <c r="E402" s="225"/>
      <c r="F402" s="225"/>
      <c r="G402" s="225"/>
      <c r="H402" s="203"/>
      <c r="I402" s="203"/>
      <c r="J402" s="203"/>
      <c r="K402" s="203"/>
      <c r="L402" s="203"/>
      <c r="M402" s="203"/>
    </row>
    <row r="403">
      <c r="A403" s="205"/>
      <c r="B403" s="223"/>
      <c r="C403" s="223"/>
      <c r="D403" s="223"/>
      <c r="E403" s="225"/>
      <c r="F403" s="225"/>
      <c r="G403" s="225"/>
      <c r="H403" s="203"/>
      <c r="I403" s="203"/>
      <c r="J403" s="203"/>
      <c r="K403" s="203"/>
      <c r="L403" s="203"/>
      <c r="M403" s="203"/>
    </row>
    <row r="404">
      <c r="A404" s="205"/>
      <c r="B404" s="223"/>
      <c r="C404" s="223"/>
      <c r="D404" s="223"/>
      <c r="E404" s="225"/>
      <c r="F404" s="225"/>
      <c r="G404" s="225"/>
      <c r="H404" s="203"/>
      <c r="I404" s="203"/>
      <c r="J404" s="203"/>
      <c r="K404" s="203"/>
      <c r="L404" s="203"/>
      <c r="M404" s="203"/>
    </row>
    <row r="405">
      <c r="A405" s="205"/>
      <c r="B405" s="223"/>
      <c r="C405" s="223"/>
      <c r="D405" s="223"/>
      <c r="E405" s="225"/>
      <c r="F405" s="225"/>
      <c r="G405" s="225"/>
      <c r="H405" s="203"/>
      <c r="I405" s="203"/>
      <c r="J405" s="203"/>
      <c r="K405" s="203"/>
      <c r="L405" s="203"/>
      <c r="M405" s="203"/>
    </row>
    <row r="406">
      <c r="A406" s="205"/>
      <c r="B406" s="223"/>
      <c r="C406" s="223"/>
      <c r="D406" s="223"/>
      <c r="E406" s="225"/>
      <c r="F406" s="225"/>
      <c r="G406" s="225"/>
      <c r="H406" s="203"/>
      <c r="I406" s="203"/>
      <c r="J406" s="203"/>
      <c r="K406" s="203"/>
      <c r="L406" s="203"/>
      <c r="M406" s="203"/>
    </row>
    <row r="407">
      <c r="A407" s="205"/>
      <c r="B407" s="223"/>
      <c r="C407" s="223"/>
      <c r="D407" s="223"/>
      <c r="E407" s="225"/>
      <c r="F407" s="225"/>
      <c r="G407" s="225"/>
      <c r="H407" s="203"/>
      <c r="I407" s="203"/>
      <c r="J407" s="203"/>
      <c r="K407" s="203"/>
      <c r="L407" s="203"/>
      <c r="M407" s="203"/>
    </row>
    <row r="408">
      <c r="A408" s="205"/>
      <c r="B408" s="223"/>
      <c r="C408" s="223"/>
      <c r="D408" s="223"/>
      <c r="E408" s="225"/>
      <c r="F408" s="225"/>
      <c r="G408" s="225"/>
      <c r="H408" s="203"/>
      <c r="I408" s="203"/>
      <c r="J408" s="203"/>
      <c r="K408" s="203"/>
      <c r="L408" s="203"/>
      <c r="M408" s="203"/>
    </row>
    <row r="409">
      <c r="A409" s="205"/>
      <c r="B409" s="223"/>
      <c r="C409" s="223"/>
      <c r="D409" s="223"/>
      <c r="E409" s="225"/>
      <c r="F409" s="225"/>
      <c r="G409" s="225"/>
      <c r="H409" s="203"/>
      <c r="I409" s="203"/>
      <c r="J409" s="203"/>
      <c r="K409" s="203"/>
      <c r="L409" s="203"/>
      <c r="M409" s="203"/>
    </row>
    <row r="410">
      <c r="A410" s="205"/>
      <c r="B410" s="223"/>
      <c r="C410" s="223"/>
      <c r="D410" s="223"/>
      <c r="E410" s="225"/>
      <c r="F410" s="225"/>
      <c r="G410" s="225"/>
      <c r="H410" s="203"/>
      <c r="I410" s="203"/>
      <c r="J410" s="203"/>
      <c r="K410" s="203"/>
      <c r="L410" s="203"/>
      <c r="M410" s="203"/>
    </row>
    <row r="411">
      <c r="A411" s="205"/>
      <c r="B411" s="223"/>
      <c r="C411" s="223"/>
      <c r="D411" s="223"/>
      <c r="E411" s="225"/>
      <c r="F411" s="225"/>
      <c r="G411" s="225"/>
      <c r="H411" s="203"/>
      <c r="I411" s="203"/>
      <c r="J411" s="203"/>
      <c r="K411" s="203"/>
      <c r="L411" s="203"/>
      <c r="M411" s="203"/>
    </row>
    <row r="412">
      <c r="A412" s="205"/>
      <c r="B412" s="223"/>
      <c r="C412" s="223"/>
      <c r="D412" s="223"/>
      <c r="E412" s="225"/>
      <c r="F412" s="225"/>
      <c r="G412" s="225"/>
      <c r="H412" s="203"/>
      <c r="I412" s="203"/>
      <c r="J412" s="203"/>
      <c r="K412" s="203"/>
      <c r="L412" s="203"/>
      <c r="M412" s="203"/>
    </row>
    <row r="413">
      <c r="A413" s="205"/>
      <c r="B413" s="223"/>
      <c r="C413" s="223"/>
      <c r="D413" s="223"/>
      <c r="E413" s="225"/>
      <c r="F413" s="225"/>
      <c r="G413" s="225"/>
      <c r="H413" s="203"/>
      <c r="I413" s="203"/>
      <c r="J413" s="203"/>
      <c r="K413" s="203"/>
      <c r="L413" s="203"/>
      <c r="M413" s="203"/>
    </row>
    <row r="414">
      <c r="A414" s="205"/>
      <c r="B414" s="223"/>
      <c r="C414" s="223"/>
      <c r="D414" s="223"/>
      <c r="E414" s="225"/>
      <c r="F414" s="225"/>
      <c r="G414" s="225"/>
      <c r="H414" s="203"/>
      <c r="I414" s="203"/>
      <c r="J414" s="203"/>
      <c r="K414" s="203"/>
      <c r="L414" s="203"/>
      <c r="M414" s="203"/>
    </row>
    <row r="415">
      <c r="A415" s="205"/>
      <c r="B415" s="223"/>
      <c r="C415" s="223"/>
      <c r="D415" s="223"/>
      <c r="E415" s="225"/>
      <c r="F415" s="225"/>
      <c r="G415" s="225"/>
      <c r="H415" s="203"/>
      <c r="I415" s="203"/>
      <c r="J415" s="203"/>
      <c r="K415" s="203"/>
      <c r="L415" s="203"/>
      <c r="M415" s="203"/>
    </row>
    <row r="416">
      <c r="A416" s="205"/>
      <c r="B416" s="223"/>
      <c r="C416" s="223"/>
      <c r="D416" s="223"/>
      <c r="E416" s="225"/>
      <c r="F416" s="225"/>
      <c r="G416" s="225"/>
      <c r="H416" s="203"/>
      <c r="I416" s="203"/>
      <c r="J416" s="203"/>
      <c r="K416" s="203"/>
      <c r="L416" s="203"/>
      <c r="M416" s="203"/>
    </row>
    <row r="417">
      <c r="A417" s="205"/>
      <c r="B417" s="223"/>
      <c r="C417" s="223"/>
      <c r="D417" s="223"/>
      <c r="E417" s="225"/>
      <c r="F417" s="225"/>
      <c r="G417" s="225"/>
      <c r="H417" s="203"/>
      <c r="I417" s="203"/>
      <c r="J417" s="203"/>
      <c r="K417" s="203"/>
      <c r="L417" s="203"/>
      <c r="M417" s="203"/>
    </row>
    <row r="418">
      <c r="A418" s="205"/>
      <c r="B418" s="223"/>
      <c r="C418" s="223"/>
      <c r="D418" s="223"/>
      <c r="E418" s="225"/>
      <c r="F418" s="225"/>
      <c r="G418" s="225"/>
      <c r="H418" s="203"/>
      <c r="I418" s="203"/>
      <c r="J418" s="203"/>
      <c r="K418" s="203"/>
      <c r="L418" s="203"/>
      <c r="M418" s="203"/>
    </row>
    <row r="419">
      <c r="A419" s="205"/>
      <c r="B419" s="223"/>
      <c r="C419" s="223"/>
      <c r="D419" s="223"/>
      <c r="E419" s="225"/>
      <c r="F419" s="225"/>
      <c r="G419" s="225"/>
      <c r="H419" s="203"/>
      <c r="I419" s="203"/>
      <c r="J419" s="203"/>
      <c r="K419" s="203"/>
      <c r="L419" s="203"/>
      <c r="M419" s="203"/>
    </row>
    <row r="420">
      <c r="A420" s="205"/>
      <c r="B420" s="223"/>
      <c r="C420" s="223"/>
      <c r="D420" s="223"/>
      <c r="E420" s="225"/>
      <c r="F420" s="225"/>
      <c r="G420" s="225"/>
      <c r="H420" s="203"/>
      <c r="I420" s="203"/>
      <c r="J420" s="203"/>
      <c r="K420" s="203"/>
      <c r="L420" s="203"/>
      <c r="M420" s="203"/>
    </row>
    <row r="421">
      <c r="A421" s="205"/>
      <c r="B421" s="223"/>
      <c r="C421" s="223"/>
      <c r="D421" s="223"/>
      <c r="E421" s="225"/>
      <c r="F421" s="225"/>
      <c r="G421" s="225"/>
      <c r="H421" s="203"/>
      <c r="I421" s="203"/>
      <c r="J421" s="203"/>
      <c r="K421" s="203"/>
      <c r="L421" s="203"/>
      <c r="M421" s="203"/>
    </row>
    <row r="422">
      <c r="A422" s="205"/>
      <c r="B422" s="223"/>
      <c r="C422" s="223"/>
      <c r="D422" s="223"/>
      <c r="E422" s="225"/>
      <c r="F422" s="225"/>
      <c r="G422" s="225"/>
      <c r="H422" s="203"/>
      <c r="I422" s="203"/>
      <c r="J422" s="203"/>
      <c r="K422" s="203"/>
      <c r="L422" s="203"/>
      <c r="M422" s="203"/>
    </row>
    <row r="423">
      <c r="A423" s="205"/>
      <c r="B423" s="223"/>
      <c r="C423" s="223"/>
      <c r="D423" s="223"/>
      <c r="E423" s="225"/>
      <c r="F423" s="225"/>
      <c r="G423" s="225"/>
      <c r="H423" s="203"/>
      <c r="I423" s="203"/>
      <c r="J423" s="203"/>
      <c r="K423" s="203"/>
      <c r="L423" s="203"/>
      <c r="M423" s="203"/>
    </row>
    <row r="424">
      <c r="A424" s="205"/>
      <c r="B424" s="223"/>
      <c r="C424" s="223"/>
      <c r="D424" s="223"/>
      <c r="E424" s="225"/>
      <c r="F424" s="225"/>
      <c r="G424" s="225"/>
      <c r="H424" s="203"/>
      <c r="I424" s="203"/>
      <c r="J424" s="203"/>
      <c r="K424" s="203"/>
      <c r="L424" s="203"/>
      <c r="M424" s="203"/>
    </row>
    <row r="425">
      <c r="A425" s="205"/>
      <c r="B425" s="223"/>
      <c r="C425" s="223"/>
      <c r="D425" s="223"/>
      <c r="E425" s="225"/>
      <c r="F425" s="225"/>
      <c r="G425" s="225"/>
      <c r="H425" s="203"/>
      <c r="I425" s="203"/>
      <c r="J425" s="203"/>
      <c r="K425" s="203"/>
      <c r="L425" s="203"/>
      <c r="M425" s="203"/>
    </row>
    <row r="426">
      <c r="A426" s="205"/>
      <c r="B426" s="223"/>
      <c r="C426" s="223"/>
      <c r="D426" s="223"/>
      <c r="E426" s="225"/>
      <c r="F426" s="225"/>
      <c r="G426" s="225"/>
      <c r="H426" s="203"/>
      <c r="I426" s="203"/>
      <c r="J426" s="203"/>
      <c r="K426" s="203"/>
      <c r="L426" s="203"/>
      <c r="M426" s="203"/>
    </row>
    <row r="427">
      <c r="A427" s="205">
        <v>238.0</v>
      </c>
      <c r="B427" s="223"/>
      <c r="C427" s="223"/>
      <c r="D427" s="223"/>
      <c r="E427" s="225"/>
      <c r="F427" s="225"/>
      <c r="G427" s="225"/>
      <c r="H427" s="203"/>
      <c r="I427" s="203"/>
      <c r="J427" s="203"/>
      <c r="K427" s="203"/>
      <c r="L427" s="203"/>
      <c r="M427" s="203"/>
    </row>
    <row r="428">
      <c r="A428" s="205">
        <v>239.0</v>
      </c>
      <c r="B428" s="223"/>
      <c r="C428" s="223"/>
      <c r="D428" s="223"/>
      <c r="E428" s="225"/>
      <c r="F428" s="225"/>
      <c r="G428" s="225"/>
      <c r="H428" s="203"/>
      <c r="I428" s="203"/>
      <c r="J428" s="203"/>
      <c r="K428" s="203"/>
      <c r="L428" s="203"/>
      <c r="M428" s="203"/>
    </row>
    <row r="429">
      <c r="A429" s="205">
        <v>240.0</v>
      </c>
      <c r="B429" s="223"/>
      <c r="C429" s="223"/>
      <c r="D429" s="223"/>
      <c r="E429" s="225"/>
      <c r="F429" s="225"/>
      <c r="G429" s="225"/>
      <c r="H429" s="203"/>
      <c r="I429" s="203"/>
      <c r="J429" s="203"/>
      <c r="K429" s="203"/>
      <c r="L429" s="203"/>
      <c r="M429" s="203"/>
    </row>
    <row r="430">
      <c r="A430" s="205">
        <v>241.0</v>
      </c>
      <c r="B430" s="223"/>
      <c r="C430" s="223"/>
      <c r="D430" s="223"/>
      <c r="E430" s="225"/>
      <c r="F430" s="225"/>
      <c r="G430" s="225"/>
      <c r="H430" s="203"/>
      <c r="I430" s="203"/>
      <c r="J430" s="203"/>
      <c r="K430" s="203"/>
      <c r="L430" s="203"/>
      <c r="M430" s="203"/>
    </row>
    <row r="431">
      <c r="A431" s="205">
        <v>242.0</v>
      </c>
      <c r="B431" s="223"/>
      <c r="C431" s="223"/>
      <c r="D431" s="223"/>
      <c r="E431" s="225"/>
      <c r="F431" s="225"/>
      <c r="G431" s="225"/>
      <c r="H431" s="203"/>
      <c r="I431" s="203"/>
      <c r="J431" s="203"/>
      <c r="K431" s="203"/>
      <c r="L431" s="203"/>
      <c r="M431" s="203"/>
    </row>
    <row r="432">
      <c r="A432" s="205">
        <v>243.0</v>
      </c>
      <c r="B432" s="223"/>
      <c r="C432" s="223"/>
      <c r="D432" s="223"/>
      <c r="E432" s="225"/>
      <c r="F432" s="225"/>
      <c r="G432" s="225"/>
      <c r="H432" s="203"/>
      <c r="I432" s="203"/>
      <c r="J432" s="203"/>
      <c r="K432" s="203"/>
      <c r="L432" s="203"/>
      <c r="M432" s="203"/>
    </row>
    <row r="433">
      <c r="A433" s="205">
        <v>244.0</v>
      </c>
      <c r="B433" s="223"/>
      <c r="C433" s="223"/>
      <c r="D433" s="223"/>
      <c r="E433" s="225"/>
      <c r="F433" s="225"/>
      <c r="G433" s="225"/>
      <c r="H433" s="203"/>
      <c r="I433" s="203"/>
      <c r="J433" s="203"/>
      <c r="K433" s="203"/>
      <c r="L433" s="203"/>
      <c r="M433" s="203"/>
    </row>
    <row r="434">
      <c r="A434" s="205">
        <v>245.0</v>
      </c>
      <c r="B434" s="223"/>
      <c r="C434" s="223"/>
      <c r="D434" s="223"/>
      <c r="E434" s="225"/>
      <c r="F434" s="225"/>
      <c r="G434" s="225"/>
      <c r="H434" s="203"/>
      <c r="I434" s="203"/>
      <c r="J434" s="203"/>
      <c r="K434" s="203"/>
      <c r="L434" s="203"/>
      <c r="M434" s="203"/>
    </row>
    <row r="435">
      <c r="A435" s="205">
        <v>246.0</v>
      </c>
      <c r="B435" s="223"/>
      <c r="C435" s="223"/>
      <c r="D435" s="223"/>
      <c r="E435" s="225"/>
      <c r="F435" s="225"/>
      <c r="G435" s="225"/>
      <c r="H435" s="203"/>
      <c r="I435" s="203"/>
      <c r="J435" s="203"/>
      <c r="K435" s="203"/>
      <c r="L435" s="203"/>
      <c r="M435" s="203"/>
    </row>
    <row r="436">
      <c r="A436" s="205">
        <v>247.0</v>
      </c>
      <c r="B436" s="223"/>
      <c r="C436" s="223"/>
      <c r="D436" s="223"/>
      <c r="E436" s="225"/>
      <c r="F436" s="225"/>
      <c r="G436" s="225"/>
      <c r="H436" s="203"/>
      <c r="I436" s="203"/>
      <c r="J436" s="203"/>
      <c r="K436" s="203"/>
      <c r="L436" s="203"/>
      <c r="M436" s="203"/>
    </row>
    <row r="437">
      <c r="A437" s="205">
        <v>248.0</v>
      </c>
      <c r="B437" s="319" t="s">
        <v>1915</v>
      </c>
      <c r="C437" s="53"/>
      <c r="D437" s="53"/>
      <c r="E437" s="53"/>
      <c r="F437" s="53"/>
      <c r="G437" s="202"/>
      <c r="H437" s="203"/>
      <c r="I437" s="203"/>
      <c r="J437" s="203"/>
      <c r="K437" s="203"/>
      <c r="L437" s="203"/>
      <c r="M437" s="203"/>
    </row>
    <row r="438">
      <c r="A438" s="205"/>
      <c r="B438" s="223" t="s">
        <v>1916</v>
      </c>
      <c r="C438" s="223"/>
      <c r="D438" s="302" t="s">
        <v>1917</v>
      </c>
      <c r="E438" s="225" t="s">
        <v>1918</v>
      </c>
      <c r="F438" s="229" t="s">
        <v>1919</v>
      </c>
      <c r="G438" s="225"/>
      <c r="H438" s="203"/>
      <c r="I438" s="203"/>
      <c r="J438" s="203"/>
      <c r="K438" s="203"/>
      <c r="L438" s="203"/>
      <c r="M438" s="203"/>
    </row>
    <row r="439">
      <c r="A439" s="205">
        <v>249.0</v>
      </c>
      <c r="B439" s="223" t="s">
        <v>1920</v>
      </c>
      <c r="C439" s="223"/>
      <c r="D439" s="223"/>
      <c r="E439" s="225"/>
      <c r="F439" s="225" t="s">
        <v>1921</v>
      </c>
      <c r="G439" s="225"/>
      <c r="H439" s="203"/>
      <c r="I439" s="203"/>
      <c r="J439" s="203"/>
      <c r="K439" s="203"/>
      <c r="L439" s="203"/>
      <c r="M439" s="203"/>
    </row>
    <row r="440">
      <c r="A440" s="205">
        <v>250.0</v>
      </c>
      <c r="B440" s="223" t="s">
        <v>1922</v>
      </c>
      <c r="C440" s="223"/>
      <c r="D440" s="223" t="s">
        <v>1923</v>
      </c>
      <c r="E440" s="225" t="s">
        <v>1924</v>
      </c>
      <c r="F440" s="225" t="s">
        <v>1921</v>
      </c>
      <c r="G440" s="225"/>
      <c r="H440" s="203"/>
      <c r="I440" s="203"/>
      <c r="J440" s="203"/>
      <c r="K440" s="203"/>
      <c r="L440" s="203"/>
      <c r="M440" s="203"/>
    </row>
    <row r="441">
      <c r="A441" s="205"/>
      <c r="B441" s="223" t="s">
        <v>1925</v>
      </c>
      <c r="C441" s="223"/>
      <c r="D441" s="223" t="s">
        <v>1926</v>
      </c>
      <c r="E441" s="225"/>
      <c r="F441" s="225"/>
      <c r="G441" s="225"/>
      <c r="H441" s="203"/>
      <c r="I441" s="203"/>
      <c r="J441" s="203"/>
      <c r="K441" s="203"/>
      <c r="L441" s="203"/>
      <c r="M441" s="203"/>
    </row>
    <row r="442">
      <c r="A442" s="205">
        <v>251.0</v>
      </c>
      <c r="B442" s="223" t="s">
        <v>1927</v>
      </c>
      <c r="C442" s="223"/>
      <c r="D442" s="223"/>
      <c r="E442" s="225"/>
      <c r="F442" s="225" t="s">
        <v>1921</v>
      </c>
      <c r="G442" s="225"/>
      <c r="H442" s="203"/>
      <c r="I442" s="203"/>
      <c r="J442" s="203"/>
      <c r="K442" s="203"/>
      <c r="L442" s="203"/>
      <c r="M442" s="203"/>
    </row>
    <row r="443">
      <c r="A443" s="205">
        <v>252.0</v>
      </c>
      <c r="B443" s="223" t="s">
        <v>1928</v>
      </c>
      <c r="C443" s="223"/>
      <c r="D443" s="223" t="s">
        <v>1929</v>
      </c>
      <c r="E443" s="225" t="s">
        <v>1930</v>
      </c>
      <c r="F443" s="225" t="s">
        <v>1921</v>
      </c>
      <c r="G443" s="225"/>
      <c r="H443" s="203"/>
      <c r="I443" s="203"/>
      <c r="J443" s="203"/>
      <c r="K443" s="203"/>
      <c r="L443" s="203"/>
      <c r="M443" s="203"/>
    </row>
    <row r="444">
      <c r="A444" s="205">
        <v>253.0</v>
      </c>
      <c r="B444" s="223" t="s">
        <v>1931</v>
      </c>
      <c r="C444" s="223"/>
      <c r="D444" s="223" t="s">
        <v>1932</v>
      </c>
      <c r="E444" s="225" t="s">
        <v>1933</v>
      </c>
      <c r="F444" s="225" t="s">
        <v>1921</v>
      </c>
      <c r="G444" s="225"/>
      <c r="H444" s="203"/>
      <c r="I444" s="203"/>
      <c r="J444" s="203"/>
      <c r="K444" s="203"/>
      <c r="L444" s="203"/>
      <c r="M444" s="203"/>
    </row>
    <row r="445">
      <c r="A445" s="205">
        <v>254.0</v>
      </c>
      <c r="B445" s="223" t="s">
        <v>1934</v>
      </c>
      <c r="C445" s="223"/>
      <c r="D445" s="223" t="s">
        <v>1935</v>
      </c>
      <c r="E445" s="225" t="s">
        <v>1936</v>
      </c>
      <c r="F445" s="225" t="s">
        <v>1921</v>
      </c>
      <c r="G445" s="225"/>
      <c r="H445" s="203"/>
      <c r="I445" s="203"/>
      <c r="J445" s="203"/>
      <c r="K445" s="203"/>
      <c r="L445" s="203"/>
      <c r="M445" s="203"/>
    </row>
    <row r="446">
      <c r="A446" s="205">
        <v>255.0</v>
      </c>
      <c r="B446" s="223" t="s">
        <v>1937</v>
      </c>
      <c r="C446" s="223"/>
      <c r="D446" s="223" t="s">
        <v>1938</v>
      </c>
      <c r="E446" s="225" t="s">
        <v>1939</v>
      </c>
      <c r="F446" s="225" t="s">
        <v>1921</v>
      </c>
      <c r="G446" s="225"/>
      <c r="H446" s="203"/>
      <c r="I446" s="203"/>
      <c r="J446" s="203"/>
      <c r="K446" s="203"/>
      <c r="L446" s="203"/>
      <c r="M446" s="203"/>
    </row>
    <row r="447">
      <c r="A447" s="205">
        <v>256.0</v>
      </c>
      <c r="B447" s="223" t="s">
        <v>1940</v>
      </c>
      <c r="C447" s="223"/>
      <c r="D447" s="223" t="s">
        <v>1941</v>
      </c>
      <c r="E447" s="225" t="s">
        <v>1942</v>
      </c>
      <c r="F447" s="225" t="s">
        <v>1921</v>
      </c>
      <c r="G447" s="225"/>
      <c r="H447" s="203"/>
      <c r="I447" s="203"/>
      <c r="J447" s="203"/>
      <c r="K447" s="203"/>
      <c r="L447" s="203"/>
      <c r="M447" s="203"/>
    </row>
    <row r="448">
      <c r="A448" s="205">
        <v>257.0</v>
      </c>
      <c r="B448" s="223" t="s">
        <v>1943</v>
      </c>
      <c r="C448" s="223"/>
      <c r="D448" s="223"/>
      <c r="E448" s="225" t="s">
        <v>1944</v>
      </c>
      <c r="F448" s="225" t="s">
        <v>1921</v>
      </c>
      <c r="G448" s="225"/>
      <c r="H448" s="203"/>
      <c r="I448" s="203"/>
      <c r="J448" s="203"/>
      <c r="K448" s="203"/>
      <c r="L448" s="203"/>
      <c r="M448" s="203"/>
    </row>
    <row r="449">
      <c r="A449" s="205">
        <v>258.0</v>
      </c>
      <c r="B449" s="320" t="s">
        <v>1945</v>
      </c>
      <c r="C449" s="223"/>
      <c r="D449" s="223"/>
      <c r="E449" s="225"/>
      <c r="F449" s="225" t="s">
        <v>1921</v>
      </c>
      <c r="G449" s="225"/>
      <c r="H449" s="203"/>
      <c r="I449" s="203"/>
      <c r="J449" s="203"/>
      <c r="K449" s="203"/>
      <c r="L449" s="203"/>
      <c r="M449" s="203"/>
    </row>
    <row r="450">
      <c r="A450" s="205">
        <v>259.0</v>
      </c>
      <c r="B450" s="223" t="s">
        <v>1946</v>
      </c>
      <c r="C450" s="223"/>
      <c r="D450" s="223">
        <v>7.702119601E9</v>
      </c>
      <c r="E450" s="225" t="s">
        <v>1947</v>
      </c>
      <c r="F450" s="225" t="s">
        <v>1921</v>
      </c>
      <c r="G450" s="225"/>
      <c r="H450" s="203"/>
      <c r="I450" s="203"/>
      <c r="J450" s="203"/>
      <c r="K450" s="203"/>
      <c r="L450" s="203"/>
      <c r="M450" s="203"/>
    </row>
    <row r="451">
      <c r="A451" s="205">
        <v>260.0</v>
      </c>
      <c r="B451" s="223" t="s">
        <v>1948</v>
      </c>
      <c r="C451" s="223"/>
      <c r="D451" s="223" t="s">
        <v>1949</v>
      </c>
      <c r="E451" s="225" t="s">
        <v>1950</v>
      </c>
      <c r="F451" s="225" t="s">
        <v>1921</v>
      </c>
      <c r="G451" s="225"/>
      <c r="H451" s="203"/>
      <c r="I451" s="203"/>
      <c r="J451" s="203"/>
      <c r="K451" s="203"/>
      <c r="L451" s="203"/>
      <c r="M451" s="203"/>
    </row>
    <row r="452">
      <c r="A452" s="205">
        <v>261.0</v>
      </c>
      <c r="B452" s="223" t="s">
        <v>1951</v>
      </c>
      <c r="C452" s="223"/>
      <c r="D452" s="223"/>
      <c r="E452" s="225"/>
      <c r="F452" s="225" t="s">
        <v>1921</v>
      </c>
      <c r="G452" s="225"/>
      <c r="H452" s="203"/>
      <c r="I452" s="203"/>
      <c r="J452" s="203"/>
      <c r="K452" s="203"/>
      <c r="L452" s="203"/>
      <c r="M452" s="203"/>
    </row>
    <row r="453">
      <c r="A453" s="205">
        <v>262.0</v>
      </c>
      <c r="B453" s="223" t="s">
        <v>1952</v>
      </c>
      <c r="C453" s="223"/>
      <c r="D453" s="223"/>
      <c r="E453" s="225"/>
      <c r="F453" s="225" t="s">
        <v>1921</v>
      </c>
      <c r="G453" s="225"/>
      <c r="H453" s="203"/>
      <c r="I453" s="203"/>
      <c r="J453" s="203"/>
      <c r="K453" s="203"/>
      <c r="L453" s="203"/>
      <c r="M453" s="203"/>
    </row>
    <row r="454">
      <c r="A454" s="205">
        <v>263.0</v>
      </c>
      <c r="B454" s="223" t="s">
        <v>1953</v>
      </c>
      <c r="C454" s="223"/>
      <c r="D454" s="223" t="s">
        <v>1954</v>
      </c>
      <c r="E454" s="225" t="s">
        <v>1955</v>
      </c>
      <c r="F454" s="225" t="s">
        <v>1921</v>
      </c>
      <c r="G454" s="225"/>
      <c r="H454" s="203"/>
      <c r="I454" s="203"/>
      <c r="J454" s="203"/>
      <c r="K454" s="203"/>
      <c r="L454" s="203"/>
      <c r="M454" s="203"/>
    </row>
    <row r="455">
      <c r="A455" s="205">
        <v>264.0</v>
      </c>
      <c r="B455" s="223" t="s">
        <v>1956</v>
      </c>
      <c r="C455" s="223"/>
      <c r="D455" s="223" t="s">
        <v>1957</v>
      </c>
      <c r="E455" s="225" t="s">
        <v>1958</v>
      </c>
      <c r="F455" s="225" t="s">
        <v>1921</v>
      </c>
      <c r="G455" s="225"/>
      <c r="H455" s="203"/>
      <c r="I455" s="203"/>
      <c r="J455" s="203"/>
      <c r="K455" s="203"/>
      <c r="L455" s="203"/>
      <c r="M455" s="203"/>
    </row>
    <row r="456">
      <c r="A456" s="205">
        <v>265.0</v>
      </c>
      <c r="B456" s="223"/>
      <c r="C456" s="223"/>
      <c r="D456" s="223"/>
      <c r="E456" s="225"/>
      <c r="F456" s="225" t="s">
        <v>1921</v>
      </c>
      <c r="G456" s="225"/>
      <c r="H456" s="203"/>
      <c r="I456" s="203"/>
      <c r="J456" s="203"/>
      <c r="K456" s="203"/>
      <c r="L456" s="203"/>
      <c r="M456" s="203"/>
    </row>
    <row r="457">
      <c r="A457" s="205">
        <v>266.0</v>
      </c>
      <c r="B457" s="223" t="s">
        <v>1959</v>
      </c>
      <c r="C457" s="223"/>
      <c r="D457" s="223" t="s">
        <v>1960</v>
      </c>
      <c r="E457" s="229" t="s">
        <v>1961</v>
      </c>
      <c r="F457" s="225" t="s">
        <v>1921</v>
      </c>
      <c r="G457" s="225"/>
      <c r="H457" s="203"/>
      <c r="I457" s="203"/>
      <c r="J457" s="203"/>
      <c r="K457" s="203"/>
      <c r="L457" s="203"/>
      <c r="M457" s="203"/>
    </row>
    <row r="458">
      <c r="A458" s="205">
        <v>267.0</v>
      </c>
      <c r="B458" s="223" t="s">
        <v>1962</v>
      </c>
      <c r="C458" s="223"/>
      <c r="D458" s="223"/>
      <c r="E458" s="225" t="s">
        <v>1963</v>
      </c>
      <c r="F458" s="225" t="s">
        <v>1921</v>
      </c>
      <c r="G458" s="225"/>
      <c r="H458" s="203"/>
      <c r="I458" s="203"/>
      <c r="J458" s="203"/>
      <c r="K458" s="203"/>
      <c r="L458" s="203"/>
      <c r="M458" s="203"/>
    </row>
    <row r="459">
      <c r="A459" s="205">
        <v>268.0</v>
      </c>
      <c r="B459" s="223" t="s">
        <v>1964</v>
      </c>
      <c r="C459" s="223"/>
      <c r="D459" s="223"/>
      <c r="E459" s="225"/>
      <c r="F459" s="225" t="s">
        <v>1921</v>
      </c>
      <c r="G459" s="225"/>
      <c r="H459" s="203"/>
      <c r="I459" s="203"/>
      <c r="J459" s="203"/>
      <c r="K459" s="203"/>
      <c r="L459" s="203"/>
      <c r="M459" s="203"/>
    </row>
    <row r="460">
      <c r="A460" s="205">
        <v>269.0</v>
      </c>
      <c r="B460" s="223" t="s">
        <v>1965</v>
      </c>
      <c r="C460" s="223"/>
      <c r="D460" s="223"/>
      <c r="E460" s="225"/>
      <c r="F460" s="225" t="s">
        <v>1921</v>
      </c>
      <c r="G460" s="225"/>
      <c r="H460" s="203"/>
      <c r="I460" s="203"/>
      <c r="J460" s="203"/>
      <c r="K460" s="203"/>
      <c r="L460" s="203"/>
      <c r="M460" s="203"/>
    </row>
    <row r="461">
      <c r="A461" s="205">
        <v>270.0</v>
      </c>
      <c r="B461" s="223" t="s">
        <v>1966</v>
      </c>
      <c r="C461" s="223"/>
      <c r="D461" s="223" t="s">
        <v>1967</v>
      </c>
      <c r="E461" s="225" t="s">
        <v>1968</v>
      </c>
      <c r="F461" s="225" t="s">
        <v>1921</v>
      </c>
      <c r="G461" s="225"/>
      <c r="H461" s="203"/>
      <c r="I461" s="203"/>
      <c r="J461" s="203"/>
      <c r="K461" s="203"/>
      <c r="L461" s="203"/>
      <c r="M461" s="203"/>
    </row>
    <row r="462">
      <c r="A462" s="205">
        <v>271.0</v>
      </c>
      <c r="B462" s="223" t="s">
        <v>1969</v>
      </c>
      <c r="C462" s="223"/>
      <c r="D462" s="223" t="s">
        <v>1970</v>
      </c>
      <c r="E462" s="225" t="s">
        <v>1971</v>
      </c>
      <c r="F462" s="225" t="s">
        <v>1921</v>
      </c>
      <c r="G462" s="225"/>
      <c r="H462" s="203"/>
      <c r="I462" s="203"/>
      <c r="J462" s="203"/>
      <c r="K462" s="203"/>
      <c r="L462" s="203"/>
      <c r="M462" s="203"/>
    </row>
    <row r="463">
      <c r="A463" s="205"/>
      <c r="B463" s="223" t="s">
        <v>1972</v>
      </c>
      <c r="C463" s="223"/>
      <c r="D463" s="223" t="s">
        <v>1973</v>
      </c>
      <c r="E463" s="225"/>
      <c r="F463" s="225" t="s">
        <v>1974</v>
      </c>
      <c r="G463" s="225" t="s">
        <v>676</v>
      </c>
      <c r="H463" s="203"/>
      <c r="I463" s="203"/>
      <c r="J463" s="203"/>
      <c r="K463" s="203"/>
      <c r="L463" s="203"/>
      <c r="M463" s="203"/>
    </row>
    <row r="464">
      <c r="A464" s="205">
        <v>272.0</v>
      </c>
      <c r="B464" s="223" t="s">
        <v>871</v>
      </c>
      <c r="C464" s="223"/>
      <c r="D464" s="223" t="s">
        <v>1975</v>
      </c>
      <c r="E464" s="225" t="s">
        <v>1976</v>
      </c>
      <c r="F464" s="225" t="s">
        <v>1974</v>
      </c>
      <c r="G464" s="225" t="s">
        <v>676</v>
      </c>
      <c r="H464" s="203"/>
      <c r="I464" s="203"/>
      <c r="J464" s="203"/>
      <c r="K464" s="203"/>
      <c r="L464" s="203"/>
      <c r="M464" s="203"/>
    </row>
    <row r="465">
      <c r="A465" s="205">
        <v>273.0</v>
      </c>
      <c r="B465" s="223" t="s">
        <v>1977</v>
      </c>
      <c r="C465" s="223"/>
      <c r="D465" s="223">
        <v>7.502250075E9</v>
      </c>
      <c r="E465" s="225"/>
      <c r="F465" s="225"/>
      <c r="G465" s="225" t="s">
        <v>676</v>
      </c>
      <c r="H465" s="203"/>
      <c r="I465" s="203"/>
      <c r="J465" s="203"/>
      <c r="K465" s="203"/>
      <c r="L465" s="203"/>
      <c r="M465" s="203"/>
    </row>
    <row r="466">
      <c r="A466" s="205">
        <v>274.0</v>
      </c>
      <c r="B466" s="223" t="s">
        <v>1978</v>
      </c>
      <c r="C466" s="223"/>
      <c r="D466" s="223"/>
      <c r="E466" s="225"/>
      <c r="F466" s="225"/>
      <c r="G466" s="225" t="s">
        <v>676</v>
      </c>
      <c r="H466" s="203"/>
      <c r="I466" s="203"/>
      <c r="J466" s="203"/>
      <c r="K466" s="203"/>
      <c r="L466" s="203"/>
      <c r="M466" s="203"/>
    </row>
    <row r="467">
      <c r="A467" s="205">
        <v>275.0</v>
      </c>
      <c r="B467" s="223" t="s">
        <v>1979</v>
      </c>
      <c r="C467" s="223"/>
      <c r="D467" s="223" t="s">
        <v>1980</v>
      </c>
      <c r="E467" s="225" t="s">
        <v>1981</v>
      </c>
      <c r="F467" s="225"/>
      <c r="G467" s="225" t="s">
        <v>676</v>
      </c>
      <c r="H467" s="203"/>
      <c r="I467" s="203"/>
      <c r="J467" s="203"/>
      <c r="K467" s="203"/>
      <c r="L467" s="203"/>
      <c r="M467" s="203"/>
    </row>
    <row r="468">
      <c r="A468" s="205">
        <v>276.0</v>
      </c>
      <c r="B468" s="223" t="s">
        <v>1982</v>
      </c>
      <c r="C468" s="223"/>
      <c r="D468" s="223" t="s">
        <v>1983</v>
      </c>
      <c r="E468" s="225" t="s">
        <v>1984</v>
      </c>
      <c r="F468" s="225"/>
      <c r="G468" s="225" t="s">
        <v>676</v>
      </c>
      <c r="H468" s="203"/>
      <c r="I468" s="203"/>
      <c r="J468" s="203"/>
      <c r="K468" s="203"/>
      <c r="L468" s="203"/>
      <c r="M468" s="203"/>
    </row>
    <row r="469">
      <c r="A469" s="205">
        <v>277.0</v>
      </c>
      <c r="B469" s="223" t="s">
        <v>1985</v>
      </c>
      <c r="C469" s="223"/>
      <c r="D469" s="223">
        <v>7.503939894E9</v>
      </c>
      <c r="E469" s="225"/>
      <c r="F469" s="225" t="s">
        <v>1986</v>
      </c>
      <c r="G469" s="225" t="s">
        <v>676</v>
      </c>
      <c r="H469" s="203"/>
      <c r="I469" s="203"/>
      <c r="J469" s="203"/>
      <c r="K469" s="203"/>
      <c r="L469" s="203"/>
      <c r="M469" s="203"/>
    </row>
    <row r="470">
      <c r="A470" s="205">
        <v>278.0</v>
      </c>
      <c r="B470" s="223" t="s">
        <v>1987</v>
      </c>
      <c r="C470" s="223"/>
      <c r="D470" s="223" t="s">
        <v>1988</v>
      </c>
      <c r="E470" s="225" t="s">
        <v>1989</v>
      </c>
      <c r="F470" s="225"/>
      <c r="G470" s="225" t="s">
        <v>676</v>
      </c>
      <c r="H470" s="203"/>
      <c r="I470" s="203"/>
      <c r="J470" s="203"/>
      <c r="K470" s="203"/>
      <c r="L470" s="203"/>
      <c r="M470" s="203"/>
    </row>
    <row r="471">
      <c r="A471" s="205">
        <v>279.0</v>
      </c>
      <c r="B471" s="223" t="s">
        <v>1990</v>
      </c>
      <c r="C471" s="223"/>
      <c r="D471" s="223" t="s">
        <v>1991</v>
      </c>
      <c r="E471" s="225" t="s">
        <v>1992</v>
      </c>
      <c r="F471" s="225"/>
      <c r="G471" s="225" t="s">
        <v>676</v>
      </c>
      <c r="H471" s="203"/>
      <c r="I471" s="203"/>
      <c r="J471" s="203"/>
      <c r="K471" s="203"/>
      <c r="L471" s="203"/>
      <c r="M471" s="203"/>
    </row>
    <row r="472">
      <c r="A472" s="205">
        <v>280.0</v>
      </c>
      <c r="B472" s="223" t="s">
        <v>1993</v>
      </c>
      <c r="C472" s="223"/>
      <c r="D472" s="223" t="s">
        <v>1994</v>
      </c>
      <c r="E472" s="225" t="s">
        <v>1995</v>
      </c>
      <c r="F472" s="225"/>
      <c r="G472" s="225" t="s">
        <v>676</v>
      </c>
      <c r="H472" s="203"/>
      <c r="I472" s="203"/>
      <c r="J472" s="203"/>
      <c r="K472" s="203"/>
      <c r="L472" s="203"/>
      <c r="M472" s="203"/>
    </row>
    <row r="473">
      <c r="A473" s="205">
        <v>281.0</v>
      </c>
      <c r="B473" s="223" t="s">
        <v>446</v>
      </c>
      <c r="C473" s="223"/>
      <c r="D473" s="223" t="s">
        <v>1996</v>
      </c>
      <c r="E473" s="225" t="s">
        <v>1997</v>
      </c>
      <c r="F473" s="225"/>
      <c r="G473" s="225" t="s">
        <v>676</v>
      </c>
      <c r="H473" s="203"/>
      <c r="I473" s="203"/>
      <c r="J473" s="203"/>
      <c r="K473" s="203"/>
      <c r="L473" s="203"/>
      <c r="M473" s="203"/>
    </row>
    <row r="474">
      <c r="A474" s="205">
        <v>282.0</v>
      </c>
      <c r="B474" s="223" t="s">
        <v>1998</v>
      </c>
      <c r="C474" s="223"/>
      <c r="D474" s="302" t="s">
        <v>1999</v>
      </c>
      <c r="E474" s="225" t="s">
        <v>2000</v>
      </c>
      <c r="F474" s="225"/>
      <c r="G474" s="225" t="s">
        <v>676</v>
      </c>
      <c r="H474" s="203"/>
      <c r="I474" s="203"/>
      <c r="J474" s="203"/>
      <c r="K474" s="203"/>
      <c r="L474" s="203"/>
      <c r="M474" s="203"/>
    </row>
    <row r="475">
      <c r="A475" s="205">
        <v>283.0</v>
      </c>
      <c r="B475" s="223" t="s">
        <v>2001</v>
      </c>
      <c r="C475" s="321" t="s">
        <v>2002</v>
      </c>
      <c r="D475" s="223">
        <v>7.516845585E9</v>
      </c>
      <c r="E475" s="225" t="s">
        <v>2003</v>
      </c>
      <c r="F475" s="225"/>
      <c r="G475" s="225" t="s">
        <v>676</v>
      </c>
      <c r="H475" s="203"/>
      <c r="I475" s="203"/>
      <c r="J475" s="203"/>
      <c r="K475" s="203"/>
      <c r="L475" s="203"/>
      <c r="M475" s="203"/>
    </row>
    <row r="476">
      <c r="A476" s="205">
        <v>284.0</v>
      </c>
      <c r="B476" s="223" t="s">
        <v>2004</v>
      </c>
      <c r="C476" s="223"/>
      <c r="D476" s="223" t="s">
        <v>2005</v>
      </c>
      <c r="E476" s="225" t="s">
        <v>2006</v>
      </c>
      <c r="F476" s="225"/>
      <c r="G476" s="225" t="s">
        <v>676</v>
      </c>
      <c r="H476" s="203"/>
      <c r="I476" s="203"/>
      <c r="J476" s="203"/>
      <c r="K476" s="203"/>
      <c r="L476" s="203"/>
      <c r="M476" s="203"/>
    </row>
    <row r="477">
      <c r="A477" s="205">
        <v>285.0</v>
      </c>
      <c r="B477" s="223" t="s">
        <v>2007</v>
      </c>
      <c r="C477" s="223"/>
      <c r="D477" s="223" t="s">
        <v>2008</v>
      </c>
      <c r="E477" s="225" t="s">
        <v>2009</v>
      </c>
      <c r="F477" s="225"/>
      <c r="G477" s="225" t="s">
        <v>676</v>
      </c>
      <c r="H477" s="203"/>
      <c r="I477" s="203"/>
      <c r="J477" s="203"/>
      <c r="K477" s="203"/>
      <c r="L477" s="203"/>
      <c r="M477" s="203"/>
    </row>
    <row r="478">
      <c r="A478" s="205">
        <v>286.0</v>
      </c>
      <c r="B478" s="223" t="s">
        <v>2010</v>
      </c>
      <c r="C478" s="223"/>
      <c r="D478" s="223">
        <v>7.511434787E9</v>
      </c>
      <c r="E478" s="225"/>
      <c r="F478" s="225"/>
      <c r="G478" s="225" t="s">
        <v>676</v>
      </c>
      <c r="H478" s="203"/>
      <c r="I478" s="203"/>
      <c r="J478" s="203"/>
      <c r="K478" s="203"/>
      <c r="L478" s="203"/>
      <c r="M478" s="203"/>
    </row>
    <row r="479">
      <c r="A479" s="205">
        <v>287.0</v>
      </c>
      <c r="B479" s="223" t="s">
        <v>2011</v>
      </c>
      <c r="C479" s="223"/>
      <c r="D479" s="223" t="s">
        <v>2012</v>
      </c>
      <c r="E479" s="225" t="s">
        <v>2013</v>
      </c>
      <c r="F479" s="225"/>
      <c r="G479" s="225" t="s">
        <v>676</v>
      </c>
      <c r="H479" s="203"/>
      <c r="I479" s="203"/>
      <c r="J479" s="203"/>
      <c r="K479" s="203"/>
      <c r="L479" s="203"/>
      <c r="M479" s="203"/>
    </row>
    <row r="480">
      <c r="A480" s="205">
        <v>288.0</v>
      </c>
      <c r="B480" s="236" t="s">
        <v>2014</v>
      </c>
      <c r="C480" s="223"/>
      <c r="D480" s="223" t="s">
        <v>2015</v>
      </c>
      <c r="E480" s="225" t="s">
        <v>2016</v>
      </c>
      <c r="F480" s="225"/>
      <c r="G480" s="225" t="s">
        <v>676</v>
      </c>
      <c r="H480" s="203"/>
      <c r="I480" s="203"/>
      <c r="J480" s="203"/>
      <c r="K480" s="203"/>
      <c r="L480" s="203"/>
      <c r="M480" s="203"/>
    </row>
    <row r="481">
      <c r="A481" s="205">
        <v>289.0</v>
      </c>
      <c r="B481" s="223" t="s">
        <v>2017</v>
      </c>
      <c r="C481" s="321" t="s">
        <v>2018</v>
      </c>
      <c r="D481" s="223">
        <v>7.504604602E9</v>
      </c>
      <c r="E481" s="225" t="s">
        <v>2019</v>
      </c>
      <c r="F481" s="225"/>
      <c r="G481" s="225" t="s">
        <v>676</v>
      </c>
      <c r="H481" s="203"/>
      <c r="I481" s="203"/>
      <c r="J481" s="203"/>
      <c r="K481" s="203"/>
      <c r="L481" s="203"/>
      <c r="M481" s="203"/>
    </row>
    <row r="482">
      <c r="A482" s="205">
        <v>290.0</v>
      </c>
      <c r="B482" s="223" t="s">
        <v>2020</v>
      </c>
      <c r="C482" s="223"/>
      <c r="D482" s="223" t="s">
        <v>2021</v>
      </c>
      <c r="E482" s="225" t="s">
        <v>2022</v>
      </c>
      <c r="F482" s="225"/>
      <c r="G482" s="225" t="s">
        <v>676</v>
      </c>
      <c r="H482" s="203"/>
      <c r="I482" s="203"/>
      <c r="J482" s="203"/>
      <c r="K482" s="203"/>
      <c r="L482" s="203"/>
      <c r="M482" s="203"/>
    </row>
    <row r="483">
      <c r="A483" s="205">
        <v>291.0</v>
      </c>
      <c r="B483" s="223" t="s">
        <v>2023</v>
      </c>
      <c r="C483" s="223"/>
      <c r="D483" s="223" t="s">
        <v>2024</v>
      </c>
      <c r="E483" s="225" t="s">
        <v>2025</v>
      </c>
      <c r="F483" s="225"/>
      <c r="G483" s="225" t="s">
        <v>676</v>
      </c>
      <c r="H483" s="203"/>
      <c r="I483" s="203"/>
      <c r="J483" s="203"/>
      <c r="K483" s="203"/>
      <c r="L483" s="203"/>
      <c r="M483" s="203"/>
    </row>
    <row r="484">
      <c r="A484" s="205">
        <v>292.0</v>
      </c>
      <c r="B484" s="321" t="s">
        <v>2026</v>
      </c>
      <c r="C484" s="223"/>
      <c r="D484" s="223"/>
      <c r="E484" s="225"/>
      <c r="F484" s="225"/>
      <c r="G484" s="225" t="s">
        <v>676</v>
      </c>
      <c r="H484" s="203"/>
      <c r="I484" s="203"/>
      <c r="J484" s="203"/>
      <c r="K484" s="203"/>
      <c r="L484" s="203"/>
      <c r="M484" s="203"/>
    </row>
    <row r="485">
      <c r="A485" s="205">
        <v>293.0</v>
      </c>
      <c r="B485" s="223" t="s">
        <v>2027</v>
      </c>
      <c r="C485" s="223"/>
      <c r="D485" s="223" t="s">
        <v>2028</v>
      </c>
      <c r="E485" s="225" t="s">
        <v>2029</v>
      </c>
      <c r="F485" s="225"/>
      <c r="G485" s="225" t="s">
        <v>676</v>
      </c>
      <c r="H485" s="203"/>
      <c r="I485" s="203"/>
      <c r="J485" s="203"/>
      <c r="K485" s="203"/>
      <c r="L485" s="203"/>
      <c r="M485" s="203"/>
    </row>
    <row r="486">
      <c r="A486" s="205">
        <v>294.0</v>
      </c>
      <c r="B486" s="223" t="s">
        <v>2030</v>
      </c>
      <c r="C486" s="223"/>
      <c r="D486" s="223" t="s">
        <v>2031</v>
      </c>
      <c r="E486" s="225" t="s">
        <v>2032</v>
      </c>
      <c r="F486" s="225"/>
      <c r="G486" s="225" t="s">
        <v>676</v>
      </c>
      <c r="H486" s="203"/>
      <c r="I486" s="203"/>
      <c r="J486" s="203"/>
      <c r="K486" s="203"/>
      <c r="L486" s="203"/>
      <c r="M486" s="203"/>
    </row>
    <row r="487">
      <c r="A487" s="205">
        <v>295.0</v>
      </c>
      <c r="B487" s="223" t="s">
        <v>2033</v>
      </c>
      <c r="C487" s="223"/>
      <c r="D487" s="223" t="s">
        <v>2034</v>
      </c>
      <c r="E487" s="225" t="s">
        <v>2035</v>
      </c>
      <c r="F487" s="225"/>
      <c r="G487" s="225" t="s">
        <v>676</v>
      </c>
      <c r="H487" s="203"/>
      <c r="I487" s="203"/>
      <c r="J487" s="203"/>
      <c r="K487" s="203"/>
      <c r="L487" s="203"/>
      <c r="M487" s="203"/>
    </row>
    <row r="488">
      <c r="A488" s="205">
        <v>297.0</v>
      </c>
      <c r="B488" s="223" t="s">
        <v>2036</v>
      </c>
      <c r="C488" s="223"/>
      <c r="D488" s="223"/>
      <c r="E488" s="225"/>
      <c r="F488" s="225"/>
      <c r="G488" s="225" t="s">
        <v>676</v>
      </c>
      <c r="H488" s="203"/>
      <c r="I488" s="203"/>
      <c r="J488" s="203"/>
      <c r="K488" s="203"/>
      <c r="L488" s="203"/>
      <c r="M488" s="203"/>
    </row>
    <row r="489">
      <c r="A489" s="205">
        <v>298.0</v>
      </c>
      <c r="B489" s="223" t="s">
        <v>2037</v>
      </c>
      <c r="C489" s="223"/>
      <c r="D489" s="223" t="s">
        <v>2038</v>
      </c>
      <c r="E489" s="225"/>
      <c r="F489" s="225"/>
      <c r="G489" s="225" t="s">
        <v>676</v>
      </c>
      <c r="H489" s="203"/>
      <c r="I489" s="203"/>
      <c r="J489" s="203"/>
      <c r="K489" s="203"/>
      <c r="L489" s="203"/>
      <c r="M489" s="203"/>
    </row>
    <row r="490">
      <c r="A490" s="205">
        <v>299.0</v>
      </c>
      <c r="B490" s="223" t="s">
        <v>176</v>
      </c>
      <c r="C490" s="223"/>
      <c r="D490" s="223" t="s">
        <v>2039</v>
      </c>
      <c r="E490" s="225" t="s">
        <v>283</v>
      </c>
      <c r="F490" s="225"/>
      <c r="G490" s="225" t="s">
        <v>2040</v>
      </c>
      <c r="H490" s="203"/>
      <c r="I490" s="203"/>
      <c r="J490" s="203"/>
      <c r="K490" s="203"/>
      <c r="L490" s="203"/>
      <c r="M490" s="203"/>
    </row>
    <row r="491">
      <c r="A491" s="205">
        <v>300.0</v>
      </c>
      <c r="B491" s="223" t="s">
        <v>2041</v>
      </c>
      <c r="C491" s="223"/>
      <c r="D491" s="223" t="s">
        <v>2042</v>
      </c>
      <c r="E491" s="225" t="s">
        <v>2043</v>
      </c>
      <c r="F491" s="225"/>
      <c r="G491" s="225"/>
      <c r="H491" s="203"/>
      <c r="I491" s="203"/>
      <c r="J491" s="203"/>
      <c r="K491" s="203"/>
      <c r="L491" s="203"/>
      <c r="M491" s="203"/>
    </row>
    <row r="492">
      <c r="A492" s="205">
        <v>301.0</v>
      </c>
      <c r="B492" s="223" t="s">
        <v>2044</v>
      </c>
      <c r="C492" s="223"/>
      <c r="D492" s="223">
        <v>7.701542937E9</v>
      </c>
      <c r="E492" s="225"/>
      <c r="F492" s="225"/>
      <c r="G492" s="225"/>
      <c r="H492" s="203"/>
      <c r="I492" s="203"/>
      <c r="J492" s="203"/>
      <c r="K492" s="203"/>
      <c r="L492" s="203"/>
      <c r="M492" s="203"/>
    </row>
    <row r="493">
      <c r="A493" s="205">
        <v>302.0</v>
      </c>
      <c r="B493" s="223" t="s">
        <v>2045</v>
      </c>
      <c r="C493" s="223"/>
      <c r="D493" s="223" t="s">
        <v>2046</v>
      </c>
      <c r="E493" s="225" t="s">
        <v>2047</v>
      </c>
      <c r="F493" s="225"/>
      <c r="G493" s="225"/>
      <c r="H493" s="203"/>
      <c r="I493" s="203"/>
      <c r="J493" s="203"/>
      <c r="K493" s="203"/>
      <c r="L493" s="203"/>
      <c r="M493" s="203"/>
    </row>
    <row r="494">
      <c r="A494" s="205">
        <v>303.0</v>
      </c>
      <c r="B494" s="223" t="s">
        <v>2048</v>
      </c>
      <c r="C494" s="223"/>
      <c r="D494" s="223" t="s">
        <v>1394</v>
      </c>
      <c r="E494" s="225"/>
      <c r="F494" s="225"/>
      <c r="G494" s="225"/>
      <c r="H494" s="203"/>
      <c r="I494" s="203"/>
      <c r="J494" s="203"/>
      <c r="K494" s="203"/>
      <c r="L494" s="203"/>
      <c r="M494" s="203"/>
    </row>
    <row r="495">
      <c r="A495" s="205">
        <v>304.0</v>
      </c>
      <c r="B495" s="223" t="s">
        <v>2049</v>
      </c>
      <c r="C495" s="223"/>
      <c r="D495" s="223" t="s">
        <v>2050</v>
      </c>
      <c r="E495" s="225" t="s">
        <v>1321</v>
      </c>
      <c r="F495" s="225"/>
      <c r="G495" s="225"/>
      <c r="H495" s="203"/>
      <c r="I495" s="203"/>
      <c r="J495" s="203"/>
      <c r="K495" s="203"/>
      <c r="L495" s="203"/>
      <c r="M495" s="203"/>
    </row>
    <row r="496">
      <c r="A496" s="205">
        <v>305.0</v>
      </c>
      <c r="B496" s="223" t="s">
        <v>2051</v>
      </c>
      <c r="C496" s="223"/>
      <c r="D496" s="223"/>
      <c r="E496" s="229" t="s">
        <v>2052</v>
      </c>
      <c r="F496" s="225"/>
      <c r="G496" s="225"/>
      <c r="H496" s="203"/>
      <c r="I496" s="203"/>
      <c r="J496" s="203"/>
      <c r="K496" s="203"/>
      <c r="L496" s="203"/>
      <c r="M496" s="203"/>
    </row>
    <row r="497">
      <c r="A497" s="205">
        <v>306.0</v>
      </c>
      <c r="B497" s="223" t="s">
        <v>2053</v>
      </c>
      <c r="C497" s="223"/>
      <c r="D497" s="223" t="s">
        <v>2054</v>
      </c>
      <c r="E497" s="225" t="s">
        <v>2055</v>
      </c>
      <c r="F497" s="229" t="s">
        <v>2056</v>
      </c>
      <c r="G497" s="225"/>
      <c r="H497" s="203"/>
      <c r="I497" s="203"/>
      <c r="J497" s="203"/>
      <c r="K497" s="203"/>
      <c r="L497" s="203"/>
      <c r="M497" s="203"/>
    </row>
    <row r="498">
      <c r="A498" s="205">
        <v>307.0</v>
      </c>
      <c r="B498" s="236" t="s">
        <v>2057</v>
      </c>
      <c r="C498" s="223"/>
      <c r="D498" s="223" t="s">
        <v>2058</v>
      </c>
      <c r="E498" s="225" t="s">
        <v>2059</v>
      </c>
      <c r="F498" s="225"/>
      <c r="G498" s="225"/>
      <c r="H498" s="203"/>
      <c r="I498" s="203"/>
      <c r="J498" s="203"/>
      <c r="K498" s="203"/>
      <c r="L498" s="203"/>
      <c r="M498" s="203"/>
    </row>
    <row r="499">
      <c r="A499" s="205">
        <v>308.0</v>
      </c>
      <c r="B499" s="223" t="s">
        <v>2060</v>
      </c>
      <c r="C499" s="223"/>
      <c r="D499" s="223" t="s">
        <v>2061</v>
      </c>
      <c r="E499" s="225" t="s">
        <v>2062</v>
      </c>
      <c r="F499" s="225"/>
      <c r="G499" s="225"/>
      <c r="H499" s="203"/>
      <c r="I499" s="203"/>
      <c r="J499" s="203"/>
      <c r="K499" s="203"/>
      <c r="L499" s="203"/>
      <c r="M499" s="203"/>
    </row>
    <row r="500">
      <c r="A500" s="205">
        <v>309.0</v>
      </c>
      <c r="B500" s="321" t="s">
        <v>2063</v>
      </c>
      <c r="C500" s="223"/>
      <c r="D500" s="223"/>
      <c r="E500" s="225"/>
      <c r="F500" s="225"/>
      <c r="G500" s="225"/>
      <c r="H500" s="203"/>
      <c r="I500" s="203"/>
      <c r="J500" s="203"/>
      <c r="K500" s="203"/>
      <c r="L500" s="203"/>
      <c r="M500" s="203"/>
    </row>
    <row r="501">
      <c r="A501" s="205">
        <v>310.0</v>
      </c>
      <c r="B501" s="236" t="s">
        <v>2064</v>
      </c>
      <c r="C501" s="223"/>
      <c r="D501" s="223" t="s">
        <v>1476</v>
      </c>
      <c r="E501" s="225" t="s">
        <v>1477</v>
      </c>
      <c r="F501" s="225"/>
      <c r="G501" s="225"/>
      <c r="H501" s="203"/>
      <c r="I501" s="203"/>
      <c r="J501" s="203"/>
      <c r="K501" s="203"/>
      <c r="L501" s="203"/>
      <c r="M501" s="203"/>
    </row>
    <row r="502">
      <c r="A502" s="205">
        <v>311.0</v>
      </c>
      <c r="B502" s="207" t="s">
        <v>2065</v>
      </c>
      <c r="C502" s="208"/>
      <c r="D502" s="217" t="s">
        <v>2066</v>
      </c>
      <c r="E502" s="209" t="s">
        <v>2067</v>
      </c>
      <c r="F502" s="211" t="s">
        <v>2068</v>
      </c>
      <c r="G502" s="209"/>
      <c r="H502" s="203"/>
      <c r="I502" s="203"/>
      <c r="J502" s="203"/>
      <c r="K502" s="203"/>
      <c r="L502" s="203"/>
      <c r="M502" s="203"/>
    </row>
    <row r="503">
      <c r="A503" s="205">
        <v>312.0</v>
      </c>
      <c r="B503" s="207" t="s">
        <v>2069</v>
      </c>
      <c r="C503" s="208"/>
      <c r="D503" s="208"/>
      <c r="E503" s="209" t="s">
        <v>2070</v>
      </c>
      <c r="F503" s="211" t="s">
        <v>2071</v>
      </c>
      <c r="G503" s="209"/>
      <c r="H503" s="203"/>
      <c r="I503" s="203"/>
      <c r="J503" s="203"/>
      <c r="K503" s="203"/>
      <c r="L503" s="203"/>
      <c r="M503" s="203"/>
    </row>
    <row r="504">
      <c r="A504" s="205"/>
      <c r="B504" s="277" t="s">
        <v>2072</v>
      </c>
      <c r="C504" s="322"/>
      <c r="D504" s="322" t="s">
        <v>2073</v>
      </c>
      <c r="E504" s="209" t="s">
        <v>2074</v>
      </c>
      <c r="F504" s="209"/>
      <c r="G504" s="209"/>
      <c r="H504" s="203"/>
      <c r="I504" s="203"/>
      <c r="J504" s="203"/>
      <c r="K504" s="203"/>
      <c r="L504" s="203"/>
      <c r="M504" s="203"/>
    </row>
    <row r="505">
      <c r="A505" s="205"/>
      <c r="B505" s="322" t="s">
        <v>2075</v>
      </c>
      <c r="C505" s="322"/>
      <c r="D505" s="323" t="s">
        <v>2076</v>
      </c>
      <c r="E505" s="209" t="s">
        <v>2077</v>
      </c>
      <c r="F505" s="209"/>
      <c r="G505" s="209"/>
      <c r="H505" s="203"/>
      <c r="I505" s="203"/>
      <c r="J505" s="203"/>
      <c r="K505" s="203"/>
      <c r="L505" s="203"/>
      <c r="M505" s="203"/>
    </row>
    <row r="506">
      <c r="A506" s="205"/>
      <c r="B506" s="277" t="s">
        <v>2078</v>
      </c>
      <c r="C506" s="322"/>
      <c r="D506" s="322" t="s">
        <v>2079</v>
      </c>
      <c r="E506" s="209"/>
      <c r="F506" s="209"/>
      <c r="G506" s="209"/>
      <c r="H506" s="203"/>
      <c r="I506" s="203"/>
      <c r="J506" s="203"/>
      <c r="K506" s="203"/>
      <c r="L506" s="203"/>
      <c r="M506" s="203"/>
    </row>
    <row r="507">
      <c r="A507" s="205"/>
      <c r="B507" s="324" t="s">
        <v>2080</v>
      </c>
      <c r="C507" s="53"/>
      <c r="D507" s="53"/>
      <c r="E507" s="53"/>
      <c r="F507" s="53"/>
      <c r="G507" s="202"/>
      <c r="H507" s="203"/>
      <c r="I507" s="203"/>
      <c r="J507" s="203"/>
      <c r="K507" s="203"/>
      <c r="L507" s="203"/>
      <c r="M507" s="203"/>
    </row>
    <row r="508">
      <c r="A508" s="205"/>
      <c r="B508" s="207"/>
      <c r="C508" s="208"/>
      <c r="D508" s="208"/>
      <c r="E508" s="209"/>
      <c r="F508" s="209"/>
      <c r="G508" s="209"/>
      <c r="H508" s="203"/>
      <c r="I508" s="203"/>
      <c r="J508" s="203"/>
      <c r="K508" s="203"/>
      <c r="L508" s="203"/>
      <c r="M508" s="203"/>
    </row>
    <row r="509">
      <c r="A509" s="205"/>
      <c r="B509" s="207"/>
      <c r="C509" s="208"/>
      <c r="D509" s="208"/>
      <c r="E509" s="209"/>
      <c r="F509" s="209"/>
      <c r="G509" s="209"/>
      <c r="H509" s="203"/>
      <c r="I509" s="203"/>
      <c r="J509" s="203"/>
      <c r="K509" s="203"/>
      <c r="L509" s="203"/>
      <c r="M509" s="203"/>
    </row>
    <row r="510">
      <c r="A510" s="205"/>
      <c r="B510" s="207"/>
      <c r="C510" s="208"/>
      <c r="D510" s="208"/>
      <c r="E510" s="209"/>
      <c r="F510" s="209"/>
      <c r="G510" s="209"/>
      <c r="H510" s="203"/>
      <c r="I510" s="203"/>
      <c r="J510" s="203"/>
      <c r="K510" s="203"/>
      <c r="L510" s="203"/>
      <c r="M510" s="203"/>
    </row>
    <row r="511">
      <c r="A511" s="205"/>
      <c r="B511" s="207"/>
      <c r="C511" s="208"/>
      <c r="D511" s="208"/>
      <c r="E511" s="209"/>
      <c r="F511" s="209"/>
      <c r="G511" s="209"/>
      <c r="H511" s="203"/>
      <c r="I511" s="203"/>
      <c r="J511" s="203"/>
      <c r="K511" s="203"/>
      <c r="L511" s="203"/>
      <c r="M511" s="203"/>
    </row>
    <row r="512">
      <c r="A512" s="205">
        <v>313.0</v>
      </c>
      <c r="B512" s="207" t="s">
        <v>2081</v>
      </c>
      <c r="C512" s="208"/>
      <c r="D512" s="208" t="s">
        <v>2082</v>
      </c>
      <c r="E512" s="209" t="s">
        <v>2083</v>
      </c>
      <c r="F512" s="209"/>
      <c r="G512" s="209"/>
      <c r="H512" s="203"/>
      <c r="I512" s="203"/>
      <c r="J512" s="203"/>
      <c r="K512" s="203"/>
      <c r="L512" s="203"/>
      <c r="M512" s="203"/>
    </row>
    <row r="513">
      <c r="A513" s="205">
        <v>314.0</v>
      </c>
      <c r="B513" s="207" t="s">
        <v>2084</v>
      </c>
      <c r="C513" s="208"/>
      <c r="D513" s="217" t="s">
        <v>2085</v>
      </c>
      <c r="E513" s="209" t="s">
        <v>2086</v>
      </c>
      <c r="F513" s="209"/>
      <c r="G513" s="209"/>
      <c r="H513" s="203"/>
      <c r="I513" s="203"/>
      <c r="J513" s="203"/>
      <c r="K513" s="203"/>
      <c r="L513" s="203"/>
      <c r="M513" s="203"/>
    </row>
    <row r="514">
      <c r="A514" s="205">
        <v>315.0</v>
      </c>
      <c r="B514" s="207" t="s">
        <v>2087</v>
      </c>
      <c r="C514" s="208"/>
      <c r="D514" s="217" t="s">
        <v>2088</v>
      </c>
      <c r="E514" s="209" t="s">
        <v>2089</v>
      </c>
      <c r="F514" s="209"/>
      <c r="G514" s="209"/>
      <c r="H514" s="203"/>
      <c r="I514" s="203"/>
      <c r="J514" s="203"/>
      <c r="K514" s="203"/>
      <c r="L514" s="203"/>
      <c r="M514" s="203"/>
    </row>
    <row r="515">
      <c r="A515" s="205">
        <v>316.0</v>
      </c>
      <c r="B515" s="207" t="s">
        <v>2090</v>
      </c>
      <c r="C515" s="208"/>
      <c r="D515" s="208" t="s">
        <v>2091</v>
      </c>
      <c r="E515" s="209" t="s">
        <v>2092</v>
      </c>
      <c r="F515" s="209"/>
      <c r="G515" s="209"/>
      <c r="H515" s="203"/>
      <c r="I515" s="203"/>
      <c r="J515" s="203"/>
      <c r="K515" s="203"/>
      <c r="L515" s="203"/>
      <c r="M515" s="203"/>
    </row>
    <row r="516">
      <c r="A516" s="205">
        <v>317.0</v>
      </c>
      <c r="B516" s="325" t="s">
        <v>2093</v>
      </c>
      <c r="C516" s="326"/>
      <c r="D516" s="326" t="s">
        <v>2094</v>
      </c>
      <c r="E516" s="327" t="s">
        <v>2095</v>
      </c>
      <c r="F516" s="209"/>
      <c r="G516" s="209"/>
      <c r="H516" s="203"/>
      <c r="I516" s="203"/>
      <c r="J516" s="203"/>
      <c r="K516" s="203"/>
      <c r="L516" s="203"/>
      <c r="M516" s="203"/>
    </row>
    <row r="517">
      <c r="A517" s="205">
        <v>318.0</v>
      </c>
      <c r="B517" s="328"/>
      <c r="C517" s="326"/>
      <c r="D517" s="326" t="s">
        <v>2096</v>
      </c>
      <c r="E517" s="327" t="s">
        <v>2097</v>
      </c>
      <c r="F517" s="209"/>
      <c r="G517" s="209"/>
      <c r="H517" s="203"/>
      <c r="I517" s="203"/>
      <c r="J517" s="203"/>
      <c r="K517" s="203"/>
      <c r="L517" s="203"/>
      <c r="M517" s="203"/>
    </row>
    <row r="518">
      <c r="A518" s="205">
        <v>319.0</v>
      </c>
      <c r="B518" s="328"/>
      <c r="C518" s="326"/>
      <c r="D518" s="326"/>
      <c r="E518" s="327" t="s">
        <v>2098</v>
      </c>
      <c r="F518" s="209"/>
      <c r="G518" s="209"/>
      <c r="H518" s="203"/>
      <c r="I518" s="203"/>
      <c r="J518" s="203"/>
      <c r="K518" s="203"/>
      <c r="L518" s="203"/>
      <c r="M518" s="203"/>
    </row>
    <row r="519">
      <c r="A519" s="205">
        <v>320.0</v>
      </c>
      <c r="B519" s="328"/>
      <c r="C519" s="326"/>
      <c r="D519" s="326"/>
      <c r="E519" s="327" t="s">
        <v>2099</v>
      </c>
      <c r="F519" s="209"/>
      <c r="G519" s="209"/>
      <c r="H519" s="203"/>
      <c r="I519" s="203"/>
      <c r="J519" s="203"/>
      <c r="K519" s="203"/>
      <c r="L519" s="203"/>
      <c r="M519" s="203"/>
    </row>
    <row r="520">
      <c r="A520" s="205">
        <v>321.0</v>
      </c>
      <c r="B520" s="328"/>
      <c r="C520" s="326"/>
      <c r="D520" s="326"/>
      <c r="E520" s="327" t="s">
        <v>2100</v>
      </c>
      <c r="F520" s="209"/>
      <c r="G520" s="209"/>
      <c r="H520" s="203"/>
      <c r="I520" s="203"/>
      <c r="J520" s="203"/>
      <c r="K520" s="203"/>
      <c r="L520" s="203"/>
      <c r="M520" s="203"/>
    </row>
    <row r="521">
      <c r="A521" s="205">
        <v>322.0</v>
      </c>
      <c r="B521" s="328"/>
      <c r="C521" s="326"/>
      <c r="D521" s="326"/>
      <c r="E521" s="327" t="s">
        <v>2101</v>
      </c>
      <c r="F521" s="209"/>
      <c r="G521" s="209"/>
      <c r="H521" s="203"/>
      <c r="I521" s="203"/>
      <c r="J521" s="203"/>
      <c r="K521" s="203"/>
      <c r="L521" s="203"/>
      <c r="M521" s="203"/>
    </row>
    <row r="522">
      <c r="A522" s="205">
        <v>323.0</v>
      </c>
      <c r="B522" s="328"/>
      <c r="C522" s="326"/>
      <c r="D522" s="326"/>
      <c r="E522" s="327" t="s">
        <v>2102</v>
      </c>
      <c r="F522" s="209"/>
      <c r="G522" s="209"/>
      <c r="H522" s="203"/>
      <c r="I522" s="203"/>
      <c r="J522" s="203"/>
      <c r="K522" s="203"/>
      <c r="L522" s="203"/>
      <c r="M522" s="203"/>
    </row>
    <row r="523">
      <c r="A523" s="205">
        <v>324.0</v>
      </c>
      <c r="B523" s="328"/>
      <c r="C523" s="326"/>
      <c r="D523" s="326"/>
      <c r="E523" s="327" t="s">
        <v>2103</v>
      </c>
      <c r="F523" s="209"/>
      <c r="G523" s="209"/>
      <c r="H523" s="203"/>
      <c r="I523" s="203"/>
      <c r="J523" s="203"/>
      <c r="K523" s="203"/>
      <c r="L523" s="203"/>
      <c r="M523" s="203"/>
    </row>
    <row r="524">
      <c r="A524" s="205">
        <v>325.0</v>
      </c>
      <c r="B524" s="329"/>
      <c r="C524" s="326"/>
      <c r="D524" s="326"/>
      <c r="E524" s="327" t="s">
        <v>2104</v>
      </c>
      <c r="F524" s="209"/>
      <c r="G524" s="209"/>
      <c r="H524" s="203"/>
      <c r="I524" s="203"/>
      <c r="J524" s="203"/>
      <c r="K524" s="203"/>
      <c r="L524" s="203"/>
      <c r="M524" s="203"/>
    </row>
    <row r="525">
      <c r="A525" s="205">
        <v>326.0</v>
      </c>
      <c r="B525" s="207" t="s">
        <v>2105</v>
      </c>
      <c r="C525" s="208"/>
      <c r="D525" s="208">
        <v>3.5121780222E11</v>
      </c>
      <c r="E525" s="209" t="s">
        <v>2106</v>
      </c>
      <c r="F525" s="211" t="s">
        <v>2107</v>
      </c>
      <c r="G525" s="209"/>
      <c r="H525" s="203"/>
      <c r="I525" s="203"/>
      <c r="J525" s="203"/>
      <c r="K525" s="203"/>
      <c r="L525" s="203"/>
      <c r="M525" s="203"/>
    </row>
    <row r="526">
      <c r="A526" s="205">
        <v>327.0</v>
      </c>
      <c r="B526" s="207" t="s">
        <v>2108</v>
      </c>
      <c r="C526" s="208"/>
      <c r="D526" s="208" t="s">
        <v>2109</v>
      </c>
      <c r="E526" s="209" t="s">
        <v>2110</v>
      </c>
      <c r="F526" s="211" t="s">
        <v>2111</v>
      </c>
      <c r="G526" s="209"/>
      <c r="H526" s="203"/>
      <c r="I526" s="203"/>
      <c r="J526" s="203"/>
      <c r="K526" s="203"/>
      <c r="L526" s="203"/>
      <c r="M526" s="203"/>
    </row>
    <row r="527">
      <c r="A527" s="205">
        <v>328.0</v>
      </c>
      <c r="B527" s="207" t="s">
        <v>2112</v>
      </c>
      <c r="C527" s="208"/>
      <c r="D527" s="208" t="s">
        <v>2113</v>
      </c>
      <c r="E527" s="209" t="s">
        <v>2114</v>
      </c>
      <c r="F527" s="211" t="s">
        <v>2115</v>
      </c>
      <c r="G527" s="209"/>
      <c r="H527" s="203"/>
      <c r="I527" s="203"/>
      <c r="J527" s="203"/>
      <c r="K527" s="203"/>
      <c r="L527" s="203"/>
      <c r="M527" s="203"/>
    </row>
    <row r="528">
      <c r="A528" s="205">
        <v>329.0</v>
      </c>
      <c r="B528" s="207" t="s">
        <v>2116</v>
      </c>
      <c r="C528" s="208"/>
      <c r="D528" s="208" t="s">
        <v>2117</v>
      </c>
      <c r="E528" s="209" t="s">
        <v>2118</v>
      </c>
      <c r="F528" s="211" t="s">
        <v>2119</v>
      </c>
      <c r="G528" s="209"/>
      <c r="H528" s="203"/>
      <c r="I528" s="203"/>
      <c r="J528" s="203"/>
      <c r="K528" s="203"/>
      <c r="L528" s="203"/>
      <c r="M528" s="203"/>
    </row>
    <row r="529">
      <c r="A529" s="205">
        <v>330.0</v>
      </c>
      <c r="B529" s="207" t="s">
        <v>2120</v>
      </c>
      <c r="C529" s="208"/>
      <c r="D529" s="208" t="s">
        <v>2121</v>
      </c>
      <c r="E529" s="209" t="s">
        <v>2122</v>
      </c>
      <c r="F529" s="211" t="s">
        <v>2123</v>
      </c>
      <c r="G529" s="209"/>
      <c r="H529" s="203"/>
      <c r="I529" s="203"/>
      <c r="J529" s="203"/>
      <c r="K529" s="203"/>
      <c r="L529" s="203"/>
      <c r="M529" s="203"/>
    </row>
    <row r="530">
      <c r="A530" s="205">
        <v>331.0</v>
      </c>
      <c r="B530" s="330" t="s">
        <v>2124</v>
      </c>
      <c r="C530" s="331"/>
      <c r="D530" s="331" t="s">
        <v>2125</v>
      </c>
      <c r="E530" s="332" t="s">
        <v>2126</v>
      </c>
      <c r="F530" s="209"/>
      <c r="G530" s="209"/>
      <c r="H530" s="203"/>
      <c r="I530" s="203"/>
      <c r="J530" s="203"/>
      <c r="K530" s="203"/>
      <c r="L530" s="203"/>
      <c r="M530" s="203"/>
    </row>
    <row r="531">
      <c r="A531" s="205">
        <v>332.0</v>
      </c>
      <c r="B531" s="328"/>
      <c r="C531" s="331"/>
      <c r="D531" s="331" t="s">
        <v>2127</v>
      </c>
      <c r="E531" s="332" t="s">
        <v>2128</v>
      </c>
      <c r="F531" s="211" t="s">
        <v>2129</v>
      </c>
      <c r="G531" s="209"/>
      <c r="H531" s="203"/>
      <c r="I531" s="203"/>
      <c r="J531" s="203"/>
      <c r="K531" s="203"/>
      <c r="L531" s="203"/>
      <c r="M531" s="203"/>
    </row>
    <row r="532">
      <c r="A532" s="205">
        <v>333.0</v>
      </c>
      <c r="B532" s="328"/>
      <c r="C532" s="331" t="s">
        <v>2130</v>
      </c>
      <c r="D532" s="331" t="s">
        <v>2131</v>
      </c>
      <c r="E532" s="332" t="s">
        <v>2132</v>
      </c>
      <c r="F532" s="209"/>
      <c r="G532" s="209"/>
      <c r="H532" s="203"/>
      <c r="I532" s="203"/>
      <c r="J532" s="203"/>
      <c r="K532" s="203"/>
      <c r="L532" s="203"/>
      <c r="M532" s="203"/>
    </row>
    <row r="533">
      <c r="A533" s="205">
        <v>334.0</v>
      </c>
      <c r="B533" s="329"/>
      <c r="C533" s="331" t="s">
        <v>2133</v>
      </c>
      <c r="D533" s="331" t="s">
        <v>2134</v>
      </c>
      <c r="E533" s="332" t="s">
        <v>2135</v>
      </c>
      <c r="F533" s="209"/>
      <c r="G533" s="209"/>
      <c r="H533" s="203"/>
      <c r="I533" s="203"/>
      <c r="J533" s="203"/>
      <c r="K533" s="203"/>
      <c r="L533" s="203"/>
      <c r="M533" s="203"/>
    </row>
    <row r="534">
      <c r="A534" s="205">
        <v>335.0</v>
      </c>
      <c r="B534" s="207" t="s">
        <v>2136</v>
      </c>
      <c r="C534" s="208"/>
      <c r="D534" s="208"/>
      <c r="E534" s="209"/>
      <c r="F534" s="209"/>
      <c r="G534" s="209"/>
      <c r="H534" s="203"/>
      <c r="I534" s="203"/>
      <c r="J534" s="203"/>
      <c r="K534" s="203"/>
      <c r="L534" s="203"/>
      <c r="M534" s="203"/>
    </row>
    <row r="535">
      <c r="A535" s="205">
        <v>336.0</v>
      </c>
      <c r="B535" s="207" t="s">
        <v>2137</v>
      </c>
      <c r="C535" s="208"/>
      <c r="D535" s="208"/>
      <c r="E535" s="209" t="s">
        <v>2138</v>
      </c>
      <c r="F535" s="209"/>
      <c r="G535" s="209"/>
      <c r="H535" s="203"/>
      <c r="I535" s="203"/>
      <c r="J535" s="203"/>
      <c r="K535" s="203"/>
      <c r="L535" s="203"/>
      <c r="M535" s="203"/>
    </row>
    <row r="536">
      <c r="A536" s="205">
        <v>337.0</v>
      </c>
      <c r="B536" s="207" t="s">
        <v>2139</v>
      </c>
      <c r="C536" s="208"/>
      <c r="D536" s="208" t="s">
        <v>2140</v>
      </c>
      <c r="E536" s="209" t="s">
        <v>2141</v>
      </c>
      <c r="F536" s="209"/>
      <c r="G536" s="209"/>
      <c r="H536" s="203"/>
      <c r="I536" s="203"/>
      <c r="J536" s="203"/>
      <c r="K536" s="203"/>
      <c r="L536" s="203"/>
      <c r="M536" s="203"/>
    </row>
    <row r="537">
      <c r="A537" s="205">
        <v>338.0</v>
      </c>
      <c r="B537" s="207" t="s">
        <v>2142</v>
      </c>
      <c r="C537" s="208"/>
      <c r="D537" s="208" t="s">
        <v>2143</v>
      </c>
      <c r="E537" s="209" t="s">
        <v>2144</v>
      </c>
      <c r="F537" s="209"/>
      <c r="G537" s="209"/>
      <c r="H537" s="203"/>
      <c r="I537" s="203"/>
      <c r="J537" s="203"/>
      <c r="K537" s="203"/>
      <c r="L537" s="203"/>
      <c r="M537" s="203"/>
    </row>
    <row r="538">
      <c r="A538" s="205">
        <v>339.0</v>
      </c>
      <c r="B538" s="207" t="s">
        <v>2145</v>
      </c>
      <c r="C538" s="208"/>
      <c r="D538" s="208" t="s">
        <v>2146</v>
      </c>
      <c r="E538" s="209" t="s">
        <v>2147</v>
      </c>
      <c r="F538" s="209"/>
      <c r="G538" s="209"/>
      <c r="H538" s="203"/>
      <c r="I538" s="203"/>
      <c r="J538" s="203"/>
      <c r="K538" s="203"/>
      <c r="L538" s="203"/>
      <c r="M538" s="203"/>
    </row>
    <row r="539">
      <c r="A539" s="205">
        <v>340.0</v>
      </c>
      <c r="B539" s="207" t="s">
        <v>2148</v>
      </c>
      <c r="C539" s="208"/>
      <c r="D539" s="208" t="s">
        <v>2149</v>
      </c>
      <c r="E539" s="209" t="s">
        <v>2150</v>
      </c>
      <c r="F539" s="211" t="s">
        <v>2151</v>
      </c>
      <c r="G539" s="209"/>
      <c r="H539" s="203"/>
      <c r="I539" s="203"/>
      <c r="J539" s="203"/>
      <c r="K539" s="203"/>
      <c r="L539" s="203"/>
      <c r="M539" s="203"/>
    </row>
    <row r="540">
      <c r="A540" s="205">
        <v>341.0</v>
      </c>
      <c r="B540" s="207" t="s">
        <v>2152</v>
      </c>
      <c r="C540" s="208"/>
      <c r="D540" s="208">
        <v>9.7154333404E11</v>
      </c>
      <c r="E540" s="209"/>
      <c r="F540" s="209"/>
      <c r="G540" s="209"/>
      <c r="H540" s="203"/>
      <c r="I540" s="203"/>
      <c r="J540" s="203"/>
      <c r="K540" s="203"/>
      <c r="L540" s="203"/>
      <c r="M540" s="203"/>
    </row>
    <row r="541">
      <c r="A541" s="205">
        <v>342.0</v>
      </c>
      <c r="B541" s="207" t="s">
        <v>2136</v>
      </c>
      <c r="C541" s="208"/>
      <c r="D541" s="208"/>
      <c r="E541" s="209"/>
      <c r="F541" s="211" t="s">
        <v>2153</v>
      </c>
      <c r="G541" s="209"/>
      <c r="H541" s="203"/>
      <c r="I541" s="203"/>
      <c r="J541" s="203"/>
      <c r="K541" s="203"/>
      <c r="L541" s="203"/>
      <c r="M541" s="203"/>
    </row>
    <row r="542">
      <c r="A542" s="205">
        <v>343.0</v>
      </c>
      <c r="B542" s="207" t="s">
        <v>2154</v>
      </c>
      <c r="C542" s="208"/>
      <c r="D542" s="208" t="s">
        <v>2155</v>
      </c>
      <c r="E542" s="209" t="s">
        <v>2156</v>
      </c>
      <c r="F542" s="211" t="s">
        <v>2157</v>
      </c>
      <c r="G542" s="209"/>
      <c r="H542" s="203"/>
      <c r="I542" s="203"/>
      <c r="J542" s="203"/>
      <c r="K542" s="203"/>
      <c r="L542" s="203"/>
      <c r="M542" s="203"/>
    </row>
    <row r="543">
      <c r="A543" s="205">
        <v>344.0</v>
      </c>
      <c r="B543" s="207" t="s">
        <v>2158</v>
      </c>
      <c r="C543" s="208"/>
      <c r="D543" s="208"/>
      <c r="E543" s="209"/>
      <c r="F543" s="209"/>
      <c r="G543" s="209"/>
      <c r="H543" s="203"/>
      <c r="I543" s="203"/>
      <c r="J543" s="203"/>
      <c r="K543" s="203"/>
      <c r="L543" s="203"/>
      <c r="M543" s="203"/>
    </row>
    <row r="544">
      <c r="A544" s="205">
        <v>345.0</v>
      </c>
      <c r="B544" s="207" t="s">
        <v>2159</v>
      </c>
      <c r="C544" s="208"/>
      <c r="D544" s="208" t="s">
        <v>2160</v>
      </c>
      <c r="E544" s="209" t="s">
        <v>2161</v>
      </c>
      <c r="F544" s="211" t="s">
        <v>2162</v>
      </c>
      <c r="G544" s="209"/>
      <c r="H544" s="203"/>
      <c r="I544" s="203"/>
      <c r="J544" s="203"/>
      <c r="K544" s="203"/>
      <c r="L544" s="203"/>
      <c r="M544" s="203"/>
    </row>
    <row r="545">
      <c r="A545" s="205">
        <v>346.0</v>
      </c>
      <c r="B545" s="207" t="s">
        <v>2163</v>
      </c>
      <c r="C545" s="208"/>
      <c r="D545" s="208" t="s">
        <v>2164</v>
      </c>
      <c r="E545" s="209" t="s">
        <v>2165</v>
      </c>
      <c r="F545" s="211" t="s">
        <v>2166</v>
      </c>
      <c r="G545" s="209"/>
      <c r="H545" s="203"/>
      <c r="I545" s="203"/>
      <c r="J545" s="203"/>
      <c r="K545" s="203"/>
      <c r="L545" s="203"/>
      <c r="M545" s="203"/>
    </row>
    <row r="546">
      <c r="A546" s="205">
        <v>347.0</v>
      </c>
      <c r="B546" s="207" t="s">
        <v>2167</v>
      </c>
      <c r="C546" s="208"/>
      <c r="D546" s="208">
        <v>9.71566056655E11</v>
      </c>
      <c r="E546" s="209" t="s">
        <v>2168</v>
      </c>
      <c r="F546" s="209"/>
      <c r="G546" s="209"/>
      <c r="H546" s="203"/>
      <c r="I546" s="203"/>
      <c r="J546" s="203"/>
      <c r="K546" s="203"/>
      <c r="L546" s="203"/>
      <c r="M546" s="203"/>
    </row>
    <row r="547">
      <c r="A547" s="205">
        <v>348.0</v>
      </c>
      <c r="B547" s="207" t="s">
        <v>2169</v>
      </c>
      <c r="C547" s="208"/>
      <c r="D547" s="208" t="s">
        <v>2170</v>
      </c>
      <c r="E547" s="333" t="s">
        <v>2171</v>
      </c>
      <c r="F547" s="211" t="s">
        <v>2172</v>
      </c>
      <c r="G547" s="209"/>
      <c r="H547" s="203"/>
      <c r="I547" s="203"/>
      <c r="J547" s="203"/>
      <c r="K547" s="203"/>
      <c r="L547" s="203"/>
      <c r="M547" s="203"/>
    </row>
    <row r="548">
      <c r="A548" s="205">
        <v>349.0</v>
      </c>
      <c r="B548" s="334" t="s">
        <v>2173</v>
      </c>
      <c r="C548" s="208"/>
      <c r="D548" s="208" t="s">
        <v>2174</v>
      </c>
      <c r="E548" s="209" t="s">
        <v>2175</v>
      </c>
      <c r="F548" s="211" t="s">
        <v>2176</v>
      </c>
      <c r="G548" s="209"/>
      <c r="H548" s="203"/>
      <c r="I548" s="203"/>
      <c r="J548" s="203"/>
      <c r="K548" s="203"/>
      <c r="L548" s="203"/>
      <c r="M548" s="203"/>
    </row>
    <row r="549">
      <c r="A549" s="205">
        <v>350.0</v>
      </c>
      <c r="B549" s="207" t="s">
        <v>2177</v>
      </c>
      <c r="C549" s="208"/>
      <c r="D549" s="208" t="s">
        <v>2178</v>
      </c>
      <c r="E549" s="209" t="s">
        <v>2179</v>
      </c>
      <c r="F549" s="211" t="s">
        <v>2180</v>
      </c>
      <c r="G549" s="209"/>
      <c r="H549" s="203"/>
      <c r="I549" s="203"/>
      <c r="J549" s="203"/>
      <c r="K549" s="203"/>
      <c r="L549" s="203"/>
      <c r="M549" s="203"/>
    </row>
    <row r="550">
      <c r="A550" s="205">
        <v>351.0</v>
      </c>
      <c r="B550" s="207" t="s">
        <v>2181</v>
      </c>
      <c r="C550" s="208"/>
      <c r="D550" s="208" t="s">
        <v>2182</v>
      </c>
      <c r="E550" s="209" t="s">
        <v>2183</v>
      </c>
      <c r="F550" s="209"/>
      <c r="G550" s="209"/>
      <c r="H550" s="203"/>
      <c r="I550" s="203"/>
      <c r="J550" s="203"/>
      <c r="K550" s="203"/>
      <c r="L550" s="203"/>
      <c r="M550" s="203"/>
    </row>
    <row r="551">
      <c r="A551" s="205">
        <v>352.0</v>
      </c>
      <c r="B551" s="207" t="s">
        <v>2184</v>
      </c>
      <c r="C551" s="208"/>
      <c r="D551" s="208" t="s">
        <v>2185</v>
      </c>
      <c r="E551" s="209" t="s">
        <v>2186</v>
      </c>
      <c r="F551" s="209"/>
      <c r="G551" s="209"/>
      <c r="H551" s="203"/>
      <c r="I551" s="203"/>
      <c r="J551" s="203"/>
      <c r="K551" s="203"/>
      <c r="L551" s="203"/>
      <c r="M551" s="203"/>
    </row>
    <row r="552">
      <c r="A552" s="205">
        <v>353.0</v>
      </c>
      <c r="B552" s="207" t="s">
        <v>2187</v>
      </c>
      <c r="C552" s="208"/>
      <c r="D552" s="208" t="s">
        <v>2188</v>
      </c>
      <c r="E552" s="209" t="s">
        <v>2189</v>
      </c>
      <c r="F552" s="209"/>
      <c r="G552" s="209"/>
      <c r="H552" s="203"/>
      <c r="I552" s="203"/>
      <c r="J552" s="203"/>
      <c r="K552" s="203"/>
      <c r="L552" s="203"/>
      <c r="M552" s="203"/>
    </row>
    <row r="553">
      <c r="A553" s="205">
        <v>354.0</v>
      </c>
      <c r="B553" s="207" t="s">
        <v>2190</v>
      </c>
      <c r="C553" s="208"/>
      <c r="D553" s="208" t="s">
        <v>2191</v>
      </c>
      <c r="E553" s="209" t="s">
        <v>2192</v>
      </c>
      <c r="F553" s="209"/>
      <c r="G553" s="209"/>
      <c r="H553" s="203"/>
      <c r="I553" s="203"/>
      <c r="J553" s="203"/>
      <c r="K553" s="203"/>
      <c r="L553" s="203"/>
      <c r="M553" s="203"/>
    </row>
    <row r="554">
      <c r="A554" s="205">
        <v>355.0</v>
      </c>
      <c r="B554" s="207" t="s">
        <v>2193</v>
      </c>
      <c r="C554" s="208"/>
      <c r="D554" s="208"/>
      <c r="E554" s="209"/>
      <c r="F554" s="211" t="s">
        <v>2194</v>
      </c>
      <c r="G554" s="209"/>
      <c r="H554" s="203"/>
      <c r="I554" s="203"/>
      <c r="J554" s="203"/>
      <c r="K554" s="203"/>
      <c r="L554" s="203"/>
      <c r="M554" s="203"/>
    </row>
    <row r="555">
      <c r="A555" s="205">
        <v>356.0</v>
      </c>
      <c r="B555" s="207" t="s">
        <v>2195</v>
      </c>
      <c r="C555" s="208"/>
      <c r="D555" s="208" t="s">
        <v>2196</v>
      </c>
      <c r="E555" s="209"/>
      <c r="F555" s="209"/>
      <c r="G555" s="209"/>
      <c r="H555" s="203"/>
      <c r="I555" s="203"/>
      <c r="J555" s="203"/>
      <c r="K555" s="203"/>
      <c r="L555" s="203"/>
      <c r="M555" s="203"/>
    </row>
    <row r="556">
      <c r="A556" s="205">
        <v>357.0</v>
      </c>
      <c r="B556" s="207" t="s">
        <v>2197</v>
      </c>
      <c r="C556" s="208"/>
      <c r="D556" s="208" t="s">
        <v>2198</v>
      </c>
      <c r="E556" s="209" t="s">
        <v>2199</v>
      </c>
      <c r="F556" s="209"/>
      <c r="G556" s="209"/>
      <c r="H556" s="203"/>
      <c r="I556" s="203"/>
      <c r="J556" s="203"/>
      <c r="K556" s="203"/>
      <c r="L556" s="203"/>
      <c r="M556" s="203"/>
    </row>
    <row r="557">
      <c r="A557" s="205">
        <v>358.0</v>
      </c>
      <c r="B557" s="207" t="s">
        <v>2200</v>
      </c>
      <c r="C557" s="208"/>
      <c r="D557" s="208" t="s">
        <v>2201</v>
      </c>
      <c r="E557" s="209" t="s">
        <v>2202</v>
      </c>
      <c r="F557" s="209"/>
      <c r="G557" s="209"/>
      <c r="H557" s="203"/>
      <c r="I557" s="203"/>
      <c r="J557" s="203"/>
      <c r="K557" s="203"/>
      <c r="L557" s="203"/>
      <c r="M557" s="203"/>
    </row>
    <row r="558">
      <c r="A558" s="205">
        <v>359.0</v>
      </c>
      <c r="B558" s="207" t="s">
        <v>2203</v>
      </c>
      <c r="C558" s="208"/>
      <c r="D558" s="208"/>
      <c r="E558" s="209"/>
      <c r="F558" s="209"/>
      <c r="G558" s="209"/>
      <c r="H558" s="203"/>
      <c r="I558" s="203"/>
      <c r="J558" s="203"/>
      <c r="K558" s="203"/>
      <c r="L558" s="203"/>
      <c r="M558" s="203"/>
    </row>
    <row r="559">
      <c r="A559" s="205">
        <v>360.0</v>
      </c>
      <c r="B559" s="207" t="s">
        <v>2204</v>
      </c>
      <c r="C559" s="208"/>
      <c r="D559" s="208" t="s">
        <v>2205</v>
      </c>
      <c r="E559" s="209"/>
      <c r="F559" s="209"/>
      <c r="G559" s="209"/>
      <c r="H559" s="203"/>
      <c r="I559" s="203"/>
      <c r="J559" s="203"/>
      <c r="K559" s="203"/>
      <c r="L559" s="203"/>
      <c r="M559" s="203"/>
    </row>
    <row r="560">
      <c r="A560" s="205">
        <v>361.0</v>
      </c>
      <c r="B560" s="207" t="s">
        <v>2206</v>
      </c>
      <c r="C560" s="335"/>
      <c r="D560" s="208" t="s">
        <v>2207</v>
      </c>
      <c r="E560" s="209" t="s">
        <v>2208</v>
      </c>
      <c r="F560" s="211" t="s">
        <v>2209</v>
      </c>
      <c r="G560" s="209"/>
      <c r="H560" s="203"/>
      <c r="I560" s="203"/>
      <c r="J560" s="203"/>
      <c r="K560" s="203"/>
      <c r="L560" s="203"/>
      <c r="M560" s="203"/>
    </row>
    <row r="561">
      <c r="A561" s="205">
        <v>362.0</v>
      </c>
      <c r="B561" s="207" t="s">
        <v>2210</v>
      </c>
      <c r="C561" s="208"/>
      <c r="D561" s="208" t="s">
        <v>2211</v>
      </c>
      <c r="E561" s="209" t="s">
        <v>2212</v>
      </c>
      <c r="F561" s="209"/>
      <c r="G561" s="209"/>
      <c r="H561" s="203"/>
      <c r="I561" s="203"/>
      <c r="J561" s="203"/>
      <c r="K561" s="203"/>
      <c r="L561" s="203"/>
      <c r="M561" s="203"/>
    </row>
    <row r="562">
      <c r="A562" s="205">
        <v>363.0</v>
      </c>
      <c r="B562" s="207" t="s">
        <v>2213</v>
      </c>
      <c r="C562" s="208"/>
      <c r="D562" s="208" t="s">
        <v>2214</v>
      </c>
      <c r="E562" s="209" t="s">
        <v>2215</v>
      </c>
      <c r="F562" s="209"/>
      <c r="G562" s="209"/>
      <c r="H562" s="203"/>
      <c r="I562" s="203"/>
      <c r="J562" s="203"/>
      <c r="K562" s="203"/>
      <c r="L562" s="203"/>
      <c r="M562" s="203"/>
    </row>
    <row r="563">
      <c r="A563" s="205">
        <v>364.0</v>
      </c>
      <c r="B563" s="207" t="s">
        <v>2216</v>
      </c>
      <c r="C563" s="208"/>
      <c r="D563" s="208" t="s">
        <v>2217</v>
      </c>
      <c r="E563" s="209" t="s">
        <v>2218</v>
      </c>
      <c r="F563" s="209"/>
      <c r="G563" s="209"/>
      <c r="H563" s="203"/>
      <c r="I563" s="203"/>
      <c r="J563" s="203"/>
      <c r="K563" s="203"/>
      <c r="L563" s="203"/>
      <c r="M563" s="203"/>
    </row>
    <row r="564">
      <c r="A564" s="205">
        <v>365.0</v>
      </c>
      <c r="B564" s="207" t="s">
        <v>2219</v>
      </c>
      <c r="C564" s="208"/>
      <c r="D564" s="208" t="s">
        <v>2220</v>
      </c>
      <c r="E564" s="209" t="s">
        <v>2221</v>
      </c>
      <c r="F564" s="209"/>
      <c r="G564" s="209"/>
      <c r="H564" s="203"/>
      <c r="I564" s="203"/>
      <c r="J564" s="203"/>
      <c r="K564" s="203"/>
      <c r="L564" s="203"/>
      <c r="M564" s="203"/>
    </row>
    <row r="565">
      <c r="A565" s="205">
        <v>366.0</v>
      </c>
      <c r="B565" s="207" t="s">
        <v>2222</v>
      </c>
      <c r="C565" s="335"/>
      <c r="D565" s="208" t="s">
        <v>2223</v>
      </c>
      <c r="E565" s="209" t="s">
        <v>2224</v>
      </c>
      <c r="F565" s="211" t="s">
        <v>2225</v>
      </c>
      <c r="G565" s="209"/>
      <c r="H565" s="203"/>
      <c r="I565" s="203"/>
      <c r="J565" s="203"/>
      <c r="K565" s="203"/>
      <c r="L565" s="203"/>
      <c r="M565" s="203"/>
    </row>
    <row r="566">
      <c r="A566" s="205">
        <v>367.0</v>
      </c>
      <c r="B566" s="207" t="s">
        <v>2226</v>
      </c>
      <c r="C566" s="208"/>
      <c r="D566" s="208" t="s">
        <v>2227</v>
      </c>
      <c r="E566" s="209" t="s">
        <v>2228</v>
      </c>
      <c r="F566" s="209"/>
      <c r="G566" s="209"/>
      <c r="H566" s="203"/>
      <c r="I566" s="203"/>
      <c r="J566" s="203"/>
      <c r="K566" s="203"/>
      <c r="L566" s="203"/>
      <c r="M566" s="203"/>
    </row>
    <row r="567">
      <c r="A567" s="205">
        <v>368.0</v>
      </c>
      <c r="B567" s="207" t="s">
        <v>2229</v>
      </c>
      <c r="C567" s="208"/>
      <c r="D567" s="208" t="s">
        <v>2230</v>
      </c>
      <c r="E567" s="209" t="s">
        <v>2231</v>
      </c>
      <c r="F567" s="209"/>
      <c r="G567" s="209"/>
      <c r="H567" s="203"/>
      <c r="I567" s="203"/>
      <c r="J567" s="203"/>
      <c r="K567" s="203"/>
      <c r="L567" s="203"/>
      <c r="M567" s="203"/>
    </row>
    <row r="568">
      <c r="A568" s="205">
        <v>369.0</v>
      </c>
      <c r="B568" s="207" t="s">
        <v>2232</v>
      </c>
      <c r="C568" s="208"/>
      <c r="D568" s="208" t="s">
        <v>2233</v>
      </c>
      <c r="E568" s="209" t="s">
        <v>2234</v>
      </c>
      <c r="F568" s="209"/>
      <c r="G568" s="209"/>
      <c r="H568" s="203"/>
      <c r="I568" s="203"/>
      <c r="J568" s="203"/>
      <c r="K568" s="203"/>
      <c r="L568" s="203"/>
      <c r="M568" s="203"/>
    </row>
    <row r="569">
      <c r="A569" s="205">
        <v>370.0</v>
      </c>
      <c r="B569" s="207" t="s">
        <v>2235</v>
      </c>
      <c r="C569" s="208"/>
      <c r="D569" s="208"/>
      <c r="E569" s="209"/>
      <c r="F569" s="209"/>
      <c r="G569" s="209"/>
      <c r="H569" s="203"/>
      <c r="I569" s="203"/>
      <c r="J569" s="203"/>
      <c r="K569" s="203"/>
      <c r="L569" s="203"/>
      <c r="M569" s="203"/>
    </row>
    <row r="570">
      <c r="A570" s="205">
        <v>371.0</v>
      </c>
      <c r="B570" s="207" t="s">
        <v>2236</v>
      </c>
      <c r="C570" s="208"/>
      <c r="D570" s="208"/>
      <c r="E570" s="209" t="s">
        <v>2237</v>
      </c>
      <c r="F570" s="209"/>
      <c r="G570" s="209"/>
      <c r="H570" s="203"/>
      <c r="I570" s="203"/>
      <c r="J570" s="203"/>
      <c r="K570" s="203"/>
      <c r="L570" s="203"/>
      <c r="M570" s="203"/>
    </row>
    <row r="571">
      <c r="A571" s="205">
        <v>372.0</v>
      </c>
      <c r="B571" s="207" t="s">
        <v>2238</v>
      </c>
      <c r="C571" s="208"/>
      <c r="D571" s="208" t="s">
        <v>2239</v>
      </c>
      <c r="E571" s="209" t="s">
        <v>2240</v>
      </c>
      <c r="F571" s="209"/>
      <c r="G571" s="209"/>
      <c r="H571" s="203"/>
      <c r="I571" s="203"/>
      <c r="J571" s="203"/>
      <c r="K571" s="203"/>
      <c r="L571" s="203"/>
      <c r="M571" s="203"/>
    </row>
    <row r="572">
      <c r="A572" s="205">
        <v>373.0</v>
      </c>
      <c r="B572" s="207" t="s">
        <v>2241</v>
      </c>
      <c r="C572" s="208"/>
      <c r="D572" s="208" t="s">
        <v>2242</v>
      </c>
      <c r="E572" s="209" t="s">
        <v>2243</v>
      </c>
      <c r="F572" s="209"/>
      <c r="G572" s="209"/>
      <c r="H572" s="203"/>
      <c r="I572" s="203"/>
      <c r="J572" s="203"/>
      <c r="K572" s="203"/>
      <c r="L572" s="203"/>
      <c r="M572" s="203"/>
    </row>
    <row r="573">
      <c r="A573" s="205">
        <v>374.0</v>
      </c>
      <c r="B573" s="207" t="s">
        <v>2244</v>
      </c>
      <c r="C573" s="208"/>
      <c r="D573" s="208"/>
      <c r="E573" s="209"/>
      <c r="F573" s="209"/>
      <c r="G573" s="209"/>
      <c r="H573" s="203"/>
      <c r="I573" s="203"/>
      <c r="J573" s="203"/>
      <c r="K573" s="203"/>
      <c r="L573" s="203"/>
      <c r="M573" s="203"/>
    </row>
    <row r="574">
      <c r="A574" s="205">
        <v>375.0</v>
      </c>
      <c r="B574" s="207" t="s">
        <v>2245</v>
      </c>
      <c r="C574" s="208"/>
      <c r="D574" s="208"/>
      <c r="E574" s="209"/>
      <c r="F574" s="209"/>
      <c r="G574" s="209"/>
      <c r="H574" s="203"/>
      <c r="I574" s="203"/>
      <c r="J574" s="203"/>
      <c r="K574" s="203"/>
      <c r="L574" s="203"/>
      <c r="M574" s="203"/>
    </row>
    <row r="575">
      <c r="A575" s="205">
        <v>376.0</v>
      </c>
      <c r="B575" s="207" t="s">
        <v>2246</v>
      </c>
      <c r="C575" s="208"/>
      <c r="D575" s="208" t="s">
        <v>2247</v>
      </c>
      <c r="E575" s="209" t="s">
        <v>2248</v>
      </c>
      <c r="F575" s="209"/>
      <c r="G575" s="209"/>
      <c r="H575" s="203"/>
      <c r="I575" s="203"/>
      <c r="J575" s="203"/>
      <c r="K575" s="203"/>
      <c r="L575" s="203"/>
      <c r="M575" s="203"/>
    </row>
    <row r="576">
      <c r="A576" s="205">
        <v>377.0</v>
      </c>
      <c r="B576" s="207" t="s">
        <v>2249</v>
      </c>
      <c r="C576" s="208"/>
      <c r="D576" s="208" t="s">
        <v>2250</v>
      </c>
      <c r="E576" s="208" t="s">
        <v>2251</v>
      </c>
      <c r="F576" s="209"/>
      <c r="G576" s="209"/>
      <c r="H576" s="203"/>
      <c r="I576" s="203"/>
      <c r="J576" s="203"/>
      <c r="K576" s="203"/>
      <c r="L576" s="203"/>
      <c r="M576" s="203"/>
    </row>
    <row r="577">
      <c r="A577" s="205">
        <v>378.0</v>
      </c>
      <c r="B577" s="207" t="s">
        <v>2252</v>
      </c>
      <c r="C577" s="208"/>
      <c r="D577" s="208" t="s">
        <v>2253</v>
      </c>
      <c r="E577" s="209" t="s">
        <v>2254</v>
      </c>
      <c r="F577" s="211" t="s">
        <v>2255</v>
      </c>
      <c r="G577" s="209"/>
      <c r="H577" s="203"/>
      <c r="I577" s="203"/>
      <c r="J577" s="203"/>
      <c r="K577" s="203"/>
      <c r="L577" s="203"/>
      <c r="M577" s="203"/>
    </row>
    <row r="578">
      <c r="A578" s="205">
        <v>379.0</v>
      </c>
      <c r="B578" s="207" t="s">
        <v>2256</v>
      </c>
      <c r="C578" s="208"/>
      <c r="D578" s="208" t="s">
        <v>2257</v>
      </c>
      <c r="E578" s="209" t="s">
        <v>2258</v>
      </c>
      <c r="F578" s="211" t="s">
        <v>2259</v>
      </c>
      <c r="G578" s="209"/>
      <c r="H578" s="203"/>
      <c r="I578" s="203"/>
      <c r="J578" s="203"/>
      <c r="K578" s="203"/>
      <c r="L578" s="203"/>
      <c r="M578" s="203"/>
    </row>
    <row r="579">
      <c r="A579" s="205">
        <v>380.0</v>
      </c>
      <c r="B579" s="207" t="s">
        <v>2260</v>
      </c>
      <c r="C579" s="208"/>
      <c r="D579" s="208" t="s">
        <v>2261</v>
      </c>
      <c r="E579" s="209" t="s">
        <v>2262</v>
      </c>
      <c r="F579" s="209"/>
      <c r="G579" s="209"/>
      <c r="H579" s="203"/>
      <c r="I579" s="203"/>
      <c r="J579" s="203"/>
      <c r="K579" s="203"/>
      <c r="L579" s="203"/>
      <c r="M579" s="203"/>
    </row>
    <row r="580">
      <c r="A580" s="205">
        <v>381.0</v>
      </c>
      <c r="B580" s="207" t="s">
        <v>2263</v>
      </c>
      <c r="C580" s="208"/>
      <c r="D580" s="208" t="s">
        <v>2264</v>
      </c>
      <c r="E580" s="209" t="s">
        <v>2265</v>
      </c>
      <c r="F580" s="209"/>
      <c r="G580" s="209"/>
      <c r="H580" s="203"/>
      <c r="I580" s="203"/>
      <c r="J580" s="203"/>
      <c r="K580" s="203"/>
      <c r="L580" s="203"/>
      <c r="M580" s="203"/>
    </row>
    <row r="581">
      <c r="A581" s="205">
        <v>382.0</v>
      </c>
      <c r="B581" s="207" t="s">
        <v>2266</v>
      </c>
      <c r="C581" s="208"/>
      <c r="D581" s="208" t="s">
        <v>2267</v>
      </c>
      <c r="E581" s="209" t="s">
        <v>2268</v>
      </c>
      <c r="F581" s="209"/>
      <c r="G581" s="209"/>
      <c r="H581" s="203"/>
      <c r="I581" s="203"/>
      <c r="J581" s="203"/>
      <c r="K581" s="203"/>
      <c r="L581" s="203"/>
      <c r="M581" s="203"/>
    </row>
    <row r="582">
      <c r="A582" s="205">
        <v>383.0</v>
      </c>
      <c r="B582" s="207" t="s">
        <v>2269</v>
      </c>
      <c r="C582" s="208"/>
      <c r="D582" s="217" t="s">
        <v>2270</v>
      </c>
      <c r="E582" s="209" t="s">
        <v>2271</v>
      </c>
      <c r="F582" s="209"/>
      <c r="G582" s="209"/>
      <c r="H582" s="203"/>
      <c r="I582" s="203"/>
      <c r="J582" s="203"/>
      <c r="K582" s="203"/>
      <c r="L582" s="203"/>
      <c r="M582" s="203"/>
    </row>
    <row r="583">
      <c r="A583" s="205">
        <v>384.0</v>
      </c>
      <c r="B583" s="336" t="s">
        <v>2272</v>
      </c>
      <c r="C583" s="208"/>
      <c r="D583" s="208" t="s">
        <v>2273</v>
      </c>
      <c r="E583" s="209" t="s">
        <v>2274</v>
      </c>
      <c r="F583" s="209"/>
      <c r="G583" s="209"/>
      <c r="H583" s="203"/>
      <c r="I583" s="203"/>
      <c r="J583" s="203"/>
      <c r="K583" s="203"/>
      <c r="L583" s="203"/>
      <c r="M583" s="203"/>
    </row>
    <row r="584">
      <c r="A584" s="205">
        <v>385.0</v>
      </c>
      <c r="B584" s="207" t="s">
        <v>2275</v>
      </c>
      <c r="C584" s="208"/>
      <c r="D584" s="217" t="s">
        <v>2276</v>
      </c>
      <c r="E584" s="208" t="s">
        <v>2277</v>
      </c>
      <c r="F584" s="209"/>
      <c r="G584" s="209"/>
      <c r="H584" s="203"/>
      <c r="I584" s="203"/>
      <c r="J584" s="203"/>
      <c r="K584" s="203"/>
      <c r="L584" s="203"/>
      <c r="M584" s="203"/>
    </row>
    <row r="585">
      <c r="A585" s="205">
        <v>386.0</v>
      </c>
      <c r="B585" s="207" t="s">
        <v>2278</v>
      </c>
      <c r="C585" s="208"/>
      <c r="D585" s="208">
        <v>4.47786959201E11</v>
      </c>
      <c r="E585" s="209" t="s">
        <v>2279</v>
      </c>
      <c r="F585" s="209"/>
      <c r="G585" s="209"/>
      <c r="H585" s="203"/>
      <c r="I585" s="203"/>
      <c r="J585" s="203"/>
      <c r="K585" s="203"/>
      <c r="L585" s="203"/>
      <c r="M585" s="203"/>
    </row>
    <row r="586">
      <c r="A586" s="205">
        <v>387.0</v>
      </c>
      <c r="B586" s="207" t="s">
        <v>2280</v>
      </c>
      <c r="C586" s="208"/>
      <c r="D586" s="208" t="s">
        <v>2281</v>
      </c>
      <c r="E586" s="209" t="s">
        <v>2282</v>
      </c>
      <c r="F586" s="209"/>
      <c r="G586" s="209"/>
      <c r="H586" s="203"/>
      <c r="I586" s="203"/>
      <c r="J586" s="203"/>
      <c r="K586" s="203"/>
      <c r="L586" s="203"/>
      <c r="M586" s="203"/>
    </row>
    <row r="587">
      <c r="A587" s="205">
        <v>388.0</v>
      </c>
      <c r="B587" s="207" t="s">
        <v>2283</v>
      </c>
      <c r="C587" s="208"/>
      <c r="D587" s="208" t="s">
        <v>2284</v>
      </c>
      <c r="E587" s="209" t="s">
        <v>2285</v>
      </c>
      <c r="F587" s="209"/>
      <c r="G587" s="209"/>
      <c r="H587" s="203"/>
      <c r="I587" s="203"/>
      <c r="J587" s="203"/>
      <c r="K587" s="203"/>
      <c r="L587" s="203"/>
      <c r="M587" s="203"/>
    </row>
    <row r="588">
      <c r="A588" s="205">
        <v>389.0</v>
      </c>
      <c r="B588" s="207" t="s">
        <v>2286</v>
      </c>
      <c r="C588" s="208"/>
      <c r="D588" s="208"/>
      <c r="E588" s="209"/>
      <c r="F588" s="209"/>
      <c r="G588" s="209"/>
      <c r="H588" s="203"/>
      <c r="I588" s="203"/>
      <c r="J588" s="203"/>
      <c r="K588" s="203"/>
      <c r="L588" s="203"/>
      <c r="M588" s="203"/>
    </row>
    <row r="589">
      <c r="A589" s="205">
        <v>390.0</v>
      </c>
      <c r="B589" s="207" t="s">
        <v>2287</v>
      </c>
      <c r="C589" s="208"/>
      <c r="D589" s="208" t="s">
        <v>2288</v>
      </c>
      <c r="E589" s="209"/>
      <c r="F589" s="209"/>
      <c r="G589" s="209"/>
      <c r="H589" s="203"/>
      <c r="I589" s="203"/>
      <c r="J589" s="203"/>
      <c r="K589" s="203"/>
      <c r="L589" s="203"/>
      <c r="M589" s="203"/>
    </row>
    <row r="590">
      <c r="A590" s="205">
        <v>391.0</v>
      </c>
      <c r="B590" s="336" t="s">
        <v>2289</v>
      </c>
      <c r="C590" s="208"/>
      <c r="D590" s="217"/>
      <c r="E590" s="209" t="s">
        <v>2290</v>
      </c>
      <c r="F590" s="209"/>
      <c r="G590" s="209"/>
      <c r="H590" s="203"/>
      <c r="I590" s="203"/>
      <c r="J590" s="203"/>
      <c r="K590" s="203"/>
      <c r="L590" s="203"/>
      <c r="M590" s="203"/>
    </row>
    <row r="591">
      <c r="A591" s="205">
        <v>392.0</v>
      </c>
      <c r="B591" s="207" t="s">
        <v>2291</v>
      </c>
      <c r="C591" s="208"/>
      <c r="D591" s="217" t="s">
        <v>2292</v>
      </c>
      <c r="E591" s="209" t="s">
        <v>2293</v>
      </c>
      <c r="F591" s="209"/>
      <c r="G591" s="209"/>
      <c r="H591" s="203"/>
      <c r="I591" s="203"/>
      <c r="J591" s="203"/>
      <c r="K591" s="203"/>
      <c r="L591" s="203"/>
      <c r="M591" s="203"/>
    </row>
    <row r="592">
      <c r="A592" s="205">
        <v>393.0</v>
      </c>
      <c r="B592" s="207" t="s">
        <v>2294</v>
      </c>
      <c r="C592" s="208"/>
      <c r="D592" s="208" t="s">
        <v>2295</v>
      </c>
      <c r="E592" s="209" t="s">
        <v>2296</v>
      </c>
      <c r="F592" s="209"/>
      <c r="G592" s="209"/>
      <c r="H592" s="203"/>
      <c r="I592" s="203"/>
      <c r="J592" s="203"/>
      <c r="K592" s="203"/>
      <c r="L592" s="203"/>
      <c r="M592" s="203"/>
    </row>
    <row r="593">
      <c r="A593" s="205">
        <v>394.0</v>
      </c>
      <c r="B593" s="337" t="s">
        <v>2297</v>
      </c>
      <c r="C593" s="53"/>
      <c r="D593" s="53"/>
      <c r="E593" s="53"/>
      <c r="F593" s="53"/>
      <c r="G593" s="202"/>
      <c r="H593" s="203"/>
      <c r="I593" s="203"/>
      <c r="J593" s="203"/>
      <c r="K593" s="203"/>
      <c r="L593" s="203"/>
      <c r="M593" s="203"/>
    </row>
    <row r="594">
      <c r="A594" s="205">
        <v>395.0</v>
      </c>
      <c r="B594" s="207" t="s">
        <v>2298</v>
      </c>
      <c r="C594" s="208"/>
      <c r="D594" s="208" t="s">
        <v>2299</v>
      </c>
      <c r="E594" s="209"/>
      <c r="F594" s="209"/>
      <c r="G594" s="209"/>
      <c r="H594" s="203"/>
      <c r="I594" s="203"/>
      <c r="J594" s="203"/>
      <c r="K594" s="203"/>
      <c r="L594" s="203"/>
      <c r="M594" s="203"/>
    </row>
    <row r="595">
      <c r="A595" s="205">
        <v>396.0</v>
      </c>
      <c r="B595" s="207" t="s">
        <v>2300</v>
      </c>
      <c r="C595" s="208"/>
      <c r="D595" s="208" t="s">
        <v>2301</v>
      </c>
      <c r="E595" s="209" t="s">
        <v>2302</v>
      </c>
      <c r="F595" s="209"/>
      <c r="G595" s="209"/>
      <c r="H595" s="203"/>
      <c r="I595" s="203"/>
      <c r="J595" s="203"/>
      <c r="K595" s="203"/>
      <c r="L595" s="203"/>
      <c r="M595" s="203"/>
    </row>
    <row r="596">
      <c r="A596" s="205">
        <v>397.0</v>
      </c>
      <c r="B596" s="207" t="s">
        <v>2303</v>
      </c>
      <c r="C596" s="208"/>
      <c r="D596" s="208" t="s">
        <v>2304</v>
      </c>
      <c r="E596" s="209" t="s">
        <v>2305</v>
      </c>
      <c r="F596" s="209"/>
      <c r="G596" s="209"/>
      <c r="H596" s="203"/>
      <c r="I596" s="203"/>
      <c r="J596" s="203"/>
      <c r="K596" s="203"/>
      <c r="L596" s="203"/>
      <c r="M596" s="203"/>
    </row>
    <row r="597">
      <c r="A597" s="205">
        <v>398.0</v>
      </c>
      <c r="B597" s="207" t="s">
        <v>2306</v>
      </c>
      <c r="C597" s="208"/>
      <c r="D597" s="208" t="s">
        <v>2307</v>
      </c>
      <c r="E597" s="209" t="s">
        <v>2308</v>
      </c>
      <c r="F597" s="209"/>
      <c r="G597" s="209"/>
      <c r="H597" s="203"/>
      <c r="I597" s="203"/>
      <c r="J597" s="203"/>
      <c r="K597" s="203"/>
      <c r="L597" s="203"/>
      <c r="M597" s="203"/>
    </row>
    <row r="598">
      <c r="A598" s="205">
        <v>399.0</v>
      </c>
      <c r="B598" s="207" t="s">
        <v>2309</v>
      </c>
      <c r="C598" s="208"/>
      <c r="D598" s="208" t="s">
        <v>2310</v>
      </c>
      <c r="E598" s="209" t="s">
        <v>2311</v>
      </c>
      <c r="F598" s="209"/>
      <c r="G598" s="209"/>
      <c r="H598" s="203"/>
      <c r="I598" s="203"/>
      <c r="J598" s="203"/>
      <c r="K598" s="203"/>
      <c r="L598" s="203"/>
      <c r="M598" s="203"/>
    </row>
    <row r="599">
      <c r="A599" s="205">
        <v>400.0</v>
      </c>
      <c r="B599" s="207" t="s">
        <v>2312</v>
      </c>
      <c r="C599" s="338" t="s">
        <v>2313</v>
      </c>
      <c r="D599" s="338" t="s">
        <v>2314</v>
      </c>
      <c r="E599" s="339" t="s">
        <v>2315</v>
      </c>
      <c r="F599" s="340" t="s">
        <v>2316</v>
      </c>
      <c r="G599" s="339" t="s">
        <v>2317</v>
      </c>
      <c r="H599" s="203"/>
      <c r="I599" s="203"/>
      <c r="J599" s="203"/>
      <c r="K599" s="203"/>
      <c r="L599" s="203"/>
      <c r="M599" s="203"/>
    </row>
    <row r="600">
      <c r="A600" s="205">
        <v>401.0</v>
      </c>
      <c r="B600" s="341" t="s">
        <v>2318</v>
      </c>
      <c r="C600" s="208" t="s">
        <v>2319</v>
      </c>
      <c r="D600" s="208" t="s">
        <v>2319</v>
      </c>
      <c r="E600" s="209" t="s">
        <v>2319</v>
      </c>
      <c r="F600" s="209" t="s">
        <v>2319</v>
      </c>
      <c r="G600" s="209" t="s">
        <v>2319</v>
      </c>
      <c r="H600" s="203"/>
      <c r="I600" s="203"/>
      <c r="J600" s="203"/>
      <c r="K600" s="203"/>
      <c r="L600" s="203"/>
      <c r="M600" s="203"/>
    </row>
    <row r="601">
      <c r="A601" s="205">
        <v>402.0</v>
      </c>
      <c r="B601" s="207" t="s">
        <v>2319</v>
      </c>
      <c r="C601" s="208"/>
      <c r="D601" s="208"/>
      <c r="E601" s="209"/>
      <c r="F601" s="209"/>
      <c r="G601" s="209"/>
      <c r="H601" s="203"/>
      <c r="I601" s="203"/>
      <c r="J601" s="203"/>
      <c r="K601" s="203"/>
      <c r="L601" s="203"/>
      <c r="M601" s="203"/>
    </row>
    <row r="602">
      <c r="A602" s="205">
        <v>403.0</v>
      </c>
      <c r="B602" s="207"/>
      <c r="C602" s="208" t="s">
        <v>2320</v>
      </c>
      <c r="D602" s="208" t="s">
        <v>2321</v>
      </c>
      <c r="E602" s="209" t="s">
        <v>2322</v>
      </c>
      <c r="F602" s="209" t="s">
        <v>2323</v>
      </c>
      <c r="G602" s="209" t="s">
        <v>2324</v>
      </c>
      <c r="H602" s="203"/>
      <c r="I602" s="203"/>
      <c r="J602" s="203"/>
      <c r="K602" s="203"/>
      <c r="L602" s="203"/>
      <c r="M602" s="203"/>
    </row>
    <row r="603">
      <c r="A603" s="205">
        <v>404.0</v>
      </c>
      <c r="B603" s="207" t="s">
        <v>2325</v>
      </c>
      <c r="C603" s="208"/>
      <c r="D603" s="208" t="s">
        <v>2326</v>
      </c>
      <c r="E603" s="209"/>
      <c r="F603" s="209"/>
      <c r="G603" s="209"/>
      <c r="H603" s="203"/>
      <c r="I603" s="203"/>
      <c r="J603" s="203"/>
      <c r="K603" s="203"/>
      <c r="L603" s="203"/>
      <c r="M603" s="203"/>
    </row>
    <row r="604">
      <c r="A604" s="205">
        <v>405.0</v>
      </c>
      <c r="B604" s="207"/>
      <c r="C604" s="208"/>
      <c r="D604" s="338" t="s">
        <v>2327</v>
      </c>
      <c r="E604" s="339" t="s">
        <v>2328</v>
      </c>
      <c r="F604" s="339" t="s">
        <v>2329</v>
      </c>
      <c r="G604" s="209"/>
      <c r="H604" s="203"/>
      <c r="I604" s="203"/>
      <c r="J604" s="203"/>
      <c r="K604" s="203"/>
      <c r="L604" s="203"/>
      <c r="M604" s="203"/>
    </row>
    <row r="605">
      <c r="A605" s="205">
        <v>406.0</v>
      </c>
      <c r="B605" s="207"/>
      <c r="C605" s="208"/>
      <c r="D605" s="208" t="s">
        <v>2319</v>
      </c>
      <c r="E605" s="209" t="s">
        <v>2319</v>
      </c>
      <c r="F605" s="209" t="s">
        <v>2319</v>
      </c>
      <c r="G605" s="209"/>
      <c r="H605" s="203"/>
      <c r="I605" s="203"/>
      <c r="J605" s="203"/>
      <c r="K605" s="203"/>
      <c r="L605" s="203"/>
      <c r="M605" s="203"/>
    </row>
    <row r="606">
      <c r="A606" s="205">
        <v>407.0</v>
      </c>
      <c r="B606" s="207"/>
      <c r="C606" s="208"/>
      <c r="D606" s="208"/>
      <c r="E606" s="209"/>
      <c r="F606" s="209"/>
      <c r="G606" s="209"/>
      <c r="H606" s="203"/>
      <c r="I606" s="203"/>
      <c r="J606" s="203"/>
      <c r="K606" s="203"/>
      <c r="L606" s="203"/>
      <c r="M606" s="203"/>
    </row>
    <row r="607">
      <c r="A607" s="205">
        <v>408.0</v>
      </c>
      <c r="B607" s="207"/>
      <c r="C607" s="208"/>
      <c r="D607" s="208" t="s">
        <v>2330</v>
      </c>
      <c r="E607" s="209" t="s">
        <v>2331</v>
      </c>
      <c r="F607" s="209" t="s">
        <v>2332</v>
      </c>
      <c r="G607" s="209"/>
      <c r="H607" s="203"/>
      <c r="I607" s="203"/>
      <c r="J607" s="203"/>
      <c r="K607" s="203"/>
      <c r="L607" s="203"/>
      <c r="M607" s="203"/>
    </row>
    <row r="608">
      <c r="A608" s="205">
        <v>409.0</v>
      </c>
      <c r="B608" s="207" t="s">
        <v>2333</v>
      </c>
      <c r="C608" s="208"/>
      <c r="D608" s="208" t="s">
        <v>2334</v>
      </c>
      <c r="E608" s="209" t="s">
        <v>2335</v>
      </c>
      <c r="F608" s="209"/>
      <c r="G608" s="209"/>
      <c r="H608" s="203"/>
      <c r="I608" s="203"/>
      <c r="J608" s="203"/>
      <c r="K608" s="203"/>
      <c r="L608" s="203"/>
      <c r="M608" s="203"/>
    </row>
    <row r="609">
      <c r="A609" s="205">
        <v>410.0</v>
      </c>
      <c r="B609" s="207" t="s">
        <v>2336</v>
      </c>
      <c r="C609" s="208"/>
      <c r="D609" s="208" t="s">
        <v>2337</v>
      </c>
      <c r="E609" s="209" t="s">
        <v>2338</v>
      </c>
      <c r="F609" s="209"/>
      <c r="G609" s="209"/>
      <c r="H609" s="203"/>
      <c r="I609" s="203"/>
      <c r="J609" s="203"/>
      <c r="K609" s="203"/>
      <c r="L609" s="203"/>
      <c r="M609" s="203"/>
    </row>
    <row r="610">
      <c r="A610" s="205">
        <v>411.0</v>
      </c>
      <c r="B610" s="207" t="s">
        <v>2339</v>
      </c>
      <c r="C610" s="208"/>
      <c r="D610" s="208" t="s">
        <v>2340</v>
      </c>
      <c r="E610" s="209" t="s">
        <v>2341</v>
      </c>
      <c r="F610" s="209"/>
      <c r="G610" s="209"/>
      <c r="H610" s="203"/>
      <c r="I610" s="203"/>
      <c r="J610" s="203"/>
      <c r="K610" s="203"/>
      <c r="L610" s="203"/>
      <c r="M610" s="203"/>
    </row>
    <row r="611">
      <c r="A611" s="205">
        <v>412.0</v>
      </c>
      <c r="B611" s="207"/>
      <c r="C611" s="208"/>
      <c r="D611" s="208"/>
      <c r="E611" s="209" t="s">
        <v>2342</v>
      </c>
      <c r="F611" s="209"/>
      <c r="G611" s="209"/>
      <c r="H611" s="203"/>
      <c r="I611" s="203"/>
      <c r="J611" s="203"/>
      <c r="K611" s="203"/>
      <c r="L611" s="203"/>
      <c r="M611" s="203"/>
    </row>
    <row r="612">
      <c r="A612" s="205">
        <v>413.0</v>
      </c>
      <c r="B612" s="336" t="s">
        <v>2343</v>
      </c>
      <c r="C612" s="208"/>
      <c r="D612" s="208" t="s">
        <v>2344</v>
      </c>
      <c r="E612" s="209" t="s">
        <v>2345</v>
      </c>
      <c r="F612" s="209"/>
      <c r="G612" s="209"/>
      <c r="H612" s="203"/>
      <c r="I612" s="203"/>
      <c r="J612" s="203"/>
      <c r="K612" s="203"/>
      <c r="L612" s="203"/>
      <c r="M612" s="203"/>
    </row>
    <row r="613">
      <c r="A613" s="205">
        <v>414.0</v>
      </c>
      <c r="B613" s="207" t="s">
        <v>2346</v>
      </c>
      <c r="C613" s="208"/>
      <c r="D613" s="338" t="s">
        <v>2347</v>
      </c>
      <c r="E613" s="339" t="s">
        <v>2348</v>
      </c>
      <c r="F613" s="209"/>
      <c r="G613" s="209"/>
      <c r="H613" s="203"/>
      <c r="I613" s="203"/>
      <c r="J613" s="203"/>
      <c r="K613" s="203"/>
      <c r="L613" s="203"/>
      <c r="M613" s="203"/>
    </row>
    <row r="614">
      <c r="A614" s="205">
        <v>415.0</v>
      </c>
      <c r="B614" s="207"/>
      <c r="C614" s="208"/>
      <c r="D614" s="208" t="s">
        <v>2349</v>
      </c>
      <c r="E614" s="209" t="s">
        <v>2349</v>
      </c>
      <c r="F614" s="209"/>
      <c r="G614" s="209"/>
      <c r="H614" s="203"/>
      <c r="I614" s="203"/>
      <c r="J614" s="203"/>
      <c r="K614" s="203"/>
      <c r="L614" s="203"/>
      <c r="M614" s="203"/>
    </row>
    <row r="615">
      <c r="A615" s="205">
        <v>416.0</v>
      </c>
      <c r="B615" s="207"/>
      <c r="C615" s="208"/>
      <c r="D615" s="208" t="s">
        <v>2350</v>
      </c>
      <c r="E615" s="209" t="s">
        <v>2350</v>
      </c>
      <c r="F615" s="209"/>
      <c r="G615" s="209"/>
      <c r="H615" s="203"/>
      <c r="I615" s="203"/>
      <c r="J615" s="203"/>
      <c r="K615" s="203"/>
      <c r="L615" s="203"/>
      <c r="M615" s="203"/>
    </row>
    <row r="616">
      <c r="A616" s="205">
        <v>417.0</v>
      </c>
      <c r="B616" s="207" t="s">
        <v>2351</v>
      </c>
      <c r="C616" s="208"/>
      <c r="D616" s="208" t="s">
        <v>2352</v>
      </c>
      <c r="E616" s="209" t="s">
        <v>2353</v>
      </c>
      <c r="F616" s="209"/>
      <c r="G616" s="209"/>
      <c r="H616" s="203"/>
      <c r="I616" s="203"/>
      <c r="J616" s="203"/>
      <c r="K616" s="203"/>
      <c r="L616" s="203"/>
      <c r="M616" s="203"/>
    </row>
    <row r="617">
      <c r="A617" s="205">
        <v>418.0</v>
      </c>
      <c r="B617" s="207" t="s">
        <v>2354</v>
      </c>
      <c r="C617" s="208"/>
      <c r="D617" s="217" t="s">
        <v>2355</v>
      </c>
      <c r="E617" s="209" t="s">
        <v>2356</v>
      </c>
      <c r="F617" s="209"/>
      <c r="G617" s="209"/>
      <c r="H617" s="203"/>
      <c r="I617" s="203"/>
      <c r="J617" s="203"/>
      <c r="K617" s="203"/>
      <c r="L617" s="203"/>
      <c r="M617" s="203"/>
    </row>
    <row r="618">
      <c r="A618" s="205">
        <v>419.0</v>
      </c>
      <c r="B618" s="207" t="s">
        <v>2357</v>
      </c>
      <c r="C618" s="208"/>
      <c r="D618" s="208" t="s">
        <v>2358</v>
      </c>
      <c r="E618" s="209" t="s">
        <v>2359</v>
      </c>
      <c r="F618" s="209"/>
      <c r="G618" s="209"/>
      <c r="H618" s="203"/>
      <c r="I618" s="203"/>
      <c r="J618" s="203"/>
      <c r="K618" s="203"/>
      <c r="L618" s="203"/>
      <c r="M618" s="203"/>
    </row>
    <row r="619">
      <c r="A619" s="205">
        <v>420.0</v>
      </c>
      <c r="B619" s="207" t="s">
        <v>2360</v>
      </c>
      <c r="C619" s="208"/>
      <c r="D619" s="208" t="s">
        <v>2361</v>
      </c>
      <c r="E619" s="209" t="s">
        <v>2362</v>
      </c>
      <c r="F619" s="209"/>
      <c r="G619" s="209"/>
      <c r="H619" s="203"/>
      <c r="I619" s="203"/>
      <c r="J619" s="203"/>
      <c r="K619" s="203"/>
      <c r="L619" s="203"/>
      <c r="M619" s="203"/>
    </row>
    <row r="620">
      <c r="A620" s="205">
        <v>421.0</v>
      </c>
      <c r="B620" s="207" t="s">
        <v>2363</v>
      </c>
      <c r="C620" s="208"/>
      <c r="D620" s="208" t="s">
        <v>2364</v>
      </c>
      <c r="E620" s="209" t="s">
        <v>2365</v>
      </c>
      <c r="F620" s="209"/>
      <c r="G620" s="209"/>
      <c r="H620" s="203"/>
      <c r="I620" s="203"/>
      <c r="J620" s="203"/>
      <c r="K620" s="203"/>
      <c r="L620" s="203"/>
      <c r="M620" s="203"/>
    </row>
    <row r="621">
      <c r="A621" s="205">
        <v>422.0</v>
      </c>
      <c r="B621" s="207" t="s">
        <v>2187</v>
      </c>
      <c r="C621" s="208"/>
      <c r="D621" s="208" t="s">
        <v>2188</v>
      </c>
      <c r="E621" s="209" t="s">
        <v>2189</v>
      </c>
      <c r="F621" s="209"/>
      <c r="G621" s="209"/>
      <c r="H621" s="203"/>
      <c r="I621" s="203"/>
      <c r="J621" s="203"/>
      <c r="K621" s="203"/>
      <c r="L621" s="203"/>
      <c r="M621" s="203"/>
    </row>
    <row r="622">
      <c r="A622" s="205">
        <v>423.0</v>
      </c>
      <c r="B622" s="207" t="s">
        <v>2366</v>
      </c>
      <c r="C622" s="208"/>
      <c r="D622" s="208" t="s">
        <v>2367</v>
      </c>
      <c r="E622" s="209"/>
      <c r="F622" s="209"/>
      <c r="G622" s="209"/>
      <c r="H622" s="203"/>
      <c r="I622" s="203"/>
      <c r="J622" s="203"/>
      <c r="K622" s="203"/>
      <c r="L622" s="203"/>
      <c r="M622" s="203"/>
    </row>
    <row r="623">
      <c r="A623" s="205">
        <v>424.0</v>
      </c>
      <c r="B623" s="207" t="s">
        <v>2368</v>
      </c>
      <c r="C623" s="208"/>
      <c r="D623" s="208"/>
      <c r="E623" s="211" t="s">
        <v>2369</v>
      </c>
      <c r="F623" s="209"/>
      <c r="G623" s="209"/>
      <c r="H623" s="203"/>
      <c r="I623" s="203"/>
      <c r="J623" s="203"/>
      <c r="K623" s="203"/>
      <c r="L623" s="203"/>
      <c r="M623" s="203"/>
    </row>
    <row r="624">
      <c r="A624" s="205">
        <v>425.0</v>
      </c>
      <c r="B624" s="207" t="s">
        <v>2370</v>
      </c>
      <c r="C624" s="208"/>
      <c r="D624" s="208" t="s">
        <v>2371</v>
      </c>
      <c r="E624" s="209" t="s">
        <v>2372</v>
      </c>
      <c r="F624" s="209"/>
      <c r="G624" s="209"/>
      <c r="H624" s="203"/>
      <c r="I624" s="203"/>
      <c r="J624" s="203"/>
      <c r="K624" s="203"/>
      <c r="L624" s="203"/>
      <c r="M624" s="203"/>
    </row>
    <row r="625">
      <c r="A625" s="205">
        <v>426.0</v>
      </c>
      <c r="B625" s="305" t="s">
        <v>2373</v>
      </c>
      <c r="C625" s="208"/>
      <c r="D625" s="208" t="s">
        <v>2374</v>
      </c>
      <c r="E625" s="209" t="s">
        <v>2375</v>
      </c>
      <c r="F625" s="209"/>
      <c r="G625" s="209"/>
      <c r="H625" s="203"/>
      <c r="I625" s="203"/>
      <c r="J625" s="203"/>
      <c r="K625" s="203"/>
      <c r="L625" s="203"/>
      <c r="M625" s="203"/>
    </row>
    <row r="626">
      <c r="A626" s="205">
        <v>427.0</v>
      </c>
      <c r="B626" s="207" t="s">
        <v>2376</v>
      </c>
      <c r="C626" s="208"/>
      <c r="D626" s="208" t="s">
        <v>2377</v>
      </c>
      <c r="E626" s="209"/>
      <c r="F626" s="209"/>
      <c r="G626" s="209"/>
      <c r="H626" s="203"/>
      <c r="I626" s="203"/>
      <c r="J626" s="203"/>
      <c r="K626" s="203"/>
      <c r="L626" s="203"/>
      <c r="M626" s="203"/>
    </row>
    <row r="627">
      <c r="A627" s="205">
        <v>428.0</v>
      </c>
      <c r="B627" s="207" t="s">
        <v>2235</v>
      </c>
      <c r="C627" s="208"/>
      <c r="D627" s="208"/>
      <c r="E627" s="209"/>
      <c r="F627" s="209"/>
      <c r="G627" s="209"/>
      <c r="H627" s="203"/>
      <c r="I627" s="203"/>
      <c r="J627" s="203"/>
      <c r="K627" s="203"/>
      <c r="L627" s="203"/>
      <c r="M627" s="203"/>
    </row>
    <row r="628">
      <c r="A628" s="205">
        <v>429.0</v>
      </c>
      <c r="B628" s="207" t="s">
        <v>2378</v>
      </c>
      <c r="C628" s="208"/>
      <c r="D628" s="208" t="s">
        <v>2379</v>
      </c>
      <c r="E628" s="209" t="s">
        <v>2380</v>
      </c>
      <c r="F628" s="209"/>
      <c r="G628" s="209"/>
      <c r="H628" s="203"/>
      <c r="I628" s="203"/>
      <c r="J628" s="203"/>
      <c r="K628" s="203"/>
      <c r="L628" s="203"/>
      <c r="M628" s="203"/>
    </row>
    <row r="629">
      <c r="A629" s="205">
        <v>430.0</v>
      </c>
      <c r="B629" s="207" t="s">
        <v>2381</v>
      </c>
      <c r="C629" s="208"/>
      <c r="D629" s="208" t="s">
        <v>2382</v>
      </c>
      <c r="E629" s="209" t="s">
        <v>2383</v>
      </c>
      <c r="F629" s="209"/>
      <c r="G629" s="209"/>
      <c r="H629" s="203"/>
      <c r="I629" s="203"/>
      <c r="J629" s="203"/>
      <c r="K629" s="203"/>
      <c r="L629" s="203"/>
      <c r="M629" s="203"/>
    </row>
    <row r="630">
      <c r="A630" s="205">
        <v>431.0</v>
      </c>
      <c r="B630" s="207" t="s">
        <v>2384</v>
      </c>
      <c r="C630" s="208"/>
      <c r="D630" s="208" t="s">
        <v>2385</v>
      </c>
      <c r="E630" s="209" t="s">
        <v>2386</v>
      </c>
      <c r="F630" s="209"/>
      <c r="G630" s="209"/>
      <c r="H630" s="203"/>
      <c r="I630" s="203"/>
      <c r="J630" s="203"/>
      <c r="K630" s="203"/>
      <c r="L630" s="203"/>
      <c r="M630" s="203"/>
    </row>
    <row r="631">
      <c r="A631" s="205">
        <v>432.0</v>
      </c>
      <c r="B631" s="207" t="s">
        <v>2387</v>
      </c>
      <c r="C631" s="208"/>
      <c r="D631" s="208"/>
      <c r="E631" s="194"/>
      <c r="F631" s="209"/>
      <c r="G631" s="209"/>
      <c r="H631" s="203"/>
      <c r="I631" s="203"/>
      <c r="J631" s="203"/>
      <c r="K631" s="203"/>
      <c r="L631" s="203"/>
      <c r="M631" s="203"/>
    </row>
    <row r="632">
      <c r="A632" s="205">
        <v>433.0</v>
      </c>
      <c r="B632" s="207" t="s">
        <v>2275</v>
      </c>
      <c r="C632" s="208"/>
      <c r="D632" s="217" t="s">
        <v>2388</v>
      </c>
      <c r="E632" s="209" t="s">
        <v>2277</v>
      </c>
      <c r="F632" s="211" t="s">
        <v>2389</v>
      </c>
      <c r="G632" s="209"/>
      <c r="H632" s="203"/>
      <c r="I632" s="203"/>
      <c r="J632" s="203"/>
      <c r="K632" s="203"/>
      <c r="L632" s="203"/>
      <c r="M632" s="203"/>
    </row>
    <row r="633">
      <c r="A633" s="205">
        <v>434.0</v>
      </c>
      <c r="B633" s="207" t="s">
        <v>2390</v>
      </c>
      <c r="C633" s="208"/>
      <c r="D633" s="208">
        <v>9.7336773317E10</v>
      </c>
      <c r="E633" s="209" t="s">
        <v>2391</v>
      </c>
      <c r="F633" s="209"/>
      <c r="G633" s="209"/>
      <c r="H633" s="203"/>
      <c r="I633" s="203"/>
      <c r="J633" s="203"/>
      <c r="K633" s="203"/>
      <c r="L633" s="203"/>
      <c r="M633" s="203"/>
    </row>
    <row r="634">
      <c r="A634" s="205">
        <v>435.0</v>
      </c>
      <c r="B634" s="207" t="s">
        <v>2392</v>
      </c>
      <c r="C634" s="208"/>
      <c r="D634" s="208" t="s">
        <v>2393</v>
      </c>
      <c r="E634" s="209" t="s">
        <v>2394</v>
      </c>
      <c r="F634" s="209"/>
      <c r="G634" s="209"/>
      <c r="H634" s="203"/>
      <c r="I634" s="203"/>
      <c r="J634" s="203"/>
      <c r="K634" s="203"/>
      <c r="L634" s="203"/>
      <c r="M634" s="203"/>
    </row>
    <row r="635">
      <c r="A635" s="205">
        <v>436.0</v>
      </c>
      <c r="B635" s="207" t="s">
        <v>2395</v>
      </c>
      <c r="C635" s="208"/>
      <c r="D635" s="208">
        <v>8005454.0</v>
      </c>
      <c r="E635" s="209" t="s">
        <v>2396</v>
      </c>
      <c r="F635" s="209"/>
      <c r="G635" s="209"/>
      <c r="H635" s="203"/>
      <c r="I635" s="203"/>
      <c r="J635" s="203"/>
      <c r="K635" s="203"/>
      <c r="L635" s="203"/>
      <c r="M635" s="203"/>
    </row>
    <row r="636">
      <c r="A636" s="205">
        <v>437.0</v>
      </c>
      <c r="B636" s="207" t="s">
        <v>2397</v>
      </c>
      <c r="C636" s="208"/>
      <c r="D636" s="208" t="s">
        <v>2398</v>
      </c>
      <c r="E636" s="209" t="s">
        <v>2399</v>
      </c>
      <c r="F636" s="209"/>
      <c r="G636" s="209"/>
      <c r="H636" s="203"/>
      <c r="I636" s="203"/>
      <c r="J636" s="203"/>
      <c r="K636" s="203"/>
      <c r="L636" s="203"/>
      <c r="M636" s="203"/>
    </row>
    <row r="637">
      <c r="A637" s="205">
        <v>438.0</v>
      </c>
      <c r="B637" s="207" t="s">
        <v>2400</v>
      </c>
      <c r="C637" s="208"/>
      <c r="D637" s="208" t="s">
        <v>2401</v>
      </c>
      <c r="E637" s="209"/>
      <c r="F637" s="209"/>
      <c r="G637" s="209"/>
      <c r="H637" s="203"/>
      <c r="I637" s="203"/>
      <c r="J637" s="203"/>
      <c r="K637" s="203"/>
      <c r="L637" s="203"/>
      <c r="M637" s="203"/>
    </row>
    <row r="638">
      <c r="A638" s="205">
        <v>439.0</v>
      </c>
      <c r="B638" s="207" t="s">
        <v>2402</v>
      </c>
      <c r="C638" s="208"/>
      <c r="D638" s="208" t="s">
        <v>2403</v>
      </c>
      <c r="E638" s="209" t="s">
        <v>2404</v>
      </c>
      <c r="F638" s="209"/>
      <c r="G638" s="209"/>
      <c r="H638" s="203"/>
      <c r="I638" s="203"/>
      <c r="J638" s="203"/>
      <c r="K638" s="203"/>
      <c r="L638" s="203"/>
      <c r="M638" s="203"/>
    </row>
    <row r="639">
      <c r="A639" s="205">
        <v>440.0</v>
      </c>
      <c r="B639" s="207" t="s">
        <v>2405</v>
      </c>
      <c r="C639" s="208"/>
      <c r="D639" s="208" t="s">
        <v>2406</v>
      </c>
      <c r="E639" s="209"/>
      <c r="F639" s="209"/>
      <c r="G639" s="209"/>
      <c r="H639" s="203"/>
      <c r="I639" s="203"/>
      <c r="J639" s="203"/>
      <c r="K639" s="203"/>
      <c r="L639" s="203"/>
      <c r="M639" s="203"/>
    </row>
    <row r="640">
      <c r="A640" s="205">
        <v>441.0</v>
      </c>
      <c r="B640" s="207"/>
      <c r="C640" s="208"/>
      <c r="D640" s="208" t="s">
        <v>2407</v>
      </c>
      <c r="E640" s="209" t="s">
        <v>2408</v>
      </c>
      <c r="F640" s="209"/>
      <c r="G640" s="209"/>
      <c r="H640" s="203"/>
      <c r="I640" s="203"/>
      <c r="J640" s="203"/>
      <c r="K640" s="203"/>
      <c r="L640" s="203"/>
      <c r="M640" s="203"/>
    </row>
    <row r="641">
      <c r="A641" s="205">
        <v>442.0</v>
      </c>
      <c r="B641" s="207" t="s">
        <v>2409</v>
      </c>
      <c r="C641" s="208"/>
      <c r="D641" s="208" t="s">
        <v>2410</v>
      </c>
      <c r="E641" s="209" t="s">
        <v>2411</v>
      </c>
      <c r="F641" s="209"/>
      <c r="G641" s="209"/>
      <c r="H641" s="203"/>
      <c r="I641" s="203"/>
      <c r="J641" s="203"/>
      <c r="K641" s="203"/>
      <c r="L641" s="203"/>
      <c r="M641" s="203"/>
    </row>
    <row r="642">
      <c r="A642" s="205">
        <v>443.0</v>
      </c>
      <c r="B642" s="207" t="s">
        <v>2412</v>
      </c>
      <c r="C642" s="208"/>
      <c r="D642" s="208"/>
      <c r="E642" s="209"/>
      <c r="F642" s="209"/>
      <c r="G642" s="209"/>
      <c r="H642" s="203"/>
      <c r="I642" s="203"/>
      <c r="J642" s="203"/>
      <c r="K642" s="203"/>
      <c r="L642" s="203"/>
      <c r="M642" s="203"/>
    </row>
    <row r="643">
      <c r="A643" s="205">
        <v>444.0</v>
      </c>
      <c r="B643" s="342" t="s">
        <v>2413</v>
      </c>
      <c r="C643" s="322"/>
      <c r="D643" s="322" t="s">
        <v>2414</v>
      </c>
      <c r="E643" s="209"/>
      <c r="F643" s="209"/>
      <c r="G643" s="209"/>
      <c r="H643" s="203"/>
      <c r="I643" s="203"/>
      <c r="J643" s="203"/>
      <c r="K643" s="203"/>
      <c r="L643" s="203"/>
      <c r="M643" s="203"/>
    </row>
    <row r="644">
      <c r="A644" s="205">
        <v>445.0</v>
      </c>
      <c r="B644" s="328"/>
      <c r="C644" s="322"/>
      <c r="D644" s="322" t="s">
        <v>2415</v>
      </c>
      <c r="E644" s="209"/>
      <c r="F644" s="209"/>
      <c r="G644" s="209"/>
      <c r="H644" s="203"/>
      <c r="I644" s="203"/>
      <c r="J644" s="203"/>
      <c r="K644" s="203"/>
      <c r="L644" s="203"/>
      <c r="M644" s="203"/>
    </row>
    <row r="645">
      <c r="A645" s="205">
        <v>446.0</v>
      </c>
      <c r="B645" s="328"/>
      <c r="C645" s="322"/>
      <c r="D645" s="322" t="s">
        <v>2416</v>
      </c>
      <c r="E645" s="209"/>
      <c r="F645" s="209"/>
      <c r="G645" s="209"/>
      <c r="H645" s="203"/>
      <c r="I645" s="203"/>
      <c r="J645" s="203"/>
      <c r="K645" s="203"/>
      <c r="L645" s="203"/>
      <c r="M645" s="203"/>
    </row>
    <row r="646">
      <c r="A646" s="205">
        <v>447.0</v>
      </c>
      <c r="B646" s="328"/>
      <c r="C646" s="322"/>
      <c r="D646" s="322" t="s">
        <v>2417</v>
      </c>
      <c r="E646" s="209"/>
      <c r="F646" s="209"/>
      <c r="G646" s="209"/>
      <c r="H646" s="203"/>
      <c r="I646" s="203"/>
      <c r="J646" s="203"/>
      <c r="K646" s="203"/>
      <c r="L646" s="203"/>
      <c r="M646" s="203"/>
    </row>
    <row r="647">
      <c r="A647" s="205">
        <v>448.0</v>
      </c>
      <c r="B647" s="328"/>
      <c r="C647" s="322"/>
      <c r="D647" s="322" t="s">
        <v>2418</v>
      </c>
      <c r="E647" s="209"/>
      <c r="F647" s="209"/>
      <c r="G647" s="209"/>
      <c r="H647" s="203"/>
      <c r="I647" s="203"/>
      <c r="J647" s="203"/>
      <c r="K647" s="203"/>
      <c r="L647" s="203"/>
      <c r="M647" s="203"/>
    </row>
    <row r="648">
      <c r="A648" s="205">
        <v>449.0</v>
      </c>
      <c r="B648" s="328"/>
      <c r="C648" s="322"/>
      <c r="D648" s="322" t="s">
        <v>2417</v>
      </c>
      <c r="E648" s="209"/>
      <c r="F648" s="209"/>
      <c r="G648" s="209"/>
      <c r="H648" s="203"/>
      <c r="I648" s="203"/>
      <c r="J648" s="203"/>
      <c r="K648" s="203"/>
      <c r="L648" s="203"/>
      <c r="M648" s="203"/>
    </row>
    <row r="649">
      <c r="A649" s="205">
        <v>450.0</v>
      </c>
      <c r="B649" s="328"/>
      <c r="C649" s="322"/>
      <c r="D649" s="322" t="s">
        <v>2419</v>
      </c>
      <c r="E649" s="209"/>
      <c r="F649" s="209"/>
      <c r="G649" s="209"/>
      <c r="H649" s="203"/>
      <c r="I649" s="203"/>
      <c r="J649" s="203"/>
      <c r="K649" s="203"/>
      <c r="L649" s="203"/>
      <c r="M649" s="203"/>
    </row>
    <row r="650">
      <c r="A650" s="205">
        <v>451.0</v>
      </c>
      <c r="B650" s="328"/>
      <c r="C650" s="322"/>
      <c r="D650" s="322" t="s">
        <v>2415</v>
      </c>
      <c r="E650" s="209"/>
      <c r="F650" s="209"/>
      <c r="G650" s="209"/>
      <c r="H650" s="203"/>
      <c r="I650" s="203"/>
      <c r="J650" s="203"/>
      <c r="K650" s="203"/>
      <c r="L650" s="203"/>
      <c r="M650" s="203"/>
    </row>
    <row r="651">
      <c r="A651" s="205">
        <v>452.0</v>
      </c>
      <c r="B651" s="328"/>
      <c r="C651" s="322"/>
      <c r="D651" s="322" t="s">
        <v>2420</v>
      </c>
      <c r="E651" s="209"/>
      <c r="F651" s="209"/>
      <c r="G651" s="209"/>
      <c r="H651" s="203"/>
      <c r="I651" s="203"/>
      <c r="J651" s="203"/>
      <c r="K651" s="203"/>
      <c r="L651" s="203"/>
      <c r="M651" s="203"/>
    </row>
    <row r="652">
      <c r="A652" s="205">
        <v>453.0</v>
      </c>
      <c r="B652" s="329"/>
      <c r="C652" s="322"/>
      <c r="D652" s="322" t="s">
        <v>2421</v>
      </c>
      <c r="E652" s="209"/>
      <c r="F652" s="209"/>
      <c r="G652" s="209"/>
      <c r="H652" s="203"/>
      <c r="I652" s="203"/>
      <c r="J652" s="203"/>
      <c r="K652" s="203"/>
      <c r="L652" s="203"/>
      <c r="M652" s="203"/>
    </row>
    <row r="653">
      <c r="A653" s="205">
        <v>454.0</v>
      </c>
      <c r="B653" s="207" t="s">
        <v>2422</v>
      </c>
      <c r="C653" s="208"/>
      <c r="D653" s="208"/>
      <c r="E653" s="209"/>
      <c r="F653" s="209"/>
      <c r="G653" s="209"/>
      <c r="H653" s="203"/>
      <c r="I653" s="203"/>
      <c r="J653" s="203"/>
      <c r="K653" s="203"/>
      <c r="L653" s="203"/>
      <c r="M653" s="203"/>
    </row>
    <row r="654">
      <c r="A654" s="205">
        <v>455.0</v>
      </c>
      <c r="B654" s="207" t="s">
        <v>2423</v>
      </c>
      <c r="C654" s="208"/>
      <c r="D654" s="208" t="s">
        <v>2424</v>
      </c>
      <c r="E654" s="209" t="s">
        <v>2425</v>
      </c>
      <c r="F654" s="209"/>
      <c r="G654" s="209"/>
      <c r="H654" s="203"/>
      <c r="I654" s="203"/>
      <c r="J654" s="203"/>
      <c r="K654" s="203"/>
      <c r="L654" s="203"/>
      <c r="M654" s="203"/>
    </row>
    <row r="655">
      <c r="A655" s="205">
        <v>456.0</v>
      </c>
      <c r="B655" s="207" t="s">
        <v>2426</v>
      </c>
      <c r="C655" s="208"/>
      <c r="D655" s="208" t="s">
        <v>2427</v>
      </c>
      <c r="E655" s="209" t="s">
        <v>2428</v>
      </c>
      <c r="F655" s="209"/>
      <c r="G655" s="209"/>
      <c r="H655" s="203"/>
      <c r="I655" s="203"/>
      <c r="J655" s="203"/>
      <c r="K655" s="203"/>
      <c r="L655" s="203"/>
      <c r="M655" s="203"/>
    </row>
    <row r="656">
      <c r="A656" s="205">
        <v>457.0</v>
      </c>
      <c r="B656" s="207" t="s">
        <v>2429</v>
      </c>
      <c r="C656" s="208"/>
      <c r="D656" s="208" t="s">
        <v>2430</v>
      </c>
      <c r="E656" s="209" t="s">
        <v>2431</v>
      </c>
      <c r="F656" s="209"/>
      <c r="G656" s="209"/>
      <c r="H656" s="203"/>
      <c r="I656" s="203"/>
      <c r="J656" s="203"/>
      <c r="K656" s="203"/>
      <c r="L656" s="203"/>
      <c r="M656" s="203"/>
    </row>
    <row r="657">
      <c r="A657" s="205">
        <v>458.0</v>
      </c>
      <c r="B657" s="207" t="s">
        <v>2432</v>
      </c>
      <c r="C657" s="208"/>
      <c r="D657" s="214" t="s">
        <v>2433</v>
      </c>
      <c r="E657" s="209"/>
      <c r="F657" s="209"/>
      <c r="G657" s="209"/>
      <c r="H657" s="203"/>
      <c r="I657" s="203"/>
      <c r="J657" s="203"/>
      <c r="K657" s="203"/>
      <c r="L657" s="203"/>
      <c r="M657" s="203"/>
    </row>
    <row r="658">
      <c r="A658" s="205">
        <v>459.0</v>
      </c>
      <c r="B658" s="207" t="s">
        <v>2434</v>
      </c>
      <c r="C658" s="208"/>
      <c r="D658" s="208"/>
      <c r="E658" s="209"/>
      <c r="F658" s="209"/>
      <c r="G658" s="209"/>
      <c r="H658" s="203"/>
      <c r="I658" s="203"/>
      <c r="J658" s="203"/>
      <c r="K658" s="203"/>
      <c r="L658" s="203"/>
      <c r="M658" s="203"/>
    </row>
    <row r="659">
      <c r="A659" s="205">
        <v>460.0</v>
      </c>
      <c r="B659" s="207" t="s">
        <v>2435</v>
      </c>
      <c r="C659" s="208"/>
      <c r="D659" s="208"/>
      <c r="E659" s="209"/>
      <c r="F659" s="209"/>
      <c r="G659" s="209"/>
      <c r="H659" s="203"/>
      <c r="I659" s="203"/>
      <c r="J659" s="203"/>
      <c r="K659" s="203"/>
      <c r="L659" s="203"/>
      <c r="M659" s="203"/>
    </row>
    <row r="660">
      <c r="A660" s="205">
        <v>461.0</v>
      </c>
      <c r="B660" s="207" t="s">
        <v>2436</v>
      </c>
      <c r="C660" s="208"/>
      <c r="D660" s="208"/>
      <c r="E660" s="209"/>
      <c r="F660" s="209"/>
      <c r="G660" s="209"/>
      <c r="H660" s="203"/>
      <c r="I660" s="203"/>
      <c r="J660" s="203"/>
      <c r="K660" s="203"/>
      <c r="L660" s="203"/>
      <c r="M660" s="203"/>
    </row>
    <row r="661">
      <c r="A661" s="205">
        <v>462.0</v>
      </c>
      <c r="B661" s="207" t="s">
        <v>2437</v>
      </c>
      <c r="C661" s="208"/>
      <c r="D661" s="208"/>
      <c r="E661" s="209"/>
      <c r="F661" s="209"/>
      <c r="G661" s="209"/>
      <c r="H661" s="203"/>
      <c r="I661" s="203"/>
      <c r="J661" s="203"/>
      <c r="K661" s="203"/>
      <c r="L661" s="203"/>
      <c r="M661" s="203"/>
    </row>
    <row r="662">
      <c r="A662" s="205">
        <v>463.0</v>
      </c>
      <c r="B662" s="207" t="s">
        <v>2438</v>
      </c>
      <c r="C662" s="208"/>
      <c r="D662" s="208"/>
      <c r="E662" s="209"/>
      <c r="F662" s="209"/>
      <c r="G662" s="209"/>
      <c r="H662" s="203"/>
      <c r="I662" s="203"/>
      <c r="J662" s="203"/>
      <c r="K662" s="203"/>
      <c r="L662" s="203"/>
      <c r="M662" s="203"/>
    </row>
    <row r="663">
      <c r="A663" s="205">
        <v>464.0</v>
      </c>
      <c r="B663" s="207" t="s">
        <v>2439</v>
      </c>
      <c r="C663" s="208"/>
      <c r="D663" s="208"/>
      <c r="E663" s="209"/>
      <c r="F663" s="209"/>
      <c r="G663" s="209"/>
      <c r="H663" s="203"/>
      <c r="I663" s="203"/>
      <c r="J663" s="203"/>
      <c r="K663" s="203"/>
      <c r="L663" s="203"/>
      <c r="M663" s="203"/>
    </row>
    <row r="664">
      <c r="A664" s="205">
        <v>465.0</v>
      </c>
      <c r="B664" s="207" t="s">
        <v>2440</v>
      </c>
      <c r="C664" s="208"/>
      <c r="D664" s="208"/>
      <c r="E664" s="209"/>
      <c r="F664" s="209"/>
      <c r="G664" s="209"/>
      <c r="H664" s="203"/>
      <c r="I664" s="203"/>
      <c r="J664" s="203"/>
      <c r="K664" s="203"/>
      <c r="L664" s="203"/>
      <c r="M664" s="203"/>
    </row>
    <row r="665">
      <c r="A665" s="205">
        <v>466.0</v>
      </c>
      <c r="B665" s="207" t="s">
        <v>2441</v>
      </c>
      <c r="C665" s="208"/>
      <c r="D665" s="208" t="s">
        <v>2442</v>
      </c>
      <c r="E665" s="211" t="s">
        <v>2443</v>
      </c>
      <c r="F665" s="209"/>
      <c r="G665" s="209"/>
      <c r="H665" s="203"/>
      <c r="I665" s="203"/>
      <c r="J665" s="203"/>
      <c r="K665" s="203"/>
      <c r="L665" s="203"/>
      <c r="M665" s="203"/>
    </row>
    <row r="666">
      <c r="A666" s="205">
        <v>467.0</v>
      </c>
      <c r="B666" s="343" t="s">
        <v>2444</v>
      </c>
      <c r="C666" s="53"/>
      <c r="D666" s="53"/>
      <c r="E666" s="53"/>
      <c r="F666" s="53"/>
      <c r="G666" s="202"/>
      <c r="H666" s="203"/>
      <c r="I666" s="203"/>
      <c r="J666" s="203"/>
      <c r="K666" s="203"/>
      <c r="L666" s="203"/>
      <c r="M666" s="203"/>
    </row>
    <row r="667">
      <c r="A667" s="205">
        <v>468.0</v>
      </c>
      <c r="B667" s="207" t="s">
        <v>2445</v>
      </c>
      <c r="C667" s="208"/>
      <c r="D667" s="208"/>
      <c r="E667" s="209"/>
      <c r="F667" s="209"/>
      <c r="G667" s="209"/>
      <c r="H667" s="203"/>
      <c r="I667" s="203"/>
      <c r="J667" s="203"/>
      <c r="K667" s="203"/>
      <c r="L667" s="203"/>
      <c r="M667" s="203"/>
    </row>
    <row r="668">
      <c r="A668" s="205">
        <v>469.0</v>
      </c>
      <c r="B668" s="207" t="s">
        <v>2446</v>
      </c>
      <c r="C668" s="208"/>
      <c r="D668" s="208"/>
      <c r="E668" s="209"/>
      <c r="F668" s="209"/>
      <c r="G668" s="209"/>
      <c r="H668" s="203"/>
      <c r="I668" s="203"/>
      <c r="J668" s="203"/>
      <c r="K668" s="203"/>
      <c r="L668" s="203"/>
      <c r="M668" s="203"/>
    </row>
    <row r="669">
      <c r="A669" s="205">
        <v>470.0</v>
      </c>
      <c r="B669" s="336" t="s">
        <v>2447</v>
      </c>
      <c r="C669" s="208" t="s">
        <v>2448</v>
      </c>
      <c r="D669" s="208" t="s">
        <v>2449</v>
      </c>
      <c r="E669" s="209" t="s">
        <v>2450</v>
      </c>
      <c r="F669" s="209"/>
      <c r="G669" s="209"/>
      <c r="H669" s="203"/>
      <c r="I669" s="203"/>
      <c r="J669" s="203"/>
      <c r="K669" s="203"/>
      <c r="L669" s="203"/>
      <c r="M669" s="203"/>
    </row>
    <row r="670">
      <c r="A670" s="205">
        <v>471.0</v>
      </c>
      <c r="B670" s="220" t="s">
        <v>2451</v>
      </c>
      <c r="C670" s="326" t="s">
        <v>2452</v>
      </c>
      <c r="D670" s="326" t="s">
        <v>2453</v>
      </c>
      <c r="E670" s="327" t="s">
        <v>2454</v>
      </c>
      <c r="F670" s="209"/>
      <c r="G670" s="209"/>
      <c r="H670" s="203"/>
      <c r="I670" s="203"/>
      <c r="J670" s="203"/>
      <c r="K670" s="203"/>
      <c r="L670" s="203"/>
      <c r="M670" s="203"/>
    </row>
    <row r="671">
      <c r="A671" s="205">
        <v>472.0</v>
      </c>
      <c r="B671" s="220"/>
      <c r="C671" s="326" t="s">
        <v>2455</v>
      </c>
      <c r="D671" s="326">
        <v>9.05488342812E11</v>
      </c>
      <c r="E671" s="327"/>
      <c r="F671" s="209"/>
      <c r="G671" s="209"/>
      <c r="H671" s="203"/>
      <c r="I671" s="203"/>
      <c r="J671" s="203"/>
      <c r="K671" s="203"/>
      <c r="L671" s="203"/>
      <c r="M671" s="203"/>
    </row>
    <row r="672">
      <c r="A672" s="205">
        <v>473.0</v>
      </c>
      <c r="B672" s="207" t="s">
        <v>2456</v>
      </c>
      <c r="C672" s="208"/>
      <c r="D672" s="208" t="s">
        <v>2457</v>
      </c>
      <c r="E672" s="209" t="s">
        <v>2458</v>
      </c>
      <c r="F672" s="209"/>
      <c r="G672" s="209"/>
      <c r="H672" s="203"/>
      <c r="I672" s="203"/>
      <c r="J672" s="203"/>
      <c r="K672" s="203"/>
      <c r="L672" s="203"/>
      <c r="M672" s="203"/>
    </row>
    <row r="673">
      <c r="A673" s="205">
        <v>474.0</v>
      </c>
      <c r="B673" s="207" t="s">
        <v>2459</v>
      </c>
      <c r="C673" s="208"/>
      <c r="D673" s="208"/>
      <c r="E673" s="209" t="s">
        <v>2460</v>
      </c>
      <c r="F673" s="209"/>
      <c r="G673" s="209"/>
      <c r="H673" s="203"/>
      <c r="I673" s="203"/>
      <c r="J673" s="203"/>
      <c r="K673" s="203"/>
      <c r="L673" s="203"/>
      <c r="M673" s="203"/>
    </row>
    <row r="674">
      <c r="A674" s="205">
        <v>475.0</v>
      </c>
      <c r="B674" s="207"/>
      <c r="C674" s="208"/>
      <c r="D674" s="208"/>
      <c r="E674" s="209"/>
      <c r="F674" s="209"/>
      <c r="G674" s="209"/>
      <c r="H674" s="203"/>
      <c r="I674" s="203"/>
      <c r="J674" s="203"/>
      <c r="K674" s="203"/>
      <c r="L674" s="203"/>
      <c r="M674" s="203"/>
    </row>
    <row r="675">
      <c r="A675" s="205">
        <v>476.0</v>
      </c>
      <c r="B675" s="344"/>
      <c r="C675" s="344"/>
      <c r="D675" s="344"/>
      <c r="E675" s="344"/>
      <c r="F675" s="344"/>
      <c r="G675" s="344"/>
      <c r="H675" s="203"/>
      <c r="I675" s="203"/>
      <c r="J675" s="203"/>
      <c r="K675" s="203"/>
      <c r="L675" s="203"/>
      <c r="M675" s="203"/>
    </row>
    <row r="676">
      <c r="A676" s="205">
        <v>477.0</v>
      </c>
      <c r="B676" s="344"/>
      <c r="C676" s="344"/>
      <c r="D676" s="344"/>
      <c r="E676" s="344"/>
      <c r="F676" s="344"/>
      <c r="G676" s="344"/>
      <c r="H676" s="203"/>
      <c r="I676" s="203"/>
      <c r="J676" s="203"/>
      <c r="K676" s="203"/>
      <c r="L676" s="203"/>
      <c r="M676" s="203"/>
    </row>
    <row r="677">
      <c r="A677" s="205">
        <v>478.0</v>
      </c>
      <c r="B677" s="344"/>
      <c r="C677" s="344"/>
      <c r="D677" s="344"/>
      <c r="E677" s="344"/>
      <c r="F677" s="344"/>
      <c r="G677" s="344"/>
      <c r="H677" s="203"/>
      <c r="I677" s="203"/>
      <c r="J677" s="203"/>
      <c r="K677" s="203"/>
      <c r="L677" s="203"/>
      <c r="M677" s="203"/>
    </row>
    <row r="678">
      <c r="A678" s="205">
        <v>479.0</v>
      </c>
      <c r="B678" s="344"/>
      <c r="C678" s="344"/>
      <c r="D678" s="344"/>
      <c r="E678" s="344"/>
      <c r="F678" s="344"/>
      <c r="G678" s="344"/>
      <c r="H678" s="203"/>
      <c r="I678" s="203"/>
      <c r="J678" s="203"/>
      <c r="K678" s="203"/>
      <c r="L678" s="203"/>
      <c r="M678" s="203"/>
    </row>
    <row r="679">
      <c r="A679" s="205">
        <v>480.0</v>
      </c>
      <c r="B679" s="344"/>
      <c r="C679" s="344"/>
      <c r="D679" s="344"/>
      <c r="E679" s="344"/>
      <c r="F679" s="344"/>
      <c r="G679" s="344"/>
      <c r="H679" s="203"/>
      <c r="I679" s="203"/>
      <c r="J679" s="203"/>
      <c r="K679" s="203"/>
      <c r="L679" s="203"/>
      <c r="M679" s="203"/>
    </row>
    <row r="680">
      <c r="A680" s="205">
        <v>481.0</v>
      </c>
      <c r="B680" s="344"/>
      <c r="C680" s="344"/>
      <c r="D680" s="344"/>
      <c r="E680" s="344"/>
      <c r="F680" s="344"/>
      <c r="G680" s="344"/>
      <c r="H680" s="203"/>
      <c r="I680" s="203"/>
      <c r="J680" s="203"/>
      <c r="K680" s="203"/>
      <c r="L680" s="203"/>
      <c r="M680" s="203"/>
    </row>
    <row r="681">
      <c r="A681" s="205">
        <v>482.0</v>
      </c>
      <c r="B681" s="344"/>
      <c r="C681" s="344"/>
      <c r="D681" s="344"/>
      <c r="E681" s="344"/>
      <c r="F681" s="344"/>
      <c r="G681" s="344"/>
      <c r="H681" s="203"/>
      <c r="I681" s="203"/>
      <c r="J681" s="203"/>
      <c r="K681" s="203"/>
      <c r="L681" s="203"/>
      <c r="M681" s="203"/>
    </row>
    <row r="682">
      <c r="A682" s="205">
        <v>483.0</v>
      </c>
      <c r="B682" s="344"/>
      <c r="C682" s="344"/>
      <c r="D682" s="344"/>
      <c r="E682" s="344"/>
      <c r="F682" s="344"/>
      <c r="G682" s="344"/>
      <c r="H682" s="203"/>
      <c r="I682" s="203"/>
      <c r="J682" s="203"/>
      <c r="K682" s="203"/>
      <c r="L682" s="203"/>
      <c r="M682" s="203"/>
    </row>
    <row r="683">
      <c r="A683" s="205">
        <v>484.0</v>
      </c>
      <c r="B683" s="344"/>
      <c r="C683" s="344"/>
      <c r="D683" s="344"/>
      <c r="E683" s="344"/>
      <c r="F683" s="344"/>
      <c r="G683" s="344"/>
      <c r="H683" s="203"/>
      <c r="I683" s="203"/>
      <c r="J683" s="203"/>
      <c r="K683" s="203"/>
      <c r="L683" s="203"/>
      <c r="M683" s="203"/>
    </row>
    <row r="684">
      <c r="A684" s="205">
        <v>485.0</v>
      </c>
      <c r="B684" s="344"/>
      <c r="C684" s="344"/>
      <c r="D684" s="344"/>
      <c r="E684" s="344"/>
      <c r="F684" s="344"/>
      <c r="G684" s="344"/>
      <c r="H684" s="203"/>
      <c r="I684" s="203"/>
      <c r="J684" s="203"/>
      <c r="K684" s="203"/>
      <c r="L684" s="203"/>
      <c r="M684" s="203"/>
    </row>
    <row r="685">
      <c r="A685" s="205">
        <v>486.0</v>
      </c>
      <c r="B685" s="344"/>
      <c r="C685" s="344"/>
      <c r="D685" s="344"/>
      <c r="E685" s="344"/>
      <c r="F685" s="344"/>
      <c r="G685" s="344"/>
      <c r="H685" s="203"/>
      <c r="I685" s="203"/>
      <c r="J685" s="203"/>
      <c r="K685" s="203"/>
      <c r="L685" s="203"/>
      <c r="M685" s="203"/>
    </row>
    <row r="686">
      <c r="A686" s="205">
        <v>487.0</v>
      </c>
      <c r="B686" s="344"/>
      <c r="C686" s="344"/>
      <c r="D686" s="344"/>
      <c r="E686" s="344"/>
      <c r="F686" s="344"/>
      <c r="G686" s="344"/>
      <c r="H686" s="203"/>
      <c r="I686" s="203"/>
      <c r="J686" s="203"/>
      <c r="K686" s="203"/>
      <c r="L686" s="203"/>
      <c r="M686" s="203"/>
    </row>
    <row r="687">
      <c r="A687" s="205">
        <v>488.0</v>
      </c>
      <c r="B687" s="344"/>
      <c r="C687" s="344"/>
      <c r="D687" s="344"/>
      <c r="E687" s="344"/>
      <c r="F687" s="344"/>
      <c r="G687" s="344"/>
      <c r="H687" s="203"/>
      <c r="I687" s="203"/>
      <c r="J687" s="203"/>
      <c r="K687" s="203"/>
      <c r="L687" s="203"/>
      <c r="M687" s="203"/>
    </row>
    <row r="688">
      <c r="A688" s="205">
        <v>489.0</v>
      </c>
      <c r="B688" s="344"/>
      <c r="C688" s="344"/>
      <c r="D688" s="344"/>
      <c r="E688" s="344"/>
      <c r="F688" s="344"/>
      <c r="G688" s="344"/>
      <c r="H688" s="203"/>
      <c r="I688" s="203"/>
      <c r="J688" s="203"/>
      <c r="K688" s="203"/>
      <c r="L688" s="203"/>
      <c r="M688" s="203"/>
    </row>
    <row r="689">
      <c r="A689" s="205">
        <v>490.0</v>
      </c>
      <c r="B689" s="344"/>
      <c r="C689" s="344"/>
      <c r="D689" s="344"/>
      <c r="E689" s="344"/>
      <c r="F689" s="344"/>
      <c r="G689" s="344"/>
      <c r="H689" s="203"/>
      <c r="I689" s="203"/>
      <c r="J689" s="203"/>
      <c r="K689" s="203"/>
      <c r="L689" s="203"/>
      <c r="M689" s="203"/>
    </row>
    <row r="690">
      <c r="A690" s="205">
        <v>491.0</v>
      </c>
      <c r="B690" s="344"/>
      <c r="C690" s="344"/>
      <c r="D690" s="344"/>
      <c r="E690" s="344"/>
      <c r="F690" s="344"/>
      <c r="G690" s="344"/>
      <c r="H690" s="203"/>
      <c r="I690" s="203"/>
      <c r="J690" s="203"/>
      <c r="K690" s="203"/>
      <c r="L690" s="203"/>
      <c r="M690" s="203"/>
    </row>
    <row r="691">
      <c r="A691" s="205">
        <v>492.0</v>
      </c>
      <c r="B691" s="344"/>
      <c r="C691" s="344"/>
      <c r="D691" s="344"/>
      <c r="E691" s="344"/>
      <c r="F691" s="344"/>
      <c r="G691" s="344"/>
      <c r="H691" s="203"/>
      <c r="I691" s="203"/>
      <c r="J691" s="203"/>
      <c r="K691" s="203"/>
      <c r="L691" s="203"/>
      <c r="M691" s="203"/>
    </row>
    <row r="692">
      <c r="A692" s="205">
        <v>493.0</v>
      </c>
      <c r="B692" s="344"/>
      <c r="C692" s="344"/>
      <c r="D692" s="344"/>
      <c r="E692" s="344"/>
      <c r="F692" s="344"/>
      <c r="G692" s="344"/>
      <c r="H692" s="203"/>
      <c r="I692" s="203"/>
      <c r="J692" s="203"/>
      <c r="K692" s="203"/>
      <c r="L692" s="203"/>
      <c r="M692" s="203"/>
    </row>
    <row r="693">
      <c r="A693" s="205">
        <v>494.0</v>
      </c>
      <c r="B693" s="344"/>
      <c r="C693" s="344"/>
      <c r="D693" s="344"/>
      <c r="E693" s="344"/>
      <c r="F693" s="344"/>
      <c r="G693" s="344"/>
      <c r="H693" s="203"/>
      <c r="I693" s="203"/>
      <c r="J693" s="203"/>
      <c r="K693" s="203"/>
      <c r="L693" s="203"/>
      <c r="M693" s="203"/>
    </row>
    <row r="694">
      <c r="A694" s="205">
        <v>495.0</v>
      </c>
      <c r="B694" s="344"/>
      <c r="C694" s="344"/>
      <c r="D694" s="344"/>
      <c r="E694" s="344"/>
      <c r="F694" s="344"/>
      <c r="G694" s="344"/>
      <c r="H694" s="203"/>
      <c r="I694" s="203"/>
      <c r="J694" s="203"/>
      <c r="K694" s="203"/>
      <c r="L694" s="203"/>
      <c r="M694" s="203"/>
    </row>
    <row r="695">
      <c r="A695" s="205">
        <v>496.0</v>
      </c>
      <c r="B695" s="344"/>
      <c r="C695" s="344"/>
      <c r="D695" s="344"/>
      <c r="E695" s="344"/>
      <c r="F695" s="344"/>
      <c r="G695" s="344"/>
      <c r="H695" s="203"/>
      <c r="I695" s="203"/>
      <c r="J695" s="203"/>
      <c r="K695" s="203"/>
      <c r="L695" s="203"/>
      <c r="M695" s="203"/>
    </row>
    <row r="696">
      <c r="A696" s="205">
        <v>497.0</v>
      </c>
      <c r="B696" s="344"/>
      <c r="C696" s="344"/>
      <c r="D696" s="344"/>
      <c r="E696" s="344"/>
      <c r="F696" s="344"/>
      <c r="G696" s="344"/>
      <c r="H696" s="203"/>
      <c r="I696" s="203"/>
      <c r="J696" s="203"/>
      <c r="K696" s="203"/>
      <c r="L696" s="203"/>
      <c r="M696" s="203"/>
    </row>
    <row r="697">
      <c r="A697" s="205">
        <v>498.0</v>
      </c>
      <c r="B697" s="344"/>
      <c r="C697" s="344"/>
      <c r="D697" s="344"/>
      <c r="E697" s="344"/>
      <c r="F697" s="344"/>
      <c r="G697" s="344"/>
      <c r="H697" s="203"/>
      <c r="I697" s="203"/>
      <c r="J697" s="203"/>
      <c r="K697" s="203"/>
      <c r="L697" s="203"/>
      <c r="M697" s="203"/>
    </row>
    <row r="698">
      <c r="A698" s="205">
        <v>499.0</v>
      </c>
      <c r="B698" s="344"/>
      <c r="C698" s="344"/>
      <c r="D698" s="344"/>
      <c r="E698" s="344"/>
      <c r="F698" s="344"/>
      <c r="G698" s="344"/>
      <c r="H698" s="203"/>
      <c r="I698" s="203"/>
      <c r="J698" s="203"/>
      <c r="K698" s="203"/>
      <c r="L698" s="203"/>
      <c r="M698" s="203"/>
    </row>
    <row r="699">
      <c r="A699" s="205">
        <v>500.0</v>
      </c>
      <c r="B699" s="344"/>
      <c r="C699" s="344"/>
      <c r="D699" s="344"/>
      <c r="E699" s="344"/>
      <c r="F699" s="344"/>
      <c r="G699" s="344"/>
      <c r="H699" s="203"/>
      <c r="I699" s="203"/>
      <c r="J699" s="203"/>
      <c r="K699" s="203"/>
      <c r="L699" s="203"/>
      <c r="M699" s="203"/>
    </row>
    <row r="700">
      <c r="A700" s="205">
        <v>501.0</v>
      </c>
      <c r="B700" s="344"/>
      <c r="C700" s="344"/>
      <c r="D700" s="344"/>
      <c r="E700" s="344"/>
      <c r="F700" s="344"/>
      <c r="G700" s="344"/>
      <c r="H700" s="203"/>
      <c r="I700" s="203"/>
      <c r="J700" s="203"/>
      <c r="K700" s="203"/>
      <c r="L700" s="203"/>
      <c r="M700" s="203"/>
    </row>
    <row r="701">
      <c r="A701" s="205">
        <v>502.0</v>
      </c>
      <c r="B701" s="344"/>
      <c r="C701" s="344"/>
      <c r="D701" s="344"/>
      <c r="E701" s="344"/>
      <c r="F701" s="344"/>
      <c r="G701" s="344"/>
      <c r="H701" s="203"/>
      <c r="I701" s="203"/>
      <c r="J701" s="203"/>
      <c r="K701" s="203"/>
      <c r="L701" s="203"/>
      <c r="M701" s="203"/>
    </row>
    <row r="702">
      <c r="A702" s="205">
        <v>503.0</v>
      </c>
      <c r="B702" s="344"/>
      <c r="C702" s="344"/>
      <c r="D702" s="344"/>
      <c r="E702" s="344"/>
      <c r="F702" s="344"/>
      <c r="G702" s="344"/>
      <c r="H702" s="203"/>
      <c r="I702" s="203"/>
      <c r="J702" s="203"/>
      <c r="K702" s="203"/>
      <c r="L702" s="203"/>
      <c r="M702" s="203"/>
    </row>
    <row r="703">
      <c r="A703" s="205">
        <v>504.0</v>
      </c>
      <c r="B703" s="344"/>
      <c r="C703" s="344"/>
      <c r="D703" s="344"/>
      <c r="E703" s="344"/>
      <c r="F703" s="344"/>
      <c r="G703" s="344"/>
      <c r="H703" s="203"/>
      <c r="I703" s="203"/>
      <c r="J703" s="203"/>
      <c r="K703" s="203"/>
      <c r="L703" s="203"/>
      <c r="M703" s="203"/>
    </row>
    <row r="704">
      <c r="A704" s="205">
        <v>505.0</v>
      </c>
      <c r="B704" s="344"/>
      <c r="C704" s="344"/>
      <c r="D704" s="344"/>
      <c r="E704" s="344"/>
      <c r="F704" s="344"/>
      <c r="G704" s="344"/>
      <c r="H704" s="203"/>
      <c r="I704" s="203"/>
      <c r="J704" s="203"/>
      <c r="K704" s="203"/>
      <c r="L704" s="203"/>
      <c r="M704" s="203"/>
    </row>
    <row r="705">
      <c r="A705" s="205">
        <v>506.0</v>
      </c>
      <c r="B705" s="344"/>
      <c r="C705" s="344"/>
      <c r="D705" s="344"/>
      <c r="E705" s="344"/>
      <c r="F705" s="344"/>
      <c r="G705" s="344"/>
      <c r="H705" s="203"/>
      <c r="I705" s="203"/>
      <c r="J705" s="203"/>
      <c r="K705" s="203"/>
      <c r="L705" s="203"/>
      <c r="M705" s="203"/>
    </row>
    <row r="706">
      <c r="A706" s="205">
        <v>507.0</v>
      </c>
      <c r="B706" s="344"/>
      <c r="C706" s="344"/>
      <c r="D706" s="344"/>
      <c r="E706" s="344"/>
      <c r="F706" s="344"/>
      <c r="G706" s="344"/>
      <c r="H706" s="203"/>
      <c r="I706" s="203"/>
      <c r="J706" s="203"/>
      <c r="K706" s="203"/>
      <c r="L706" s="203"/>
      <c r="M706" s="203"/>
    </row>
    <row r="707">
      <c r="A707" s="205">
        <v>508.0</v>
      </c>
      <c r="B707" s="344"/>
      <c r="C707" s="344"/>
      <c r="D707" s="344"/>
      <c r="E707" s="344"/>
      <c r="F707" s="344"/>
      <c r="G707" s="344"/>
      <c r="H707" s="203"/>
      <c r="I707" s="203"/>
      <c r="J707" s="203"/>
      <c r="K707" s="203"/>
      <c r="L707" s="203"/>
      <c r="M707" s="203"/>
    </row>
    <row r="708">
      <c r="A708" s="205">
        <v>509.0</v>
      </c>
      <c r="B708" s="344"/>
      <c r="C708" s="344"/>
      <c r="D708" s="344"/>
      <c r="E708" s="344"/>
      <c r="F708" s="344"/>
      <c r="G708" s="344"/>
      <c r="H708" s="203"/>
      <c r="I708" s="203"/>
      <c r="J708" s="203"/>
      <c r="K708" s="203"/>
      <c r="L708" s="203"/>
      <c r="M708" s="203"/>
    </row>
    <row r="709">
      <c r="A709" s="205">
        <v>510.0</v>
      </c>
      <c r="B709" s="344"/>
      <c r="C709" s="344"/>
      <c r="D709" s="344"/>
      <c r="E709" s="344"/>
      <c r="F709" s="344"/>
      <c r="G709" s="344"/>
      <c r="H709" s="203"/>
      <c r="I709" s="203"/>
      <c r="J709" s="203"/>
      <c r="K709" s="203"/>
      <c r="L709" s="203"/>
      <c r="M709" s="203"/>
    </row>
    <row r="710">
      <c r="A710" s="205">
        <v>511.0</v>
      </c>
      <c r="B710" s="344"/>
      <c r="C710" s="344"/>
      <c r="D710" s="344"/>
      <c r="E710" s="344"/>
      <c r="F710" s="344"/>
      <c r="G710" s="344"/>
      <c r="H710" s="203"/>
      <c r="I710" s="203"/>
      <c r="J710" s="203"/>
      <c r="K710" s="203"/>
      <c r="L710" s="203"/>
      <c r="M710" s="203"/>
    </row>
    <row r="711">
      <c r="A711" s="205">
        <v>512.0</v>
      </c>
      <c r="B711" s="344"/>
      <c r="C711" s="344"/>
      <c r="D711" s="344"/>
      <c r="E711" s="344"/>
      <c r="F711" s="344"/>
      <c r="G711" s="344"/>
      <c r="H711" s="203"/>
      <c r="I711" s="203"/>
      <c r="J711" s="203"/>
      <c r="K711" s="203"/>
      <c r="L711" s="203"/>
      <c r="M711" s="203"/>
    </row>
    <row r="712">
      <c r="A712" s="205">
        <v>513.0</v>
      </c>
      <c r="B712" s="344"/>
      <c r="C712" s="344"/>
      <c r="D712" s="344"/>
      <c r="E712" s="344"/>
      <c r="F712" s="344"/>
      <c r="G712" s="344"/>
      <c r="H712" s="203"/>
      <c r="I712" s="203"/>
      <c r="J712" s="203"/>
      <c r="K712" s="203"/>
      <c r="L712" s="203"/>
      <c r="M712" s="203"/>
    </row>
    <row r="713">
      <c r="A713" s="205">
        <v>514.0</v>
      </c>
      <c r="B713" s="344"/>
      <c r="C713" s="344"/>
      <c r="D713" s="344"/>
      <c r="E713" s="344"/>
      <c r="F713" s="344"/>
      <c r="G713" s="344"/>
      <c r="H713" s="203"/>
      <c r="I713" s="203"/>
      <c r="J713" s="203"/>
      <c r="K713" s="203"/>
      <c r="L713" s="203"/>
      <c r="M713" s="203"/>
    </row>
    <row r="714">
      <c r="A714" s="205">
        <v>515.0</v>
      </c>
      <c r="B714" s="344"/>
      <c r="C714" s="344"/>
      <c r="D714" s="344"/>
      <c r="E714" s="344"/>
      <c r="F714" s="344"/>
      <c r="G714" s="344"/>
      <c r="H714" s="203"/>
      <c r="I714" s="203"/>
      <c r="J714" s="203"/>
      <c r="K714" s="203"/>
      <c r="L714" s="203"/>
      <c r="M714" s="203"/>
    </row>
    <row r="715">
      <c r="A715" s="205">
        <v>516.0</v>
      </c>
      <c r="B715" s="344"/>
      <c r="C715" s="344"/>
      <c r="D715" s="344"/>
      <c r="E715" s="344"/>
      <c r="F715" s="344"/>
      <c r="G715" s="344"/>
      <c r="H715" s="203"/>
      <c r="I715" s="203"/>
      <c r="J715" s="203"/>
      <c r="K715" s="203"/>
      <c r="L715" s="203"/>
      <c r="M715" s="203"/>
    </row>
    <row r="716">
      <c r="A716" s="205">
        <v>517.0</v>
      </c>
      <c r="B716" s="344"/>
      <c r="C716" s="344"/>
      <c r="D716" s="344"/>
      <c r="E716" s="344"/>
      <c r="F716" s="344"/>
      <c r="G716" s="344"/>
      <c r="H716" s="203"/>
      <c r="I716" s="203"/>
      <c r="J716" s="203"/>
      <c r="K716" s="203"/>
      <c r="L716" s="203"/>
      <c r="M716" s="203"/>
    </row>
    <row r="717">
      <c r="A717" s="205">
        <v>518.0</v>
      </c>
      <c r="B717" s="344"/>
      <c r="C717" s="344"/>
      <c r="D717" s="344"/>
      <c r="E717" s="344"/>
      <c r="F717" s="344"/>
      <c r="G717" s="344"/>
      <c r="H717" s="203"/>
      <c r="I717" s="203"/>
      <c r="J717" s="203"/>
      <c r="K717" s="203"/>
      <c r="L717" s="203"/>
      <c r="M717" s="203"/>
    </row>
    <row r="718">
      <c r="A718" s="205">
        <v>519.0</v>
      </c>
      <c r="B718" s="344"/>
      <c r="C718" s="344"/>
      <c r="D718" s="344"/>
      <c r="E718" s="344"/>
      <c r="F718" s="344"/>
      <c r="G718" s="344"/>
      <c r="H718" s="203"/>
      <c r="I718" s="203"/>
      <c r="J718" s="203"/>
      <c r="K718" s="203"/>
      <c r="L718" s="203"/>
      <c r="M718" s="203"/>
    </row>
    <row r="719">
      <c r="A719" s="205">
        <v>520.0</v>
      </c>
      <c r="B719" s="344"/>
      <c r="C719" s="344"/>
      <c r="D719" s="344"/>
      <c r="E719" s="344"/>
      <c r="F719" s="344"/>
      <c r="G719" s="344"/>
      <c r="H719" s="203"/>
      <c r="I719" s="203"/>
      <c r="J719" s="203"/>
      <c r="K719" s="203"/>
      <c r="L719" s="203"/>
      <c r="M719" s="203"/>
    </row>
    <row r="720">
      <c r="A720" s="205">
        <v>521.0</v>
      </c>
      <c r="B720" s="344"/>
      <c r="C720" s="344"/>
      <c r="D720" s="344"/>
      <c r="E720" s="344"/>
      <c r="F720" s="344"/>
      <c r="G720" s="344"/>
      <c r="H720" s="203"/>
      <c r="I720" s="203"/>
      <c r="J720" s="203"/>
      <c r="K720" s="203"/>
      <c r="L720" s="203"/>
      <c r="M720" s="203"/>
    </row>
    <row r="721">
      <c r="A721" s="205">
        <v>522.0</v>
      </c>
      <c r="B721" s="344"/>
      <c r="C721" s="344"/>
      <c r="D721" s="344"/>
      <c r="E721" s="344"/>
      <c r="F721" s="344"/>
      <c r="G721" s="344"/>
      <c r="H721" s="203"/>
      <c r="I721" s="203"/>
      <c r="J721" s="203"/>
      <c r="K721" s="203"/>
      <c r="L721" s="203"/>
      <c r="M721" s="203"/>
    </row>
    <row r="722">
      <c r="A722" s="205">
        <v>523.0</v>
      </c>
      <c r="B722" s="344"/>
      <c r="C722" s="344"/>
      <c r="D722" s="344"/>
      <c r="E722" s="344"/>
      <c r="F722" s="344"/>
      <c r="G722" s="344"/>
      <c r="H722" s="203"/>
      <c r="I722" s="203"/>
      <c r="J722" s="203"/>
      <c r="K722" s="203"/>
      <c r="L722" s="203"/>
      <c r="M722" s="203"/>
    </row>
    <row r="723">
      <c r="A723" s="205">
        <v>524.0</v>
      </c>
      <c r="B723" s="344"/>
      <c r="C723" s="344"/>
      <c r="D723" s="344"/>
      <c r="E723" s="344"/>
      <c r="F723" s="344"/>
      <c r="G723" s="344"/>
      <c r="H723" s="203"/>
      <c r="I723" s="203"/>
      <c r="J723" s="203"/>
      <c r="K723" s="203"/>
      <c r="L723" s="203"/>
      <c r="M723" s="203"/>
    </row>
    <row r="724">
      <c r="A724" s="205">
        <v>525.0</v>
      </c>
      <c r="B724" s="344"/>
      <c r="C724" s="344"/>
      <c r="D724" s="344"/>
      <c r="E724" s="344"/>
      <c r="F724" s="344"/>
      <c r="G724" s="344"/>
      <c r="H724" s="203"/>
      <c r="I724" s="203"/>
      <c r="J724" s="203"/>
      <c r="K724" s="203"/>
      <c r="L724" s="203"/>
      <c r="M724" s="203"/>
    </row>
    <row r="725">
      <c r="A725" s="205">
        <v>526.0</v>
      </c>
      <c r="B725" s="344"/>
      <c r="C725" s="344"/>
      <c r="D725" s="344"/>
      <c r="E725" s="344"/>
      <c r="F725" s="344"/>
      <c r="G725" s="344"/>
      <c r="H725" s="203"/>
      <c r="I725" s="203"/>
      <c r="J725" s="203"/>
      <c r="K725" s="203"/>
      <c r="L725" s="203"/>
      <c r="M725" s="203"/>
    </row>
    <row r="726">
      <c r="A726" s="205">
        <v>527.0</v>
      </c>
      <c r="B726" s="344"/>
      <c r="C726" s="344"/>
      <c r="D726" s="344"/>
      <c r="E726" s="344"/>
      <c r="F726" s="344"/>
      <c r="G726" s="344"/>
      <c r="H726" s="203"/>
      <c r="I726" s="203"/>
      <c r="J726" s="203"/>
      <c r="K726" s="203"/>
      <c r="L726" s="203"/>
      <c r="M726" s="203"/>
    </row>
    <row r="727">
      <c r="A727" s="205">
        <v>528.0</v>
      </c>
      <c r="B727" s="344"/>
      <c r="C727" s="344"/>
      <c r="D727" s="344"/>
      <c r="E727" s="344"/>
      <c r="F727" s="344"/>
      <c r="G727" s="344"/>
      <c r="H727" s="203"/>
      <c r="I727" s="203"/>
      <c r="J727" s="203"/>
      <c r="K727" s="203"/>
      <c r="L727" s="203"/>
      <c r="M727" s="203"/>
    </row>
    <row r="728">
      <c r="A728" s="205">
        <v>529.0</v>
      </c>
      <c r="B728" s="344"/>
      <c r="C728" s="344"/>
      <c r="D728" s="344"/>
      <c r="E728" s="344"/>
      <c r="F728" s="344"/>
      <c r="G728" s="344"/>
      <c r="H728" s="203"/>
      <c r="I728" s="203"/>
      <c r="J728" s="203"/>
      <c r="K728" s="203"/>
      <c r="L728" s="203"/>
      <c r="M728" s="203"/>
    </row>
    <row r="729">
      <c r="A729" s="205">
        <v>530.0</v>
      </c>
      <c r="B729" s="344"/>
      <c r="C729" s="344"/>
      <c r="D729" s="344"/>
      <c r="E729" s="344"/>
      <c r="F729" s="344"/>
      <c r="G729" s="344"/>
      <c r="H729" s="203"/>
      <c r="I729" s="203"/>
      <c r="J729" s="203"/>
      <c r="K729" s="203"/>
      <c r="L729" s="203"/>
      <c r="M729" s="203"/>
    </row>
    <row r="730">
      <c r="A730" s="205">
        <v>531.0</v>
      </c>
      <c r="B730" s="344"/>
      <c r="C730" s="344"/>
      <c r="D730" s="344"/>
      <c r="E730" s="344"/>
      <c r="F730" s="344"/>
      <c r="G730" s="344"/>
      <c r="H730" s="203"/>
      <c r="I730" s="203"/>
      <c r="J730" s="203"/>
      <c r="K730" s="203"/>
      <c r="L730" s="203"/>
      <c r="M730" s="203"/>
    </row>
    <row r="731">
      <c r="A731" s="205">
        <v>532.0</v>
      </c>
      <c r="B731" s="344"/>
      <c r="C731" s="344"/>
      <c r="D731" s="344"/>
      <c r="E731" s="344"/>
      <c r="F731" s="344"/>
      <c r="G731" s="344"/>
      <c r="H731" s="203"/>
      <c r="I731" s="203"/>
      <c r="J731" s="203"/>
      <c r="K731" s="203"/>
      <c r="L731" s="203"/>
      <c r="M731" s="203"/>
    </row>
    <row r="732">
      <c r="A732" s="205">
        <v>533.0</v>
      </c>
      <c r="B732" s="344"/>
      <c r="C732" s="344"/>
      <c r="D732" s="344"/>
      <c r="E732" s="344"/>
      <c r="F732" s="344"/>
      <c r="G732" s="344"/>
      <c r="H732" s="203"/>
      <c r="I732" s="203"/>
      <c r="J732" s="203"/>
      <c r="K732" s="203"/>
      <c r="L732" s="203"/>
      <c r="M732" s="203"/>
    </row>
    <row r="733">
      <c r="A733" s="205">
        <v>534.0</v>
      </c>
      <c r="B733" s="344"/>
      <c r="C733" s="344"/>
      <c r="D733" s="344"/>
      <c r="E733" s="344"/>
      <c r="F733" s="344"/>
      <c r="G733" s="344"/>
      <c r="H733" s="203"/>
      <c r="I733" s="203"/>
      <c r="J733" s="203"/>
      <c r="K733" s="203"/>
      <c r="L733" s="203"/>
      <c r="M733" s="203"/>
    </row>
    <row r="734">
      <c r="A734" s="205">
        <v>535.0</v>
      </c>
      <c r="B734" s="344"/>
      <c r="C734" s="344"/>
      <c r="D734" s="344"/>
      <c r="E734" s="344"/>
      <c r="F734" s="344"/>
      <c r="G734" s="344"/>
      <c r="H734" s="203"/>
      <c r="I734" s="203"/>
      <c r="J734" s="203"/>
      <c r="K734" s="203"/>
      <c r="L734" s="203"/>
      <c r="M734" s="203"/>
    </row>
    <row r="735">
      <c r="A735" s="205">
        <v>536.0</v>
      </c>
      <c r="B735" s="344"/>
      <c r="C735" s="344"/>
      <c r="D735" s="344"/>
      <c r="E735" s="344"/>
      <c r="F735" s="344"/>
      <c r="G735" s="344"/>
      <c r="H735" s="203"/>
      <c r="I735" s="203"/>
      <c r="J735" s="203"/>
      <c r="K735" s="203"/>
      <c r="L735" s="203"/>
      <c r="M735" s="203"/>
    </row>
    <row r="736">
      <c r="A736" s="205">
        <v>537.0</v>
      </c>
      <c r="B736" s="344"/>
      <c r="C736" s="344"/>
      <c r="D736" s="344"/>
      <c r="E736" s="344"/>
      <c r="F736" s="344"/>
      <c r="G736" s="344"/>
      <c r="H736" s="203"/>
      <c r="I736" s="203"/>
      <c r="J736" s="203"/>
      <c r="K736" s="203"/>
      <c r="L736" s="203"/>
      <c r="M736" s="203"/>
    </row>
    <row r="737">
      <c r="A737" s="205">
        <v>538.0</v>
      </c>
      <c r="B737" s="344"/>
      <c r="C737" s="344"/>
      <c r="D737" s="344"/>
      <c r="E737" s="344"/>
      <c r="F737" s="344"/>
      <c r="G737" s="344"/>
      <c r="H737" s="203"/>
      <c r="I737" s="203"/>
      <c r="J737" s="203"/>
      <c r="K737" s="203"/>
      <c r="L737" s="203"/>
      <c r="M737" s="203"/>
    </row>
    <row r="738">
      <c r="A738" s="205">
        <v>539.0</v>
      </c>
      <c r="B738" s="344"/>
      <c r="C738" s="344"/>
      <c r="D738" s="344"/>
      <c r="E738" s="344"/>
      <c r="F738" s="344"/>
      <c r="G738" s="344"/>
      <c r="H738" s="203"/>
      <c r="I738" s="203"/>
      <c r="J738" s="203"/>
      <c r="K738" s="203"/>
      <c r="L738" s="203"/>
      <c r="M738" s="203"/>
    </row>
    <row r="739">
      <c r="A739" s="205">
        <v>540.0</v>
      </c>
      <c r="B739" s="344"/>
      <c r="C739" s="344"/>
      <c r="D739" s="344"/>
      <c r="E739" s="344"/>
      <c r="F739" s="344"/>
      <c r="G739" s="344"/>
      <c r="H739" s="203"/>
      <c r="I739" s="203"/>
      <c r="J739" s="203"/>
      <c r="K739" s="203"/>
      <c r="L739" s="203"/>
      <c r="M739" s="203"/>
    </row>
    <row r="740">
      <c r="A740" s="205">
        <v>541.0</v>
      </c>
      <c r="B740" s="344"/>
      <c r="C740" s="344"/>
      <c r="D740" s="344"/>
      <c r="E740" s="344"/>
      <c r="F740" s="344"/>
      <c r="G740" s="344"/>
      <c r="H740" s="203"/>
      <c r="I740" s="203"/>
      <c r="J740" s="203"/>
      <c r="K740" s="203"/>
      <c r="L740" s="203"/>
      <c r="M740" s="203"/>
    </row>
    <row r="741">
      <c r="A741" s="205">
        <v>542.0</v>
      </c>
      <c r="B741" s="344"/>
      <c r="C741" s="344"/>
      <c r="D741" s="344"/>
      <c r="E741" s="344"/>
      <c r="F741" s="344"/>
      <c r="G741" s="344"/>
      <c r="H741" s="203"/>
      <c r="I741" s="203"/>
      <c r="J741" s="203"/>
      <c r="K741" s="203"/>
      <c r="L741" s="203"/>
      <c r="M741" s="203"/>
    </row>
    <row r="742">
      <c r="A742" s="205">
        <v>543.0</v>
      </c>
      <c r="B742" s="344"/>
      <c r="C742" s="344"/>
      <c r="D742" s="344"/>
      <c r="E742" s="344"/>
      <c r="F742" s="344"/>
      <c r="G742" s="344"/>
      <c r="H742" s="203"/>
      <c r="I742" s="203"/>
      <c r="J742" s="203"/>
      <c r="K742" s="203"/>
      <c r="L742" s="203"/>
      <c r="M742" s="203"/>
    </row>
    <row r="743">
      <c r="A743" s="205">
        <v>544.0</v>
      </c>
      <c r="B743" s="344"/>
      <c r="C743" s="344"/>
      <c r="D743" s="344"/>
      <c r="E743" s="344"/>
      <c r="F743" s="344"/>
      <c r="G743" s="344"/>
      <c r="H743" s="203"/>
      <c r="I743" s="203"/>
      <c r="J743" s="203"/>
      <c r="K743" s="203"/>
      <c r="L743" s="203"/>
      <c r="M743" s="203"/>
    </row>
    <row r="744">
      <c r="A744" s="205">
        <v>545.0</v>
      </c>
      <c r="B744" s="344"/>
      <c r="C744" s="344"/>
      <c r="D744" s="344"/>
      <c r="E744" s="344"/>
      <c r="F744" s="344"/>
      <c r="G744" s="344"/>
      <c r="H744" s="203"/>
      <c r="I744" s="203"/>
      <c r="J744" s="203"/>
      <c r="K744" s="203"/>
      <c r="L744" s="203"/>
      <c r="M744" s="203"/>
    </row>
    <row r="745">
      <c r="A745" s="205">
        <v>546.0</v>
      </c>
      <c r="B745" s="344"/>
      <c r="C745" s="344"/>
      <c r="D745" s="344"/>
      <c r="E745" s="344"/>
      <c r="F745" s="344"/>
      <c r="G745" s="344"/>
      <c r="H745" s="203"/>
      <c r="I745" s="203"/>
      <c r="J745" s="203"/>
      <c r="K745" s="203"/>
      <c r="L745" s="203"/>
      <c r="M745" s="203"/>
    </row>
    <row r="746">
      <c r="A746" s="205">
        <v>547.0</v>
      </c>
      <c r="B746" s="344"/>
      <c r="C746" s="344"/>
      <c r="D746" s="344"/>
      <c r="E746" s="344"/>
      <c r="F746" s="344"/>
      <c r="G746" s="344"/>
      <c r="H746" s="203"/>
      <c r="I746" s="203"/>
      <c r="J746" s="203"/>
      <c r="K746" s="203"/>
      <c r="L746" s="203"/>
      <c r="M746" s="203"/>
    </row>
    <row r="747">
      <c r="A747" s="205">
        <v>548.0</v>
      </c>
      <c r="B747" s="344"/>
      <c r="C747" s="344"/>
      <c r="D747" s="344"/>
      <c r="E747" s="344"/>
      <c r="F747" s="344"/>
      <c r="G747" s="344"/>
      <c r="H747" s="203"/>
      <c r="I747" s="203"/>
      <c r="J747" s="203"/>
      <c r="K747" s="203"/>
      <c r="L747" s="203"/>
      <c r="M747" s="203"/>
    </row>
    <row r="748">
      <c r="A748" s="205">
        <v>549.0</v>
      </c>
      <c r="B748" s="344"/>
      <c r="C748" s="344"/>
      <c r="D748" s="344"/>
      <c r="E748" s="344"/>
      <c r="F748" s="344"/>
      <c r="G748" s="344"/>
      <c r="H748" s="203"/>
      <c r="I748" s="203"/>
      <c r="J748" s="203"/>
      <c r="K748" s="203"/>
      <c r="L748" s="203"/>
      <c r="M748" s="203"/>
    </row>
    <row r="749">
      <c r="A749" s="205">
        <v>550.0</v>
      </c>
      <c r="B749" s="344"/>
      <c r="C749" s="344"/>
      <c r="D749" s="344"/>
      <c r="E749" s="344"/>
      <c r="F749" s="344"/>
      <c r="G749" s="344"/>
      <c r="H749" s="203"/>
      <c r="I749" s="203"/>
      <c r="J749" s="203"/>
      <c r="K749" s="203"/>
      <c r="L749" s="203"/>
      <c r="M749" s="203"/>
    </row>
    <row r="750">
      <c r="A750" s="205">
        <v>551.0</v>
      </c>
      <c r="B750" s="344"/>
      <c r="C750" s="344"/>
      <c r="D750" s="344"/>
      <c r="E750" s="344"/>
      <c r="F750" s="344"/>
      <c r="G750" s="344"/>
      <c r="H750" s="203"/>
      <c r="I750" s="203"/>
      <c r="J750" s="203"/>
      <c r="K750" s="203"/>
      <c r="L750" s="203"/>
      <c r="M750" s="203"/>
    </row>
    <row r="751">
      <c r="A751" s="205">
        <v>552.0</v>
      </c>
      <c r="B751" s="344"/>
      <c r="C751" s="344"/>
      <c r="D751" s="344"/>
      <c r="E751" s="344"/>
      <c r="F751" s="344"/>
      <c r="G751" s="344"/>
      <c r="H751" s="203"/>
      <c r="I751" s="203"/>
      <c r="J751" s="203"/>
      <c r="K751" s="203"/>
      <c r="L751" s="203"/>
      <c r="M751" s="203"/>
    </row>
    <row r="752">
      <c r="A752" s="205">
        <v>553.0</v>
      </c>
      <c r="B752" s="344"/>
      <c r="C752" s="344"/>
      <c r="D752" s="344"/>
      <c r="E752" s="344"/>
      <c r="F752" s="344"/>
      <c r="G752" s="344"/>
      <c r="H752" s="203"/>
      <c r="I752" s="203"/>
      <c r="J752" s="203"/>
      <c r="K752" s="203"/>
      <c r="L752" s="203"/>
      <c r="M752" s="203"/>
    </row>
    <row r="753">
      <c r="A753" s="205">
        <v>554.0</v>
      </c>
      <c r="B753" s="344"/>
      <c r="C753" s="344"/>
      <c r="D753" s="344"/>
      <c r="E753" s="344"/>
      <c r="F753" s="344"/>
      <c r="G753" s="344"/>
      <c r="H753" s="203"/>
      <c r="I753" s="203"/>
      <c r="J753" s="203"/>
      <c r="K753" s="203"/>
      <c r="L753" s="203"/>
      <c r="M753" s="203"/>
    </row>
    <row r="754">
      <c r="A754" s="205">
        <v>555.0</v>
      </c>
      <c r="B754" s="344"/>
      <c r="C754" s="344"/>
      <c r="D754" s="344"/>
      <c r="E754" s="344"/>
      <c r="F754" s="344"/>
      <c r="G754" s="344"/>
      <c r="H754" s="203"/>
      <c r="I754" s="203"/>
      <c r="J754" s="203"/>
      <c r="K754" s="203"/>
      <c r="L754" s="203"/>
      <c r="M754" s="203"/>
    </row>
    <row r="755">
      <c r="A755" s="205">
        <v>556.0</v>
      </c>
      <c r="B755" s="344"/>
      <c r="C755" s="344"/>
      <c r="D755" s="344"/>
      <c r="E755" s="344"/>
      <c r="F755" s="344"/>
      <c r="G755" s="344"/>
      <c r="H755" s="203"/>
      <c r="I755" s="203"/>
      <c r="J755" s="203"/>
      <c r="K755" s="203"/>
      <c r="L755" s="203"/>
      <c r="M755" s="203"/>
    </row>
    <row r="756">
      <c r="A756" s="205">
        <v>557.0</v>
      </c>
      <c r="B756" s="344"/>
      <c r="C756" s="344"/>
      <c r="D756" s="344"/>
      <c r="E756" s="344"/>
      <c r="F756" s="344"/>
      <c r="G756" s="344"/>
      <c r="H756" s="203"/>
      <c r="I756" s="203"/>
      <c r="J756" s="203"/>
      <c r="K756" s="203"/>
      <c r="L756" s="203"/>
      <c r="M756" s="203"/>
    </row>
    <row r="757">
      <c r="A757" s="205">
        <v>558.0</v>
      </c>
      <c r="B757" s="344"/>
      <c r="C757" s="344"/>
      <c r="D757" s="344"/>
      <c r="E757" s="344"/>
      <c r="F757" s="344"/>
      <c r="G757" s="344"/>
      <c r="H757" s="203"/>
      <c r="I757" s="203"/>
      <c r="J757" s="203"/>
      <c r="K757" s="203"/>
      <c r="L757" s="203"/>
      <c r="M757" s="203"/>
    </row>
    <row r="758">
      <c r="A758" s="205">
        <v>559.0</v>
      </c>
      <c r="B758" s="344"/>
      <c r="C758" s="344"/>
      <c r="D758" s="344"/>
      <c r="E758" s="344"/>
      <c r="F758" s="344"/>
      <c r="G758" s="344"/>
      <c r="H758" s="203"/>
      <c r="I758" s="203"/>
      <c r="J758" s="203"/>
      <c r="K758" s="203"/>
      <c r="L758" s="203"/>
      <c r="M758" s="203"/>
    </row>
    <row r="759">
      <c r="A759" s="205">
        <v>560.0</v>
      </c>
      <c r="B759" s="344"/>
      <c r="C759" s="344"/>
      <c r="D759" s="344"/>
      <c r="E759" s="344"/>
      <c r="F759" s="344"/>
      <c r="G759" s="344"/>
      <c r="H759" s="203"/>
      <c r="I759" s="203"/>
      <c r="J759" s="203"/>
      <c r="K759" s="203"/>
      <c r="L759" s="203"/>
      <c r="M759" s="203"/>
    </row>
    <row r="760">
      <c r="A760" s="205">
        <v>561.0</v>
      </c>
      <c r="B760" s="344"/>
      <c r="C760" s="344"/>
      <c r="D760" s="344"/>
      <c r="E760" s="344"/>
      <c r="F760" s="344"/>
      <c r="G760" s="344"/>
      <c r="H760" s="203"/>
      <c r="I760" s="203"/>
      <c r="J760" s="203"/>
      <c r="K760" s="203"/>
      <c r="L760" s="203"/>
      <c r="M760" s="203"/>
    </row>
    <row r="761">
      <c r="A761" s="205">
        <v>562.0</v>
      </c>
      <c r="B761" s="344"/>
      <c r="C761" s="344"/>
      <c r="D761" s="344"/>
      <c r="E761" s="344"/>
      <c r="F761" s="344"/>
      <c r="G761" s="344"/>
      <c r="H761" s="203"/>
      <c r="I761" s="203"/>
      <c r="J761" s="203"/>
      <c r="K761" s="203"/>
      <c r="L761" s="203"/>
      <c r="M761" s="203"/>
    </row>
    <row r="762">
      <c r="A762" s="205">
        <v>563.0</v>
      </c>
      <c r="B762" s="344"/>
      <c r="C762" s="344"/>
      <c r="D762" s="344"/>
      <c r="E762" s="344"/>
      <c r="F762" s="344"/>
      <c r="G762" s="344"/>
      <c r="H762" s="203"/>
      <c r="I762" s="203"/>
      <c r="J762" s="203"/>
      <c r="K762" s="203"/>
      <c r="L762" s="203"/>
      <c r="M762" s="203"/>
    </row>
    <row r="763">
      <c r="A763" s="205">
        <v>564.0</v>
      </c>
      <c r="B763" s="344"/>
      <c r="C763" s="344"/>
      <c r="D763" s="344"/>
      <c r="E763" s="344"/>
      <c r="F763" s="344"/>
      <c r="G763" s="344"/>
      <c r="H763" s="203"/>
      <c r="I763" s="203"/>
      <c r="J763" s="203"/>
      <c r="K763" s="203"/>
      <c r="L763" s="203"/>
      <c r="M763" s="203"/>
    </row>
    <row r="764">
      <c r="A764" s="205">
        <v>565.0</v>
      </c>
      <c r="B764" s="344"/>
      <c r="C764" s="344"/>
      <c r="D764" s="344"/>
      <c r="E764" s="344"/>
      <c r="F764" s="344"/>
      <c r="G764" s="344"/>
      <c r="H764" s="203"/>
      <c r="I764" s="203"/>
      <c r="J764" s="203"/>
      <c r="K764" s="203"/>
      <c r="L764" s="203"/>
      <c r="M764" s="203"/>
    </row>
    <row r="765">
      <c r="A765" s="205">
        <v>566.0</v>
      </c>
      <c r="B765" s="344"/>
      <c r="C765" s="344"/>
      <c r="D765" s="344"/>
      <c r="E765" s="344"/>
      <c r="F765" s="344"/>
      <c r="G765" s="344"/>
      <c r="H765" s="203"/>
      <c r="I765" s="203"/>
      <c r="J765" s="203"/>
      <c r="K765" s="203"/>
      <c r="L765" s="203"/>
      <c r="M765" s="203"/>
    </row>
    <row r="766">
      <c r="A766" s="205">
        <v>567.0</v>
      </c>
      <c r="B766" s="344"/>
      <c r="C766" s="344"/>
      <c r="D766" s="344"/>
      <c r="E766" s="344"/>
      <c r="F766" s="344"/>
      <c r="G766" s="344"/>
      <c r="H766" s="203"/>
      <c r="I766" s="203"/>
      <c r="J766" s="203"/>
      <c r="K766" s="203"/>
      <c r="L766" s="203"/>
      <c r="M766" s="203"/>
    </row>
    <row r="767">
      <c r="A767" s="205">
        <v>568.0</v>
      </c>
      <c r="B767" s="344"/>
      <c r="C767" s="344"/>
      <c r="D767" s="344"/>
      <c r="E767" s="344"/>
      <c r="F767" s="344"/>
      <c r="G767" s="344"/>
      <c r="H767" s="203"/>
      <c r="I767" s="203"/>
      <c r="J767" s="203"/>
      <c r="K767" s="203"/>
      <c r="L767" s="203"/>
      <c r="M767" s="203"/>
    </row>
    <row r="768">
      <c r="A768" s="205">
        <v>569.0</v>
      </c>
      <c r="B768" s="344"/>
      <c r="C768" s="344"/>
      <c r="D768" s="344"/>
      <c r="E768" s="344"/>
      <c r="F768" s="344"/>
      <c r="G768" s="344"/>
      <c r="H768" s="203"/>
      <c r="I768" s="203"/>
      <c r="J768" s="203"/>
      <c r="K768" s="203"/>
      <c r="L768" s="203"/>
      <c r="M768" s="203"/>
    </row>
    <row r="769">
      <c r="A769" s="205">
        <v>570.0</v>
      </c>
      <c r="B769" s="344"/>
      <c r="C769" s="344"/>
      <c r="D769" s="344"/>
      <c r="E769" s="344"/>
      <c r="F769" s="344"/>
      <c r="G769" s="344"/>
      <c r="H769" s="203"/>
      <c r="I769" s="203"/>
      <c r="J769" s="203"/>
      <c r="K769" s="203"/>
      <c r="L769" s="203"/>
      <c r="M769" s="203"/>
    </row>
    <row r="770">
      <c r="A770" s="205">
        <v>571.0</v>
      </c>
      <c r="B770" s="344"/>
      <c r="C770" s="344"/>
      <c r="D770" s="344"/>
      <c r="E770" s="344"/>
      <c r="F770" s="344"/>
      <c r="G770" s="344"/>
      <c r="H770" s="203"/>
      <c r="I770" s="203"/>
      <c r="J770" s="203"/>
      <c r="K770" s="203"/>
      <c r="L770" s="203"/>
      <c r="M770" s="203"/>
    </row>
    <row r="771">
      <c r="A771" s="205">
        <v>572.0</v>
      </c>
      <c r="B771" s="344"/>
      <c r="C771" s="344"/>
      <c r="D771" s="344"/>
      <c r="E771" s="344"/>
      <c r="F771" s="344"/>
      <c r="G771" s="344"/>
      <c r="H771" s="203"/>
      <c r="I771" s="203"/>
      <c r="J771" s="203"/>
      <c r="K771" s="203"/>
      <c r="L771" s="203"/>
      <c r="M771" s="203"/>
    </row>
    <row r="772">
      <c r="A772" s="205">
        <v>573.0</v>
      </c>
      <c r="B772" s="344"/>
      <c r="C772" s="344"/>
      <c r="D772" s="344"/>
      <c r="E772" s="344"/>
      <c r="F772" s="344"/>
      <c r="G772" s="344"/>
      <c r="H772" s="203"/>
      <c r="I772" s="203"/>
      <c r="J772" s="203"/>
      <c r="K772" s="203"/>
      <c r="L772" s="203"/>
      <c r="M772" s="203"/>
    </row>
    <row r="773">
      <c r="A773" s="205">
        <v>574.0</v>
      </c>
      <c r="B773" s="344"/>
      <c r="C773" s="344"/>
      <c r="D773" s="344"/>
      <c r="E773" s="344"/>
      <c r="F773" s="344"/>
      <c r="G773" s="344"/>
      <c r="H773" s="203"/>
      <c r="I773" s="203"/>
      <c r="J773" s="203"/>
      <c r="K773" s="203"/>
      <c r="L773" s="203"/>
      <c r="M773" s="203"/>
    </row>
    <row r="774">
      <c r="A774" s="205">
        <v>575.0</v>
      </c>
      <c r="B774" s="344"/>
      <c r="C774" s="344"/>
      <c r="D774" s="344"/>
      <c r="E774" s="344"/>
      <c r="F774" s="344"/>
      <c r="G774" s="344"/>
      <c r="H774" s="203"/>
      <c r="I774" s="203"/>
      <c r="J774" s="203"/>
      <c r="K774" s="203"/>
      <c r="L774" s="203"/>
      <c r="M774" s="203"/>
    </row>
    <row r="775">
      <c r="A775" s="205">
        <v>576.0</v>
      </c>
      <c r="B775" s="344"/>
      <c r="C775" s="344"/>
      <c r="D775" s="344"/>
      <c r="E775" s="344"/>
      <c r="F775" s="344"/>
      <c r="G775" s="344"/>
      <c r="H775" s="203"/>
      <c r="I775" s="203"/>
      <c r="J775" s="203"/>
      <c r="K775" s="203"/>
      <c r="L775" s="203"/>
      <c r="M775" s="203"/>
    </row>
    <row r="776">
      <c r="A776" s="205">
        <v>577.0</v>
      </c>
      <c r="B776" s="344"/>
      <c r="C776" s="344"/>
      <c r="D776" s="344"/>
      <c r="E776" s="344"/>
      <c r="F776" s="344"/>
      <c r="G776" s="344"/>
      <c r="H776" s="203"/>
      <c r="I776" s="203"/>
      <c r="J776" s="203"/>
      <c r="K776" s="203"/>
      <c r="L776" s="203"/>
      <c r="M776" s="203"/>
    </row>
    <row r="777">
      <c r="A777" s="205">
        <v>578.0</v>
      </c>
      <c r="B777" s="344"/>
      <c r="C777" s="344"/>
      <c r="D777" s="344"/>
      <c r="E777" s="344"/>
      <c r="F777" s="344"/>
      <c r="G777" s="344"/>
      <c r="H777" s="203"/>
      <c r="I777" s="203"/>
      <c r="J777" s="203"/>
      <c r="K777" s="203"/>
      <c r="L777" s="203"/>
      <c r="M777" s="203"/>
    </row>
    <row r="778">
      <c r="A778" s="205">
        <v>579.0</v>
      </c>
      <c r="B778" s="344"/>
      <c r="C778" s="344"/>
      <c r="D778" s="344"/>
      <c r="E778" s="344"/>
      <c r="F778" s="344"/>
      <c r="G778" s="344"/>
      <c r="H778" s="203"/>
      <c r="I778" s="203"/>
      <c r="J778" s="203"/>
      <c r="K778" s="203"/>
      <c r="L778" s="203"/>
      <c r="M778" s="203"/>
    </row>
    <row r="779">
      <c r="A779" s="205">
        <v>580.0</v>
      </c>
      <c r="B779" s="344"/>
      <c r="C779" s="344"/>
      <c r="D779" s="344"/>
      <c r="E779" s="344"/>
      <c r="F779" s="344"/>
      <c r="G779" s="344"/>
      <c r="H779" s="203"/>
      <c r="I779" s="203"/>
      <c r="J779" s="203"/>
      <c r="K779" s="203"/>
      <c r="L779" s="203"/>
      <c r="M779" s="203"/>
    </row>
    <row r="780">
      <c r="A780" s="205">
        <v>581.0</v>
      </c>
      <c r="B780" s="344"/>
      <c r="C780" s="344"/>
      <c r="D780" s="344"/>
      <c r="E780" s="344"/>
      <c r="F780" s="344"/>
      <c r="G780" s="344"/>
      <c r="H780" s="203"/>
      <c r="I780" s="203"/>
      <c r="J780" s="203"/>
      <c r="K780" s="203"/>
      <c r="L780" s="203"/>
      <c r="M780" s="203"/>
    </row>
    <row r="781">
      <c r="A781" s="205">
        <v>582.0</v>
      </c>
      <c r="B781" s="344"/>
      <c r="C781" s="344"/>
      <c r="D781" s="344"/>
      <c r="E781" s="344"/>
      <c r="F781" s="344"/>
      <c r="G781" s="344"/>
      <c r="H781" s="203"/>
      <c r="I781" s="203"/>
      <c r="J781" s="203"/>
      <c r="K781" s="203"/>
      <c r="L781" s="203"/>
      <c r="M781" s="203"/>
    </row>
    <row r="782">
      <c r="A782" s="205">
        <v>583.0</v>
      </c>
      <c r="B782" s="344"/>
      <c r="C782" s="344"/>
      <c r="D782" s="344"/>
      <c r="E782" s="344"/>
      <c r="F782" s="344"/>
      <c r="G782" s="344"/>
      <c r="H782" s="203"/>
      <c r="I782" s="203"/>
      <c r="J782" s="203"/>
      <c r="K782" s="203"/>
      <c r="L782" s="203"/>
      <c r="M782" s="203"/>
    </row>
    <row r="783">
      <c r="A783" s="205">
        <v>584.0</v>
      </c>
      <c r="B783" s="344"/>
      <c r="C783" s="344"/>
      <c r="D783" s="344"/>
      <c r="E783" s="344"/>
      <c r="F783" s="344"/>
      <c r="G783" s="344"/>
      <c r="H783" s="203"/>
      <c r="I783" s="203"/>
      <c r="J783" s="203"/>
      <c r="K783" s="203"/>
      <c r="L783" s="203"/>
      <c r="M783" s="203"/>
    </row>
    <row r="784">
      <c r="A784" s="205">
        <v>585.0</v>
      </c>
      <c r="B784" s="344"/>
      <c r="C784" s="344"/>
      <c r="D784" s="344"/>
      <c r="E784" s="344"/>
      <c r="F784" s="344"/>
      <c r="G784" s="344"/>
      <c r="H784" s="203"/>
      <c r="I784" s="203"/>
      <c r="J784" s="203"/>
      <c r="K784" s="203"/>
      <c r="L784" s="203"/>
      <c r="M784" s="203"/>
    </row>
    <row r="785">
      <c r="A785" s="205">
        <v>586.0</v>
      </c>
      <c r="B785" s="344"/>
      <c r="C785" s="344"/>
      <c r="D785" s="344"/>
      <c r="E785" s="344"/>
      <c r="F785" s="344"/>
      <c r="G785" s="344"/>
      <c r="H785" s="203"/>
      <c r="I785" s="203"/>
      <c r="J785" s="203"/>
      <c r="K785" s="203"/>
      <c r="L785" s="203"/>
      <c r="M785" s="203"/>
    </row>
    <row r="786">
      <c r="A786" s="205">
        <v>587.0</v>
      </c>
      <c r="B786" s="344"/>
      <c r="C786" s="344"/>
      <c r="D786" s="344"/>
      <c r="E786" s="344"/>
      <c r="F786" s="344"/>
      <c r="G786" s="344"/>
      <c r="H786" s="203"/>
      <c r="I786" s="203"/>
      <c r="J786" s="203"/>
      <c r="K786" s="203"/>
      <c r="L786" s="203"/>
      <c r="M786" s="203"/>
    </row>
    <row r="787">
      <c r="A787" s="205">
        <v>588.0</v>
      </c>
      <c r="B787" s="344"/>
      <c r="C787" s="344"/>
      <c r="D787" s="344"/>
      <c r="E787" s="344"/>
      <c r="F787" s="344"/>
      <c r="G787" s="344"/>
      <c r="H787" s="203"/>
      <c r="I787" s="203"/>
      <c r="J787" s="203"/>
      <c r="K787" s="203"/>
      <c r="L787" s="203"/>
      <c r="M787" s="203"/>
    </row>
    <row r="788">
      <c r="A788" s="205">
        <v>589.0</v>
      </c>
      <c r="B788" s="344"/>
      <c r="C788" s="344"/>
      <c r="D788" s="344"/>
      <c r="E788" s="344"/>
      <c r="F788" s="344"/>
      <c r="G788" s="344"/>
      <c r="H788" s="203"/>
      <c r="I788" s="203"/>
      <c r="J788" s="203"/>
      <c r="K788" s="203"/>
      <c r="L788" s="203"/>
      <c r="M788" s="203"/>
    </row>
    <row r="789">
      <c r="A789" s="205">
        <v>590.0</v>
      </c>
      <c r="B789" s="344"/>
      <c r="C789" s="344"/>
      <c r="D789" s="344"/>
      <c r="E789" s="344"/>
      <c r="F789" s="344"/>
      <c r="G789" s="344"/>
      <c r="H789" s="203"/>
      <c r="I789" s="203"/>
      <c r="J789" s="203"/>
      <c r="K789" s="203"/>
      <c r="L789" s="203"/>
      <c r="M789" s="203"/>
    </row>
    <row r="790">
      <c r="A790" s="205">
        <v>591.0</v>
      </c>
      <c r="B790" s="344"/>
      <c r="C790" s="344"/>
      <c r="D790" s="344"/>
      <c r="E790" s="344"/>
      <c r="F790" s="344"/>
      <c r="G790" s="344"/>
      <c r="H790" s="203"/>
      <c r="I790" s="203"/>
      <c r="J790" s="203"/>
      <c r="K790" s="203"/>
      <c r="L790" s="203"/>
      <c r="M790" s="203"/>
    </row>
    <row r="791">
      <c r="A791" s="205">
        <v>592.0</v>
      </c>
      <c r="B791" s="344"/>
      <c r="C791" s="344"/>
      <c r="D791" s="344"/>
      <c r="E791" s="344"/>
      <c r="F791" s="344"/>
      <c r="G791" s="344"/>
      <c r="H791" s="203"/>
      <c r="I791" s="203"/>
      <c r="J791" s="203"/>
      <c r="K791" s="203"/>
      <c r="L791" s="203"/>
      <c r="M791" s="203"/>
    </row>
    <row r="792">
      <c r="A792" s="205">
        <v>593.0</v>
      </c>
      <c r="B792" s="344"/>
      <c r="C792" s="344"/>
      <c r="D792" s="344"/>
      <c r="E792" s="344"/>
      <c r="F792" s="344"/>
      <c r="G792" s="344"/>
      <c r="H792" s="203"/>
      <c r="I792" s="203"/>
      <c r="J792" s="203"/>
      <c r="K792" s="203"/>
      <c r="L792" s="203"/>
      <c r="M792" s="203"/>
    </row>
    <row r="793">
      <c r="A793" s="205">
        <v>594.0</v>
      </c>
      <c r="B793" s="344"/>
      <c r="C793" s="344"/>
      <c r="D793" s="344"/>
      <c r="E793" s="344"/>
      <c r="F793" s="344"/>
      <c r="G793" s="344"/>
      <c r="H793" s="203"/>
      <c r="I793" s="203"/>
      <c r="J793" s="203"/>
      <c r="K793" s="203"/>
      <c r="L793" s="203"/>
      <c r="M793" s="203"/>
    </row>
    <row r="794">
      <c r="A794" s="205">
        <v>595.0</v>
      </c>
      <c r="B794" s="344"/>
      <c r="C794" s="344"/>
      <c r="D794" s="344"/>
      <c r="E794" s="344"/>
      <c r="F794" s="344"/>
      <c r="G794" s="344"/>
      <c r="H794" s="203"/>
      <c r="I794" s="203"/>
      <c r="J794" s="203"/>
      <c r="K794" s="203"/>
      <c r="L794" s="203"/>
      <c r="M794" s="203"/>
    </row>
    <row r="795">
      <c r="A795" s="205">
        <v>596.0</v>
      </c>
      <c r="B795" s="344"/>
      <c r="C795" s="344"/>
      <c r="D795" s="344"/>
      <c r="E795" s="344"/>
      <c r="F795" s="344"/>
      <c r="G795" s="344"/>
      <c r="H795" s="203"/>
      <c r="I795" s="203"/>
      <c r="J795" s="203"/>
      <c r="K795" s="203"/>
      <c r="L795" s="203"/>
      <c r="M795" s="203"/>
    </row>
    <row r="796">
      <c r="A796" s="205">
        <v>597.0</v>
      </c>
      <c r="B796" s="344"/>
      <c r="C796" s="344"/>
      <c r="D796" s="344"/>
      <c r="E796" s="344"/>
      <c r="F796" s="344"/>
      <c r="G796" s="344"/>
      <c r="H796" s="203"/>
      <c r="I796" s="203"/>
      <c r="J796" s="203"/>
      <c r="K796" s="203"/>
      <c r="L796" s="203"/>
      <c r="M796" s="203"/>
    </row>
    <row r="797">
      <c r="A797" s="205">
        <v>598.0</v>
      </c>
      <c r="B797" s="344"/>
      <c r="C797" s="344"/>
      <c r="D797" s="344"/>
      <c r="E797" s="344"/>
      <c r="F797" s="344"/>
      <c r="G797" s="344"/>
      <c r="H797" s="203"/>
      <c r="I797" s="203"/>
      <c r="J797" s="203"/>
      <c r="K797" s="203"/>
      <c r="L797" s="203"/>
      <c r="M797" s="203"/>
    </row>
    <row r="798">
      <c r="A798" s="205">
        <v>599.0</v>
      </c>
      <c r="B798" s="344"/>
      <c r="C798" s="344"/>
      <c r="D798" s="344"/>
      <c r="E798" s="344"/>
      <c r="F798" s="344"/>
      <c r="G798" s="344"/>
      <c r="H798" s="203"/>
      <c r="I798" s="203"/>
      <c r="J798" s="203"/>
      <c r="K798" s="203"/>
      <c r="L798" s="203"/>
      <c r="M798" s="203"/>
    </row>
    <row r="799">
      <c r="A799" s="205">
        <v>600.0</v>
      </c>
      <c r="B799" s="344"/>
      <c r="C799" s="344"/>
      <c r="D799" s="344"/>
      <c r="E799" s="344"/>
      <c r="F799" s="344"/>
      <c r="G799" s="344"/>
      <c r="H799" s="203"/>
      <c r="I799" s="203"/>
      <c r="J799" s="203"/>
      <c r="K799" s="203"/>
      <c r="L799" s="203"/>
      <c r="M799" s="203"/>
    </row>
    <row r="800">
      <c r="A800" s="205">
        <v>601.0</v>
      </c>
      <c r="B800" s="344"/>
      <c r="C800" s="344"/>
      <c r="D800" s="344"/>
      <c r="E800" s="344"/>
      <c r="F800" s="344"/>
      <c r="G800" s="344"/>
      <c r="H800" s="203"/>
      <c r="I800" s="203"/>
      <c r="J800" s="203"/>
      <c r="K800" s="203"/>
      <c r="L800" s="203"/>
      <c r="M800" s="203"/>
    </row>
    <row r="801">
      <c r="A801" s="205">
        <v>602.0</v>
      </c>
      <c r="B801" s="344"/>
      <c r="C801" s="344"/>
      <c r="D801" s="344"/>
      <c r="E801" s="344"/>
      <c r="F801" s="344"/>
      <c r="G801" s="344"/>
      <c r="H801" s="203"/>
      <c r="I801" s="203"/>
      <c r="J801" s="203"/>
      <c r="K801" s="203"/>
      <c r="L801" s="203"/>
      <c r="M801" s="203"/>
    </row>
    <row r="802">
      <c r="A802" s="205">
        <v>603.0</v>
      </c>
      <c r="B802" s="344"/>
      <c r="C802" s="344"/>
      <c r="D802" s="344"/>
      <c r="E802" s="344"/>
      <c r="F802" s="344"/>
      <c r="G802" s="344"/>
      <c r="H802" s="203"/>
      <c r="I802" s="203"/>
      <c r="J802" s="203"/>
      <c r="K802" s="203"/>
      <c r="L802" s="203"/>
      <c r="M802" s="203"/>
    </row>
    <row r="803">
      <c r="A803" s="205">
        <v>604.0</v>
      </c>
      <c r="B803" s="344"/>
      <c r="C803" s="344"/>
      <c r="D803" s="344"/>
      <c r="E803" s="344"/>
      <c r="F803" s="344"/>
      <c r="G803" s="344"/>
      <c r="H803" s="203"/>
      <c r="I803" s="203"/>
      <c r="J803" s="203"/>
      <c r="K803" s="203"/>
      <c r="L803" s="203"/>
      <c r="M803" s="203"/>
    </row>
    <row r="804">
      <c r="A804" s="205">
        <v>605.0</v>
      </c>
      <c r="B804" s="344"/>
      <c r="C804" s="344"/>
      <c r="D804" s="344"/>
      <c r="E804" s="344"/>
      <c r="F804" s="344"/>
      <c r="G804" s="344"/>
      <c r="H804" s="203"/>
      <c r="I804" s="203"/>
      <c r="J804" s="203"/>
      <c r="K804" s="203"/>
      <c r="L804" s="203"/>
      <c r="M804" s="203"/>
    </row>
    <row r="805">
      <c r="A805" s="205">
        <v>606.0</v>
      </c>
      <c r="B805" s="344"/>
      <c r="C805" s="344"/>
      <c r="D805" s="344"/>
      <c r="E805" s="344"/>
      <c r="F805" s="344"/>
      <c r="G805" s="344"/>
      <c r="H805" s="203"/>
      <c r="I805" s="203"/>
      <c r="J805" s="203"/>
      <c r="K805" s="203"/>
      <c r="L805" s="203"/>
      <c r="M805" s="203"/>
    </row>
    <row r="806">
      <c r="A806" s="205">
        <v>607.0</v>
      </c>
      <c r="B806" s="344"/>
      <c r="C806" s="344"/>
      <c r="D806" s="344"/>
      <c r="E806" s="344"/>
      <c r="F806" s="344"/>
      <c r="G806" s="344"/>
      <c r="H806" s="203"/>
      <c r="I806" s="203"/>
      <c r="J806" s="203"/>
      <c r="K806" s="203"/>
      <c r="L806" s="203"/>
      <c r="M806" s="203"/>
    </row>
    <row r="807">
      <c r="A807" s="205">
        <v>608.0</v>
      </c>
      <c r="B807" s="344"/>
      <c r="C807" s="344"/>
      <c r="D807" s="344"/>
      <c r="E807" s="344"/>
      <c r="F807" s="344"/>
      <c r="G807" s="344"/>
      <c r="H807" s="203"/>
      <c r="I807" s="203"/>
      <c r="J807" s="203"/>
      <c r="K807" s="203"/>
      <c r="L807" s="203"/>
      <c r="M807" s="203"/>
    </row>
    <row r="808">
      <c r="A808" s="205">
        <v>609.0</v>
      </c>
      <c r="B808" s="344"/>
      <c r="C808" s="344"/>
      <c r="D808" s="344"/>
      <c r="E808" s="344"/>
      <c r="F808" s="344"/>
      <c r="G808" s="344"/>
      <c r="H808" s="203"/>
      <c r="I808" s="203"/>
      <c r="J808" s="203"/>
      <c r="K808" s="203"/>
      <c r="L808" s="203"/>
      <c r="M808" s="203"/>
    </row>
    <row r="809">
      <c r="A809" s="205">
        <v>610.0</v>
      </c>
      <c r="B809" s="344"/>
      <c r="C809" s="344"/>
      <c r="D809" s="344"/>
      <c r="E809" s="344"/>
      <c r="F809" s="344"/>
      <c r="G809" s="344"/>
      <c r="H809" s="203"/>
      <c r="I809" s="203"/>
      <c r="J809" s="203"/>
      <c r="K809" s="203"/>
      <c r="L809" s="203"/>
      <c r="M809" s="203"/>
    </row>
    <row r="810">
      <c r="A810" s="205">
        <v>611.0</v>
      </c>
      <c r="B810" s="344"/>
      <c r="C810" s="344"/>
      <c r="D810" s="344"/>
      <c r="E810" s="344"/>
      <c r="F810" s="344"/>
      <c r="G810" s="344"/>
      <c r="H810" s="203"/>
      <c r="I810" s="203"/>
      <c r="J810" s="203"/>
      <c r="K810" s="203"/>
      <c r="L810" s="203"/>
      <c r="M810" s="203"/>
    </row>
    <row r="811">
      <c r="A811" s="205">
        <v>612.0</v>
      </c>
      <c r="B811" s="344"/>
      <c r="C811" s="344"/>
      <c r="D811" s="344"/>
      <c r="E811" s="344"/>
      <c r="F811" s="344"/>
      <c r="G811" s="344"/>
      <c r="H811" s="203"/>
      <c r="I811" s="203"/>
      <c r="J811" s="203"/>
      <c r="K811" s="203"/>
      <c r="L811" s="203"/>
      <c r="M811" s="203"/>
    </row>
    <row r="812">
      <c r="A812" s="205">
        <v>613.0</v>
      </c>
      <c r="B812" s="344"/>
      <c r="C812" s="344"/>
      <c r="D812" s="344"/>
      <c r="E812" s="344"/>
      <c r="F812" s="344"/>
      <c r="G812" s="344"/>
      <c r="H812" s="203"/>
      <c r="I812" s="203"/>
      <c r="J812" s="203"/>
      <c r="K812" s="203"/>
      <c r="L812" s="203"/>
      <c r="M812" s="203"/>
    </row>
    <row r="813">
      <c r="A813" s="205">
        <v>614.0</v>
      </c>
      <c r="B813" s="344"/>
      <c r="C813" s="344"/>
      <c r="D813" s="344"/>
      <c r="E813" s="344"/>
      <c r="F813" s="344"/>
      <c r="G813" s="344"/>
      <c r="H813" s="203"/>
      <c r="I813" s="203"/>
      <c r="J813" s="203"/>
      <c r="K813" s="203"/>
      <c r="L813" s="203"/>
      <c r="M813" s="203"/>
    </row>
    <row r="814">
      <c r="A814" s="205">
        <v>615.0</v>
      </c>
      <c r="B814" s="344"/>
      <c r="C814" s="344"/>
      <c r="D814" s="344"/>
      <c r="E814" s="344"/>
      <c r="F814" s="344"/>
      <c r="G814" s="344"/>
      <c r="H814" s="203"/>
      <c r="I814" s="203"/>
      <c r="J814" s="203"/>
      <c r="K814" s="203"/>
      <c r="L814" s="203"/>
      <c r="M814" s="203"/>
    </row>
    <row r="815">
      <c r="A815" s="205">
        <v>616.0</v>
      </c>
      <c r="B815" s="344"/>
      <c r="C815" s="344"/>
      <c r="D815" s="344"/>
      <c r="E815" s="344"/>
      <c r="F815" s="344"/>
      <c r="G815" s="344"/>
      <c r="H815" s="203"/>
      <c r="I815" s="203"/>
      <c r="J815" s="203"/>
      <c r="K815" s="203"/>
      <c r="L815" s="203"/>
      <c r="M815" s="203"/>
    </row>
    <row r="816">
      <c r="A816" s="205">
        <v>617.0</v>
      </c>
      <c r="B816" s="344"/>
      <c r="C816" s="344"/>
      <c r="D816" s="344"/>
      <c r="E816" s="344"/>
      <c r="F816" s="344"/>
      <c r="G816" s="344"/>
      <c r="H816" s="203"/>
      <c r="I816" s="203"/>
      <c r="J816" s="203"/>
      <c r="K816" s="203"/>
      <c r="L816" s="203"/>
      <c r="M816" s="203"/>
    </row>
    <row r="817">
      <c r="A817" s="205">
        <v>618.0</v>
      </c>
      <c r="B817" s="344"/>
      <c r="C817" s="344"/>
      <c r="D817" s="344"/>
      <c r="E817" s="344"/>
      <c r="F817" s="344"/>
      <c r="G817" s="344"/>
      <c r="H817" s="203"/>
      <c r="I817" s="203"/>
      <c r="J817" s="203"/>
      <c r="K817" s="203"/>
      <c r="L817" s="203"/>
      <c r="M817" s="203"/>
    </row>
    <row r="818">
      <c r="A818" s="205">
        <v>619.0</v>
      </c>
      <c r="B818" s="344"/>
      <c r="C818" s="344"/>
      <c r="D818" s="344"/>
      <c r="E818" s="344"/>
      <c r="F818" s="344"/>
      <c r="G818" s="344"/>
      <c r="H818" s="203"/>
      <c r="I818" s="203"/>
      <c r="J818" s="203"/>
      <c r="K818" s="203"/>
      <c r="L818" s="203"/>
      <c r="M818" s="203"/>
    </row>
    <row r="819">
      <c r="A819" s="205">
        <v>620.0</v>
      </c>
      <c r="B819" s="344"/>
      <c r="C819" s="344"/>
      <c r="D819" s="344"/>
      <c r="E819" s="344"/>
      <c r="F819" s="344"/>
      <c r="G819" s="344"/>
      <c r="H819" s="203"/>
      <c r="I819" s="203"/>
      <c r="J819" s="203"/>
      <c r="K819" s="203"/>
      <c r="L819" s="203"/>
      <c r="M819" s="203"/>
    </row>
    <row r="820">
      <c r="A820" s="205">
        <v>621.0</v>
      </c>
      <c r="B820" s="344"/>
      <c r="C820" s="344"/>
      <c r="D820" s="344"/>
      <c r="E820" s="344"/>
      <c r="F820" s="344"/>
      <c r="G820" s="344"/>
      <c r="H820" s="203"/>
      <c r="I820" s="203"/>
      <c r="J820" s="203"/>
      <c r="K820" s="203"/>
      <c r="L820" s="203"/>
      <c r="M820" s="203"/>
    </row>
    <row r="821">
      <c r="A821" s="205">
        <v>622.0</v>
      </c>
      <c r="B821" s="344"/>
      <c r="C821" s="344"/>
      <c r="D821" s="344"/>
      <c r="E821" s="344"/>
      <c r="F821" s="344"/>
      <c r="G821" s="344"/>
      <c r="H821" s="203"/>
      <c r="I821" s="203"/>
      <c r="J821" s="203"/>
      <c r="K821" s="203"/>
      <c r="L821" s="203"/>
      <c r="M821" s="203"/>
    </row>
    <row r="822">
      <c r="A822" s="205">
        <v>623.0</v>
      </c>
      <c r="B822" s="344"/>
      <c r="C822" s="344"/>
      <c r="D822" s="344"/>
      <c r="E822" s="344"/>
      <c r="F822" s="344"/>
      <c r="G822" s="344"/>
      <c r="H822" s="203"/>
      <c r="I822" s="203"/>
      <c r="J822" s="203"/>
      <c r="K822" s="203"/>
      <c r="L822" s="203"/>
      <c r="M822" s="203"/>
    </row>
    <row r="823">
      <c r="A823" s="205">
        <v>624.0</v>
      </c>
      <c r="B823" s="344"/>
      <c r="C823" s="344"/>
      <c r="D823" s="344"/>
      <c r="E823" s="344"/>
      <c r="F823" s="344"/>
      <c r="G823" s="344"/>
      <c r="H823" s="203"/>
      <c r="I823" s="203"/>
      <c r="J823" s="203"/>
      <c r="K823" s="203"/>
      <c r="L823" s="203"/>
      <c r="M823" s="203"/>
    </row>
    <row r="824">
      <c r="A824" s="205">
        <v>625.0</v>
      </c>
      <c r="B824" s="344"/>
      <c r="C824" s="344"/>
      <c r="D824" s="344"/>
      <c r="E824" s="344"/>
      <c r="F824" s="344"/>
      <c r="G824" s="344"/>
      <c r="H824" s="203"/>
      <c r="I824" s="203"/>
      <c r="J824" s="203"/>
      <c r="K824" s="203"/>
      <c r="L824" s="203"/>
      <c r="M824" s="203"/>
    </row>
    <row r="825">
      <c r="A825" s="205">
        <v>626.0</v>
      </c>
      <c r="B825" s="344"/>
      <c r="C825" s="344"/>
      <c r="D825" s="344"/>
      <c r="E825" s="344"/>
      <c r="F825" s="344"/>
      <c r="G825" s="344"/>
      <c r="H825" s="203"/>
      <c r="I825" s="203"/>
      <c r="J825" s="203"/>
      <c r="K825" s="203"/>
      <c r="L825" s="203"/>
      <c r="M825" s="203"/>
    </row>
    <row r="826">
      <c r="A826" s="205">
        <v>627.0</v>
      </c>
      <c r="B826" s="344"/>
      <c r="C826" s="344"/>
      <c r="D826" s="344"/>
      <c r="E826" s="344"/>
      <c r="F826" s="344"/>
      <c r="G826" s="344"/>
      <c r="H826" s="203"/>
      <c r="I826" s="203"/>
      <c r="J826" s="203"/>
      <c r="K826" s="203"/>
      <c r="L826" s="203"/>
      <c r="M826" s="203"/>
    </row>
    <row r="827">
      <c r="A827" s="205">
        <v>628.0</v>
      </c>
      <c r="B827" s="344"/>
      <c r="C827" s="344"/>
      <c r="D827" s="344"/>
      <c r="E827" s="344"/>
      <c r="F827" s="344"/>
      <c r="G827" s="344"/>
      <c r="H827" s="203"/>
      <c r="I827" s="203"/>
      <c r="J827" s="203"/>
      <c r="K827" s="203"/>
      <c r="L827" s="203"/>
      <c r="M827" s="203"/>
    </row>
    <row r="828">
      <c r="A828" s="205">
        <v>629.0</v>
      </c>
      <c r="B828" s="344"/>
      <c r="C828" s="344"/>
      <c r="D828" s="344"/>
      <c r="E828" s="344"/>
      <c r="F828" s="344"/>
      <c r="G828" s="344"/>
      <c r="H828" s="203"/>
      <c r="I828" s="203"/>
      <c r="J828" s="203"/>
      <c r="K828" s="203"/>
      <c r="L828" s="203"/>
      <c r="M828" s="203"/>
    </row>
    <row r="829">
      <c r="A829" s="205">
        <v>630.0</v>
      </c>
      <c r="B829" s="344"/>
      <c r="C829" s="344"/>
      <c r="D829" s="344"/>
      <c r="E829" s="344"/>
      <c r="F829" s="344"/>
      <c r="G829" s="344"/>
      <c r="H829" s="203"/>
      <c r="I829" s="203"/>
      <c r="J829" s="203"/>
      <c r="K829" s="203"/>
      <c r="L829" s="203"/>
      <c r="M829" s="203"/>
    </row>
    <row r="830">
      <c r="A830" s="205">
        <v>631.0</v>
      </c>
      <c r="B830" s="344"/>
      <c r="C830" s="344"/>
      <c r="D830" s="344"/>
      <c r="E830" s="344"/>
      <c r="F830" s="344"/>
      <c r="G830" s="344"/>
      <c r="H830" s="203"/>
      <c r="I830" s="203"/>
      <c r="J830" s="203"/>
      <c r="K830" s="203"/>
      <c r="L830" s="203"/>
      <c r="M830" s="203"/>
    </row>
    <row r="831">
      <c r="A831" s="205">
        <v>632.0</v>
      </c>
      <c r="B831" s="344"/>
      <c r="C831" s="344"/>
      <c r="D831" s="344"/>
      <c r="E831" s="344"/>
      <c r="F831" s="344"/>
      <c r="G831" s="344"/>
      <c r="H831" s="203"/>
      <c r="I831" s="203"/>
      <c r="J831" s="203"/>
      <c r="K831" s="203"/>
      <c r="L831" s="203"/>
      <c r="M831" s="203"/>
    </row>
    <row r="832">
      <c r="A832" s="205">
        <v>633.0</v>
      </c>
      <c r="B832" s="344"/>
      <c r="C832" s="344"/>
      <c r="D832" s="344"/>
      <c r="E832" s="344"/>
      <c r="F832" s="344"/>
      <c r="G832" s="344"/>
      <c r="H832" s="203"/>
      <c r="I832" s="203"/>
      <c r="J832" s="203"/>
      <c r="K832" s="203"/>
      <c r="L832" s="203"/>
      <c r="M832" s="203"/>
    </row>
    <row r="833">
      <c r="A833" s="205">
        <v>634.0</v>
      </c>
      <c r="B833" s="344"/>
      <c r="C833" s="344"/>
      <c r="D833" s="344"/>
      <c r="E833" s="344"/>
      <c r="F833" s="344"/>
      <c r="G833" s="344"/>
      <c r="H833" s="203"/>
      <c r="I833" s="203"/>
      <c r="J833" s="203"/>
      <c r="K833" s="203"/>
      <c r="L833" s="203"/>
      <c r="M833" s="203"/>
    </row>
    <row r="834">
      <c r="A834" s="205">
        <v>635.0</v>
      </c>
      <c r="B834" s="344"/>
      <c r="C834" s="344"/>
      <c r="D834" s="344"/>
      <c r="E834" s="344"/>
      <c r="F834" s="344"/>
      <c r="G834" s="344"/>
      <c r="H834" s="203"/>
      <c r="I834" s="203"/>
      <c r="J834" s="203"/>
      <c r="K834" s="203"/>
      <c r="L834" s="203"/>
      <c r="M834" s="203"/>
    </row>
    <row r="835">
      <c r="A835" s="205">
        <v>636.0</v>
      </c>
      <c r="B835" s="344"/>
      <c r="C835" s="344"/>
      <c r="D835" s="344"/>
      <c r="E835" s="344"/>
      <c r="F835" s="344"/>
      <c r="G835" s="344"/>
      <c r="H835" s="203"/>
      <c r="I835" s="203"/>
      <c r="J835" s="203"/>
      <c r="K835" s="203"/>
      <c r="L835" s="203"/>
      <c r="M835" s="203"/>
    </row>
    <row r="836">
      <c r="A836" s="205">
        <v>637.0</v>
      </c>
      <c r="B836" s="344"/>
      <c r="C836" s="344"/>
      <c r="D836" s="344"/>
      <c r="E836" s="344"/>
      <c r="F836" s="344"/>
      <c r="G836" s="344"/>
      <c r="H836" s="203"/>
      <c r="I836" s="203"/>
      <c r="J836" s="203"/>
      <c r="K836" s="203"/>
      <c r="L836" s="203"/>
      <c r="M836" s="203"/>
    </row>
    <row r="837">
      <c r="A837" s="205">
        <v>638.0</v>
      </c>
      <c r="B837" s="344"/>
      <c r="C837" s="344"/>
      <c r="D837" s="344"/>
      <c r="E837" s="344"/>
      <c r="F837" s="344"/>
      <c r="G837" s="344"/>
      <c r="H837" s="203"/>
      <c r="I837" s="203"/>
      <c r="J837" s="203"/>
      <c r="K837" s="203"/>
      <c r="L837" s="203"/>
      <c r="M837" s="203"/>
    </row>
    <row r="838">
      <c r="A838" s="205">
        <v>639.0</v>
      </c>
      <c r="B838" s="344"/>
      <c r="C838" s="344"/>
      <c r="D838" s="344"/>
      <c r="E838" s="344"/>
      <c r="F838" s="344"/>
      <c r="G838" s="344"/>
      <c r="H838" s="203"/>
      <c r="I838" s="203"/>
      <c r="J838" s="203"/>
      <c r="K838" s="203"/>
      <c r="L838" s="203"/>
      <c r="M838" s="203"/>
    </row>
    <row r="839">
      <c r="A839" s="205">
        <v>640.0</v>
      </c>
      <c r="B839" s="344"/>
      <c r="C839" s="344"/>
      <c r="D839" s="344"/>
      <c r="E839" s="344"/>
      <c r="F839" s="344"/>
      <c r="G839" s="344"/>
      <c r="H839" s="203"/>
      <c r="I839" s="203"/>
      <c r="J839" s="203"/>
      <c r="K839" s="203"/>
      <c r="L839" s="203"/>
      <c r="M839" s="203"/>
    </row>
    <row r="840">
      <c r="A840" s="205">
        <v>641.0</v>
      </c>
      <c r="B840" s="344"/>
      <c r="C840" s="344"/>
      <c r="D840" s="344"/>
      <c r="E840" s="344"/>
      <c r="F840" s="344"/>
      <c r="G840" s="344"/>
      <c r="H840" s="203"/>
      <c r="I840" s="203"/>
      <c r="J840" s="203"/>
      <c r="K840" s="203"/>
      <c r="L840" s="203"/>
      <c r="M840" s="203"/>
    </row>
    <row r="841">
      <c r="A841" s="205">
        <v>642.0</v>
      </c>
      <c r="B841" s="344"/>
      <c r="C841" s="344"/>
      <c r="D841" s="344"/>
      <c r="E841" s="344"/>
      <c r="F841" s="344"/>
      <c r="G841" s="344"/>
      <c r="H841" s="203"/>
      <c r="I841" s="203"/>
      <c r="J841" s="203"/>
      <c r="K841" s="203"/>
      <c r="L841" s="203"/>
      <c r="M841" s="203"/>
    </row>
    <row r="842">
      <c r="A842" s="205">
        <v>643.0</v>
      </c>
      <c r="B842" s="344"/>
      <c r="C842" s="344"/>
      <c r="D842" s="344"/>
      <c r="E842" s="344"/>
      <c r="F842" s="344"/>
      <c r="G842" s="344"/>
      <c r="H842" s="203"/>
      <c r="I842" s="203"/>
      <c r="J842" s="203"/>
      <c r="K842" s="203"/>
      <c r="L842" s="203"/>
      <c r="M842" s="203"/>
    </row>
    <row r="843">
      <c r="A843" s="205">
        <v>644.0</v>
      </c>
      <c r="B843" s="344"/>
      <c r="C843" s="344"/>
      <c r="D843" s="344"/>
      <c r="E843" s="344"/>
      <c r="F843" s="344"/>
      <c r="G843" s="344"/>
      <c r="H843" s="203"/>
      <c r="I843" s="203"/>
      <c r="J843" s="203"/>
      <c r="K843" s="203"/>
      <c r="L843" s="203"/>
      <c r="M843" s="203"/>
    </row>
    <row r="844">
      <c r="A844" s="205">
        <v>645.0</v>
      </c>
      <c r="B844" s="344"/>
      <c r="C844" s="344"/>
      <c r="D844" s="344"/>
      <c r="E844" s="344"/>
      <c r="F844" s="344"/>
      <c r="G844" s="344"/>
      <c r="H844" s="203"/>
      <c r="I844" s="203"/>
      <c r="J844" s="203"/>
      <c r="K844" s="203"/>
      <c r="L844" s="203"/>
      <c r="M844" s="203"/>
    </row>
    <row r="845">
      <c r="A845" s="205">
        <v>646.0</v>
      </c>
      <c r="B845" s="344"/>
      <c r="C845" s="344"/>
      <c r="D845" s="344"/>
      <c r="E845" s="344"/>
      <c r="F845" s="344"/>
      <c r="G845" s="344"/>
      <c r="H845" s="203"/>
      <c r="I845" s="203"/>
      <c r="J845" s="203"/>
      <c r="K845" s="203"/>
      <c r="L845" s="203"/>
      <c r="M845" s="203"/>
    </row>
    <row r="846">
      <c r="A846" s="205">
        <v>647.0</v>
      </c>
      <c r="B846" s="344"/>
      <c r="C846" s="344"/>
      <c r="D846" s="344"/>
      <c r="E846" s="344"/>
      <c r="F846" s="344"/>
      <c r="G846" s="344"/>
      <c r="H846" s="203"/>
      <c r="I846" s="203"/>
      <c r="J846" s="203"/>
      <c r="K846" s="203"/>
      <c r="L846" s="203"/>
      <c r="M846" s="203"/>
    </row>
    <row r="847">
      <c r="A847" s="205">
        <v>648.0</v>
      </c>
      <c r="B847" s="344"/>
      <c r="C847" s="344"/>
      <c r="D847" s="344"/>
      <c r="E847" s="344"/>
      <c r="F847" s="344"/>
      <c r="G847" s="344"/>
      <c r="H847" s="203"/>
      <c r="I847" s="203"/>
      <c r="J847" s="203"/>
      <c r="K847" s="203"/>
      <c r="L847" s="203"/>
      <c r="M847" s="203"/>
    </row>
    <row r="848">
      <c r="A848" s="205">
        <v>649.0</v>
      </c>
      <c r="B848" s="344"/>
      <c r="C848" s="344"/>
      <c r="D848" s="344"/>
      <c r="E848" s="344"/>
      <c r="F848" s="344"/>
      <c r="G848" s="344"/>
      <c r="H848" s="203"/>
      <c r="I848" s="203"/>
      <c r="J848" s="203"/>
      <c r="K848" s="203"/>
      <c r="L848" s="203"/>
      <c r="M848" s="203"/>
    </row>
    <row r="849">
      <c r="A849" s="205">
        <v>650.0</v>
      </c>
      <c r="B849" s="344"/>
      <c r="C849" s="344"/>
      <c r="D849" s="344"/>
      <c r="E849" s="344"/>
      <c r="F849" s="344"/>
      <c r="G849" s="344"/>
      <c r="H849" s="203"/>
      <c r="I849" s="203"/>
      <c r="J849" s="203"/>
      <c r="K849" s="203"/>
      <c r="L849" s="203"/>
      <c r="M849" s="203"/>
    </row>
    <row r="850">
      <c r="A850" s="205">
        <v>651.0</v>
      </c>
      <c r="B850" s="344"/>
      <c r="C850" s="344"/>
      <c r="D850" s="344"/>
      <c r="E850" s="344"/>
      <c r="F850" s="344"/>
      <c r="G850" s="344"/>
      <c r="H850" s="203"/>
      <c r="I850" s="203"/>
      <c r="J850" s="203"/>
      <c r="K850" s="203"/>
      <c r="L850" s="203"/>
      <c r="M850" s="203"/>
    </row>
    <row r="851">
      <c r="A851" s="205">
        <v>652.0</v>
      </c>
      <c r="B851" s="344"/>
      <c r="C851" s="344"/>
      <c r="D851" s="344"/>
      <c r="E851" s="344"/>
      <c r="F851" s="344"/>
      <c r="G851" s="344"/>
      <c r="H851" s="203"/>
      <c r="I851" s="203"/>
      <c r="J851" s="203"/>
      <c r="K851" s="203"/>
      <c r="L851" s="203"/>
      <c r="M851" s="203"/>
    </row>
    <row r="852">
      <c r="A852" s="205">
        <v>653.0</v>
      </c>
      <c r="B852" s="344"/>
      <c r="C852" s="344"/>
      <c r="D852" s="344"/>
      <c r="E852" s="344"/>
      <c r="F852" s="344"/>
      <c r="G852" s="344"/>
      <c r="H852" s="203"/>
      <c r="I852" s="203"/>
      <c r="J852" s="203"/>
      <c r="K852" s="203"/>
      <c r="L852" s="203"/>
      <c r="M852" s="203"/>
    </row>
    <row r="853">
      <c r="A853" s="205">
        <v>654.0</v>
      </c>
      <c r="B853" s="344"/>
      <c r="C853" s="344"/>
      <c r="D853" s="344"/>
      <c r="E853" s="344"/>
      <c r="F853" s="344"/>
      <c r="G853" s="344"/>
      <c r="H853" s="203"/>
      <c r="I853" s="203"/>
      <c r="J853" s="203"/>
      <c r="K853" s="203"/>
      <c r="L853" s="203"/>
      <c r="M853" s="203"/>
    </row>
    <row r="854">
      <c r="A854" s="205">
        <v>655.0</v>
      </c>
      <c r="B854" s="344"/>
      <c r="C854" s="344"/>
      <c r="D854" s="344"/>
      <c r="E854" s="344"/>
      <c r="F854" s="344"/>
      <c r="G854" s="344"/>
      <c r="H854" s="203"/>
      <c r="I854" s="203"/>
      <c r="J854" s="203"/>
      <c r="K854" s="203"/>
      <c r="L854" s="203"/>
      <c r="M854" s="203"/>
    </row>
    <row r="855">
      <c r="A855" s="205">
        <v>656.0</v>
      </c>
      <c r="B855" s="344"/>
      <c r="C855" s="344"/>
      <c r="D855" s="344"/>
      <c r="E855" s="344"/>
      <c r="F855" s="344"/>
      <c r="G855" s="344"/>
      <c r="H855" s="203"/>
      <c r="I855" s="203"/>
      <c r="J855" s="203"/>
      <c r="K855" s="203"/>
      <c r="L855" s="203"/>
      <c r="M855" s="203"/>
    </row>
    <row r="856">
      <c r="A856" s="205">
        <v>657.0</v>
      </c>
      <c r="B856" s="344"/>
      <c r="C856" s="344"/>
      <c r="D856" s="344"/>
      <c r="E856" s="344"/>
      <c r="F856" s="344"/>
      <c r="G856" s="344"/>
      <c r="H856" s="203"/>
      <c r="I856" s="203"/>
      <c r="J856" s="203"/>
      <c r="K856" s="203"/>
      <c r="L856" s="203"/>
      <c r="M856" s="203"/>
    </row>
    <row r="857">
      <c r="A857" s="205">
        <v>658.0</v>
      </c>
      <c r="B857" s="344"/>
      <c r="C857" s="344"/>
      <c r="D857" s="344"/>
      <c r="E857" s="344"/>
      <c r="F857" s="344"/>
      <c r="G857" s="344"/>
      <c r="H857" s="203"/>
      <c r="I857" s="203"/>
      <c r="J857" s="203"/>
      <c r="K857" s="203"/>
      <c r="L857" s="203"/>
      <c r="M857" s="203"/>
    </row>
    <row r="858">
      <c r="A858" s="205">
        <v>659.0</v>
      </c>
      <c r="B858" s="344"/>
      <c r="C858" s="344"/>
      <c r="D858" s="344"/>
      <c r="E858" s="344"/>
      <c r="F858" s="344"/>
      <c r="G858" s="344"/>
      <c r="H858" s="203"/>
      <c r="I858" s="203"/>
      <c r="J858" s="203"/>
      <c r="K858" s="203"/>
      <c r="L858" s="203"/>
      <c r="M858" s="203"/>
    </row>
    <row r="859">
      <c r="A859" s="205">
        <v>660.0</v>
      </c>
      <c r="B859" s="344"/>
      <c r="C859" s="344"/>
      <c r="D859" s="344"/>
      <c r="E859" s="344"/>
      <c r="F859" s="344"/>
      <c r="G859" s="344"/>
      <c r="H859" s="203"/>
      <c r="I859" s="203"/>
      <c r="J859" s="203"/>
      <c r="K859" s="203"/>
      <c r="L859" s="203"/>
      <c r="M859" s="203"/>
    </row>
    <row r="860">
      <c r="A860" s="205">
        <v>661.0</v>
      </c>
      <c r="B860" s="344"/>
      <c r="C860" s="344"/>
      <c r="D860" s="344"/>
      <c r="E860" s="344"/>
      <c r="F860" s="344"/>
      <c r="G860" s="344"/>
      <c r="H860" s="203"/>
      <c r="I860" s="203"/>
      <c r="J860" s="203"/>
      <c r="K860" s="203"/>
      <c r="L860" s="203"/>
      <c r="M860" s="203"/>
    </row>
    <row r="861">
      <c r="A861" s="205">
        <v>662.0</v>
      </c>
      <c r="B861" s="344"/>
      <c r="C861" s="344"/>
      <c r="D861" s="344"/>
      <c r="E861" s="344"/>
      <c r="F861" s="344"/>
      <c r="G861" s="344"/>
      <c r="H861" s="203"/>
      <c r="I861" s="203"/>
      <c r="J861" s="203"/>
      <c r="K861" s="203"/>
      <c r="L861" s="203"/>
      <c r="M861" s="203"/>
    </row>
    <row r="862">
      <c r="A862" s="205">
        <v>663.0</v>
      </c>
      <c r="B862" s="344"/>
      <c r="C862" s="344"/>
      <c r="D862" s="344"/>
      <c r="E862" s="344"/>
      <c r="F862" s="344"/>
      <c r="G862" s="344"/>
      <c r="H862" s="203"/>
      <c r="I862" s="203"/>
      <c r="J862" s="203"/>
      <c r="K862" s="203"/>
      <c r="L862" s="203"/>
      <c r="M862" s="203"/>
    </row>
    <row r="863">
      <c r="A863" s="205">
        <v>664.0</v>
      </c>
      <c r="B863" s="344"/>
      <c r="C863" s="344"/>
      <c r="D863" s="344"/>
      <c r="E863" s="344"/>
      <c r="F863" s="344"/>
      <c r="G863" s="344"/>
      <c r="H863" s="203"/>
      <c r="I863" s="203"/>
      <c r="J863" s="203"/>
      <c r="K863" s="203"/>
      <c r="L863" s="203"/>
      <c r="M863" s="203"/>
    </row>
    <row r="864">
      <c r="A864" s="205">
        <v>665.0</v>
      </c>
      <c r="B864" s="344"/>
      <c r="C864" s="344"/>
      <c r="D864" s="344"/>
      <c r="E864" s="344"/>
      <c r="F864" s="344"/>
      <c r="G864" s="344"/>
      <c r="H864" s="203"/>
      <c r="I864" s="203"/>
      <c r="J864" s="203"/>
      <c r="K864" s="203"/>
      <c r="L864" s="203"/>
      <c r="M864" s="203"/>
    </row>
    <row r="865">
      <c r="A865" s="205">
        <v>666.0</v>
      </c>
      <c r="B865" s="344"/>
      <c r="C865" s="344"/>
      <c r="D865" s="344"/>
      <c r="E865" s="344"/>
      <c r="F865" s="344"/>
      <c r="G865" s="344"/>
      <c r="H865" s="203"/>
      <c r="I865" s="203"/>
      <c r="J865" s="203"/>
      <c r="K865" s="203"/>
      <c r="L865" s="203"/>
      <c r="M865" s="203"/>
    </row>
    <row r="866">
      <c r="A866" s="205">
        <v>667.0</v>
      </c>
      <c r="B866" s="344"/>
      <c r="C866" s="344"/>
      <c r="D866" s="344"/>
      <c r="E866" s="344"/>
      <c r="F866" s="344"/>
      <c r="G866" s="344"/>
      <c r="H866" s="203"/>
      <c r="I866" s="203"/>
      <c r="J866" s="203"/>
      <c r="K866" s="203"/>
      <c r="L866" s="203"/>
      <c r="M866" s="203"/>
    </row>
    <row r="867">
      <c r="A867" s="205">
        <v>668.0</v>
      </c>
      <c r="B867" s="344"/>
      <c r="C867" s="344"/>
      <c r="D867" s="344"/>
      <c r="E867" s="344"/>
      <c r="F867" s="344"/>
      <c r="G867" s="344"/>
      <c r="H867" s="203"/>
      <c r="I867" s="203"/>
      <c r="J867" s="203"/>
      <c r="K867" s="203"/>
      <c r="L867" s="203"/>
      <c r="M867" s="203"/>
    </row>
    <row r="868">
      <c r="A868" s="205">
        <v>669.0</v>
      </c>
      <c r="B868" s="344"/>
      <c r="C868" s="344"/>
      <c r="D868" s="344"/>
      <c r="E868" s="344"/>
      <c r="F868" s="344"/>
      <c r="G868" s="344"/>
      <c r="H868" s="203"/>
      <c r="I868" s="203"/>
      <c r="J868" s="203"/>
      <c r="K868" s="203"/>
      <c r="L868" s="203"/>
      <c r="M868" s="203"/>
    </row>
    <row r="869">
      <c r="A869" s="205">
        <v>670.0</v>
      </c>
      <c r="B869" s="344"/>
      <c r="C869" s="344"/>
      <c r="D869" s="344"/>
      <c r="E869" s="344"/>
      <c r="F869" s="344"/>
      <c r="G869" s="344"/>
      <c r="H869" s="203"/>
      <c r="I869" s="203"/>
      <c r="J869" s="203"/>
      <c r="K869" s="203"/>
      <c r="L869" s="203"/>
      <c r="M869" s="203"/>
    </row>
    <row r="870">
      <c r="A870" s="205">
        <v>671.0</v>
      </c>
      <c r="B870" s="344"/>
      <c r="C870" s="344"/>
      <c r="D870" s="344"/>
      <c r="E870" s="344"/>
      <c r="F870" s="344"/>
      <c r="G870" s="344"/>
      <c r="H870" s="203"/>
      <c r="I870" s="203"/>
      <c r="J870" s="203"/>
      <c r="K870" s="203"/>
      <c r="L870" s="203"/>
      <c r="M870" s="203"/>
    </row>
    <row r="871">
      <c r="A871" s="205">
        <v>672.0</v>
      </c>
      <c r="B871" s="344"/>
      <c r="C871" s="344"/>
      <c r="D871" s="344"/>
      <c r="E871" s="344"/>
      <c r="F871" s="344"/>
      <c r="G871" s="344"/>
      <c r="H871" s="203"/>
      <c r="I871" s="203"/>
      <c r="J871" s="203"/>
      <c r="K871" s="203"/>
      <c r="L871" s="203"/>
      <c r="M871" s="203"/>
    </row>
    <row r="872">
      <c r="A872" s="205">
        <v>673.0</v>
      </c>
      <c r="B872" s="344"/>
      <c r="C872" s="344"/>
      <c r="D872" s="344"/>
      <c r="E872" s="344"/>
      <c r="F872" s="344"/>
      <c r="G872" s="344"/>
      <c r="H872" s="203"/>
      <c r="I872" s="203"/>
      <c r="J872" s="203"/>
      <c r="K872" s="203"/>
      <c r="L872" s="203"/>
      <c r="M872" s="203"/>
    </row>
    <row r="873">
      <c r="A873" s="205">
        <v>674.0</v>
      </c>
      <c r="B873" s="344"/>
      <c r="C873" s="344"/>
      <c r="D873" s="344"/>
      <c r="E873" s="344"/>
      <c r="F873" s="344"/>
      <c r="G873" s="344"/>
      <c r="H873" s="203"/>
      <c r="I873" s="203"/>
      <c r="J873" s="203"/>
      <c r="K873" s="203"/>
      <c r="L873" s="203"/>
      <c r="M873" s="203"/>
    </row>
    <row r="874">
      <c r="A874" s="205">
        <v>675.0</v>
      </c>
      <c r="B874" s="344"/>
      <c r="C874" s="344"/>
      <c r="D874" s="344"/>
      <c r="E874" s="344"/>
      <c r="F874" s="344"/>
      <c r="G874" s="344"/>
      <c r="H874" s="203"/>
      <c r="I874" s="203"/>
      <c r="J874" s="203"/>
      <c r="K874" s="203"/>
      <c r="L874" s="203"/>
      <c r="M874" s="203"/>
    </row>
    <row r="875">
      <c r="A875" s="205">
        <v>676.0</v>
      </c>
      <c r="B875" s="344"/>
      <c r="C875" s="344"/>
      <c r="D875" s="344"/>
      <c r="E875" s="344"/>
      <c r="F875" s="344"/>
      <c r="G875" s="344"/>
      <c r="H875" s="203"/>
      <c r="I875" s="203"/>
      <c r="J875" s="203"/>
      <c r="K875" s="203"/>
      <c r="L875" s="203"/>
      <c r="M875" s="203"/>
    </row>
    <row r="876">
      <c r="A876" s="205">
        <v>677.0</v>
      </c>
      <c r="B876" s="344"/>
      <c r="C876" s="344"/>
      <c r="D876" s="344"/>
      <c r="E876" s="344"/>
      <c r="F876" s="344"/>
      <c r="G876" s="344"/>
      <c r="H876" s="203"/>
      <c r="I876" s="203"/>
      <c r="J876" s="203"/>
      <c r="K876" s="203"/>
      <c r="L876" s="203"/>
      <c r="M876" s="203"/>
    </row>
    <row r="877">
      <c r="A877" s="205">
        <v>678.0</v>
      </c>
      <c r="B877" s="344"/>
      <c r="C877" s="344"/>
      <c r="D877" s="344"/>
      <c r="E877" s="344"/>
      <c r="F877" s="344"/>
      <c r="G877" s="344"/>
      <c r="H877" s="203"/>
      <c r="I877" s="203"/>
      <c r="J877" s="203"/>
      <c r="K877" s="203"/>
      <c r="L877" s="203"/>
      <c r="M877" s="203"/>
    </row>
    <row r="878">
      <c r="A878" s="205">
        <v>679.0</v>
      </c>
      <c r="B878" s="344"/>
      <c r="C878" s="344"/>
      <c r="D878" s="344"/>
      <c r="E878" s="344"/>
      <c r="F878" s="344"/>
      <c r="G878" s="344"/>
      <c r="H878" s="203"/>
      <c r="I878" s="203"/>
      <c r="J878" s="203"/>
      <c r="K878" s="203"/>
      <c r="L878" s="203"/>
      <c r="M878" s="203"/>
    </row>
    <row r="879">
      <c r="A879" s="205">
        <v>680.0</v>
      </c>
      <c r="B879" s="344"/>
      <c r="C879" s="344"/>
      <c r="D879" s="344"/>
      <c r="E879" s="344"/>
      <c r="F879" s="344"/>
      <c r="G879" s="344"/>
      <c r="H879" s="203"/>
      <c r="I879" s="203"/>
      <c r="J879" s="203"/>
      <c r="K879" s="203"/>
      <c r="L879" s="203"/>
      <c r="M879" s="203"/>
    </row>
    <row r="880">
      <c r="A880" s="205">
        <v>681.0</v>
      </c>
      <c r="B880" s="344"/>
      <c r="C880" s="344"/>
      <c r="D880" s="344"/>
      <c r="E880" s="344"/>
      <c r="F880" s="344"/>
      <c r="G880" s="344"/>
      <c r="H880" s="203"/>
      <c r="I880" s="203"/>
      <c r="J880" s="203"/>
      <c r="K880" s="203"/>
      <c r="L880" s="203"/>
      <c r="M880" s="203"/>
    </row>
    <row r="881">
      <c r="A881" s="205">
        <v>682.0</v>
      </c>
      <c r="B881" s="344"/>
      <c r="C881" s="344"/>
      <c r="D881" s="344"/>
      <c r="E881" s="344"/>
      <c r="F881" s="344"/>
      <c r="G881" s="344"/>
      <c r="H881" s="203"/>
      <c r="I881" s="203"/>
      <c r="J881" s="203"/>
      <c r="K881" s="203"/>
      <c r="L881" s="203"/>
      <c r="M881" s="203"/>
    </row>
    <row r="882">
      <c r="A882" s="205">
        <v>683.0</v>
      </c>
      <c r="B882" s="344"/>
      <c r="C882" s="344"/>
      <c r="D882" s="344"/>
      <c r="E882" s="344"/>
      <c r="F882" s="344"/>
      <c r="G882" s="344"/>
      <c r="H882" s="203"/>
      <c r="I882" s="203"/>
      <c r="J882" s="203"/>
      <c r="K882" s="203"/>
      <c r="L882" s="203"/>
      <c r="M882" s="203"/>
    </row>
    <row r="883">
      <c r="A883" s="205">
        <v>684.0</v>
      </c>
      <c r="B883" s="344"/>
      <c r="C883" s="344"/>
      <c r="D883" s="344"/>
      <c r="E883" s="344"/>
      <c r="F883" s="344"/>
      <c r="G883" s="344"/>
      <c r="H883" s="203"/>
      <c r="I883" s="203"/>
      <c r="J883" s="203"/>
      <c r="K883" s="203"/>
      <c r="L883" s="203"/>
      <c r="M883" s="203"/>
    </row>
    <row r="884">
      <c r="A884" s="205">
        <v>685.0</v>
      </c>
      <c r="B884" s="344"/>
      <c r="C884" s="344"/>
      <c r="D884" s="344"/>
      <c r="E884" s="344"/>
      <c r="F884" s="344"/>
      <c r="G884" s="344"/>
      <c r="H884" s="203"/>
      <c r="I884" s="203"/>
      <c r="J884" s="203"/>
      <c r="K884" s="203"/>
      <c r="L884" s="203"/>
      <c r="M884" s="203"/>
    </row>
    <row r="885">
      <c r="A885" s="205">
        <v>686.0</v>
      </c>
      <c r="B885" s="344"/>
      <c r="C885" s="344"/>
      <c r="D885" s="344"/>
      <c r="E885" s="344"/>
      <c r="F885" s="344"/>
      <c r="G885" s="344"/>
      <c r="H885" s="203"/>
      <c r="I885" s="203"/>
      <c r="J885" s="203"/>
      <c r="K885" s="203"/>
      <c r="L885" s="203"/>
      <c r="M885" s="203"/>
    </row>
    <row r="886">
      <c r="A886" s="205">
        <v>687.0</v>
      </c>
      <c r="B886" s="344"/>
      <c r="C886" s="344"/>
      <c r="D886" s="344"/>
      <c r="E886" s="344"/>
      <c r="F886" s="344"/>
      <c r="G886" s="344"/>
      <c r="H886" s="203"/>
      <c r="I886" s="203"/>
      <c r="J886" s="203"/>
      <c r="K886" s="203"/>
      <c r="L886" s="203"/>
      <c r="M886" s="203"/>
    </row>
    <row r="887">
      <c r="A887" s="205">
        <v>688.0</v>
      </c>
      <c r="B887" s="344"/>
      <c r="C887" s="344"/>
      <c r="D887" s="344"/>
      <c r="E887" s="344"/>
      <c r="F887" s="344"/>
      <c r="G887" s="344"/>
      <c r="H887" s="203"/>
      <c r="I887" s="203"/>
      <c r="J887" s="203"/>
      <c r="K887" s="203"/>
      <c r="L887" s="203"/>
      <c r="M887" s="203"/>
    </row>
    <row r="888">
      <c r="A888" s="205">
        <v>689.0</v>
      </c>
      <c r="B888" s="344"/>
      <c r="C888" s="344"/>
      <c r="D888" s="344"/>
      <c r="E888" s="344"/>
      <c r="F888" s="344"/>
      <c r="G888" s="344"/>
      <c r="H888" s="203"/>
      <c r="I888" s="203"/>
      <c r="J888" s="203"/>
      <c r="K888" s="203"/>
      <c r="L888" s="203"/>
      <c r="M888" s="203"/>
    </row>
    <row r="889">
      <c r="A889" s="205">
        <v>690.0</v>
      </c>
      <c r="B889" s="344"/>
      <c r="C889" s="344"/>
      <c r="D889" s="344"/>
      <c r="E889" s="344"/>
      <c r="F889" s="344"/>
      <c r="G889" s="344"/>
      <c r="H889" s="203"/>
      <c r="I889" s="203"/>
      <c r="J889" s="203"/>
      <c r="K889" s="203"/>
      <c r="L889" s="203"/>
      <c r="M889" s="203"/>
    </row>
    <row r="890">
      <c r="A890" s="205">
        <v>691.0</v>
      </c>
      <c r="B890" s="344"/>
      <c r="C890" s="344"/>
      <c r="D890" s="344"/>
      <c r="E890" s="344"/>
      <c r="F890" s="344"/>
      <c r="G890" s="344"/>
      <c r="H890" s="203"/>
      <c r="I890" s="203"/>
      <c r="J890" s="203"/>
      <c r="K890" s="203"/>
      <c r="L890" s="203"/>
      <c r="M890" s="203"/>
    </row>
    <row r="891">
      <c r="A891" s="205">
        <v>692.0</v>
      </c>
      <c r="B891" s="344"/>
      <c r="C891" s="344"/>
      <c r="D891" s="344"/>
      <c r="E891" s="344"/>
      <c r="F891" s="344"/>
      <c r="G891" s="344"/>
      <c r="H891" s="203"/>
      <c r="I891" s="203"/>
      <c r="J891" s="203"/>
      <c r="K891" s="203"/>
      <c r="L891" s="203"/>
      <c r="M891" s="203"/>
    </row>
    <row r="892">
      <c r="A892" s="205">
        <v>693.0</v>
      </c>
      <c r="B892" s="344"/>
      <c r="C892" s="344"/>
      <c r="D892" s="344"/>
      <c r="E892" s="344"/>
      <c r="F892" s="344"/>
      <c r="G892" s="344"/>
      <c r="H892" s="203"/>
      <c r="I892" s="203"/>
      <c r="J892" s="203"/>
      <c r="K892" s="203"/>
      <c r="L892" s="203"/>
      <c r="M892" s="203"/>
    </row>
    <row r="893">
      <c r="A893" s="205">
        <v>694.0</v>
      </c>
      <c r="B893" s="344"/>
      <c r="C893" s="344"/>
      <c r="D893" s="344"/>
      <c r="E893" s="344"/>
      <c r="F893" s="344"/>
      <c r="G893" s="344"/>
      <c r="H893" s="203"/>
      <c r="I893" s="203"/>
      <c r="J893" s="203"/>
      <c r="K893" s="203"/>
      <c r="L893" s="203"/>
      <c r="M893" s="203"/>
    </row>
    <row r="894">
      <c r="A894" s="205">
        <v>695.0</v>
      </c>
      <c r="B894" s="344"/>
      <c r="C894" s="344"/>
      <c r="D894" s="344"/>
      <c r="E894" s="344"/>
      <c r="F894" s="344"/>
      <c r="G894" s="344"/>
      <c r="H894" s="203"/>
      <c r="I894" s="203"/>
      <c r="J894" s="203"/>
      <c r="K894" s="203"/>
      <c r="L894" s="203"/>
      <c r="M894" s="203"/>
    </row>
    <row r="895">
      <c r="A895" s="205">
        <v>696.0</v>
      </c>
      <c r="B895" s="345"/>
      <c r="C895" s="345"/>
      <c r="D895" s="345"/>
      <c r="E895" s="345"/>
      <c r="F895" s="345"/>
      <c r="G895" s="345"/>
      <c r="H895" s="203"/>
      <c r="I895" s="203"/>
      <c r="J895" s="203"/>
      <c r="K895" s="203"/>
      <c r="L895" s="203"/>
      <c r="M895" s="203"/>
    </row>
    <row r="896">
      <c r="A896" s="205">
        <v>697.0</v>
      </c>
      <c r="B896" s="345"/>
      <c r="C896" s="345"/>
      <c r="D896" s="345"/>
      <c r="E896" s="345"/>
      <c r="F896" s="345"/>
      <c r="G896" s="345"/>
      <c r="H896" s="203"/>
      <c r="I896" s="203"/>
      <c r="J896" s="203"/>
      <c r="K896" s="203"/>
      <c r="L896" s="203"/>
      <c r="M896" s="203"/>
    </row>
    <row r="897">
      <c r="A897" s="205">
        <v>698.0</v>
      </c>
      <c r="B897" s="345"/>
      <c r="C897" s="345"/>
      <c r="D897" s="345"/>
      <c r="E897" s="345"/>
      <c r="F897" s="345"/>
      <c r="G897" s="345"/>
      <c r="H897" s="203"/>
      <c r="I897" s="203"/>
      <c r="J897" s="203"/>
      <c r="K897" s="203"/>
      <c r="L897" s="203"/>
      <c r="M897" s="203"/>
    </row>
    <row r="898">
      <c r="A898" s="203"/>
      <c r="B898" s="345"/>
      <c r="C898" s="345"/>
      <c r="D898" s="345"/>
      <c r="E898" s="345"/>
      <c r="F898" s="345"/>
      <c r="G898" s="345"/>
      <c r="H898" s="203"/>
      <c r="I898" s="203"/>
      <c r="J898" s="203"/>
      <c r="K898" s="203"/>
      <c r="L898" s="203"/>
      <c r="M898" s="203"/>
    </row>
    <row r="899">
      <c r="A899" s="203"/>
      <c r="B899" s="345"/>
      <c r="C899" s="345"/>
      <c r="D899" s="345"/>
      <c r="E899" s="345"/>
      <c r="F899" s="345"/>
      <c r="G899" s="345"/>
      <c r="H899" s="203"/>
      <c r="I899" s="203"/>
      <c r="J899" s="203"/>
      <c r="K899" s="203"/>
      <c r="L899" s="203"/>
      <c r="M899" s="203"/>
    </row>
    <row r="900">
      <c r="A900" s="203"/>
      <c r="B900" s="345"/>
      <c r="C900" s="345"/>
      <c r="D900" s="345"/>
      <c r="E900" s="345"/>
      <c r="F900" s="345"/>
      <c r="G900" s="345"/>
      <c r="H900" s="203"/>
      <c r="I900" s="203"/>
      <c r="J900" s="203"/>
      <c r="K900" s="203"/>
      <c r="L900" s="203"/>
      <c r="M900" s="203"/>
    </row>
    <row r="901">
      <c r="A901" s="203"/>
      <c r="B901" s="345"/>
      <c r="C901" s="345"/>
      <c r="D901" s="345"/>
      <c r="E901" s="345"/>
      <c r="F901" s="345"/>
      <c r="G901" s="345"/>
      <c r="H901" s="203"/>
      <c r="I901" s="203"/>
      <c r="J901" s="203"/>
      <c r="K901" s="203"/>
      <c r="L901" s="203"/>
      <c r="M901" s="203"/>
    </row>
    <row r="902">
      <c r="A902" s="203"/>
      <c r="B902" s="345"/>
      <c r="C902" s="345"/>
      <c r="D902" s="345"/>
      <c r="E902" s="345"/>
      <c r="F902" s="345"/>
      <c r="G902" s="345"/>
      <c r="H902" s="203"/>
      <c r="I902" s="203"/>
      <c r="J902" s="203"/>
      <c r="K902" s="203"/>
      <c r="L902" s="203"/>
      <c r="M902" s="203"/>
    </row>
    <row r="903">
      <c r="A903" s="203"/>
      <c r="B903" s="345"/>
      <c r="C903" s="345"/>
      <c r="D903" s="345"/>
      <c r="E903" s="345"/>
      <c r="F903" s="345"/>
      <c r="G903" s="345"/>
      <c r="H903" s="203"/>
      <c r="I903" s="203"/>
      <c r="J903" s="203"/>
      <c r="K903" s="203"/>
      <c r="L903" s="203"/>
      <c r="M903" s="203"/>
    </row>
    <row r="904">
      <c r="A904" s="203"/>
      <c r="B904" s="345"/>
      <c r="C904" s="345"/>
      <c r="D904" s="345"/>
      <c r="E904" s="345"/>
      <c r="F904" s="345"/>
      <c r="G904" s="345"/>
      <c r="H904" s="203"/>
      <c r="I904" s="203"/>
      <c r="J904" s="203"/>
      <c r="K904" s="203"/>
      <c r="L904" s="203"/>
      <c r="M904" s="203"/>
    </row>
    <row r="905">
      <c r="A905" s="203"/>
      <c r="B905" s="345"/>
      <c r="C905" s="345"/>
      <c r="D905" s="345"/>
      <c r="E905" s="345"/>
      <c r="F905" s="345"/>
      <c r="G905" s="345"/>
      <c r="H905" s="203"/>
      <c r="I905" s="203"/>
      <c r="J905" s="203"/>
      <c r="K905" s="203"/>
      <c r="L905" s="203"/>
      <c r="M905" s="203"/>
    </row>
    <row r="906">
      <c r="A906" s="203"/>
      <c r="B906" s="345"/>
      <c r="C906" s="345"/>
      <c r="D906" s="345"/>
      <c r="E906" s="345"/>
      <c r="F906" s="345"/>
      <c r="G906" s="345"/>
      <c r="H906" s="203"/>
      <c r="I906" s="203"/>
      <c r="J906" s="203"/>
      <c r="K906" s="203"/>
      <c r="L906" s="203"/>
      <c r="M906" s="203"/>
    </row>
    <row r="907">
      <c r="A907" s="203"/>
      <c r="B907" s="345"/>
      <c r="C907" s="345"/>
      <c r="D907" s="345"/>
      <c r="E907" s="345"/>
      <c r="F907" s="345"/>
      <c r="G907" s="345"/>
      <c r="H907" s="203"/>
      <c r="I907" s="203"/>
      <c r="J907" s="203"/>
      <c r="K907" s="203"/>
      <c r="L907" s="203"/>
      <c r="M907" s="203"/>
    </row>
    <row r="908">
      <c r="A908" s="203"/>
      <c r="B908" s="345"/>
      <c r="C908" s="345"/>
      <c r="D908" s="345"/>
      <c r="E908" s="345"/>
      <c r="F908" s="345"/>
      <c r="G908" s="345"/>
      <c r="H908" s="203"/>
      <c r="I908" s="203"/>
      <c r="J908" s="203"/>
      <c r="K908" s="203"/>
      <c r="L908" s="203"/>
      <c r="M908" s="203"/>
    </row>
    <row r="909">
      <c r="A909" s="203"/>
      <c r="B909" s="345"/>
      <c r="C909" s="345"/>
      <c r="D909" s="345"/>
      <c r="E909" s="345"/>
      <c r="F909" s="345"/>
      <c r="G909" s="345"/>
      <c r="H909" s="203"/>
      <c r="I909" s="203"/>
      <c r="J909" s="203"/>
      <c r="K909" s="203"/>
      <c r="L909" s="203"/>
      <c r="M909" s="203"/>
    </row>
    <row r="910">
      <c r="A910" s="203"/>
      <c r="B910" s="345"/>
      <c r="C910" s="345"/>
      <c r="D910" s="345"/>
      <c r="E910" s="345"/>
      <c r="F910" s="345"/>
      <c r="G910" s="345"/>
      <c r="H910" s="203"/>
      <c r="I910" s="203"/>
      <c r="J910" s="203"/>
      <c r="K910" s="203"/>
      <c r="L910" s="203"/>
      <c r="M910" s="203"/>
    </row>
    <row r="911">
      <c r="A911" s="203"/>
      <c r="B911" s="345"/>
      <c r="C911" s="345"/>
      <c r="D911" s="345"/>
      <c r="E911" s="345"/>
      <c r="F911" s="345"/>
      <c r="G911" s="345"/>
      <c r="H911" s="203"/>
      <c r="I911" s="203"/>
      <c r="J911" s="203"/>
      <c r="K911" s="203"/>
      <c r="L911" s="203"/>
      <c r="M911" s="203"/>
    </row>
    <row r="912">
      <c r="A912" s="203"/>
      <c r="B912" s="345"/>
      <c r="C912" s="345"/>
      <c r="D912" s="345"/>
      <c r="E912" s="345"/>
      <c r="F912" s="345"/>
      <c r="G912" s="345"/>
      <c r="H912" s="203"/>
      <c r="I912" s="203"/>
      <c r="J912" s="203"/>
      <c r="K912" s="203"/>
      <c r="L912" s="203"/>
      <c r="M912" s="203"/>
    </row>
    <row r="913">
      <c r="A913" s="203"/>
      <c r="B913" s="345"/>
      <c r="C913" s="345"/>
      <c r="D913" s="345"/>
      <c r="E913" s="345"/>
      <c r="F913" s="345"/>
      <c r="G913" s="345"/>
      <c r="H913" s="203"/>
      <c r="I913" s="203"/>
      <c r="J913" s="203"/>
      <c r="K913" s="203"/>
      <c r="L913" s="203"/>
      <c r="M913" s="203"/>
    </row>
    <row r="914">
      <c r="A914" s="203"/>
      <c r="B914" s="345"/>
      <c r="C914" s="345"/>
      <c r="D914" s="345"/>
      <c r="E914" s="345"/>
      <c r="F914" s="345"/>
      <c r="G914" s="345"/>
      <c r="H914" s="203"/>
      <c r="I914" s="203"/>
      <c r="J914" s="203"/>
      <c r="K914" s="203"/>
      <c r="L914" s="203"/>
      <c r="M914" s="203"/>
    </row>
    <row r="915">
      <c r="A915" s="203"/>
      <c r="B915" s="345"/>
      <c r="C915" s="345"/>
      <c r="D915" s="345"/>
      <c r="E915" s="345"/>
      <c r="F915" s="345"/>
      <c r="G915" s="345"/>
      <c r="H915" s="203"/>
      <c r="I915" s="203"/>
      <c r="J915" s="203"/>
      <c r="K915" s="203"/>
      <c r="L915" s="203"/>
      <c r="M915" s="203"/>
    </row>
    <row r="916">
      <c r="A916" s="203"/>
      <c r="B916" s="345"/>
      <c r="C916" s="345"/>
      <c r="D916" s="345"/>
      <c r="E916" s="345"/>
      <c r="F916" s="345"/>
      <c r="G916" s="345"/>
      <c r="H916" s="203"/>
      <c r="I916" s="203"/>
      <c r="J916" s="203"/>
      <c r="K916" s="203"/>
      <c r="L916" s="203"/>
      <c r="M916" s="203"/>
    </row>
    <row r="917">
      <c r="A917" s="203"/>
      <c r="B917" s="345"/>
      <c r="C917" s="345"/>
      <c r="D917" s="345"/>
      <c r="E917" s="345"/>
      <c r="F917" s="345"/>
      <c r="G917" s="345"/>
      <c r="H917" s="203"/>
      <c r="I917" s="203"/>
      <c r="J917" s="203"/>
      <c r="K917" s="203"/>
      <c r="L917" s="203"/>
      <c r="M917" s="203"/>
    </row>
    <row r="918">
      <c r="A918" s="203"/>
      <c r="B918" s="345"/>
      <c r="C918" s="345"/>
      <c r="D918" s="345"/>
      <c r="E918" s="345"/>
      <c r="F918" s="345"/>
      <c r="G918" s="345"/>
      <c r="H918" s="203"/>
      <c r="I918" s="203"/>
      <c r="J918" s="203"/>
      <c r="K918" s="203"/>
      <c r="L918" s="203"/>
      <c r="M918" s="203"/>
    </row>
    <row r="919">
      <c r="A919" s="203"/>
      <c r="B919" s="345"/>
      <c r="C919" s="345"/>
      <c r="D919" s="345"/>
      <c r="E919" s="345"/>
      <c r="F919" s="345"/>
      <c r="G919" s="345"/>
      <c r="H919" s="203"/>
      <c r="I919" s="203"/>
      <c r="J919" s="203"/>
      <c r="K919" s="203"/>
      <c r="L919" s="203"/>
      <c r="M919" s="203"/>
    </row>
    <row r="920">
      <c r="A920" s="203"/>
      <c r="B920" s="345"/>
      <c r="C920" s="345"/>
      <c r="D920" s="345"/>
      <c r="E920" s="345"/>
      <c r="F920" s="345"/>
      <c r="G920" s="345"/>
      <c r="H920" s="203"/>
      <c r="I920" s="203"/>
      <c r="J920" s="203"/>
      <c r="K920" s="203"/>
      <c r="L920" s="203"/>
      <c r="M920" s="203"/>
    </row>
    <row r="921">
      <c r="A921" s="203"/>
      <c r="B921" s="345"/>
      <c r="C921" s="345"/>
      <c r="D921" s="345"/>
      <c r="E921" s="345"/>
      <c r="F921" s="345"/>
      <c r="G921" s="345"/>
      <c r="H921" s="203"/>
      <c r="I921" s="203"/>
      <c r="J921" s="203"/>
      <c r="K921" s="203"/>
      <c r="L921" s="203"/>
      <c r="M921" s="203"/>
    </row>
    <row r="922">
      <c r="A922" s="203"/>
      <c r="B922" s="345"/>
      <c r="C922" s="345"/>
      <c r="D922" s="345"/>
      <c r="E922" s="345"/>
      <c r="F922" s="345"/>
      <c r="G922" s="345"/>
      <c r="H922" s="203"/>
      <c r="I922" s="203"/>
      <c r="J922" s="203"/>
      <c r="K922" s="203"/>
      <c r="L922" s="203"/>
      <c r="M922" s="203"/>
    </row>
    <row r="923">
      <c r="A923" s="203"/>
      <c r="B923" s="345"/>
      <c r="C923" s="345"/>
      <c r="D923" s="345"/>
      <c r="E923" s="345"/>
      <c r="F923" s="345"/>
      <c r="G923" s="345"/>
      <c r="H923" s="203"/>
      <c r="I923" s="203"/>
      <c r="J923" s="203"/>
      <c r="K923" s="203"/>
      <c r="L923" s="203"/>
      <c r="M923" s="203"/>
    </row>
    <row r="924">
      <c r="A924" s="203"/>
      <c r="B924" s="345"/>
      <c r="C924" s="345"/>
      <c r="D924" s="345"/>
      <c r="E924" s="345"/>
      <c r="F924" s="345"/>
      <c r="G924" s="345"/>
      <c r="H924" s="203"/>
      <c r="I924" s="203"/>
      <c r="J924" s="203"/>
      <c r="K924" s="203"/>
      <c r="L924" s="203"/>
      <c r="M924" s="203"/>
    </row>
    <row r="925">
      <c r="A925" s="203"/>
      <c r="B925" s="345"/>
      <c r="C925" s="345"/>
      <c r="D925" s="345"/>
      <c r="E925" s="345"/>
      <c r="F925" s="345"/>
      <c r="G925" s="345"/>
      <c r="H925" s="203"/>
      <c r="I925" s="203"/>
      <c r="J925" s="203"/>
      <c r="K925" s="203"/>
      <c r="L925" s="203"/>
      <c r="M925" s="203"/>
    </row>
    <row r="926">
      <c r="A926" s="203"/>
      <c r="B926" s="345"/>
      <c r="C926" s="345"/>
      <c r="D926" s="345"/>
      <c r="E926" s="345"/>
      <c r="F926" s="345"/>
      <c r="G926" s="345"/>
      <c r="H926" s="203"/>
      <c r="I926" s="203"/>
      <c r="J926" s="203"/>
      <c r="K926" s="203"/>
      <c r="L926" s="203"/>
      <c r="M926" s="203"/>
    </row>
    <row r="927">
      <c r="A927" s="203"/>
      <c r="B927" s="345"/>
      <c r="C927" s="345"/>
      <c r="D927" s="345"/>
      <c r="E927" s="345"/>
      <c r="F927" s="345"/>
      <c r="G927" s="345"/>
      <c r="H927" s="203"/>
      <c r="I927" s="203"/>
      <c r="J927" s="203"/>
      <c r="K927" s="203"/>
      <c r="L927" s="203"/>
      <c r="M927" s="203"/>
    </row>
    <row r="928">
      <c r="A928" s="203"/>
      <c r="B928" s="345"/>
      <c r="C928" s="345"/>
      <c r="D928" s="345"/>
      <c r="E928" s="345"/>
      <c r="F928" s="345"/>
      <c r="G928" s="345"/>
      <c r="H928" s="203"/>
      <c r="I928" s="203"/>
      <c r="J928" s="203"/>
      <c r="K928" s="203"/>
      <c r="L928" s="203"/>
      <c r="M928" s="203"/>
    </row>
    <row r="929">
      <c r="A929" s="203"/>
      <c r="B929" s="345"/>
      <c r="C929" s="345"/>
      <c r="D929" s="345"/>
      <c r="E929" s="345"/>
      <c r="F929" s="345"/>
      <c r="G929" s="345"/>
      <c r="H929" s="203"/>
      <c r="I929" s="203"/>
      <c r="J929" s="203"/>
      <c r="K929" s="203"/>
      <c r="L929" s="203"/>
      <c r="M929" s="203"/>
    </row>
    <row r="930">
      <c r="A930" s="203"/>
      <c r="B930" s="345"/>
      <c r="C930" s="345"/>
      <c r="D930" s="345"/>
      <c r="E930" s="345"/>
      <c r="F930" s="345"/>
      <c r="G930" s="345"/>
      <c r="H930" s="203"/>
      <c r="I930" s="203"/>
      <c r="J930" s="203"/>
      <c r="K930" s="203"/>
      <c r="L930" s="203"/>
      <c r="M930" s="203"/>
    </row>
    <row r="931">
      <c r="A931" s="203"/>
      <c r="B931" s="345"/>
      <c r="C931" s="345"/>
      <c r="D931" s="345"/>
      <c r="E931" s="345"/>
      <c r="F931" s="345"/>
      <c r="G931" s="345"/>
      <c r="H931" s="203"/>
      <c r="I931" s="203"/>
      <c r="J931" s="203"/>
      <c r="K931" s="203"/>
      <c r="L931" s="203"/>
      <c r="M931" s="203"/>
    </row>
    <row r="932">
      <c r="A932" s="203"/>
      <c r="B932" s="345"/>
      <c r="C932" s="345"/>
      <c r="D932" s="345"/>
      <c r="E932" s="345"/>
      <c r="F932" s="345"/>
      <c r="G932" s="345"/>
      <c r="H932" s="203"/>
      <c r="I932" s="203"/>
      <c r="J932" s="203"/>
      <c r="K932" s="203"/>
      <c r="L932" s="203"/>
      <c r="M932" s="203"/>
    </row>
    <row r="933">
      <c r="A933" s="203"/>
      <c r="B933" s="345"/>
      <c r="C933" s="345"/>
      <c r="D933" s="345"/>
      <c r="E933" s="345"/>
      <c r="F933" s="345"/>
      <c r="G933" s="345"/>
      <c r="H933" s="203"/>
      <c r="I933" s="203"/>
      <c r="J933" s="203"/>
      <c r="K933" s="203"/>
      <c r="L933" s="203"/>
      <c r="M933" s="203"/>
    </row>
    <row r="934">
      <c r="A934" s="203"/>
      <c r="B934" s="345"/>
      <c r="C934" s="345"/>
      <c r="D934" s="345"/>
      <c r="E934" s="345"/>
      <c r="F934" s="345"/>
      <c r="G934" s="345"/>
      <c r="H934" s="203"/>
      <c r="I934" s="203"/>
      <c r="J934" s="203"/>
      <c r="K934" s="203"/>
      <c r="L934" s="203"/>
      <c r="M934" s="203"/>
    </row>
    <row r="935">
      <c r="A935" s="203"/>
      <c r="B935" s="345"/>
      <c r="C935" s="345"/>
      <c r="D935" s="345"/>
      <c r="E935" s="345"/>
      <c r="F935" s="345"/>
      <c r="G935" s="345"/>
      <c r="H935" s="203"/>
      <c r="I935" s="203"/>
      <c r="J935" s="203"/>
      <c r="K935" s="203"/>
      <c r="L935" s="203"/>
      <c r="M935" s="203"/>
    </row>
    <row r="936">
      <c r="A936" s="203"/>
      <c r="B936" s="345"/>
      <c r="C936" s="345"/>
      <c r="D936" s="345"/>
      <c r="E936" s="345"/>
      <c r="F936" s="345"/>
      <c r="G936" s="345"/>
      <c r="H936" s="203"/>
      <c r="I936" s="203"/>
      <c r="J936" s="203"/>
      <c r="K936" s="203"/>
      <c r="L936" s="203"/>
      <c r="M936" s="203"/>
    </row>
    <row r="937">
      <c r="A937" s="203"/>
      <c r="B937" s="345"/>
      <c r="C937" s="345"/>
      <c r="D937" s="345"/>
      <c r="E937" s="345"/>
      <c r="F937" s="345"/>
      <c r="G937" s="345"/>
      <c r="H937" s="203"/>
      <c r="I937" s="203"/>
      <c r="J937" s="203"/>
      <c r="K937" s="203"/>
      <c r="L937" s="203"/>
      <c r="M937" s="203"/>
    </row>
    <row r="938">
      <c r="A938" s="203"/>
      <c r="B938" s="345"/>
      <c r="C938" s="345"/>
      <c r="D938" s="345"/>
      <c r="E938" s="345"/>
      <c r="F938" s="345"/>
      <c r="G938" s="345"/>
      <c r="H938" s="203"/>
      <c r="I938" s="203"/>
      <c r="J938" s="203"/>
      <c r="K938" s="203"/>
      <c r="L938" s="203"/>
      <c r="M938" s="203"/>
    </row>
    <row r="939">
      <c r="A939" s="203"/>
      <c r="B939" s="345"/>
      <c r="C939" s="345"/>
      <c r="D939" s="345"/>
      <c r="E939" s="345"/>
      <c r="F939" s="345"/>
      <c r="G939" s="345"/>
      <c r="H939" s="203"/>
      <c r="I939" s="203"/>
      <c r="J939" s="203"/>
      <c r="K939" s="203"/>
      <c r="L939" s="203"/>
      <c r="M939" s="203"/>
    </row>
    <row r="940">
      <c r="A940" s="203"/>
      <c r="B940" s="345"/>
      <c r="C940" s="345"/>
      <c r="D940" s="345"/>
      <c r="E940" s="345"/>
      <c r="F940" s="345"/>
      <c r="G940" s="345"/>
      <c r="H940" s="203"/>
      <c r="I940" s="203"/>
      <c r="J940" s="203"/>
      <c r="K940" s="203"/>
      <c r="L940" s="203"/>
      <c r="M940" s="203"/>
    </row>
    <row r="941">
      <c r="A941" s="203"/>
      <c r="B941" s="345"/>
      <c r="C941" s="345"/>
      <c r="D941" s="345"/>
      <c r="E941" s="345"/>
      <c r="F941" s="345"/>
      <c r="G941" s="345"/>
      <c r="H941" s="203"/>
      <c r="I941" s="203"/>
      <c r="J941" s="203"/>
      <c r="K941" s="203"/>
      <c r="L941" s="203"/>
      <c r="M941" s="203"/>
    </row>
    <row r="942">
      <c r="A942" s="203"/>
      <c r="B942" s="345"/>
      <c r="C942" s="345"/>
      <c r="D942" s="345"/>
      <c r="E942" s="345"/>
      <c r="F942" s="345"/>
      <c r="G942" s="345"/>
      <c r="H942" s="203"/>
      <c r="I942" s="203"/>
      <c r="J942" s="203"/>
      <c r="K942" s="203"/>
      <c r="L942" s="203"/>
      <c r="M942" s="203"/>
    </row>
    <row r="943">
      <c r="A943" s="203"/>
      <c r="B943" s="345"/>
      <c r="C943" s="345"/>
      <c r="D943" s="345"/>
      <c r="E943" s="345"/>
      <c r="F943" s="345"/>
      <c r="G943" s="345"/>
      <c r="H943" s="203"/>
      <c r="I943" s="203"/>
      <c r="J943" s="203"/>
      <c r="K943" s="203"/>
      <c r="L943" s="203"/>
      <c r="M943" s="203"/>
    </row>
    <row r="944">
      <c r="A944" s="203"/>
      <c r="B944" s="345"/>
      <c r="C944" s="345"/>
      <c r="D944" s="345"/>
      <c r="E944" s="345"/>
      <c r="F944" s="345"/>
      <c r="G944" s="345"/>
      <c r="H944" s="203"/>
      <c r="I944" s="203"/>
      <c r="J944" s="203"/>
      <c r="K944" s="203"/>
      <c r="L944" s="203"/>
      <c r="M944" s="203"/>
    </row>
    <row r="945">
      <c r="A945" s="203"/>
      <c r="B945" s="345"/>
      <c r="C945" s="345"/>
      <c r="D945" s="345"/>
      <c r="E945" s="345"/>
      <c r="F945" s="345"/>
      <c r="G945" s="345"/>
      <c r="H945" s="203"/>
      <c r="I945" s="203"/>
      <c r="J945" s="203"/>
      <c r="K945" s="203"/>
      <c r="L945" s="203"/>
      <c r="M945" s="203"/>
    </row>
    <row r="946">
      <c r="A946" s="203"/>
      <c r="B946" s="345"/>
      <c r="C946" s="345"/>
      <c r="D946" s="345"/>
      <c r="E946" s="345"/>
      <c r="F946" s="345"/>
      <c r="G946" s="345"/>
      <c r="H946" s="203"/>
      <c r="I946" s="203"/>
      <c r="J946" s="203"/>
      <c r="K946" s="203"/>
      <c r="L946" s="203"/>
      <c r="M946" s="203"/>
    </row>
    <row r="947">
      <c r="A947" s="203"/>
      <c r="B947" s="345"/>
      <c r="C947" s="345"/>
      <c r="D947" s="345"/>
      <c r="E947" s="345"/>
      <c r="F947" s="345"/>
      <c r="G947" s="345"/>
      <c r="H947" s="203"/>
      <c r="I947" s="203"/>
      <c r="J947" s="203"/>
      <c r="K947" s="203"/>
      <c r="L947" s="203"/>
      <c r="M947" s="203"/>
    </row>
    <row r="948">
      <c r="A948" s="203"/>
      <c r="B948" s="345"/>
      <c r="C948" s="345"/>
      <c r="D948" s="345"/>
      <c r="E948" s="345"/>
      <c r="F948" s="345"/>
      <c r="G948" s="345"/>
      <c r="H948" s="203"/>
      <c r="I948" s="203"/>
      <c r="J948" s="203"/>
      <c r="K948" s="203"/>
      <c r="L948" s="203"/>
      <c r="M948" s="203"/>
    </row>
    <row r="949">
      <c r="A949" s="203"/>
      <c r="B949" s="345"/>
      <c r="C949" s="345"/>
      <c r="D949" s="345"/>
      <c r="E949" s="345"/>
      <c r="F949" s="345"/>
      <c r="G949" s="345"/>
      <c r="H949" s="203"/>
      <c r="I949" s="203"/>
      <c r="J949" s="203"/>
      <c r="K949" s="203"/>
      <c r="L949" s="203"/>
      <c r="M949" s="203"/>
    </row>
    <row r="950">
      <c r="A950" s="203"/>
      <c r="B950" s="345"/>
      <c r="C950" s="345"/>
      <c r="D950" s="345"/>
      <c r="E950" s="345"/>
      <c r="F950" s="345"/>
      <c r="G950" s="345"/>
      <c r="H950" s="203"/>
      <c r="I950" s="203"/>
      <c r="J950" s="203"/>
      <c r="K950" s="203"/>
      <c r="L950" s="203"/>
      <c r="M950" s="203"/>
    </row>
    <row r="951">
      <c r="A951" s="203"/>
      <c r="B951" s="345"/>
      <c r="C951" s="345"/>
      <c r="D951" s="345"/>
      <c r="E951" s="345"/>
      <c r="F951" s="345"/>
      <c r="G951" s="345"/>
      <c r="H951" s="203"/>
      <c r="I951" s="203"/>
      <c r="J951" s="203"/>
      <c r="K951" s="203"/>
      <c r="L951" s="203"/>
      <c r="M951" s="203"/>
    </row>
    <row r="952">
      <c r="A952" s="203"/>
      <c r="B952" s="345"/>
      <c r="C952" s="345"/>
      <c r="D952" s="345"/>
      <c r="E952" s="345"/>
      <c r="F952" s="345"/>
      <c r="G952" s="345"/>
      <c r="H952" s="203"/>
      <c r="I952" s="203"/>
      <c r="J952" s="203"/>
      <c r="K952" s="203"/>
      <c r="L952" s="203"/>
      <c r="M952" s="203"/>
    </row>
    <row r="953">
      <c r="A953" s="203"/>
      <c r="B953" s="345"/>
      <c r="C953" s="345"/>
      <c r="D953" s="345"/>
      <c r="E953" s="345"/>
      <c r="F953" s="345"/>
      <c r="G953" s="345"/>
      <c r="H953" s="203"/>
      <c r="I953" s="203"/>
      <c r="J953" s="203"/>
      <c r="K953" s="203"/>
      <c r="L953" s="203"/>
      <c r="M953" s="203"/>
    </row>
    <row r="954">
      <c r="A954" s="203"/>
      <c r="B954" s="345"/>
      <c r="C954" s="345"/>
      <c r="D954" s="345"/>
      <c r="E954" s="345"/>
      <c r="F954" s="345"/>
      <c r="G954" s="345"/>
      <c r="H954" s="203"/>
      <c r="I954" s="203"/>
      <c r="J954" s="203"/>
      <c r="K954" s="203"/>
      <c r="L954" s="203"/>
      <c r="M954" s="203"/>
    </row>
    <row r="955">
      <c r="A955" s="203"/>
      <c r="B955" s="345"/>
      <c r="C955" s="345"/>
      <c r="D955" s="345"/>
      <c r="E955" s="345"/>
      <c r="F955" s="345"/>
      <c r="G955" s="345"/>
      <c r="H955" s="203"/>
      <c r="I955" s="203"/>
      <c r="J955" s="203"/>
      <c r="K955" s="203"/>
      <c r="L955" s="203"/>
      <c r="M955" s="203"/>
    </row>
    <row r="956">
      <c r="A956" s="203"/>
      <c r="B956" s="345"/>
      <c r="C956" s="345"/>
      <c r="D956" s="345"/>
      <c r="E956" s="345"/>
      <c r="F956" s="345"/>
      <c r="G956" s="345"/>
      <c r="H956" s="203"/>
      <c r="I956" s="203"/>
      <c r="J956" s="203"/>
      <c r="K956" s="203"/>
      <c r="L956" s="203"/>
      <c r="M956" s="203"/>
    </row>
    <row r="957">
      <c r="A957" s="203"/>
      <c r="B957" s="345"/>
      <c r="C957" s="345"/>
      <c r="D957" s="345"/>
      <c r="E957" s="345"/>
      <c r="F957" s="345"/>
      <c r="G957" s="345"/>
      <c r="H957" s="203"/>
      <c r="I957" s="203"/>
      <c r="J957" s="203"/>
      <c r="K957" s="203"/>
      <c r="L957" s="203"/>
      <c r="M957" s="203"/>
    </row>
    <row r="958">
      <c r="A958" s="203"/>
      <c r="B958" s="345"/>
      <c r="C958" s="345"/>
      <c r="D958" s="345"/>
      <c r="E958" s="345"/>
      <c r="F958" s="345"/>
      <c r="G958" s="345"/>
      <c r="H958" s="203"/>
      <c r="I958" s="203"/>
      <c r="J958" s="203"/>
      <c r="K958" s="203"/>
      <c r="L958" s="203"/>
      <c r="M958" s="203"/>
    </row>
    <row r="959">
      <c r="A959" s="203"/>
      <c r="B959" s="345"/>
      <c r="C959" s="345"/>
      <c r="D959" s="345"/>
      <c r="E959" s="345"/>
      <c r="F959" s="345"/>
      <c r="G959" s="345"/>
      <c r="H959" s="203"/>
      <c r="I959" s="203"/>
      <c r="J959" s="203"/>
      <c r="K959" s="203"/>
      <c r="L959" s="203"/>
      <c r="M959" s="203"/>
    </row>
    <row r="960">
      <c r="A960" s="203"/>
      <c r="B960" s="345"/>
      <c r="C960" s="345"/>
      <c r="D960" s="345"/>
      <c r="E960" s="345"/>
      <c r="F960" s="345"/>
      <c r="G960" s="345"/>
      <c r="H960" s="203"/>
      <c r="I960" s="203"/>
      <c r="J960" s="203"/>
      <c r="K960" s="203"/>
      <c r="L960" s="203"/>
      <c r="M960" s="203"/>
    </row>
    <row r="961">
      <c r="A961" s="203"/>
      <c r="B961" s="345"/>
      <c r="C961" s="345"/>
      <c r="D961" s="345"/>
      <c r="E961" s="345"/>
      <c r="F961" s="345"/>
      <c r="G961" s="345"/>
      <c r="H961" s="203"/>
      <c r="I961" s="203"/>
      <c r="J961" s="203"/>
      <c r="K961" s="203"/>
      <c r="L961" s="203"/>
      <c r="M961" s="203"/>
    </row>
    <row r="962">
      <c r="A962" s="203"/>
      <c r="B962" s="345"/>
      <c r="C962" s="345"/>
      <c r="D962" s="345"/>
      <c r="E962" s="345"/>
      <c r="F962" s="345"/>
      <c r="G962" s="345"/>
      <c r="H962" s="203"/>
      <c r="I962" s="203"/>
      <c r="J962" s="203"/>
      <c r="K962" s="203"/>
      <c r="L962" s="203"/>
      <c r="M962" s="203"/>
    </row>
    <row r="963">
      <c r="A963" s="203"/>
      <c r="B963" s="345"/>
      <c r="C963" s="345"/>
      <c r="D963" s="345"/>
      <c r="E963" s="345"/>
      <c r="F963" s="345"/>
      <c r="G963" s="345"/>
      <c r="H963" s="203"/>
      <c r="I963" s="203"/>
      <c r="J963" s="203"/>
      <c r="K963" s="203"/>
      <c r="L963" s="203"/>
      <c r="M963" s="203"/>
    </row>
    <row r="964">
      <c r="A964" s="203"/>
      <c r="B964" s="345"/>
      <c r="C964" s="345"/>
      <c r="D964" s="345"/>
      <c r="E964" s="345"/>
      <c r="F964" s="345"/>
      <c r="G964" s="345"/>
      <c r="H964" s="203"/>
      <c r="I964" s="203"/>
      <c r="J964" s="203"/>
      <c r="K964" s="203"/>
      <c r="L964" s="203"/>
      <c r="M964" s="203"/>
    </row>
    <row r="965">
      <c r="A965" s="203"/>
      <c r="B965" s="345"/>
      <c r="C965" s="345"/>
      <c r="D965" s="345"/>
      <c r="E965" s="345"/>
      <c r="F965" s="345"/>
      <c r="G965" s="345"/>
      <c r="H965" s="203"/>
      <c r="I965" s="203"/>
      <c r="J965" s="203"/>
      <c r="K965" s="203"/>
      <c r="L965" s="203"/>
      <c r="M965" s="203"/>
    </row>
    <row r="966">
      <c r="A966" s="203"/>
      <c r="B966" s="345"/>
      <c r="C966" s="345"/>
      <c r="D966" s="345"/>
      <c r="E966" s="345"/>
      <c r="F966" s="345"/>
      <c r="G966" s="345"/>
      <c r="H966" s="203"/>
      <c r="I966" s="203"/>
      <c r="J966" s="203"/>
      <c r="K966" s="203"/>
      <c r="L966" s="203"/>
      <c r="M966" s="203"/>
    </row>
    <row r="967">
      <c r="A967" s="203"/>
      <c r="B967" s="345"/>
      <c r="C967" s="345"/>
      <c r="D967" s="345"/>
      <c r="E967" s="345"/>
      <c r="F967" s="345"/>
      <c r="G967" s="345"/>
      <c r="H967" s="203"/>
      <c r="I967" s="203"/>
      <c r="J967" s="203"/>
      <c r="K967" s="203"/>
      <c r="L967" s="203"/>
      <c r="M967" s="203"/>
    </row>
    <row r="968">
      <c r="A968" s="203"/>
      <c r="B968" s="345"/>
      <c r="C968" s="345"/>
      <c r="D968" s="345"/>
      <c r="E968" s="345"/>
      <c r="F968" s="345"/>
      <c r="G968" s="345"/>
      <c r="H968" s="203"/>
      <c r="I968" s="203"/>
      <c r="J968" s="203"/>
      <c r="K968" s="203"/>
      <c r="L968" s="203"/>
      <c r="M968" s="203"/>
    </row>
    <row r="969">
      <c r="A969" s="203"/>
      <c r="B969" s="345"/>
      <c r="C969" s="345"/>
      <c r="D969" s="345"/>
      <c r="E969" s="345"/>
      <c r="F969" s="345"/>
      <c r="G969" s="345"/>
      <c r="H969" s="203"/>
      <c r="I969" s="203"/>
      <c r="J969" s="203"/>
      <c r="K969" s="203"/>
      <c r="L969" s="203"/>
      <c r="M969" s="203"/>
    </row>
    <row r="970">
      <c r="A970" s="203"/>
      <c r="B970" s="345"/>
      <c r="C970" s="345"/>
      <c r="D970" s="345"/>
      <c r="E970" s="345"/>
      <c r="F970" s="345"/>
      <c r="G970" s="345"/>
      <c r="H970" s="203"/>
      <c r="I970" s="203"/>
      <c r="J970" s="203"/>
      <c r="K970" s="203"/>
      <c r="L970" s="203"/>
      <c r="M970" s="203"/>
    </row>
    <row r="971">
      <c r="A971" s="203"/>
      <c r="B971" s="345"/>
      <c r="C971" s="345"/>
      <c r="D971" s="345"/>
      <c r="E971" s="345"/>
      <c r="F971" s="345"/>
      <c r="G971" s="345"/>
      <c r="H971" s="203"/>
      <c r="I971" s="203"/>
      <c r="J971" s="203"/>
      <c r="K971" s="203"/>
      <c r="L971" s="203"/>
      <c r="M971" s="203"/>
    </row>
    <row r="972">
      <c r="A972" s="203"/>
      <c r="B972" s="345"/>
      <c r="C972" s="345"/>
      <c r="D972" s="345"/>
      <c r="E972" s="345"/>
      <c r="F972" s="345"/>
      <c r="G972" s="345"/>
      <c r="H972" s="203"/>
      <c r="I972" s="203"/>
      <c r="J972" s="203"/>
      <c r="K972" s="203"/>
      <c r="L972" s="203"/>
      <c r="M972" s="203"/>
    </row>
    <row r="973">
      <c r="A973" s="203"/>
      <c r="B973" s="345"/>
      <c r="C973" s="345"/>
      <c r="D973" s="345"/>
      <c r="E973" s="345"/>
      <c r="F973" s="345"/>
      <c r="G973" s="345"/>
      <c r="H973" s="203"/>
      <c r="I973" s="203"/>
      <c r="J973" s="203"/>
      <c r="K973" s="203"/>
      <c r="L973" s="203"/>
      <c r="M973" s="203"/>
    </row>
    <row r="974">
      <c r="A974" s="203"/>
      <c r="B974" s="345"/>
      <c r="C974" s="345"/>
      <c r="D974" s="345"/>
      <c r="E974" s="345"/>
      <c r="F974" s="345"/>
      <c r="G974" s="345"/>
      <c r="H974" s="203"/>
      <c r="I974" s="203"/>
      <c r="J974" s="203"/>
      <c r="K974" s="203"/>
      <c r="L974" s="203"/>
      <c r="M974" s="203"/>
    </row>
    <row r="975">
      <c r="A975" s="203"/>
      <c r="B975" s="345"/>
      <c r="C975" s="345"/>
      <c r="D975" s="345"/>
      <c r="E975" s="345"/>
      <c r="F975" s="345"/>
      <c r="G975" s="345"/>
      <c r="H975" s="203"/>
      <c r="I975" s="203"/>
      <c r="J975" s="203"/>
      <c r="K975" s="203"/>
      <c r="L975" s="203"/>
      <c r="M975" s="203"/>
    </row>
    <row r="976">
      <c r="A976" s="203"/>
      <c r="B976" s="345"/>
      <c r="C976" s="345"/>
      <c r="D976" s="345"/>
      <c r="E976" s="345"/>
      <c r="F976" s="345"/>
      <c r="G976" s="345"/>
      <c r="H976" s="203"/>
      <c r="I976" s="203"/>
      <c r="J976" s="203"/>
      <c r="K976" s="203"/>
      <c r="L976" s="203"/>
      <c r="M976" s="203"/>
    </row>
    <row r="977">
      <c r="A977" s="203"/>
      <c r="B977" s="345"/>
      <c r="C977" s="345"/>
      <c r="D977" s="345"/>
      <c r="E977" s="345"/>
      <c r="F977" s="345"/>
      <c r="G977" s="345"/>
      <c r="H977" s="203"/>
      <c r="I977" s="203"/>
      <c r="J977" s="203"/>
      <c r="K977" s="203"/>
      <c r="L977" s="203"/>
      <c r="M977" s="203"/>
    </row>
    <row r="978">
      <c r="A978" s="203"/>
      <c r="B978" s="345"/>
      <c r="C978" s="345"/>
      <c r="D978" s="345"/>
      <c r="E978" s="345"/>
      <c r="F978" s="345"/>
      <c r="G978" s="345"/>
      <c r="H978" s="203"/>
      <c r="I978" s="203"/>
      <c r="J978" s="203"/>
      <c r="K978" s="203"/>
      <c r="L978" s="203"/>
      <c r="M978" s="203"/>
    </row>
    <row r="979">
      <c r="A979" s="203"/>
      <c r="B979" s="345"/>
      <c r="C979" s="345"/>
      <c r="D979" s="345"/>
      <c r="E979" s="345"/>
      <c r="F979" s="345"/>
      <c r="G979" s="345"/>
      <c r="H979" s="203"/>
      <c r="I979" s="203"/>
      <c r="J979" s="203"/>
      <c r="K979" s="203"/>
      <c r="L979" s="203"/>
      <c r="M979" s="203"/>
    </row>
    <row r="980">
      <c r="A980" s="203"/>
      <c r="B980" s="345"/>
      <c r="C980" s="345"/>
      <c r="D980" s="345"/>
      <c r="E980" s="345"/>
      <c r="F980" s="345"/>
      <c r="G980" s="345"/>
      <c r="H980" s="203"/>
      <c r="I980" s="203"/>
      <c r="J980" s="203"/>
      <c r="K980" s="203"/>
      <c r="L980" s="203"/>
      <c r="M980" s="203"/>
    </row>
    <row r="981">
      <c r="A981" s="203"/>
      <c r="B981" s="345"/>
      <c r="C981" s="345"/>
      <c r="D981" s="345"/>
      <c r="E981" s="345"/>
      <c r="F981" s="345"/>
      <c r="G981" s="345"/>
      <c r="H981" s="203"/>
      <c r="I981" s="203"/>
      <c r="J981" s="203"/>
      <c r="K981" s="203"/>
      <c r="L981" s="203"/>
      <c r="M981" s="203"/>
    </row>
    <row r="982">
      <c r="A982" s="203"/>
      <c r="B982" s="345"/>
      <c r="C982" s="345"/>
      <c r="D982" s="345"/>
      <c r="E982" s="345"/>
      <c r="F982" s="345"/>
      <c r="G982" s="345"/>
      <c r="H982" s="203"/>
      <c r="I982" s="203"/>
      <c r="J982" s="203"/>
      <c r="K982" s="203"/>
      <c r="L982" s="203"/>
      <c r="M982" s="203"/>
    </row>
    <row r="983">
      <c r="A983" s="203"/>
      <c r="B983" s="345"/>
      <c r="C983" s="345"/>
      <c r="D983" s="345"/>
      <c r="E983" s="345"/>
      <c r="F983" s="345"/>
      <c r="G983" s="345"/>
      <c r="H983" s="203"/>
      <c r="I983" s="203"/>
      <c r="J983" s="203"/>
      <c r="K983" s="203"/>
      <c r="L983" s="203"/>
      <c r="M983" s="203"/>
    </row>
    <row r="984">
      <c r="A984" s="203"/>
      <c r="B984" s="345"/>
      <c r="C984" s="345"/>
      <c r="D984" s="345"/>
      <c r="E984" s="345"/>
      <c r="F984" s="345"/>
      <c r="G984" s="345"/>
      <c r="H984" s="203"/>
      <c r="I984" s="203"/>
      <c r="J984" s="203"/>
      <c r="K984" s="203"/>
      <c r="L984" s="203"/>
      <c r="M984" s="203"/>
    </row>
    <row r="985">
      <c r="A985" s="203"/>
      <c r="B985" s="345"/>
      <c r="C985" s="345"/>
      <c r="D985" s="345"/>
      <c r="E985" s="345"/>
      <c r="F985" s="345"/>
      <c r="G985" s="345"/>
      <c r="H985" s="203"/>
      <c r="I985" s="203"/>
      <c r="J985" s="203"/>
      <c r="K985" s="203"/>
      <c r="L985" s="203"/>
      <c r="M985" s="203"/>
    </row>
    <row r="986">
      <c r="A986" s="203"/>
      <c r="B986" s="345"/>
      <c r="C986" s="345"/>
      <c r="D986" s="345"/>
      <c r="E986" s="345"/>
      <c r="F986" s="345"/>
      <c r="G986" s="345"/>
      <c r="H986" s="203"/>
      <c r="I986" s="203"/>
      <c r="J986" s="203"/>
      <c r="K986" s="203"/>
      <c r="L986" s="203"/>
      <c r="M986" s="203"/>
    </row>
    <row r="987">
      <c r="A987" s="203"/>
      <c r="B987" s="345"/>
      <c r="C987" s="345"/>
      <c r="D987" s="345"/>
      <c r="E987" s="345"/>
      <c r="F987" s="345"/>
      <c r="G987" s="345"/>
      <c r="H987" s="203"/>
      <c r="I987" s="203"/>
      <c r="J987" s="203"/>
      <c r="K987" s="203"/>
      <c r="L987" s="203"/>
      <c r="M987" s="203"/>
    </row>
    <row r="988">
      <c r="A988" s="203"/>
      <c r="B988" s="345"/>
      <c r="C988" s="345"/>
      <c r="D988" s="345"/>
      <c r="E988" s="345"/>
      <c r="F988" s="345"/>
      <c r="G988" s="345"/>
      <c r="H988" s="203"/>
      <c r="I988" s="203"/>
      <c r="J988" s="203"/>
      <c r="K988" s="203"/>
      <c r="L988" s="203"/>
      <c r="M988" s="203"/>
    </row>
    <row r="989">
      <c r="A989" s="203"/>
      <c r="B989" s="345"/>
      <c r="C989" s="345"/>
      <c r="D989" s="345"/>
      <c r="E989" s="345"/>
      <c r="F989" s="345"/>
      <c r="G989" s="345"/>
      <c r="H989" s="203"/>
      <c r="I989" s="203"/>
      <c r="J989" s="203"/>
      <c r="K989" s="203"/>
      <c r="L989" s="203"/>
      <c r="M989" s="203"/>
    </row>
    <row r="990">
      <c r="A990" s="203"/>
      <c r="B990" s="345"/>
      <c r="C990" s="345"/>
      <c r="D990" s="345"/>
      <c r="E990" s="345"/>
      <c r="F990" s="345"/>
      <c r="G990" s="345"/>
      <c r="H990" s="203"/>
      <c r="I990" s="203"/>
      <c r="J990" s="203"/>
      <c r="K990" s="203"/>
      <c r="L990" s="203"/>
      <c r="M990" s="203"/>
    </row>
    <row r="991">
      <c r="A991" s="203"/>
      <c r="B991" s="345"/>
      <c r="C991" s="345"/>
      <c r="D991" s="345"/>
      <c r="E991" s="345"/>
      <c r="F991" s="345"/>
      <c r="G991" s="345"/>
      <c r="H991" s="203"/>
      <c r="I991" s="203"/>
      <c r="J991" s="203"/>
      <c r="K991" s="203"/>
      <c r="L991" s="203"/>
      <c r="M991" s="203"/>
    </row>
    <row r="992">
      <c r="A992" s="203"/>
      <c r="B992" s="345"/>
      <c r="C992" s="345"/>
      <c r="D992" s="345"/>
      <c r="E992" s="345"/>
      <c r="F992" s="345"/>
      <c r="G992" s="345"/>
      <c r="H992" s="203"/>
      <c r="I992" s="203"/>
      <c r="J992" s="203"/>
      <c r="K992" s="203"/>
      <c r="L992" s="203"/>
      <c r="M992" s="203"/>
    </row>
    <row r="993">
      <c r="A993" s="203"/>
      <c r="B993" s="345"/>
      <c r="C993" s="345"/>
      <c r="D993" s="345"/>
      <c r="E993" s="345"/>
      <c r="F993" s="345"/>
      <c r="G993" s="345"/>
      <c r="H993" s="203"/>
      <c r="I993" s="203"/>
      <c r="J993" s="203"/>
      <c r="K993" s="203"/>
      <c r="L993" s="203"/>
      <c r="M993" s="203"/>
    </row>
    <row r="994">
      <c r="A994" s="203"/>
      <c r="B994" s="345"/>
      <c r="C994" s="345"/>
      <c r="D994" s="345"/>
      <c r="E994" s="345"/>
      <c r="F994" s="345"/>
      <c r="G994" s="345"/>
      <c r="H994" s="203"/>
      <c r="I994" s="203"/>
      <c r="J994" s="203"/>
      <c r="K994" s="203"/>
      <c r="L994" s="203"/>
      <c r="M994" s="203"/>
    </row>
    <row r="995">
      <c r="A995" s="203"/>
      <c r="B995" s="345"/>
      <c r="C995" s="345"/>
      <c r="D995" s="345"/>
      <c r="E995" s="345"/>
      <c r="F995" s="345"/>
      <c r="G995" s="345"/>
      <c r="H995" s="203"/>
      <c r="I995" s="203"/>
      <c r="J995" s="203"/>
      <c r="K995" s="203"/>
      <c r="L995" s="203"/>
      <c r="M995" s="203"/>
    </row>
    <row r="996">
      <c r="A996" s="203"/>
      <c r="B996" s="345"/>
      <c r="C996" s="345"/>
      <c r="D996" s="345"/>
      <c r="E996" s="345"/>
      <c r="F996" s="345"/>
      <c r="G996" s="345"/>
      <c r="H996" s="203"/>
      <c r="I996" s="203"/>
      <c r="J996" s="203"/>
      <c r="K996" s="203"/>
      <c r="L996" s="203"/>
      <c r="M996" s="203"/>
    </row>
    <row r="997">
      <c r="A997" s="203"/>
      <c r="B997" s="345"/>
      <c r="C997" s="345"/>
      <c r="D997" s="345"/>
      <c r="E997" s="345"/>
      <c r="F997" s="345"/>
      <c r="G997" s="345"/>
      <c r="H997" s="203"/>
      <c r="I997" s="203"/>
      <c r="J997" s="203"/>
      <c r="K997" s="203"/>
      <c r="L997" s="203"/>
      <c r="M997" s="203"/>
    </row>
    <row r="998">
      <c r="A998" s="203"/>
      <c r="B998" s="345"/>
      <c r="C998" s="345"/>
      <c r="D998" s="345"/>
      <c r="E998" s="345"/>
      <c r="F998" s="345"/>
      <c r="G998" s="345"/>
      <c r="H998" s="203"/>
      <c r="I998" s="203"/>
      <c r="J998" s="203"/>
      <c r="K998" s="203"/>
      <c r="L998" s="203"/>
      <c r="M998" s="203"/>
    </row>
    <row r="999">
      <c r="A999" s="203"/>
      <c r="B999" s="345"/>
      <c r="C999" s="345"/>
      <c r="D999" s="345"/>
      <c r="E999" s="345"/>
      <c r="F999" s="345"/>
      <c r="G999" s="345"/>
      <c r="H999" s="203"/>
      <c r="I999" s="203"/>
      <c r="J999" s="203"/>
      <c r="K999" s="203"/>
      <c r="L999" s="203"/>
      <c r="M999" s="203"/>
    </row>
    <row r="1000">
      <c r="A1000" s="203"/>
      <c r="B1000" s="345"/>
      <c r="C1000" s="345"/>
      <c r="D1000" s="345"/>
      <c r="E1000" s="345"/>
      <c r="F1000" s="345"/>
      <c r="G1000" s="345"/>
      <c r="H1000" s="203"/>
      <c r="I1000" s="203"/>
      <c r="J1000" s="203"/>
      <c r="K1000" s="203"/>
      <c r="L1000" s="203"/>
      <c r="M1000" s="203"/>
    </row>
    <row r="1001">
      <c r="A1001" s="203"/>
      <c r="B1001" s="345"/>
      <c r="C1001" s="345"/>
      <c r="D1001" s="345"/>
      <c r="E1001" s="345"/>
      <c r="F1001" s="345"/>
      <c r="G1001" s="345"/>
      <c r="H1001" s="203"/>
      <c r="I1001" s="203"/>
      <c r="J1001" s="203"/>
      <c r="K1001" s="203"/>
      <c r="L1001" s="203"/>
      <c r="M1001" s="203"/>
    </row>
    <row r="1002">
      <c r="A1002" s="203"/>
      <c r="B1002" s="345"/>
      <c r="C1002" s="345"/>
      <c r="D1002" s="345"/>
      <c r="E1002" s="345"/>
      <c r="F1002" s="345"/>
      <c r="G1002" s="345"/>
      <c r="H1002" s="203"/>
      <c r="I1002" s="203"/>
      <c r="J1002" s="203"/>
      <c r="K1002" s="203"/>
      <c r="L1002" s="203"/>
      <c r="M1002" s="203"/>
    </row>
    <row r="1003">
      <c r="A1003" s="203"/>
      <c r="B1003" s="345"/>
      <c r="C1003" s="345"/>
      <c r="D1003" s="345"/>
      <c r="E1003" s="345"/>
      <c r="F1003" s="345"/>
      <c r="G1003" s="345"/>
      <c r="H1003" s="203"/>
      <c r="I1003" s="203"/>
      <c r="J1003" s="203"/>
      <c r="K1003" s="203"/>
      <c r="L1003" s="203"/>
      <c r="M1003" s="203"/>
    </row>
    <row r="1004">
      <c r="A1004" s="203"/>
      <c r="B1004" s="345"/>
      <c r="C1004" s="345"/>
      <c r="D1004" s="345"/>
      <c r="E1004" s="345"/>
      <c r="F1004" s="345"/>
      <c r="G1004" s="345"/>
      <c r="H1004" s="203"/>
      <c r="I1004" s="203"/>
      <c r="J1004" s="203"/>
      <c r="K1004" s="203"/>
      <c r="L1004" s="203"/>
      <c r="M1004" s="203"/>
    </row>
    <row r="1005">
      <c r="A1005" s="203"/>
      <c r="B1005" s="345"/>
      <c r="C1005" s="345"/>
      <c r="D1005" s="345"/>
      <c r="E1005" s="345"/>
      <c r="F1005" s="345"/>
      <c r="G1005" s="345"/>
      <c r="H1005" s="203"/>
      <c r="I1005" s="203"/>
      <c r="J1005" s="203"/>
      <c r="K1005" s="203"/>
      <c r="L1005" s="203"/>
      <c r="M1005" s="203"/>
    </row>
    <row r="1006">
      <c r="A1006" s="203"/>
      <c r="B1006" s="345"/>
      <c r="C1006" s="345"/>
      <c r="D1006" s="345"/>
      <c r="E1006" s="345"/>
      <c r="F1006" s="345"/>
      <c r="G1006" s="345"/>
      <c r="H1006" s="203"/>
      <c r="I1006" s="203"/>
      <c r="J1006" s="203"/>
      <c r="K1006" s="203"/>
      <c r="L1006" s="203"/>
      <c r="M1006" s="203"/>
    </row>
    <row r="1007">
      <c r="A1007" s="203"/>
      <c r="B1007" s="345"/>
      <c r="C1007" s="345"/>
      <c r="D1007" s="345"/>
      <c r="E1007" s="345"/>
      <c r="F1007" s="345"/>
      <c r="G1007" s="345"/>
      <c r="H1007" s="203"/>
      <c r="I1007" s="203"/>
      <c r="J1007" s="203"/>
      <c r="K1007" s="203"/>
      <c r="L1007" s="203"/>
      <c r="M1007" s="203"/>
    </row>
    <row r="1008">
      <c r="A1008" s="203"/>
      <c r="B1008" s="345"/>
      <c r="C1008" s="345"/>
      <c r="D1008" s="345"/>
      <c r="E1008" s="345"/>
      <c r="F1008" s="345"/>
      <c r="G1008" s="345"/>
      <c r="H1008" s="203"/>
      <c r="I1008" s="203"/>
      <c r="J1008" s="203"/>
      <c r="K1008" s="203"/>
      <c r="L1008" s="203"/>
      <c r="M1008" s="203"/>
    </row>
    <row r="1009">
      <c r="A1009" s="203"/>
      <c r="B1009" s="345"/>
      <c r="C1009" s="345"/>
      <c r="D1009" s="345"/>
      <c r="E1009" s="345"/>
      <c r="F1009" s="345"/>
      <c r="G1009" s="345"/>
      <c r="H1009" s="203"/>
      <c r="I1009" s="203"/>
      <c r="J1009" s="203"/>
      <c r="K1009" s="203"/>
      <c r="L1009" s="203"/>
      <c r="M1009" s="203"/>
    </row>
    <row r="1010">
      <c r="A1010" s="203"/>
      <c r="B1010" s="345"/>
      <c r="C1010" s="345"/>
      <c r="D1010" s="345"/>
      <c r="E1010" s="345"/>
      <c r="F1010" s="345"/>
      <c r="G1010" s="345"/>
      <c r="H1010" s="203"/>
      <c r="I1010" s="203"/>
      <c r="J1010" s="203"/>
      <c r="K1010" s="203"/>
      <c r="L1010" s="203"/>
      <c r="M1010" s="203"/>
    </row>
    <row r="1011">
      <c r="A1011" s="203"/>
      <c r="B1011" s="345"/>
      <c r="C1011" s="345"/>
      <c r="D1011" s="345"/>
      <c r="E1011" s="345"/>
      <c r="F1011" s="345"/>
      <c r="G1011" s="345"/>
      <c r="H1011" s="203"/>
      <c r="I1011" s="203"/>
      <c r="J1011" s="203"/>
      <c r="K1011" s="203"/>
      <c r="L1011" s="203"/>
      <c r="M1011" s="203"/>
    </row>
    <row r="1012">
      <c r="A1012" s="203"/>
      <c r="B1012" s="345"/>
      <c r="C1012" s="345"/>
      <c r="D1012" s="345"/>
      <c r="E1012" s="345"/>
      <c r="F1012" s="345"/>
      <c r="G1012" s="345"/>
      <c r="H1012" s="203"/>
      <c r="I1012" s="203"/>
      <c r="J1012" s="203"/>
      <c r="K1012" s="203"/>
      <c r="L1012" s="203"/>
      <c r="M1012" s="203"/>
    </row>
    <row r="1013">
      <c r="A1013" s="203"/>
      <c r="B1013" s="345"/>
      <c r="C1013" s="345"/>
      <c r="D1013" s="345"/>
      <c r="E1013" s="345"/>
      <c r="F1013" s="345"/>
      <c r="G1013" s="345"/>
      <c r="H1013" s="203"/>
      <c r="I1013" s="203"/>
      <c r="J1013" s="203"/>
      <c r="K1013" s="203"/>
      <c r="L1013" s="203"/>
      <c r="M1013" s="203"/>
    </row>
    <row r="1014">
      <c r="A1014" s="203"/>
      <c r="B1014" s="345"/>
      <c r="C1014" s="345"/>
      <c r="D1014" s="345"/>
      <c r="E1014" s="345"/>
      <c r="F1014" s="345"/>
      <c r="G1014" s="345"/>
      <c r="H1014" s="203"/>
      <c r="I1014" s="203"/>
      <c r="J1014" s="203"/>
      <c r="K1014" s="203"/>
      <c r="L1014" s="203"/>
      <c r="M1014" s="203"/>
    </row>
    <row r="1015">
      <c r="A1015" s="203"/>
      <c r="B1015" s="345"/>
      <c r="C1015" s="345"/>
      <c r="D1015" s="345"/>
      <c r="E1015" s="345"/>
      <c r="F1015" s="345"/>
      <c r="G1015" s="345"/>
      <c r="H1015" s="203"/>
      <c r="I1015" s="203"/>
      <c r="J1015" s="203"/>
      <c r="K1015" s="203"/>
      <c r="L1015" s="203"/>
      <c r="M1015" s="203"/>
    </row>
    <row r="1016">
      <c r="A1016" s="203"/>
      <c r="B1016" s="345"/>
      <c r="C1016" s="345"/>
      <c r="D1016" s="345"/>
      <c r="E1016" s="345"/>
      <c r="F1016" s="345"/>
      <c r="G1016" s="345"/>
      <c r="H1016" s="203"/>
      <c r="I1016" s="203"/>
      <c r="J1016" s="203"/>
      <c r="K1016" s="203"/>
      <c r="L1016" s="203"/>
      <c r="M1016" s="203"/>
    </row>
    <row r="1017">
      <c r="A1017" s="203"/>
      <c r="B1017" s="345"/>
      <c r="C1017" s="345"/>
      <c r="D1017" s="345"/>
      <c r="E1017" s="345"/>
      <c r="F1017" s="345"/>
      <c r="G1017" s="345"/>
      <c r="H1017" s="203"/>
      <c r="I1017" s="203"/>
      <c r="J1017" s="203"/>
      <c r="K1017" s="203"/>
      <c r="L1017" s="203"/>
      <c r="M1017" s="203"/>
    </row>
    <row r="1018">
      <c r="A1018" s="203"/>
      <c r="B1018" s="345"/>
      <c r="C1018" s="345"/>
      <c r="D1018" s="345"/>
      <c r="E1018" s="345"/>
      <c r="F1018" s="345"/>
      <c r="G1018" s="345"/>
      <c r="H1018" s="203"/>
      <c r="I1018" s="203"/>
      <c r="J1018" s="203"/>
      <c r="K1018" s="203"/>
      <c r="L1018" s="203"/>
      <c r="M1018" s="203"/>
    </row>
    <row r="1019">
      <c r="A1019" s="203"/>
      <c r="B1019" s="345"/>
      <c r="C1019" s="345"/>
      <c r="D1019" s="345"/>
      <c r="E1019" s="345"/>
      <c r="F1019" s="345"/>
      <c r="G1019" s="345"/>
      <c r="H1019" s="203"/>
      <c r="I1019" s="203"/>
      <c r="J1019" s="203"/>
      <c r="K1019" s="203"/>
      <c r="L1019" s="203"/>
      <c r="M1019" s="203"/>
    </row>
    <row r="1020">
      <c r="A1020" s="203"/>
      <c r="B1020" s="345"/>
      <c r="C1020" s="345"/>
      <c r="D1020" s="345"/>
      <c r="E1020" s="345"/>
      <c r="F1020" s="345"/>
      <c r="G1020" s="345"/>
      <c r="H1020" s="203"/>
      <c r="I1020" s="203"/>
      <c r="J1020" s="203"/>
      <c r="K1020" s="203"/>
      <c r="L1020" s="203"/>
      <c r="M1020" s="203"/>
    </row>
    <row r="1021">
      <c r="A1021" s="203"/>
      <c r="B1021" s="345"/>
      <c r="C1021" s="345"/>
      <c r="D1021" s="345"/>
      <c r="E1021" s="345"/>
      <c r="F1021" s="345"/>
      <c r="G1021" s="345"/>
      <c r="H1021" s="203"/>
      <c r="I1021" s="203"/>
      <c r="J1021" s="203"/>
      <c r="K1021" s="203"/>
      <c r="L1021" s="203"/>
      <c r="M1021" s="203"/>
    </row>
    <row r="1022">
      <c r="A1022" s="203"/>
      <c r="B1022" s="345"/>
      <c r="C1022" s="345"/>
      <c r="D1022" s="345"/>
      <c r="E1022" s="345"/>
      <c r="F1022" s="345"/>
      <c r="G1022" s="345"/>
      <c r="H1022" s="203"/>
      <c r="I1022" s="203"/>
      <c r="J1022" s="203"/>
      <c r="K1022" s="203"/>
      <c r="L1022" s="203"/>
      <c r="M1022" s="203"/>
    </row>
    <row r="1023">
      <c r="A1023" s="203"/>
      <c r="B1023" s="345"/>
      <c r="C1023" s="345"/>
      <c r="D1023" s="345"/>
      <c r="E1023" s="345"/>
      <c r="F1023" s="345"/>
      <c r="G1023" s="345"/>
      <c r="H1023" s="203"/>
      <c r="I1023" s="203"/>
      <c r="J1023" s="203"/>
      <c r="K1023" s="203"/>
      <c r="L1023" s="203"/>
      <c r="M1023" s="203"/>
    </row>
    <row r="1024">
      <c r="A1024" s="203"/>
      <c r="B1024" s="345"/>
      <c r="C1024" s="345"/>
      <c r="D1024" s="345"/>
      <c r="E1024" s="345"/>
      <c r="F1024" s="345"/>
      <c r="G1024" s="345"/>
      <c r="H1024" s="203"/>
      <c r="I1024" s="203"/>
      <c r="J1024" s="203"/>
      <c r="K1024" s="203"/>
      <c r="L1024" s="203"/>
      <c r="M1024" s="203"/>
    </row>
    <row r="1025">
      <c r="A1025" s="203"/>
      <c r="B1025" s="345"/>
      <c r="C1025" s="345"/>
      <c r="D1025" s="345"/>
      <c r="E1025" s="345"/>
      <c r="F1025" s="345"/>
      <c r="G1025" s="345"/>
      <c r="H1025" s="203"/>
      <c r="I1025" s="203"/>
      <c r="J1025" s="203"/>
      <c r="K1025" s="203"/>
      <c r="L1025" s="203"/>
      <c r="M1025" s="203"/>
    </row>
    <row r="1026">
      <c r="A1026" s="203"/>
      <c r="B1026" s="345"/>
      <c r="C1026" s="345"/>
      <c r="D1026" s="345"/>
      <c r="E1026" s="345"/>
      <c r="F1026" s="345"/>
      <c r="G1026" s="345"/>
      <c r="H1026" s="203"/>
      <c r="I1026" s="203"/>
      <c r="J1026" s="203"/>
      <c r="K1026" s="203"/>
      <c r="L1026" s="203"/>
      <c r="M1026" s="203"/>
    </row>
    <row r="1027">
      <c r="A1027" s="203"/>
      <c r="B1027" s="345"/>
      <c r="C1027" s="345"/>
      <c r="D1027" s="345"/>
      <c r="E1027" s="345"/>
      <c r="F1027" s="345"/>
      <c r="G1027" s="345"/>
      <c r="H1027" s="203"/>
      <c r="I1027" s="203"/>
      <c r="J1027" s="203"/>
      <c r="K1027" s="203"/>
      <c r="L1027" s="203"/>
      <c r="M1027" s="203"/>
    </row>
    <row r="1028">
      <c r="A1028" s="203"/>
      <c r="B1028" s="345"/>
      <c r="C1028" s="345"/>
      <c r="D1028" s="345"/>
      <c r="E1028" s="345"/>
      <c r="F1028" s="345"/>
      <c r="G1028" s="345"/>
      <c r="H1028" s="203"/>
      <c r="I1028" s="203"/>
      <c r="J1028" s="203"/>
      <c r="K1028" s="203"/>
      <c r="L1028" s="203"/>
      <c r="M1028" s="203"/>
    </row>
    <row r="1029">
      <c r="A1029" s="203"/>
      <c r="B1029" s="345"/>
      <c r="C1029" s="345"/>
      <c r="D1029" s="345"/>
      <c r="E1029" s="345"/>
      <c r="F1029" s="345"/>
      <c r="G1029" s="345"/>
      <c r="H1029" s="203"/>
      <c r="I1029" s="203"/>
      <c r="J1029" s="203"/>
      <c r="K1029" s="203"/>
      <c r="L1029" s="203"/>
      <c r="M1029" s="203"/>
    </row>
    <row r="1030">
      <c r="A1030" s="203"/>
      <c r="B1030" s="345"/>
      <c r="C1030" s="345"/>
      <c r="D1030" s="345"/>
      <c r="E1030" s="345"/>
      <c r="F1030" s="345"/>
      <c r="G1030" s="345"/>
      <c r="H1030" s="203"/>
      <c r="I1030" s="203"/>
      <c r="J1030" s="203"/>
      <c r="K1030" s="203"/>
      <c r="L1030" s="203"/>
      <c r="M1030" s="203"/>
    </row>
    <row r="1031">
      <c r="A1031" s="203"/>
      <c r="B1031" s="345"/>
      <c r="C1031" s="345"/>
      <c r="D1031" s="345"/>
      <c r="E1031" s="345"/>
      <c r="F1031" s="345"/>
      <c r="G1031" s="345"/>
      <c r="H1031" s="203"/>
      <c r="I1031" s="203"/>
      <c r="J1031" s="203"/>
      <c r="K1031" s="203"/>
      <c r="L1031" s="203"/>
      <c r="M1031" s="203"/>
    </row>
    <row r="1032">
      <c r="A1032" s="203"/>
      <c r="B1032" s="345"/>
      <c r="C1032" s="345"/>
      <c r="D1032" s="345"/>
      <c r="E1032" s="345"/>
      <c r="F1032" s="345"/>
      <c r="G1032" s="345"/>
      <c r="H1032" s="203"/>
      <c r="I1032" s="203"/>
      <c r="J1032" s="203"/>
      <c r="K1032" s="203"/>
      <c r="L1032" s="203"/>
      <c r="M1032" s="203"/>
    </row>
    <row r="1033">
      <c r="A1033" s="203"/>
      <c r="B1033" s="345"/>
      <c r="C1033" s="345"/>
      <c r="D1033" s="345"/>
      <c r="E1033" s="345"/>
      <c r="F1033" s="345"/>
      <c r="G1033" s="345"/>
      <c r="H1033" s="203"/>
      <c r="I1033" s="203"/>
      <c r="J1033" s="203"/>
      <c r="K1033" s="203"/>
      <c r="L1033" s="203"/>
      <c r="M1033" s="203"/>
    </row>
    <row r="1034">
      <c r="A1034" s="203"/>
      <c r="B1034" s="345"/>
      <c r="C1034" s="345"/>
      <c r="D1034" s="345"/>
      <c r="E1034" s="345"/>
      <c r="F1034" s="345"/>
      <c r="G1034" s="345"/>
      <c r="H1034" s="203"/>
      <c r="I1034" s="203"/>
      <c r="J1034" s="203"/>
      <c r="K1034" s="203"/>
      <c r="L1034" s="203"/>
      <c r="M1034" s="203"/>
    </row>
    <row r="1035">
      <c r="A1035" s="203"/>
      <c r="B1035" s="345"/>
      <c r="C1035" s="345"/>
      <c r="D1035" s="345"/>
      <c r="E1035" s="345"/>
      <c r="F1035" s="345"/>
      <c r="G1035" s="345"/>
      <c r="H1035" s="203"/>
      <c r="I1035" s="203"/>
      <c r="J1035" s="203"/>
      <c r="K1035" s="203"/>
      <c r="L1035" s="203"/>
      <c r="M1035" s="203"/>
    </row>
    <row r="1036">
      <c r="A1036" s="203"/>
      <c r="B1036" s="345"/>
      <c r="C1036" s="345"/>
      <c r="D1036" s="345"/>
      <c r="E1036" s="345"/>
      <c r="F1036" s="345"/>
      <c r="G1036" s="345"/>
      <c r="H1036" s="203"/>
      <c r="I1036" s="203"/>
      <c r="J1036" s="203"/>
      <c r="K1036" s="203"/>
      <c r="L1036" s="203"/>
      <c r="M1036" s="203"/>
    </row>
    <row r="1037">
      <c r="A1037" s="203"/>
      <c r="B1037" s="345"/>
      <c r="C1037" s="345"/>
      <c r="D1037" s="345"/>
      <c r="E1037" s="345"/>
      <c r="F1037" s="345"/>
      <c r="G1037" s="345"/>
      <c r="H1037" s="203"/>
      <c r="I1037" s="203"/>
      <c r="J1037" s="203"/>
      <c r="K1037" s="203"/>
      <c r="L1037" s="203"/>
      <c r="M1037" s="203"/>
    </row>
    <row r="1038">
      <c r="A1038" s="203"/>
      <c r="B1038" s="345"/>
      <c r="C1038" s="345"/>
      <c r="D1038" s="345"/>
      <c r="E1038" s="345"/>
      <c r="F1038" s="345"/>
      <c r="G1038" s="345"/>
      <c r="H1038" s="203"/>
      <c r="I1038" s="203"/>
      <c r="J1038" s="203"/>
      <c r="K1038" s="203"/>
      <c r="L1038" s="203"/>
      <c r="M1038" s="203"/>
    </row>
    <row r="1039">
      <c r="A1039" s="203"/>
      <c r="B1039" s="345"/>
      <c r="C1039" s="345"/>
      <c r="D1039" s="345"/>
      <c r="E1039" s="345"/>
      <c r="F1039" s="345"/>
      <c r="G1039" s="345"/>
      <c r="H1039" s="203"/>
      <c r="I1039" s="203"/>
      <c r="J1039" s="203"/>
      <c r="K1039" s="203"/>
      <c r="L1039" s="203"/>
      <c r="M1039" s="203"/>
    </row>
    <row r="1040">
      <c r="A1040" s="203"/>
      <c r="B1040" s="345"/>
      <c r="C1040" s="345"/>
      <c r="D1040" s="345"/>
      <c r="E1040" s="345"/>
      <c r="F1040" s="345"/>
      <c r="G1040" s="345"/>
      <c r="H1040" s="203"/>
      <c r="I1040" s="203"/>
      <c r="J1040" s="203"/>
      <c r="K1040" s="203"/>
      <c r="L1040" s="203"/>
      <c r="M1040" s="203"/>
    </row>
    <row r="1041">
      <c r="A1041" s="203"/>
      <c r="B1041" s="345"/>
      <c r="C1041" s="345"/>
      <c r="D1041" s="345"/>
      <c r="E1041" s="345"/>
      <c r="F1041" s="345"/>
      <c r="G1041" s="345"/>
      <c r="H1041" s="203"/>
      <c r="I1041" s="203"/>
      <c r="J1041" s="203"/>
      <c r="K1041" s="203"/>
      <c r="L1041" s="203"/>
      <c r="M1041" s="203"/>
    </row>
    <row r="1042">
      <c r="A1042" s="203"/>
      <c r="B1042" s="345"/>
      <c r="C1042" s="345"/>
      <c r="D1042" s="345"/>
      <c r="E1042" s="345"/>
      <c r="F1042" s="345"/>
      <c r="G1042" s="345"/>
      <c r="H1042" s="203"/>
      <c r="I1042" s="203"/>
      <c r="J1042" s="203"/>
      <c r="K1042" s="203"/>
      <c r="L1042" s="203"/>
      <c r="M1042" s="203"/>
    </row>
    <row r="1043">
      <c r="A1043" s="203"/>
      <c r="B1043" s="345"/>
      <c r="C1043" s="345"/>
      <c r="D1043" s="345"/>
      <c r="E1043" s="345"/>
      <c r="F1043" s="345"/>
      <c r="G1043" s="345"/>
      <c r="H1043" s="203"/>
      <c r="I1043" s="203"/>
      <c r="J1043" s="203"/>
      <c r="K1043" s="203"/>
      <c r="L1043" s="203"/>
      <c r="M1043" s="203"/>
    </row>
    <row r="1044">
      <c r="A1044" s="203"/>
      <c r="B1044" s="345"/>
      <c r="C1044" s="345"/>
      <c r="D1044" s="345"/>
      <c r="E1044" s="345"/>
      <c r="F1044" s="345"/>
      <c r="G1044" s="345"/>
      <c r="H1044" s="203"/>
      <c r="I1044" s="203"/>
      <c r="J1044" s="203"/>
      <c r="K1044" s="203"/>
      <c r="L1044" s="203"/>
      <c r="M1044" s="203"/>
    </row>
    <row r="1045">
      <c r="A1045" s="203"/>
      <c r="B1045" s="345"/>
      <c r="C1045" s="345"/>
      <c r="D1045" s="345"/>
      <c r="E1045" s="345"/>
      <c r="F1045" s="345"/>
      <c r="G1045" s="345"/>
      <c r="H1045" s="203"/>
      <c r="I1045" s="203"/>
      <c r="J1045" s="203"/>
      <c r="K1045" s="203"/>
      <c r="L1045" s="203"/>
      <c r="M1045" s="203"/>
    </row>
    <row r="1046">
      <c r="A1046" s="203"/>
      <c r="B1046" s="345"/>
      <c r="C1046" s="345"/>
      <c r="D1046" s="345"/>
      <c r="E1046" s="345"/>
      <c r="F1046" s="345"/>
      <c r="G1046" s="345"/>
      <c r="H1046" s="203"/>
      <c r="I1046" s="203"/>
      <c r="J1046" s="203"/>
      <c r="K1046" s="203"/>
      <c r="L1046" s="203"/>
      <c r="M1046" s="203"/>
    </row>
    <row r="1047">
      <c r="A1047" s="203"/>
      <c r="B1047" s="345"/>
      <c r="C1047" s="345"/>
      <c r="D1047" s="345"/>
      <c r="E1047" s="345"/>
      <c r="F1047" s="345"/>
      <c r="G1047" s="345"/>
      <c r="H1047" s="203"/>
      <c r="I1047" s="203"/>
      <c r="J1047" s="203"/>
      <c r="K1047" s="203"/>
      <c r="L1047" s="203"/>
      <c r="M1047" s="203"/>
    </row>
    <row r="1048">
      <c r="A1048" s="203"/>
      <c r="B1048" s="345"/>
      <c r="C1048" s="345"/>
      <c r="D1048" s="345"/>
      <c r="E1048" s="345"/>
      <c r="F1048" s="345"/>
      <c r="G1048" s="345"/>
      <c r="H1048" s="203"/>
      <c r="I1048" s="203"/>
      <c r="J1048" s="203"/>
      <c r="K1048" s="203"/>
      <c r="L1048" s="203"/>
      <c r="M1048" s="203"/>
    </row>
    <row r="1049">
      <c r="A1049" s="203"/>
      <c r="B1049" s="345"/>
      <c r="C1049" s="345"/>
      <c r="D1049" s="345"/>
      <c r="E1049" s="345"/>
      <c r="F1049" s="345"/>
      <c r="G1049" s="345"/>
      <c r="H1049" s="203"/>
      <c r="I1049" s="203"/>
      <c r="J1049" s="203"/>
      <c r="K1049" s="203"/>
      <c r="L1049" s="203"/>
      <c r="M1049" s="203"/>
    </row>
    <row r="1050">
      <c r="A1050" s="203"/>
      <c r="B1050" s="345"/>
      <c r="C1050" s="345"/>
      <c r="D1050" s="345"/>
      <c r="E1050" s="345"/>
      <c r="F1050" s="345"/>
      <c r="G1050" s="345"/>
      <c r="H1050" s="203"/>
      <c r="I1050" s="203"/>
      <c r="J1050" s="203"/>
      <c r="K1050" s="203"/>
      <c r="L1050" s="203"/>
      <c r="M1050" s="203"/>
    </row>
    <row r="1051">
      <c r="A1051" s="203"/>
      <c r="B1051" s="345"/>
      <c r="C1051" s="345"/>
      <c r="D1051" s="345"/>
      <c r="E1051" s="345"/>
      <c r="F1051" s="345"/>
      <c r="G1051" s="345"/>
      <c r="H1051" s="203"/>
      <c r="I1051" s="203"/>
      <c r="J1051" s="203"/>
      <c r="K1051" s="203"/>
      <c r="L1051" s="203"/>
      <c r="M1051" s="203"/>
    </row>
    <row r="1052">
      <c r="A1052" s="203"/>
      <c r="B1052" s="345"/>
      <c r="C1052" s="345"/>
      <c r="D1052" s="345"/>
      <c r="E1052" s="345"/>
      <c r="F1052" s="345"/>
      <c r="G1052" s="345"/>
      <c r="H1052" s="203"/>
      <c r="I1052" s="203"/>
      <c r="J1052" s="203"/>
      <c r="K1052" s="203"/>
      <c r="L1052" s="203"/>
      <c r="M1052" s="203"/>
    </row>
    <row r="1053">
      <c r="A1053" s="203"/>
      <c r="B1053" s="345"/>
      <c r="C1053" s="345"/>
      <c r="D1053" s="345"/>
      <c r="E1053" s="345"/>
      <c r="F1053" s="345"/>
      <c r="G1053" s="345"/>
      <c r="H1053" s="203"/>
      <c r="I1053" s="203"/>
      <c r="J1053" s="203"/>
      <c r="K1053" s="203"/>
      <c r="L1053" s="203"/>
      <c r="M1053" s="203"/>
    </row>
    <row r="1054">
      <c r="A1054" s="203"/>
      <c r="B1054" s="345"/>
      <c r="C1054" s="345"/>
      <c r="D1054" s="345"/>
      <c r="E1054" s="345"/>
      <c r="F1054" s="345"/>
      <c r="G1054" s="345"/>
      <c r="H1054" s="203"/>
      <c r="I1054" s="203"/>
      <c r="J1054" s="203"/>
      <c r="K1054" s="203"/>
      <c r="L1054" s="203"/>
      <c r="M1054" s="203"/>
    </row>
    <row r="1055">
      <c r="A1055" s="203"/>
      <c r="B1055" s="345"/>
      <c r="C1055" s="345"/>
      <c r="D1055" s="345"/>
      <c r="E1055" s="345"/>
      <c r="F1055" s="345"/>
      <c r="G1055" s="345"/>
      <c r="H1055" s="203"/>
      <c r="I1055" s="203"/>
      <c r="J1055" s="203"/>
      <c r="K1055" s="203"/>
      <c r="L1055" s="203"/>
      <c r="M1055" s="203"/>
    </row>
    <row r="1056">
      <c r="A1056" s="203"/>
      <c r="B1056" s="345"/>
      <c r="C1056" s="345"/>
      <c r="D1056" s="345"/>
      <c r="E1056" s="345"/>
      <c r="F1056" s="345"/>
      <c r="G1056" s="345"/>
      <c r="H1056" s="203"/>
      <c r="I1056" s="203"/>
      <c r="J1056" s="203"/>
      <c r="K1056" s="203"/>
      <c r="L1056" s="203"/>
      <c r="M1056" s="203"/>
    </row>
    <row r="1057">
      <c r="A1057" s="203"/>
      <c r="B1057" s="345"/>
      <c r="C1057" s="345"/>
      <c r="D1057" s="345"/>
      <c r="E1057" s="345"/>
      <c r="F1057" s="345"/>
      <c r="G1057" s="345"/>
      <c r="H1057" s="203"/>
      <c r="I1057" s="203"/>
      <c r="J1057" s="203"/>
      <c r="K1057" s="203"/>
      <c r="L1057" s="203"/>
      <c r="M1057" s="203"/>
    </row>
    <row r="1058">
      <c r="A1058" s="203"/>
      <c r="B1058" s="345"/>
      <c r="C1058" s="345"/>
      <c r="D1058" s="345"/>
      <c r="E1058" s="345"/>
      <c r="F1058" s="345"/>
      <c r="G1058" s="345"/>
      <c r="H1058" s="203"/>
      <c r="I1058" s="203"/>
      <c r="J1058" s="203"/>
      <c r="K1058" s="203"/>
      <c r="L1058" s="203"/>
      <c r="M1058" s="203"/>
    </row>
    <row r="1059">
      <c r="A1059" s="203"/>
      <c r="B1059" s="345"/>
      <c r="C1059" s="345"/>
      <c r="D1059" s="345"/>
      <c r="E1059" s="345"/>
      <c r="F1059" s="345"/>
      <c r="G1059" s="345"/>
      <c r="H1059" s="203"/>
      <c r="I1059" s="203"/>
      <c r="J1059" s="203"/>
      <c r="K1059" s="203"/>
      <c r="L1059" s="203"/>
      <c r="M1059" s="203"/>
    </row>
    <row r="1060">
      <c r="A1060" s="203"/>
      <c r="B1060" s="345"/>
      <c r="C1060" s="345"/>
      <c r="D1060" s="345"/>
      <c r="E1060" s="345"/>
      <c r="F1060" s="345"/>
      <c r="G1060" s="345"/>
      <c r="H1060" s="203"/>
      <c r="I1060" s="203"/>
      <c r="J1060" s="203"/>
      <c r="K1060" s="203"/>
      <c r="L1060" s="203"/>
      <c r="M1060" s="203"/>
    </row>
    <row r="1061">
      <c r="A1061" s="203"/>
      <c r="B1061" s="345"/>
      <c r="C1061" s="345"/>
      <c r="D1061" s="345"/>
      <c r="E1061" s="345"/>
      <c r="F1061" s="345"/>
      <c r="G1061" s="345"/>
      <c r="H1061" s="203"/>
      <c r="I1061" s="203"/>
      <c r="J1061" s="203"/>
      <c r="K1061" s="203"/>
      <c r="L1061" s="203"/>
      <c r="M1061" s="203"/>
    </row>
    <row r="1062">
      <c r="A1062" s="203"/>
      <c r="B1062" s="345"/>
      <c r="C1062" s="345"/>
      <c r="D1062" s="345"/>
      <c r="E1062" s="345"/>
      <c r="F1062" s="345"/>
      <c r="G1062" s="345"/>
      <c r="H1062" s="203"/>
      <c r="I1062" s="203"/>
      <c r="J1062" s="203"/>
      <c r="K1062" s="203"/>
      <c r="L1062" s="203"/>
      <c r="M1062" s="203"/>
    </row>
    <row r="1063">
      <c r="A1063" s="203"/>
      <c r="B1063" s="345"/>
      <c r="C1063" s="345"/>
      <c r="D1063" s="345"/>
      <c r="E1063" s="345"/>
      <c r="F1063" s="345"/>
      <c r="G1063" s="345"/>
      <c r="H1063" s="203"/>
      <c r="I1063" s="203"/>
      <c r="J1063" s="203"/>
      <c r="K1063" s="203"/>
      <c r="L1063" s="203"/>
      <c r="M1063" s="203"/>
    </row>
    <row r="1064">
      <c r="A1064" s="203"/>
      <c r="B1064" s="345"/>
      <c r="C1064" s="345"/>
      <c r="D1064" s="345"/>
      <c r="E1064" s="345"/>
      <c r="F1064" s="345"/>
      <c r="G1064" s="345"/>
      <c r="H1064" s="203"/>
      <c r="I1064" s="203"/>
      <c r="J1064" s="203"/>
      <c r="K1064" s="203"/>
      <c r="L1064" s="203"/>
      <c r="M1064" s="203"/>
    </row>
    <row r="1065">
      <c r="A1065" s="203"/>
      <c r="B1065" s="345"/>
      <c r="C1065" s="345"/>
      <c r="D1065" s="345"/>
      <c r="E1065" s="345"/>
      <c r="F1065" s="345"/>
      <c r="G1065" s="345"/>
      <c r="H1065" s="203"/>
      <c r="I1065" s="203"/>
      <c r="J1065" s="203"/>
      <c r="K1065" s="203"/>
      <c r="L1065" s="203"/>
      <c r="M1065" s="203"/>
    </row>
    <row r="1066">
      <c r="A1066" s="203"/>
      <c r="B1066" s="345"/>
      <c r="C1066" s="345"/>
      <c r="D1066" s="345"/>
      <c r="E1066" s="345"/>
      <c r="F1066" s="345"/>
      <c r="G1066" s="345"/>
      <c r="H1066" s="203"/>
      <c r="I1066" s="203"/>
      <c r="J1066" s="203"/>
      <c r="K1066" s="203"/>
      <c r="L1066" s="203"/>
      <c r="M1066" s="203"/>
    </row>
    <row r="1067">
      <c r="A1067" s="203"/>
      <c r="B1067" s="345"/>
      <c r="C1067" s="345"/>
      <c r="D1067" s="345"/>
      <c r="E1067" s="345"/>
      <c r="F1067" s="345"/>
      <c r="G1067" s="345"/>
      <c r="H1067" s="203"/>
      <c r="I1067" s="203"/>
      <c r="J1067" s="203"/>
      <c r="K1067" s="203"/>
      <c r="L1067" s="203"/>
      <c r="M1067" s="203"/>
    </row>
    <row r="1068">
      <c r="A1068" s="203"/>
      <c r="B1068" s="345"/>
      <c r="C1068" s="345"/>
      <c r="D1068" s="345"/>
      <c r="E1068" s="345"/>
      <c r="F1068" s="345"/>
      <c r="G1068" s="345"/>
      <c r="H1068" s="203"/>
      <c r="I1068" s="203"/>
      <c r="J1068" s="203"/>
      <c r="K1068" s="203"/>
      <c r="L1068" s="203"/>
      <c r="M1068" s="203"/>
    </row>
    <row r="1069">
      <c r="A1069" s="203"/>
      <c r="B1069" s="345"/>
      <c r="C1069" s="345"/>
      <c r="D1069" s="345"/>
      <c r="E1069" s="345"/>
      <c r="F1069" s="345"/>
      <c r="G1069" s="345"/>
      <c r="H1069" s="203"/>
      <c r="I1069" s="203"/>
      <c r="J1069" s="203"/>
      <c r="K1069" s="203"/>
      <c r="L1069" s="203"/>
      <c r="M1069" s="203"/>
    </row>
    <row r="1070">
      <c r="A1070" s="203"/>
      <c r="B1070" s="345"/>
      <c r="C1070" s="345"/>
      <c r="D1070" s="345"/>
      <c r="E1070" s="345"/>
      <c r="F1070" s="345"/>
      <c r="G1070" s="345"/>
      <c r="H1070" s="203"/>
      <c r="I1070" s="203"/>
      <c r="J1070" s="203"/>
      <c r="K1070" s="203"/>
      <c r="L1070" s="203"/>
      <c r="M1070" s="203"/>
    </row>
    <row r="1071">
      <c r="A1071" s="203"/>
      <c r="B1071" s="345"/>
      <c r="C1071" s="345"/>
      <c r="D1071" s="345"/>
      <c r="E1071" s="345"/>
      <c r="F1071" s="345"/>
      <c r="G1071" s="345"/>
      <c r="H1071" s="203"/>
      <c r="I1071" s="203"/>
      <c r="J1071" s="203"/>
      <c r="K1071" s="203"/>
      <c r="L1071" s="203"/>
      <c r="M1071" s="203"/>
    </row>
    <row r="1072">
      <c r="A1072" s="203"/>
      <c r="B1072" s="345"/>
      <c r="C1072" s="345"/>
      <c r="D1072" s="345"/>
      <c r="E1072" s="345"/>
      <c r="F1072" s="345"/>
      <c r="G1072" s="345"/>
      <c r="H1072" s="203"/>
      <c r="I1072" s="203"/>
      <c r="J1072" s="203"/>
      <c r="K1072" s="203"/>
      <c r="L1072" s="203"/>
      <c r="M1072" s="203"/>
    </row>
    <row r="1073">
      <c r="A1073" s="203"/>
      <c r="B1073" s="345"/>
      <c r="C1073" s="345"/>
      <c r="D1073" s="345"/>
      <c r="E1073" s="345"/>
      <c r="F1073" s="345"/>
      <c r="G1073" s="345"/>
      <c r="H1073" s="203"/>
      <c r="I1073" s="203"/>
      <c r="J1073" s="203"/>
      <c r="K1073" s="203"/>
      <c r="L1073" s="203"/>
      <c r="M1073" s="203"/>
    </row>
    <row r="1074">
      <c r="A1074" s="203"/>
      <c r="B1074" s="345"/>
      <c r="C1074" s="345"/>
      <c r="D1074" s="345"/>
      <c r="E1074" s="345"/>
      <c r="F1074" s="345"/>
      <c r="G1074" s="345"/>
      <c r="H1074" s="203"/>
      <c r="I1074" s="203"/>
      <c r="J1074" s="203"/>
      <c r="K1074" s="203"/>
      <c r="L1074" s="203"/>
      <c r="M1074" s="203"/>
    </row>
    <row r="1075">
      <c r="A1075" s="203"/>
      <c r="B1075" s="345"/>
      <c r="C1075" s="345"/>
      <c r="D1075" s="345"/>
      <c r="E1075" s="345"/>
      <c r="F1075" s="345"/>
      <c r="G1075" s="345"/>
      <c r="H1075" s="203"/>
      <c r="I1075" s="203"/>
      <c r="J1075" s="203"/>
      <c r="K1075" s="203"/>
      <c r="L1075" s="203"/>
      <c r="M1075" s="203"/>
    </row>
    <row r="1076">
      <c r="A1076" s="203"/>
      <c r="B1076" s="345"/>
      <c r="C1076" s="345"/>
      <c r="D1076" s="345"/>
      <c r="E1076" s="345"/>
      <c r="F1076" s="345"/>
      <c r="G1076" s="345"/>
      <c r="H1076" s="203"/>
      <c r="I1076" s="203"/>
      <c r="J1076" s="203"/>
      <c r="K1076" s="203"/>
      <c r="L1076" s="203"/>
      <c r="M1076" s="203"/>
    </row>
    <row r="1077">
      <c r="A1077" s="203"/>
      <c r="B1077" s="345"/>
      <c r="C1077" s="345"/>
      <c r="D1077" s="345"/>
      <c r="E1077" s="345"/>
      <c r="F1077" s="345"/>
      <c r="G1077" s="345"/>
      <c r="H1077" s="203"/>
      <c r="I1077" s="203"/>
      <c r="J1077" s="203"/>
      <c r="K1077" s="203"/>
      <c r="L1077" s="203"/>
      <c r="M1077" s="203"/>
    </row>
    <row r="1078">
      <c r="A1078" s="203"/>
      <c r="B1078" s="345"/>
      <c r="C1078" s="345"/>
      <c r="D1078" s="345"/>
      <c r="E1078" s="345"/>
      <c r="F1078" s="345"/>
      <c r="G1078" s="345"/>
      <c r="H1078" s="203"/>
      <c r="I1078" s="203"/>
      <c r="J1078" s="203"/>
      <c r="K1078" s="203"/>
      <c r="L1078" s="203"/>
      <c r="M1078" s="203"/>
    </row>
    <row r="1079">
      <c r="A1079" s="203"/>
      <c r="B1079" s="345"/>
      <c r="C1079" s="345"/>
      <c r="D1079" s="345"/>
      <c r="E1079" s="345"/>
      <c r="F1079" s="345"/>
      <c r="G1079" s="345"/>
      <c r="H1079" s="203"/>
      <c r="I1079" s="203"/>
      <c r="J1079" s="203"/>
      <c r="K1079" s="203"/>
      <c r="L1079" s="203"/>
      <c r="M1079" s="203"/>
    </row>
    <row r="1080">
      <c r="A1080" s="203"/>
      <c r="B1080" s="345"/>
      <c r="C1080" s="345"/>
      <c r="D1080" s="345"/>
      <c r="E1080" s="345"/>
      <c r="F1080" s="345"/>
      <c r="G1080" s="345"/>
      <c r="H1080" s="203"/>
      <c r="I1080" s="203"/>
      <c r="J1080" s="203"/>
      <c r="K1080" s="203"/>
      <c r="L1080" s="203"/>
      <c r="M1080" s="203"/>
    </row>
    <row r="1081">
      <c r="A1081" s="203"/>
      <c r="B1081" s="345"/>
      <c r="C1081" s="345"/>
      <c r="D1081" s="345"/>
      <c r="E1081" s="345"/>
      <c r="F1081" s="345"/>
      <c r="G1081" s="345"/>
      <c r="H1081" s="203"/>
      <c r="I1081" s="203"/>
      <c r="J1081" s="203"/>
      <c r="K1081" s="203"/>
      <c r="L1081" s="203"/>
      <c r="M1081" s="203"/>
    </row>
    <row r="1082">
      <c r="A1082" s="203"/>
      <c r="B1082" s="345"/>
      <c r="C1082" s="345"/>
      <c r="D1082" s="345"/>
      <c r="E1082" s="345"/>
      <c r="F1082" s="345"/>
      <c r="G1082" s="345"/>
      <c r="H1082" s="203"/>
      <c r="I1082" s="203"/>
      <c r="J1082" s="203"/>
      <c r="K1082" s="203"/>
      <c r="L1082" s="203"/>
      <c r="M1082" s="203"/>
    </row>
    <row r="1083">
      <c r="A1083" s="203"/>
      <c r="B1083" s="345"/>
      <c r="C1083" s="345"/>
      <c r="D1083" s="345"/>
      <c r="E1083" s="345"/>
      <c r="F1083" s="345"/>
      <c r="G1083" s="345"/>
      <c r="H1083" s="203"/>
      <c r="I1083" s="203"/>
      <c r="J1083" s="203"/>
      <c r="K1083" s="203"/>
      <c r="L1083" s="203"/>
      <c r="M1083" s="203"/>
    </row>
    <row r="1084">
      <c r="A1084" s="203"/>
      <c r="B1084" s="345"/>
      <c r="C1084" s="345"/>
      <c r="D1084" s="345"/>
      <c r="E1084" s="345"/>
      <c r="F1084" s="345"/>
      <c r="G1084" s="345"/>
      <c r="H1084" s="203"/>
      <c r="I1084" s="203"/>
      <c r="J1084" s="203"/>
      <c r="K1084" s="203"/>
      <c r="L1084" s="203"/>
      <c r="M1084" s="203"/>
    </row>
    <row r="1085">
      <c r="A1085" s="203"/>
      <c r="B1085" s="345"/>
      <c r="C1085" s="345"/>
      <c r="D1085" s="345"/>
      <c r="E1085" s="345"/>
      <c r="F1085" s="345"/>
      <c r="G1085" s="345"/>
      <c r="H1085" s="203"/>
      <c r="I1085" s="203"/>
      <c r="J1085" s="203"/>
      <c r="K1085" s="203"/>
      <c r="L1085" s="203"/>
      <c r="M1085" s="203"/>
    </row>
    <row r="1086">
      <c r="A1086" s="203"/>
      <c r="B1086" s="345"/>
      <c r="C1086" s="345"/>
      <c r="D1086" s="345"/>
      <c r="E1086" s="345"/>
      <c r="F1086" s="345"/>
      <c r="G1086" s="345"/>
      <c r="H1086" s="203"/>
      <c r="I1086" s="203"/>
      <c r="J1086" s="203"/>
      <c r="K1086" s="203"/>
      <c r="L1086" s="203"/>
      <c r="M1086" s="203"/>
    </row>
    <row r="1087">
      <c r="A1087" s="203"/>
      <c r="B1087" s="345"/>
      <c r="C1087" s="345"/>
      <c r="D1087" s="345"/>
      <c r="E1087" s="345"/>
      <c r="F1087" s="345"/>
      <c r="G1087" s="345"/>
      <c r="H1087" s="203"/>
      <c r="I1087" s="203"/>
      <c r="J1087" s="203"/>
      <c r="K1087" s="203"/>
      <c r="L1087" s="203"/>
      <c r="M1087" s="203"/>
    </row>
    <row r="1088">
      <c r="A1088" s="203"/>
      <c r="B1088" s="345"/>
      <c r="C1088" s="345"/>
      <c r="D1088" s="345"/>
      <c r="E1088" s="345"/>
      <c r="F1088" s="345"/>
      <c r="G1088" s="345"/>
      <c r="H1088" s="203"/>
      <c r="I1088" s="203"/>
      <c r="J1088" s="203"/>
      <c r="K1088" s="203"/>
      <c r="L1088" s="203"/>
      <c r="M1088" s="203"/>
    </row>
    <row r="1089">
      <c r="A1089" s="203"/>
      <c r="B1089" s="345"/>
      <c r="C1089" s="345"/>
      <c r="D1089" s="345"/>
      <c r="E1089" s="345"/>
      <c r="F1089" s="345"/>
      <c r="G1089" s="345"/>
      <c r="H1089" s="203"/>
      <c r="I1089" s="203"/>
      <c r="J1089" s="203"/>
      <c r="K1089" s="203"/>
      <c r="L1089" s="203"/>
      <c r="M1089" s="203"/>
    </row>
    <row r="1090">
      <c r="A1090" s="203"/>
      <c r="B1090" s="345"/>
      <c r="C1090" s="345"/>
      <c r="D1090" s="345"/>
      <c r="E1090" s="345"/>
      <c r="F1090" s="345"/>
      <c r="G1090" s="345"/>
      <c r="H1090" s="203"/>
      <c r="I1090" s="203"/>
      <c r="J1090" s="203"/>
      <c r="K1090" s="203"/>
      <c r="L1090" s="203"/>
      <c r="M1090" s="203"/>
    </row>
    <row r="1091">
      <c r="A1091" s="203"/>
      <c r="B1091" s="345"/>
      <c r="C1091" s="345"/>
      <c r="D1091" s="345"/>
      <c r="E1091" s="345"/>
      <c r="F1091" s="345"/>
      <c r="G1091" s="345"/>
      <c r="H1091" s="203"/>
      <c r="I1091" s="203"/>
      <c r="J1091" s="203"/>
      <c r="K1091" s="203"/>
      <c r="L1091" s="203"/>
      <c r="M1091" s="203"/>
    </row>
    <row r="1092">
      <c r="A1092" s="203"/>
      <c r="B1092" s="345"/>
      <c r="C1092" s="345"/>
      <c r="D1092" s="345"/>
      <c r="E1092" s="345"/>
      <c r="F1092" s="345"/>
      <c r="G1092" s="345"/>
      <c r="H1092" s="203"/>
      <c r="I1092" s="203"/>
      <c r="J1092" s="203"/>
      <c r="K1092" s="203"/>
      <c r="L1092" s="203"/>
      <c r="M1092" s="203"/>
    </row>
    <row r="1093">
      <c r="A1093" s="203"/>
      <c r="B1093" s="345"/>
      <c r="C1093" s="345"/>
      <c r="D1093" s="345"/>
      <c r="E1093" s="345"/>
      <c r="F1093" s="345"/>
      <c r="G1093" s="345"/>
      <c r="H1093" s="203"/>
      <c r="I1093" s="203"/>
      <c r="J1093" s="203"/>
      <c r="K1093" s="203"/>
      <c r="L1093" s="203"/>
      <c r="M1093" s="203"/>
    </row>
    <row r="1094">
      <c r="A1094" s="203"/>
      <c r="B1094" s="345"/>
      <c r="C1094" s="345"/>
      <c r="D1094" s="345"/>
      <c r="E1094" s="345"/>
      <c r="F1094" s="345"/>
      <c r="G1094" s="345"/>
      <c r="H1094" s="203"/>
      <c r="I1094" s="203"/>
      <c r="J1094" s="203"/>
      <c r="K1094" s="203"/>
      <c r="L1094" s="203"/>
      <c r="M1094" s="203"/>
    </row>
    <row r="1095">
      <c r="A1095" s="203"/>
      <c r="B1095" s="345"/>
      <c r="C1095" s="345"/>
      <c r="D1095" s="345"/>
      <c r="E1095" s="345"/>
      <c r="F1095" s="345"/>
      <c r="G1095" s="345"/>
      <c r="H1095" s="203"/>
      <c r="I1095" s="203"/>
      <c r="J1095" s="203"/>
      <c r="K1095" s="203"/>
      <c r="L1095" s="203"/>
      <c r="M1095" s="203"/>
    </row>
    <row r="1096">
      <c r="A1096" s="203"/>
      <c r="B1096" s="345"/>
      <c r="C1096" s="345"/>
      <c r="D1096" s="345"/>
      <c r="E1096" s="345"/>
      <c r="F1096" s="345"/>
      <c r="G1096" s="345"/>
      <c r="H1096" s="203"/>
      <c r="I1096" s="203"/>
      <c r="J1096" s="203"/>
      <c r="K1096" s="203"/>
      <c r="L1096" s="203"/>
      <c r="M1096" s="203"/>
    </row>
    <row r="1097">
      <c r="A1097" s="203"/>
      <c r="B1097" s="345"/>
      <c r="C1097" s="345"/>
      <c r="D1097" s="345"/>
      <c r="E1097" s="345"/>
      <c r="F1097" s="345"/>
      <c r="G1097" s="345"/>
      <c r="H1097" s="203"/>
      <c r="I1097" s="203"/>
      <c r="J1097" s="203"/>
      <c r="K1097" s="203"/>
      <c r="L1097" s="203"/>
      <c r="M1097" s="203"/>
    </row>
    <row r="1098">
      <c r="A1098" s="203"/>
      <c r="B1098" s="345"/>
      <c r="C1098" s="345"/>
      <c r="D1098" s="345"/>
      <c r="E1098" s="345"/>
      <c r="F1098" s="345"/>
      <c r="G1098" s="345"/>
      <c r="H1098" s="203"/>
      <c r="I1098" s="203"/>
      <c r="J1098" s="203"/>
      <c r="K1098" s="203"/>
      <c r="L1098" s="203"/>
      <c r="M1098" s="203"/>
    </row>
    <row r="1099">
      <c r="A1099" s="203"/>
      <c r="B1099" s="345"/>
      <c r="C1099" s="345"/>
      <c r="D1099" s="345"/>
      <c r="E1099" s="345"/>
      <c r="F1099" s="345"/>
      <c r="G1099" s="345"/>
      <c r="H1099" s="203"/>
      <c r="I1099" s="203"/>
      <c r="J1099" s="203"/>
      <c r="K1099" s="203"/>
      <c r="L1099" s="203"/>
      <c r="M1099" s="203"/>
    </row>
    <row r="1100">
      <c r="A1100" s="203"/>
      <c r="B1100" s="345"/>
      <c r="C1100" s="345"/>
      <c r="D1100" s="345"/>
      <c r="E1100" s="345"/>
      <c r="F1100" s="345"/>
      <c r="G1100" s="345"/>
      <c r="H1100" s="203"/>
      <c r="I1100" s="203"/>
      <c r="J1100" s="203"/>
      <c r="K1100" s="203"/>
      <c r="L1100" s="203"/>
      <c r="M1100" s="203"/>
    </row>
    <row r="1101">
      <c r="A1101" s="203"/>
      <c r="B1101" s="345"/>
      <c r="C1101" s="345"/>
      <c r="D1101" s="345"/>
      <c r="E1101" s="345"/>
      <c r="F1101" s="345"/>
      <c r="G1101" s="345"/>
      <c r="H1101" s="203"/>
      <c r="I1101" s="203"/>
      <c r="J1101" s="203"/>
      <c r="K1101" s="203"/>
      <c r="L1101" s="203"/>
      <c r="M1101" s="203"/>
    </row>
    <row r="1102">
      <c r="A1102" s="203"/>
      <c r="B1102" s="345"/>
      <c r="C1102" s="345"/>
      <c r="D1102" s="345"/>
      <c r="E1102" s="345"/>
      <c r="F1102" s="345"/>
      <c r="G1102" s="345"/>
      <c r="H1102" s="203"/>
      <c r="I1102" s="203"/>
      <c r="J1102" s="203"/>
      <c r="K1102" s="203"/>
      <c r="L1102" s="203"/>
      <c r="M1102" s="203"/>
    </row>
    <row r="1103">
      <c r="A1103" s="203"/>
      <c r="B1103" s="345"/>
      <c r="C1103" s="345"/>
      <c r="D1103" s="345"/>
      <c r="E1103" s="345"/>
      <c r="F1103" s="345"/>
      <c r="G1103" s="345"/>
      <c r="H1103" s="203"/>
      <c r="I1103" s="203"/>
      <c r="J1103" s="203"/>
      <c r="K1103" s="203"/>
      <c r="L1103" s="203"/>
      <c r="M1103" s="203"/>
    </row>
    <row r="1104">
      <c r="A1104" s="203"/>
      <c r="B1104" s="345"/>
      <c r="C1104" s="345"/>
      <c r="D1104" s="345"/>
      <c r="E1104" s="345"/>
      <c r="F1104" s="345"/>
      <c r="G1104" s="345"/>
      <c r="H1104" s="203"/>
      <c r="I1104" s="203"/>
      <c r="J1104" s="203"/>
      <c r="K1104" s="203"/>
      <c r="L1104" s="203"/>
      <c r="M1104" s="203"/>
    </row>
    <row r="1105">
      <c r="A1105" s="203"/>
      <c r="B1105" s="345"/>
      <c r="C1105" s="345"/>
      <c r="D1105" s="345"/>
      <c r="E1105" s="345"/>
      <c r="F1105" s="345"/>
      <c r="G1105" s="345"/>
      <c r="H1105" s="203"/>
      <c r="I1105" s="203"/>
      <c r="J1105" s="203"/>
      <c r="K1105" s="203"/>
      <c r="L1105" s="203"/>
      <c r="M1105" s="203"/>
    </row>
    <row r="1106">
      <c r="A1106" s="203"/>
      <c r="B1106" s="345"/>
      <c r="C1106" s="345"/>
      <c r="D1106" s="345"/>
      <c r="E1106" s="345"/>
      <c r="F1106" s="345"/>
      <c r="G1106" s="345"/>
      <c r="H1106" s="203"/>
      <c r="I1106" s="203"/>
      <c r="J1106" s="203"/>
      <c r="K1106" s="203"/>
      <c r="L1106" s="203"/>
      <c r="M1106" s="203"/>
    </row>
    <row r="1107">
      <c r="A1107" s="203"/>
      <c r="B1107" s="345"/>
      <c r="C1107" s="345"/>
      <c r="D1107" s="345"/>
      <c r="E1107" s="345"/>
      <c r="F1107" s="345"/>
      <c r="G1107" s="345"/>
      <c r="H1107" s="203"/>
      <c r="I1107" s="203"/>
      <c r="J1107" s="203"/>
      <c r="K1107" s="203"/>
      <c r="L1107" s="203"/>
      <c r="M1107" s="203"/>
    </row>
    <row r="1108">
      <c r="A1108" s="203"/>
      <c r="B1108" s="345"/>
      <c r="C1108" s="345"/>
      <c r="D1108" s="345"/>
      <c r="E1108" s="345"/>
      <c r="F1108" s="345"/>
      <c r="G1108" s="345"/>
      <c r="H1108" s="203"/>
      <c r="I1108" s="203"/>
      <c r="J1108" s="203"/>
      <c r="K1108" s="203"/>
      <c r="L1108" s="203"/>
      <c r="M1108" s="203"/>
    </row>
    <row r="1109">
      <c r="A1109" s="203"/>
      <c r="B1109" s="345"/>
      <c r="C1109" s="345"/>
      <c r="D1109" s="345"/>
      <c r="E1109" s="345"/>
      <c r="F1109" s="345"/>
      <c r="G1109" s="345"/>
      <c r="H1109" s="203"/>
      <c r="I1109" s="203"/>
      <c r="J1109" s="203"/>
      <c r="K1109" s="203"/>
      <c r="L1109" s="203"/>
      <c r="M1109" s="203"/>
    </row>
    <row r="1110">
      <c r="A1110" s="203"/>
      <c r="B1110" s="345"/>
      <c r="C1110" s="345"/>
      <c r="D1110" s="345"/>
      <c r="E1110" s="345"/>
      <c r="F1110" s="345"/>
      <c r="G1110" s="345"/>
      <c r="H1110" s="203"/>
      <c r="I1110" s="203"/>
      <c r="J1110" s="203"/>
      <c r="K1110" s="203"/>
      <c r="L1110" s="203"/>
      <c r="M1110" s="203"/>
    </row>
    <row r="1111">
      <c r="A1111" s="203"/>
      <c r="B1111" s="345"/>
      <c r="C1111" s="345"/>
      <c r="D1111" s="345"/>
      <c r="E1111" s="345"/>
      <c r="F1111" s="345"/>
      <c r="G1111" s="345"/>
      <c r="H1111" s="203"/>
      <c r="I1111" s="203"/>
      <c r="J1111" s="203"/>
      <c r="K1111" s="203"/>
      <c r="L1111" s="203"/>
      <c r="M1111" s="203"/>
    </row>
    <row r="1112">
      <c r="A1112" s="203"/>
      <c r="B1112" s="345"/>
      <c r="C1112" s="345"/>
      <c r="D1112" s="345"/>
      <c r="E1112" s="345"/>
      <c r="F1112" s="345"/>
      <c r="G1112" s="345"/>
      <c r="H1112" s="203"/>
      <c r="I1112" s="203"/>
      <c r="J1112" s="203"/>
      <c r="K1112" s="203"/>
      <c r="L1112" s="203"/>
      <c r="M1112" s="203"/>
    </row>
    <row r="1113">
      <c r="A1113" s="203"/>
      <c r="B1113" s="345"/>
      <c r="C1113" s="345"/>
      <c r="D1113" s="345"/>
      <c r="E1113" s="345"/>
      <c r="F1113" s="345"/>
      <c r="G1113" s="345"/>
      <c r="H1113" s="203"/>
      <c r="I1113" s="203"/>
      <c r="J1113" s="203"/>
      <c r="K1113" s="203"/>
      <c r="L1113" s="203"/>
      <c r="M1113" s="203"/>
    </row>
    <row r="1114">
      <c r="A1114" s="203"/>
      <c r="B1114" s="345"/>
      <c r="C1114" s="345"/>
      <c r="D1114" s="345"/>
      <c r="E1114" s="345"/>
      <c r="F1114" s="345"/>
      <c r="G1114" s="345"/>
      <c r="H1114" s="203"/>
      <c r="I1114" s="203"/>
      <c r="J1114" s="203"/>
      <c r="K1114" s="203"/>
      <c r="L1114" s="203"/>
      <c r="M1114" s="203"/>
    </row>
    <row r="1115">
      <c r="A1115" s="203"/>
      <c r="B1115" s="345"/>
      <c r="C1115" s="345"/>
      <c r="D1115" s="345"/>
      <c r="E1115" s="345"/>
      <c r="F1115" s="345"/>
      <c r="G1115" s="345"/>
      <c r="H1115" s="203"/>
      <c r="I1115" s="203"/>
      <c r="J1115" s="203"/>
      <c r="K1115" s="203"/>
      <c r="L1115" s="203"/>
      <c r="M1115" s="203"/>
    </row>
    <row r="1116">
      <c r="A1116" s="203"/>
      <c r="B1116" s="345"/>
      <c r="C1116" s="345"/>
      <c r="D1116" s="345"/>
      <c r="E1116" s="345"/>
      <c r="F1116" s="345"/>
      <c r="G1116" s="345"/>
      <c r="H1116" s="203"/>
      <c r="I1116" s="203"/>
      <c r="J1116" s="203"/>
      <c r="K1116" s="203"/>
      <c r="L1116" s="203"/>
      <c r="M1116" s="203"/>
    </row>
    <row r="1117">
      <c r="A1117" s="203"/>
      <c r="B1117" s="345"/>
      <c r="C1117" s="345"/>
      <c r="D1117" s="345"/>
      <c r="E1117" s="345"/>
      <c r="F1117" s="345"/>
      <c r="G1117" s="345"/>
      <c r="H1117" s="203"/>
      <c r="I1117" s="203"/>
      <c r="J1117" s="203"/>
      <c r="K1117" s="203"/>
      <c r="L1117" s="203"/>
      <c r="M1117" s="203"/>
    </row>
    <row r="1118">
      <c r="A1118" s="203"/>
      <c r="B1118" s="345"/>
      <c r="C1118" s="345"/>
      <c r="D1118" s="345"/>
      <c r="E1118" s="345"/>
      <c r="F1118" s="345"/>
      <c r="G1118" s="345"/>
      <c r="H1118" s="203"/>
      <c r="I1118" s="203"/>
      <c r="J1118" s="203"/>
      <c r="K1118" s="203"/>
      <c r="L1118" s="203"/>
      <c r="M1118" s="203"/>
    </row>
    <row r="1119">
      <c r="A1119" s="203"/>
      <c r="B1119" s="345"/>
      <c r="C1119" s="345"/>
      <c r="D1119" s="345"/>
      <c r="E1119" s="345"/>
      <c r="F1119" s="345"/>
      <c r="G1119" s="345"/>
      <c r="H1119" s="203"/>
      <c r="I1119" s="203"/>
      <c r="J1119" s="203"/>
      <c r="K1119" s="203"/>
      <c r="L1119" s="203"/>
      <c r="M1119" s="203"/>
    </row>
    <row r="1120">
      <c r="A1120" s="203"/>
      <c r="B1120" s="345"/>
      <c r="C1120" s="345"/>
      <c r="D1120" s="345"/>
      <c r="E1120" s="345"/>
      <c r="F1120" s="345"/>
      <c r="G1120" s="345"/>
      <c r="H1120" s="203"/>
      <c r="I1120" s="203"/>
      <c r="J1120" s="203"/>
      <c r="K1120" s="203"/>
      <c r="L1120" s="203"/>
      <c r="M1120" s="203"/>
    </row>
    <row r="1121">
      <c r="A1121" s="203"/>
      <c r="B1121" s="345"/>
      <c r="C1121" s="345"/>
      <c r="D1121" s="345"/>
      <c r="E1121" s="345"/>
      <c r="F1121" s="345"/>
      <c r="G1121" s="345"/>
      <c r="H1121" s="203"/>
      <c r="I1121" s="203"/>
      <c r="J1121" s="203"/>
      <c r="K1121" s="203"/>
      <c r="L1121" s="203"/>
      <c r="M1121" s="203"/>
    </row>
    <row r="1122">
      <c r="A1122" s="203"/>
      <c r="B1122" s="345"/>
      <c r="C1122" s="345"/>
      <c r="D1122" s="345"/>
      <c r="E1122" s="345"/>
      <c r="F1122" s="345"/>
      <c r="G1122" s="345"/>
      <c r="H1122" s="203"/>
      <c r="I1122" s="203"/>
      <c r="J1122" s="203"/>
      <c r="K1122" s="203"/>
      <c r="L1122" s="203"/>
      <c r="M1122" s="203"/>
    </row>
    <row r="1123">
      <c r="A1123" s="203"/>
      <c r="B1123" s="345"/>
      <c r="C1123" s="345"/>
      <c r="D1123" s="345"/>
      <c r="E1123" s="345"/>
      <c r="F1123" s="345"/>
      <c r="G1123" s="345"/>
      <c r="H1123" s="203"/>
      <c r="I1123" s="203"/>
      <c r="J1123" s="203"/>
      <c r="K1123" s="203"/>
      <c r="L1123" s="203"/>
      <c r="M1123" s="203"/>
    </row>
    <row r="1124">
      <c r="A1124" s="203"/>
      <c r="B1124" s="345"/>
      <c r="C1124" s="345"/>
      <c r="D1124" s="345"/>
      <c r="E1124" s="345"/>
      <c r="F1124" s="345"/>
      <c r="G1124" s="345"/>
      <c r="H1124" s="203"/>
      <c r="I1124" s="203"/>
      <c r="J1124" s="203"/>
      <c r="K1124" s="203"/>
      <c r="L1124" s="203"/>
      <c r="M1124" s="203"/>
    </row>
    <row r="1125">
      <c r="A1125" s="203"/>
      <c r="B1125" s="345"/>
      <c r="C1125" s="345"/>
      <c r="D1125" s="345"/>
      <c r="E1125" s="345"/>
      <c r="F1125" s="345"/>
      <c r="G1125" s="345"/>
      <c r="H1125" s="203"/>
      <c r="I1125" s="203"/>
      <c r="J1125" s="203"/>
      <c r="K1125" s="203"/>
      <c r="L1125" s="203"/>
      <c r="M1125" s="203"/>
    </row>
    <row r="1126">
      <c r="A1126" s="203"/>
      <c r="B1126" s="345"/>
      <c r="C1126" s="345"/>
      <c r="D1126" s="345"/>
      <c r="E1126" s="345"/>
      <c r="F1126" s="345"/>
      <c r="G1126" s="345"/>
      <c r="H1126" s="203"/>
      <c r="I1126" s="203"/>
      <c r="J1126" s="203"/>
      <c r="K1126" s="203"/>
      <c r="L1126" s="203"/>
      <c r="M1126" s="203"/>
    </row>
    <row r="1127">
      <c r="A1127" s="203"/>
      <c r="B1127" s="345"/>
      <c r="C1127" s="345"/>
      <c r="D1127" s="345"/>
      <c r="E1127" s="345"/>
      <c r="F1127" s="345"/>
      <c r="G1127" s="345"/>
      <c r="H1127" s="203"/>
      <c r="I1127" s="203"/>
      <c r="J1127" s="203"/>
      <c r="K1127" s="203"/>
      <c r="L1127" s="203"/>
      <c r="M1127" s="203"/>
    </row>
    <row r="1128">
      <c r="A1128" s="203"/>
      <c r="B1128" s="345"/>
      <c r="C1128" s="345"/>
      <c r="D1128" s="345"/>
      <c r="E1128" s="345"/>
      <c r="F1128" s="345"/>
      <c r="G1128" s="345"/>
      <c r="H1128" s="203"/>
      <c r="I1128" s="203"/>
      <c r="J1128" s="203"/>
      <c r="K1128" s="203"/>
      <c r="L1128" s="203"/>
      <c r="M1128" s="203"/>
    </row>
    <row r="1129">
      <c r="A1129" s="203"/>
      <c r="B1129" s="345"/>
      <c r="C1129" s="345"/>
      <c r="D1129" s="345"/>
      <c r="E1129" s="345"/>
      <c r="F1129" s="345"/>
      <c r="G1129" s="345"/>
      <c r="H1129" s="203"/>
      <c r="I1129" s="203"/>
      <c r="J1129" s="203"/>
      <c r="K1129" s="203"/>
      <c r="L1129" s="203"/>
      <c r="M1129" s="203"/>
    </row>
    <row r="1130">
      <c r="A1130" s="203"/>
      <c r="B1130" s="345"/>
      <c r="C1130" s="345"/>
      <c r="D1130" s="345"/>
      <c r="E1130" s="345"/>
      <c r="F1130" s="345"/>
      <c r="G1130" s="345"/>
      <c r="H1130" s="203"/>
      <c r="I1130" s="203"/>
      <c r="J1130" s="203"/>
      <c r="K1130" s="203"/>
      <c r="L1130" s="203"/>
      <c r="M1130" s="203"/>
    </row>
    <row r="1131">
      <c r="A1131" s="203"/>
      <c r="B1131" s="345"/>
      <c r="C1131" s="345"/>
      <c r="D1131" s="345"/>
      <c r="E1131" s="345"/>
      <c r="F1131" s="345"/>
      <c r="G1131" s="345"/>
      <c r="H1131" s="203"/>
      <c r="I1131" s="203"/>
      <c r="J1131" s="203"/>
      <c r="K1131" s="203"/>
      <c r="L1131" s="203"/>
      <c r="M1131" s="203"/>
    </row>
    <row r="1132">
      <c r="A1132" s="203"/>
      <c r="B1132" s="345"/>
      <c r="C1132" s="345"/>
      <c r="D1132" s="345"/>
      <c r="E1132" s="345"/>
      <c r="F1132" s="345"/>
      <c r="G1132" s="345"/>
      <c r="H1132" s="203"/>
      <c r="I1132" s="203"/>
      <c r="J1132" s="203"/>
      <c r="K1132" s="203"/>
      <c r="L1132" s="203"/>
      <c r="M1132" s="203"/>
    </row>
    <row r="1133">
      <c r="A1133" s="203"/>
      <c r="B1133" s="345"/>
      <c r="C1133" s="345"/>
      <c r="D1133" s="345"/>
      <c r="E1133" s="345"/>
      <c r="F1133" s="345"/>
      <c r="G1133" s="345"/>
      <c r="H1133" s="203"/>
      <c r="I1133" s="203"/>
      <c r="J1133" s="203"/>
      <c r="K1133" s="203"/>
      <c r="L1133" s="203"/>
      <c r="M1133" s="203"/>
    </row>
    <row r="1134">
      <c r="A1134" s="203"/>
      <c r="B1134" s="345"/>
      <c r="C1134" s="345"/>
      <c r="D1134" s="345"/>
      <c r="E1134" s="345"/>
      <c r="F1134" s="345"/>
      <c r="G1134" s="345"/>
      <c r="H1134" s="203"/>
      <c r="I1134" s="203"/>
      <c r="J1134" s="203"/>
      <c r="K1134" s="203"/>
      <c r="L1134" s="203"/>
      <c r="M1134" s="203"/>
    </row>
    <row r="1135">
      <c r="A1135" s="203"/>
      <c r="B1135" s="345"/>
      <c r="C1135" s="345"/>
      <c r="D1135" s="345"/>
      <c r="E1135" s="345"/>
      <c r="F1135" s="345"/>
      <c r="G1135" s="345"/>
      <c r="H1135" s="203"/>
      <c r="I1135" s="203"/>
      <c r="J1135" s="203"/>
      <c r="K1135" s="203"/>
      <c r="L1135" s="203"/>
      <c r="M1135" s="203"/>
    </row>
    <row r="1136">
      <c r="A1136" s="203"/>
      <c r="B1136" s="345"/>
      <c r="C1136" s="345"/>
      <c r="D1136" s="345"/>
      <c r="E1136" s="345"/>
      <c r="F1136" s="345"/>
      <c r="G1136" s="345"/>
      <c r="H1136" s="203"/>
      <c r="I1136" s="203"/>
      <c r="J1136" s="203"/>
      <c r="K1136" s="203"/>
      <c r="L1136" s="203"/>
      <c r="M1136" s="203"/>
    </row>
    <row r="1137">
      <c r="A1137" s="203"/>
      <c r="B1137" s="345"/>
      <c r="C1137" s="345"/>
      <c r="D1137" s="345"/>
      <c r="E1137" s="345"/>
      <c r="F1137" s="345"/>
      <c r="G1137" s="345"/>
      <c r="H1137" s="203"/>
      <c r="I1137" s="203"/>
      <c r="J1137" s="203"/>
      <c r="K1137" s="203"/>
      <c r="L1137" s="203"/>
      <c r="M1137" s="203"/>
    </row>
    <row r="1138">
      <c r="A1138" s="203"/>
      <c r="B1138" s="345"/>
      <c r="C1138" s="345"/>
      <c r="D1138" s="345"/>
      <c r="E1138" s="345"/>
      <c r="F1138" s="345"/>
      <c r="G1138" s="345"/>
      <c r="H1138" s="203"/>
      <c r="I1138" s="203"/>
      <c r="J1138" s="203"/>
      <c r="K1138" s="203"/>
      <c r="L1138" s="203"/>
      <c r="M1138" s="203"/>
    </row>
    <row r="1139">
      <c r="A1139" s="203"/>
      <c r="B1139" s="345"/>
      <c r="C1139" s="345"/>
      <c r="D1139" s="345"/>
      <c r="E1139" s="345"/>
      <c r="F1139" s="345"/>
      <c r="G1139" s="345"/>
      <c r="H1139" s="203"/>
      <c r="I1139" s="203"/>
      <c r="J1139" s="203"/>
      <c r="K1139" s="203"/>
      <c r="L1139" s="203"/>
      <c r="M1139" s="203"/>
    </row>
    <row r="1140">
      <c r="A1140" s="203"/>
      <c r="B1140" s="345"/>
      <c r="C1140" s="345"/>
      <c r="D1140" s="345"/>
      <c r="E1140" s="345"/>
      <c r="F1140" s="345"/>
      <c r="G1140" s="345"/>
      <c r="H1140" s="203"/>
      <c r="I1140" s="203"/>
      <c r="J1140" s="203"/>
      <c r="K1140" s="203"/>
      <c r="L1140" s="203"/>
      <c r="M1140" s="203"/>
    </row>
    <row r="1141">
      <c r="A1141" s="203"/>
      <c r="B1141" s="345"/>
      <c r="C1141" s="345"/>
      <c r="D1141" s="345"/>
      <c r="E1141" s="345"/>
      <c r="F1141" s="345"/>
      <c r="G1141" s="345"/>
      <c r="H1141" s="203"/>
      <c r="I1141" s="203"/>
      <c r="J1141" s="203"/>
      <c r="K1141" s="203"/>
      <c r="L1141" s="203"/>
      <c r="M1141" s="203"/>
    </row>
    <row r="1142">
      <c r="A1142" s="203"/>
      <c r="B1142" s="345"/>
      <c r="C1142" s="345"/>
      <c r="D1142" s="345"/>
      <c r="E1142" s="345"/>
      <c r="F1142" s="345"/>
      <c r="G1142" s="345"/>
      <c r="H1142" s="203"/>
      <c r="I1142" s="203"/>
      <c r="J1142" s="203"/>
      <c r="K1142" s="203"/>
      <c r="L1142" s="203"/>
      <c r="M1142" s="203"/>
    </row>
    <row r="1143">
      <c r="A1143" s="203"/>
      <c r="B1143" s="345"/>
      <c r="C1143" s="345"/>
      <c r="D1143" s="345"/>
      <c r="E1143" s="345"/>
      <c r="F1143" s="345"/>
      <c r="G1143" s="345"/>
      <c r="H1143" s="203"/>
      <c r="I1143" s="203"/>
      <c r="J1143" s="203"/>
      <c r="K1143" s="203"/>
      <c r="L1143" s="203"/>
      <c r="M1143" s="203"/>
    </row>
    <row r="1144">
      <c r="A1144" s="203"/>
      <c r="B1144" s="345"/>
      <c r="C1144" s="345"/>
      <c r="D1144" s="345"/>
      <c r="E1144" s="345"/>
      <c r="F1144" s="345"/>
      <c r="G1144" s="345"/>
      <c r="H1144" s="203"/>
      <c r="I1144" s="203"/>
      <c r="J1144" s="203"/>
      <c r="K1144" s="203"/>
      <c r="L1144" s="203"/>
      <c r="M1144" s="203"/>
    </row>
    <row r="1145">
      <c r="A1145" s="203"/>
      <c r="B1145" s="345"/>
      <c r="C1145" s="345"/>
      <c r="D1145" s="345"/>
      <c r="E1145" s="345"/>
      <c r="F1145" s="345"/>
      <c r="G1145" s="345"/>
      <c r="H1145" s="203"/>
      <c r="I1145" s="203"/>
      <c r="J1145" s="203"/>
      <c r="K1145" s="203"/>
      <c r="L1145" s="203"/>
      <c r="M1145" s="203"/>
    </row>
    <row r="1146">
      <c r="A1146" s="203"/>
      <c r="B1146" s="345"/>
      <c r="C1146" s="345"/>
      <c r="D1146" s="345"/>
      <c r="E1146" s="345"/>
      <c r="F1146" s="345"/>
      <c r="G1146" s="345"/>
      <c r="H1146" s="203"/>
      <c r="I1146" s="203"/>
      <c r="J1146" s="203"/>
      <c r="K1146" s="203"/>
      <c r="L1146" s="203"/>
      <c r="M1146" s="203"/>
    </row>
    <row r="1147">
      <c r="A1147" s="203"/>
      <c r="B1147" s="345"/>
      <c r="C1147" s="345"/>
      <c r="D1147" s="345"/>
      <c r="E1147" s="345"/>
      <c r="F1147" s="345"/>
      <c r="G1147" s="345"/>
      <c r="H1147" s="203"/>
      <c r="I1147" s="203"/>
      <c r="J1147" s="203"/>
      <c r="K1147" s="203"/>
      <c r="L1147" s="203"/>
      <c r="M1147" s="203"/>
    </row>
    <row r="1148">
      <c r="A1148" s="203"/>
      <c r="B1148" s="345"/>
      <c r="C1148" s="345"/>
      <c r="D1148" s="345"/>
      <c r="E1148" s="345"/>
      <c r="F1148" s="345"/>
      <c r="G1148" s="345"/>
      <c r="H1148" s="203"/>
      <c r="I1148" s="203"/>
      <c r="J1148" s="203"/>
      <c r="K1148" s="203"/>
      <c r="L1148" s="203"/>
      <c r="M1148" s="203"/>
    </row>
    <row r="1149">
      <c r="A1149" s="203"/>
      <c r="B1149" s="345"/>
      <c r="C1149" s="345"/>
      <c r="D1149" s="345"/>
      <c r="E1149" s="345"/>
      <c r="F1149" s="345"/>
      <c r="G1149" s="345"/>
      <c r="H1149" s="203"/>
      <c r="I1149" s="203"/>
      <c r="J1149" s="203"/>
      <c r="K1149" s="203"/>
      <c r="L1149" s="203"/>
      <c r="M1149" s="203"/>
    </row>
    <row r="1150">
      <c r="A1150" s="203"/>
      <c r="B1150" s="345"/>
      <c r="C1150" s="345"/>
      <c r="D1150" s="345"/>
      <c r="E1150" s="345"/>
      <c r="F1150" s="345"/>
      <c r="G1150" s="345"/>
      <c r="H1150" s="203"/>
      <c r="I1150" s="203"/>
      <c r="J1150" s="203"/>
      <c r="K1150" s="203"/>
      <c r="L1150" s="203"/>
      <c r="M1150" s="203"/>
    </row>
    <row r="1151">
      <c r="A1151" s="203"/>
      <c r="B1151" s="345"/>
      <c r="C1151" s="345"/>
      <c r="D1151" s="345"/>
      <c r="E1151" s="345"/>
      <c r="F1151" s="345"/>
      <c r="G1151" s="345"/>
      <c r="H1151" s="203"/>
      <c r="I1151" s="203"/>
      <c r="J1151" s="203"/>
      <c r="K1151" s="203"/>
      <c r="L1151" s="203"/>
      <c r="M1151" s="203"/>
    </row>
    <row r="1152">
      <c r="A1152" s="203"/>
      <c r="B1152" s="345"/>
      <c r="C1152" s="345"/>
      <c r="D1152" s="345"/>
      <c r="E1152" s="345"/>
      <c r="F1152" s="345"/>
      <c r="G1152" s="345"/>
      <c r="H1152" s="203"/>
      <c r="I1152" s="203"/>
      <c r="J1152" s="203"/>
      <c r="K1152" s="203"/>
      <c r="L1152" s="203"/>
      <c r="M1152" s="203"/>
    </row>
    <row r="1153">
      <c r="A1153" s="203"/>
      <c r="B1153" s="345"/>
      <c r="C1153" s="345"/>
      <c r="D1153" s="345"/>
      <c r="E1153" s="345"/>
      <c r="F1153" s="345"/>
      <c r="G1153" s="345"/>
      <c r="H1153" s="203"/>
      <c r="I1153" s="203"/>
      <c r="J1153" s="203"/>
      <c r="K1153" s="203"/>
      <c r="L1153" s="203"/>
      <c r="M1153" s="203"/>
    </row>
    <row r="1154">
      <c r="A1154" s="203"/>
      <c r="B1154" s="345"/>
      <c r="C1154" s="345"/>
      <c r="D1154" s="345"/>
      <c r="E1154" s="345"/>
      <c r="F1154" s="345"/>
      <c r="G1154" s="345"/>
      <c r="H1154" s="203"/>
      <c r="I1154" s="203"/>
      <c r="J1154" s="203"/>
      <c r="K1154" s="203"/>
      <c r="L1154" s="203"/>
      <c r="M1154" s="203"/>
    </row>
    <row r="1155">
      <c r="A1155" s="203"/>
      <c r="B1155" s="345"/>
      <c r="C1155" s="345"/>
      <c r="D1155" s="345"/>
      <c r="E1155" s="345"/>
      <c r="F1155" s="345"/>
      <c r="G1155" s="345"/>
      <c r="H1155" s="203"/>
      <c r="I1155" s="203"/>
      <c r="J1155" s="203"/>
      <c r="K1155" s="203"/>
      <c r="L1155" s="203"/>
      <c r="M1155" s="203"/>
    </row>
    <row r="1156">
      <c r="A1156" s="203"/>
      <c r="B1156" s="345"/>
      <c r="C1156" s="345"/>
      <c r="D1156" s="345"/>
      <c r="E1156" s="345"/>
      <c r="F1156" s="345"/>
      <c r="G1156" s="345"/>
      <c r="H1156" s="203"/>
      <c r="I1156" s="203"/>
      <c r="J1156" s="203"/>
      <c r="K1156" s="203"/>
      <c r="L1156" s="203"/>
      <c r="M1156" s="203"/>
    </row>
    <row r="1157">
      <c r="A1157" s="203"/>
      <c r="B1157" s="345"/>
      <c r="C1157" s="345"/>
      <c r="D1157" s="345"/>
      <c r="E1157" s="345"/>
      <c r="F1157" s="345"/>
      <c r="G1157" s="345"/>
      <c r="H1157" s="203"/>
      <c r="I1157" s="203"/>
      <c r="J1157" s="203"/>
      <c r="K1157" s="203"/>
      <c r="L1157" s="203"/>
      <c r="M1157" s="203"/>
    </row>
    <row r="1158">
      <c r="A1158" s="203"/>
      <c r="B1158" s="345"/>
      <c r="C1158" s="345"/>
      <c r="D1158" s="345"/>
      <c r="E1158" s="345"/>
      <c r="F1158" s="345"/>
      <c r="G1158" s="345"/>
      <c r="H1158" s="203"/>
      <c r="I1158" s="203"/>
      <c r="J1158" s="203"/>
      <c r="K1158" s="203"/>
      <c r="L1158" s="203"/>
      <c r="M1158" s="203"/>
    </row>
    <row r="1159">
      <c r="A1159" s="203"/>
      <c r="B1159" s="345"/>
      <c r="C1159" s="345"/>
      <c r="D1159" s="345"/>
      <c r="E1159" s="345"/>
      <c r="F1159" s="345"/>
      <c r="G1159" s="345"/>
      <c r="H1159" s="203"/>
      <c r="I1159" s="203"/>
      <c r="J1159" s="203"/>
      <c r="K1159" s="203"/>
      <c r="L1159" s="203"/>
      <c r="M1159" s="203"/>
    </row>
    <row r="1160">
      <c r="A1160" s="203"/>
      <c r="B1160" s="345"/>
      <c r="C1160" s="345"/>
      <c r="D1160" s="345"/>
      <c r="E1160" s="345"/>
      <c r="F1160" s="345"/>
      <c r="G1160" s="345"/>
      <c r="H1160" s="203"/>
      <c r="I1160" s="203"/>
      <c r="J1160" s="203"/>
      <c r="K1160" s="203"/>
      <c r="L1160" s="203"/>
      <c r="M1160" s="203"/>
    </row>
    <row r="1161">
      <c r="A1161" s="203"/>
      <c r="B1161" s="345"/>
      <c r="C1161" s="345"/>
      <c r="D1161" s="345"/>
      <c r="E1161" s="345"/>
      <c r="F1161" s="345"/>
      <c r="G1161" s="345"/>
      <c r="H1161" s="203"/>
      <c r="I1161" s="203"/>
      <c r="J1161" s="203"/>
      <c r="K1161" s="203"/>
      <c r="L1161" s="203"/>
      <c r="M1161" s="203"/>
    </row>
    <row r="1162">
      <c r="A1162" s="203"/>
      <c r="B1162" s="345"/>
      <c r="C1162" s="345"/>
      <c r="D1162" s="345"/>
      <c r="E1162" s="345"/>
      <c r="F1162" s="345"/>
      <c r="G1162" s="345"/>
      <c r="H1162" s="203"/>
      <c r="I1162" s="203"/>
      <c r="J1162" s="203"/>
      <c r="K1162" s="203"/>
      <c r="L1162" s="203"/>
      <c r="M1162" s="203"/>
    </row>
    <row r="1163">
      <c r="A1163" s="203"/>
      <c r="B1163" s="345"/>
      <c r="C1163" s="345"/>
      <c r="D1163" s="345"/>
      <c r="E1163" s="345"/>
      <c r="F1163" s="345"/>
      <c r="G1163" s="345"/>
      <c r="H1163" s="203"/>
      <c r="I1163" s="203"/>
      <c r="J1163" s="203"/>
      <c r="K1163" s="203"/>
      <c r="L1163" s="203"/>
      <c r="M1163" s="203"/>
    </row>
    <row r="1164">
      <c r="A1164" s="203"/>
      <c r="B1164" s="345"/>
      <c r="C1164" s="345"/>
      <c r="D1164" s="345"/>
      <c r="E1164" s="345"/>
      <c r="F1164" s="345"/>
      <c r="G1164" s="345"/>
      <c r="H1164" s="203"/>
      <c r="I1164" s="203"/>
      <c r="J1164" s="203"/>
      <c r="K1164" s="203"/>
      <c r="L1164" s="203"/>
      <c r="M1164" s="203"/>
    </row>
    <row r="1165">
      <c r="A1165" s="203"/>
      <c r="B1165" s="345"/>
      <c r="C1165" s="345"/>
      <c r="D1165" s="345"/>
      <c r="E1165" s="345"/>
      <c r="F1165" s="345"/>
      <c r="G1165" s="345"/>
      <c r="H1165" s="203"/>
      <c r="I1165" s="203"/>
      <c r="J1165" s="203"/>
      <c r="K1165" s="203"/>
      <c r="L1165" s="203"/>
      <c r="M1165" s="203"/>
    </row>
    <row r="1166">
      <c r="A1166" s="203"/>
      <c r="B1166" s="345"/>
      <c r="C1166" s="345"/>
      <c r="D1166" s="345"/>
      <c r="E1166" s="345"/>
      <c r="F1166" s="345"/>
      <c r="G1166" s="345"/>
      <c r="H1166" s="203"/>
      <c r="I1166" s="203"/>
      <c r="J1166" s="203"/>
      <c r="K1166" s="203"/>
      <c r="L1166" s="203"/>
      <c r="M1166" s="203"/>
    </row>
    <row r="1167">
      <c r="A1167" s="203"/>
      <c r="B1167" s="345"/>
      <c r="C1167" s="345"/>
      <c r="D1167" s="345"/>
      <c r="E1167" s="345"/>
      <c r="F1167" s="345"/>
      <c r="G1167" s="345"/>
      <c r="H1167" s="203"/>
      <c r="I1167" s="203"/>
      <c r="J1167" s="203"/>
      <c r="K1167" s="203"/>
      <c r="L1167" s="203"/>
      <c r="M1167" s="203"/>
    </row>
    <row r="1168">
      <c r="A1168" s="203"/>
      <c r="B1168" s="345"/>
      <c r="C1168" s="345"/>
      <c r="D1168" s="345"/>
      <c r="E1168" s="345"/>
      <c r="F1168" s="345"/>
      <c r="G1168" s="345"/>
      <c r="H1168" s="203"/>
      <c r="I1168" s="203"/>
      <c r="J1168" s="203"/>
      <c r="K1168" s="203"/>
      <c r="L1168" s="203"/>
      <c r="M1168" s="203"/>
    </row>
    <row r="1169">
      <c r="A1169" s="203"/>
      <c r="B1169" s="345"/>
      <c r="C1169" s="345"/>
      <c r="D1169" s="345"/>
      <c r="E1169" s="345"/>
      <c r="F1169" s="345"/>
      <c r="G1169" s="345"/>
      <c r="H1169" s="203"/>
      <c r="I1169" s="203"/>
      <c r="J1169" s="203"/>
      <c r="K1169" s="203"/>
      <c r="L1169" s="203"/>
      <c r="M1169" s="203"/>
    </row>
    <row r="1170">
      <c r="A1170" s="203"/>
      <c r="B1170" s="345"/>
      <c r="C1170" s="345"/>
      <c r="D1170" s="345"/>
      <c r="E1170" s="345"/>
      <c r="F1170" s="345"/>
      <c r="G1170" s="345"/>
      <c r="H1170" s="203"/>
      <c r="I1170" s="203"/>
      <c r="J1170" s="203"/>
      <c r="K1170" s="203"/>
      <c r="L1170" s="203"/>
      <c r="M1170" s="203"/>
    </row>
    <row r="1171">
      <c r="A1171" s="203"/>
      <c r="B1171" s="345"/>
      <c r="C1171" s="345"/>
      <c r="D1171" s="345"/>
      <c r="E1171" s="345"/>
      <c r="F1171" s="345"/>
      <c r="G1171" s="345"/>
      <c r="H1171" s="203"/>
      <c r="I1171" s="203"/>
      <c r="J1171" s="203"/>
      <c r="K1171" s="203"/>
      <c r="L1171" s="203"/>
      <c r="M1171" s="203"/>
    </row>
    <row r="1172">
      <c r="A1172" s="203"/>
      <c r="B1172" s="345"/>
      <c r="C1172" s="345"/>
      <c r="D1172" s="345"/>
      <c r="E1172" s="345"/>
      <c r="F1172" s="345"/>
      <c r="G1172" s="345"/>
      <c r="H1172" s="203"/>
      <c r="I1172" s="203"/>
      <c r="J1172" s="203"/>
      <c r="K1172" s="203"/>
      <c r="L1172" s="203"/>
      <c r="M1172" s="203"/>
    </row>
    <row r="1173">
      <c r="A1173" s="203"/>
      <c r="B1173" s="345"/>
      <c r="C1173" s="345"/>
      <c r="D1173" s="345"/>
      <c r="E1173" s="345"/>
      <c r="F1173" s="345"/>
      <c r="G1173" s="345"/>
      <c r="H1173" s="203"/>
      <c r="I1173" s="203"/>
      <c r="J1173" s="203"/>
      <c r="K1173" s="203"/>
      <c r="L1173" s="203"/>
      <c r="M1173" s="203"/>
    </row>
    <row r="1174">
      <c r="A1174" s="203"/>
      <c r="B1174" s="345"/>
      <c r="C1174" s="345"/>
      <c r="D1174" s="345"/>
      <c r="E1174" s="345"/>
      <c r="F1174" s="345"/>
      <c r="G1174" s="345"/>
      <c r="H1174" s="203"/>
      <c r="I1174" s="203"/>
      <c r="J1174" s="203"/>
      <c r="K1174" s="203"/>
      <c r="L1174" s="203"/>
      <c r="M1174" s="203"/>
    </row>
    <row r="1175">
      <c r="A1175" s="203"/>
      <c r="B1175" s="345"/>
      <c r="C1175" s="345"/>
      <c r="D1175" s="345"/>
      <c r="E1175" s="345"/>
      <c r="F1175" s="345"/>
      <c r="G1175" s="345"/>
      <c r="H1175" s="203"/>
      <c r="I1175" s="203"/>
      <c r="J1175" s="203"/>
      <c r="K1175" s="203"/>
      <c r="L1175" s="203"/>
      <c r="M1175" s="203"/>
    </row>
    <row r="1176">
      <c r="A1176" s="203"/>
      <c r="B1176" s="345"/>
      <c r="C1176" s="345"/>
      <c r="D1176" s="345"/>
      <c r="E1176" s="345"/>
      <c r="F1176" s="345"/>
      <c r="G1176" s="345"/>
      <c r="H1176" s="203"/>
      <c r="I1176" s="203"/>
      <c r="J1176" s="203"/>
      <c r="K1176" s="203"/>
      <c r="L1176" s="203"/>
      <c r="M1176" s="203"/>
    </row>
    <row r="1177">
      <c r="A1177" s="203"/>
      <c r="B1177" s="345"/>
      <c r="C1177" s="345"/>
      <c r="D1177" s="345"/>
      <c r="E1177" s="345"/>
      <c r="F1177" s="345"/>
      <c r="G1177" s="345"/>
      <c r="H1177" s="203"/>
      <c r="I1177" s="203"/>
      <c r="J1177" s="203"/>
      <c r="K1177" s="203"/>
      <c r="L1177" s="203"/>
      <c r="M1177" s="203"/>
    </row>
    <row r="1178">
      <c r="A1178" s="203"/>
      <c r="B1178" s="345"/>
      <c r="C1178" s="345"/>
      <c r="D1178" s="345"/>
      <c r="E1178" s="345"/>
      <c r="F1178" s="345"/>
      <c r="G1178" s="345"/>
      <c r="H1178" s="203"/>
      <c r="I1178" s="203"/>
      <c r="J1178" s="203"/>
      <c r="K1178" s="203"/>
      <c r="L1178" s="203"/>
      <c r="M1178" s="203"/>
    </row>
    <row r="1179">
      <c r="A1179" s="203"/>
      <c r="B1179" s="345"/>
      <c r="C1179" s="345"/>
      <c r="D1179" s="345"/>
      <c r="E1179" s="345"/>
      <c r="F1179" s="345"/>
      <c r="G1179" s="345"/>
      <c r="H1179" s="203"/>
      <c r="I1179" s="203"/>
      <c r="J1179" s="203"/>
      <c r="K1179" s="203"/>
      <c r="L1179" s="203"/>
      <c r="M1179" s="203"/>
    </row>
    <row r="1180">
      <c r="A1180" s="203"/>
      <c r="B1180" s="345"/>
      <c r="C1180" s="345"/>
      <c r="D1180" s="345"/>
      <c r="E1180" s="345"/>
      <c r="F1180" s="345"/>
      <c r="G1180" s="345"/>
      <c r="H1180" s="203"/>
      <c r="I1180" s="203"/>
      <c r="J1180" s="203"/>
      <c r="K1180" s="203"/>
      <c r="L1180" s="203"/>
      <c r="M1180" s="203"/>
    </row>
    <row r="1181">
      <c r="A1181" s="203"/>
      <c r="B1181" s="345"/>
      <c r="C1181" s="345"/>
      <c r="D1181" s="345"/>
      <c r="E1181" s="345"/>
      <c r="F1181" s="345"/>
      <c r="G1181" s="345"/>
      <c r="H1181" s="203"/>
      <c r="I1181" s="203"/>
      <c r="J1181" s="203"/>
      <c r="K1181" s="203"/>
      <c r="L1181" s="203"/>
      <c r="M1181" s="203"/>
    </row>
    <row r="1182">
      <c r="A1182" s="203"/>
      <c r="B1182" s="345"/>
      <c r="C1182" s="345"/>
      <c r="D1182" s="345"/>
      <c r="E1182" s="345"/>
      <c r="F1182" s="345"/>
      <c r="G1182" s="345"/>
      <c r="H1182" s="203"/>
      <c r="I1182" s="203"/>
      <c r="J1182" s="203"/>
      <c r="K1182" s="203"/>
      <c r="L1182" s="203"/>
      <c r="M1182" s="203"/>
    </row>
    <row r="1183">
      <c r="A1183" s="203"/>
      <c r="B1183" s="345"/>
      <c r="C1183" s="345"/>
      <c r="D1183" s="345"/>
      <c r="E1183" s="345"/>
      <c r="F1183" s="345"/>
      <c r="G1183" s="345"/>
      <c r="H1183" s="203"/>
      <c r="I1183" s="203"/>
      <c r="J1183" s="203"/>
      <c r="K1183" s="203"/>
      <c r="L1183" s="203"/>
      <c r="M1183" s="203"/>
    </row>
    <row r="1184">
      <c r="A1184" s="203"/>
      <c r="B1184" s="345"/>
      <c r="C1184" s="345"/>
      <c r="D1184" s="345"/>
      <c r="E1184" s="345"/>
      <c r="F1184" s="345"/>
      <c r="G1184" s="345"/>
      <c r="H1184" s="203"/>
      <c r="I1184" s="203"/>
      <c r="J1184" s="203"/>
      <c r="K1184" s="203"/>
      <c r="L1184" s="203"/>
      <c r="M1184" s="203"/>
    </row>
    <row r="1185">
      <c r="A1185" s="203"/>
      <c r="B1185" s="345"/>
      <c r="C1185" s="345"/>
      <c r="D1185" s="345"/>
      <c r="E1185" s="345"/>
      <c r="F1185" s="345"/>
      <c r="G1185" s="345"/>
      <c r="H1185" s="203"/>
      <c r="I1185" s="203"/>
      <c r="J1185" s="203"/>
      <c r="K1185" s="203"/>
      <c r="L1185" s="203"/>
      <c r="M1185" s="203"/>
    </row>
    <row r="1186">
      <c r="A1186" s="203"/>
      <c r="B1186" s="345"/>
      <c r="C1186" s="345"/>
      <c r="D1186" s="345"/>
      <c r="E1186" s="345"/>
      <c r="F1186" s="345"/>
      <c r="G1186" s="345"/>
      <c r="H1186" s="203"/>
      <c r="I1186" s="203"/>
      <c r="J1186" s="203"/>
      <c r="K1186" s="203"/>
      <c r="L1186" s="203"/>
      <c r="M1186" s="203"/>
    </row>
    <row r="1187">
      <c r="A1187" s="203"/>
      <c r="B1187" s="345"/>
      <c r="C1187" s="345"/>
      <c r="D1187" s="345"/>
      <c r="E1187" s="345"/>
      <c r="F1187" s="345"/>
      <c r="G1187" s="345"/>
      <c r="H1187" s="203"/>
      <c r="I1187" s="203"/>
      <c r="J1187" s="203"/>
      <c r="K1187" s="203"/>
      <c r="L1187" s="203"/>
      <c r="M1187" s="203"/>
    </row>
    <row r="1188">
      <c r="A1188" s="203"/>
      <c r="B1188" s="345"/>
      <c r="C1188" s="345"/>
      <c r="D1188" s="345"/>
      <c r="E1188" s="345"/>
      <c r="F1188" s="345"/>
      <c r="G1188" s="345"/>
      <c r="H1188" s="203"/>
      <c r="I1188" s="203"/>
      <c r="J1188" s="203"/>
      <c r="K1188" s="203"/>
      <c r="L1188" s="203"/>
      <c r="M1188" s="203"/>
    </row>
    <row r="1189">
      <c r="A1189" s="203"/>
      <c r="B1189" s="345"/>
      <c r="C1189" s="345"/>
      <c r="D1189" s="345"/>
      <c r="E1189" s="345"/>
      <c r="F1189" s="345"/>
      <c r="G1189" s="345"/>
      <c r="H1189" s="203"/>
      <c r="I1189" s="203"/>
      <c r="J1189" s="203"/>
      <c r="K1189" s="203"/>
      <c r="L1189" s="203"/>
      <c r="M1189" s="203"/>
    </row>
    <row r="1190">
      <c r="A1190" s="203"/>
      <c r="B1190" s="345"/>
      <c r="C1190" s="345"/>
      <c r="D1190" s="345"/>
      <c r="E1190" s="345"/>
      <c r="F1190" s="345"/>
      <c r="G1190" s="345"/>
      <c r="H1190" s="203"/>
      <c r="I1190" s="203"/>
      <c r="J1190" s="203"/>
      <c r="K1190" s="203"/>
      <c r="L1190" s="203"/>
      <c r="M1190" s="203"/>
    </row>
    <row r="1191">
      <c r="A1191" s="203"/>
      <c r="B1191" s="345"/>
      <c r="C1191" s="345"/>
      <c r="D1191" s="345"/>
      <c r="E1191" s="345"/>
      <c r="F1191" s="345"/>
      <c r="G1191" s="345"/>
      <c r="H1191" s="203"/>
      <c r="I1191" s="203"/>
      <c r="J1191" s="203"/>
      <c r="K1191" s="203"/>
      <c r="L1191" s="203"/>
      <c r="M1191" s="203"/>
    </row>
    <row r="1192">
      <c r="A1192" s="203"/>
      <c r="B1192" s="345"/>
      <c r="C1192" s="345"/>
      <c r="D1192" s="345"/>
      <c r="E1192" s="345"/>
      <c r="F1192" s="345"/>
      <c r="G1192" s="345"/>
      <c r="H1192" s="203"/>
      <c r="I1192" s="203"/>
      <c r="J1192" s="203"/>
      <c r="K1192" s="203"/>
      <c r="L1192" s="203"/>
      <c r="M1192" s="203"/>
    </row>
    <row r="1193">
      <c r="A1193" s="203"/>
      <c r="B1193" s="345"/>
      <c r="C1193" s="345"/>
      <c r="D1193" s="345"/>
      <c r="E1193" s="345"/>
      <c r="F1193" s="345"/>
      <c r="G1193" s="345"/>
      <c r="H1193" s="203"/>
      <c r="I1193" s="203"/>
      <c r="J1193" s="203"/>
      <c r="K1193" s="203"/>
      <c r="L1193" s="203"/>
      <c r="M1193" s="203"/>
    </row>
    <row r="1194">
      <c r="A1194" s="203"/>
      <c r="B1194" s="345"/>
      <c r="C1194" s="345"/>
      <c r="D1194" s="345"/>
      <c r="E1194" s="345"/>
      <c r="F1194" s="345"/>
      <c r="G1194" s="345"/>
      <c r="H1194" s="203"/>
      <c r="I1194" s="203"/>
      <c r="J1194" s="203"/>
      <c r="K1194" s="203"/>
      <c r="L1194" s="203"/>
      <c r="M1194" s="203"/>
    </row>
    <row r="1195">
      <c r="A1195" s="203"/>
      <c r="B1195" s="345"/>
      <c r="C1195" s="345"/>
      <c r="D1195" s="345"/>
      <c r="E1195" s="345"/>
      <c r="F1195" s="345"/>
      <c r="G1195" s="345"/>
      <c r="H1195" s="203"/>
      <c r="I1195" s="203"/>
      <c r="J1195" s="203"/>
      <c r="K1195" s="203"/>
      <c r="L1195" s="203"/>
      <c r="M1195" s="203"/>
    </row>
    <row r="1196">
      <c r="A1196" s="203"/>
      <c r="B1196" s="345"/>
      <c r="C1196" s="345"/>
      <c r="D1196" s="345"/>
      <c r="E1196" s="345"/>
      <c r="F1196" s="345"/>
      <c r="G1196" s="345"/>
      <c r="H1196" s="203"/>
      <c r="I1196" s="203"/>
      <c r="J1196" s="203"/>
      <c r="K1196" s="203"/>
      <c r="L1196" s="203"/>
      <c r="M1196" s="203"/>
    </row>
    <row r="1197">
      <c r="A1197" s="203"/>
      <c r="B1197" s="345"/>
      <c r="C1197" s="345"/>
      <c r="D1197" s="345"/>
      <c r="E1197" s="345"/>
      <c r="F1197" s="345"/>
      <c r="G1197" s="345"/>
      <c r="H1197" s="203"/>
      <c r="I1197" s="203"/>
      <c r="J1197" s="203"/>
      <c r="K1197" s="203"/>
      <c r="L1197" s="203"/>
      <c r="M1197" s="203"/>
    </row>
  </sheetData>
  <autoFilter ref="$B$2:$G$674"/>
  <mergeCells count="15">
    <mergeCell ref="B326:G326"/>
    <mergeCell ref="B437:G437"/>
    <mergeCell ref="B507:G507"/>
    <mergeCell ref="B516:B524"/>
    <mergeCell ref="B530:B533"/>
    <mergeCell ref="B593:G593"/>
    <mergeCell ref="B643:B652"/>
    <mergeCell ref="B666:G666"/>
    <mergeCell ref="A1:G1"/>
    <mergeCell ref="B3:G3"/>
    <mergeCell ref="B73:G73"/>
    <mergeCell ref="B179:G179"/>
    <mergeCell ref="B217:G217"/>
    <mergeCell ref="B267:G267"/>
    <mergeCell ref="B288:G288"/>
  </mergeCells>
  <conditionalFormatting sqref="A3:A897 B3:G674">
    <cfRule type="expression" dxfId="0" priority="1">
      <formula>#REF!=TRUE</formula>
    </cfRule>
  </conditionalFormatting>
  <hyperlinks>
    <hyperlink r:id="rId1" ref="F11"/>
    <hyperlink r:id="rId2" ref="F12"/>
    <hyperlink r:id="rId3" location="contact-us" ref="E25"/>
    <hyperlink r:id="rId4" ref="D31"/>
    <hyperlink r:id="rId5" ref="E51"/>
    <hyperlink r:id="rId6" ref="F53"/>
    <hyperlink r:id="rId7" ref="F60"/>
    <hyperlink r:id="rId8" ref="G60"/>
    <hyperlink r:id="rId9" ref="F66"/>
    <hyperlink r:id="rId10" ref="F75"/>
    <hyperlink r:id="rId11" ref="F82"/>
    <hyperlink r:id="rId12" ref="F83"/>
    <hyperlink r:id="rId13" ref="F89"/>
    <hyperlink r:id="rId14" ref="F92"/>
    <hyperlink r:id="rId15" ref="F95"/>
    <hyperlink r:id="rId16" ref="F148"/>
    <hyperlink r:id="rId17" ref="E193"/>
    <hyperlink r:id="rId18" ref="F196"/>
    <hyperlink r:id="rId19" ref="E197"/>
    <hyperlink r:id="rId20" ref="F197"/>
    <hyperlink r:id="rId21" ref="F198"/>
    <hyperlink r:id="rId22" ref="F199"/>
    <hyperlink r:id="rId23" ref="F200"/>
    <hyperlink r:id="rId24" ref="F202"/>
    <hyperlink r:id="rId25" ref="B209"/>
    <hyperlink r:id="rId26" ref="F209"/>
    <hyperlink r:id="rId27" ref="B218"/>
    <hyperlink r:id="rId28" ref="B219"/>
    <hyperlink r:id="rId29" ref="F219"/>
    <hyperlink r:id="rId30" ref="F220"/>
    <hyperlink r:id="rId31" ref="F221"/>
    <hyperlink r:id="rId32" ref="F222"/>
    <hyperlink r:id="rId33" ref="E223"/>
    <hyperlink r:id="rId34" ref="F224"/>
    <hyperlink r:id="rId35" ref="F225"/>
    <hyperlink r:id="rId36" ref="E226"/>
    <hyperlink r:id="rId37" ref="E227"/>
    <hyperlink r:id="rId38" ref="E229"/>
    <hyperlink r:id="rId39" ref="F229"/>
    <hyperlink r:id="rId40" ref="F230"/>
    <hyperlink r:id="rId41" ref="F231"/>
    <hyperlink r:id="rId42" ref="F232"/>
    <hyperlink r:id="rId43" ref="F233"/>
    <hyperlink r:id="rId44" ref="F234"/>
    <hyperlink r:id="rId45" ref="F238"/>
    <hyperlink r:id="rId46" ref="F239"/>
    <hyperlink r:id="rId47" ref="F240"/>
    <hyperlink r:id="rId48" ref="E241"/>
    <hyperlink r:id="rId49" ref="F241"/>
    <hyperlink r:id="rId50" ref="F242"/>
    <hyperlink r:id="rId51" ref="F243"/>
    <hyperlink r:id="rId52" ref="F245"/>
    <hyperlink r:id="rId53" ref="F246"/>
    <hyperlink r:id="rId54" ref="F247"/>
    <hyperlink r:id="rId55" ref="F248"/>
    <hyperlink r:id="rId56" ref="F250"/>
    <hyperlink r:id="rId57" ref="F251"/>
    <hyperlink r:id="rId58" ref="F252"/>
    <hyperlink r:id="rId59" ref="F253"/>
    <hyperlink r:id="rId60" ref="F254"/>
    <hyperlink r:id="rId61" ref="F255"/>
    <hyperlink r:id="rId62" ref="F256"/>
    <hyperlink r:id="rId63" ref="F257"/>
    <hyperlink r:id="rId64" ref="F268"/>
    <hyperlink r:id="rId65" ref="F270"/>
    <hyperlink r:id="rId66" ref="F271"/>
    <hyperlink r:id="rId67" ref="F272"/>
    <hyperlink r:id="rId68" ref="F273"/>
    <hyperlink r:id="rId69" ref="F274"/>
    <hyperlink r:id="rId70" ref="F275"/>
    <hyperlink r:id="rId71" ref="F276"/>
    <hyperlink r:id="rId72" ref="F277"/>
    <hyperlink r:id="rId73" ref="F278"/>
    <hyperlink r:id="rId74" ref="F279"/>
    <hyperlink r:id="rId75" ref="F280"/>
    <hyperlink r:id="rId76" ref="F281"/>
    <hyperlink r:id="rId77" ref="F282"/>
    <hyperlink r:id="rId78" ref="F283"/>
    <hyperlink r:id="rId79" ref="F284"/>
    <hyperlink r:id="rId80" ref="F285"/>
    <hyperlink r:id="rId81" ref="F286"/>
    <hyperlink r:id="rId82" ref="F287"/>
    <hyperlink r:id="rId83" ref="F289"/>
    <hyperlink r:id="rId84" ref="F290"/>
    <hyperlink r:id="rId85" ref="F291"/>
    <hyperlink r:id="rId86" ref="F292"/>
    <hyperlink r:id="rId87" ref="F293"/>
    <hyperlink r:id="rId88" ref="F294"/>
    <hyperlink r:id="rId89" ref="F295"/>
    <hyperlink r:id="rId90" ref="F304"/>
    <hyperlink r:id="rId91" ref="F305"/>
    <hyperlink r:id="rId92" ref="F438"/>
    <hyperlink r:id="rId93" ref="B449"/>
    <hyperlink r:id="rId94" ref="E457"/>
    <hyperlink r:id="rId95" ref="C475"/>
    <hyperlink r:id="rId96" ref="C481"/>
    <hyperlink r:id="rId97" ref="B484"/>
    <hyperlink r:id="rId98" ref="E496"/>
    <hyperlink r:id="rId99" ref="F497"/>
    <hyperlink r:id="rId100" ref="B500"/>
    <hyperlink r:id="rId101" ref="F502"/>
    <hyperlink r:id="rId102" ref="F503"/>
    <hyperlink r:id="rId103" ref="F525"/>
    <hyperlink r:id="rId104" ref="F526"/>
    <hyperlink r:id="rId105" ref="F527"/>
    <hyperlink r:id="rId106" ref="F528"/>
    <hyperlink r:id="rId107" ref="F529"/>
    <hyperlink r:id="rId108" ref="F531"/>
    <hyperlink r:id="rId109" ref="F539"/>
    <hyperlink r:id="rId110" ref="F541"/>
    <hyperlink r:id="rId111" ref="F542"/>
    <hyperlink r:id="rId112" ref="F544"/>
    <hyperlink r:id="rId113" ref="F545"/>
    <hyperlink r:id="rId114" ref="F547"/>
    <hyperlink r:id="rId115" ref="F548"/>
    <hyperlink r:id="rId116" ref="F549"/>
    <hyperlink r:id="rId117" ref="F554"/>
    <hyperlink r:id="rId118" ref="F560"/>
    <hyperlink r:id="rId119" ref="F565"/>
    <hyperlink r:id="rId120" ref="F577"/>
    <hyperlink r:id="rId121" ref="F578"/>
    <hyperlink r:id="rId122" ref="B583"/>
    <hyperlink r:id="rId123" ref="B590"/>
    <hyperlink r:id="rId124" ref="B612"/>
    <hyperlink r:id="rId125" ref="E623"/>
    <hyperlink r:id="rId126" ref="F632"/>
    <hyperlink r:id="rId127" ref="D657"/>
    <hyperlink r:id="rId128" ref="E665"/>
    <hyperlink r:id="rId129" ref="B669"/>
  </hyperlinks>
  <drawing r:id="rId13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75"/>
    <col customWidth="1" min="2" max="2" width="32.88"/>
    <col customWidth="1" min="3" max="4" width="25.5"/>
    <col customWidth="1" min="5" max="5" width="24.0"/>
    <col customWidth="1" min="6" max="6" width="26.88"/>
    <col customWidth="1" min="7" max="7" width="30.5"/>
    <col customWidth="1" min="8" max="8" width="17.25"/>
  </cols>
  <sheetData>
    <row r="1" ht="29.25" customHeight="1">
      <c r="A1" s="346" t="s">
        <v>2461</v>
      </c>
      <c r="B1" s="346" t="s">
        <v>1</v>
      </c>
      <c r="C1" s="346" t="s">
        <v>2462</v>
      </c>
      <c r="D1" s="346" t="s">
        <v>2463</v>
      </c>
      <c r="E1" s="347" t="s">
        <v>3</v>
      </c>
      <c r="F1" s="346" t="s">
        <v>4</v>
      </c>
      <c r="G1" s="346" t="s">
        <v>6</v>
      </c>
      <c r="H1" s="346" t="s">
        <v>5</v>
      </c>
    </row>
    <row r="2" ht="28.5" customHeight="1">
      <c r="A2" s="344"/>
      <c r="B2" s="348" t="s">
        <v>2464</v>
      </c>
      <c r="C2" s="344"/>
      <c r="D2" s="348" t="s">
        <v>2465</v>
      </c>
      <c r="E2" s="349" t="s">
        <v>2466</v>
      </c>
      <c r="F2" s="348" t="s">
        <v>2467</v>
      </c>
      <c r="G2" s="348" t="s">
        <v>2468</v>
      </c>
      <c r="H2" s="344"/>
      <c r="I2" s="345"/>
      <c r="J2" s="345"/>
      <c r="K2" s="345"/>
      <c r="L2" s="345"/>
      <c r="M2" s="345"/>
      <c r="N2" s="345"/>
      <c r="O2" s="345"/>
      <c r="P2" s="345"/>
      <c r="Q2" s="345"/>
      <c r="R2" s="345"/>
      <c r="S2" s="345"/>
      <c r="T2" s="345"/>
      <c r="U2" s="345"/>
      <c r="V2" s="345"/>
      <c r="W2" s="345"/>
      <c r="X2" s="345"/>
      <c r="Y2" s="345"/>
      <c r="Z2" s="345"/>
      <c r="AA2" s="345"/>
    </row>
    <row r="3" ht="30.0" customHeight="1">
      <c r="A3" s="194"/>
      <c r="B3" s="189" t="s">
        <v>2469</v>
      </c>
      <c r="C3" s="189" t="s">
        <v>2470</v>
      </c>
      <c r="D3" s="348" t="s">
        <v>2465</v>
      </c>
      <c r="E3" s="350" t="s">
        <v>2471</v>
      </c>
      <c r="F3" s="189" t="s">
        <v>2472</v>
      </c>
      <c r="G3" s="189" t="s">
        <v>2473</v>
      </c>
      <c r="H3" s="194"/>
    </row>
    <row r="4" ht="25.5" customHeight="1">
      <c r="A4" s="194"/>
      <c r="B4" s="189" t="s">
        <v>2474</v>
      </c>
      <c r="C4" s="189" t="s">
        <v>2475</v>
      </c>
      <c r="D4" s="189" t="s">
        <v>2476</v>
      </c>
      <c r="E4" s="350" t="s">
        <v>2477</v>
      </c>
      <c r="F4" s="189" t="s">
        <v>2478</v>
      </c>
      <c r="G4" s="189" t="s">
        <v>2479</v>
      </c>
      <c r="H4" s="194"/>
    </row>
    <row r="5">
      <c r="A5" s="194"/>
      <c r="B5" s="189" t="s">
        <v>2480</v>
      </c>
      <c r="C5" s="194"/>
      <c r="D5" s="189" t="s">
        <v>2481</v>
      </c>
      <c r="E5" s="350" t="s">
        <v>2482</v>
      </c>
      <c r="F5" s="189" t="s">
        <v>2483</v>
      </c>
      <c r="G5" s="189" t="s">
        <v>2484</v>
      </c>
      <c r="H5" s="194"/>
    </row>
    <row r="6">
      <c r="A6" s="351"/>
      <c r="B6" s="352" t="s">
        <v>2485</v>
      </c>
      <c r="C6" s="351"/>
      <c r="D6" s="351"/>
      <c r="E6" s="353" t="s">
        <v>2486</v>
      </c>
      <c r="F6" s="352" t="s">
        <v>2487</v>
      </c>
      <c r="G6" s="352" t="s">
        <v>2488</v>
      </c>
      <c r="H6" s="351"/>
      <c r="I6" s="354"/>
      <c r="J6" s="354"/>
      <c r="K6" s="354"/>
      <c r="L6" s="354"/>
      <c r="M6" s="354"/>
      <c r="N6" s="354"/>
      <c r="O6" s="354"/>
      <c r="P6" s="354"/>
      <c r="Q6" s="354"/>
      <c r="R6" s="354"/>
      <c r="S6" s="354"/>
      <c r="T6" s="354"/>
    </row>
    <row r="7">
      <c r="A7" s="194"/>
      <c r="B7" s="189" t="s">
        <v>2489</v>
      </c>
      <c r="C7" s="189" t="s">
        <v>2490</v>
      </c>
      <c r="D7" s="189" t="s">
        <v>2491</v>
      </c>
      <c r="E7" s="350" t="s">
        <v>2492</v>
      </c>
      <c r="F7" s="194"/>
      <c r="G7" s="189" t="s">
        <v>2493</v>
      </c>
      <c r="H7" s="194"/>
    </row>
    <row r="8">
      <c r="A8" s="351"/>
      <c r="B8" s="352" t="s">
        <v>797</v>
      </c>
      <c r="C8" s="352" t="s">
        <v>2494</v>
      </c>
      <c r="D8" s="351"/>
      <c r="E8" s="353" t="s">
        <v>2495</v>
      </c>
      <c r="F8" s="352" t="s">
        <v>2496</v>
      </c>
      <c r="G8" s="352" t="s">
        <v>2497</v>
      </c>
      <c r="H8" s="351"/>
      <c r="I8" s="354"/>
      <c r="J8" s="354"/>
      <c r="K8" s="354"/>
      <c r="L8" s="354"/>
      <c r="M8" s="354"/>
      <c r="N8" s="354"/>
      <c r="O8" s="354"/>
      <c r="P8" s="354"/>
      <c r="Q8" s="354"/>
      <c r="R8" s="354"/>
      <c r="S8" s="354"/>
      <c r="T8" s="354"/>
    </row>
    <row r="9">
      <c r="A9" s="194"/>
      <c r="B9" s="189" t="s">
        <v>2498</v>
      </c>
      <c r="C9" s="189" t="s">
        <v>2499</v>
      </c>
      <c r="D9" s="189" t="s">
        <v>2500</v>
      </c>
      <c r="E9" s="350" t="s">
        <v>2501</v>
      </c>
      <c r="F9" s="189" t="s">
        <v>2502</v>
      </c>
      <c r="G9" s="189" t="s">
        <v>2503</v>
      </c>
      <c r="H9" s="194"/>
    </row>
    <row r="10">
      <c r="A10" s="194"/>
      <c r="B10" s="189" t="s">
        <v>2504</v>
      </c>
      <c r="C10" s="189" t="s">
        <v>2505</v>
      </c>
      <c r="D10" s="189" t="s">
        <v>2506</v>
      </c>
      <c r="E10" s="350">
        <v>7.501957174E9</v>
      </c>
      <c r="F10" s="189" t="s">
        <v>2507</v>
      </c>
      <c r="G10" s="189" t="s">
        <v>2508</v>
      </c>
      <c r="H10" s="194"/>
    </row>
    <row r="11">
      <c r="A11" s="194"/>
      <c r="B11" s="189" t="s">
        <v>2509</v>
      </c>
      <c r="C11" s="189" t="s">
        <v>2510</v>
      </c>
      <c r="D11" s="194"/>
      <c r="E11" s="350" t="s">
        <v>2511</v>
      </c>
      <c r="F11" s="189" t="s">
        <v>2512</v>
      </c>
      <c r="G11" s="194"/>
      <c r="H11" s="194"/>
    </row>
    <row r="12">
      <c r="A12" s="194"/>
      <c r="B12" s="189" t="s">
        <v>2513</v>
      </c>
      <c r="C12" s="189" t="s">
        <v>2514</v>
      </c>
      <c r="D12" s="189" t="s">
        <v>2515</v>
      </c>
      <c r="E12" s="350" t="s">
        <v>2516</v>
      </c>
      <c r="F12" s="189" t="s">
        <v>2517</v>
      </c>
      <c r="G12" s="189" t="s">
        <v>2497</v>
      </c>
      <c r="H12" s="194"/>
    </row>
    <row r="13">
      <c r="A13" s="194"/>
      <c r="B13" s="189" t="s">
        <v>2518</v>
      </c>
      <c r="C13" s="194"/>
      <c r="D13" s="194"/>
      <c r="E13" s="350" t="s">
        <v>2519</v>
      </c>
      <c r="F13" s="189" t="s">
        <v>2520</v>
      </c>
      <c r="G13" s="189" t="s">
        <v>2521</v>
      </c>
      <c r="H13" s="194"/>
    </row>
    <row r="14">
      <c r="A14" s="194"/>
      <c r="B14" s="189" t="s">
        <v>2522</v>
      </c>
      <c r="C14" s="189" t="s">
        <v>2523</v>
      </c>
      <c r="D14" s="189" t="s">
        <v>2524</v>
      </c>
      <c r="E14" s="350" t="s">
        <v>2525</v>
      </c>
      <c r="F14" s="189" t="s">
        <v>2526</v>
      </c>
      <c r="G14" s="189" t="s">
        <v>2527</v>
      </c>
      <c r="H14" s="194"/>
    </row>
    <row r="15">
      <c r="A15" s="351"/>
      <c r="B15" s="189" t="s">
        <v>2528</v>
      </c>
      <c r="C15" s="189" t="s">
        <v>2529</v>
      </c>
      <c r="D15" s="194"/>
      <c r="E15" s="350" t="s">
        <v>2530</v>
      </c>
      <c r="F15" s="189" t="s">
        <v>2531</v>
      </c>
      <c r="G15" s="194"/>
      <c r="H15" s="194"/>
    </row>
    <row r="16">
      <c r="A16" s="194"/>
      <c r="B16" s="189" t="s">
        <v>2532</v>
      </c>
      <c r="C16" s="189" t="s">
        <v>2533</v>
      </c>
      <c r="D16" s="189" t="s">
        <v>2534</v>
      </c>
      <c r="E16" s="350" t="s">
        <v>2535</v>
      </c>
      <c r="F16" s="189" t="s">
        <v>2536</v>
      </c>
      <c r="G16" s="194"/>
      <c r="H16" s="194"/>
    </row>
    <row r="17">
      <c r="A17" s="194"/>
      <c r="B17" s="189" t="s">
        <v>2537</v>
      </c>
      <c r="C17" s="189" t="s">
        <v>2538</v>
      </c>
      <c r="D17" s="189" t="s">
        <v>2539</v>
      </c>
      <c r="E17" s="350" t="s">
        <v>2540</v>
      </c>
      <c r="F17" s="189" t="s">
        <v>2541</v>
      </c>
      <c r="G17" s="189" t="s">
        <v>2542</v>
      </c>
      <c r="H17" s="194"/>
    </row>
    <row r="18">
      <c r="A18" s="194"/>
      <c r="B18" s="189" t="s">
        <v>2543</v>
      </c>
      <c r="C18" s="189" t="s">
        <v>2544</v>
      </c>
      <c r="D18" s="189" t="s">
        <v>2545</v>
      </c>
      <c r="E18" s="350" t="s">
        <v>2546</v>
      </c>
      <c r="F18" s="189" t="s">
        <v>2547</v>
      </c>
      <c r="G18" s="189" t="s">
        <v>2548</v>
      </c>
      <c r="H18" s="194"/>
    </row>
    <row r="19">
      <c r="A19" s="194"/>
      <c r="B19" s="189" t="s">
        <v>2549</v>
      </c>
      <c r="C19" s="189" t="s">
        <v>2550</v>
      </c>
      <c r="D19" s="189" t="s">
        <v>2476</v>
      </c>
      <c r="E19" s="350" t="s">
        <v>2551</v>
      </c>
      <c r="F19" s="189" t="s">
        <v>2552</v>
      </c>
      <c r="G19" s="194"/>
      <c r="H19" s="194"/>
    </row>
    <row r="20">
      <c r="A20" s="194"/>
      <c r="B20" s="189" t="s">
        <v>2553</v>
      </c>
      <c r="C20" s="189" t="s">
        <v>2554</v>
      </c>
      <c r="D20" s="194"/>
      <c r="E20" s="350" t="s">
        <v>2555</v>
      </c>
      <c r="F20" s="189" t="s">
        <v>2556</v>
      </c>
      <c r="G20" s="189" t="s">
        <v>2557</v>
      </c>
      <c r="H20" s="194"/>
    </row>
    <row r="21">
      <c r="A21" s="194"/>
      <c r="B21" s="189" t="s">
        <v>2558</v>
      </c>
      <c r="C21" s="189" t="s">
        <v>2559</v>
      </c>
      <c r="D21" s="189" t="s">
        <v>2560</v>
      </c>
      <c r="E21" s="350" t="s">
        <v>2561</v>
      </c>
      <c r="F21" s="189" t="s">
        <v>2562</v>
      </c>
      <c r="G21" s="189" t="s">
        <v>674</v>
      </c>
      <c r="H21" s="194"/>
    </row>
    <row r="22">
      <c r="A22" s="194"/>
      <c r="B22" s="189" t="s">
        <v>2563</v>
      </c>
      <c r="C22" s="189" t="s">
        <v>2564</v>
      </c>
      <c r="D22" s="189" t="s">
        <v>2565</v>
      </c>
      <c r="E22" s="350" t="s">
        <v>2566</v>
      </c>
      <c r="F22" s="189" t="s">
        <v>2567</v>
      </c>
      <c r="G22" s="189" t="s">
        <v>2568</v>
      </c>
      <c r="H22" s="194"/>
    </row>
    <row r="23">
      <c r="A23" s="194"/>
      <c r="B23" s="189" t="s">
        <v>22</v>
      </c>
      <c r="C23" s="189" t="s">
        <v>2569</v>
      </c>
      <c r="D23" s="189" t="s">
        <v>2570</v>
      </c>
      <c r="E23" s="350" t="s">
        <v>2571</v>
      </c>
      <c r="F23" s="189" t="s">
        <v>2572</v>
      </c>
      <c r="G23" s="189" t="s">
        <v>674</v>
      </c>
      <c r="H23" s="194"/>
    </row>
    <row r="24">
      <c r="A24" s="194"/>
      <c r="B24" s="189" t="s">
        <v>2573</v>
      </c>
      <c r="C24" s="189" t="s">
        <v>2574</v>
      </c>
      <c r="D24" s="189" t="s">
        <v>2575</v>
      </c>
      <c r="E24" s="350" t="s">
        <v>2576</v>
      </c>
      <c r="F24" s="189" t="s">
        <v>2577</v>
      </c>
      <c r="G24" s="189" t="s">
        <v>2578</v>
      </c>
      <c r="H24" s="194"/>
    </row>
    <row r="25">
      <c r="A25" s="355"/>
      <c r="B25" s="356" t="s">
        <v>2579</v>
      </c>
      <c r="C25" s="355"/>
      <c r="D25" s="355"/>
      <c r="E25" s="356" t="s">
        <v>2580</v>
      </c>
      <c r="F25" s="357" t="s">
        <v>2581</v>
      </c>
      <c r="G25" s="357" t="s">
        <v>674</v>
      </c>
      <c r="H25" s="194"/>
    </row>
    <row r="26">
      <c r="A26" s="355"/>
      <c r="B26" s="357" t="s">
        <v>2582</v>
      </c>
      <c r="C26" s="357" t="s">
        <v>2583</v>
      </c>
      <c r="D26" s="357" t="s">
        <v>2584</v>
      </c>
      <c r="E26" s="356" t="s">
        <v>2585</v>
      </c>
      <c r="F26" s="355"/>
      <c r="G26" s="355"/>
      <c r="H26" s="194"/>
    </row>
    <row r="27">
      <c r="A27" s="355"/>
      <c r="B27" s="355"/>
      <c r="C27" s="355"/>
      <c r="D27" s="355"/>
      <c r="E27" s="358"/>
      <c r="F27" s="355"/>
      <c r="G27" s="355"/>
      <c r="H27" s="194"/>
    </row>
    <row r="28">
      <c r="A28" s="355"/>
      <c r="B28" s="355"/>
      <c r="C28" s="355"/>
      <c r="D28" s="355"/>
      <c r="E28" s="358"/>
      <c r="F28" s="355"/>
      <c r="G28" s="355"/>
      <c r="H28" s="194"/>
    </row>
    <row r="29">
      <c r="A29" s="355"/>
      <c r="B29" s="355"/>
      <c r="C29" s="355"/>
      <c r="D29" s="355"/>
      <c r="E29" s="358"/>
      <c r="F29" s="355"/>
      <c r="G29" s="355"/>
      <c r="H29" s="194"/>
    </row>
    <row r="30">
      <c r="A30" s="355"/>
      <c r="B30" s="355"/>
      <c r="C30" s="355"/>
      <c r="D30" s="355"/>
      <c r="E30" s="358"/>
      <c r="F30" s="355"/>
      <c r="G30" s="355"/>
      <c r="H30" s="194"/>
    </row>
    <row r="31">
      <c r="A31" s="355"/>
      <c r="B31" s="355"/>
      <c r="C31" s="355"/>
      <c r="D31" s="355"/>
      <c r="E31" s="358"/>
      <c r="F31" s="355"/>
      <c r="G31" s="355"/>
      <c r="H31" s="194"/>
    </row>
    <row r="32">
      <c r="A32" s="355"/>
      <c r="B32" s="355"/>
      <c r="C32" s="355"/>
      <c r="D32" s="355"/>
      <c r="E32" s="358"/>
      <c r="F32" s="355"/>
      <c r="G32" s="355"/>
      <c r="H32" s="194"/>
    </row>
    <row r="33">
      <c r="A33" s="355"/>
      <c r="B33" s="355"/>
      <c r="C33" s="355"/>
      <c r="D33" s="355"/>
      <c r="E33" s="358"/>
      <c r="F33" s="355"/>
      <c r="G33" s="355"/>
      <c r="H33" s="194"/>
    </row>
    <row r="34">
      <c r="A34" s="355"/>
      <c r="B34" s="355"/>
      <c r="C34" s="355"/>
      <c r="D34" s="355"/>
      <c r="E34" s="358"/>
      <c r="F34" s="355"/>
      <c r="G34" s="355"/>
      <c r="H34" s="194"/>
    </row>
    <row r="35">
      <c r="A35" s="355"/>
      <c r="B35" s="355"/>
      <c r="C35" s="355"/>
      <c r="D35" s="355"/>
      <c r="E35" s="358"/>
      <c r="F35" s="355"/>
      <c r="G35" s="355"/>
      <c r="H35" s="194"/>
    </row>
    <row r="36">
      <c r="A36" s="355"/>
      <c r="B36" s="355"/>
      <c r="C36" s="355"/>
      <c r="D36" s="355"/>
      <c r="E36" s="358"/>
      <c r="F36" s="355"/>
      <c r="G36" s="355"/>
      <c r="H36" s="194"/>
    </row>
    <row r="37">
      <c r="A37" s="355"/>
      <c r="B37" s="355"/>
      <c r="C37" s="355"/>
      <c r="D37" s="355"/>
      <c r="E37" s="358"/>
      <c r="F37" s="355"/>
      <c r="G37" s="355"/>
      <c r="H37" s="194"/>
    </row>
    <row r="38">
      <c r="A38" s="355"/>
      <c r="B38" s="355"/>
      <c r="C38" s="355"/>
      <c r="D38" s="355"/>
      <c r="E38" s="358"/>
      <c r="F38" s="355"/>
      <c r="G38" s="355"/>
      <c r="H38" s="194"/>
    </row>
    <row r="39">
      <c r="A39" s="355"/>
      <c r="B39" s="355"/>
      <c r="C39" s="355"/>
      <c r="D39" s="355"/>
      <c r="E39" s="358"/>
      <c r="F39" s="355"/>
      <c r="G39" s="355"/>
      <c r="H39" s="194"/>
    </row>
    <row r="40">
      <c r="A40" s="355"/>
      <c r="B40" s="355"/>
      <c r="C40" s="355"/>
      <c r="D40" s="355"/>
      <c r="E40" s="358"/>
      <c r="F40" s="355"/>
      <c r="G40" s="355"/>
      <c r="H40" s="194"/>
    </row>
    <row r="41">
      <c r="A41" s="355"/>
      <c r="B41" s="355"/>
      <c r="C41" s="355"/>
      <c r="D41" s="355"/>
      <c r="E41" s="358"/>
      <c r="F41" s="355"/>
      <c r="G41" s="355"/>
      <c r="H41" s="194"/>
    </row>
    <row r="42">
      <c r="A42" s="355"/>
      <c r="B42" s="355"/>
      <c r="C42" s="355"/>
      <c r="D42" s="355"/>
      <c r="E42" s="358"/>
      <c r="F42" s="355"/>
      <c r="G42" s="355"/>
      <c r="H42" s="194"/>
    </row>
    <row r="43">
      <c r="A43" s="355"/>
      <c r="B43" s="355"/>
      <c r="C43" s="355"/>
      <c r="D43" s="355"/>
      <c r="E43" s="358"/>
      <c r="F43" s="355"/>
      <c r="G43" s="355"/>
      <c r="H43" s="194"/>
    </row>
    <row r="44">
      <c r="A44" s="355"/>
      <c r="B44" s="355"/>
      <c r="C44" s="355"/>
      <c r="D44" s="355"/>
      <c r="E44" s="358"/>
      <c r="F44" s="355"/>
      <c r="G44" s="355"/>
      <c r="H44" s="194"/>
    </row>
    <row r="45">
      <c r="A45" s="355"/>
      <c r="B45" s="355"/>
      <c r="C45" s="355"/>
      <c r="D45" s="355"/>
      <c r="E45" s="358"/>
      <c r="F45" s="355"/>
      <c r="G45" s="355"/>
      <c r="H45" s="194"/>
    </row>
    <row r="46">
      <c r="A46" s="355"/>
      <c r="B46" s="355"/>
      <c r="C46" s="355"/>
      <c r="D46" s="355"/>
      <c r="E46" s="358"/>
      <c r="F46" s="355"/>
      <c r="G46" s="355"/>
      <c r="H46" s="194"/>
    </row>
    <row r="47">
      <c r="A47" s="355"/>
      <c r="B47" s="355"/>
      <c r="C47" s="355"/>
      <c r="D47" s="355"/>
      <c r="E47" s="358"/>
      <c r="F47" s="355"/>
      <c r="G47" s="355"/>
      <c r="H47" s="194"/>
    </row>
    <row r="48">
      <c r="A48" s="355"/>
      <c r="B48" s="355"/>
      <c r="C48" s="355"/>
      <c r="D48" s="355"/>
      <c r="E48" s="358"/>
      <c r="F48" s="355"/>
      <c r="G48" s="355"/>
      <c r="H48" s="194"/>
    </row>
    <row r="49">
      <c r="A49" s="355"/>
      <c r="B49" s="355"/>
      <c r="C49" s="355"/>
      <c r="D49" s="355"/>
      <c r="E49" s="358"/>
      <c r="F49" s="355"/>
      <c r="G49" s="355"/>
      <c r="H49" s="194"/>
    </row>
    <row r="50">
      <c r="A50" s="355"/>
      <c r="B50" s="355"/>
      <c r="C50" s="355"/>
      <c r="D50" s="355"/>
      <c r="E50" s="358"/>
      <c r="F50" s="355"/>
      <c r="G50" s="355"/>
      <c r="H50" s="194"/>
    </row>
    <row r="51">
      <c r="A51" s="355"/>
      <c r="B51" s="355"/>
      <c r="C51" s="355"/>
      <c r="D51" s="355"/>
      <c r="E51" s="358"/>
      <c r="F51" s="355"/>
      <c r="G51" s="355"/>
      <c r="H51" s="194"/>
    </row>
    <row r="52">
      <c r="A52" s="355"/>
      <c r="B52" s="355"/>
      <c r="C52" s="355"/>
      <c r="D52" s="355"/>
      <c r="E52" s="358"/>
      <c r="F52" s="355"/>
      <c r="G52" s="355"/>
      <c r="H52" s="194"/>
    </row>
    <row r="53">
      <c r="A53" s="355"/>
      <c r="B53" s="355"/>
      <c r="C53" s="355"/>
      <c r="D53" s="355"/>
      <c r="E53" s="358"/>
      <c r="F53" s="355"/>
      <c r="G53" s="355"/>
      <c r="H53" s="194"/>
    </row>
    <row r="54">
      <c r="A54" s="355"/>
      <c r="B54" s="355"/>
      <c r="C54" s="355"/>
      <c r="D54" s="355"/>
      <c r="E54" s="358"/>
      <c r="F54" s="355"/>
      <c r="G54" s="355"/>
      <c r="H54" s="194"/>
    </row>
    <row r="55">
      <c r="A55" s="355"/>
      <c r="B55" s="355"/>
      <c r="C55" s="355"/>
      <c r="D55" s="355"/>
      <c r="E55" s="358"/>
      <c r="F55" s="355"/>
      <c r="G55" s="355"/>
      <c r="H55" s="194"/>
    </row>
    <row r="56">
      <c r="A56" s="355"/>
      <c r="B56" s="355"/>
      <c r="C56" s="355"/>
      <c r="D56" s="355"/>
      <c r="E56" s="358"/>
      <c r="F56" s="355"/>
      <c r="G56" s="355"/>
      <c r="H56" s="194"/>
    </row>
    <row r="57">
      <c r="A57" s="355"/>
      <c r="B57" s="355"/>
      <c r="C57" s="355"/>
      <c r="D57" s="355"/>
      <c r="E57" s="358"/>
      <c r="F57" s="355"/>
      <c r="G57" s="355"/>
      <c r="H57" s="194"/>
    </row>
    <row r="58">
      <c r="A58" s="355"/>
      <c r="B58" s="355"/>
      <c r="C58" s="355"/>
      <c r="D58" s="355"/>
      <c r="E58" s="358"/>
      <c r="F58" s="355"/>
      <c r="G58" s="355"/>
      <c r="H58" s="194"/>
    </row>
    <row r="59">
      <c r="A59" s="355"/>
      <c r="B59" s="355"/>
      <c r="C59" s="355"/>
      <c r="D59" s="355"/>
      <c r="E59" s="358"/>
      <c r="F59" s="355"/>
      <c r="G59" s="355"/>
      <c r="H59" s="194"/>
    </row>
    <row r="60">
      <c r="A60" s="355"/>
      <c r="B60" s="355"/>
      <c r="C60" s="355"/>
      <c r="D60" s="355"/>
      <c r="E60" s="358"/>
      <c r="F60" s="355"/>
      <c r="G60" s="355"/>
      <c r="H60" s="194"/>
    </row>
    <row r="61">
      <c r="A61" s="355"/>
      <c r="B61" s="355"/>
      <c r="C61" s="355"/>
      <c r="D61" s="355"/>
      <c r="E61" s="358"/>
      <c r="F61" s="355"/>
      <c r="G61" s="355"/>
      <c r="H61" s="194"/>
    </row>
    <row r="62">
      <c r="A62" s="355"/>
      <c r="B62" s="355"/>
      <c r="C62" s="355"/>
      <c r="D62" s="355"/>
      <c r="E62" s="358"/>
      <c r="F62" s="355"/>
      <c r="G62" s="355"/>
      <c r="H62" s="194"/>
    </row>
    <row r="63">
      <c r="A63" s="355"/>
      <c r="B63" s="355"/>
      <c r="C63" s="355"/>
      <c r="D63" s="355"/>
      <c r="E63" s="358"/>
      <c r="F63" s="355"/>
      <c r="G63" s="355"/>
      <c r="H63" s="194"/>
    </row>
    <row r="64">
      <c r="A64" s="355"/>
      <c r="B64" s="355"/>
      <c r="C64" s="355"/>
      <c r="D64" s="355"/>
      <c r="E64" s="358"/>
      <c r="F64" s="355"/>
      <c r="G64" s="355"/>
      <c r="H64" s="194"/>
    </row>
    <row r="65">
      <c r="A65" s="355"/>
      <c r="B65" s="355"/>
      <c r="C65" s="355"/>
      <c r="D65" s="355"/>
      <c r="E65" s="358"/>
      <c r="F65" s="355"/>
      <c r="G65" s="355"/>
      <c r="H65" s="194"/>
    </row>
    <row r="66">
      <c r="A66" s="355"/>
      <c r="B66" s="355"/>
      <c r="C66" s="355"/>
      <c r="D66" s="355"/>
      <c r="E66" s="358"/>
      <c r="F66" s="355"/>
      <c r="G66" s="355"/>
      <c r="H66" s="194"/>
    </row>
    <row r="67">
      <c r="A67" s="355"/>
      <c r="B67" s="355"/>
      <c r="C67" s="355"/>
      <c r="D67" s="355"/>
      <c r="E67" s="358"/>
      <c r="F67" s="355"/>
      <c r="G67" s="355"/>
      <c r="H67" s="194"/>
    </row>
    <row r="68">
      <c r="A68" s="355"/>
      <c r="B68" s="355"/>
      <c r="C68" s="355"/>
      <c r="D68" s="355"/>
      <c r="E68" s="358"/>
      <c r="F68" s="355"/>
      <c r="G68" s="355"/>
      <c r="H68" s="194"/>
    </row>
    <row r="69">
      <c r="A69" s="355"/>
      <c r="B69" s="355"/>
      <c r="C69" s="355"/>
      <c r="D69" s="355"/>
      <c r="E69" s="358"/>
      <c r="F69" s="355"/>
      <c r="G69" s="355"/>
      <c r="H69" s="194"/>
    </row>
    <row r="70">
      <c r="A70" s="355"/>
      <c r="B70" s="355"/>
      <c r="C70" s="355"/>
      <c r="D70" s="355"/>
      <c r="E70" s="358"/>
      <c r="F70" s="355"/>
      <c r="G70" s="355"/>
      <c r="H70" s="194"/>
    </row>
    <row r="71">
      <c r="A71" s="355"/>
      <c r="B71" s="355"/>
      <c r="C71" s="355"/>
      <c r="D71" s="355"/>
      <c r="E71" s="358"/>
      <c r="F71" s="355"/>
      <c r="G71" s="355"/>
      <c r="H71" s="194"/>
    </row>
    <row r="72">
      <c r="A72" s="355"/>
      <c r="B72" s="355"/>
      <c r="C72" s="355"/>
      <c r="D72" s="355"/>
      <c r="E72" s="358"/>
      <c r="F72" s="355"/>
      <c r="G72" s="355"/>
      <c r="H72" s="194"/>
    </row>
    <row r="73">
      <c r="A73" s="355"/>
      <c r="B73" s="355"/>
      <c r="C73" s="355"/>
      <c r="D73" s="355"/>
      <c r="E73" s="358"/>
      <c r="F73" s="355"/>
      <c r="G73" s="355"/>
      <c r="H73" s="194"/>
    </row>
    <row r="74">
      <c r="A74" s="355"/>
      <c r="B74" s="355"/>
      <c r="C74" s="355"/>
      <c r="D74" s="355"/>
      <c r="E74" s="358"/>
      <c r="F74" s="355"/>
      <c r="G74" s="355"/>
      <c r="H74" s="194"/>
    </row>
    <row r="75">
      <c r="A75" s="355"/>
      <c r="B75" s="355"/>
      <c r="C75" s="355"/>
      <c r="D75" s="355"/>
      <c r="E75" s="358"/>
      <c r="F75" s="355"/>
      <c r="G75" s="355"/>
      <c r="H75" s="194"/>
    </row>
    <row r="76">
      <c r="A76" s="355"/>
      <c r="B76" s="355"/>
      <c r="C76" s="355"/>
      <c r="D76" s="355"/>
      <c r="E76" s="358"/>
      <c r="F76" s="355"/>
      <c r="G76" s="355"/>
      <c r="H76" s="194"/>
    </row>
    <row r="77">
      <c r="A77" s="355"/>
      <c r="B77" s="355"/>
      <c r="C77" s="355"/>
      <c r="D77" s="355"/>
      <c r="E77" s="358"/>
      <c r="F77" s="355"/>
      <c r="G77" s="355"/>
      <c r="H77" s="194"/>
    </row>
    <row r="78">
      <c r="A78" s="355"/>
      <c r="B78" s="355"/>
      <c r="C78" s="355"/>
      <c r="D78" s="355"/>
      <c r="E78" s="358"/>
      <c r="F78" s="355"/>
      <c r="G78" s="355"/>
      <c r="H78" s="194"/>
    </row>
    <row r="79">
      <c r="A79" s="355"/>
      <c r="B79" s="355"/>
      <c r="C79" s="355"/>
      <c r="D79" s="355"/>
      <c r="E79" s="358"/>
      <c r="F79" s="355"/>
      <c r="G79" s="355"/>
      <c r="H79" s="194"/>
    </row>
    <row r="80">
      <c r="A80" s="355"/>
      <c r="B80" s="355"/>
      <c r="C80" s="355"/>
      <c r="D80" s="355"/>
      <c r="E80" s="358"/>
      <c r="F80" s="355"/>
      <c r="G80" s="355"/>
      <c r="H80" s="194"/>
    </row>
    <row r="81">
      <c r="A81" s="355"/>
      <c r="B81" s="355"/>
      <c r="C81" s="355"/>
      <c r="D81" s="355"/>
      <c r="E81" s="358"/>
      <c r="F81" s="355"/>
      <c r="G81" s="355"/>
      <c r="H81" s="194"/>
    </row>
    <row r="82">
      <c r="A82" s="355"/>
      <c r="B82" s="355"/>
      <c r="C82" s="355"/>
      <c r="D82" s="355"/>
      <c r="E82" s="358"/>
      <c r="F82" s="355"/>
      <c r="G82" s="355"/>
      <c r="H82" s="194"/>
    </row>
    <row r="83">
      <c r="A83" s="355"/>
      <c r="B83" s="355"/>
      <c r="C83" s="355"/>
      <c r="D83" s="355"/>
      <c r="E83" s="358"/>
      <c r="F83" s="355"/>
      <c r="G83" s="355"/>
      <c r="H83" s="194"/>
    </row>
    <row r="84">
      <c r="A84" s="355"/>
      <c r="B84" s="355"/>
      <c r="C84" s="355"/>
      <c r="D84" s="355"/>
      <c r="E84" s="358"/>
      <c r="F84" s="355"/>
      <c r="G84" s="355"/>
      <c r="H84" s="194"/>
    </row>
    <row r="85">
      <c r="A85" s="355"/>
      <c r="B85" s="355"/>
      <c r="C85" s="355"/>
      <c r="D85" s="355"/>
      <c r="E85" s="358"/>
      <c r="F85" s="355"/>
      <c r="G85" s="355"/>
      <c r="H85" s="194"/>
    </row>
    <row r="86">
      <c r="A86" s="355"/>
      <c r="B86" s="355"/>
      <c r="C86" s="355"/>
      <c r="D86" s="355"/>
      <c r="E86" s="358"/>
      <c r="F86" s="355"/>
      <c r="G86" s="355"/>
      <c r="H86" s="194"/>
    </row>
    <row r="87">
      <c r="A87" s="355"/>
      <c r="B87" s="355"/>
      <c r="C87" s="355"/>
      <c r="D87" s="355"/>
      <c r="E87" s="358"/>
      <c r="F87" s="355"/>
      <c r="G87" s="355"/>
      <c r="H87" s="194"/>
    </row>
    <row r="88">
      <c r="A88" s="355"/>
      <c r="B88" s="355"/>
      <c r="C88" s="355"/>
      <c r="D88" s="355"/>
      <c r="E88" s="358"/>
      <c r="F88" s="355"/>
      <c r="G88" s="355"/>
      <c r="H88" s="194"/>
    </row>
    <row r="89">
      <c r="A89" s="355"/>
      <c r="B89" s="355"/>
      <c r="C89" s="355"/>
      <c r="D89" s="355"/>
      <c r="E89" s="358"/>
      <c r="F89" s="355"/>
      <c r="G89" s="355"/>
      <c r="H89" s="194"/>
    </row>
    <row r="90">
      <c r="A90" s="355"/>
      <c r="B90" s="355"/>
      <c r="C90" s="355"/>
      <c r="D90" s="355"/>
      <c r="E90" s="358"/>
      <c r="F90" s="355"/>
      <c r="G90" s="355"/>
      <c r="H90" s="194"/>
    </row>
    <row r="91">
      <c r="A91" s="355"/>
      <c r="B91" s="355"/>
      <c r="C91" s="355"/>
      <c r="D91" s="355"/>
      <c r="E91" s="358"/>
      <c r="F91" s="355"/>
      <c r="G91" s="355"/>
      <c r="H91" s="194"/>
    </row>
    <row r="92">
      <c r="A92" s="355"/>
      <c r="B92" s="355"/>
      <c r="C92" s="355"/>
      <c r="D92" s="355"/>
      <c r="E92" s="358"/>
      <c r="F92" s="355"/>
      <c r="G92" s="355"/>
      <c r="H92" s="194"/>
    </row>
    <row r="93">
      <c r="A93" s="355"/>
      <c r="B93" s="355"/>
      <c r="C93" s="355"/>
      <c r="D93" s="355"/>
      <c r="E93" s="358"/>
      <c r="F93" s="355"/>
      <c r="G93" s="355"/>
      <c r="H93" s="194"/>
    </row>
    <row r="94">
      <c r="A94" s="355"/>
      <c r="B94" s="355"/>
      <c r="C94" s="355"/>
      <c r="D94" s="355"/>
      <c r="E94" s="358"/>
      <c r="F94" s="355"/>
      <c r="G94" s="355"/>
      <c r="H94" s="194"/>
    </row>
    <row r="95">
      <c r="A95" s="355"/>
      <c r="B95" s="355"/>
      <c r="C95" s="355"/>
      <c r="D95" s="355"/>
      <c r="E95" s="358"/>
      <c r="F95" s="355"/>
      <c r="G95" s="355"/>
      <c r="H95" s="194"/>
    </row>
    <row r="96">
      <c r="A96" s="355"/>
      <c r="B96" s="355"/>
      <c r="C96" s="355"/>
      <c r="D96" s="355"/>
      <c r="E96" s="358"/>
      <c r="F96" s="355"/>
      <c r="G96" s="355"/>
      <c r="H96" s="194"/>
    </row>
    <row r="97">
      <c r="A97" s="355"/>
      <c r="B97" s="355"/>
      <c r="C97" s="355"/>
      <c r="D97" s="355"/>
      <c r="E97" s="358"/>
      <c r="F97" s="355"/>
      <c r="G97" s="355"/>
      <c r="H97" s="194"/>
    </row>
    <row r="98">
      <c r="A98" s="355"/>
      <c r="B98" s="355"/>
      <c r="C98" s="355"/>
      <c r="D98" s="355"/>
      <c r="E98" s="358"/>
      <c r="F98" s="355"/>
      <c r="G98" s="355"/>
      <c r="H98" s="194"/>
    </row>
    <row r="99">
      <c r="A99" s="355"/>
      <c r="B99" s="355"/>
      <c r="C99" s="355"/>
      <c r="D99" s="355"/>
      <c r="E99" s="358"/>
      <c r="F99" s="355"/>
      <c r="G99" s="355"/>
      <c r="H99" s="194"/>
    </row>
    <row r="100">
      <c r="A100" s="355"/>
      <c r="B100" s="355"/>
      <c r="C100" s="355"/>
      <c r="D100" s="355"/>
      <c r="E100" s="358"/>
      <c r="F100" s="355"/>
      <c r="G100" s="355"/>
      <c r="H100" s="194"/>
    </row>
    <row r="101">
      <c r="A101" s="355"/>
      <c r="B101" s="355"/>
      <c r="C101" s="355"/>
      <c r="D101" s="355"/>
      <c r="E101" s="358"/>
      <c r="F101" s="355"/>
      <c r="G101" s="355"/>
      <c r="H101" s="194"/>
    </row>
    <row r="102">
      <c r="A102" s="355"/>
      <c r="B102" s="355"/>
      <c r="C102" s="355"/>
      <c r="D102" s="355"/>
      <c r="E102" s="358"/>
      <c r="F102" s="355"/>
      <c r="G102" s="355"/>
      <c r="H102" s="194"/>
    </row>
    <row r="103">
      <c r="A103" s="355"/>
      <c r="B103" s="355"/>
      <c r="C103" s="355"/>
      <c r="D103" s="355"/>
      <c r="E103" s="358"/>
      <c r="F103" s="355"/>
      <c r="G103" s="355"/>
      <c r="H103" s="194"/>
    </row>
    <row r="104">
      <c r="A104" s="355"/>
      <c r="B104" s="355"/>
      <c r="C104" s="355"/>
      <c r="D104" s="355"/>
      <c r="E104" s="358"/>
      <c r="F104" s="355"/>
      <c r="G104" s="355"/>
      <c r="H104" s="194"/>
    </row>
    <row r="105">
      <c r="A105" s="355"/>
      <c r="B105" s="355"/>
      <c r="C105" s="355"/>
      <c r="D105" s="355"/>
      <c r="E105" s="358"/>
      <c r="F105" s="355"/>
      <c r="G105" s="355"/>
      <c r="H105" s="194"/>
    </row>
    <row r="106">
      <c r="A106" s="355"/>
      <c r="B106" s="355"/>
      <c r="C106" s="355"/>
      <c r="D106" s="355"/>
      <c r="E106" s="358"/>
      <c r="F106" s="355"/>
      <c r="G106" s="355"/>
      <c r="H106" s="194"/>
    </row>
    <row r="107">
      <c r="A107" s="355"/>
      <c r="B107" s="355"/>
      <c r="C107" s="355"/>
      <c r="D107" s="355"/>
      <c r="E107" s="358"/>
      <c r="F107" s="355"/>
      <c r="G107" s="355"/>
      <c r="H107" s="194"/>
    </row>
    <row r="108">
      <c r="A108" s="355"/>
      <c r="B108" s="355"/>
      <c r="C108" s="355"/>
      <c r="D108" s="355"/>
      <c r="E108" s="358"/>
      <c r="F108" s="355"/>
      <c r="G108" s="355"/>
      <c r="H108" s="194"/>
    </row>
    <row r="109">
      <c r="A109" s="355"/>
      <c r="B109" s="355"/>
      <c r="C109" s="355"/>
      <c r="D109" s="355"/>
      <c r="E109" s="358"/>
      <c r="F109" s="355"/>
      <c r="G109" s="355"/>
      <c r="H109" s="194"/>
    </row>
    <row r="110">
      <c r="A110" s="355"/>
      <c r="B110" s="355"/>
      <c r="C110" s="355"/>
      <c r="D110" s="355"/>
      <c r="E110" s="358"/>
      <c r="F110" s="355"/>
      <c r="G110" s="355"/>
      <c r="H110" s="194"/>
    </row>
    <row r="111">
      <c r="A111" s="355"/>
      <c r="B111" s="355"/>
      <c r="C111" s="355"/>
      <c r="D111" s="355"/>
      <c r="E111" s="358"/>
      <c r="F111" s="355"/>
      <c r="G111" s="355"/>
      <c r="H111" s="194"/>
    </row>
    <row r="112">
      <c r="A112" s="355"/>
      <c r="B112" s="355"/>
      <c r="C112" s="355"/>
      <c r="D112" s="355"/>
      <c r="E112" s="358"/>
      <c r="F112" s="355"/>
      <c r="G112" s="355"/>
      <c r="H112" s="194"/>
    </row>
    <row r="113">
      <c r="A113" s="355"/>
      <c r="B113" s="355"/>
      <c r="C113" s="355"/>
      <c r="D113" s="355"/>
      <c r="E113" s="358"/>
      <c r="F113" s="355"/>
      <c r="G113" s="355"/>
      <c r="H113" s="194"/>
    </row>
    <row r="114">
      <c r="A114" s="355"/>
      <c r="B114" s="355"/>
      <c r="C114" s="355"/>
      <c r="D114" s="355"/>
      <c r="E114" s="358"/>
      <c r="F114" s="355"/>
      <c r="G114" s="355"/>
      <c r="H114" s="194"/>
    </row>
    <row r="115">
      <c r="A115" s="355"/>
      <c r="B115" s="355"/>
      <c r="C115" s="355"/>
      <c r="D115" s="355"/>
      <c r="E115" s="358"/>
      <c r="F115" s="355"/>
      <c r="G115" s="355"/>
      <c r="H115" s="194"/>
    </row>
    <row r="116">
      <c r="A116" s="355"/>
      <c r="B116" s="355"/>
      <c r="C116" s="355"/>
      <c r="D116" s="355"/>
      <c r="E116" s="358"/>
      <c r="F116" s="355"/>
      <c r="G116" s="355"/>
      <c r="H116" s="194"/>
    </row>
    <row r="117">
      <c r="A117" s="355"/>
      <c r="B117" s="355"/>
      <c r="C117" s="355"/>
      <c r="D117" s="355"/>
      <c r="E117" s="358"/>
      <c r="F117" s="355"/>
      <c r="G117" s="355"/>
      <c r="H117" s="194"/>
    </row>
    <row r="118">
      <c r="A118" s="355"/>
      <c r="B118" s="355"/>
      <c r="C118" s="355"/>
      <c r="D118" s="355"/>
      <c r="E118" s="358"/>
      <c r="F118" s="355"/>
      <c r="G118" s="355"/>
      <c r="H118" s="194"/>
    </row>
    <row r="119">
      <c r="A119" s="355"/>
      <c r="B119" s="355"/>
      <c r="C119" s="355"/>
      <c r="D119" s="355"/>
      <c r="E119" s="358"/>
      <c r="F119" s="355"/>
      <c r="G119" s="355"/>
      <c r="H119" s="194"/>
    </row>
    <row r="120">
      <c r="A120" s="355"/>
      <c r="B120" s="355"/>
      <c r="C120" s="355"/>
      <c r="D120" s="355"/>
      <c r="E120" s="358"/>
      <c r="F120" s="355"/>
      <c r="G120" s="355"/>
      <c r="H120" s="194"/>
    </row>
    <row r="121">
      <c r="A121" s="355"/>
      <c r="B121" s="355"/>
      <c r="C121" s="355"/>
      <c r="D121" s="355"/>
      <c r="E121" s="358"/>
      <c r="F121" s="355"/>
      <c r="G121" s="355"/>
      <c r="H121" s="194"/>
    </row>
    <row r="122">
      <c r="A122" s="355"/>
      <c r="B122" s="355"/>
      <c r="C122" s="355"/>
      <c r="D122" s="355"/>
      <c r="E122" s="358"/>
      <c r="F122" s="355"/>
      <c r="G122" s="355"/>
      <c r="H122" s="194"/>
    </row>
    <row r="123">
      <c r="A123" s="355"/>
      <c r="B123" s="355"/>
      <c r="C123" s="355"/>
      <c r="D123" s="355"/>
      <c r="E123" s="358"/>
      <c r="F123" s="355"/>
      <c r="G123" s="355"/>
      <c r="H123" s="194"/>
    </row>
    <row r="124">
      <c r="A124" s="355"/>
      <c r="B124" s="355"/>
      <c r="C124" s="355"/>
      <c r="D124" s="355"/>
      <c r="E124" s="358"/>
      <c r="F124" s="355"/>
      <c r="G124" s="355"/>
      <c r="H124" s="194"/>
    </row>
    <row r="125">
      <c r="A125" s="355"/>
      <c r="B125" s="355"/>
      <c r="C125" s="355"/>
      <c r="D125" s="355"/>
      <c r="E125" s="358"/>
      <c r="F125" s="355"/>
      <c r="G125" s="355"/>
      <c r="H125" s="194"/>
    </row>
    <row r="126">
      <c r="A126" s="355"/>
      <c r="B126" s="355"/>
      <c r="C126" s="355"/>
      <c r="D126" s="355"/>
      <c r="E126" s="358"/>
      <c r="F126" s="355"/>
      <c r="G126" s="355"/>
      <c r="H126" s="194"/>
    </row>
    <row r="127">
      <c r="A127" s="355"/>
      <c r="B127" s="355"/>
      <c r="C127" s="355"/>
      <c r="D127" s="355"/>
      <c r="E127" s="358"/>
      <c r="F127" s="355"/>
      <c r="G127" s="355"/>
      <c r="H127" s="194"/>
    </row>
    <row r="128">
      <c r="A128" s="355"/>
      <c r="B128" s="355"/>
      <c r="C128" s="355"/>
      <c r="D128" s="355"/>
      <c r="E128" s="358"/>
      <c r="F128" s="355"/>
      <c r="G128" s="355"/>
      <c r="H128" s="194"/>
    </row>
    <row r="129">
      <c r="A129" s="355"/>
      <c r="B129" s="355"/>
      <c r="C129" s="355"/>
      <c r="D129" s="355"/>
      <c r="E129" s="358"/>
      <c r="F129" s="355"/>
      <c r="G129" s="355"/>
      <c r="H129" s="194"/>
    </row>
    <row r="130">
      <c r="A130" s="355"/>
      <c r="B130" s="355"/>
      <c r="C130" s="355"/>
      <c r="D130" s="355"/>
      <c r="E130" s="358"/>
      <c r="F130" s="355"/>
      <c r="G130" s="355"/>
      <c r="H130" s="194"/>
    </row>
    <row r="131">
      <c r="A131" s="355"/>
      <c r="B131" s="355"/>
      <c r="C131" s="355"/>
      <c r="D131" s="355"/>
      <c r="E131" s="358"/>
      <c r="F131" s="355"/>
      <c r="G131" s="355"/>
      <c r="H131" s="194"/>
    </row>
    <row r="132">
      <c r="A132" s="355"/>
      <c r="B132" s="355"/>
      <c r="C132" s="355"/>
      <c r="D132" s="355"/>
      <c r="E132" s="358"/>
      <c r="F132" s="355"/>
      <c r="G132" s="355"/>
      <c r="H132" s="194"/>
    </row>
    <row r="133">
      <c r="A133" s="355"/>
      <c r="B133" s="355"/>
      <c r="C133" s="355"/>
      <c r="D133" s="355"/>
      <c r="E133" s="358"/>
      <c r="F133" s="355"/>
      <c r="G133" s="355"/>
      <c r="H133" s="194"/>
    </row>
    <row r="134">
      <c r="A134" s="355"/>
      <c r="B134" s="355"/>
      <c r="C134" s="355"/>
      <c r="D134" s="355"/>
      <c r="E134" s="358"/>
      <c r="F134" s="355"/>
      <c r="G134" s="355"/>
      <c r="H134" s="194"/>
    </row>
    <row r="135">
      <c r="A135" s="355"/>
      <c r="B135" s="355"/>
      <c r="C135" s="355"/>
      <c r="D135" s="355"/>
      <c r="E135" s="358"/>
      <c r="F135" s="355"/>
      <c r="G135" s="355"/>
      <c r="H135" s="194"/>
    </row>
    <row r="136">
      <c r="A136" s="355"/>
      <c r="B136" s="355"/>
      <c r="C136" s="355"/>
      <c r="D136" s="355"/>
      <c r="E136" s="358"/>
      <c r="F136" s="355"/>
      <c r="G136" s="355"/>
      <c r="H136" s="194"/>
    </row>
    <row r="137">
      <c r="A137" s="355"/>
      <c r="B137" s="355"/>
      <c r="C137" s="355"/>
      <c r="D137" s="355"/>
      <c r="E137" s="358"/>
      <c r="F137" s="355"/>
      <c r="G137" s="355"/>
      <c r="H137" s="194"/>
    </row>
    <row r="138">
      <c r="A138" s="355"/>
      <c r="B138" s="355"/>
      <c r="C138" s="355"/>
      <c r="D138" s="355"/>
      <c r="E138" s="358"/>
      <c r="F138" s="355"/>
      <c r="G138" s="355"/>
      <c r="H138" s="194"/>
    </row>
    <row r="139">
      <c r="A139" s="355"/>
      <c r="B139" s="355"/>
      <c r="C139" s="355"/>
      <c r="D139" s="355"/>
      <c r="E139" s="358"/>
      <c r="F139" s="355"/>
      <c r="G139" s="355"/>
      <c r="H139" s="194"/>
    </row>
    <row r="140">
      <c r="A140" s="355"/>
      <c r="B140" s="355"/>
      <c r="C140" s="355"/>
      <c r="D140" s="355"/>
      <c r="E140" s="358"/>
      <c r="F140" s="355"/>
      <c r="G140" s="355"/>
      <c r="H140" s="194"/>
    </row>
    <row r="141">
      <c r="A141" s="355"/>
      <c r="B141" s="355"/>
      <c r="C141" s="355"/>
      <c r="D141" s="355"/>
      <c r="E141" s="358"/>
      <c r="F141" s="355"/>
      <c r="G141" s="355"/>
      <c r="H141" s="194"/>
    </row>
    <row r="142">
      <c r="A142" s="355"/>
      <c r="B142" s="355"/>
      <c r="C142" s="355"/>
      <c r="D142" s="355"/>
      <c r="E142" s="358"/>
      <c r="F142" s="355"/>
      <c r="G142" s="355"/>
      <c r="H142" s="194"/>
    </row>
    <row r="143">
      <c r="A143" s="355"/>
      <c r="B143" s="355"/>
      <c r="C143" s="355"/>
      <c r="D143" s="355"/>
      <c r="E143" s="358"/>
      <c r="F143" s="355"/>
      <c r="G143" s="355"/>
      <c r="H143" s="194"/>
    </row>
    <row r="144">
      <c r="A144" s="355"/>
      <c r="B144" s="355"/>
      <c r="C144" s="355"/>
      <c r="D144" s="355"/>
      <c r="E144" s="358"/>
      <c r="F144" s="355"/>
      <c r="G144" s="355"/>
      <c r="H144" s="194"/>
    </row>
    <row r="145">
      <c r="A145" s="355"/>
      <c r="B145" s="355"/>
      <c r="C145" s="355"/>
      <c r="D145" s="355"/>
      <c r="E145" s="358"/>
      <c r="F145" s="355"/>
      <c r="G145" s="355"/>
      <c r="H145" s="194"/>
    </row>
    <row r="146">
      <c r="A146" s="355"/>
      <c r="B146" s="355"/>
      <c r="C146" s="355"/>
      <c r="D146" s="355"/>
      <c r="E146" s="358"/>
      <c r="F146" s="355"/>
      <c r="G146" s="355"/>
      <c r="H146" s="194"/>
    </row>
    <row r="147">
      <c r="A147" s="355"/>
      <c r="B147" s="355"/>
      <c r="C147" s="355"/>
      <c r="D147" s="355"/>
      <c r="E147" s="358"/>
      <c r="F147" s="355"/>
      <c r="G147" s="355"/>
      <c r="H147" s="194"/>
    </row>
    <row r="148">
      <c r="A148" s="355"/>
      <c r="B148" s="355"/>
      <c r="C148" s="355"/>
      <c r="D148" s="355"/>
      <c r="E148" s="358"/>
      <c r="F148" s="355"/>
      <c r="G148" s="355"/>
      <c r="H148" s="194"/>
    </row>
    <row r="149">
      <c r="A149" s="355"/>
      <c r="B149" s="355"/>
      <c r="C149" s="355"/>
      <c r="D149" s="355"/>
      <c r="E149" s="358"/>
      <c r="F149" s="355"/>
      <c r="G149" s="355"/>
      <c r="H149" s="194"/>
    </row>
    <row r="150">
      <c r="A150" s="355"/>
      <c r="B150" s="355"/>
      <c r="C150" s="355"/>
      <c r="D150" s="355"/>
      <c r="E150" s="358"/>
      <c r="F150" s="355"/>
      <c r="G150" s="355"/>
      <c r="H150" s="194"/>
    </row>
    <row r="151">
      <c r="A151" s="355"/>
      <c r="B151" s="355"/>
      <c r="C151" s="355"/>
      <c r="D151" s="355"/>
      <c r="E151" s="358"/>
      <c r="F151" s="355"/>
      <c r="G151" s="355"/>
      <c r="H151" s="194"/>
    </row>
    <row r="152">
      <c r="A152" s="355"/>
      <c r="B152" s="355"/>
      <c r="C152" s="355"/>
      <c r="D152" s="355"/>
      <c r="E152" s="358"/>
      <c r="F152" s="355"/>
      <c r="G152" s="355"/>
      <c r="H152" s="194"/>
    </row>
    <row r="153">
      <c r="A153" s="355"/>
      <c r="B153" s="355"/>
      <c r="C153" s="355"/>
      <c r="D153" s="355"/>
      <c r="E153" s="358"/>
      <c r="F153" s="355"/>
      <c r="G153" s="355"/>
      <c r="H153" s="194"/>
    </row>
    <row r="154">
      <c r="A154" s="359"/>
      <c r="B154" s="359"/>
      <c r="C154" s="359"/>
      <c r="D154" s="359"/>
      <c r="E154" s="360"/>
      <c r="F154" s="359"/>
      <c r="G154" s="359"/>
    </row>
    <row r="155">
      <c r="A155" s="359"/>
      <c r="B155" s="359"/>
      <c r="C155" s="359"/>
      <c r="D155" s="359"/>
      <c r="E155" s="360"/>
      <c r="F155" s="359"/>
      <c r="G155" s="359"/>
    </row>
    <row r="156">
      <c r="A156" s="359"/>
      <c r="B156" s="359"/>
      <c r="C156" s="359"/>
      <c r="D156" s="359"/>
      <c r="E156" s="360"/>
      <c r="F156" s="359"/>
      <c r="G156" s="359"/>
    </row>
    <row r="157">
      <c r="A157" s="359"/>
      <c r="B157" s="359"/>
      <c r="C157" s="359"/>
      <c r="D157" s="359"/>
      <c r="E157" s="360"/>
      <c r="F157" s="359"/>
      <c r="G157" s="359"/>
    </row>
    <row r="158">
      <c r="A158" s="359"/>
      <c r="B158" s="359"/>
      <c r="C158" s="359"/>
      <c r="D158" s="359"/>
      <c r="E158" s="360"/>
      <c r="F158" s="359"/>
      <c r="G158" s="359"/>
    </row>
    <row r="159">
      <c r="A159" s="359"/>
      <c r="B159" s="359"/>
      <c r="C159" s="359"/>
      <c r="D159" s="359"/>
      <c r="E159" s="360"/>
      <c r="F159" s="359"/>
      <c r="G159" s="359"/>
    </row>
    <row r="160">
      <c r="A160" s="359"/>
      <c r="B160" s="359"/>
      <c r="C160" s="359"/>
      <c r="D160" s="359"/>
      <c r="E160" s="360"/>
      <c r="F160" s="359"/>
      <c r="G160" s="359"/>
    </row>
    <row r="161">
      <c r="A161" s="359"/>
      <c r="B161" s="359"/>
      <c r="C161" s="359"/>
      <c r="D161" s="359"/>
      <c r="E161" s="360"/>
      <c r="F161" s="359"/>
      <c r="G161" s="359"/>
    </row>
    <row r="162">
      <c r="A162" s="359"/>
      <c r="B162" s="359"/>
      <c r="C162" s="359"/>
      <c r="D162" s="359"/>
      <c r="E162" s="360"/>
      <c r="F162" s="359"/>
      <c r="G162" s="359"/>
    </row>
    <row r="163">
      <c r="A163" s="359"/>
      <c r="B163" s="359"/>
      <c r="C163" s="359"/>
      <c r="D163" s="359"/>
      <c r="E163" s="360"/>
      <c r="F163" s="359"/>
      <c r="G163" s="359"/>
    </row>
    <row r="164">
      <c r="A164" s="359"/>
      <c r="B164" s="359"/>
      <c r="C164" s="359"/>
      <c r="D164" s="359"/>
      <c r="E164" s="360"/>
      <c r="F164" s="359"/>
      <c r="G164" s="359"/>
    </row>
    <row r="165">
      <c r="A165" s="359"/>
      <c r="B165" s="359"/>
      <c r="C165" s="359"/>
      <c r="D165" s="359"/>
      <c r="E165" s="360"/>
      <c r="F165" s="359"/>
      <c r="G165" s="359"/>
    </row>
    <row r="166">
      <c r="A166" s="359"/>
      <c r="B166" s="359"/>
      <c r="C166" s="359"/>
      <c r="D166" s="359"/>
      <c r="E166" s="360"/>
      <c r="F166" s="359"/>
      <c r="G166" s="359"/>
    </row>
    <row r="167">
      <c r="A167" s="359"/>
      <c r="B167" s="359"/>
      <c r="C167" s="359"/>
      <c r="D167" s="359"/>
      <c r="E167" s="360"/>
      <c r="F167" s="359"/>
      <c r="G167" s="359"/>
    </row>
    <row r="168">
      <c r="A168" s="359"/>
      <c r="B168" s="359"/>
      <c r="C168" s="359"/>
      <c r="D168" s="359"/>
      <c r="E168" s="360"/>
      <c r="F168" s="359"/>
      <c r="G168" s="359"/>
    </row>
    <row r="169">
      <c r="A169" s="359"/>
      <c r="B169" s="359"/>
      <c r="C169" s="359"/>
      <c r="D169" s="359"/>
      <c r="E169" s="360"/>
      <c r="F169" s="359"/>
      <c r="G169" s="359"/>
    </row>
    <row r="170">
      <c r="A170" s="359"/>
      <c r="B170" s="359"/>
      <c r="C170" s="359"/>
      <c r="D170" s="359"/>
      <c r="E170" s="360"/>
      <c r="F170" s="359"/>
      <c r="G170" s="359"/>
    </row>
    <row r="171">
      <c r="A171" s="359"/>
      <c r="B171" s="359"/>
      <c r="C171" s="359"/>
      <c r="D171" s="359"/>
      <c r="E171" s="360"/>
      <c r="F171" s="359"/>
      <c r="G171" s="359"/>
    </row>
    <row r="172">
      <c r="A172" s="359"/>
      <c r="B172" s="359"/>
      <c r="C172" s="359"/>
      <c r="D172" s="359"/>
      <c r="E172" s="360"/>
      <c r="F172" s="359"/>
      <c r="G172" s="359"/>
    </row>
    <row r="173">
      <c r="A173" s="359"/>
      <c r="B173" s="359"/>
      <c r="C173" s="359"/>
      <c r="D173" s="359"/>
      <c r="E173" s="360"/>
      <c r="F173" s="359"/>
      <c r="G173" s="359"/>
    </row>
    <row r="174">
      <c r="A174" s="359"/>
      <c r="B174" s="359"/>
      <c r="C174" s="359"/>
      <c r="D174" s="359"/>
      <c r="E174" s="360"/>
      <c r="F174" s="359"/>
      <c r="G174" s="359"/>
    </row>
    <row r="175">
      <c r="A175" s="359"/>
      <c r="B175" s="359"/>
      <c r="C175" s="359"/>
      <c r="D175" s="359"/>
      <c r="E175" s="360"/>
      <c r="F175" s="359"/>
      <c r="G175" s="359"/>
    </row>
    <row r="176">
      <c r="A176" s="359"/>
      <c r="B176" s="359"/>
      <c r="C176" s="359"/>
      <c r="D176" s="359"/>
      <c r="E176" s="360"/>
      <c r="F176" s="359"/>
      <c r="G176" s="359"/>
    </row>
    <row r="177">
      <c r="A177" s="359"/>
      <c r="B177" s="359"/>
      <c r="C177" s="359"/>
      <c r="D177" s="359"/>
      <c r="E177" s="360"/>
      <c r="F177" s="359"/>
      <c r="G177" s="359"/>
    </row>
    <row r="178">
      <c r="A178" s="359"/>
      <c r="B178" s="359"/>
      <c r="C178" s="359"/>
      <c r="D178" s="359"/>
      <c r="E178" s="360"/>
      <c r="F178" s="359"/>
      <c r="G178" s="359"/>
    </row>
    <row r="179">
      <c r="A179" s="359"/>
      <c r="B179" s="359"/>
      <c r="C179" s="359"/>
      <c r="D179" s="359"/>
      <c r="E179" s="360"/>
      <c r="F179" s="359"/>
      <c r="G179" s="359"/>
    </row>
    <row r="180">
      <c r="A180" s="359"/>
      <c r="B180" s="359"/>
      <c r="C180" s="359"/>
      <c r="D180" s="359"/>
      <c r="E180" s="360"/>
      <c r="F180" s="359"/>
      <c r="G180" s="359"/>
    </row>
    <row r="181">
      <c r="A181" s="359"/>
      <c r="B181" s="359"/>
      <c r="C181" s="359"/>
      <c r="D181" s="359"/>
      <c r="E181" s="360"/>
      <c r="F181" s="359"/>
      <c r="G181" s="359"/>
    </row>
    <row r="182">
      <c r="A182" s="359"/>
      <c r="B182" s="359"/>
      <c r="C182" s="359"/>
      <c r="D182" s="359"/>
      <c r="E182" s="360"/>
      <c r="F182" s="359"/>
      <c r="G182" s="359"/>
    </row>
    <row r="183">
      <c r="A183" s="359"/>
      <c r="B183" s="359"/>
      <c r="C183" s="359"/>
      <c r="D183" s="359"/>
      <c r="E183" s="360"/>
      <c r="F183" s="359"/>
      <c r="G183" s="359"/>
    </row>
    <row r="184">
      <c r="A184" s="359"/>
      <c r="B184" s="359"/>
      <c r="C184" s="359"/>
      <c r="D184" s="359"/>
      <c r="E184" s="360"/>
      <c r="F184" s="359"/>
      <c r="G184" s="359"/>
    </row>
    <row r="185">
      <c r="A185" s="359"/>
      <c r="B185" s="359"/>
      <c r="C185" s="359"/>
      <c r="D185" s="359"/>
      <c r="E185" s="360"/>
      <c r="F185" s="359"/>
      <c r="G185" s="359"/>
    </row>
    <row r="186">
      <c r="A186" s="359"/>
      <c r="B186" s="359"/>
      <c r="C186" s="359"/>
      <c r="D186" s="359"/>
      <c r="E186" s="360"/>
      <c r="F186" s="359"/>
      <c r="G186" s="359"/>
    </row>
    <row r="187">
      <c r="A187" s="359"/>
      <c r="B187" s="359"/>
      <c r="C187" s="359"/>
      <c r="D187" s="359"/>
      <c r="E187" s="360"/>
      <c r="F187" s="359"/>
      <c r="G187" s="359"/>
    </row>
    <row r="188">
      <c r="A188" s="359"/>
      <c r="B188" s="359"/>
      <c r="C188" s="359"/>
      <c r="D188" s="359"/>
      <c r="E188" s="360"/>
      <c r="F188" s="359"/>
      <c r="G188" s="359"/>
    </row>
    <row r="189">
      <c r="A189" s="359"/>
      <c r="B189" s="359"/>
      <c r="C189" s="359"/>
      <c r="D189" s="359"/>
      <c r="E189" s="360"/>
      <c r="F189" s="359"/>
      <c r="G189" s="359"/>
    </row>
    <row r="190">
      <c r="A190" s="359"/>
      <c r="B190" s="359"/>
      <c r="C190" s="359"/>
      <c r="D190" s="359"/>
      <c r="E190" s="360"/>
      <c r="F190" s="359"/>
      <c r="G190" s="359"/>
    </row>
    <row r="191">
      <c r="A191" s="359"/>
      <c r="B191" s="359"/>
      <c r="C191" s="359"/>
      <c r="D191" s="359"/>
      <c r="E191" s="360"/>
      <c r="F191" s="359"/>
      <c r="G191" s="359"/>
    </row>
    <row r="192">
      <c r="A192" s="359"/>
      <c r="B192" s="359"/>
      <c r="C192" s="359"/>
      <c r="D192" s="359"/>
      <c r="E192" s="360"/>
      <c r="F192" s="359"/>
      <c r="G192" s="359"/>
    </row>
    <row r="193">
      <c r="A193" s="359"/>
      <c r="B193" s="359"/>
      <c r="C193" s="359"/>
      <c r="D193" s="359"/>
      <c r="E193" s="360"/>
      <c r="F193" s="359"/>
      <c r="G193" s="359"/>
    </row>
    <row r="194">
      <c r="A194" s="359"/>
      <c r="B194" s="359"/>
      <c r="C194" s="359"/>
      <c r="D194" s="359"/>
      <c r="E194" s="360"/>
      <c r="F194" s="359"/>
      <c r="G194" s="359"/>
    </row>
    <row r="195">
      <c r="A195" s="359"/>
      <c r="B195" s="359"/>
      <c r="C195" s="359"/>
      <c r="D195" s="359"/>
      <c r="E195" s="360"/>
      <c r="F195" s="359"/>
      <c r="G195" s="359"/>
    </row>
    <row r="196">
      <c r="A196" s="359"/>
      <c r="B196" s="359"/>
      <c r="C196" s="359"/>
      <c r="D196" s="359"/>
      <c r="E196" s="360"/>
      <c r="F196" s="359"/>
      <c r="G196" s="359"/>
    </row>
    <row r="197">
      <c r="A197" s="359"/>
      <c r="B197" s="359"/>
      <c r="C197" s="359"/>
      <c r="D197" s="359"/>
      <c r="E197" s="360"/>
      <c r="F197" s="359"/>
      <c r="G197" s="359"/>
    </row>
    <row r="198">
      <c r="A198" s="359"/>
      <c r="B198" s="359"/>
      <c r="C198" s="359"/>
      <c r="D198" s="359"/>
      <c r="E198" s="360"/>
      <c r="F198" s="359"/>
      <c r="G198" s="359"/>
    </row>
    <row r="199">
      <c r="A199" s="359"/>
      <c r="B199" s="359"/>
      <c r="C199" s="359"/>
      <c r="D199" s="359"/>
      <c r="E199" s="360"/>
      <c r="F199" s="359"/>
      <c r="G199" s="359"/>
    </row>
    <row r="200">
      <c r="A200" s="359"/>
      <c r="B200" s="359"/>
      <c r="C200" s="359"/>
      <c r="D200" s="359"/>
      <c r="E200" s="360"/>
      <c r="F200" s="359"/>
      <c r="G200" s="359"/>
    </row>
    <row r="201">
      <c r="A201" s="359"/>
      <c r="B201" s="359"/>
      <c r="C201" s="359"/>
      <c r="D201" s="359"/>
      <c r="E201" s="360"/>
      <c r="F201" s="359"/>
      <c r="G201" s="359"/>
    </row>
    <row r="202">
      <c r="A202" s="359"/>
      <c r="B202" s="359"/>
      <c r="C202" s="359"/>
      <c r="D202" s="359"/>
      <c r="E202" s="360"/>
      <c r="F202" s="359"/>
      <c r="G202" s="359"/>
    </row>
    <row r="203">
      <c r="A203" s="359"/>
      <c r="B203" s="359"/>
      <c r="C203" s="359"/>
      <c r="D203" s="359"/>
      <c r="E203" s="360"/>
      <c r="F203" s="359"/>
      <c r="G203" s="359"/>
    </row>
    <row r="204">
      <c r="A204" s="359"/>
      <c r="B204" s="359"/>
      <c r="C204" s="359"/>
      <c r="D204" s="359"/>
      <c r="E204" s="360"/>
      <c r="F204" s="359"/>
      <c r="G204" s="359"/>
    </row>
    <row r="205">
      <c r="A205" s="359"/>
      <c r="B205" s="359"/>
      <c r="C205" s="359"/>
      <c r="D205" s="359"/>
      <c r="E205" s="360"/>
      <c r="F205" s="359"/>
      <c r="G205" s="359"/>
    </row>
    <row r="206">
      <c r="A206" s="359"/>
      <c r="B206" s="359"/>
      <c r="C206" s="359"/>
      <c r="D206" s="359"/>
      <c r="E206" s="360"/>
      <c r="F206" s="359"/>
      <c r="G206" s="359"/>
    </row>
    <row r="207">
      <c r="A207" s="359"/>
      <c r="B207" s="359"/>
      <c r="C207" s="359"/>
      <c r="D207" s="359"/>
      <c r="E207" s="360"/>
      <c r="F207" s="359"/>
      <c r="G207" s="359"/>
    </row>
    <row r="208">
      <c r="A208" s="359"/>
      <c r="B208" s="359"/>
      <c r="C208" s="359"/>
      <c r="D208" s="359"/>
      <c r="E208" s="360"/>
      <c r="F208" s="359"/>
      <c r="G208" s="359"/>
    </row>
    <row r="209">
      <c r="A209" s="359"/>
      <c r="B209" s="359"/>
      <c r="C209" s="359"/>
      <c r="D209" s="359"/>
      <c r="E209" s="360"/>
      <c r="F209" s="359"/>
      <c r="G209" s="359"/>
    </row>
    <row r="210">
      <c r="A210" s="359"/>
      <c r="B210" s="359"/>
      <c r="C210" s="359"/>
      <c r="D210" s="359"/>
      <c r="E210" s="360"/>
      <c r="F210" s="359"/>
      <c r="G210" s="359"/>
    </row>
    <row r="211">
      <c r="A211" s="359"/>
      <c r="B211" s="359"/>
      <c r="C211" s="359"/>
      <c r="D211" s="359"/>
      <c r="E211" s="360"/>
      <c r="F211" s="359"/>
      <c r="G211" s="359"/>
    </row>
    <row r="212">
      <c r="A212" s="359"/>
      <c r="B212" s="359"/>
      <c r="C212" s="359"/>
      <c r="D212" s="359"/>
      <c r="E212" s="360"/>
      <c r="F212" s="359"/>
      <c r="G212" s="359"/>
    </row>
    <row r="213">
      <c r="A213" s="359"/>
      <c r="B213" s="359"/>
      <c r="C213" s="359"/>
      <c r="D213" s="359"/>
      <c r="E213" s="360"/>
      <c r="F213" s="359"/>
      <c r="G213" s="359"/>
    </row>
    <row r="214">
      <c r="A214" s="359"/>
      <c r="B214" s="359"/>
      <c r="C214" s="359"/>
      <c r="D214" s="359"/>
      <c r="E214" s="360"/>
      <c r="F214" s="359"/>
      <c r="G214" s="359"/>
    </row>
    <row r="215">
      <c r="A215" s="359"/>
      <c r="B215" s="359"/>
      <c r="C215" s="359"/>
      <c r="D215" s="359"/>
      <c r="E215" s="360"/>
      <c r="F215" s="359"/>
      <c r="G215" s="359"/>
    </row>
    <row r="216">
      <c r="A216" s="359"/>
      <c r="B216" s="359"/>
      <c r="C216" s="359"/>
      <c r="D216" s="359"/>
      <c r="E216" s="360"/>
      <c r="F216" s="359"/>
      <c r="G216" s="359"/>
    </row>
    <row r="217">
      <c r="A217" s="359"/>
      <c r="B217" s="359"/>
      <c r="C217" s="359"/>
      <c r="D217" s="359"/>
      <c r="E217" s="360"/>
      <c r="F217" s="359"/>
      <c r="G217" s="359"/>
    </row>
    <row r="218">
      <c r="A218" s="359"/>
      <c r="B218" s="359"/>
      <c r="C218" s="359"/>
      <c r="D218" s="359"/>
      <c r="E218" s="360"/>
      <c r="F218" s="359"/>
      <c r="G218" s="359"/>
    </row>
    <row r="219">
      <c r="A219" s="359"/>
      <c r="B219" s="359"/>
      <c r="C219" s="359"/>
      <c r="D219" s="359"/>
      <c r="E219" s="360"/>
      <c r="F219" s="359"/>
      <c r="G219" s="359"/>
    </row>
    <row r="220">
      <c r="A220" s="359"/>
      <c r="B220" s="359"/>
      <c r="C220" s="359"/>
      <c r="D220" s="359"/>
      <c r="E220" s="360"/>
      <c r="F220" s="359"/>
      <c r="G220" s="359"/>
    </row>
    <row r="221">
      <c r="A221" s="359"/>
      <c r="B221" s="359"/>
      <c r="C221" s="359"/>
      <c r="D221" s="359"/>
      <c r="E221" s="360"/>
      <c r="F221" s="359"/>
      <c r="G221" s="359"/>
    </row>
    <row r="222">
      <c r="A222" s="359"/>
      <c r="B222" s="359"/>
      <c r="C222" s="359"/>
      <c r="D222" s="359"/>
      <c r="E222" s="360"/>
      <c r="F222" s="359"/>
      <c r="G222" s="359"/>
    </row>
    <row r="223">
      <c r="A223" s="359"/>
      <c r="B223" s="359"/>
      <c r="C223" s="359"/>
      <c r="D223" s="359"/>
      <c r="E223" s="360"/>
      <c r="F223" s="359"/>
      <c r="G223" s="359"/>
    </row>
    <row r="224">
      <c r="A224" s="359"/>
      <c r="B224" s="359"/>
      <c r="C224" s="359"/>
      <c r="D224" s="359"/>
      <c r="E224" s="360"/>
      <c r="F224" s="359"/>
      <c r="G224" s="359"/>
    </row>
    <row r="225">
      <c r="A225" s="359"/>
      <c r="B225" s="359"/>
      <c r="C225" s="359"/>
      <c r="D225" s="359"/>
      <c r="E225" s="360"/>
      <c r="F225" s="359"/>
      <c r="G225" s="359"/>
    </row>
    <row r="226">
      <c r="A226" s="359"/>
      <c r="B226" s="359"/>
      <c r="C226" s="359"/>
      <c r="D226" s="359"/>
      <c r="E226" s="360"/>
      <c r="F226" s="359"/>
      <c r="G226" s="359"/>
    </row>
    <row r="227">
      <c r="A227" s="359"/>
      <c r="B227" s="359"/>
      <c r="C227" s="359"/>
      <c r="D227" s="359"/>
      <c r="E227" s="360"/>
      <c r="F227" s="359"/>
      <c r="G227" s="359"/>
    </row>
    <row r="228">
      <c r="A228" s="359"/>
      <c r="B228" s="359"/>
      <c r="C228" s="359"/>
      <c r="D228" s="359"/>
      <c r="E228" s="360"/>
      <c r="F228" s="359"/>
      <c r="G228" s="359"/>
    </row>
    <row r="229">
      <c r="A229" s="359"/>
      <c r="B229" s="359"/>
      <c r="C229" s="359"/>
      <c r="D229" s="359"/>
      <c r="E229" s="360"/>
      <c r="F229" s="359"/>
      <c r="G229" s="359"/>
    </row>
    <row r="230">
      <c r="A230" s="359"/>
      <c r="B230" s="359"/>
      <c r="C230" s="359"/>
      <c r="D230" s="359"/>
      <c r="E230" s="360"/>
      <c r="F230" s="359"/>
      <c r="G230" s="359"/>
    </row>
    <row r="231">
      <c r="A231" s="359"/>
      <c r="B231" s="359"/>
      <c r="C231" s="359"/>
      <c r="D231" s="359"/>
      <c r="E231" s="360"/>
      <c r="F231" s="359"/>
      <c r="G231" s="359"/>
    </row>
    <row r="232">
      <c r="A232" s="359"/>
      <c r="B232" s="359"/>
      <c r="C232" s="359"/>
      <c r="D232" s="359"/>
      <c r="E232" s="360"/>
      <c r="F232" s="359"/>
      <c r="G232" s="359"/>
    </row>
    <row r="233">
      <c r="A233" s="359"/>
      <c r="B233" s="359"/>
      <c r="C233" s="359"/>
      <c r="D233" s="359"/>
      <c r="E233" s="360"/>
      <c r="F233" s="359"/>
      <c r="G233" s="359"/>
    </row>
    <row r="234">
      <c r="A234" s="359"/>
      <c r="B234" s="359"/>
      <c r="C234" s="359"/>
      <c r="D234" s="359"/>
      <c r="E234" s="360"/>
      <c r="F234" s="359"/>
      <c r="G234" s="359"/>
    </row>
    <row r="235">
      <c r="A235" s="359"/>
      <c r="B235" s="359"/>
      <c r="C235" s="359"/>
      <c r="D235" s="359"/>
      <c r="E235" s="360"/>
      <c r="F235" s="359"/>
      <c r="G235" s="359"/>
    </row>
    <row r="236">
      <c r="A236" s="359"/>
      <c r="B236" s="359"/>
      <c r="C236" s="359"/>
      <c r="D236" s="359"/>
      <c r="E236" s="360"/>
      <c r="F236" s="359"/>
      <c r="G236" s="359"/>
    </row>
    <row r="237">
      <c r="A237" s="359"/>
      <c r="B237" s="359"/>
      <c r="C237" s="359"/>
      <c r="D237" s="359"/>
      <c r="E237" s="360"/>
      <c r="F237" s="359"/>
      <c r="G237" s="359"/>
    </row>
    <row r="238">
      <c r="A238" s="359"/>
      <c r="B238" s="359"/>
      <c r="C238" s="359"/>
      <c r="D238" s="359"/>
      <c r="E238" s="360"/>
      <c r="F238" s="359"/>
      <c r="G238" s="359"/>
    </row>
    <row r="239">
      <c r="A239" s="359"/>
      <c r="B239" s="359"/>
      <c r="C239" s="359"/>
      <c r="D239" s="359"/>
      <c r="E239" s="360"/>
      <c r="F239" s="359"/>
      <c r="G239" s="359"/>
    </row>
    <row r="240">
      <c r="A240" s="359"/>
      <c r="B240" s="359"/>
      <c r="C240" s="359"/>
      <c r="D240" s="359"/>
      <c r="E240" s="360"/>
      <c r="F240" s="359"/>
      <c r="G240" s="359"/>
    </row>
    <row r="241">
      <c r="A241" s="359"/>
      <c r="B241" s="359"/>
      <c r="C241" s="359"/>
      <c r="D241" s="359"/>
      <c r="E241" s="360"/>
      <c r="F241" s="359"/>
      <c r="G241" s="359"/>
    </row>
    <row r="242">
      <c r="A242" s="359"/>
      <c r="B242" s="359"/>
      <c r="C242" s="359"/>
      <c r="D242" s="359"/>
      <c r="E242" s="360"/>
      <c r="F242" s="359"/>
      <c r="G242" s="359"/>
    </row>
    <row r="243">
      <c r="A243" s="359"/>
      <c r="B243" s="359"/>
      <c r="C243" s="359"/>
      <c r="D243" s="359"/>
      <c r="E243" s="360"/>
      <c r="F243" s="359"/>
      <c r="G243" s="359"/>
    </row>
    <row r="244">
      <c r="A244" s="359"/>
      <c r="B244" s="359"/>
      <c r="C244" s="359"/>
      <c r="D244" s="359"/>
      <c r="E244" s="360"/>
      <c r="F244" s="359"/>
      <c r="G244" s="359"/>
    </row>
    <row r="245">
      <c r="A245" s="359"/>
      <c r="B245" s="359"/>
      <c r="C245" s="359"/>
      <c r="D245" s="359"/>
      <c r="E245" s="360"/>
      <c r="F245" s="359"/>
      <c r="G245" s="359"/>
    </row>
    <row r="246">
      <c r="A246" s="359"/>
      <c r="B246" s="359"/>
      <c r="C246" s="359"/>
      <c r="D246" s="359"/>
      <c r="E246" s="360"/>
      <c r="F246" s="359"/>
      <c r="G246" s="359"/>
    </row>
    <row r="247">
      <c r="A247" s="359"/>
      <c r="B247" s="359"/>
      <c r="C247" s="359"/>
      <c r="D247" s="359"/>
      <c r="E247" s="360"/>
      <c r="F247" s="359"/>
      <c r="G247" s="359"/>
    </row>
    <row r="248">
      <c r="A248" s="359"/>
      <c r="B248" s="359"/>
      <c r="C248" s="359"/>
      <c r="D248" s="359"/>
      <c r="E248" s="360"/>
      <c r="F248" s="359"/>
      <c r="G248" s="359"/>
    </row>
    <row r="249">
      <c r="A249" s="359"/>
      <c r="B249" s="359"/>
      <c r="C249" s="359"/>
      <c r="D249" s="359"/>
      <c r="E249" s="360"/>
      <c r="F249" s="359"/>
      <c r="G249" s="359"/>
    </row>
    <row r="250">
      <c r="A250" s="359"/>
      <c r="B250" s="359"/>
      <c r="C250" s="359"/>
      <c r="D250" s="359"/>
      <c r="E250" s="360"/>
      <c r="F250" s="359"/>
      <c r="G250" s="359"/>
    </row>
    <row r="251">
      <c r="A251" s="359"/>
      <c r="B251" s="359"/>
      <c r="C251" s="359"/>
      <c r="D251" s="359"/>
      <c r="E251" s="360"/>
      <c r="F251" s="359"/>
      <c r="G251" s="359"/>
    </row>
    <row r="252">
      <c r="A252" s="359"/>
      <c r="B252" s="359"/>
      <c r="C252" s="359"/>
      <c r="D252" s="359"/>
      <c r="E252" s="360"/>
      <c r="F252" s="359"/>
      <c r="G252" s="359"/>
    </row>
    <row r="253">
      <c r="A253" s="359"/>
      <c r="B253" s="359"/>
      <c r="C253" s="359"/>
      <c r="D253" s="359"/>
      <c r="E253" s="360"/>
      <c r="F253" s="359"/>
      <c r="G253" s="359"/>
    </row>
    <row r="254">
      <c r="A254" s="359"/>
      <c r="B254" s="359"/>
      <c r="C254" s="359"/>
      <c r="D254" s="359"/>
      <c r="E254" s="360"/>
      <c r="F254" s="359"/>
      <c r="G254" s="359"/>
    </row>
    <row r="255">
      <c r="A255" s="359"/>
      <c r="B255" s="359"/>
      <c r="C255" s="359"/>
      <c r="D255" s="359"/>
      <c r="E255" s="360"/>
      <c r="F255" s="359"/>
      <c r="G255" s="359"/>
    </row>
    <row r="256">
      <c r="A256" s="359"/>
      <c r="B256" s="359"/>
      <c r="C256" s="359"/>
      <c r="D256" s="359"/>
      <c r="E256" s="360"/>
      <c r="F256" s="359"/>
      <c r="G256" s="359"/>
    </row>
    <row r="257">
      <c r="A257" s="359"/>
      <c r="B257" s="359"/>
      <c r="C257" s="359"/>
      <c r="D257" s="359"/>
      <c r="E257" s="360"/>
      <c r="F257" s="359"/>
      <c r="G257" s="359"/>
    </row>
    <row r="258">
      <c r="A258" s="359"/>
      <c r="B258" s="359"/>
      <c r="C258" s="359"/>
      <c r="D258" s="359"/>
      <c r="E258" s="360"/>
      <c r="F258" s="359"/>
      <c r="G258" s="359"/>
    </row>
    <row r="259">
      <c r="A259" s="359"/>
      <c r="B259" s="359"/>
      <c r="C259" s="359"/>
      <c r="D259" s="359"/>
      <c r="E259" s="360"/>
      <c r="F259" s="359"/>
      <c r="G259" s="359"/>
    </row>
    <row r="260">
      <c r="A260" s="359"/>
      <c r="B260" s="359"/>
      <c r="C260" s="359"/>
      <c r="D260" s="359"/>
      <c r="E260" s="360"/>
      <c r="F260" s="359"/>
      <c r="G260" s="359"/>
    </row>
    <row r="261">
      <c r="A261" s="359"/>
      <c r="B261" s="359"/>
      <c r="C261" s="359"/>
      <c r="D261" s="359"/>
      <c r="E261" s="360"/>
      <c r="F261" s="359"/>
      <c r="G261" s="359"/>
    </row>
    <row r="262">
      <c r="A262" s="359"/>
      <c r="B262" s="359"/>
      <c r="C262" s="359"/>
      <c r="D262" s="359"/>
      <c r="E262" s="360"/>
      <c r="F262" s="359"/>
      <c r="G262" s="359"/>
    </row>
    <row r="263">
      <c r="A263" s="359"/>
      <c r="B263" s="359"/>
      <c r="C263" s="359"/>
      <c r="D263" s="359"/>
      <c r="E263" s="360"/>
      <c r="F263" s="359"/>
      <c r="G263" s="359"/>
    </row>
    <row r="264">
      <c r="A264" s="359"/>
      <c r="B264" s="359"/>
      <c r="C264" s="359"/>
      <c r="D264" s="359"/>
      <c r="E264" s="360"/>
      <c r="F264" s="359"/>
      <c r="G264" s="359"/>
    </row>
    <row r="265">
      <c r="A265" s="359"/>
      <c r="B265" s="359"/>
      <c r="C265" s="359"/>
      <c r="D265" s="359"/>
      <c r="E265" s="360"/>
      <c r="F265" s="359"/>
      <c r="G265" s="359"/>
    </row>
    <row r="266">
      <c r="A266" s="359"/>
      <c r="B266" s="359"/>
      <c r="C266" s="359"/>
      <c r="D266" s="359"/>
      <c r="E266" s="360"/>
      <c r="F266" s="359"/>
      <c r="G266" s="359"/>
    </row>
    <row r="267">
      <c r="A267" s="359"/>
      <c r="B267" s="359"/>
      <c r="C267" s="359"/>
      <c r="D267" s="359"/>
      <c r="E267" s="360"/>
      <c r="F267" s="359"/>
      <c r="G267" s="359"/>
    </row>
    <row r="268">
      <c r="A268" s="359"/>
      <c r="B268" s="359"/>
      <c r="C268" s="359"/>
      <c r="D268" s="359"/>
      <c r="E268" s="360"/>
      <c r="F268" s="359"/>
      <c r="G268" s="359"/>
    </row>
    <row r="269">
      <c r="A269" s="359"/>
      <c r="B269" s="359"/>
      <c r="C269" s="359"/>
      <c r="D269" s="359"/>
      <c r="E269" s="360"/>
      <c r="F269" s="359"/>
      <c r="G269" s="359"/>
    </row>
    <row r="270">
      <c r="A270" s="359"/>
      <c r="B270" s="359"/>
      <c r="C270" s="359"/>
      <c r="D270" s="359"/>
      <c r="E270" s="360"/>
      <c r="F270" s="359"/>
      <c r="G270" s="359"/>
    </row>
    <row r="271">
      <c r="A271" s="359"/>
      <c r="B271" s="359"/>
      <c r="C271" s="359"/>
      <c r="D271" s="359"/>
      <c r="E271" s="360"/>
      <c r="F271" s="359"/>
      <c r="G271" s="359"/>
    </row>
    <row r="272">
      <c r="A272" s="359"/>
      <c r="B272" s="359"/>
      <c r="C272" s="359"/>
      <c r="D272" s="359"/>
      <c r="E272" s="360"/>
      <c r="F272" s="359"/>
      <c r="G272" s="359"/>
    </row>
    <row r="273">
      <c r="A273" s="359"/>
      <c r="B273" s="359"/>
      <c r="C273" s="359"/>
      <c r="D273" s="359"/>
      <c r="E273" s="360"/>
      <c r="F273" s="359"/>
      <c r="G273" s="359"/>
    </row>
    <row r="274">
      <c r="A274" s="359"/>
      <c r="B274" s="359"/>
      <c r="C274" s="359"/>
      <c r="D274" s="359"/>
      <c r="E274" s="360"/>
      <c r="F274" s="359"/>
      <c r="G274" s="359"/>
    </row>
    <row r="275">
      <c r="A275" s="359"/>
      <c r="B275" s="359"/>
      <c r="C275" s="359"/>
      <c r="D275" s="359"/>
      <c r="E275" s="360"/>
      <c r="F275" s="359"/>
      <c r="G275" s="359"/>
    </row>
    <row r="276">
      <c r="A276" s="359"/>
      <c r="B276" s="359"/>
      <c r="C276" s="359"/>
      <c r="D276" s="359"/>
      <c r="E276" s="360"/>
      <c r="F276" s="359"/>
      <c r="G276" s="359"/>
    </row>
    <row r="277">
      <c r="A277" s="359"/>
      <c r="B277" s="359"/>
      <c r="C277" s="359"/>
      <c r="D277" s="359"/>
      <c r="E277" s="360"/>
      <c r="F277" s="359"/>
      <c r="G277" s="359"/>
    </row>
    <row r="278">
      <c r="A278" s="359"/>
      <c r="B278" s="359"/>
      <c r="C278" s="359"/>
      <c r="D278" s="359"/>
      <c r="E278" s="360"/>
      <c r="F278" s="359"/>
      <c r="G278" s="359"/>
    </row>
    <row r="279">
      <c r="A279" s="359"/>
      <c r="B279" s="359"/>
      <c r="C279" s="359"/>
      <c r="D279" s="359"/>
      <c r="E279" s="360"/>
      <c r="F279" s="359"/>
      <c r="G279" s="359"/>
    </row>
    <row r="280">
      <c r="A280" s="359"/>
      <c r="B280" s="359"/>
      <c r="C280" s="359"/>
      <c r="D280" s="359"/>
      <c r="E280" s="360"/>
      <c r="F280" s="359"/>
      <c r="G280" s="359"/>
    </row>
    <row r="281">
      <c r="A281" s="359"/>
      <c r="B281" s="359"/>
      <c r="C281" s="359"/>
      <c r="D281" s="359"/>
      <c r="E281" s="360"/>
      <c r="F281" s="359"/>
      <c r="G281" s="359"/>
    </row>
    <row r="282">
      <c r="A282" s="359"/>
      <c r="B282" s="359"/>
      <c r="C282" s="359"/>
      <c r="D282" s="359"/>
      <c r="E282" s="360"/>
      <c r="F282" s="359"/>
      <c r="G282" s="359"/>
    </row>
    <row r="283">
      <c r="A283" s="359"/>
      <c r="B283" s="359"/>
      <c r="C283" s="359"/>
      <c r="D283" s="359"/>
      <c r="E283" s="360"/>
      <c r="F283" s="359"/>
      <c r="G283" s="359"/>
    </row>
    <row r="284">
      <c r="A284" s="359"/>
      <c r="B284" s="359"/>
      <c r="C284" s="359"/>
      <c r="D284" s="359"/>
      <c r="E284" s="360"/>
      <c r="F284" s="359"/>
      <c r="G284" s="359"/>
    </row>
    <row r="285">
      <c r="A285" s="359"/>
      <c r="B285" s="359"/>
      <c r="C285" s="359"/>
      <c r="D285" s="359"/>
      <c r="E285" s="360"/>
      <c r="F285" s="359"/>
      <c r="G285" s="359"/>
    </row>
    <row r="286">
      <c r="A286" s="359"/>
      <c r="B286" s="359"/>
      <c r="C286" s="359"/>
      <c r="D286" s="359"/>
      <c r="E286" s="360"/>
      <c r="F286" s="359"/>
      <c r="G286" s="359"/>
    </row>
    <row r="287">
      <c r="A287" s="359"/>
      <c r="B287" s="359"/>
      <c r="C287" s="359"/>
      <c r="D287" s="359"/>
      <c r="E287" s="360"/>
      <c r="F287" s="359"/>
      <c r="G287" s="359"/>
    </row>
    <row r="288">
      <c r="A288" s="359"/>
      <c r="B288" s="359"/>
      <c r="C288" s="359"/>
      <c r="D288" s="359"/>
      <c r="E288" s="360"/>
      <c r="F288" s="359"/>
      <c r="G288" s="359"/>
    </row>
    <row r="289">
      <c r="A289" s="359"/>
      <c r="B289" s="359"/>
      <c r="C289" s="359"/>
      <c r="D289" s="359"/>
      <c r="E289" s="360"/>
      <c r="F289" s="359"/>
      <c r="G289" s="359"/>
    </row>
    <row r="290">
      <c r="A290" s="359"/>
      <c r="B290" s="359"/>
      <c r="C290" s="359"/>
      <c r="D290" s="359"/>
      <c r="E290" s="360"/>
      <c r="F290" s="359"/>
      <c r="G290" s="359"/>
    </row>
    <row r="291">
      <c r="A291" s="359"/>
      <c r="B291" s="359"/>
      <c r="C291" s="359"/>
      <c r="D291" s="359"/>
      <c r="E291" s="360"/>
      <c r="F291" s="359"/>
      <c r="G291" s="359"/>
    </row>
    <row r="292">
      <c r="A292" s="359"/>
      <c r="B292" s="359"/>
      <c r="C292" s="359"/>
      <c r="D292" s="359"/>
      <c r="E292" s="360"/>
      <c r="F292" s="359"/>
      <c r="G292" s="359"/>
    </row>
    <row r="293">
      <c r="A293" s="359"/>
      <c r="B293" s="359"/>
      <c r="C293" s="359"/>
      <c r="D293" s="359"/>
      <c r="E293" s="360"/>
      <c r="F293" s="359"/>
      <c r="G293" s="359"/>
    </row>
    <row r="294">
      <c r="A294" s="359"/>
      <c r="B294" s="359"/>
      <c r="C294" s="359"/>
      <c r="D294" s="359"/>
      <c r="E294" s="360"/>
      <c r="F294" s="359"/>
      <c r="G294" s="359"/>
    </row>
    <row r="295">
      <c r="A295" s="359"/>
      <c r="B295" s="359"/>
      <c r="C295" s="359"/>
      <c r="D295" s="359"/>
      <c r="E295" s="360"/>
      <c r="F295" s="359"/>
      <c r="G295" s="359"/>
    </row>
    <row r="296">
      <c r="A296" s="359"/>
      <c r="B296" s="359"/>
      <c r="C296" s="359"/>
      <c r="D296" s="359"/>
      <c r="E296" s="360"/>
      <c r="F296" s="359"/>
      <c r="G296" s="359"/>
    </row>
    <row r="297">
      <c r="A297" s="359"/>
      <c r="B297" s="359"/>
      <c r="C297" s="359"/>
      <c r="D297" s="359"/>
      <c r="E297" s="360"/>
      <c r="F297" s="359"/>
      <c r="G297" s="359"/>
    </row>
    <row r="298">
      <c r="A298" s="359"/>
      <c r="B298" s="359"/>
      <c r="C298" s="359"/>
      <c r="D298" s="359"/>
      <c r="E298" s="360"/>
      <c r="F298" s="359"/>
      <c r="G298" s="359"/>
    </row>
    <row r="299">
      <c r="A299" s="359"/>
      <c r="B299" s="359"/>
      <c r="C299" s="359"/>
      <c r="D299" s="359"/>
      <c r="E299" s="360"/>
      <c r="F299" s="359"/>
      <c r="G299" s="359"/>
    </row>
    <row r="300">
      <c r="A300" s="359"/>
      <c r="B300" s="359"/>
      <c r="C300" s="359"/>
      <c r="D300" s="359"/>
      <c r="E300" s="360"/>
      <c r="F300" s="359"/>
      <c r="G300" s="359"/>
    </row>
    <row r="301">
      <c r="A301" s="359"/>
      <c r="B301" s="359"/>
      <c r="C301" s="359"/>
      <c r="D301" s="359"/>
      <c r="E301" s="360"/>
      <c r="F301" s="359"/>
      <c r="G301" s="359"/>
    </row>
    <row r="302">
      <c r="A302" s="359"/>
      <c r="B302" s="359"/>
      <c r="C302" s="359"/>
      <c r="D302" s="359"/>
      <c r="E302" s="360"/>
      <c r="F302" s="359"/>
      <c r="G302" s="359"/>
    </row>
    <row r="303">
      <c r="A303" s="359"/>
      <c r="B303" s="359"/>
      <c r="C303" s="359"/>
      <c r="D303" s="359"/>
      <c r="E303" s="360"/>
      <c r="F303" s="359"/>
      <c r="G303" s="359"/>
    </row>
    <row r="304">
      <c r="A304" s="359"/>
      <c r="B304" s="359"/>
      <c r="C304" s="359"/>
      <c r="D304" s="359"/>
      <c r="E304" s="360"/>
      <c r="F304" s="359"/>
      <c r="G304" s="359"/>
    </row>
    <row r="305">
      <c r="A305" s="359"/>
      <c r="B305" s="359"/>
      <c r="C305" s="359"/>
      <c r="D305" s="359"/>
      <c r="E305" s="360"/>
      <c r="F305" s="359"/>
      <c r="G305" s="359"/>
    </row>
    <row r="306">
      <c r="A306" s="359"/>
      <c r="B306" s="359"/>
      <c r="C306" s="359"/>
      <c r="D306" s="359"/>
      <c r="E306" s="360"/>
      <c r="F306" s="359"/>
      <c r="G306" s="359"/>
    </row>
    <row r="307">
      <c r="A307" s="359"/>
      <c r="B307" s="359"/>
      <c r="C307" s="359"/>
      <c r="D307" s="359"/>
      <c r="E307" s="360"/>
      <c r="F307" s="359"/>
      <c r="G307" s="359"/>
    </row>
    <row r="308">
      <c r="A308" s="359"/>
      <c r="B308" s="359"/>
      <c r="C308" s="359"/>
      <c r="D308" s="359"/>
      <c r="E308" s="360"/>
      <c r="F308" s="359"/>
      <c r="G308" s="359"/>
    </row>
    <row r="309">
      <c r="A309" s="359"/>
      <c r="B309" s="359"/>
      <c r="C309" s="359"/>
      <c r="D309" s="359"/>
      <c r="E309" s="360"/>
      <c r="F309" s="359"/>
      <c r="G309" s="359"/>
    </row>
    <row r="310">
      <c r="A310" s="359"/>
      <c r="B310" s="359"/>
      <c r="C310" s="359"/>
      <c r="D310" s="359"/>
      <c r="E310" s="360"/>
      <c r="F310" s="359"/>
      <c r="G310" s="359"/>
    </row>
    <row r="311">
      <c r="A311" s="359"/>
      <c r="B311" s="359"/>
      <c r="C311" s="359"/>
      <c r="D311" s="359"/>
      <c r="E311" s="360"/>
      <c r="F311" s="359"/>
      <c r="G311" s="359"/>
    </row>
    <row r="312">
      <c r="A312" s="359"/>
      <c r="B312" s="359"/>
      <c r="C312" s="359"/>
      <c r="D312" s="359"/>
      <c r="E312" s="360"/>
      <c r="F312" s="359"/>
      <c r="G312" s="359"/>
    </row>
    <row r="313">
      <c r="A313" s="359"/>
      <c r="B313" s="359"/>
      <c r="C313" s="359"/>
      <c r="D313" s="359"/>
      <c r="E313" s="360"/>
      <c r="F313" s="359"/>
      <c r="G313" s="359"/>
    </row>
    <row r="314">
      <c r="A314" s="359"/>
      <c r="B314" s="359"/>
      <c r="C314" s="359"/>
      <c r="D314" s="359"/>
      <c r="E314" s="360"/>
      <c r="F314" s="359"/>
      <c r="G314" s="359"/>
    </row>
    <row r="315">
      <c r="A315" s="359"/>
      <c r="B315" s="359"/>
      <c r="C315" s="359"/>
      <c r="D315" s="359"/>
      <c r="E315" s="360"/>
      <c r="F315" s="359"/>
      <c r="G315" s="359"/>
    </row>
    <row r="316">
      <c r="A316" s="359"/>
      <c r="B316" s="359"/>
      <c r="C316" s="359"/>
      <c r="D316" s="359"/>
      <c r="E316" s="360"/>
      <c r="F316" s="359"/>
      <c r="G316" s="359"/>
    </row>
    <row r="317">
      <c r="A317" s="359"/>
      <c r="B317" s="359"/>
      <c r="C317" s="359"/>
      <c r="D317" s="359"/>
      <c r="E317" s="360"/>
      <c r="F317" s="359"/>
      <c r="G317" s="359"/>
    </row>
    <row r="318">
      <c r="A318" s="359"/>
      <c r="B318" s="359"/>
      <c r="C318" s="359"/>
      <c r="D318" s="359"/>
      <c r="E318" s="360"/>
      <c r="F318" s="359"/>
      <c r="G318" s="359"/>
    </row>
    <row r="319">
      <c r="A319" s="359"/>
      <c r="B319" s="359"/>
      <c r="C319" s="359"/>
      <c r="D319" s="359"/>
      <c r="E319" s="360"/>
      <c r="F319" s="359"/>
      <c r="G319" s="359"/>
    </row>
    <row r="320">
      <c r="A320" s="359"/>
      <c r="B320" s="359"/>
      <c r="C320" s="359"/>
      <c r="D320" s="359"/>
      <c r="E320" s="360"/>
      <c r="F320" s="359"/>
      <c r="G320" s="359"/>
    </row>
    <row r="321">
      <c r="A321" s="359"/>
      <c r="B321" s="359"/>
      <c r="C321" s="359"/>
      <c r="D321" s="359"/>
      <c r="E321" s="360"/>
      <c r="F321" s="359"/>
      <c r="G321" s="359"/>
    </row>
    <row r="322">
      <c r="A322" s="359"/>
      <c r="B322" s="359"/>
      <c r="C322" s="359"/>
      <c r="D322" s="359"/>
      <c r="E322" s="360"/>
      <c r="F322" s="359"/>
      <c r="G322" s="359"/>
    </row>
    <row r="323">
      <c r="A323" s="359"/>
      <c r="B323" s="359"/>
      <c r="C323" s="359"/>
      <c r="D323" s="359"/>
      <c r="E323" s="360"/>
      <c r="F323" s="359"/>
      <c r="G323" s="359"/>
    </row>
    <row r="324">
      <c r="A324" s="359"/>
      <c r="B324" s="359"/>
      <c r="C324" s="359"/>
      <c r="D324" s="359"/>
      <c r="E324" s="360"/>
      <c r="F324" s="359"/>
      <c r="G324" s="359"/>
    </row>
    <row r="325">
      <c r="A325" s="359"/>
      <c r="B325" s="359"/>
      <c r="C325" s="359"/>
      <c r="D325" s="359"/>
      <c r="E325" s="360"/>
      <c r="F325" s="359"/>
      <c r="G325" s="359"/>
    </row>
    <row r="326">
      <c r="A326" s="359"/>
      <c r="B326" s="359"/>
      <c r="C326" s="359"/>
      <c r="D326" s="359"/>
      <c r="E326" s="360"/>
      <c r="F326" s="359"/>
      <c r="G326" s="359"/>
    </row>
    <row r="327">
      <c r="A327" s="359"/>
      <c r="B327" s="359"/>
      <c r="C327" s="359"/>
      <c r="D327" s="359"/>
      <c r="E327" s="360"/>
      <c r="F327" s="359"/>
      <c r="G327" s="359"/>
    </row>
    <row r="328">
      <c r="A328" s="359"/>
      <c r="B328" s="359"/>
      <c r="C328" s="359"/>
      <c r="D328" s="359"/>
      <c r="E328" s="360"/>
      <c r="F328" s="359"/>
      <c r="G328" s="359"/>
    </row>
    <row r="329">
      <c r="A329" s="359"/>
      <c r="B329" s="359"/>
      <c r="C329" s="359"/>
      <c r="D329" s="359"/>
      <c r="E329" s="360"/>
      <c r="F329" s="359"/>
      <c r="G329" s="359"/>
    </row>
    <row r="330">
      <c r="A330" s="359"/>
      <c r="B330" s="359"/>
      <c r="C330" s="359"/>
      <c r="D330" s="359"/>
      <c r="E330" s="360"/>
      <c r="F330" s="359"/>
      <c r="G330" s="359"/>
    </row>
    <row r="331">
      <c r="A331" s="359"/>
      <c r="B331" s="359"/>
      <c r="C331" s="359"/>
      <c r="D331" s="359"/>
      <c r="E331" s="360"/>
      <c r="F331" s="359"/>
      <c r="G331" s="359"/>
    </row>
    <row r="332">
      <c r="A332" s="359"/>
      <c r="B332" s="359"/>
      <c r="C332" s="359"/>
      <c r="D332" s="359"/>
      <c r="E332" s="360"/>
      <c r="F332" s="359"/>
      <c r="G332" s="359"/>
    </row>
    <row r="333">
      <c r="A333" s="359"/>
      <c r="B333" s="359"/>
      <c r="C333" s="359"/>
      <c r="D333" s="359"/>
      <c r="E333" s="360"/>
      <c r="F333" s="359"/>
      <c r="G333" s="359"/>
    </row>
    <row r="334">
      <c r="A334" s="359"/>
      <c r="B334" s="359"/>
      <c r="C334" s="359"/>
      <c r="D334" s="359"/>
      <c r="E334" s="360"/>
      <c r="F334" s="359"/>
      <c r="G334" s="359"/>
    </row>
    <row r="335">
      <c r="A335" s="359"/>
      <c r="B335" s="359"/>
      <c r="C335" s="359"/>
      <c r="D335" s="359"/>
      <c r="E335" s="360"/>
      <c r="F335" s="359"/>
      <c r="G335" s="359"/>
    </row>
    <row r="336">
      <c r="A336" s="359"/>
      <c r="B336" s="359"/>
      <c r="C336" s="359"/>
      <c r="D336" s="359"/>
      <c r="E336" s="360"/>
      <c r="F336" s="359"/>
      <c r="G336" s="359"/>
    </row>
    <row r="337">
      <c r="A337" s="359"/>
      <c r="B337" s="359"/>
      <c r="C337" s="359"/>
      <c r="D337" s="359"/>
      <c r="E337" s="360"/>
      <c r="F337" s="359"/>
      <c r="G337" s="359"/>
    </row>
    <row r="338">
      <c r="A338" s="359"/>
      <c r="B338" s="359"/>
      <c r="C338" s="359"/>
      <c r="D338" s="359"/>
      <c r="E338" s="360"/>
      <c r="F338" s="359"/>
      <c r="G338" s="359"/>
    </row>
    <row r="339">
      <c r="A339" s="359"/>
      <c r="B339" s="359"/>
      <c r="C339" s="359"/>
      <c r="D339" s="359"/>
      <c r="E339" s="360"/>
      <c r="F339" s="359"/>
      <c r="G339" s="359"/>
    </row>
    <row r="340">
      <c r="A340" s="359"/>
      <c r="B340" s="359"/>
      <c r="C340" s="359"/>
      <c r="D340" s="359"/>
      <c r="E340" s="360"/>
      <c r="F340" s="359"/>
      <c r="G340" s="359"/>
    </row>
    <row r="341">
      <c r="A341" s="359"/>
      <c r="B341" s="359"/>
      <c r="C341" s="359"/>
      <c r="D341" s="359"/>
      <c r="E341" s="360"/>
      <c r="F341" s="359"/>
      <c r="G341" s="359"/>
    </row>
    <row r="342">
      <c r="A342" s="359"/>
      <c r="B342" s="359"/>
      <c r="C342" s="359"/>
      <c r="D342" s="359"/>
      <c r="E342" s="360"/>
      <c r="F342" s="359"/>
      <c r="G342" s="359"/>
    </row>
    <row r="343">
      <c r="A343" s="359"/>
      <c r="B343" s="359"/>
      <c r="C343" s="359"/>
      <c r="D343" s="359"/>
      <c r="E343" s="360"/>
      <c r="F343" s="359"/>
      <c r="G343" s="359"/>
    </row>
    <row r="344">
      <c r="A344" s="359"/>
      <c r="B344" s="359"/>
      <c r="C344" s="359"/>
      <c r="D344" s="359"/>
      <c r="E344" s="360"/>
      <c r="F344" s="359"/>
      <c r="G344" s="359"/>
    </row>
    <row r="345">
      <c r="A345" s="359"/>
      <c r="B345" s="359"/>
      <c r="C345" s="359"/>
      <c r="D345" s="359"/>
      <c r="E345" s="360"/>
      <c r="F345" s="359"/>
      <c r="G345" s="359"/>
    </row>
    <row r="346">
      <c r="A346" s="359"/>
      <c r="B346" s="359"/>
      <c r="C346" s="359"/>
      <c r="D346" s="359"/>
      <c r="E346" s="360"/>
      <c r="F346" s="359"/>
      <c r="G346" s="359"/>
    </row>
    <row r="347">
      <c r="A347" s="359"/>
      <c r="B347" s="359"/>
      <c r="C347" s="359"/>
      <c r="D347" s="359"/>
      <c r="E347" s="360"/>
      <c r="F347" s="359"/>
      <c r="G347" s="359"/>
    </row>
    <row r="348">
      <c r="A348" s="359"/>
      <c r="B348" s="359"/>
      <c r="C348" s="359"/>
      <c r="D348" s="359"/>
      <c r="E348" s="360"/>
      <c r="F348" s="359"/>
      <c r="G348" s="359"/>
    </row>
    <row r="349">
      <c r="A349" s="359"/>
      <c r="B349" s="359"/>
      <c r="C349" s="359"/>
      <c r="D349" s="359"/>
      <c r="E349" s="360"/>
      <c r="F349" s="359"/>
      <c r="G349" s="359"/>
    </row>
    <row r="350">
      <c r="A350" s="359"/>
      <c r="B350" s="359"/>
      <c r="C350" s="359"/>
      <c r="D350" s="359"/>
      <c r="E350" s="360"/>
      <c r="F350" s="359"/>
      <c r="G350" s="359"/>
    </row>
    <row r="351">
      <c r="A351" s="359"/>
      <c r="B351" s="359"/>
      <c r="C351" s="359"/>
      <c r="D351" s="359"/>
      <c r="E351" s="360"/>
      <c r="F351" s="359"/>
      <c r="G351" s="359"/>
    </row>
    <row r="352">
      <c r="A352" s="359"/>
      <c r="B352" s="359"/>
      <c r="C352" s="359"/>
      <c r="D352" s="359"/>
      <c r="E352" s="360"/>
      <c r="F352" s="359"/>
      <c r="G352" s="359"/>
    </row>
    <row r="353">
      <c r="A353" s="359"/>
      <c r="B353" s="359"/>
      <c r="C353" s="359"/>
      <c r="D353" s="359"/>
      <c r="E353" s="360"/>
      <c r="F353" s="359"/>
      <c r="G353" s="359"/>
    </row>
    <row r="354">
      <c r="A354" s="359"/>
      <c r="B354" s="359"/>
      <c r="C354" s="359"/>
      <c r="D354" s="359"/>
      <c r="E354" s="360"/>
      <c r="F354" s="359"/>
      <c r="G354" s="359"/>
    </row>
    <row r="355">
      <c r="A355" s="359"/>
      <c r="B355" s="359"/>
      <c r="C355" s="359"/>
      <c r="D355" s="359"/>
      <c r="E355" s="360"/>
      <c r="F355" s="359"/>
      <c r="G355" s="359"/>
    </row>
    <row r="356">
      <c r="A356" s="359"/>
      <c r="B356" s="359"/>
      <c r="C356" s="359"/>
      <c r="D356" s="359"/>
      <c r="E356" s="360"/>
      <c r="F356" s="359"/>
      <c r="G356" s="359"/>
    </row>
    <row r="357">
      <c r="A357" s="359"/>
      <c r="B357" s="359"/>
      <c r="C357" s="359"/>
      <c r="D357" s="359"/>
      <c r="E357" s="360"/>
      <c r="F357" s="359"/>
      <c r="G357" s="359"/>
    </row>
    <row r="358">
      <c r="A358" s="359"/>
      <c r="B358" s="359"/>
      <c r="C358" s="359"/>
      <c r="D358" s="359"/>
      <c r="E358" s="360"/>
      <c r="F358" s="359"/>
      <c r="G358" s="359"/>
    </row>
    <row r="359">
      <c r="A359" s="359"/>
      <c r="B359" s="359"/>
      <c r="C359" s="359"/>
      <c r="D359" s="359"/>
      <c r="E359" s="360"/>
      <c r="F359" s="359"/>
      <c r="G359" s="359"/>
    </row>
    <row r="360">
      <c r="A360" s="359"/>
      <c r="B360" s="359"/>
      <c r="C360" s="359"/>
      <c r="D360" s="359"/>
      <c r="E360" s="360"/>
      <c r="F360" s="359"/>
      <c r="G360" s="359"/>
    </row>
    <row r="361">
      <c r="A361" s="359"/>
      <c r="B361" s="359"/>
      <c r="C361" s="359"/>
      <c r="D361" s="359"/>
      <c r="E361" s="360"/>
      <c r="F361" s="359"/>
      <c r="G361" s="359"/>
    </row>
    <row r="362">
      <c r="A362" s="359"/>
      <c r="B362" s="359"/>
      <c r="C362" s="359"/>
      <c r="D362" s="359"/>
      <c r="E362" s="360"/>
      <c r="F362" s="359"/>
      <c r="G362" s="359"/>
    </row>
    <row r="363">
      <c r="A363" s="359"/>
      <c r="B363" s="359"/>
      <c r="C363" s="359"/>
      <c r="D363" s="359"/>
      <c r="E363" s="360"/>
      <c r="F363" s="359"/>
      <c r="G363" s="359"/>
    </row>
    <row r="364">
      <c r="A364" s="359"/>
      <c r="B364" s="359"/>
      <c r="C364" s="359"/>
      <c r="D364" s="359"/>
      <c r="E364" s="360"/>
      <c r="F364" s="359"/>
      <c r="G364" s="359"/>
    </row>
    <row r="365">
      <c r="A365" s="359"/>
      <c r="B365" s="359"/>
      <c r="C365" s="359"/>
      <c r="D365" s="359"/>
      <c r="E365" s="360"/>
      <c r="F365" s="359"/>
      <c r="G365" s="359"/>
    </row>
    <row r="366">
      <c r="A366" s="359"/>
      <c r="B366" s="359"/>
      <c r="C366" s="359"/>
      <c r="D366" s="359"/>
      <c r="E366" s="360"/>
      <c r="F366" s="359"/>
      <c r="G366" s="359"/>
    </row>
    <row r="367">
      <c r="A367" s="359"/>
      <c r="B367" s="359"/>
      <c r="C367" s="359"/>
      <c r="D367" s="359"/>
      <c r="E367" s="360"/>
      <c r="F367" s="359"/>
      <c r="G367" s="359"/>
    </row>
    <row r="368">
      <c r="A368" s="359"/>
      <c r="B368" s="359"/>
      <c r="C368" s="359"/>
      <c r="D368" s="359"/>
      <c r="E368" s="360"/>
      <c r="F368" s="359"/>
      <c r="G368" s="359"/>
    </row>
    <row r="369">
      <c r="A369" s="359"/>
      <c r="B369" s="359"/>
      <c r="C369" s="359"/>
      <c r="D369" s="359"/>
      <c r="E369" s="360"/>
      <c r="F369" s="359"/>
      <c r="G369" s="359"/>
    </row>
    <row r="370">
      <c r="A370" s="359"/>
      <c r="B370" s="359"/>
      <c r="C370" s="359"/>
      <c r="D370" s="359"/>
      <c r="E370" s="360"/>
      <c r="F370" s="359"/>
      <c r="G370" s="359"/>
    </row>
    <row r="371">
      <c r="A371" s="359"/>
      <c r="B371" s="359"/>
      <c r="C371" s="359"/>
      <c r="D371" s="359"/>
      <c r="E371" s="360"/>
      <c r="F371" s="359"/>
      <c r="G371" s="359"/>
    </row>
    <row r="372">
      <c r="A372" s="359"/>
      <c r="B372" s="359"/>
      <c r="C372" s="359"/>
      <c r="D372" s="359"/>
      <c r="E372" s="360"/>
      <c r="F372" s="359"/>
      <c r="G372" s="359"/>
    </row>
    <row r="373">
      <c r="A373" s="359"/>
      <c r="B373" s="359"/>
      <c r="C373" s="359"/>
      <c r="D373" s="359"/>
      <c r="E373" s="360"/>
      <c r="F373" s="359"/>
      <c r="G373" s="359"/>
    </row>
    <row r="374">
      <c r="A374" s="359"/>
      <c r="B374" s="359"/>
      <c r="C374" s="359"/>
      <c r="D374" s="359"/>
      <c r="E374" s="360"/>
      <c r="F374" s="359"/>
      <c r="G374" s="359"/>
    </row>
    <row r="375">
      <c r="A375" s="359"/>
      <c r="B375" s="359"/>
      <c r="C375" s="359"/>
      <c r="D375" s="359"/>
      <c r="E375" s="360"/>
      <c r="F375" s="359"/>
      <c r="G375" s="359"/>
    </row>
    <row r="376">
      <c r="A376" s="359"/>
      <c r="B376" s="359"/>
      <c r="C376" s="359"/>
      <c r="D376" s="359"/>
      <c r="E376" s="360"/>
      <c r="F376" s="359"/>
      <c r="G376" s="359"/>
    </row>
    <row r="377">
      <c r="A377" s="359"/>
      <c r="B377" s="359"/>
      <c r="C377" s="359"/>
      <c r="D377" s="359"/>
      <c r="E377" s="360"/>
      <c r="F377" s="359"/>
      <c r="G377" s="359"/>
    </row>
    <row r="378">
      <c r="A378" s="359"/>
      <c r="B378" s="359"/>
      <c r="C378" s="359"/>
      <c r="D378" s="359"/>
      <c r="E378" s="360"/>
      <c r="F378" s="359"/>
      <c r="G378" s="359"/>
    </row>
    <row r="379">
      <c r="A379" s="359"/>
      <c r="B379" s="359"/>
      <c r="C379" s="359"/>
      <c r="D379" s="359"/>
      <c r="E379" s="360"/>
      <c r="F379" s="359"/>
      <c r="G379" s="359"/>
    </row>
    <row r="380">
      <c r="A380" s="359"/>
      <c r="B380" s="359"/>
      <c r="C380" s="359"/>
      <c r="D380" s="359"/>
      <c r="E380" s="360"/>
      <c r="F380" s="359"/>
      <c r="G380" s="359"/>
    </row>
    <row r="381">
      <c r="A381" s="359"/>
      <c r="B381" s="359"/>
      <c r="C381" s="359"/>
      <c r="D381" s="359"/>
      <c r="E381" s="360"/>
      <c r="F381" s="359"/>
      <c r="G381" s="359"/>
    </row>
    <row r="382">
      <c r="A382" s="359"/>
      <c r="B382" s="359"/>
      <c r="C382" s="359"/>
      <c r="D382" s="359"/>
      <c r="E382" s="360"/>
      <c r="F382" s="359"/>
      <c r="G382" s="359"/>
    </row>
    <row r="383">
      <c r="A383" s="359"/>
      <c r="B383" s="359"/>
      <c r="C383" s="359"/>
      <c r="D383" s="359"/>
      <c r="E383" s="360"/>
      <c r="F383" s="359"/>
      <c r="G383" s="359"/>
    </row>
    <row r="384">
      <c r="A384" s="359"/>
      <c r="B384" s="359"/>
      <c r="C384" s="359"/>
      <c r="D384" s="359"/>
      <c r="E384" s="360"/>
      <c r="F384" s="359"/>
      <c r="G384" s="359"/>
    </row>
    <row r="385">
      <c r="A385" s="359"/>
      <c r="B385" s="359"/>
      <c r="C385" s="359"/>
      <c r="D385" s="359"/>
      <c r="E385" s="360"/>
      <c r="F385" s="359"/>
      <c r="G385" s="359"/>
    </row>
    <row r="386">
      <c r="A386" s="359"/>
      <c r="B386" s="359"/>
      <c r="C386" s="359"/>
      <c r="D386" s="359"/>
      <c r="E386" s="360"/>
      <c r="F386" s="359"/>
      <c r="G386" s="359"/>
    </row>
    <row r="387">
      <c r="A387" s="359"/>
      <c r="B387" s="359"/>
      <c r="C387" s="359"/>
      <c r="D387" s="359"/>
      <c r="E387" s="360"/>
      <c r="F387" s="359"/>
      <c r="G387" s="359"/>
    </row>
    <row r="388">
      <c r="A388" s="359"/>
      <c r="B388" s="359"/>
      <c r="C388" s="359"/>
      <c r="D388" s="359"/>
      <c r="E388" s="360"/>
      <c r="F388" s="359"/>
      <c r="G388" s="359"/>
    </row>
    <row r="389">
      <c r="A389" s="359"/>
      <c r="B389" s="359"/>
      <c r="C389" s="359"/>
      <c r="D389" s="359"/>
      <c r="E389" s="360"/>
      <c r="F389" s="359"/>
      <c r="G389" s="359"/>
    </row>
    <row r="390">
      <c r="A390" s="359"/>
      <c r="B390" s="359"/>
      <c r="C390" s="359"/>
      <c r="D390" s="359"/>
      <c r="E390" s="360"/>
      <c r="F390" s="359"/>
      <c r="G390" s="359"/>
    </row>
    <row r="391">
      <c r="A391" s="359"/>
      <c r="B391" s="359"/>
      <c r="C391" s="359"/>
      <c r="D391" s="359"/>
      <c r="E391" s="360"/>
      <c r="F391" s="359"/>
      <c r="G391" s="359"/>
    </row>
    <row r="392">
      <c r="A392" s="359"/>
      <c r="B392" s="359"/>
      <c r="C392" s="359"/>
      <c r="D392" s="359"/>
      <c r="E392" s="360"/>
      <c r="F392" s="359"/>
      <c r="G392" s="359"/>
    </row>
    <row r="393">
      <c r="A393" s="359"/>
      <c r="B393" s="359"/>
      <c r="C393" s="359"/>
      <c r="D393" s="359"/>
      <c r="E393" s="360"/>
      <c r="F393" s="359"/>
      <c r="G393" s="359"/>
    </row>
    <row r="394">
      <c r="A394" s="359"/>
      <c r="B394" s="359"/>
      <c r="C394" s="359"/>
      <c r="D394" s="359"/>
      <c r="E394" s="360"/>
      <c r="F394" s="359"/>
      <c r="G394" s="359"/>
    </row>
    <row r="395">
      <c r="A395" s="359"/>
      <c r="B395" s="359"/>
      <c r="C395" s="359"/>
      <c r="D395" s="359"/>
      <c r="E395" s="360"/>
      <c r="F395" s="359"/>
      <c r="G395" s="359"/>
    </row>
    <row r="396">
      <c r="A396" s="359"/>
      <c r="B396" s="359"/>
      <c r="C396" s="359"/>
      <c r="D396" s="359"/>
      <c r="E396" s="360"/>
      <c r="F396" s="359"/>
      <c r="G396" s="359"/>
    </row>
    <row r="397">
      <c r="A397" s="359"/>
      <c r="B397" s="359"/>
      <c r="C397" s="359"/>
      <c r="D397" s="359"/>
      <c r="E397" s="360"/>
      <c r="F397" s="359"/>
      <c r="G397" s="359"/>
    </row>
    <row r="398">
      <c r="A398" s="359"/>
      <c r="B398" s="359"/>
      <c r="C398" s="359"/>
      <c r="D398" s="359"/>
      <c r="E398" s="360"/>
      <c r="F398" s="359"/>
      <c r="G398" s="359"/>
    </row>
    <row r="399">
      <c r="A399" s="359"/>
      <c r="B399" s="359"/>
      <c r="C399" s="359"/>
      <c r="D399" s="359"/>
      <c r="E399" s="360"/>
      <c r="F399" s="359"/>
      <c r="G399" s="359"/>
    </row>
    <row r="400">
      <c r="A400" s="359"/>
      <c r="B400" s="359"/>
      <c r="C400" s="359"/>
      <c r="D400" s="359"/>
      <c r="E400" s="360"/>
      <c r="F400" s="359"/>
      <c r="G400" s="359"/>
    </row>
    <row r="401">
      <c r="A401" s="359"/>
      <c r="B401" s="359"/>
      <c r="C401" s="359"/>
      <c r="D401" s="359"/>
      <c r="E401" s="360"/>
      <c r="F401" s="359"/>
      <c r="G401" s="359"/>
    </row>
    <row r="402">
      <c r="A402" s="359"/>
      <c r="B402" s="359"/>
      <c r="C402" s="359"/>
      <c r="D402" s="359"/>
      <c r="E402" s="360"/>
      <c r="F402" s="359"/>
      <c r="G402" s="359"/>
    </row>
    <row r="403">
      <c r="A403" s="359"/>
      <c r="B403" s="359"/>
      <c r="C403" s="359"/>
      <c r="D403" s="359"/>
      <c r="E403" s="360"/>
      <c r="F403" s="359"/>
      <c r="G403" s="359"/>
    </row>
    <row r="404">
      <c r="A404" s="359"/>
      <c r="B404" s="359"/>
      <c r="C404" s="359"/>
      <c r="D404" s="359"/>
      <c r="E404" s="360"/>
      <c r="F404" s="359"/>
      <c r="G404" s="359"/>
    </row>
    <row r="405">
      <c r="A405" s="359"/>
      <c r="B405" s="359"/>
      <c r="C405" s="359"/>
      <c r="D405" s="359"/>
      <c r="E405" s="360"/>
      <c r="F405" s="359"/>
      <c r="G405" s="359"/>
    </row>
    <row r="406">
      <c r="A406" s="359"/>
      <c r="B406" s="359"/>
      <c r="C406" s="359"/>
      <c r="D406" s="359"/>
      <c r="E406" s="360"/>
      <c r="F406" s="359"/>
      <c r="G406" s="359"/>
    </row>
    <row r="407">
      <c r="A407" s="359"/>
      <c r="B407" s="359"/>
      <c r="C407" s="359"/>
      <c r="D407" s="359"/>
      <c r="E407" s="360"/>
      <c r="F407" s="359"/>
      <c r="G407" s="359"/>
    </row>
    <row r="408">
      <c r="A408" s="359"/>
      <c r="B408" s="359"/>
      <c r="C408" s="359"/>
      <c r="D408" s="359"/>
      <c r="E408" s="360"/>
      <c r="F408" s="359"/>
      <c r="G408" s="359"/>
    </row>
    <row r="409">
      <c r="A409" s="359"/>
      <c r="B409" s="359"/>
      <c r="C409" s="359"/>
      <c r="D409" s="359"/>
      <c r="E409" s="360"/>
      <c r="F409" s="359"/>
      <c r="G409" s="359"/>
    </row>
    <row r="410">
      <c r="A410" s="359"/>
      <c r="B410" s="359"/>
      <c r="C410" s="359"/>
      <c r="D410" s="359"/>
      <c r="E410" s="360"/>
      <c r="F410" s="359"/>
      <c r="G410" s="359"/>
    </row>
    <row r="411">
      <c r="A411" s="359"/>
      <c r="B411" s="359"/>
      <c r="C411" s="359"/>
      <c r="D411" s="359"/>
      <c r="E411" s="360"/>
      <c r="F411" s="359"/>
      <c r="G411" s="359"/>
    </row>
    <row r="412">
      <c r="A412" s="359"/>
      <c r="B412" s="359"/>
      <c r="C412" s="359"/>
      <c r="D412" s="359"/>
      <c r="E412" s="360"/>
      <c r="F412" s="359"/>
      <c r="G412" s="359"/>
    </row>
    <row r="413">
      <c r="A413" s="359"/>
      <c r="B413" s="359"/>
      <c r="C413" s="359"/>
      <c r="D413" s="359"/>
      <c r="E413" s="360"/>
      <c r="F413" s="359"/>
      <c r="G413" s="359"/>
    </row>
    <row r="414">
      <c r="A414" s="359"/>
      <c r="B414" s="359"/>
      <c r="C414" s="359"/>
      <c r="D414" s="359"/>
      <c r="E414" s="360"/>
      <c r="F414" s="359"/>
      <c r="G414" s="359"/>
    </row>
    <row r="415">
      <c r="A415" s="359"/>
      <c r="B415" s="359"/>
      <c r="C415" s="359"/>
      <c r="D415" s="359"/>
      <c r="E415" s="360"/>
      <c r="F415" s="359"/>
      <c r="G415" s="359"/>
    </row>
    <row r="416">
      <c r="A416" s="359"/>
      <c r="B416" s="359"/>
      <c r="C416" s="359"/>
      <c r="D416" s="359"/>
      <c r="E416" s="360"/>
      <c r="F416" s="359"/>
      <c r="G416" s="359"/>
    </row>
    <row r="417">
      <c r="A417" s="359"/>
      <c r="B417" s="359"/>
      <c r="C417" s="359"/>
      <c r="D417" s="359"/>
      <c r="E417" s="360"/>
      <c r="F417" s="359"/>
      <c r="G417" s="359"/>
    </row>
    <row r="418">
      <c r="A418" s="359"/>
      <c r="B418" s="359"/>
      <c r="C418" s="359"/>
      <c r="D418" s="359"/>
      <c r="E418" s="360"/>
      <c r="F418" s="359"/>
      <c r="G418" s="359"/>
    </row>
    <row r="419">
      <c r="A419" s="359"/>
      <c r="B419" s="359"/>
      <c r="C419" s="359"/>
      <c r="D419" s="359"/>
      <c r="E419" s="360"/>
      <c r="F419" s="359"/>
      <c r="G419" s="359"/>
    </row>
    <row r="420">
      <c r="A420" s="359"/>
      <c r="B420" s="359"/>
      <c r="C420" s="359"/>
      <c r="D420" s="359"/>
      <c r="E420" s="360"/>
      <c r="F420" s="359"/>
      <c r="G420" s="359"/>
    </row>
    <row r="421">
      <c r="A421" s="359"/>
      <c r="B421" s="359"/>
      <c r="C421" s="359"/>
      <c r="D421" s="359"/>
      <c r="E421" s="360"/>
      <c r="F421" s="359"/>
      <c r="G421" s="359"/>
    </row>
    <row r="422">
      <c r="A422" s="359"/>
      <c r="B422" s="359"/>
      <c r="C422" s="359"/>
      <c r="D422" s="359"/>
      <c r="E422" s="360"/>
      <c r="F422" s="359"/>
      <c r="G422" s="359"/>
    </row>
    <row r="423">
      <c r="A423" s="359"/>
      <c r="B423" s="359"/>
      <c r="C423" s="359"/>
      <c r="D423" s="359"/>
      <c r="E423" s="360"/>
      <c r="F423" s="359"/>
      <c r="G423" s="359"/>
    </row>
    <row r="424">
      <c r="A424" s="359"/>
      <c r="B424" s="359"/>
      <c r="C424" s="359"/>
      <c r="D424" s="359"/>
      <c r="E424" s="360"/>
      <c r="F424" s="359"/>
      <c r="G424" s="359"/>
    </row>
    <row r="425">
      <c r="A425" s="359"/>
      <c r="B425" s="359"/>
      <c r="C425" s="359"/>
      <c r="D425" s="359"/>
      <c r="E425" s="360"/>
      <c r="F425" s="359"/>
      <c r="G425" s="359"/>
    </row>
    <row r="426">
      <c r="A426" s="359"/>
      <c r="B426" s="359"/>
      <c r="C426" s="359"/>
      <c r="D426" s="359"/>
      <c r="E426" s="360"/>
      <c r="F426" s="359"/>
      <c r="G426" s="359"/>
    </row>
    <row r="427">
      <c r="A427" s="359"/>
      <c r="B427" s="359"/>
      <c r="C427" s="359"/>
      <c r="D427" s="359"/>
      <c r="E427" s="360"/>
      <c r="F427" s="359"/>
      <c r="G427" s="359"/>
    </row>
    <row r="428">
      <c r="A428" s="359"/>
      <c r="B428" s="359"/>
      <c r="C428" s="359"/>
      <c r="D428" s="359"/>
      <c r="E428" s="360"/>
      <c r="F428" s="359"/>
      <c r="G428" s="359"/>
    </row>
    <row r="429">
      <c r="A429" s="359"/>
      <c r="B429" s="359"/>
      <c r="C429" s="359"/>
      <c r="D429" s="359"/>
      <c r="E429" s="360"/>
      <c r="F429" s="359"/>
      <c r="G429" s="359"/>
    </row>
    <row r="430">
      <c r="A430" s="359"/>
      <c r="B430" s="359"/>
      <c r="C430" s="359"/>
      <c r="D430" s="359"/>
      <c r="E430" s="360"/>
      <c r="F430" s="359"/>
      <c r="G430" s="359"/>
    </row>
    <row r="431">
      <c r="A431" s="359"/>
      <c r="B431" s="359"/>
      <c r="C431" s="359"/>
      <c r="D431" s="359"/>
      <c r="E431" s="360"/>
      <c r="F431" s="359"/>
      <c r="G431" s="359"/>
    </row>
    <row r="432">
      <c r="A432" s="359"/>
      <c r="B432" s="359"/>
      <c r="C432" s="359"/>
      <c r="D432" s="359"/>
      <c r="E432" s="360"/>
      <c r="F432" s="359"/>
      <c r="G432" s="359"/>
    </row>
    <row r="433">
      <c r="A433" s="359"/>
      <c r="B433" s="359"/>
      <c r="C433" s="359"/>
      <c r="D433" s="359"/>
      <c r="E433" s="360"/>
      <c r="F433" s="359"/>
      <c r="G433" s="359"/>
    </row>
    <row r="434">
      <c r="A434" s="359"/>
      <c r="B434" s="359"/>
      <c r="C434" s="359"/>
      <c r="D434" s="359"/>
      <c r="E434" s="360"/>
      <c r="F434" s="359"/>
      <c r="G434" s="359"/>
    </row>
    <row r="435">
      <c r="A435" s="359"/>
      <c r="B435" s="359"/>
      <c r="C435" s="359"/>
      <c r="D435" s="359"/>
      <c r="E435" s="360"/>
      <c r="F435" s="359"/>
      <c r="G435" s="359"/>
    </row>
    <row r="436">
      <c r="A436" s="359"/>
      <c r="B436" s="359"/>
      <c r="C436" s="359"/>
      <c r="D436" s="359"/>
      <c r="E436" s="360"/>
      <c r="F436" s="359"/>
      <c r="G436" s="359"/>
    </row>
    <row r="437">
      <c r="A437" s="359"/>
      <c r="B437" s="359"/>
      <c r="C437" s="359"/>
      <c r="D437" s="359"/>
      <c r="E437" s="360"/>
      <c r="F437" s="359"/>
      <c r="G437" s="359"/>
    </row>
    <row r="438">
      <c r="A438" s="359"/>
      <c r="B438" s="359"/>
      <c r="C438" s="359"/>
      <c r="D438" s="359"/>
      <c r="E438" s="360"/>
      <c r="F438" s="359"/>
      <c r="G438" s="359"/>
    </row>
    <row r="439">
      <c r="A439" s="359"/>
      <c r="B439" s="359"/>
      <c r="C439" s="359"/>
      <c r="D439" s="359"/>
      <c r="E439" s="360"/>
      <c r="F439" s="359"/>
      <c r="G439" s="359"/>
    </row>
    <row r="440">
      <c r="A440" s="359"/>
      <c r="B440" s="359"/>
      <c r="C440" s="359"/>
      <c r="D440" s="359"/>
      <c r="E440" s="360"/>
      <c r="F440" s="359"/>
      <c r="G440" s="359"/>
    </row>
    <row r="441">
      <c r="A441" s="359"/>
      <c r="B441" s="359"/>
      <c r="C441" s="359"/>
      <c r="D441" s="359"/>
      <c r="E441" s="360"/>
      <c r="F441" s="359"/>
      <c r="G441" s="359"/>
    </row>
    <row r="442">
      <c r="A442" s="359"/>
      <c r="B442" s="359"/>
      <c r="C442" s="359"/>
      <c r="D442" s="359"/>
      <c r="E442" s="360"/>
      <c r="F442" s="359"/>
      <c r="G442" s="359"/>
    </row>
    <row r="443">
      <c r="A443" s="359"/>
      <c r="B443" s="359"/>
      <c r="C443" s="359"/>
      <c r="D443" s="359"/>
      <c r="E443" s="360"/>
      <c r="F443" s="359"/>
      <c r="G443" s="359"/>
    </row>
    <row r="444">
      <c r="A444" s="359"/>
      <c r="B444" s="359"/>
      <c r="C444" s="359"/>
      <c r="D444" s="359"/>
      <c r="E444" s="360"/>
      <c r="F444" s="359"/>
      <c r="G444" s="359"/>
    </row>
    <row r="445">
      <c r="A445" s="359"/>
      <c r="B445" s="359"/>
      <c r="C445" s="359"/>
      <c r="D445" s="359"/>
      <c r="E445" s="360"/>
      <c r="F445" s="359"/>
      <c r="G445" s="359"/>
    </row>
    <row r="446">
      <c r="A446" s="359"/>
      <c r="B446" s="359"/>
      <c r="C446" s="359"/>
      <c r="D446" s="359"/>
      <c r="E446" s="360"/>
      <c r="F446" s="359"/>
      <c r="G446" s="359"/>
    </row>
    <row r="447">
      <c r="A447" s="359"/>
      <c r="B447" s="359"/>
      <c r="C447" s="359"/>
      <c r="D447" s="359"/>
      <c r="E447" s="360"/>
      <c r="F447" s="359"/>
      <c r="G447" s="359"/>
    </row>
    <row r="448">
      <c r="A448" s="359"/>
      <c r="B448" s="359"/>
      <c r="C448" s="359"/>
      <c r="D448" s="359"/>
      <c r="E448" s="360"/>
      <c r="F448" s="359"/>
      <c r="G448" s="359"/>
    </row>
    <row r="449">
      <c r="A449" s="359"/>
      <c r="B449" s="359"/>
      <c r="C449" s="359"/>
      <c r="D449" s="359"/>
      <c r="E449" s="360"/>
      <c r="F449" s="359"/>
      <c r="G449" s="359"/>
    </row>
    <row r="450">
      <c r="A450" s="359"/>
      <c r="B450" s="359"/>
      <c r="C450" s="359"/>
      <c r="D450" s="359"/>
      <c r="E450" s="360"/>
      <c r="F450" s="359"/>
      <c r="G450" s="359"/>
    </row>
    <row r="451">
      <c r="A451" s="359"/>
      <c r="B451" s="359"/>
      <c r="C451" s="359"/>
      <c r="D451" s="359"/>
      <c r="E451" s="360"/>
      <c r="F451" s="359"/>
      <c r="G451" s="359"/>
    </row>
    <row r="452">
      <c r="A452" s="359"/>
      <c r="B452" s="359"/>
      <c r="C452" s="359"/>
      <c r="D452" s="359"/>
      <c r="E452" s="360"/>
      <c r="F452" s="359"/>
      <c r="G452" s="359"/>
    </row>
    <row r="453">
      <c r="A453" s="359"/>
      <c r="B453" s="359"/>
      <c r="C453" s="359"/>
      <c r="D453" s="359"/>
      <c r="E453" s="360"/>
      <c r="F453" s="359"/>
      <c r="G453" s="359"/>
    </row>
    <row r="454">
      <c r="A454" s="359"/>
      <c r="B454" s="359"/>
      <c r="C454" s="359"/>
      <c r="D454" s="359"/>
      <c r="E454" s="360"/>
      <c r="F454" s="359"/>
      <c r="G454" s="359"/>
    </row>
    <row r="455">
      <c r="A455" s="359"/>
      <c r="B455" s="359"/>
      <c r="C455" s="359"/>
      <c r="D455" s="359"/>
      <c r="E455" s="360"/>
      <c r="F455" s="359"/>
      <c r="G455" s="359"/>
    </row>
    <row r="456">
      <c r="A456" s="359"/>
      <c r="B456" s="359"/>
      <c r="C456" s="359"/>
      <c r="D456" s="359"/>
      <c r="E456" s="360"/>
      <c r="F456" s="359"/>
      <c r="G456" s="359"/>
    </row>
    <row r="457">
      <c r="A457" s="359"/>
      <c r="B457" s="359"/>
      <c r="C457" s="359"/>
      <c r="D457" s="359"/>
      <c r="E457" s="360"/>
      <c r="F457" s="359"/>
      <c r="G457" s="359"/>
    </row>
    <row r="458">
      <c r="A458" s="359"/>
      <c r="B458" s="359"/>
      <c r="C458" s="359"/>
      <c r="D458" s="359"/>
      <c r="E458" s="360"/>
      <c r="F458" s="359"/>
      <c r="G458" s="359"/>
    </row>
    <row r="459">
      <c r="A459" s="359"/>
      <c r="B459" s="359"/>
      <c r="C459" s="359"/>
      <c r="D459" s="359"/>
      <c r="E459" s="360"/>
      <c r="F459" s="359"/>
      <c r="G459" s="359"/>
    </row>
    <row r="460">
      <c r="A460" s="359"/>
      <c r="B460" s="359"/>
      <c r="C460" s="359"/>
      <c r="D460" s="359"/>
      <c r="E460" s="360"/>
      <c r="F460" s="359"/>
      <c r="G460" s="359"/>
    </row>
    <row r="461">
      <c r="A461" s="359"/>
      <c r="B461" s="359"/>
      <c r="C461" s="359"/>
      <c r="D461" s="359"/>
      <c r="E461" s="360"/>
      <c r="F461" s="359"/>
      <c r="G461" s="359"/>
    </row>
    <row r="462">
      <c r="A462" s="359"/>
      <c r="B462" s="359"/>
      <c r="C462" s="359"/>
      <c r="D462" s="359"/>
      <c r="E462" s="360"/>
      <c r="F462" s="359"/>
      <c r="G462" s="359"/>
    </row>
    <row r="463">
      <c r="A463" s="359"/>
      <c r="B463" s="359"/>
      <c r="C463" s="359"/>
      <c r="D463" s="359"/>
      <c r="E463" s="360"/>
      <c r="F463" s="359"/>
      <c r="G463" s="359"/>
    </row>
    <row r="464">
      <c r="A464" s="359"/>
      <c r="B464" s="359"/>
      <c r="C464" s="359"/>
      <c r="D464" s="359"/>
      <c r="E464" s="360"/>
      <c r="F464" s="359"/>
      <c r="G464" s="359"/>
    </row>
    <row r="465">
      <c r="A465" s="359"/>
      <c r="B465" s="359"/>
      <c r="C465" s="359"/>
      <c r="D465" s="359"/>
      <c r="E465" s="360"/>
      <c r="F465" s="359"/>
      <c r="G465" s="359"/>
    </row>
    <row r="466">
      <c r="A466" s="359"/>
      <c r="B466" s="359"/>
      <c r="C466" s="359"/>
      <c r="D466" s="359"/>
      <c r="E466" s="360"/>
      <c r="F466" s="359"/>
      <c r="G466" s="359"/>
    </row>
    <row r="467">
      <c r="A467" s="359"/>
      <c r="B467" s="359"/>
      <c r="C467" s="359"/>
      <c r="D467" s="359"/>
      <c r="E467" s="360"/>
      <c r="F467" s="359"/>
      <c r="G467" s="359"/>
    </row>
    <row r="468">
      <c r="A468" s="359"/>
      <c r="B468" s="359"/>
      <c r="C468" s="359"/>
      <c r="D468" s="359"/>
      <c r="E468" s="360"/>
      <c r="F468" s="359"/>
      <c r="G468" s="359"/>
    </row>
    <row r="469">
      <c r="A469" s="359"/>
      <c r="B469" s="359"/>
      <c r="C469" s="359"/>
      <c r="D469" s="359"/>
      <c r="E469" s="360"/>
      <c r="F469" s="359"/>
      <c r="G469" s="359"/>
    </row>
    <row r="470">
      <c r="A470" s="359"/>
      <c r="B470" s="359"/>
      <c r="C470" s="359"/>
      <c r="D470" s="359"/>
      <c r="E470" s="360"/>
      <c r="F470" s="359"/>
      <c r="G470" s="359"/>
    </row>
    <row r="471">
      <c r="A471" s="359"/>
      <c r="B471" s="359"/>
      <c r="C471" s="359"/>
      <c r="D471" s="359"/>
      <c r="E471" s="360"/>
      <c r="F471" s="359"/>
      <c r="G471" s="359"/>
    </row>
    <row r="472">
      <c r="A472" s="359"/>
      <c r="B472" s="359"/>
      <c r="C472" s="359"/>
      <c r="D472" s="359"/>
      <c r="E472" s="360"/>
      <c r="F472" s="359"/>
      <c r="G472" s="359"/>
    </row>
    <row r="473">
      <c r="A473" s="359"/>
      <c r="B473" s="359"/>
      <c r="C473" s="359"/>
      <c r="D473" s="359"/>
      <c r="E473" s="360"/>
      <c r="F473" s="359"/>
      <c r="G473" s="359"/>
    </row>
    <row r="474">
      <c r="A474" s="359"/>
      <c r="B474" s="359"/>
      <c r="C474" s="359"/>
      <c r="D474" s="359"/>
      <c r="E474" s="360"/>
      <c r="F474" s="359"/>
      <c r="G474" s="359"/>
    </row>
    <row r="475">
      <c r="A475" s="359"/>
      <c r="B475" s="359"/>
      <c r="C475" s="359"/>
      <c r="D475" s="359"/>
      <c r="E475" s="360"/>
      <c r="F475" s="359"/>
      <c r="G475" s="359"/>
    </row>
    <row r="476">
      <c r="A476" s="359"/>
      <c r="B476" s="359"/>
      <c r="C476" s="359"/>
      <c r="D476" s="359"/>
      <c r="E476" s="360"/>
      <c r="F476" s="359"/>
      <c r="G476" s="359"/>
    </row>
    <row r="477">
      <c r="A477" s="359"/>
      <c r="B477" s="359"/>
      <c r="C477" s="359"/>
      <c r="D477" s="359"/>
      <c r="E477" s="360"/>
      <c r="F477" s="359"/>
      <c r="G477" s="359"/>
    </row>
    <row r="478">
      <c r="A478" s="359"/>
      <c r="B478" s="359"/>
      <c r="C478" s="359"/>
      <c r="D478" s="359"/>
      <c r="E478" s="360"/>
      <c r="F478" s="359"/>
      <c r="G478" s="359"/>
    </row>
    <row r="479">
      <c r="A479" s="359"/>
      <c r="B479" s="359"/>
      <c r="C479" s="359"/>
      <c r="D479" s="359"/>
      <c r="E479" s="360"/>
      <c r="F479" s="359"/>
      <c r="G479" s="359"/>
    </row>
    <row r="480">
      <c r="A480" s="359"/>
      <c r="B480" s="359"/>
      <c r="C480" s="359"/>
      <c r="D480" s="359"/>
      <c r="E480" s="360"/>
      <c r="F480" s="359"/>
      <c r="G480" s="359"/>
    </row>
    <row r="481">
      <c r="A481" s="359"/>
      <c r="B481" s="359"/>
      <c r="C481" s="359"/>
      <c r="D481" s="359"/>
      <c r="E481" s="360"/>
      <c r="F481" s="359"/>
      <c r="G481" s="359"/>
    </row>
    <row r="482">
      <c r="A482" s="359"/>
      <c r="B482" s="359"/>
      <c r="C482" s="359"/>
      <c r="D482" s="359"/>
      <c r="E482" s="360"/>
      <c r="F482" s="359"/>
      <c r="G482" s="359"/>
    </row>
    <row r="483">
      <c r="A483" s="359"/>
      <c r="B483" s="359"/>
      <c r="C483" s="359"/>
      <c r="D483" s="359"/>
      <c r="E483" s="360"/>
      <c r="F483" s="359"/>
      <c r="G483" s="359"/>
    </row>
    <row r="484">
      <c r="A484" s="359"/>
      <c r="B484" s="359"/>
      <c r="C484" s="359"/>
      <c r="D484" s="359"/>
      <c r="E484" s="360"/>
      <c r="F484" s="359"/>
      <c r="G484" s="359"/>
    </row>
    <row r="485">
      <c r="A485" s="359"/>
      <c r="B485" s="359"/>
      <c r="C485" s="359"/>
      <c r="D485" s="359"/>
      <c r="E485" s="360"/>
      <c r="F485" s="359"/>
      <c r="G485" s="359"/>
    </row>
    <row r="486">
      <c r="A486" s="359"/>
      <c r="B486" s="359"/>
      <c r="C486" s="359"/>
      <c r="D486" s="359"/>
      <c r="E486" s="360"/>
      <c r="F486" s="359"/>
      <c r="G486" s="359"/>
    </row>
    <row r="487">
      <c r="A487" s="359"/>
      <c r="B487" s="359"/>
      <c r="C487" s="359"/>
      <c r="D487" s="359"/>
      <c r="E487" s="360"/>
      <c r="F487" s="359"/>
      <c r="G487" s="359"/>
    </row>
    <row r="488">
      <c r="A488" s="359"/>
      <c r="B488" s="359"/>
      <c r="C488" s="359"/>
      <c r="D488" s="359"/>
      <c r="E488" s="360"/>
      <c r="F488" s="359"/>
      <c r="G488" s="359"/>
    </row>
    <row r="489">
      <c r="A489" s="359"/>
      <c r="B489" s="359"/>
      <c r="C489" s="359"/>
      <c r="D489" s="359"/>
      <c r="E489" s="360"/>
      <c r="F489" s="359"/>
      <c r="G489" s="359"/>
    </row>
    <row r="490">
      <c r="A490" s="359"/>
      <c r="B490" s="359"/>
      <c r="C490" s="359"/>
      <c r="D490" s="359"/>
      <c r="E490" s="360"/>
      <c r="F490" s="359"/>
      <c r="G490" s="359"/>
    </row>
    <row r="491">
      <c r="A491" s="359"/>
      <c r="B491" s="359"/>
      <c r="C491" s="359"/>
      <c r="D491" s="359"/>
      <c r="E491" s="360"/>
      <c r="F491" s="359"/>
      <c r="G491" s="359"/>
    </row>
    <row r="492">
      <c r="A492" s="359"/>
      <c r="B492" s="359"/>
      <c r="C492" s="359"/>
      <c r="D492" s="359"/>
      <c r="E492" s="360"/>
      <c r="F492" s="359"/>
      <c r="G492" s="359"/>
    </row>
    <row r="493">
      <c r="A493" s="359"/>
      <c r="B493" s="359"/>
      <c r="C493" s="359"/>
      <c r="D493" s="359"/>
      <c r="E493" s="360"/>
      <c r="F493" s="359"/>
      <c r="G493" s="359"/>
    </row>
    <row r="494">
      <c r="A494" s="359"/>
      <c r="B494" s="359"/>
      <c r="C494" s="359"/>
      <c r="D494" s="359"/>
      <c r="E494" s="360"/>
      <c r="F494" s="359"/>
      <c r="G494" s="359"/>
    </row>
    <row r="495">
      <c r="A495" s="359"/>
      <c r="B495" s="359"/>
      <c r="C495" s="359"/>
      <c r="D495" s="359"/>
      <c r="E495" s="360"/>
      <c r="F495" s="359"/>
      <c r="G495" s="359"/>
    </row>
    <row r="496">
      <c r="A496" s="359"/>
      <c r="B496" s="359"/>
      <c r="C496" s="359"/>
      <c r="D496" s="359"/>
      <c r="E496" s="360"/>
      <c r="F496" s="359"/>
      <c r="G496" s="359"/>
    </row>
    <row r="497">
      <c r="A497" s="359"/>
      <c r="B497" s="359"/>
      <c r="C497" s="359"/>
      <c r="D497" s="359"/>
      <c r="E497" s="360"/>
      <c r="F497" s="359"/>
      <c r="G497" s="359"/>
    </row>
    <row r="498">
      <c r="A498" s="359"/>
      <c r="B498" s="359"/>
      <c r="C498" s="359"/>
      <c r="D498" s="359"/>
      <c r="E498" s="360"/>
      <c r="F498" s="359"/>
      <c r="G498" s="359"/>
    </row>
    <row r="499">
      <c r="A499" s="359"/>
      <c r="B499" s="359"/>
      <c r="C499" s="359"/>
      <c r="D499" s="359"/>
      <c r="E499" s="360"/>
      <c r="F499" s="359"/>
      <c r="G499" s="359"/>
    </row>
    <row r="500">
      <c r="A500" s="359"/>
      <c r="B500" s="359"/>
      <c r="C500" s="359"/>
      <c r="D500" s="359"/>
      <c r="E500" s="360"/>
      <c r="F500" s="359"/>
      <c r="G500" s="359"/>
    </row>
    <row r="501">
      <c r="A501" s="359"/>
      <c r="B501" s="359"/>
      <c r="C501" s="359"/>
      <c r="D501" s="359"/>
      <c r="E501" s="360"/>
      <c r="F501" s="359"/>
      <c r="G501" s="359"/>
    </row>
    <row r="502">
      <c r="A502" s="359"/>
      <c r="B502" s="359"/>
      <c r="C502" s="359"/>
      <c r="D502" s="359"/>
      <c r="E502" s="360"/>
      <c r="F502" s="359"/>
      <c r="G502" s="359"/>
    </row>
    <row r="503">
      <c r="A503" s="359"/>
      <c r="B503" s="359"/>
      <c r="C503" s="359"/>
      <c r="D503" s="359"/>
      <c r="E503" s="360"/>
      <c r="F503" s="359"/>
      <c r="G503" s="359"/>
    </row>
    <row r="504">
      <c r="A504" s="359"/>
      <c r="B504" s="359"/>
      <c r="C504" s="359"/>
      <c r="D504" s="359"/>
      <c r="E504" s="360"/>
      <c r="F504" s="359"/>
      <c r="G504" s="359"/>
    </row>
    <row r="505">
      <c r="A505" s="359"/>
      <c r="B505" s="359"/>
      <c r="C505" s="359"/>
      <c r="D505" s="359"/>
      <c r="E505" s="360"/>
      <c r="F505" s="359"/>
      <c r="G505" s="359"/>
    </row>
    <row r="506">
      <c r="A506" s="359"/>
      <c r="B506" s="359"/>
      <c r="C506" s="359"/>
      <c r="D506" s="359"/>
      <c r="E506" s="360"/>
      <c r="F506" s="359"/>
      <c r="G506" s="359"/>
    </row>
    <row r="507">
      <c r="A507" s="359"/>
      <c r="B507" s="359"/>
      <c r="C507" s="359"/>
      <c r="D507" s="359"/>
      <c r="E507" s="360"/>
      <c r="F507" s="359"/>
      <c r="G507" s="359"/>
    </row>
    <row r="508">
      <c r="A508" s="359"/>
      <c r="B508" s="359"/>
      <c r="C508" s="359"/>
      <c r="D508" s="359"/>
      <c r="E508" s="360"/>
      <c r="F508" s="359"/>
      <c r="G508" s="359"/>
    </row>
    <row r="509">
      <c r="A509" s="359"/>
      <c r="B509" s="359"/>
      <c r="C509" s="359"/>
      <c r="D509" s="359"/>
      <c r="E509" s="360"/>
      <c r="F509" s="359"/>
      <c r="G509" s="359"/>
    </row>
    <row r="510">
      <c r="A510" s="359"/>
      <c r="B510" s="359"/>
      <c r="C510" s="359"/>
      <c r="D510" s="359"/>
      <c r="E510" s="360"/>
      <c r="F510" s="359"/>
      <c r="G510" s="359"/>
    </row>
    <row r="511">
      <c r="A511" s="359"/>
      <c r="B511" s="359"/>
      <c r="C511" s="359"/>
      <c r="D511" s="359"/>
      <c r="E511" s="360"/>
      <c r="F511" s="359"/>
      <c r="G511" s="359"/>
    </row>
    <row r="512">
      <c r="A512" s="359"/>
      <c r="B512" s="359"/>
      <c r="C512" s="359"/>
      <c r="D512" s="359"/>
      <c r="E512" s="360"/>
      <c r="F512" s="359"/>
      <c r="G512" s="359"/>
    </row>
    <row r="513">
      <c r="A513" s="359"/>
      <c r="B513" s="359"/>
      <c r="C513" s="359"/>
      <c r="D513" s="359"/>
      <c r="E513" s="360"/>
      <c r="F513" s="359"/>
      <c r="G513" s="359"/>
    </row>
    <row r="514">
      <c r="A514" s="359"/>
      <c r="B514" s="359"/>
      <c r="C514" s="359"/>
      <c r="D514" s="359"/>
      <c r="E514" s="360"/>
      <c r="F514" s="359"/>
      <c r="G514" s="359"/>
    </row>
    <row r="515">
      <c r="A515" s="359"/>
      <c r="B515" s="359"/>
      <c r="C515" s="359"/>
      <c r="D515" s="359"/>
      <c r="E515" s="360"/>
      <c r="F515" s="359"/>
      <c r="G515" s="359"/>
    </row>
    <row r="516">
      <c r="A516" s="359"/>
      <c r="B516" s="359"/>
      <c r="C516" s="359"/>
      <c r="D516" s="359"/>
      <c r="E516" s="360"/>
      <c r="F516" s="359"/>
      <c r="G516" s="359"/>
    </row>
    <row r="517">
      <c r="A517" s="359"/>
      <c r="B517" s="359"/>
      <c r="C517" s="359"/>
      <c r="D517" s="359"/>
      <c r="E517" s="360"/>
      <c r="F517" s="359"/>
      <c r="G517" s="359"/>
    </row>
    <row r="518">
      <c r="A518" s="359"/>
      <c r="B518" s="359"/>
      <c r="C518" s="359"/>
      <c r="D518" s="359"/>
      <c r="E518" s="360"/>
      <c r="F518" s="359"/>
      <c r="G518" s="359"/>
    </row>
    <row r="519">
      <c r="A519" s="359"/>
      <c r="B519" s="359"/>
      <c r="C519" s="359"/>
      <c r="D519" s="359"/>
      <c r="E519" s="360"/>
      <c r="F519" s="359"/>
      <c r="G519" s="359"/>
    </row>
    <row r="520">
      <c r="A520" s="359"/>
      <c r="B520" s="359"/>
      <c r="C520" s="359"/>
      <c r="D520" s="359"/>
      <c r="E520" s="360"/>
      <c r="F520" s="359"/>
      <c r="G520" s="359"/>
    </row>
    <row r="521">
      <c r="A521" s="359"/>
      <c r="B521" s="359"/>
      <c r="C521" s="359"/>
      <c r="D521" s="359"/>
      <c r="E521" s="360"/>
      <c r="F521" s="359"/>
      <c r="G521" s="359"/>
    </row>
    <row r="522">
      <c r="A522" s="359"/>
      <c r="B522" s="359"/>
      <c r="C522" s="359"/>
      <c r="D522" s="359"/>
      <c r="E522" s="360"/>
      <c r="F522" s="359"/>
      <c r="G522" s="359"/>
    </row>
    <row r="523">
      <c r="A523" s="359"/>
      <c r="B523" s="359"/>
      <c r="C523" s="359"/>
      <c r="D523" s="359"/>
      <c r="E523" s="360"/>
      <c r="F523" s="359"/>
      <c r="G523" s="359"/>
    </row>
    <row r="524">
      <c r="A524" s="359"/>
      <c r="B524" s="359"/>
      <c r="C524" s="359"/>
      <c r="D524" s="359"/>
      <c r="E524" s="360"/>
      <c r="F524" s="359"/>
      <c r="G524" s="359"/>
    </row>
    <row r="525">
      <c r="A525" s="359"/>
      <c r="B525" s="359"/>
      <c r="C525" s="359"/>
      <c r="D525" s="359"/>
      <c r="E525" s="360"/>
      <c r="F525" s="359"/>
      <c r="G525" s="359"/>
    </row>
    <row r="526">
      <c r="A526" s="359"/>
      <c r="B526" s="359"/>
      <c r="C526" s="359"/>
      <c r="D526" s="359"/>
      <c r="E526" s="360"/>
      <c r="F526" s="359"/>
      <c r="G526" s="359"/>
    </row>
    <row r="527">
      <c r="A527" s="359"/>
      <c r="B527" s="359"/>
      <c r="C527" s="359"/>
      <c r="D527" s="359"/>
      <c r="E527" s="360"/>
      <c r="F527" s="359"/>
      <c r="G527" s="359"/>
    </row>
    <row r="528">
      <c r="A528" s="359"/>
      <c r="B528" s="359"/>
      <c r="C528" s="359"/>
      <c r="D528" s="359"/>
      <c r="E528" s="360"/>
      <c r="F528" s="359"/>
      <c r="G528" s="359"/>
    </row>
    <row r="529">
      <c r="A529" s="359"/>
      <c r="B529" s="359"/>
      <c r="C529" s="359"/>
      <c r="D529" s="359"/>
      <c r="E529" s="360"/>
      <c r="F529" s="359"/>
      <c r="G529" s="359"/>
    </row>
    <row r="530">
      <c r="A530" s="359"/>
      <c r="B530" s="359"/>
      <c r="C530" s="359"/>
      <c r="D530" s="359"/>
      <c r="E530" s="360"/>
      <c r="F530" s="359"/>
      <c r="G530" s="359"/>
    </row>
    <row r="531">
      <c r="A531" s="359"/>
      <c r="B531" s="359"/>
      <c r="C531" s="359"/>
      <c r="D531" s="359"/>
      <c r="E531" s="360"/>
      <c r="F531" s="359"/>
      <c r="G531" s="359"/>
    </row>
    <row r="532">
      <c r="A532" s="359"/>
      <c r="B532" s="359"/>
      <c r="C532" s="359"/>
      <c r="D532" s="359"/>
      <c r="E532" s="360"/>
      <c r="F532" s="359"/>
      <c r="G532" s="359"/>
    </row>
    <row r="533">
      <c r="A533" s="359"/>
      <c r="B533" s="359"/>
      <c r="C533" s="359"/>
      <c r="D533" s="359"/>
      <c r="E533" s="360"/>
      <c r="F533" s="359"/>
      <c r="G533" s="359"/>
    </row>
    <row r="534">
      <c r="A534" s="359"/>
      <c r="B534" s="359"/>
      <c r="C534" s="359"/>
      <c r="D534" s="359"/>
      <c r="E534" s="360"/>
      <c r="F534" s="359"/>
      <c r="G534" s="359"/>
    </row>
    <row r="535">
      <c r="A535" s="359"/>
      <c r="B535" s="359"/>
      <c r="C535" s="359"/>
      <c r="D535" s="359"/>
      <c r="E535" s="360"/>
      <c r="F535" s="359"/>
      <c r="G535" s="359"/>
    </row>
    <row r="536">
      <c r="A536" s="359"/>
      <c r="B536" s="359"/>
      <c r="C536" s="359"/>
      <c r="D536" s="359"/>
      <c r="E536" s="360"/>
      <c r="F536" s="359"/>
      <c r="G536" s="359"/>
    </row>
    <row r="537">
      <c r="A537" s="359"/>
      <c r="B537" s="359"/>
      <c r="C537" s="359"/>
      <c r="D537" s="359"/>
      <c r="E537" s="360"/>
      <c r="F537" s="359"/>
      <c r="G537" s="359"/>
    </row>
    <row r="538">
      <c r="A538" s="359"/>
      <c r="B538" s="359"/>
      <c r="C538" s="359"/>
      <c r="D538" s="359"/>
      <c r="E538" s="360"/>
      <c r="F538" s="359"/>
      <c r="G538" s="359"/>
    </row>
    <row r="539">
      <c r="A539" s="359"/>
      <c r="B539" s="359"/>
      <c r="C539" s="359"/>
      <c r="D539" s="359"/>
      <c r="E539" s="360"/>
      <c r="F539" s="359"/>
      <c r="G539" s="359"/>
    </row>
    <row r="540">
      <c r="A540" s="359"/>
      <c r="B540" s="359"/>
      <c r="C540" s="359"/>
      <c r="D540" s="359"/>
      <c r="E540" s="360"/>
      <c r="F540" s="359"/>
      <c r="G540" s="359"/>
    </row>
    <row r="541">
      <c r="A541" s="359"/>
      <c r="B541" s="359"/>
      <c r="C541" s="359"/>
      <c r="D541" s="359"/>
      <c r="E541" s="360"/>
      <c r="F541" s="359"/>
      <c r="G541" s="359"/>
    </row>
    <row r="542">
      <c r="A542" s="359"/>
      <c r="B542" s="359"/>
      <c r="C542" s="359"/>
      <c r="D542" s="359"/>
      <c r="E542" s="360"/>
      <c r="F542" s="359"/>
      <c r="G542" s="359"/>
    </row>
    <row r="543">
      <c r="A543" s="359"/>
      <c r="B543" s="359"/>
      <c r="C543" s="359"/>
      <c r="D543" s="359"/>
      <c r="E543" s="360"/>
      <c r="F543" s="359"/>
      <c r="G543" s="359"/>
    </row>
    <row r="544">
      <c r="A544" s="359"/>
      <c r="B544" s="359"/>
      <c r="C544" s="359"/>
      <c r="D544" s="359"/>
      <c r="E544" s="360"/>
      <c r="F544" s="359"/>
      <c r="G544" s="359"/>
    </row>
    <row r="545">
      <c r="A545" s="359"/>
      <c r="B545" s="359"/>
      <c r="C545" s="359"/>
      <c r="D545" s="359"/>
      <c r="E545" s="360"/>
      <c r="F545" s="359"/>
      <c r="G545" s="359"/>
    </row>
    <row r="546">
      <c r="A546" s="359"/>
      <c r="B546" s="359"/>
      <c r="C546" s="359"/>
      <c r="D546" s="359"/>
      <c r="E546" s="360"/>
      <c r="F546" s="359"/>
      <c r="G546" s="359"/>
    </row>
    <row r="547">
      <c r="A547" s="359"/>
      <c r="B547" s="359"/>
      <c r="C547" s="359"/>
      <c r="D547" s="359"/>
      <c r="E547" s="360"/>
      <c r="F547" s="359"/>
      <c r="G547" s="359"/>
    </row>
    <row r="548">
      <c r="A548" s="359"/>
      <c r="B548" s="359"/>
      <c r="C548" s="359"/>
      <c r="D548" s="359"/>
      <c r="E548" s="360"/>
      <c r="F548" s="359"/>
      <c r="G548" s="359"/>
    </row>
    <row r="549">
      <c r="A549" s="359"/>
      <c r="B549" s="359"/>
      <c r="C549" s="359"/>
      <c r="D549" s="359"/>
      <c r="E549" s="360"/>
      <c r="F549" s="359"/>
      <c r="G549" s="359"/>
    </row>
    <row r="550">
      <c r="A550" s="359"/>
      <c r="B550" s="359"/>
      <c r="C550" s="359"/>
      <c r="D550" s="359"/>
      <c r="E550" s="360"/>
      <c r="F550" s="359"/>
      <c r="G550" s="359"/>
    </row>
    <row r="551">
      <c r="A551" s="359"/>
      <c r="B551" s="359"/>
      <c r="C551" s="359"/>
      <c r="D551" s="359"/>
      <c r="E551" s="360"/>
      <c r="F551" s="359"/>
      <c r="G551" s="359"/>
    </row>
    <row r="552">
      <c r="A552" s="359"/>
      <c r="B552" s="359"/>
      <c r="C552" s="359"/>
      <c r="D552" s="359"/>
      <c r="E552" s="360"/>
      <c r="F552" s="359"/>
      <c r="G552" s="359"/>
    </row>
    <row r="553">
      <c r="A553" s="359"/>
      <c r="B553" s="359"/>
      <c r="C553" s="359"/>
      <c r="D553" s="359"/>
      <c r="E553" s="360"/>
      <c r="F553" s="359"/>
      <c r="G553" s="359"/>
    </row>
    <row r="554">
      <c r="A554" s="359"/>
      <c r="B554" s="359"/>
      <c r="C554" s="359"/>
      <c r="D554" s="359"/>
      <c r="E554" s="360"/>
      <c r="F554" s="359"/>
      <c r="G554" s="359"/>
    </row>
    <row r="555">
      <c r="A555" s="359"/>
      <c r="B555" s="359"/>
      <c r="C555" s="359"/>
      <c r="D555" s="359"/>
      <c r="E555" s="360"/>
      <c r="F555" s="359"/>
      <c r="G555" s="359"/>
    </row>
    <row r="556">
      <c r="A556" s="359"/>
      <c r="B556" s="359"/>
      <c r="C556" s="359"/>
      <c r="D556" s="359"/>
      <c r="E556" s="360"/>
      <c r="F556" s="359"/>
      <c r="G556" s="359"/>
    </row>
    <row r="557">
      <c r="A557" s="359"/>
      <c r="B557" s="359"/>
      <c r="C557" s="359"/>
      <c r="D557" s="359"/>
      <c r="E557" s="360"/>
      <c r="F557" s="359"/>
      <c r="G557" s="359"/>
    </row>
    <row r="558">
      <c r="A558" s="359"/>
      <c r="B558" s="359"/>
      <c r="C558" s="359"/>
      <c r="D558" s="359"/>
      <c r="E558" s="360"/>
      <c r="F558" s="359"/>
      <c r="G558" s="359"/>
    </row>
    <row r="559">
      <c r="A559" s="359"/>
      <c r="B559" s="359"/>
      <c r="C559" s="359"/>
      <c r="D559" s="359"/>
      <c r="E559" s="360"/>
      <c r="F559" s="359"/>
      <c r="G559" s="359"/>
    </row>
    <row r="560">
      <c r="A560" s="359"/>
      <c r="B560" s="359"/>
      <c r="C560" s="359"/>
      <c r="D560" s="359"/>
      <c r="E560" s="360"/>
      <c r="F560" s="359"/>
      <c r="G560" s="359"/>
    </row>
    <row r="561">
      <c r="A561" s="359"/>
      <c r="B561" s="359"/>
      <c r="C561" s="359"/>
      <c r="D561" s="359"/>
      <c r="E561" s="360"/>
      <c r="F561" s="359"/>
      <c r="G561" s="359"/>
    </row>
    <row r="562">
      <c r="A562" s="359"/>
      <c r="B562" s="359"/>
      <c r="C562" s="359"/>
      <c r="D562" s="359"/>
      <c r="E562" s="360"/>
      <c r="F562" s="359"/>
      <c r="G562" s="359"/>
    </row>
    <row r="563">
      <c r="A563" s="359"/>
      <c r="B563" s="359"/>
      <c r="C563" s="359"/>
      <c r="D563" s="359"/>
      <c r="E563" s="360"/>
      <c r="F563" s="359"/>
      <c r="G563" s="359"/>
    </row>
    <row r="564">
      <c r="A564" s="359"/>
      <c r="B564" s="359"/>
      <c r="C564" s="359"/>
      <c r="D564" s="359"/>
      <c r="E564" s="360"/>
      <c r="F564" s="359"/>
      <c r="G564" s="359"/>
    </row>
    <row r="565">
      <c r="A565" s="359"/>
      <c r="B565" s="359"/>
      <c r="C565" s="359"/>
      <c r="D565" s="359"/>
      <c r="E565" s="360"/>
      <c r="F565" s="359"/>
      <c r="G565" s="359"/>
    </row>
    <row r="566">
      <c r="A566" s="359"/>
      <c r="B566" s="359"/>
      <c r="C566" s="359"/>
      <c r="D566" s="359"/>
      <c r="E566" s="360"/>
      <c r="F566" s="359"/>
      <c r="G566" s="359"/>
    </row>
    <row r="567">
      <c r="A567" s="359"/>
      <c r="B567" s="359"/>
      <c r="C567" s="359"/>
      <c r="D567" s="359"/>
      <c r="E567" s="360"/>
      <c r="F567" s="359"/>
      <c r="G567" s="359"/>
    </row>
    <row r="568">
      <c r="A568" s="359"/>
      <c r="B568" s="359"/>
      <c r="C568" s="359"/>
      <c r="D568" s="359"/>
      <c r="E568" s="360"/>
      <c r="F568" s="359"/>
      <c r="G568" s="359"/>
    </row>
    <row r="569">
      <c r="A569" s="359"/>
      <c r="B569" s="359"/>
      <c r="C569" s="359"/>
      <c r="D569" s="359"/>
      <c r="E569" s="360"/>
      <c r="F569" s="359"/>
      <c r="G569" s="359"/>
    </row>
    <row r="570">
      <c r="A570" s="359"/>
      <c r="B570" s="359"/>
      <c r="C570" s="359"/>
      <c r="D570" s="359"/>
      <c r="E570" s="360"/>
      <c r="F570" s="359"/>
      <c r="G570" s="359"/>
    </row>
    <row r="571">
      <c r="A571" s="359"/>
      <c r="B571" s="359"/>
      <c r="C571" s="359"/>
      <c r="D571" s="359"/>
      <c r="E571" s="360"/>
      <c r="F571" s="359"/>
      <c r="G571" s="359"/>
    </row>
    <row r="572">
      <c r="A572" s="359"/>
      <c r="B572" s="359"/>
      <c r="C572" s="359"/>
      <c r="D572" s="359"/>
      <c r="E572" s="360"/>
      <c r="F572" s="359"/>
      <c r="G572" s="359"/>
    </row>
    <row r="573">
      <c r="A573" s="359"/>
      <c r="B573" s="359"/>
      <c r="C573" s="359"/>
      <c r="D573" s="359"/>
      <c r="E573" s="360"/>
      <c r="F573" s="359"/>
      <c r="G573" s="359"/>
    </row>
    <row r="574">
      <c r="A574" s="359"/>
      <c r="B574" s="359"/>
      <c r="C574" s="359"/>
      <c r="D574" s="359"/>
      <c r="E574" s="360"/>
      <c r="F574" s="359"/>
      <c r="G574" s="359"/>
    </row>
    <row r="575">
      <c r="A575" s="359"/>
      <c r="B575" s="359"/>
      <c r="C575" s="359"/>
      <c r="D575" s="359"/>
      <c r="E575" s="360"/>
      <c r="F575" s="359"/>
      <c r="G575" s="359"/>
    </row>
    <row r="576">
      <c r="A576" s="359"/>
      <c r="B576" s="359"/>
      <c r="C576" s="359"/>
      <c r="D576" s="359"/>
      <c r="E576" s="360"/>
      <c r="F576" s="359"/>
      <c r="G576" s="359"/>
    </row>
    <row r="577">
      <c r="A577" s="359"/>
      <c r="B577" s="359"/>
      <c r="C577" s="359"/>
      <c r="D577" s="359"/>
      <c r="E577" s="360"/>
      <c r="F577" s="359"/>
      <c r="G577" s="359"/>
    </row>
    <row r="578">
      <c r="A578" s="359"/>
      <c r="B578" s="359"/>
      <c r="C578" s="359"/>
      <c r="D578" s="359"/>
      <c r="E578" s="360"/>
      <c r="F578" s="359"/>
      <c r="G578" s="359"/>
    </row>
    <row r="579">
      <c r="A579" s="359"/>
      <c r="B579" s="359"/>
      <c r="C579" s="359"/>
      <c r="D579" s="359"/>
      <c r="E579" s="360"/>
      <c r="F579" s="359"/>
      <c r="G579" s="359"/>
    </row>
    <row r="580">
      <c r="A580" s="359"/>
      <c r="B580" s="359"/>
      <c r="C580" s="359"/>
      <c r="D580" s="359"/>
      <c r="E580" s="360"/>
      <c r="F580" s="359"/>
      <c r="G580" s="359"/>
    </row>
    <row r="581">
      <c r="A581" s="359"/>
      <c r="B581" s="359"/>
      <c r="C581" s="359"/>
      <c r="D581" s="359"/>
      <c r="E581" s="360"/>
      <c r="F581" s="359"/>
      <c r="G581" s="359"/>
    </row>
    <row r="582">
      <c r="A582" s="359"/>
      <c r="B582" s="359"/>
      <c r="C582" s="359"/>
      <c r="D582" s="359"/>
      <c r="E582" s="360"/>
      <c r="F582" s="359"/>
      <c r="G582" s="359"/>
    </row>
    <row r="583">
      <c r="A583" s="359"/>
      <c r="B583" s="359"/>
      <c r="C583" s="359"/>
      <c r="D583" s="359"/>
      <c r="E583" s="360"/>
      <c r="F583" s="359"/>
      <c r="G583" s="359"/>
    </row>
    <row r="584">
      <c r="A584" s="359"/>
      <c r="B584" s="359"/>
      <c r="C584" s="359"/>
      <c r="D584" s="359"/>
      <c r="E584" s="360"/>
      <c r="F584" s="359"/>
      <c r="G584" s="359"/>
    </row>
    <row r="585">
      <c r="A585" s="359"/>
      <c r="B585" s="359"/>
      <c r="C585" s="359"/>
      <c r="D585" s="359"/>
      <c r="E585" s="360"/>
      <c r="F585" s="359"/>
      <c r="G585" s="359"/>
    </row>
    <row r="586">
      <c r="A586" s="359"/>
      <c r="B586" s="359"/>
      <c r="C586" s="359"/>
      <c r="D586" s="359"/>
      <c r="E586" s="360"/>
      <c r="F586" s="359"/>
      <c r="G586" s="359"/>
    </row>
    <row r="587">
      <c r="A587" s="359"/>
      <c r="B587" s="359"/>
      <c r="C587" s="359"/>
      <c r="D587" s="359"/>
      <c r="E587" s="360"/>
      <c r="F587" s="359"/>
      <c r="G587" s="359"/>
    </row>
    <row r="588">
      <c r="A588" s="359"/>
      <c r="B588" s="359"/>
      <c r="C588" s="359"/>
      <c r="D588" s="359"/>
      <c r="E588" s="360"/>
      <c r="F588" s="359"/>
      <c r="G588" s="359"/>
    </row>
    <row r="589">
      <c r="A589" s="359"/>
      <c r="B589" s="359"/>
      <c r="C589" s="359"/>
      <c r="D589" s="359"/>
      <c r="E589" s="360"/>
      <c r="F589" s="359"/>
      <c r="G589" s="359"/>
    </row>
    <row r="590">
      <c r="A590" s="359"/>
      <c r="B590" s="359"/>
      <c r="C590" s="359"/>
      <c r="D590" s="359"/>
      <c r="E590" s="360"/>
      <c r="F590" s="359"/>
      <c r="G590" s="359"/>
    </row>
    <row r="591">
      <c r="A591" s="359"/>
      <c r="B591" s="359"/>
      <c r="C591" s="359"/>
      <c r="D591" s="359"/>
      <c r="E591" s="360"/>
      <c r="F591" s="359"/>
      <c r="G591" s="359"/>
    </row>
    <row r="592">
      <c r="A592" s="359"/>
      <c r="B592" s="359"/>
      <c r="C592" s="359"/>
      <c r="D592" s="359"/>
      <c r="E592" s="360"/>
      <c r="F592" s="359"/>
      <c r="G592" s="359"/>
    </row>
    <row r="593">
      <c r="A593" s="359"/>
      <c r="B593" s="359"/>
      <c r="C593" s="359"/>
      <c r="D593" s="359"/>
      <c r="E593" s="360"/>
      <c r="F593" s="359"/>
      <c r="G593" s="359"/>
    </row>
    <row r="594">
      <c r="A594" s="359"/>
      <c r="B594" s="359"/>
      <c r="C594" s="359"/>
      <c r="D594" s="359"/>
      <c r="E594" s="360"/>
      <c r="F594" s="359"/>
      <c r="G594" s="359"/>
    </row>
    <row r="595">
      <c r="A595" s="359"/>
      <c r="B595" s="359"/>
      <c r="C595" s="359"/>
      <c r="D595" s="359"/>
      <c r="E595" s="360"/>
      <c r="F595" s="359"/>
      <c r="G595" s="359"/>
    </row>
    <row r="596">
      <c r="A596" s="359"/>
      <c r="B596" s="359"/>
      <c r="C596" s="359"/>
      <c r="D596" s="359"/>
      <c r="E596" s="360"/>
      <c r="F596" s="359"/>
      <c r="G596" s="359"/>
    </row>
    <row r="597">
      <c r="A597" s="359"/>
      <c r="B597" s="359"/>
      <c r="C597" s="359"/>
      <c r="D597" s="359"/>
      <c r="E597" s="360"/>
      <c r="F597" s="359"/>
      <c r="G597" s="359"/>
    </row>
    <row r="598">
      <c r="A598" s="359"/>
      <c r="B598" s="359"/>
      <c r="C598" s="359"/>
      <c r="D598" s="359"/>
      <c r="E598" s="360"/>
      <c r="F598" s="359"/>
      <c r="G598" s="359"/>
    </row>
    <row r="599">
      <c r="A599" s="359"/>
      <c r="B599" s="359"/>
      <c r="C599" s="359"/>
      <c r="D599" s="359"/>
      <c r="E599" s="360"/>
      <c r="F599" s="359"/>
      <c r="G599" s="359"/>
    </row>
    <row r="600">
      <c r="A600" s="359"/>
      <c r="B600" s="359"/>
      <c r="C600" s="359"/>
      <c r="D600" s="359"/>
      <c r="E600" s="360"/>
      <c r="F600" s="359"/>
      <c r="G600" s="359"/>
    </row>
    <row r="601">
      <c r="A601" s="359"/>
      <c r="B601" s="359"/>
      <c r="C601" s="359"/>
      <c r="D601" s="359"/>
      <c r="E601" s="360"/>
      <c r="F601" s="359"/>
      <c r="G601" s="359"/>
    </row>
    <row r="602">
      <c r="A602" s="359"/>
      <c r="B602" s="359"/>
      <c r="C602" s="359"/>
      <c r="D602" s="359"/>
      <c r="E602" s="360"/>
      <c r="F602" s="359"/>
      <c r="G602" s="359"/>
    </row>
    <row r="603">
      <c r="A603" s="359"/>
      <c r="B603" s="359"/>
      <c r="C603" s="359"/>
      <c r="D603" s="359"/>
      <c r="E603" s="360"/>
      <c r="F603" s="359"/>
      <c r="G603" s="359"/>
    </row>
    <row r="604">
      <c r="A604" s="359"/>
      <c r="B604" s="359"/>
      <c r="C604" s="359"/>
      <c r="D604" s="359"/>
      <c r="E604" s="360"/>
      <c r="F604" s="359"/>
      <c r="G604" s="359"/>
    </row>
    <row r="605">
      <c r="A605" s="359"/>
      <c r="B605" s="359"/>
      <c r="C605" s="359"/>
      <c r="D605" s="359"/>
      <c r="E605" s="360"/>
      <c r="F605" s="359"/>
      <c r="G605" s="359"/>
    </row>
    <row r="606">
      <c r="A606" s="359"/>
      <c r="B606" s="359"/>
      <c r="C606" s="359"/>
      <c r="D606" s="359"/>
      <c r="E606" s="360"/>
      <c r="F606" s="359"/>
      <c r="G606" s="359"/>
    </row>
    <row r="607">
      <c r="A607" s="359"/>
      <c r="B607" s="359"/>
      <c r="C607" s="359"/>
      <c r="D607" s="359"/>
      <c r="E607" s="360"/>
      <c r="F607" s="359"/>
      <c r="G607" s="359"/>
    </row>
    <row r="608">
      <c r="A608" s="359"/>
      <c r="B608" s="359"/>
      <c r="C608" s="359"/>
      <c r="D608" s="359"/>
      <c r="E608" s="360"/>
      <c r="F608" s="359"/>
      <c r="G608" s="359"/>
    </row>
    <row r="609">
      <c r="A609" s="359"/>
      <c r="B609" s="359"/>
      <c r="C609" s="359"/>
      <c r="D609" s="359"/>
      <c r="E609" s="360"/>
      <c r="F609" s="359"/>
      <c r="G609" s="359"/>
    </row>
    <row r="610">
      <c r="A610" s="359"/>
      <c r="B610" s="359"/>
      <c r="C610" s="359"/>
      <c r="D610" s="359"/>
      <c r="E610" s="360"/>
      <c r="F610" s="359"/>
      <c r="G610" s="359"/>
    </row>
    <row r="611">
      <c r="A611" s="359"/>
      <c r="B611" s="359"/>
      <c r="C611" s="359"/>
      <c r="D611" s="359"/>
      <c r="E611" s="360"/>
      <c r="F611" s="359"/>
      <c r="G611" s="359"/>
    </row>
    <row r="612">
      <c r="A612" s="359"/>
      <c r="B612" s="359"/>
      <c r="C612" s="359"/>
      <c r="D612" s="359"/>
      <c r="E612" s="360"/>
      <c r="F612" s="359"/>
      <c r="G612" s="359"/>
    </row>
    <row r="613">
      <c r="A613" s="359"/>
      <c r="B613" s="359"/>
      <c r="C613" s="359"/>
      <c r="D613" s="359"/>
      <c r="E613" s="360"/>
      <c r="F613" s="359"/>
      <c r="G613" s="359"/>
    </row>
    <row r="614">
      <c r="A614" s="359"/>
      <c r="B614" s="359"/>
      <c r="C614" s="359"/>
      <c r="D614" s="359"/>
      <c r="E614" s="360"/>
      <c r="F614" s="359"/>
      <c r="G614" s="359"/>
    </row>
    <row r="615">
      <c r="A615" s="359"/>
      <c r="B615" s="359"/>
      <c r="C615" s="359"/>
      <c r="D615" s="359"/>
      <c r="E615" s="360"/>
      <c r="F615" s="359"/>
      <c r="G615" s="359"/>
    </row>
    <row r="616">
      <c r="A616" s="359"/>
      <c r="B616" s="359"/>
      <c r="C616" s="359"/>
      <c r="D616" s="359"/>
      <c r="E616" s="360"/>
      <c r="F616" s="359"/>
      <c r="G616" s="359"/>
    </row>
    <row r="617">
      <c r="A617" s="359"/>
      <c r="B617" s="359"/>
      <c r="C617" s="359"/>
      <c r="D617" s="359"/>
      <c r="E617" s="360"/>
      <c r="F617" s="359"/>
      <c r="G617" s="359"/>
    </row>
    <row r="618">
      <c r="A618" s="359"/>
      <c r="B618" s="359"/>
      <c r="C618" s="359"/>
      <c r="D618" s="359"/>
      <c r="E618" s="360"/>
      <c r="F618" s="359"/>
      <c r="G618" s="359"/>
    </row>
    <row r="619">
      <c r="A619" s="359"/>
      <c r="B619" s="359"/>
      <c r="C619" s="359"/>
      <c r="D619" s="359"/>
      <c r="E619" s="360"/>
      <c r="F619" s="359"/>
      <c r="G619" s="359"/>
    </row>
    <row r="620">
      <c r="A620" s="359"/>
      <c r="B620" s="359"/>
      <c r="C620" s="359"/>
      <c r="D620" s="359"/>
      <c r="E620" s="360"/>
      <c r="F620" s="359"/>
      <c r="G620" s="359"/>
    </row>
    <row r="621">
      <c r="A621" s="359"/>
      <c r="B621" s="359"/>
      <c r="C621" s="359"/>
      <c r="D621" s="359"/>
      <c r="E621" s="360"/>
      <c r="F621" s="359"/>
      <c r="G621" s="359"/>
    </row>
    <row r="622">
      <c r="A622" s="359"/>
      <c r="B622" s="359"/>
      <c r="C622" s="359"/>
      <c r="D622" s="359"/>
      <c r="E622" s="360"/>
      <c r="F622" s="359"/>
      <c r="G622" s="359"/>
    </row>
    <row r="623">
      <c r="A623" s="359"/>
      <c r="B623" s="359"/>
      <c r="C623" s="359"/>
      <c r="D623" s="359"/>
      <c r="E623" s="360"/>
      <c r="F623" s="359"/>
      <c r="G623" s="359"/>
    </row>
    <row r="624">
      <c r="A624" s="359"/>
      <c r="B624" s="359"/>
      <c r="C624" s="359"/>
      <c r="D624" s="359"/>
      <c r="E624" s="360"/>
      <c r="F624" s="359"/>
      <c r="G624" s="359"/>
    </row>
    <row r="625">
      <c r="A625" s="359"/>
      <c r="B625" s="359"/>
      <c r="C625" s="359"/>
      <c r="D625" s="359"/>
      <c r="E625" s="360"/>
      <c r="F625" s="359"/>
      <c r="G625" s="359"/>
    </row>
    <row r="626">
      <c r="A626" s="359"/>
      <c r="B626" s="359"/>
      <c r="C626" s="359"/>
      <c r="D626" s="359"/>
      <c r="E626" s="360"/>
      <c r="F626" s="359"/>
      <c r="G626" s="359"/>
    </row>
    <row r="627">
      <c r="A627" s="359"/>
      <c r="B627" s="359"/>
      <c r="C627" s="359"/>
      <c r="D627" s="359"/>
      <c r="E627" s="360"/>
      <c r="F627" s="359"/>
      <c r="G627" s="359"/>
    </row>
    <row r="628">
      <c r="A628" s="359"/>
      <c r="B628" s="359"/>
      <c r="C628" s="359"/>
      <c r="D628" s="359"/>
      <c r="E628" s="360"/>
      <c r="F628" s="359"/>
      <c r="G628" s="359"/>
    </row>
    <row r="629">
      <c r="A629" s="359"/>
      <c r="B629" s="359"/>
      <c r="C629" s="359"/>
      <c r="D629" s="359"/>
      <c r="E629" s="360"/>
      <c r="F629" s="359"/>
      <c r="G629" s="359"/>
    </row>
    <row r="630">
      <c r="A630" s="359"/>
      <c r="B630" s="359"/>
      <c r="C630" s="359"/>
      <c r="D630" s="359"/>
      <c r="E630" s="360"/>
      <c r="F630" s="359"/>
      <c r="G630" s="359"/>
    </row>
    <row r="631">
      <c r="A631" s="359"/>
      <c r="B631" s="359"/>
      <c r="C631" s="359"/>
      <c r="D631" s="359"/>
      <c r="E631" s="360"/>
      <c r="F631" s="359"/>
      <c r="G631" s="359"/>
    </row>
    <row r="632">
      <c r="A632" s="359"/>
      <c r="B632" s="359"/>
      <c r="C632" s="359"/>
      <c r="D632" s="359"/>
      <c r="E632" s="360"/>
      <c r="F632" s="359"/>
      <c r="G632" s="359"/>
    </row>
    <row r="633">
      <c r="A633" s="359"/>
      <c r="B633" s="359"/>
      <c r="C633" s="359"/>
      <c r="D633" s="359"/>
      <c r="E633" s="360"/>
      <c r="F633" s="359"/>
      <c r="G633" s="359"/>
    </row>
    <row r="634">
      <c r="A634" s="359"/>
      <c r="B634" s="359"/>
      <c r="C634" s="359"/>
      <c r="D634" s="359"/>
      <c r="E634" s="360"/>
      <c r="F634" s="359"/>
      <c r="G634" s="359"/>
    </row>
    <row r="635">
      <c r="A635" s="359"/>
      <c r="B635" s="359"/>
      <c r="C635" s="359"/>
      <c r="D635" s="359"/>
      <c r="E635" s="360"/>
      <c r="F635" s="359"/>
      <c r="G635" s="359"/>
    </row>
    <row r="636">
      <c r="A636" s="359"/>
      <c r="B636" s="359"/>
      <c r="C636" s="359"/>
      <c r="D636" s="359"/>
      <c r="E636" s="360"/>
      <c r="F636" s="359"/>
      <c r="G636" s="359"/>
    </row>
    <row r="637">
      <c r="A637" s="359"/>
      <c r="B637" s="359"/>
      <c r="C637" s="359"/>
      <c r="D637" s="359"/>
      <c r="E637" s="360"/>
      <c r="F637" s="359"/>
      <c r="G637" s="359"/>
    </row>
    <row r="638">
      <c r="A638" s="359"/>
      <c r="B638" s="359"/>
      <c r="C638" s="359"/>
      <c r="D638" s="359"/>
      <c r="E638" s="360"/>
      <c r="F638" s="359"/>
      <c r="G638" s="359"/>
    </row>
    <row r="639">
      <c r="A639" s="359"/>
      <c r="B639" s="359"/>
      <c r="C639" s="359"/>
      <c r="D639" s="359"/>
      <c r="E639" s="360"/>
      <c r="F639" s="359"/>
      <c r="G639" s="359"/>
    </row>
    <row r="640">
      <c r="A640" s="359"/>
      <c r="B640" s="359"/>
      <c r="C640" s="359"/>
      <c r="D640" s="359"/>
      <c r="E640" s="360"/>
      <c r="F640" s="359"/>
      <c r="G640" s="359"/>
    </row>
    <row r="641">
      <c r="A641" s="359"/>
      <c r="B641" s="359"/>
      <c r="C641" s="359"/>
      <c r="D641" s="359"/>
      <c r="E641" s="360"/>
      <c r="F641" s="359"/>
      <c r="G641" s="359"/>
    </row>
    <row r="642">
      <c r="A642" s="359"/>
      <c r="B642" s="359"/>
      <c r="C642" s="359"/>
      <c r="D642" s="359"/>
      <c r="E642" s="360"/>
      <c r="F642" s="359"/>
      <c r="G642" s="359"/>
    </row>
    <row r="643">
      <c r="A643" s="359"/>
      <c r="B643" s="359"/>
      <c r="C643" s="359"/>
      <c r="D643" s="359"/>
      <c r="E643" s="360"/>
      <c r="F643" s="359"/>
      <c r="G643" s="359"/>
    </row>
    <row r="644">
      <c r="A644" s="359"/>
      <c r="B644" s="359"/>
      <c r="C644" s="359"/>
      <c r="D644" s="359"/>
      <c r="E644" s="360"/>
      <c r="F644" s="359"/>
      <c r="G644" s="359"/>
    </row>
    <row r="645">
      <c r="A645" s="359"/>
      <c r="B645" s="359"/>
      <c r="C645" s="359"/>
      <c r="D645" s="359"/>
      <c r="E645" s="360"/>
      <c r="F645" s="359"/>
      <c r="G645" s="359"/>
    </row>
    <row r="646">
      <c r="A646" s="359"/>
      <c r="B646" s="359"/>
      <c r="C646" s="359"/>
      <c r="D646" s="359"/>
      <c r="E646" s="360"/>
      <c r="F646" s="359"/>
      <c r="G646" s="359"/>
    </row>
    <row r="647">
      <c r="A647" s="359"/>
      <c r="B647" s="359"/>
      <c r="C647" s="359"/>
      <c r="D647" s="359"/>
      <c r="E647" s="360"/>
      <c r="F647" s="359"/>
      <c r="G647" s="359"/>
    </row>
    <row r="648">
      <c r="A648" s="359"/>
      <c r="B648" s="359"/>
      <c r="C648" s="359"/>
      <c r="D648" s="359"/>
      <c r="E648" s="360"/>
      <c r="F648" s="359"/>
      <c r="G648" s="359"/>
    </row>
    <row r="649">
      <c r="A649" s="359"/>
      <c r="B649" s="359"/>
      <c r="C649" s="359"/>
      <c r="D649" s="359"/>
      <c r="E649" s="360"/>
      <c r="F649" s="359"/>
      <c r="G649" s="359"/>
    </row>
    <row r="650">
      <c r="A650" s="359"/>
      <c r="B650" s="359"/>
      <c r="C650" s="359"/>
      <c r="D650" s="359"/>
      <c r="E650" s="360"/>
      <c r="F650" s="359"/>
      <c r="G650" s="359"/>
    </row>
    <row r="651">
      <c r="A651" s="359"/>
      <c r="B651" s="359"/>
      <c r="C651" s="359"/>
      <c r="D651" s="359"/>
      <c r="E651" s="360"/>
      <c r="F651" s="359"/>
      <c r="G651" s="359"/>
    </row>
    <row r="652">
      <c r="A652" s="359"/>
      <c r="B652" s="359"/>
      <c r="C652" s="359"/>
      <c r="D652" s="359"/>
      <c r="E652" s="360"/>
      <c r="F652" s="359"/>
      <c r="G652" s="359"/>
    </row>
    <row r="653">
      <c r="A653" s="359"/>
      <c r="B653" s="359"/>
      <c r="C653" s="359"/>
      <c r="D653" s="359"/>
      <c r="E653" s="360"/>
      <c r="F653" s="359"/>
      <c r="G653" s="359"/>
    </row>
    <row r="654">
      <c r="A654" s="359"/>
      <c r="B654" s="359"/>
      <c r="C654" s="359"/>
      <c r="D654" s="359"/>
      <c r="E654" s="360"/>
      <c r="F654" s="359"/>
      <c r="G654" s="359"/>
    </row>
    <row r="655">
      <c r="A655" s="359"/>
      <c r="B655" s="359"/>
      <c r="C655" s="359"/>
      <c r="D655" s="359"/>
      <c r="E655" s="360"/>
      <c r="F655" s="359"/>
      <c r="G655" s="359"/>
    </row>
    <row r="656">
      <c r="A656" s="359"/>
      <c r="B656" s="359"/>
      <c r="C656" s="359"/>
      <c r="D656" s="359"/>
      <c r="E656" s="360"/>
      <c r="F656" s="359"/>
      <c r="G656" s="359"/>
    </row>
    <row r="657">
      <c r="A657" s="359"/>
      <c r="B657" s="359"/>
      <c r="C657" s="359"/>
      <c r="D657" s="359"/>
      <c r="E657" s="360"/>
      <c r="F657" s="359"/>
      <c r="G657" s="359"/>
    </row>
    <row r="658">
      <c r="A658" s="359"/>
      <c r="B658" s="359"/>
      <c r="C658" s="359"/>
      <c r="D658" s="359"/>
      <c r="E658" s="360"/>
      <c r="F658" s="359"/>
      <c r="G658" s="359"/>
    </row>
    <row r="659">
      <c r="A659" s="359"/>
      <c r="B659" s="359"/>
      <c r="C659" s="359"/>
      <c r="D659" s="359"/>
      <c r="E659" s="360"/>
      <c r="F659" s="359"/>
      <c r="G659" s="359"/>
    </row>
    <row r="660">
      <c r="A660" s="359"/>
      <c r="B660" s="359"/>
      <c r="C660" s="359"/>
      <c r="D660" s="359"/>
      <c r="E660" s="360"/>
      <c r="F660" s="359"/>
      <c r="G660" s="359"/>
    </row>
    <row r="661">
      <c r="A661" s="359"/>
      <c r="B661" s="359"/>
      <c r="C661" s="359"/>
      <c r="D661" s="359"/>
      <c r="E661" s="360"/>
      <c r="F661" s="359"/>
      <c r="G661" s="359"/>
    </row>
    <row r="662">
      <c r="A662" s="359"/>
      <c r="B662" s="359"/>
      <c r="C662" s="359"/>
      <c r="D662" s="359"/>
      <c r="E662" s="360"/>
      <c r="F662" s="359"/>
      <c r="G662" s="359"/>
    </row>
    <row r="663">
      <c r="A663" s="359"/>
      <c r="B663" s="359"/>
      <c r="C663" s="359"/>
      <c r="D663" s="359"/>
      <c r="E663" s="360"/>
      <c r="F663" s="359"/>
      <c r="G663" s="359"/>
    </row>
    <row r="664">
      <c r="A664" s="359"/>
      <c r="B664" s="359"/>
      <c r="C664" s="359"/>
      <c r="D664" s="359"/>
      <c r="E664" s="360"/>
      <c r="F664" s="359"/>
      <c r="G664" s="359"/>
    </row>
    <row r="665">
      <c r="A665" s="359"/>
      <c r="B665" s="359"/>
      <c r="C665" s="359"/>
      <c r="D665" s="359"/>
      <c r="E665" s="360"/>
      <c r="F665" s="359"/>
      <c r="G665" s="359"/>
    </row>
    <row r="666">
      <c r="A666" s="359"/>
      <c r="B666" s="359"/>
      <c r="C666" s="359"/>
      <c r="D666" s="359"/>
      <c r="E666" s="360"/>
      <c r="F666" s="359"/>
      <c r="G666" s="359"/>
    </row>
    <row r="667">
      <c r="A667" s="359"/>
      <c r="B667" s="359"/>
      <c r="C667" s="359"/>
      <c r="D667" s="359"/>
      <c r="E667" s="360"/>
      <c r="F667" s="359"/>
      <c r="G667" s="359"/>
    </row>
    <row r="668">
      <c r="A668" s="359"/>
      <c r="B668" s="359"/>
      <c r="C668" s="359"/>
      <c r="D668" s="359"/>
      <c r="E668" s="360"/>
      <c r="F668" s="359"/>
      <c r="G668" s="359"/>
    </row>
    <row r="669">
      <c r="A669" s="359"/>
      <c r="B669" s="359"/>
      <c r="C669" s="359"/>
      <c r="D669" s="359"/>
      <c r="E669" s="360"/>
      <c r="F669" s="359"/>
      <c r="G669" s="359"/>
    </row>
    <row r="670">
      <c r="A670" s="359"/>
      <c r="B670" s="359"/>
      <c r="C670" s="359"/>
      <c r="D670" s="359"/>
      <c r="E670" s="360"/>
      <c r="F670" s="359"/>
      <c r="G670" s="359"/>
    </row>
    <row r="671">
      <c r="A671" s="359"/>
      <c r="B671" s="359"/>
      <c r="C671" s="359"/>
      <c r="D671" s="359"/>
      <c r="E671" s="360"/>
      <c r="F671" s="359"/>
      <c r="G671" s="359"/>
    </row>
    <row r="672">
      <c r="A672" s="359"/>
      <c r="B672" s="359"/>
      <c r="C672" s="359"/>
      <c r="D672" s="359"/>
      <c r="E672" s="360"/>
      <c r="F672" s="359"/>
      <c r="G672" s="359"/>
    </row>
    <row r="673">
      <c r="A673" s="359"/>
      <c r="B673" s="359"/>
      <c r="C673" s="359"/>
      <c r="D673" s="359"/>
      <c r="E673" s="360"/>
      <c r="F673" s="359"/>
      <c r="G673" s="359"/>
    </row>
    <row r="674">
      <c r="A674" s="359"/>
      <c r="B674" s="359"/>
      <c r="C674" s="359"/>
      <c r="D674" s="359"/>
      <c r="E674" s="360"/>
      <c r="F674" s="359"/>
      <c r="G674" s="359"/>
    </row>
    <row r="675">
      <c r="A675" s="359"/>
      <c r="B675" s="359"/>
      <c r="C675" s="359"/>
      <c r="D675" s="359"/>
      <c r="E675" s="360"/>
      <c r="F675" s="359"/>
      <c r="G675" s="359"/>
    </row>
    <row r="676">
      <c r="A676" s="359"/>
      <c r="B676" s="359"/>
      <c r="C676" s="359"/>
      <c r="D676" s="359"/>
      <c r="E676" s="360"/>
      <c r="F676" s="359"/>
      <c r="G676" s="359"/>
    </row>
    <row r="677">
      <c r="A677" s="359"/>
      <c r="B677" s="359"/>
      <c r="C677" s="359"/>
      <c r="D677" s="359"/>
      <c r="E677" s="360"/>
      <c r="F677" s="359"/>
      <c r="G677" s="359"/>
    </row>
    <row r="678">
      <c r="A678" s="359"/>
      <c r="B678" s="359"/>
      <c r="C678" s="359"/>
      <c r="D678" s="359"/>
      <c r="E678" s="360"/>
      <c r="F678" s="359"/>
      <c r="G678" s="359"/>
    </row>
    <row r="679">
      <c r="A679" s="359"/>
      <c r="B679" s="359"/>
      <c r="C679" s="359"/>
      <c r="D679" s="359"/>
      <c r="E679" s="360"/>
      <c r="F679" s="359"/>
      <c r="G679" s="359"/>
    </row>
    <row r="680">
      <c r="A680" s="359"/>
      <c r="B680" s="359"/>
      <c r="C680" s="359"/>
      <c r="D680" s="359"/>
      <c r="E680" s="360"/>
      <c r="F680" s="359"/>
      <c r="G680" s="359"/>
    </row>
    <row r="681">
      <c r="A681" s="359"/>
      <c r="B681" s="359"/>
      <c r="C681" s="359"/>
      <c r="D681" s="359"/>
      <c r="E681" s="360"/>
      <c r="F681" s="359"/>
      <c r="G681" s="359"/>
    </row>
    <row r="682">
      <c r="A682" s="359"/>
      <c r="B682" s="359"/>
      <c r="C682" s="359"/>
      <c r="D682" s="359"/>
      <c r="E682" s="360"/>
      <c r="F682" s="359"/>
      <c r="G682" s="359"/>
    </row>
    <row r="683">
      <c r="A683" s="359"/>
      <c r="B683" s="359"/>
      <c r="C683" s="359"/>
      <c r="D683" s="359"/>
      <c r="E683" s="360"/>
      <c r="F683" s="359"/>
      <c r="G683" s="359"/>
    </row>
    <row r="684">
      <c r="A684" s="359"/>
      <c r="B684" s="359"/>
      <c r="C684" s="359"/>
      <c r="D684" s="359"/>
      <c r="E684" s="360"/>
      <c r="F684" s="359"/>
      <c r="G684" s="359"/>
    </row>
    <row r="685">
      <c r="A685" s="359"/>
      <c r="B685" s="359"/>
      <c r="C685" s="359"/>
      <c r="D685" s="359"/>
      <c r="E685" s="360"/>
      <c r="F685" s="359"/>
      <c r="G685" s="359"/>
    </row>
    <row r="686">
      <c r="A686" s="359"/>
      <c r="B686" s="359"/>
      <c r="C686" s="359"/>
      <c r="D686" s="359"/>
      <c r="E686" s="360"/>
      <c r="F686" s="359"/>
      <c r="G686" s="359"/>
    </row>
    <row r="687">
      <c r="A687" s="359"/>
      <c r="B687" s="359"/>
      <c r="C687" s="359"/>
      <c r="D687" s="359"/>
      <c r="E687" s="360"/>
      <c r="F687" s="359"/>
      <c r="G687" s="359"/>
    </row>
    <row r="688">
      <c r="A688" s="359"/>
      <c r="B688" s="359"/>
      <c r="C688" s="359"/>
      <c r="D688" s="359"/>
      <c r="E688" s="360"/>
      <c r="F688" s="359"/>
      <c r="G688" s="359"/>
    </row>
    <row r="689">
      <c r="A689" s="359"/>
      <c r="B689" s="359"/>
      <c r="C689" s="359"/>
      <c r="D689" s="359"/>
      <c r="E689" s="360"/>
      <c r="F689" s="359"/>
      <c r="G689" s="359"/>
    </row>
    <row r="690">
      <c r="A690" s="359"/>
      <c r="B690" s="359"/>
      <c r="C690" s="359"/>
      <c r="D690" s="359"/>
      <c r="E690" s="360"/>
      <c r="F690" s="359"/>
      <c r="G690" s="359"/>
    </row>
    <row r="691">
      <c r="A691" s="359"/>
      <c r="B691" s="359"/>
      <c r="C691" s="359"/>
      <c r="D691" s="359"/>
      <c r="E691" s="360"/>
      <c r="F691" s="359"/>
      <c r="G691" s="359"/>
    </row>
    <row r="692">
      <c r="A692" s="359"/>
      <c r="B692" s="359"/>
      <c r="C692" s="359"/>
      <c r="D692" s="359"/>
      <c r="E692" s="360"/>
      <c r="F692" s="359"/>
      <c r="G692" s="359"/>
    </row>
    <row r="693">
      <c r="A693" s="359"/>
      <c r="B693" s="359"/>
      <c r="C693" s="359"/>
      <c r="D693" s="359"/>
      <c r="E693" s="360"/>
      <c r="F693" s="359"/>
      <c r="G693" s="359"/>
    </row>
    <row r="694">
      <c r="A694" s="359"/>
      <c r="B694" s="359"/>
      <c r="C694" s="359"/>
      <c r="D694" s="359"/>
      <c r="E694" s="360"/>
      <c r="F694" s="359"/>
      <c r="G694" s="359"/>
    </row>
    <row r="695">
      <c r="A695" s="359"/>
      <c r="B695" s="359"/>
      <c r="C695" s="359"/>
      <c r="D695" s="359"/>
      <c r="E695" s="360"/>
      <c r="F695" s="359"/>
      <c r="G695" s="359"/>
    </row>
    <row r="696">
      <c r="A696" s="359"/>
      <c r="B696" s="359"/>
      <c r="C696" s="359"/>
      <c r="D696" s="359"/>
      <c r="E696" s="360"/>
      <c r="F696" s="359"/>
      <c r="G696" s="359"/>
    </row>
    <row r="697">
      <c r="A697" s="359"/>
      <c r="B697" s="359"/>
      <c r="C697" s="359"/>
      <c r="D697" s="359"/>
      <c r="E697" s="360"/>
      <c r="F697" s="359"/>
      <c r="G697" s="359"/>
    </row>
    <row r="698">
      <c r="A698" s="359"/>
      <c r="B698" s="359"/>
      <c r="C698" s="359"/>
      <c r="D698" s="359"/>
      <c r="E698" s="360"/>
      <c r="F698" s="359"/>
      <c r="G698" s="359"/>
    </row>
    <row r="699">
      <c r="A699" s="359"/>
      <c r="B699" s="359"/>
      <c r="C699" s="359"/>
      <c r="D699" s="359"/>
      <c r="E699" s="360"/>
      <c r="F699" s="359"/>
      <c r="G699" s="359"/>
    </row>
    <row r="700">
      <c r="A700" s="359"/>
      <c r="B700" s="359"/>
      <c r="C700" s="359"/>
      <c r="D700" s="359"/>
      <c r="E700" s="360"/>
      <c r="F700" s="359"/>
      <c r="G700" s="359"/>
    </row>
    <row r="701">
      <c r="A701" s="359"/>
      <c r="B701" s="359"/>
      <c r="C701" s="359"/>
      <c r="D701" s="359"/>
      <c r="E701" s="360"/>
      <c r="F701" s="359"/>
      <c r="G701" s="359"/>
    </row>
    <row r="702">
      <c r="A702" s="359"/>
      <c r="B702" s="359"/>
      <c r="C702" s="359"/>
      <c r="D702" s="359"/>
      <c r="E702" s="360"/>
      <c r="F702" s="359"/>
      <c r="G702" s="359"/>
    </row>
    <row r="703">
      <c r="A703" s="359"/>
      <c r="B703" s="359"/>
      <c r="C703" s="359"/>
      <c r="D703" s="359"/>
      <c r="E703" s="360"/>
      <c r="F703" s="359"/>
      <c r="G703" s="359"/>
    </row>
    <row r="704">
      <c r="A704" s="359"/>
      <c r="B704" s="359"/>
      <c r="C704" s="359"/>
      <c r="D704" s="359"/>
      <c r="E704" s="360"/>
      <c r="F704" s="359"/>
      <c r="G704" s="359"/>
    </row>
    <row r="705">
      <c r="A705" s="359"/>
      <c r="B705" s="359"/>
      <c r="C705" s="359"/>
      <c r="D705" s="359"/>
      <c r="E705" s="360"/>
      <c r="F705" s="359"/>
      <c r="G705" s="359"/>
    </row>
    <row r="706">
      <c r="A706" s="359"/>
      <c r="B706" s="359"/>
      <c r="C706" s="359"/>
      <c r="D706" s="359"/>
      <c r="E706" s="360"/>
      <c r="F706" s="359"/>
      <c r="G706" s="359"/>
    </row>
    <row r="707">
      <c r="A707" s="359"/>
      <c r="B707" s="359"/>
      <c r="C707" s="359"/>
      <c r="D707" s="359"/>
      <c r="E707" s="360"/>
      <c r="F707" s="359"/>
      <c r="G707" s="359"/>
    </row>
    <row r="708">
      <c r="A708" s="359"/>
      <c r="B708" s="359"/>
      <c r="C708" s="359"/>
      <c r="D708" s="359"/>
      <c r="E708" s="360"/>
      <c r="F708" s="359"/>
      <c r="G708" s="359"/>
    </row>
    <row r="709">
      <c r="A709" s="359"/>
      <c r="B709" s="359"/>
      <c r="C709" s="359"/>
      <c r="D709" s="359"/>
      <c r="E709" s="360"/>
      <c r="F709" s="359"/>
      <c r="G709" s="359"/>
    </row>
    <row r="710">
      <c r="A710" s="359"/>
      <c r="B710" s="359"/>
      <c r="C710" s="359"/>
      <c r="D710" s="359"/>
      <c r="E710" s="360"/>
      <c r="F710" s="359"/>
      <c r="G710" s="359"/>
    </row>
    <row r="711">
      <c r="A711" s="359"/>
      <c r="B711" s="359"/>
      <c r="C711" s="359"/>
      <c r="D711" s="359"/>
      <c r="E711" s="360"/>
      <c r="F711" s="359"/>
      <c r="G711" s="359"/>
    </row>
    <row r="712">
      <c r="A712" s="359"/>
      <c r="B712" s="359"/>
      <c r="C712" s="359"/>
      <c r="D712" s="359"/>
      <c r="E712" s="360"/>
      <c r="F712" s="359"/>
      <c r="G712" s="359"/>
    </row>
    <row r="713">
      <c r="A713" s="359"/>
      <c r="B713" s="359"/>
      <c r="C713" s="359"/>
      <c r="D713" s="359"/>
      <c r="E713" s="360"/>
      <c r="F713" s="359"/>
      <c r="G713" s="359"/>
    </row>
    <row r="714">
      <c r="A714" s="359"/>
      <c r="B714" s="359"/>
      <c r="C714" s="359"/>
      <c r="D714" s="359"/>
      <c r="E714" s="360"/>
      <c r="F714" s="359"/>
      <c r="G714" s="359"/>
    </row>
    <row r="715">
      <c r="A715" s="359"/>
      <c r="B715" s="359"/>
      <c r="C715" s="359"/>
      <c r="D715" s="359"/>
      <c r="E715" s="360"/>
      <c r="F715" s="359"/>
      <c r="G715" s="359"/>
    </row>
    <row r="716">
      <c r="A716" s="359"/>
      <c r="B716" s="359"/>
      <c r="C716" s="359"/>
      <c r="D716" s="359"/>
      <c r="E716" s="360"/>
      <c r="F716" s="359"/>
      <c r="G716" s="359"/>
    </row>
    <row r="717">
      <c r="A717" s="359"/>
      <c r="B717" s="359"/>
      <c r="C717" s="359"/>
      <c r="D717" s="359"/>
      <c r="E717" s="360"/>
      <c r="F717" s="359"/>
      <c r="G717" s="359"/>
    </row>
    <row r="718">
      <c r="A718" s="359"/>
      <c r="B718" s="359"/>
      <c r="C718" s="359"/>
      <c r="D718" s="359"/>
      <c r="E718" s="360"/>
      <c r="F718" s="359"/>
      <c r="G718" s="359"/>
    </row>
    <row r="719">
      <c r="A719" s="359"/>
      <c r="B719" s="359"/>
      <c r="C719" s="359"/>
      <c r="D719" s="359"/>
      <c r="E719" s="360"/>
      <c r="F719" s="359"/>
      <c r="G719" s="359"/>
    </row>
    <row r="720">
      <c r="A720" s="359"/>
      <c r="B720" s="359"/>
      <c r="C720" s="359"/>
      <c r="D720" s="359"/>
      <c r="E720" s="360"/>
      <c r="F720" s="359"/>
      <c r="G720" s="359"/>
    </row>
    <row r="721">
      <c r="A721" s="359"/>
      <c r="B721" s="359"/>
      <c r="C721" s="359"/>
      <c r="D721" s="359"/>
      <c r="E721" s="360"/>
      <c r="F721" s="359"/>
      <c r="G721" s="359"/>
    </row>
    <row r="722">
      <c r="A722" s="359"/>
      <c r="B722" s="359"/>
      <c r="C722" s="359"/>
      <c r="D722" s="359"/>
      <c r="E722" s="360"/>
      <c r="F722" s="359"/>
      <c r="G722" s="359"/>
    </row>
    <row r="723">
      <c r="A723" s="359"/>
      <c r="B723" s="359"/>
      <c r="C723" s="359"/>
      <c r="D723" s="359"/>
      <c r="E723" s="360"/>
      <c r="F723" s="359"/>
      <c r="G723" s="359"/>
    </row>
    <row r="724">
      <c r="A724" s="359"/>
      <c r="B724" s="359"/>
      <c r="C724" s="359"/>
      <c r="D724" s="359"/>
      <c r="E724" s="360"/>
      <c r="F724" s="359"/>
      <c r="G724" s="359"/>
    </row>
    <row r="725">
      <c r="A725" s="359"/>
      <c r="B725" s="359"/>
      <c r="C725" s="359"/>
      <c r="D725" s="359"/>
      <c r="E725" s="360"/>
      <c r="F725" s="359"/>
      <c r="G725" s="359"/>
    </row>
    <row r="726">
      <c r="A726" s="359"/>
      <c r="B726" s="359"/>
      <c r="C726" s="359"/>
      <c r="D726" s="359"/>
      <c r="E726" s="360"/>
      <c r="F726" s="359"/>
      <c r="G726" s="359"/>
    </row>
    <row r="727">
      <c r="A727" s="359"/>
      <c r="B727" s="359"/>
      <c r="C727" s="359"/>
      <c r="D727" s="359"/>
      <c r="E727" s="360"/>
      <c r="F727" s="359"/>
      <c r="G727" s="359"/>
    </row>
    <row r="728">
      <c r="A728" s="359"/>
      <c r="B728" s="359"/>
      <c r="C728" s="359"/>
      <c r="D728" s="359"/>
      <c r="E728" s="360"/>
      <c r="F728" s="359"/>
      <c r="G728" s="359"/>
    </row>
    <row r="729">
      <c r="A729" s="359"/>
      <c r="B729" s="359"/>
      <c r="C729" s="359"/>
      <c r="D729" s="359"/>
      <c r="E729" s="360"/>
      <c r="F729" s="359"/>
      <c r="G729" s="359"/>
    </row>
    <row r="730">
      <c r="A730" s="359"/>
      <c r="B730" s="359"/>
      <c r="C730" s="359"/>
      <c r="D730" s="359"/>
      <c r="E730" s="360"/>
      <c r="F730" s="359"/>
      <c r="G730" s="359"/>
    </row>
    <row r="731">
      <c r="A731" s="359"/>
      <c r="B731" s="359"/>
      <c r="C731" s="359"/>
      <c r="D731" s="359"/>
      <c r="E731" s="360"/>
      <c r="F731" s="359"/>
      <c r="G731" s="359"/>
    </row>
    <row r="732">
      <c r="A732" s="359"/>
      <c r="B732" s="359"/>
      <c r="C732" s="359"/>
      <c r="D732" s="359"/>
      <c r="E732" s="360"/>
      <c r="F732" s="359"/>
      <c r="G732" s="359"/>
    </row>
    <row r="733">
      <c r="A733" s="359"/>
      <c r="B733" s="359"/>
      <c r="C733" s="359"/>
      <c r="D733" s="359"/>
      <c r="E733" s="360"/>
      <c r="F733" s="359"/>
      <c r="G733" s="359"/>
    </row>
    <row r="734">
      <c r="A734" s="359"/>
      <c r="B734" s="359"/>
      <c r="C734" s="359"/>
      <c r="D734" s="359"/>
      <c r="E734" s="360"/>
      <c r="F734" s="359"/>
      <c r="G734" s="359"/>
    </row>
    <row r="735">
      <c r="A735" s="359"/>
      <c r="B735" s="359"/>
      <c r="C735" s="359"/>
      <c r="D735" s="359"/>
      <c r="E735" s="360"/>
      <c r="F735" s="359"/>
      <c r="G735" s="359"/>
    </row>
    <row r="736">
      <c r="A736" s="359"/>
      <c r="B736" s="359"/>
      <c r="C736" s="359"/>
      <c r="D736" s="359"/>
      <c r="E736" s="360"/>
      <c r="F736" s="359"/>
      <c r="G736" s="359"/>
    </row>
    <row r="737">
      <c r="A737" s="359"/>
      <c r="B737" s="359"/>
      <c r="C737" s="359"/>
      <c r="D737" s="359"/>
      <c r="E737" s="360"/>
      <c r="F737" s="359"/>
      <c r="G737" s="359"/>
    </row>
    <row r="738">
      <c r="A738" s="359"/>
      <c r="B738" s="359"/>
      <c r="C738" s="359"/>
      <c r="D738" s="359"/>
      <c r="E738" s="360"/>
      <c r="F738" s="359"/>
      <c r="G738" s="359"/>
    </row>
    <row r="739">
      <c r="A739" s="359"/>
      <c r="B739" s="359"/>
      <c r="C739" s="359"/>
      <c r="D739" s="359"/>
      <c r="E739" s="360"/>
      <c r="F739" s="359"/>
      <c r="G739" s="359"/>
    </row>
    <row r="740">
      <c r="A740" s="359"/>
      <c r="B740" s="359"/>
      <c r="C740" s="359"/>
      <c r="D740" s="359"/>
      <c r="E740" s="360"/>
      <c r="F740" s="359"/>
      <c r="G740" s="359"/>
    </row>
    <row r="741">
      <c r="A741" s="359"/>
      <c r="B741" s="359"/>
      <c r="C741" s="359"/>
      <c r="D741" s="359"/>
      <c r="E741" s="360"/>
      <c r="F741" s="359"/>
      <c r="G741" s="359"/>
    </row>
    <row r="742">
      <c r="A742" s="359"/>
      <c r="B742" s="359"/>
      <c r="C742" s="359"/>
      <c r="D742" s="359"/>
      <c r="E742" s="360"/>
      <c r="F742" s="359"/>
      <c r="G742" s="359"/>
    </row>
    <row r="743">
      <c r="A743" s="359"/>
      <c r="B743" s="359"/>
      <c r="C743" s="359"/>
      <c r="D743" s="359"/>
      <c r="E743" s="360"/>
      <c r="F743" s="359"/>
      <c r="G743" s="359"/>
    </row>
    <row r="744">
      <c r="A744" s="359"/>
      <c r="B744" s="359"/>
      <c r="C744" s="359"/>
      <c r="D744" s="359"/>
      <c r="E744" s="360"/>
      <c r="F744" s="359"/>
      <c r="G744" s="359"/>
    </row>
    <row r="745">
      <c r="A745" s="359"/>
      <c r="B745" s="359"/>
      <c r="C745" s="359"/>
      <c r="D745" s="359"/>
      <c r="E745" s="360"/>
      <c r="F745" s="359"/>
      <c r="G745" s="359"/>
    </row>
    <row r="746">
      <c r="A746" s="359"/>
      <c r="B746" s="359"/>
      <c r="C746" s="359"/>
      <c r="D746" s="359"/>
      <c r="E746" s="360"/>
      <c r="F746" s="359"/>
      <c r="G746" s="359"/>
    </row>
    <row r="747">
      <c r="A747" s="359"/>
      <c r="B747" s="359"/>
      <c r="C747" s="359"/>
      <c r="D747" s="359"/>
      <c r="E747" s="360"/>
      <c r="F747" s="359"/>
      <c r="G747" s="359"/>
    </row>
    <row r="748">
      <c r="A748" s="359"/>
      <c r="B748" s="359"/>
      <c r="C748" s="359"/>
      <c r="D748" s="359"/>
      <c r="E748" s="360"/>
      <c r="F748" s="359"/>
      <c r="G748" s="359"/>
    </row>
    <row r="749">
      <c r="A749" s="359"/>
      <c r="B749" s="359"/>
      <c r="C749" s="359"/>
      <c r="D749" s="359"/>
      <c r="E749" s="360"/>
      <c r="F749" s="359"/>
      <c r="G749" s="359"/>
    </row>
    <row r="750">
      <c r="A750" s="359"/>
      <c r="B750" s="359"/>
      <c r="C750" s="359"/>
      <c r="D750" s="359"/>
      <c r="E750" s="360"/>
      <c r="F750" s="359"/>
      <c r="G750" s="359"/>
    </row>
    <row r="751">
      <c r="A751" s="359"/>
      <c r="B751" s="359"/>
      <c r="C751" s="359"/>
      <c r="D751" s="359"/>
      <c r="E751" s="360"/>
      <c r="F751" s="359"/>
      <c r="G751" s="359"/>
    </row>
    <row r="752">
      <c r="A752" s="359"/>
      <c r="B752" s="359"/>
      <c r="C752" s="359"/>
      <c r="D752" s="359"/>
      <c r="E752" s="360"/>
      <c r="F752" s="359"/>
      <c r="G752" s="359"/>
    </row>
    <row r="753">
      <c r="A753" s="359"/>
      <c r="B753" s="359"/>
      <c r="C753" s="359"/>
      <c r="D753" s="359"/>
      <c r="E753" s="360"/>
      <c r="F753" s="359"/>
      <c r="G753" s="359"/>
    </row>
    <row r="754">
      <c r="A754" s="359"/>
      <c r="B754" s="359"/>
      <c r="C754" s="359"/>
      <c r="D754" s="359"/>
      <c r="E754" s="360"/>
      <c r="F754" s="359"/>
      <c r="G754" s="359"/>
    </row>
    <row r="755">
      <c r="A755" s="359"/>
      <c r="B755" s="359"/>
      <c r="C755" s="359"/>
      <c r="D755" s="359"/>
      <c r="E755" s="360"/>
      <c r="F755" s="359"/>
      <c r="G755" s="359"/>
    </row>
    <row r="756">
      <c r="A756" s="359"/>
      <c r="B756" s="359"/>
      <c r="C756" s="359"/>
      <c r="D756" s="359"/>
      <c r="E756" s="360"/>
      <c r="F756" s="359"/>
      <c r="G756" s="359"/>
    </row>
    <row r="757">
      <c r="A757" s="359"/>
      <c r="B757" s="359"/>
      <c r="C757" s="359"/>
      <c r="D757" s="359"/>
      <c r="E757" s="360"/>
      <c r="F757" s="359"/>
      <c r="G757" s="359"/>
    </row>
    <row r="758">
      <c r="A758" s="359"/>
      <c r="B758" s="359"/>
      <c r="C758" s="359"/>
      <c r="D758" s="359"/>
      <c r="E758" s="360"/>
      <c r="F758" s="359"/>
      <c r="G758" s="359"/>
    </row>
    <row r="759">
      <c r="A759" s="359"/>
      <c r="B759" s="359"/>
      <c r="C759" s="359"/>
      <c r="D759" s="359"/>
      <c r="E759" s="360"/>
      <c r="F759" s="359"/>
      <c r="G759" s="359"/>
    </row>
    <row r="760">
      <c r="A760" s="359"/>
      <c r="B760" s="359"/>
      <c r="C760" s="359"/>
      <c r="D760" s="359"/>
      <c r="E760" s="360"/>
      <c r="F760" s="359"/>
      <c r="G760" s="359"/>
    </row>
    <row r="761">
      <c r="A761" s="359"/>
      <c r="B761" s="359"/>
      <c r="C761" s="359"/>
      <c r="D761" s="359"/>
      <c r="E761" s="360"/>
      <c r="F761" s="359"/>
      <c r="G761" s="359"/>
    </row>
    <row r="762">
      <c r="A762" s="359"/>
      <c r="B762" s="359"/>
      <c r="C762" s="359"/>
      <c r="D762" s="359"/>
      <c r="E762" s="360"/>
      <c r="F762" s="359"/>
      <c r="G762" s="359"/>
    </row>
    <row r="763">
      <c r="A763" s="359"/>
      <c r="B763" s="359"/>
      <c r="C763" s="359"/>
      <c r="D763" s="359"/>
      <c r="E763" s="360"/>
      <c r="F763" s="359"/>
      <c r="G763" s="359"/>
    </row>
    <row r="764">
      <c r="A764" s="359"/>
      <c r="B764" s="359"/>
      <c r="C764" s="359"/>
      <c r="D764" s="359"/>
      <c r="E764" s="360"/>
      <c r="F764" s="359"/>
      <c r="G764" s="359"/>
    </row>
    <row r="765">
      <c r="A765" s="359"/>
      <c r="B765" s="359"/>
      <c r="C765" s="359"/>
      <c r="D765" s="359"/>
      <c r="E765" s="360"/>
      <c r="F765" s="359"/>
      <c r="G765" s="359"/>
    </row>
    <row r="766">
      <c r="A766" s="359"/>
      <c r="B766" s="359"/>
      <c r="C766" s="359"/>
      <c r="D766" s="359"/>
      <c r="E766" s="360"/>
      <c r="F766" s="359"/>
      <c r="G766" s="359"/>
    </row>
    <row r="767">
      <c r="A767" s="359"/>
      <c r="B767" s="359"/>
      <c r="C767" s="359"/>
      <c r="D767" s="359"/>
      <c r="E767" s="360"/>
      <c r="F767" s="359"/>
      <c r="G767" s="359"/>
    </row>
    <row r="768">
      <c r="A768" s="359"/>
      <c r="B768" s="359"/>
      <c r="C768" s="359"/>
      <c r="D768" s="359"/>
      <c r="E768" s="360"/>
      <c r="F768" s="359"/>
      <c r="G768" s="359"/>
    </row>
    <row r="769">
      <c r="A769" s="359"/>
      <c r="B769" s="359"/>
      <c r="C769" s="359"/>
      <c r="D769" s="359"/>
      <c r="E769" s="360"/>
      <c r="F769" s="359"/>
      <c r="G769" s="359"/>
    </row>
    <row r="770">
      <c r="A770" s="359"/>
      <c r="B770" s="359"/>
      <c r="C770" s="359"/>
      <c r="D770" s="359"/>
      <c r="E770" s="360"/>
      <c r="F770" s="359"/>
      <c r="G770" s="359"/>
    </row>
    <row r="771">
      <c r="A771" s="359"/>
      <c r="B771" s="359"/>
      <c r="C771" s="359"/>
      <c r="D771" s="359"/>
      <c r="E771" s="360"/>
      <c r="F771" s="359"/>
      <c r="G771" s="359"/>
    </row>
    <row r="772">
      <c r="A772" s="359"/>
      <c r="B772" s="359"/>
      <c r="C772" s="359"/>
      <c r="D772" s="359"/>
      <c r="E772" s="360"/>
      <c r="F772" s="359"/>
      <c r="G772" s="359"/>
    </row>
    <row r="773">
      <c r="A773" s="359"/>
      <c r="B773" s="359"/>
      <c r="C773" s="359"/>
      <c r="D773" s="359"/>
      <c r="E773" s="360"/>
      <c r="F773" s="359"/>
      <c r="G773" s="359"/>
    </row>
    <row r="774">
      <c r="A774" s="359"/>
      <c r="B774" s="359"/>
      <c r="C774" s="359"/>
      <c r="D774" s="359"/>
      <c r="E774" s="360"/>
      <c r="F774" s="359"/>
      <c r="G774" s="359"/>
    </row>
    <row r="775">
      <c r="A775" s="359"/>
      <c r="B775" s="359"/>
      <c r="C775" s="359"/>
      <c r="D775" s="359"/>
      <c r="E775" s="360"/>
      <c r="F775" s="359"/>
      <c r="G775" s="359"/>
    </row>
    <row r="776">
      <c r="A776" s="359"/>
      <c r="B776" s="359"/>
      <c r="C776" s="359"/>
      <c r="D776" s="359"/>
      <c r="E776" s="360"/>
      <c r="F776" s="359"/>
      <c r="G776" s="359"/>
    </row>
    <row r="777">
      <c r="A777" s="359"/>
      <c r="B777" s="359"/>
      <c r="C777" s="359"/>
      <c r="D777" s="359"/>
      <c r="E777" s="360"/>
      <c r="F777" s="359"/>
      <c r="G777" s="359"/>
    </row>
    <row r="778">
      <c r="A778" s="359"/>
      <c r="B778" s="359"/>
      <c r="C778" s="359"/>
      <c r="D778" s="359"/>
      <c r="E778" s="360"/>
      <c r="F778" s="359"/>
      <c r="G778" s="359"/>
    </row>
    <row r="779">
      <c r="A779" s="359"/>
      <c r="B779" s="359"/>
      <c r="C779" s="359"/>
      <c r="D779" s="359"/>
      <c r="E779" s="360"/>
      <c r="F779" s="359"/>
      <c r="G779" s="359"/>
    </row>
    <row r="780">
      <c r="A780" s="359"/>
      <c r="B780" s="359"/>
      <c r="C780" s="359"/>
      <c r="D780" s="359"/>
      <c r="E780" s="360"/>
      <c r="F780" s="359"/>
      <c r="G780" s="359"/>
    </row>
    <row r="781">
      <c r="A781" s="359"/>
      <c r="B781" s="359"/>
      <c r="C781" s="359"/>
      <c r="D781" s="359"/>
      <c r="E781" s="360"/>
      <c r="F781" s="359"/>
      <c r="G781" s="359"/>
    </row>
    <row r="782">
      <c r="A782" s="359"/>
      <c r="B782" s="359"/>
      <c r="C782" s="359"/>
      <c r="D782" s="359"/>
      <c r="E782" s="360"/>
      <c r="F782" s="359"/>
      <c r="G782" s="359"/>
    </row>
    <row r="783">
      <c r="A783" s="359"/>
      <c r="B783" s="359"/>
      <c r="C783" s="359"/>
      <c r="D783" s="359"/>
      <c r="E783" s="360"/>
      <c r="F783" s="359"/>
      <c r="G783" s="359"/>
    </row>
    <row r="784">
      <c r="A784" s="359"/>
      <c r="B784" s="359"/>
      <c r="C784" s="359"/>
      <c r="D784" s="359"/>
      <c r="E784" s="360"/>
      <c r="F784" s="359"/>
      <c r="G784" s="359"/>
    </row>
    <row r="785">
      <c r="A785" s="359"/>
      <c r="B785" s="359"/>
      <c r="C785" s="359"/>
      <c r="D785" s="359"/>
      <c r="E785" s="360"/>
      <c r="F785" s="359"/>
      <c r="G785" s="359"/>
    </row>
    <row r="786">
      <c r="A786" s="359"/>
      <c r="B786" s="359"/>
      <c r="C786" s="359"/>
      <c r="D786" s="359"/>
      <c r="E786" s="360"/>
      <c r="F786" s="359"/>
      <c r="G786" s="359"/>
    </row>
    <row r="787">
      <c r="A787" s="359"/>
      <c r="B787" s="359"/>
      <c r="C787" s="359"/>
      <c r="D787" s="359"/>
      <c r="E787" s="360"/>
      <c r="F787" s="359"/>
      <c r="G787" s="359"/>
    </row>
    <row r="788">
      <c r="A788" s="359"/>
      <c r="B788" s="359"/>
      <c r="C788" s="359"/>
      <c r="D788" s="359"/>
      <c r="E788" s="360"/>
      <c r="F788" s="359"/>
      <c r="G788" s="359"/>
    </row>
    <row r="789">
      <c r="A789" s="359"/>
      <c r="B789" s="359"/>
      <c r="C789" s="359"/>
      <c r="D789" s="359"/>
      <c r="E789" s="360"/>
      <c r="F789" s="359"/>
      <c r="G789" s="359"/>
    </row>
    <row r="790">
      <c r="A790" s="359"/>
      <c r="B790" s="359"/>
      <c r="C790" s="359"/>
      <c r="D790" s="359"/>
      <c r="E790" s="360"/>
      <c r="F790" s="359"/>
      <c r="G790" s="359"/>
    </row>
    <row r="791">
      <c r="A791" s="359"/>
      <c r="B791" s="359"/>
      <c r="C791" s="359"/>
      <c r="D791" s="359"/>
      <c r="E791" s="360"/>
      <c r="F791" s="359"/>
      <c r="G791" s="359"/>
    </row>
    <row r="792">
      <c r="A792" s="359"/>
      <c r="B792" s="359"/>
      <c r="C792" s="359"/>
      <c r="D792" s="359"/>
      <c r="E792" s="360"/>
      <c r="F792" s="359"/>
      <c r="G792" s="359"/>
    </row>
    <row r="793">
      <c r="A793" s="359"/>
      <c r="B793" s="359"/>
      <c r="C793" s="359"/>
      <c r="D793" s="359"/>
      <c r="E793" s="360"/>
      <c r="F793" s="359"/>
      <c r="G793" s="359"/>
    </row>
    <row r="794">
      <c r="A794" s="359"/>
      <c r="B794" s="359"/>
      <c r="C794" s="359"/>
      <c r="D794" s="359"/>
      <c r="E794" s="360"/>
      <c r="F794" s="359"/>
      <c r="G794" s="359"/>
    </row>
    <row r="795">
      <c r="A795" s="359"/>
      <c r="B795" s="359"/>
      <c r="C795" s="359"/>
      <c r="D795" s="359"/>
      <c r="E795" s="360"/>
      <c r="F795" s="359"/>
      <c r="G795" s="359"/>
    </row>
    <row r="796">
      <c r="A796" s="359"/>
      <c r="B796" s="359"/>
      <c r="C796" s="359"/>
      <c r="D796" s="359"/>
      <c r="E796" s="360"/>
      <c r="F796" s="359"/>
      <c r="G796" s="359"/>
    </row>
    <row r="797">
      <c r="A797" s="359"/>
      <c r="B797" s="359"/>
      <c r="C797" s="359"/>
      <c r="D797" s="359"/>
      <c r="E797" s="360"/>
      <c r="F797" s="359"/>
      <c r="G797" s="359"/>
    </row>
    <row r="798">
      <c r="A798" s="359"/>
      <c r="B798" s="359"/>
      <c r="C798" s="359"/>
      <c r="D798" s="359"/>
      <c r="E798" s="360"/>
      <c r="F798" s="359"/>
      <c r="G798" s="359"/>
    </row>
    <row r="799">
      <c r="A799" s="359"/>
      <c r="B799" s="359"/>
      <c r="C799" s="359"/>
      <c r="D799" s="359"/>
      <c r="E799" s="360"/>
      <c r="F799" s="359"/>
      <c r="G799" s="359"/>
    </row>
    <row r="800">
      <c r="A800" s="359"/>
      <c r="B800" s="359"/>
      <c r="C800" s="359"/>
      <c r="D800" s="359"/>
      <c r="E800" s="360"/>
      <c r="F800" s="359"/>
      <c r="G800" s="359"/>
    </row>
    <row r="801">
      <c r="A801" s="359"/>
      <c r="B801" s="359"/>
      <c r="C801" s="359"/>
      <c r="D801" s="359"/>
      <c r="E801" s="360"/>
      <c r="F801" s="359"/>
      <c r="G801" s="359"/>
    </row>
    <row r="802">
      <c r="A802" s="359"/>
      <c r="B802" s="359"/>
      <c r="C802" s="359"/>
      <c r="D802" s="359"/>
      <c r="E802" s="360"/>
      <c r="F802" s="359"/>
      <c r="G802" s="359"/>
    </row>
    <row r="803">
      <c r="A803" s="359"/>
      <c r="B803" s="359"/>
      <c r="C803" s="359"/>
      <c r="D803" s="359"/>
      <c r="E803" s="360"/>
      <c r="F803" s="359"/>
      <c r="G803" s="359"/>
    </row>
    <row r="804">
      <c r="A804" s="359"/>
      <c r="B804" s="359"/>
      <c r="C804" s="359"/>
      <c r="D804" s="359"/>
      <c r="E804" s="360"/>
      <c r="F804" s="359"/>
      <c r="G804" s="359"/>
    </row>
    <row r="805">
      <c r="A805" s="359"/>
      <c r="B805" s="359"/>
      <c r="C805" s="359"/>
      <c r="D805" s="359"/>
      <c r="E805" s="360"/>
      <c r="F805" s="359"/>
      <c r="G805" s="359"/>
    </row>
    <row r="806">
      <c r="A806" s="359"/>
      <c r="B806" s="359"/>
      <c r="C806" s="359"/>
      <c r="D806" s="359"/>
      <c r="E806" s="360"/>
      <c r="F806" s="359"/>
      <c r="G806" s="359"/>
    </row>
    <row r="807">
      <c r="A807" s="359"/>
      <c r="B807" s="359"/>
      <c r="C807" s="359"/>
      <c r="D807" s="359"/>
      <c r="E807" s="360"/>
      <c r="F807" s="359"/>
      <c r="G807" s="359"/>
    </row>
    <row r="808">
      <c r="A808" s="359"/>
      <c r="B808" s="359"/>
      <c r="C808" s="359"/>
      <c r="D808" s="359"/>
      <c r="E808" s="360"/>
      <c r="F808" s="359"/>
      <c r="G808" s="359"/>
    </row>
    <row r="809">
      <c r="A809" s="359"/>
      <c r="B809" s="359"/>
      <c r="C809" s="359"/>
      <c r="D809" s="359"/>
      <c r="E809" s="360"/>
      <c r="F809" s="359"/>
      <c r="G809" s="359"/>
    </row>
    <row r="810">
      <c r="A810" s="359"/>
      <c r="B810" s="359"/>
      <c r="C810" s="359"/>
      <c r="D810" s="359"/>
      <c r="E810" s="360"/>
      <c r="F810" s="359"/>
      <c r="G810" s="359"/>
    </row>
    <row r="811">
      <c r="A811" s="359"/>
      <c r="B811" s="359"/>
      <c r="C811" s="359"/>
      <c r="D811" s="359"/>
      <c r="E811" s="360"/>
      <c r="F811" s="359"/>
      <c r="G811" s="359"/>
    </row>
    <row r="812">
      <c r="A812" s="359"/>
      <c r="B812" s="359"/>
      <c r="C812" s="359"/>
      <c r="D812" s="359"/>
      <c r="E812" s="360"/>
      <c r="F812" s="359"/>
      <c r="G812" s="359"/>
    </row>
    <row r="813">
      <c r="A813" s="359"/>
      <c r="B813" s="359"/>
      <c r="C813" s="359"/>
      <c r="D813" s="359"/>
      <c r="E813" s="360"/>
      <c r="F813" s="359"/>
      <c r="G813" s="359"/>
    </row>
    <row r="814">
      <c r="A814" s="359"/>
      <c r="B814" s="359"/>
      <c r="C814" s="359"/>
      <c r="D814" s="359"/>
      <c r="E814" s="360"/>
      <c r="F814" s="359"/>
      <c r="G814" s="359"/>
    </row>
    <row r="815">
      <c r="A815" s="359"/>
      <c r="B815" s="359"/>
      <c r="C815" s="359"/>
      <c r="D815" s="359"/>
      <c r="E815" s="360"/>
      <c r="F815" s="359"/>
      <c r="G815" s="359"/>
    </row>
    <row r="816">
      <c r="A816" s="359"/>
      <c r="B816" s="359"/>
      <c r="C816" s="359"/>
      <c r="D816" s="359"/>
      <c r="E816" s="360"/>
      <c r="F816" s="359"/>
      <c r="G816" s="359"/>
    </row>
    <row r="817">
      <c r="A817" s="359"/>
      <c r="B817" s="359"/>
      <c r="C817" s="359"/>
      <c r="D817" s="359"/>
      <c r="E817" s="360"/>
      <c r="F817" s="359"/>
      <c r="G817" s="359"/>
    </row>
    <row r="818">
      <c r="A818" s="359"/>
      <c r="B818" s="359"/>
      <c r="C818" s="359"/>
      <c r="D818" s="359"/>
      <c r="E818" s="360"/>
      <c r="F818" s="359"/>
      <c r="G818" s="359"/>
    </row>
    <row r="819">
      <c r="A819" s="359"/>
      <c r="B819" s="359"/>
      <c r="C819" s="359"/>
      <c r="D819" s="359"/>
      <c r="E819" s="360"/>
      <c r="F819" s="359"/>
      <c r="G819" s="359"/>
    </row>
    <row r="820">
      <c r="A820" s="359"/>
      <c r="B820" s="359"/>
      <c r="C820" s="359"/>
      <c r="D820" s="359"/>
      <c r="E820" s="360"/>
      <c r="F820" s="359"/>
      <c r="G820" s="359"/>
    </row>
    <row r="821">
      <c r="A821" s="359"/>
      <c r="B821" s="359"/>
      <c r="C821" s="359"/>
      <c r="D821" s="359"/>
      <c r="E821" s="360"/>
      <c r="F821" s="359"/>
      <c r="G821" s="359"/>
    </row>
    <row r="822">
      <c r="A822" s="359"/>
      <c r="B822" s="359"/>
      <c r="C822" s="359"/>
      <c r="D822" s="359"/>
      <c r="E822" s="360"/>
      <c r="F822" s="359"/>
      <c r="G822" s="359"/>
    </row>
    <row r="823">
      <c r="A823" s="359"/>
      <c r="B823" s="359"/>
      <c r="C823" s="359"/>
      <c r="D823" s="359"/>
      <c r="E823" s="360"/>
      <c r="F823" s="359"/>
      <c r="G823" s="359"/>
    </row>
    <row r="824">
      <c r="A824" s="359"/>
      <c r="B824" s="359"/>
      <c r="C824" s="359"/>
      <c r="D824" s="359"/>
      <c r="E824" s="360"/>
      <c r="F824" s="359"/>
      <c r="G824" s="359"/>
    </row>
    <row r="825">
      <c r="A825" s="359"/>
      <c r="B825" s="359"/>
      <c r="C825" s="359"/>
      <c r="D825" s="359"/>
      <c r="E825" s="360"/>
      <c r="F825" s="359"/>
      <c r="G825" s="359"/>
    </row>
    <row r="826">
      <c r="A826" s="359"/>
      <c r="B826" s="359"/>
      <c r="C826" s="359"/>
      <c r="D826" s="359"/>
      <c r="E826" s="360"/>
      <c r="F826" s="359"/>
      <c r="G826" s="359"/>
    </row>
    <row r="827">
      <c r="A827" s="359"/>
      <c r="B827" s="359"/>
      <c r="C827" s="359"/>
      <c r="D827" s="359"/>
      <c r="E827" s="360"/>
      <c r="F827" s="359"/>
      <c r="G827" s="359"/>
    </row>
    <row r="828">
      <c r="A828" s="359"/>
      <c r="B828" s="359"/>
      <c r="C828" s="359"/>
      <c r="D828" s="359"/>
      <c r="E828" s="360"/>
      <c r="F828" s="359"/>
      <c r="G828" s="359"/>
    </row>
    <row r="829">
      <c r="A829" s="359"/>
      <c r="B829" s="359"/>
      <c r="C829" s="359"/>
      <c r="D829" s="359"/>
      <c r="E829" s="360"/>
      <c r="F829" s="359"/>
      <c r="G829" s="359"/>
    </row>
    <row r="830">
      <c r="A830" s="359"/>
      <c r="B830" s="359"/>
      <c r="C830" s="359"/>
      <c r="D830" s="359"/>
      <c r="E830" s="360"/>
      <c r="F830" s="359"/>
      <c r="G830" s="359"/>
    </row>
    <row r="831">
      <c r="A831" s="359"/>
      <c r="B831" s="359"/>
      <c r="C831" s="359"/>
      <c r="D831" s="359"/>
      <c r="E831" s="360"/>
      <c r="F831" s="359"/>
      <c r="G831" s="359"/>
    </row>
    <row r="832">
      <c r="A832" s="359"/>
      <c r="B832" s="359"/>
      <c r="C832" s="359"/>
      <c r="D832" s="359"/>
      <c r="E832" s="360"/>
      <c r="F832" s="359"/>
      <c r="G832" s="359"/>
    </row>
    <row r="833">
      <c r="A833" s="359"/>
      <c r="B833" s="359"/>
      <c r="C833" s="359"/>
      <c r="D833" s="359"/>
      <c r="E833" s="360"/>
      <c r="F833" s="359"/>
      <c r="G833" s="359"/>
    </row>
    <row r="834">
      <c r="A834" s="359"/>
      <c r="B834" s="359"/>
      <c r="C834" s="359"/>
      <c r="D834" s="359"/>
      <c r="E834" s="360"/>
      <c r="F834" s="359"/>
      <c r="G834" s="359"/>
    </row>
    <row r="835">
      <c r="A835" s="359"/>
      <c r="B835" s="359"/>
      <c r="C835" s="359"/>
      <c r="D835" s="359"/>
      <c r="E835" s="360"/>
      <c r="F835" s="359"/>
      <c r="G835" s="359"/>
    </row>
    <row r="836">
      <c r="A836" s="359"/>
      <c r="B836" s="359"/>
      <c r="C836" s="359"/>
      <c r="D836" s="359"/>
      <c r="E836" s="360"/>
      <c r="F836" s="359"/>
      <c r="G836" s="359"/>
    </row>
    <row r="837">
      <c r="A837" s="359"/>
      <c r="B837" s="359"/>
      <c r="C837" s="359"/>
      <c r="D837" s="359"/>
      <c r="E837" s="360"/>
      <c r="F837" s="359"/>
      <c r="G837" s="359"/>
    </row>
    <row r="838">
      <c r="A838" s="359"/>
      <c r="B838" s="359"/>
      <c r="C838" s="359"/>
      <c r="D838" s="359"/>
      <c r="E838" s="360"/>
      <c r="F838" s="359"/>
      <c r="G838" s="359"/>
    </row>
    <row r="839">
      <c r="A839" s="359"/>
      <c r="B839" s="359"/>
      <c r="C839" s="359"/>
      <c r="D839" s="359"/>
      <c r="E839" s="360"/>
      <c r="F839" s="359"/>
      <c r="G839" s="359"/>
    </row>
    <row r="840">
      <c r="A840" s="359"/>
      <c r="B840" s="359"/>
      <c r="C840" s="359"/>
      <c r="D840" s="359"/>
      <c r="E840" s="360"/>
      <c r="F840" s="359"/>
      <c r="G840" s="359"/>
    </row>
    <row r="841">
      <c r="A841" s="359"/>
      <c r="B841" s="359"/>
      <c r="C841" s="359"/>
      <c r="D841" s="359"/>
      <c r="E841" s="360"/>
      <c r="F841" s="359"/>
      <c r="G841" s="359"/>
    </row>
    <row r="842">
      <c r="A842" s="359"/>
      <c r="B842" s="359"/>
      <c r="C842" s="359"/>
      <c r="D842" s="359"/>
      <c r="E842" s="360"/>
      <c r="F842" s="359"/>
      <c r="G842" s="359"/>
    </row>
    <row r="843">
      <c r="A843" s="359"/>
      <c r="B843" s="359"/>
      <c r="C843" s="359"/>
      <c r="D843" s="359"/>
      <c r="E843" s="360"/>
      <c r="F843" s="359"/>
      <c r="G843" s="359"/>
    </row>
    <row r="844">
      <c r="A844" s="359"/>
      <c r="B844" s="359"/>
      <c r="C844" s="359"/>
      <c r="D844" s="359"/>
      <c r="E844" s="360"/>
      <c r="F844" s="359"/>
      <c r="G844" s="359"/>
    </row>
    <row r="845">
      <c r="A845" s="359"/>
      <c r="B845" s="359"/>
      <c r="C845" s="359"/>
      <c r="D845" s="359"/>
      <c r="E845" s="360"/>
      <c r="F845" s="359"/>
      <c r="G845" s="359"/>
    </row>
    <row r="846">
      <c r="A846" s="359"/>
      <c r="B846" s="359"/>
      <c r="C846" s="359"/>
      <c r="D846" s="359"/>
      <c r="E846" s="360"/>
      <c r="F846" s="359"/>
      <c r="G846" s="359"/>
    </row>
    <row r="847">
      <c r="A847" s="359"/>
      <c r="B847" s="359"/>
      <c r="C847" s="359"/>
      <c r="D847" s="359"/>
      <c r="E847" s="360"/>
      <c r="F847" s="359"/>
      <c r="G847" s="359"/>
    </row>
    <row r="848">
      <c r="A848" s="359"/>
      <c r="B848" s="359"/>
      <c r="C848" s="359"/>
      <c r="D848" s="359"/>
      <c r="E848" s="360"/>
      <c r="F848" s="359"/>
      <c r="G848" s="359"/>
    </row>
    <row r="849">
      <c r="A849" s="359"/>
      <c r="B849" s="359"/>
      <c r="C849" s="359"/>
      <c r="D849" s="359"/>
      <c r="E849" s="360"/>
      <c r="F849" s="359"/>
      <c r="G849" s="359"/>
    </row>
    <row r="850">
      <c r="A850" s="359"/>
      <c r="B850" s="359"/>
      <c r="C850" s="359"/>
      <c r="D850" s="359"/>
      <c r="E850" s="360"/>
      <c r="F850" s="359"/>
      <c r="G850" s="359"/>
    </row>
    <row r="851">
      <c r="A851" s="359"/>
      <c r="B851" s="359"/>
      <c r="C851" s="359"/>
      <c r="D851" s="359"/>
      <c r="E851" s="360"/>
      <c r="F851" s="359"/>
      <c r="G851" s="359"/>
    </row>
    <row r="852">
      <c r="A852" s="359"/>
      <c r="B852" s="359"/>
      <c r="C852" s="359"/>
      <c r="D852" s="359"/>
      <c r="E852" s="360"/>
      <c r="F852" s="359"/>
      <c r="G852" s="359"/>
    </row>
    <row r="853">
      <c r="A853" s="359"/>
      <c r="B853" s="359"/>
      <c r="C853" s="359"/>
      <c r="D853" s="359"/>
      <c r="E853" s="360"/>
      <c r="F853" s="359"/>
      <c r="G853" s="359"/>
    </row>
    <row r="854">
      <c r="A854" s="359"/>
      <c r="B854" s="359"/>
      <c r="C854" s="359"/>
      <c r="D854" s="359"/>
      <c r="E854" s="360"/>
      <c r="F854" s="359"/>
      <c r="G854" s="359"/>
    </row>
    <row r="855">
      <c r="A855" s="359"/>
      <c r="B855" s="359"/>
      <c r="C855" s="359"/>
      <c r="D855" s="359"/>
      <c r="E855" s="360"/>
      <c r="F855" s="359"/>
      <c r="G855" s="359"/>
    </row>
    <row r="856">
      <c r="A856" s="359"/>
      <c r="B856" s="359"/>
      <c r="C856" s="359"/>
      <c r="D856" s="359"/>
      <c r="E856" s="360"/>
      <c r="F856" s="359"/>
      <c r="G856" s="359"/>
    </row>
    <row r="857">
      <c r="A857" s="359"/>
      <c r="B857" s="359"/>
      <c r="C857" s="359"/>
      <c r="D857" s="359"/>
      <c r="E857" s="360"/>
      <c r="F857" s="359"/>
      <c r="G857" s="359"/>
    </row>
    <row r="858">
      <c r="A858" s="359"/>
      <c r="B858" s="359"/>
      <c r="C858" s="359"/>
      <c r="D858" s="359"/>
      <c r="E858" s="360"/>
      <c r="F858" s="359"/>
      <c r="G858" s="359"/>
    </row>
    <row r="859">
      <c r="A859" s="359"/>
      <c r="B859" s="359"/>
      <c r="C859" s="359"/>
      <c r="D859" s="359"/>
      <c r="E859" s="360"/>
      <c r="F859" s="359"/>
      <c r="G859" s="359"/>
    </row>
    <row r="860">
      <c r="A860" s="359"/>
      <c r="B860" s="359"/>
      <c r="C860" s="359"/>
      <c r="D860" s="359"/>
      <c r="E860" s="360"/>
      <c r="F860" s="359"/>
      <c r="G860" s="359"/>
    </row>
    <row r="861">
      <c r="A861" s="359"/>
      <c r="B861" s="359"/>
      <c r="C861" s="359"/>
      <c r="D861" s="359"/>
      <c r="E861" s="360"/>
      <c r="F861" s="359"/>
      <c r="G861" s="359"/>
    </row>
    <row r="862">
      <c r="A862" s="359"/>
      <c r="B862" s="359"/>
      <c r="C862" s="359"/>
      <c r="D862" s="359"/>
      <c r="E862" s="360"/>
      <c r="F862" s="359"/>
      <c r="G862" s="359"/>
    </row>
    <row r="863">
      <c r="A863" s="359"/>
      <c r="B863" s="359"/>
      <c r="C863" s="359"/>
      <c r="D863" s="359"/>
      <c r="E863" s="360"/>
      <c r="F863" s="359"/>
      <c r="G863" s="359"/>
    </row>
    <row r="864">
      <c r="A864" s="359"/>
      <c r="B864" s="359"/>
      <c r="C864" s="359"/>
      <c r="D864" s="359"/>
      <c r="E864" s="360"/>
      <c r="F864" s="359"/>
      <c r="G864" s="359"/>
    </row>
    <row r="865">
      <c r="A865" s="359"/>
      <c r="B865" s="359"/>
      <c r="C865" s="359"/>
      <c r="D865" s="359"/>
      <c r="E865" s="360"/>
      <c r="F865" s="359"/>
      <c r="G865" s="359"/>
    </row>
    <row r="866">
      <c r="A866" s="359"/>
      <c r="B866" s="359"/>
      <c r="C866" s="359"/>
      <c r="D866" s="359"/>
      <c r="E866" s="360"/>
      <c r="F866" s="359"/>
      <c r="G866" s="359"/>
    </row>
    <row r="867">
      <c r="A867" s="359"/>
      <c r="B867" s="359"/>
      <c r="C867" s="359"/>
      <c r="D867" s="359"/>
      <c r="E867" s="360"/>
      <c r="F867" s="359"/>
      <c r="G867" s="359"/>
    </row>
    <row r="868">
      <c r="A868" s="359"/>
      <c r="B868" s="359"/>
      <c r="C868" s="359"/>
      <c r="D868" s="359"/>
      <c r="E868" s="360"/>
      <c r="F868" s="359"/>
      <c r="G868" s="359"/>
    </row>
    <row r="869">
      <c r="A869" s="359"/>
      <c r="B869" s="359"/>
      <c r="C869" s="359"/>
      <c r="D869" s="359"/>
      <c r="E869" s="360"/>
      <c r="F869" s="359"/>
      <c r="G869" s="359"/>
    </row>
    <row r="870">
      <c r="A870" s="359"/>
      <c r="B870" s="359"/>
      <c r="C870" s="359"/>
      <c r="D870" s="359"/>
      <c r="E870" s="360"/>
      <c r="F870" s="359"/>
      <c r="G870" s="359"/>
    </row>
    <row r="871">
      <c r="A871" s="359"/>
      <c r="B871" s="359"/>
      <c r="C871" s="359"/>
      <c r="D871" s="359"/>
      <c r="E871" s="360"/>
      <c r="F871" s="359"/>
      <c r="G871" s="359"/>
    </row>
    <row r="872">
      <c r="A872" s="359"/>
      <c r="B872" s="359"/>
      <c r="C872" s="359"/>
      <c r="D872" s="359"/>
      <c r="E872" s="360"/>
      <c r="F872" s="359"/>
      <c r="G872" s="359"/>
    </row>
    <row r="873">
      <c r="A873" s="359"/>
      <c r="B873" s="359"/>
      <c r="C873" s="359"/>
      <c r="D873" s="359"/>
      <c r="E873" s="360"/>
      <c r="F873" s="359"/>
      <c r="G873" s="359"/>
    </row>
    <row r="874">
      <c r="A874" s="359"/>
      <c r="B874" s="359"/>
      <c r="C874" s="359"/>
      <c r="D874" s="359"/>
      <c r="E874" s="360"/>
      <c r="F874" s="359"/>
      <c r="G874" s="359"/>
    </row>
    <row r="875">
      <c r="A875" s="359"/>
      <c r="B875" s="359"/>
      <c r="C875" s="359"/>
      <c r="D875" s="359"/>
      <c r="E875" s="360"/>
      <c r="F875" s="359"/>
      <c r="G875" s="359"/>
    </row>
    <row r="876">
      <c r="A876" s="359"/>
      <c r="B876" s="359"/>
      <c r="C876" s="359"/>
      <c r="D876" s="359"/>
      <c r="E876" s="360"/>
      <c r="F876" s="359"/>
      <c r="G876" s="359"/>
    </row>
    <row r="877">
      <c r="A877" s="359"/>
      <c r="B877" s="359"/>
      <c r="C877" s="359"/>
      <c r="D877" s="359"/>
      <c r="E877" s="360"/>
      <c r="F877" s="359"/>
      <c r="G877" s="359"/>
    </row>
    <row r="878">
      <c r="A878" s="359"/>
      <c r="B878" s="359"/>
      <c r="C878" s="359"/>
      <c r="D878" s="359"/>
      <c r="E878" s="360"/>
      <c r="F878" s="359"/>
      <c r="G878" s="359"/>
    </row>
    <row r="879">
      <c r="A879" s="359"/>
      <c r="B879" s="359"/>
      <c r="C879" s="359"/>
      <c r="D879" s="359"/>
      <c r="E879" s="360"/>
      <c r="F879" s="359"/>
      <c r="G879" s="359"/>
    </row>
    <row r="880">
      <c r="A880" s="359"/>
      <c r="B880" s="359"/>
      <c r="C880" s="359"/>
      <c r="D880" s="359"/>
      <c r="E880" s="360"/>
      <c r="F880" s="359"/>
      <c r="G880" s="359"/>
    </row>
    <row r="881">
      <c r="A881" s="359"/>
      <c r="B881" s="359"/>
      <c r="C881" s="359"/>
      <c r="D881" s="359"/>
      <c r="E881" s="360"/>
      <c r="F881" s="359"/>
      <c r="G881" s="359"/>
    </row>
    <row r="882">
      <c r="A882" s="359"/>
      <c r="B882" s="359"/>
      <c r="C882" s="359"/>
      <c r="D882" s="359"/>
      <c r="E882" s="360"/>
      <c r="F882" s="359"/>
      <c r="G882" s="359"/>
    </row>
    <row r="883">
      <c r="A883" s="359"/>
      <c r="B883" s="359"/>
      <c r="C883" s="359"/>
      <c r="D883" s="359"/>
      <c r="E883" s="360"/>
      <c r="F883" s="359"/>
      <c r="G883" s="359"/>
    </row>
    <row r="884">
      <c r="A884" s="359"/>
      <c r="B884" s="359"/>
      <c r="C884" s="359"/>
      <c r="D884" s="359"/>
      <c r="E884" s="360"/>
      <c r="F884" s="359"/>
      <c r="G884" s="359"/>
    </row>
    <row r="885">
      <c r="A885" s="359"/>
      <c r="B885" s="359"/>
      <c r="C885" s="359"/>
      <c r="D885" s="359"/>
      <c r="E885" s="360"/>
      <c r="F885" s="359"/>
      <c r="G885" s="359"/>
    </row>
    <row r="886">
      <c r="A886" s="359"/>
      <c r="B886" s="359"/>
      <c r="C886" s="359"/>
      <c r="D886" s="359"/>
      <c r="E886" s="360"/>
      <c r="F886" s="359"/>
      <c r="G886" s="359"/>
    </row>
    <row r="887">
      <c r="A887" s="359"/>
      <c r="B887" s="359"/>
      <c r="C887" s="359"/>
      <c r="D887" s="359"/>
      <c r="E887" s="360"/>
      <c r="F887" s="359"/>
      <c r="G887" s="359"/>
    </row>
    <row r="888">
      <c r="A888" s="359"/>
      <c r="B888" s="359"/>
      <c r="C888" s="359"/>
      <c r="D888" s="359"/>
      <c r="E888" s="360"/>
      <c r="F888" s="359"/>
      <c r="G888" s="359"/>
    </row>
    <row r="889">
      <c r="A889" s="359"/>
      <c r="B889" s="359"/>
      <c r="C889" s="359"/>
      <c r="D889" s="359"/>
      <c r="E889" s="360"/>
      <c r="F889" s="359"/>
      <c r="G889" s="359"/>
    </row>
    <row r="890">
      <c r="A890" s="359"/>
      <c r="B890" s="359"/>
      <c r="C890" s="359"/>
      <c r="D890" s="359"/>
      <c r="E890" s="360"/>
      <c r="F890" s="359"/>
      <c r="G890" s="359"/>
    </row>
    <row r="891">
      <c r="A891" s="359"/>
      <c r="B891" s="359"/>
      <c r="C891" s="359"/>
      <c r="D891" s="359"/>
      <c r="E891" s="360"/>
      <c r="F891" s="359"/>
      <c r="G891" s="359"/>
    </row>
    <row r="892">
      <c r="A892" s="359"/>
      <c r="B892" s="359"/>
      <c r="C892" s="359"/>
      <c r="D892" s="359"/>
      <c r="E892" s="360"/>
      <c r="F892" s="359"/>
      <c r="G892" s="359"/>
    </row>
    <row r="893">
      <c r="A893" s="359"/>
      <c r="B893" s="359"/>
      <c r="C893" s="359"/>
      <c r="D893" s="359"/>
      <c r="E893" s="360"/>
      <c r="F893" s="359"/>
      <c r="G893" s="359"/>
    </row>
    <row r="894">
      <c r="A894" s="359"/>
      <c r="B894" s="359"/>
      <c r="C894" s="359"/>
      <c r="D894" s="359"/>
      <c r="E894" s="360"/>
      <c r="F894" s="359"/>
      <c r="G894" s="359"/>
    </row>
    <row r="895">
      <c r="A895" s="359"/>
      <c r="B895" s="359"/>
      <c r="C895" s="359"/>
      <c r="D895" s="359"/>
      <c r="E895" s="360"/>
      <c r="F895" s="359"/>
      <c r="G895" s="359"/>
    </row>
    <row r="896">
      <c r="A896" s="359"/>
      <c r="B896" s="359"/>
      <c r="C896" s="359"/>
      <c r="D896" s="359"/>
      <c r="E896" s="360"/>
      <c r="F896" s="359"/>
      <c r="G896" s="359"/>
    </row>
    <row r="897">
      <c r="A897" s="359"/>
      <c r="B897" s="359"/>
      <c r="C897" s="359"/>
      <c r="D897" s="359"/>
      <c r="E897" s="360"/>
      <c r="F897" s="359"/>
      <c r="G897" s="359"/>
    </row>
    <row r="898">
      <c r="A898" s="359"/>
      <c r="B898" s="359"/>
      <c r="C898" s="359"/>
      <c r="D898" s="359"/>
      <c r="E898" s="360"/>
      <c r="F898" s="359"/>
      <c r="G898" s="359"/>
    </row>
    <row r="899">
      <c r="A899" s="359"/>
      <c r="B899" s="359"/>
      <c r="C899" s="359"/>
      <c r="D899" s="359"/>
      <c r="E899" s="360"/>
      <c r="F899" s="359"/>
      <c r="G899" s="359"/>
    </row>
    <row r="900">
      <c r="A900" s="359"/>
      <c r="B900" s="359"/>
      <c r="C900" s="359"/>
      <c r="D900" s="359"/>
      <c r="E900" s="360"/>
      <c r="F900" s="359"/>
      <c r="G900" s="359"/>
    </row>
    <row r="901">
      <c r="A901" s="359"/>
      <c r="B901" s="359"/>
      <c r="C901" s="359"/>
      <c r="D901" s="359"/>
      <c r="E901" s="360"/>
      <c r="F901" s="359"/>
      <c r="G901" s="359"/>
    </row>
    <row r="902">
      <c r="A902" s="359"/>
      <c r="B902" s="359"/>
      <c r="C902" s="359"/>
      <c r="D902" s="359"/>
      <c r="E902" s="360"/>
      <c r="F902" s="359"/>
      <c r="G902" s="359"/>
    </row>
    <row r="903">
      <c r="A903" s="359"/>
      <c r="B903" s="359"/>
      <c r="C903" s="359"/>
      <c r="D903" s="359"/>
      <c r="E903" s="360"/>
      <c r="F903" s="359"/>
      <c r="G903" s="359"/>
    </row>
    <row r="904">
      <c r="A904" s="359"/>
      <c r="B904" s="359"/>
      <c r="C904" s="359"/>
      <c r="D904" s="359"/>
      <c r="E904" s="360"/>
      <c r="F904" s="359"/>
      <c r="G904" s="359"/>
    </row>
    <row r="905">
      <c r="A905" s="359"/>
      <c r="B905" s="359"/>
      <c r="C905" s="359"/>
      <c r="D905" s="359"/>
      <c r="E905" s="360"/>
      <c r="F905" s="359"/>
      <c r="G905" s="359"/>
    </row>
    <row r="906">
      <c r="A906" s="359"/>
      <c r="B906" s="359"/>
      <c r="C906" s="359"/>
      <c r="D906" s="359"/>
      <c r="E906" s="360"/>
      <c r="F906" s="359"/>
      <c r="G906" s="359"/>
    </row>
    <row r="907">
      <c r="A907" s="359"/>
      <c r="B907" s="359"/>
      <c r="C907" s="359"/>
      <c r="D907" s="359"/>
      <c r="E907" s="360"/>
      <c r="F907" s="359"/>
      <c r="G907" s="359"/>
    </row>
    <row r="908">
      <c r="A908" s="359"/>
      <c r="B908" s="359"/>
      <c r="C908" s="359"/>
      <c r="D908" s="359"/>
      <c r="E908" s="360"/>
      <c r="F908" s="359"/>
      <c r="G908" s="359"/>
    </row>
    <row r="909">
      <c r="A909" s="359"/>
      <c r="B909" s="359"/>
      <c r="C909" s="359"/>
      <c r="D909" s="359"/>
      <c r="E909" s="360"/>
      <c r="F909" s="359"/>
      <c r="G909" s="359"/>
    </row>
    <row r="910">
      <c r="A910" s="359"/>
      <c r="B910" s="359"/>
      <c r="C910" s="359"/>
      <c r="D910" s="359"/>
      <c r="E910" s="360"/>
      <c r="F910" s="359"/>
      <c r="G910" s="359"/>
    </row>
    <row r="911">
      <c r="A911" s="359"/>
      <c r="B911" s="359"/>
      <c r="C911" s="359"/>
      <c r="D911" s="359"/>
      <c r="E911" s="360"/>
      <c r="F911" s="359"/>
      <c r="G911" s="359"/>
    </row>
    <row r="912">
      <c r="A912" s="359"/>
      <c r="B912" s="359"/>
      <c r="C912" s="359"/>
      <c r="D912" s="359"/>
      <c r="E912" s="360"/>
      <c r="F912" s="359"/>
      <c r="G912" s="359"/>
    </row>
    <row r="913">
      <c r="A913" s="359"/>
      <c r="B913" s="359"/>
      <c r="C913" s="359"/>
      <c r="D913" s="359"/>
      <c r="E913" s="360"/>
      <c r="F913" s="359"/>
      <c r="G913" s="359"/>
    </row>
    <row r="914">
      <c r="A914" s="359"/>
      <c r="B914" s="359"/>
      <c r="C914" s="359"/>
      <c r="D914" s="359"/>
      <c r="E914" s="360"/>
      <c r="F914" s="359"/>
      <c r="G914" s="359"/>
    </row>
    <row r="915">
      <c r="A915" s="359"/>
      <c r="B915" s="359"/>
      <c r="C915" s="359"/>
      <c r="D915" s="359"/>
      <c r="E915" s="360"/>
      <c r="F915" s="359"/>
      <c r="G915" s="359"/>
    </row>
    <row r="916">
      <c r="A916" s="359"/>
      <c r="B916" s="359"/>
      <c r="C916" s="359"/>
      <c r="D916" s="359"/>
      <c r="E916" s="360"/>
      <c r="F916" s="359"/>
      <c r="G916" s="359"/>
    </row>
    <row r="917">
      <c r="A917" s="359"/>
      <c r="B917" s="359"/>
      <c r="C917" s="359"/>
      <c r="D917" s="359"/>
      <c r="E917" s="360"/>
      <c r="F917" s="359"/>
      <c r="G917" s="359"/>
    </row>
    <row r="918">
      <c r="A918" s="359"/>
      <c r="B918" s="359"/>
      <c r="C918" s="359"/>
      <c r="D918" s="359"/>
      <c r="E918" s="360"/>
      <c r="F918" s="359"/>
      <c r="G918" s="359"/>
    </row>
    <row r="919">
      <c r="A919" s="359"/>
      <c r="B919" s="359"/>
      <c r="C919" s="359"/>
      <c r="D919" s="359"/>
      <c r="E919" s="360"/>
      <c r="F919" s="359"/>
      <c r="G919" s="359"/>
    </row>
    <row r="920">
      <c r="A920" s="359"/>
      <c r="B920" s="359"/>
      <c r="C920" s="359"/>
      <c r="D920" s="359"/>
      <c r="E920" s="360"/>
      <c r="F920" s="359"/>
      <c r="G920" s="359"/>
    </row>
    <row r="921">
      <c r="A921" s="359"/>
      <c r="B921" s="359"/>
      <c r="C921" s="359"/>
      <c r="D921" s="359"/>
      <c r="E921" s="360"/>
      <c r="F921" s="359"/>
      <c r="G921" s="359"/>
    </row>
    <row r="922">
      <c r="A922" s="359"/>
      <c r="B922" s="359"/>
      <c r="C922" s="359"/>
      <c r="D922" s="359"/>
      <c r="E922" s="360"/>
      <c r="F922" s="359"/>
      <c r="G922" s="359"/>
    </row>
    <row r="923">
      <c r="A923" s="359"/>
      <c r="B923" s="359"/>
      <c r="C923" s="359"/>
      <c r="D923" s="359"/>
      <c r="E923" s="360"/>
      <c r="F923" s="359"/>
      <c r="G923" s="359"/>
    </row>
    <row r="924">
      <c r="A924" s="359"/>
      <c r="B924" s="359"/>
      <c r="C924" s="359"/>
      <c r="D924" s="359"/>
      <c r="E924" s="360"/>
      <c r="F924" s="359"/>
      <c r="G924" s="359"/>
    </row>
    <row r="925">
      <c r="A925" s="359"/>
      <c r="B925" s="359"/>
      <c r="C925" s="359"/>
      <c r="D925" s="359"/>
      <c r="E925" s="360"/>
      <c r="F925" s="359"/>
      <c r="G925" s="359"/>
    </row>
    <row r="926">
      <c r="A926" s="359"/>
      <c r="B926" s="359"/>
      <c r="C926" s="359"/>
      <c r="D926" s="359"/>
      <c r="E926" s="360"/>
      <c r="F926" s="359"/>
      <c r="G926" s="359"/>
    </row>
    <row r="927">
      <c r="A927" s="359"/>
      <c r="B927" s="359"/>
      <c r="C927" s="359"/>
      <c r="D927" s="359"/>
      <c r="E927" s="360"/>
      <c r="F927" s="359"/>
      <c r="G927" s="359"/>
    </row>
    <row r="928">
      <c r="A928" s="359"/>
      <c r="B928" s="359"/>
      <c r="C928" s="359"/>
      <c r="D928" s="359"/>
      <c r="E928" s="360"/>
      <c r="F928" s="359"/>
      <c r="G928" s="359"/>
    </row>
    <row r="929">
      <c r="A929" s="359"/>
      <c r="B929" s="359"/>
      <c r="C929" s="359"/>
      <c r="D929" s="359"/>
      <c r="E929" s="360"/>
      <c r="F929" s="359"/>
      <c r="G929" s="359"/>
    </row>
    <row r="930">
      <c r="A930" s="359"/>
      <c r="B930" s="359"/>
      <c r="C930" s="359"/>
      <c r="D930" s="359"/>
      <c r="E930" s="360"/>
      <c r="F930" s="359"/>
      <c r="G930" s="359"/>
    </row>
    <row r="931">
      <c r="A931" s="359"/>
      <c r="B931" s="359"/>
      <c r="C931" s="359"/>
      <c r="D931" s="359"/>
      <c r="E931" s="360"/>
      <c r="F931" s="359"/>
      <c r="G931" s="359"/>
    </row>
    <row r="932">
      <c r="A932" s="359"/>
      <c r="B932" s="359"/>
      <c r="C932" s="359"/>
      <c r="D932" s="359"/>
      <c r="E932" s="360"/>
      <c r="F932" s="359"/>
      <c r="G932" s="359"/>
    </row>
    <row r="933">
      <c r="A933" s="359"/>
      <c r="B933" s="359"/>
      <c r="C933" s="359"/>
      <c r="D933" s="359"/>
      <c r="E933" s="360"/>
      <c r="F933" s="359"/>
      <c r="G933" s="359"/>
    </row>
    <row r="934">
      <c r="A934" s="359"/>
      <c r="B934" s="359"/>
      <c r="C934" s="359"/>
      <c r="D934" s="359"/>
      <c r="E934" s="360"/>
      <c r="F934" s="359"/>
      <c r="G934" s="359"/>
    </row>
    <row r="935">
      <c r="A935" s="359"/>
      <c r="B935" s="359"/>
      <c r="C935" s="359"/>
      <c r="D935" s="359"/>
      <c r="E935" s="360"/>
      <c r="F935" s="359"/>
      <c r="G935" s="359"/>
    </row>
    <row r="936">
      <c r="A936" s="359"/>
      <c r="B936" s="359"/>
      <c r="C936" s="359"/>
      <c r="D936" s="359"/>
      <c r="E936" s="360"/>
      <c r="F936" s="359"/>
      <c r="G936" s="359"/>
    </row>
    <row r="937">
      <c r="A937" s="359"/>
      <c r="B937" s="359"/>
      <c r="C937" s="359"/>
      <c r="D937" s="359"/>
      <c r="E937" s="360"/>
      <c r="F937" s="359"/>
      <c r="G937" s="359"/>
    </row>
    <row r="938">
      <c r="A938" s="359"/>
      <c r="B938" s="359"/>
      <c r="C938" s="359"/>
      <c r="D938" s="359"/>
      <c r="E938" s="360"/>
      <c r="F938" s="359"/>
      <c r="G938" s="359"/>
    </row>
    <row r="939">
      <c r="A939" s="359"/>
      <c r="B939" s="359"/>
      <c r="C939" s="359"/>
      <c r="D939" s="359"/>
      <c r="E939" s="360"/>
      <c r="F939" s="359"/>
      <c r="G939" s="359"/>
    </row>
    <row r="940">
      <c r="A940" s="359"/>
      <c r="B940" s="359"/>
      <c r="C940" s="359"/>
      <c r="D940" s="359"/>
      <c r="E940" s="360"/>
      <c r="F940" s="359"/>
      <c r="G940" s="359"/>
    </row>
    <row r="941">
      <c r="A941" s="359"/>
      <c r="B941" s="359"/>
      <c r="C941" s="359"/>
      <c r="D941" s="359"/>
      <c r="E941" s="360"/>
      <c r="F941" s="359"/>
      <c r="G941" s="359"/>
    </row>
    <row r="942">
      <c r="A942" s="359"/>
      <c r="B942" s="359"/>
      <c r="C942" s="359"/>
      <c r="D942" s="359"/>
      <c r="E942" s="360"/>
      <c r="F942" s="359"/>
      <c r="G942" s="359"/>
    </row>
    <row r="943">
      <c r="A943" s="359"/>
      <c r="B943" s="359"/>
      <c r="C943" s="359"/>
      <c r="D943" s="359"/>
      <c r="E943" s="360"/>
      <c r="F943" s="359"/>
      <c r="G943" s="359"/>
    </row>
    <row r="944">
      <c r="A944" s="359"/>
      <c r="B944" s="359"/>
      <c r="C944" s="359"/>
      <c r="D944" s="359"/>
      <c r="E944" s="360"/>
      <c r="F944" s="359"/>
      <c r="G944" s="359"/>
    </row>
    <row r="945">
      <c r="A945" s="359"/>
      <c r="B945" s="359"/>
      <c r="C945" s="359"/>
      <c r="D945" s="359"/>
      <c r="E945" s="360"/>
      <c r="F945" s="359"/>
      <c r="G945" s="359"/>
    </row>
    <row r="946">
      <c r="A946" s="359"/>
      <c r="B946" s="359"/>
      <c r="C946" s="359"/>
      <c r="D946" s="359"/>
      <c r="E946" s="360"/>
      <c r="F946" s="359"/>
      <c r="G946" s="359"/>
    </row>
    <row r="947">
      <c r="A947" s="359"/>
      <c r="B947" s="359"/>
      <c r="C947" s="359"/>
      <c r="D947" s="359"/>
      <c r="E947" s="360"/>
      <c r="F947" s="359"/>
      <c r="G947" s="359"/>
    </row>
    <row r="948">
      <c r="A948" s="359"/>
      <c r="B948" s="359"/>
      <c r="C948" s="359"/>
      <c r="D948" s="359"/>
      <c r="E948" s="360"/>
      <c r="F948" s="359"/>
      <c r="G948" s="359"/>
    </row>
    <row r="949">
      <c r="A949" s="359"/>
      <c r="B949" s="359"/>
      <c r="C949" s="359"/>
      <c r="D949" s="359"/>
      <c r="E949" s="360"/>
      <c r="F949" s="359"/>
      <c r="G949" s="359"/>
    </row>
    <row r="950">
      <c r="A950" s="359"/>
      <c r="B950" s="359"/>
      <c r="C950" s="359"/>
      <c r="D950" s="359"/>
      <c r="E950" s="360"/>
      <c r="F950" s="359"/>
      <c r="G950" s="359"/>
    </row>
    <row r="951">
      <c r="A951" s="359"/>
      <c r="B951" s="359"/>
      <c r="C951" s="359"/>
      <c r="D951" s="359"/>
      <c r="E951" s="360"/>
      <c r="F951" s="359"/>
      <c r="G951" s="359"/>
    </row>
    <row r="952">
      <c r="A952" s="359"/>
      <c r="B952" s="359"/>
      <c r="C952" s="359"/>
      <c r="D952" s="359"/>
      <c r="E952" s="360"/>
      <c r="F952" s="359"/>
      <c r="G952" s="359"/>
    </row>
    <row r="953">
      <c r="A953" s="359"/>
      <c r="B953" s="359"/>
      <c r="C953" s="359"/>
      <c r="D953" s="359"/>
      <c r="E953" s="360"/>
      <c r="F953" s="359"/>
      <c r="G953" s="359"/>
    </row>
    <row r="954">
      <c r="A954" s="359"/>
      <c r="B954" s="359"/>
      <c r="C954" s="359"/>
      <c r="D954" s="359"/>
      <c r="E954" s="360"/>
      <c r="F954" s="359"/>
      <c r="G954" s="359"/>
    </row>
    <row r="955">
      <c r="A955" s="359"/>
      <c r="B955" s="359"/>
      <c r="C955" s="359"/>
      <c r="D955" s="359"/>
      <c r="E955" s="360"/>
      <c r="F955" s="359"/>
      <c r="G955" s="359"/>
    </row>
    <row r="956">
      <c r="A956" s="359"/>
      <c r="B956" s="359"/>
      <c r="C956" s="359"/>
      <c r="D956" s="359"/>
      <c r="E956" s="360"/>
      <c r="F956" s="359"/>
      <c r="G956" s="359"/>
    </row>
    <row r="957">
      <c r="A957" s="359"/>
      <c r="B957" s="359"/>
      <c r="C957" s="359"/>
      <c r="D957" s="359"/>
      <c r="E957" s="360"/>
      <c r="F957" s="359"/>
      <c r="G957" s="359"/>
    </row>
    <row r="958">
      <c r="A958" s="359"/>
      <c r="B958" s="359"/>
      <c r="C958" s="359"/>
      <c r="D958" s="359"/>
      <c r="E958" s="360"/>
      <c r="F958" s="359"/>
      <c r="G958" s="359"/>
    </row>
    <row r="959">
      <c r="A959" s="359"/>
      <c r="B959" s="359"/>
      <c r="C959" s="359"/>
      <c r="D959" s="359"/>
      <c r="E959" s="360"/>
      <c r="F959" s="359"/>
      <c r="G959" s="359"/>
    </row>
    <row r="960">
      <c r="A960" s="359"/>
      <c r="B960" s="359"/>
      <c r="C960" s="359"/>
      <c r="D960" s="359"/>
      <c r="E960" s="360"/>
      <c r="F960" s="359"/>
      <c r="G960" s="359"/>
    </row>
    <row r="961">
      <c r="A961" s="359"/>
      <c r="B961" s="359"/>
      <c r="C961" s="359"/>
      <c r="D961" s="359"/>
      <c r="E961" s="360"/>
      <c r="F961" s="359"/>
      <c r="G961" s="359"/>
    </row>
    <row r="962">
      <c r="A962" s="359"/>
      <c r="B962" s="359"/>
      <c r="C962" s="359"/>
      <c r="D962" s="359"/>
      <c r="E962" s="360"/>
      <c r="F962" s="359"/>
      <c r="G962" s="359"/>
    </row>
    <row r="963">
      <c r="A963" s="359"/>
      <c r="B963" s="359"/>
      <c r="C963" s="359"/>
      <c r="D963" s="359"/>
      <c r="E963" s="360"/>
      <c r="F963" s="359"/>
      <c r="G963" s="359"/>
    </row>
    <row r="964">
      <c r="A964" s="359"/>
      <c r="B964" s="359"/>
      <c r="C964" s="359"/>
      <c r="D964" s="359"/>
      <c r="E964" s="360"/>
      <c r="F964" s="359"/>
      <c r="G964" s="359"/>
    </row>
    <row r="965">
      <c r="A965" s="359"/>
      <c r="B965" s="359"/>
      <c r="C965" s="359"/>
      <c r="D965" s="359"/>
      <c r="E965" s="360"/>
      <c r="F965" s="359"/>
      <c r="G965" s="359"/>
    </row>
    <row r="966">
      <c r="A966" s="359"/>
      <c r="B966" s="359"/>
      <c r="C966" s="359"/>
      <c r="D966" s="359"/>
      <c r="E966" s="360"/>
      <c r="F966" s="359"/>
      <c r="G966" s="359"/>
    </row>
    <row r="967">
      <c r="A967" s="359"/>
      <c r="B967" s="359"/>
      <c r="C967" s="359"/>
      <c r="D967" s="359"/>
      <c r="E967" s="360"/>
      <c r="F967" s="359"/>
      <c r="G967" s="359"/>
    </row>
    <row r="968">
      <c r="A968" s="359"/>
      <c r="B968" s="359"/>
      <c r="C968" s="359"/>
      <c r="D968" s="359"/>
      <c r="E968" s="360"/>
      <c r="F968" s="359"/>
      <c r="G968" s="359"/>
    </row>
    <row r="969">
      <c r="A969" s="359"/>
      <c r="B969" s="359"/>
      <c r="C969" s="359"/>
      <c r="D969" s="359"/>
      <c r="E969" s="360"/>
      <c r="F969" s="359"/>
      <c r="G969" s="359"/>
    </row>
    <row r="970">
      <c r="A970" s="359"/>
      <c r="B970" s="359"/>
      <c r="C970" s="359"/>
      <c r="D970" s="359"/>
      <c r="E970" s="360"/>
      <c r="F970" s="359"/>
      <c r="G970" s="359"/>
    </row>
    <row r="971">
      <c r="A971" s="359"/>
      <c r="B971" s="359"/>
      <c r="C971" s="359"/>
      <c r="D971" s="359"/>
      <c r="E971" s="360"/>
      <c r="F971" s="359"/>
      <c r="G971" s="359"/>
    </row>
    <row r="972">
      <c r="A972" s="359"/>
      <c r="B972" s="359"/>
      <c r="C972" s="359"/>
      <c r="D972" s="359"/>
      <c r="E972" s="360"/>
      <c r="F972" s="359"/>
      <c r="G972" s="359"/>
    </row>
    <row r="973">
      <c r="A973" s="359"/>
      <c r="B973" s="359"/>
      <c r="C973" s="359"/>
      <c r="D973" s="359"/>
      <c r="E973" s="360"/>
      <c r="F973" s="359"/>
      <c r="G973" s="359"/>
    </row>
    <row r="974">
      <c r="A974" s="359"/>
      <c r="B974" s="359"/>
      <c r="C974" s="359"/>
      <c r="D974" s="359"/>
      <c r="E974" s="360"/>
      <c r="F974" s="359"/>
      <c r="G974" s="359"/>
    </row>
    <row r="975">
      <c r="A975" s="359"/>
      <c r="B975" s="359"/>
      <c r="C975" s="359"/>
      <c r="D975" s="359"/>
      <c r="E975" s="360"/>
      <c r="F975" s="359"/>
      <c r="G975" s="359"/>
    </row>
    <row r="976">
      <c r="A976" s="359"/>
      <c r="B976" s="359"/>
      <c r="C976" s="359"/>
      <c r="D976" s="359"/>
      <c r="E976" s="360"/>
      <c r="F976" s="359"/>
      <c r="G976" s="359"/>
    </row>
    <row r="977">
      <c r="A977" s="359"/>
      <c r="B977" s="359"/>
      <c r="C977" s="359"/>
      <c r="D977" s="359"/>
      <c r="E977" s="360"/>
      <c r="F977" s="359"/>
      <c r="G977" s="359"/>
    </row>
    <row r="978">
      <c r="A978" s="359"/>
      <c r="B978" s="359"/>
      <c r="C978" s="359"/>
      <c r="D978" s="359"/>
      <c r="E978" s="360"/>
      <c r="F978" s="359"/>
      <c r="G978" s="359"/>
    </row>
    <row r="979">
      <c r="A979" s="359"/>
      <c r="B979" s="359"/>
      <c r="C979" s="359"/>
      <c r="D979" s="359"/>
      <c r="E979" s="360"/>
      <c r="F979" s="359"/>
      <c r="G979" s="359"/>
    </row>
    <row r="980">
      <c r="A980" s="359"/>
      <c r="B980" s="359"/>
      <c r="C980" s="359"/>
      <c r="D980" s="359"/>
      <c r="E980" s="360"/>
      <c r="F980" s="359"/>
      <c r="G980" s="359"/>
    </row>
    <row r="981">
      <c r="A981" s="359"/>
      <c r="B981" s="359"/>
      <c r="C981" s="359"/>
      <c r="D981" s="359"/>
      <c r="E981" s="360"/>
      <c r="F981" s="359"/>
      <c r="G981" s="359"/>
    </row>
    <row r="982">
      <c r="A982" s="359"/>
      <c r="B982" s="359"/>
      <c r="C982" s="359"/>
      <c r="D982" s="359"/>
      <c r="E982" s="360"/>
      <c r="F982" s="359"/>
      <c r="G982" s="359"/>
    </row>
    <row r="983">
      <c r="A983" s="359"/>
      <c r="B983" s="359"/>
      <c r="C983" s="359"/>
      <c r="D983" s="359"/>
      <c r="E983" s="360"/>
      <c r="F983" s="359"/>
      <c r="G983" s="359"/>
    </row>
    <row r="984">
      <c r="A984" s="359"/>
      <c r="B984" s="359"/>
      <c r="C984" s="359"/>
      <c r="D984" s="359"/>
      <c r="E984" s="360"/>
      <c r="F984" s="359"/>
      <c r="G984" s="359"/>
    </row>
    <row r="985">
      <c r="A985" s="359"/>
      <c r="B985" s="359"/>
      <c r="C985" s="359"/>
      <c r="D985" s="359"/>
      <c r="E985" s="360"/>
      <c r="F985" s="359"/>
      <c r="G985" s="359"/>
    </row>
    <row r="986">
      <c r="A986" s="359"/>
      <c r="B986" s="359"/>
      <c r="C986" s="359"/>
      <c r="D986" s="359"/>
      <c r="E986" s="360"/>
      <c r="F986" s="359"/>
      <c r="G986" s="359"/>
    </row>
    <row r="987">
      <c r="A987" s="359"/>
      <c r="B987" s="359"/>
      <c r="C987" s="359"/>
      <c r="D987" s="359"/>
      <c r="E987" s="360"/>
      <c r="F987" s="359"/>
      <c r="G987" s="359"/>
    </row>
    <row r="988">
      <c r="A988" s="359"/>
      <c r="B988" s="359"/>
      <c r="C988" s="359"/>
      <c r="D988" s="359"/>
      <c r="E988" s="360"/>
      <c r="F988" s="359"/>
      <c r="G988" s="359"/>
    </row>
    <row r="989">
      <c r="A989" s="359"/>
      <c r="B989" s="359"/>
      <c r="C989" s="359"/>
      <c r="D989" s="359"/>
      <c r="E989" s="360"/>
      <c r="F989" s="359"/>
      <c r="G989" s="359"/>
    </row>
    <row r="990">
      <c r="A990" s="359"/>
      <c r="B990" s="359"/>
      <c r="C990" s="359"/>
      <c r="D990" s="359"/>
      <c r="E990" s="360"/>
      <c r="F990" s="359"/>
      <c r="G990" s="359"/>
    </row>
    <row r="991">
      <c r="A991" s="359"/>
      <c r="B991" s="359"/>
      <c r="C991" s="359"/>
      <c r="D991" s="359"/>
      <c r="E991" s="360"/>
      <c r="F991" s="359"/>
      <c r="G991" s="359"/>
    </row>
    <row r="992">
      <c r="A992" s="359"/>
      <c r="B992" s="359"/>
      <c r="C992" s="359"/>
      <c r="D992" s="359"/>
      <c r="E992" s="360"/>
      <c r="F992" s="359"/>
      <c r="G992" s="359"/>
    </row>
    <row r="993">
      <c r="A993" s="359"/>
      <c r="B993" s="359"/>
      <c r="C993" s="359"/>
      <c r="D993" s="359"/>
      <c r="E993" s="360"/>
      <c r="F993" s="359"/>
      <c r="G993" s="359"/>
    </row>
    <row r="994">
      <c r="A994" s="359"/>
      <c r="B994" s="359"/>
      <c r="C994" s="359"/>
      <c r="D994" s="359"/>
      <c r="E994" s="360"/>
      <c r="F994" s="359"/>
      <c r="G994" s="359"/>
    </row>
    <row r="995">
      <c r="A995" s="359"/>
      <c r="B995" s="359"/>
      <c r="C995" s="359"/>
      <c r="D995" s="359"/>
      <c r="E995" s="360"/>
      <c r="F995" s="359"/>
      <c r="G995" s="359"/>
    </row>
    <row r="996">
      <c r="A996" s="359"/>
      <c r="B996" s="359"/>
      <c r="C996" s="359"/>
      <c r="D996" s="359"/>
      <c r="E996" s="360"/>
      <c r="F996" s="359"/>
      <c r="G996" s="359"/>
    </row>
    <row r="997">
      <c r="A997" s="359"/>
      <c r="B997" s="359"/>
      <c r="C997" s="359"/>
      <c r="D997" s="359"/>
      <c r="E997" s="360"/>
      <c r="F997" s="359"/>
      <c r="G997" s="359"/>
    </row>
    <row r="998">
      <c r="A998" s="359"/>
      <c r="B998" s="359"/>
      <c r="C998" s="359"/>
      <c r="D998" s="359"/>
      <c r="E998" s="360"/>
      <c r="F998" s="359"/>
      <c r="G998" s="359"/>
    </row>
    <row r="999">
      <c r="A999" s="359"/>
      <c r="B999" s="359"/>
      <c r="C999" s="359"/>
      <c r="D999" s="359"/>
      <c r="E999" s="360"/>
      <c r="F999" s="359"/>
      <c r="G999" s="359"/>
    </row>
    <row r="1000">
      <c r="A1000" s="359"/>
      <c r="B1000" s="359"/>
      <c r="C1000" s="359"/>
      <c r="D1000" s="359"/>
      <c r="E1000" s="360"/>
      <c r="F1000" s="359"/>
      <c r="G1000" s="359"/>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6.13"/>
    <col customWidth="1" min="3" max="3" width="38.5"/>
    <col customWidth="1" min="4" max="4" width="24.5"/>
    <col customWidth="1" min="5" max="5" width="38.75"/>
    <col customWidth="1" min="6" max="6" width="38.5"/>
    <col customWidth="1" min="7" max="7" width="20.13"/>
    <col customWidth="1" min="8" max="8" width="20.25"/>
  </cols>
  <sheetData>
    <row r="1">
      <c r="A1" s="361"/>
      <c r="B1" s="361"/>
      <c r="C1" s="201" t="s">
        <v>1085</v>
      </c>
      <c r="D1" s="53"/>
      <c r="E1" s="53"/>
      <c r="F1" s="53"/>
      <c r="G1" s="53"/>
      <c r="H1" s="202"/>
    </row>
    <row r="2">
      <c r="A2" s="204"/>
      <c r="B2" s="204" t="s">
        <v>0</v>
      </c>
      <c r="C2" s="204" t="s">
        <v>1</v>
      </c>
      <c r="D2" s="204" t="s">
        <v>2</v>
      </c>
      <c r="E2" s="204" t="s">
        <v>3</v>
      </c>
      <c r="F2" s="204" t="s">
        <v>4</v>
      </c>
      <c r="G2" s="204" t="s">
        <v>5</v>
      </c>
      <c r="H2" s="204" t="s">
        <v>6</v>
      </c>
    </row>
    <row r="3">
      <c r="A3" s="205">
        <v>1.0</v>
      </c>
      <c r="B3" s="362" t="b">
        <v>1</v>
      </c>
      <c r="C3" s="207" t="s">
        <v>2072</v>
      </c>
      <c r="D3" s="208"/>
      <c r="E3" s="208" t="s">
        <v>2073</v>
      </c>
      <c r="F3" s="363" t="s">
        <v>2074</v>
      </c>
      <c r="G3" s="351"/>
      <c r="H3" s="351"/>
    </row>
    <row r="4">
      <c r="A4" s="205">
        <v>2.0</v>
      </c>
      <c r="B4" s="362" t="b">
        <v>1</v>
      </c>
      <c r="C4" s="208" t="s">
        <v>2075</v>
      </c>
      <c r="D4" s="208"/>
      <c r="E4" s="364" t="s">
        <v>2076</v>
      </c>
      <c r="F4" s="363" t="s">
        <v>2077</v>
      </c>
      <c r="G4" s="351"/>
      <c r="H4" s="351"/>
    </row>
    <row r="5">
      <c r="A5" s="205">
        <v>3.0</v>
      </c>
      <c r="B5" s="362" t="b">
        <v>1</v>
      </c>
      <c r="C5" s="207" t="s">
        <v>2078</v>
      </c>
      <c r="D5" s="208"/>
      <c r="E5" s="208" t="s">
        <v>2079</v>
      </c>
      <c r="F5" s="363"/>
      <c r="G5" s="351"/>
      <c r="H5" s="351"/>
    </row>
    <row r="6">
      <c r="A6" s="205">
        <v>4.0</v>
      </c>
      <c r="B6" s="362" t="b">
        <v>1</v>
      </c>
      <c r="C6" s="207" t="s">
        <v>2586</v>
      </c>
      <c r="D6" s="208" t="s">
        <v>2587</v>
      </c>
      <c r="E6" s="208">
        <v>7.507710065E9</v>
      </c>
      <c r="F6" s="363" t="s">
        <v>2588</v>
      </c>
      <c r="G6" s="351"/>
      <c r="H6" s="351"/>
    </row>
    <row r="7">
      <c r="A7" s="205">
        <v>5.0</v>
      </c>
      <c r="B7" s="362" t="b">
        <v>0</v>
      </c>
      <c r="C7" s="207" t="s">
        <v>2589</v>
      </c>
      <c r="D7" s="208" t="s">
        <v>2590</v>
      </c>
      <c r="E7" s="208" t="s">
        <v>2591</v>
      </c>
      <c r="F7" s="365" t="s">
        <v>2592</v>
      </c>
      <c r="G7" s="351"/>
      <c r="H7" s="351"/>
    </row>
    <row r="8">
      <c r="A8" s="205">
        <v>6.0</v>
      </c>
      <c r="B8" s="362" t="b">
        <v>0</v>
      </c>
      <c r="C8" s="207" t="s">
        <v>2593</v>
      </c>
      <c r="D8" s="208"/>
      <c r="E8" s="208" t="s">
        <v>2594</v>
      </c>
      <c r="F8" s="363"/>
      <c r="G8" s="351"/>
      <c r="H8" s="351"/>
    </row>
    <row r="9">
      <c r="A9" s="205">
        <v>7.0</v>
      </c>
      <c r="B9" s="362" t="b">
        <v>0</v>
      </c>
      <c r="C9" s="207" t="s">
        <v>2595</v>
      </c>
      <c r="D9" s="208" t="s">
        <v>2596</v>
      </c>
      <c r="E9" s="208">
        <v>7.704451027E9</v>
      </c>
      <c r="F9" s="363" t="s">
        <v>2597</v>
      </c>
      <c r="G9" s="351"/>
      <c r="H9" s="351"/>
    </row>
    <row r="10">
      <c r="A10" s="205">
        <v>8.0</v>
      </c>
      <c r="B10" s="362" t="b">
        <v>0</v>
      </c>
      <c r="C10" s="207" t="s">
        <v>2598</v>
      </c>
      <c r="D10" s="208"/>
      <c r="E10" s="208" t="s">
        <v>2599</v>
      </c>
      <c r="F10" s="363" t="s">
        <v>2600</v>
      </c>
      <c r="G10" s="351"/>
      <c r="H10" s="351"/>
    </row>
    <row r="11">
      <c r="A11" s="205">
        <v>9.0</v>
      </c>
      <c r="B11" s="362" t="b">
        <v>0</v>
      </c>
      <c r="C11" s="207" t="s">
        <v>2601</v>
      </c>
      <c r="D11" s="208"/>
      <c r="E11" s="208">
        <v>7.504479646E9</v>
      </c>
      <c r="F11" s="363" t="s">
        <v>2602</v>
      </c>
      <c r="G11" s="351"/>
      <c r="H11" s="351"/>
    </row>
    <row r="12">
      <c r="A12" s="205">
        <v>10.0</v>
      </c>
      <c r="B12" s="362" t="b">
        <v>0</v>
      </c>
      <c r="C12" s="207" t="s">
        <v>2603</v>
      </c>
      <c r="D12" s="208" t="s">
        <v>2604</v>
      </c>
      <c r="E12" s="208" t="s">
        <v>2605</v>
      </c>
      <c r="F12" s="363" t="s">
        <v>2606</v>
      </c>
      <c r="G12" s="351"/>
      <c r="H12" s="351"/>
    </row>
    <row r="13">
      <c r="A13" s="205">
        <v>11.0</v>
      </c>
      <c r="B13" s="362" t="b">
        <v>0</v>
      </c>
      <c r="C13" s="305" t="s">
        <v>2607</v>
      </c>
      <c r="D13" s="208" t="s">
        <v>2608</v>
      </c>
      <c r="E13" s="208">
        <v>7.50305595E9</v>
      </c>
      <c r="F13" s="363" t="s">
        <v>2609</v>
      </c>
      <c r="G13" s="351"/>
      <c r="H13" s="351"/>
    </row>
    <row r="14">
      <c r="A14" s="205">
        <v>12.0</v>
      </c>
      <c r="B14" s="362" t="b">
        <v>0</v>
      </c>
      <c r="C14" s="207" t="s">
        <v>2610</v>
      </c>
      <c r="D14" s="208" t="s">
        <v>2611</v>
      </c>
      <c r="E14" s="208" t="s">
        <v>2612</v>
      </c>
      <c r="F14" s="363" t="s">
        <v>2613</v>
      </c>
      <c r="G14" s="351"/>
      <c r="H14" s="351"/>
    </row>
    <row r="15">
      <c r="A15" s="205">
        <v>13.0</v>
      </c>
      <c r="B15" s="362" t="b">
        <v>0</v>
      </c>
      <c r="C15" s="207" t="s">
        <v>2614</v>
      </c>
      <c r="D15" s="217" t="s">
        <v>2615</v>
      </c>
      <c r="E15" s="217" t="s">
        <v>2616</v>
      </c>
      <c r="F15" s="363" t="s">
        <v>2617</v>
      </c>
      <c r="G15" s="351"/>
      <c r="H15" s="351"/>
    </row>
    <row r="16">
      <c r="A16" s="205">
        <v>14.0</v>
      </c>
      <c r="B16" s="362" t="b">
        <v>0</v>
      </c>
      <c r="C16" s="207" t="s">
        <v>2618</v>
      </c>
      <c r="D16" s="208" t="s">
        <v>2619</v>
      </c>
      <c r="E16" s="208" t="s">
        <v>2620</v>
      </c>
      <c r="F16" s="363" t="s">
        <v>2621</v>
      </c>
      <c r="G16" s="351"/>
      <c r="H16" s="351"/>
    </row>
    <row r="17">
      <c r="A17" s="205">
        <v>15.0</v>
      </c>
      <c r="B17" s="362" t="b">
        <v>0</v>
      </c>
      <c r="C17" s="207" t="s">
        <v>2622</v>
      </c>
      <c r="D17" s="208" t="s">
        <v>2623</v>
      </c>
      <c r="E17" s="208" t="s">
        <v>2624</v>
      </c>
      <c r="F17" s="363" t="s">
        <v>2625</v>
      </c>
      <c r="G17" s="351"/>
      <c r="H17" s="351"/>
    </row>
    <row r="18">
      <c r="A18" s="205">
        <v>16.0</v>
      </c>
      <c r="B18" s="362" t="b">
        <v>0</v>
      </c>
      <c r="C18" s="207" t="s">
        <v>2626</v>
      </c>
      <c r="D18" s="208" t="s">
        <v>2627</v>
      </c>
      <c r="E18" s="208">
        <v>7.504266566E9</v>
      </c>
      <c r="F18" s="363" t="s">
        <v>2628</v>
      </c>
      <c r="G18" s="351"/>
      <c r="H18" s="351"/>
    </row>
    <row r="19">
      <c r="A19" s="205">
        <v>17.0</v>
      </c>
      <c r="B19" s="362" t="b">
        <v>0</v>
      </c>
      <c r="C19" s="207" t="s">
        <v>2626</v>
      </c>
      <c r="D19" s="208" t="s">
        <v>2629</v>
      </c>
      <c r="E19" s="208" t="s">
        <v>2630</v>
      </c>
      <c r="F19" s="363" t="s">
        <v>2631</v>
      </c>
      <c r="G19" s="351"/>
      <c r="H19" s="351"/>
    </row>
    <row r="20">
      <c r="A20" s="205">
        <v>18.0</v>
      </c>
      <c r="B20" s="362" t="b">
        <v>0</v>
      </c>
      <c r="C20" s="207" t="s">
        <v>2632</v>
      </c>
      <c r="D20" s="208" t="s">
        <v>2633</v>
      </c>
      <c r="E20" s="208" t="s">
        <v>2634</v>
      </c>
      <c r="F20" s="363" t="s">
        <v>2635</v>
      </c>
      <c r="G20" s="351"/>
      <c r="H20" s="351"/>
    </row>
    <row r="21">
      <c r="A21" s="205">
        <v>19.0</v>
      </c>
      <c r="B21" s="362" t="b">
        <v>0</v>
      </c>
      <c r="C21" s="207" t="s">
        <v>2636</v>
      </c>
      <c r="D21" s="208"/>
      <c r="E21" s="208" t="s">
        <v>2637</v>
      </c>
      <c r="F21" s="363" t="s">
        <v>2638</v>
      </c>
      <c r="G21" s="351"/>
      <c r="H21" s="351"/>
    </row>
    <row r="22">
      <c r="A22" s="205">
        <v>20.0</v>
      </c>
      <c r="B22" s="362" t="b">
        <v>0</v>
      </c>
      <c r="C22" s="207" t="s">
        <v>2639</v>
      </c>
      <c r="D22" s="208" t="s">
        <v>2640</v>
      </c>
      <c r="E22" s="208">
        <v>7.508579865E9</v>
      </c>
      <c r="F22" s="363" t="s">
        <v>2641</v>
      </c>
      <c r="G22" s="351"/>
      <c r="H22" s="351"/>
    </row>
    <row r="23">
      <c r="A23" s="205">
        <v>21.0</v>
      </c>
      <c r="B23" s="362" t="b">
        <v>0</v>
      </c>
      <c r="C23" s="207" t="s">
        <v>2642</v>
      </c>
      <c r="D23" s="208" t="s">
        <v>2643</v>
      </c>
      <c r="E23" s="208">
        <v>7.502004121E9</v>
      </c>
      <c r="F23" s="363" t="s">
        <v>2644</v>
      </c>
      <c r="G23" s="351"/>
      <c r="H23" s="351"/>
    </row>
    <row r="24">
      <c r="A24" s="205">
        <v>22.0</v>
      </c>
      <c r="B24" s="362" t="b">
        <v>0</v>
      </c>
      <c r="C24" s="207" t="s">
        <v>2645</v>
      </c>
      <c r="D24" s="208" t="s">
        <v>2646</v>
      </c>
      <c r="E24" s="208">
        <v>7.503848385E9</v>
      </c>
      <c r="F24" s="363" t="s">
        <v>2647</v>
      </c>
      <c r="G24" s="351"/>
      <c r="H24" s="351"/>
    </row>
    <row r="25">
      <c r="A25" s="205">
        <v>23.0</v>
      </c>
      <c r="B25" s="362" t="b">
        <v>0</v>
      </c>
      <c r="C25" s="210" t="s">
        <v>2648</v>
      </c>
      <c r="D25" s="208" t="s">
        <v>2649</v>
      </c>
      <c r="E25" s="208">
        <v>7.74666974E9</v>
      </c>
      <c r="F25" s="363" t="s">
        <v>2650</v>
      </c>
      <c r="G25" s="351"/>
      <c r="H25" s="351"/>
    </row>
    <row r="26">
      <c r="A26" s="205">
        <v>24.0</v>
      </c>
      <c r="B26" s="362" t="b">
        <v>0</v>
      </c>
      <c r="C26" s="207" t="s">
        <v>2651</v>
      </c>
      <c r="D26" s="208" t="s">
        <v>2652</v>
      </c>
      <c r="E26" s="208" t="s">
        <v>2653</v>
      </c>
      <c r="F26" s="363" t="s">
        <v>2654</v>
      </c>
      <c r="G26" s="351"/>
      <c r="H26" s="351"/>
    </row>
    <row r="27">
      <c r="A27" s="205">
        <v>25.0</v>
      </c>
      <c r="B27" s="362" t="b">
        <v>0</v>
      </c>
      <c r="C27" s="207" t="s">
        <v>2655</v>
      </c>
      <c r="D27" s="208"/>
      <c r="E27" s="208">
        <v>7.50462192E9</v>
      </c>
      <c r="F27" s="363"/>
      <c r="G27" s="351"/>
      <c r="H27" s="351"/>
    </row>
    <row r="28">
      <c r="A28" s="205">
        <v>26.0</v>
      </c>
      <c r="B28" s="362" t="b">
        <v>0</v>
      </c>
      <c r="C28" s="210" t="s">
        <v>2648</v>
      </c>
      <c r="D28" s="208" t="s">
        <v>2656</v>
      </c>
      <c r="E28" s="208">
        <v>7.711987987E9</v>
      </c>
      <c r="F28" s="363"/>
      <c r="G28" s="351"/>
      <c r="H28" s="351"/>
    </row>
    <row r="29">
      <c r="A29" s="205">
        <v>27.0</v>
      </c>
      <c r="B29" s="362" t="b">
        <v>0</v>
      </c>
      <c r="C29" s="207" t="s">
        <v>2657</v>
      </c>
      <c r="D29" s="208"/>
      <c r="E29" s="208" t="s">
        <v>2658</v>
      </c>
      <c r="F29" s="363" t="s">
        <v>2659</v>
      </c>
      <c r="G29" s="351"/>
      <c r="H29" s="351"/>
    </row>
    <row r="30">
      <c r="A30" s="205">
        <v>28.0</v>
      </c>
      <c r="B30" s="362" t="b">
        <v>0</v>
      </c>
      <c r="C30" s="207" t="s">
        <v>2660</v>
      </c>
      <c r="D30" s="208" t="s">
        <v>2661</v>
      </c>
      <c r="E30" s="208">
        <v>7.701616E9</v>
      </c>
      <c r="F30" s="363" t="s">
        <v>2662</v>
      </c>
      <c r="G30" s="351"/>
      <c r="H30" s="351"/>
    </row>
    <row r="31">
      <c r="A31" s="205">
        <v>29.0</v>
      </c>
      <c r="B31" s="362" t="b">
        <v>0</v>
      </c>
      <c r="C31" s="207" t="s">
        <v>2660</v>
      </c>
      <c r="D31" s="208" t="s">
        <v>2663</v>
      </c>
      <c r="E31" s="208">
        <v>7.502207262E9</v>
      </c>
      <c r="F31" s="363" t="s">
        <v>2664</v>
      </c>
      <c r="G31" s="351"/>
      <c r="H31" s="351"/>
    </row>
    <row r="32">
      <c r="A32" s="205">
        <v>30.0</v>
      </c>
      <c r="B32" s="362" t="b">
        <v>0</v>
      </c>
      <c r="C32" s="207" t="s">
        <v>2665</v>
      </c>
      <c r="D32" s="208" t="s">
        <v>2666</v>
      </c>
      <c r="E32" s="208">
        <v>7.504432121E9</v>
      </c>
      <c r="F32" s="363"/>
      <c r="G32" s="351"/>
      <c r="H32" s="351"/>
    </row>
    <row r="33">
      <c r="A33" s="205">
        <v>31.0</v>
      </c>
      <c r="B33" s="362" t="b">
        <v>0</v>
      </c>
      <c r="C33" s="207" t="s">
        <v>2667</v>
      </c>
      <c r="D33" s="208" t="s">
        <v>2668</v>
      </c>
      <c r="E33" s="208">
        <v>7.501754605E9</v>
      </c>
      <c r="F33" s="363" t="s">
        <v>2669</v>
      </c>
      <c r="G33" s="351"/>
      <c r="H33" s="351"/>
    </row>
    <row r="34">
      <c r="A34" s="205">
        <v>32.0</v>
      </c>
      <c r="B34" s="362" t="b">
        <v>0</v>
      </c>
      <c r="C34" s="207" t="s">
        <v>2670</v>
      </c>
      <c r="D34" s="208" t="s">
        <v>2671</v>
      </c>
      <c r="E34" s="208" t="s">
        <v>2672</v>
      </c>
      <c r="F34" s="363" t="s">
        <v>2673</v>
      </c>
      <c r="G34" s="351"/>
      <c r="H34" s="351"/>
    </row>
    <row r="35">
      <c r="A35" s="205">
        <v>33.0</v>
      </c>
      <c r="B35" s="362" t="b">
        <v>0</v>
      </c>
      <c r="C35" s="207" t="s">
        <v>2674</v>
      </c>
      <c r="D35" s="208" t="s">
        <v>2675</v>
      </c>
      <c r="E35" s="208" t="s">
        <v>2676</v>
      </c>
      <c r="F35" s="363" t="s">
        <v>2677</v>
      </c>
      <c r="G35" s="351"/>
      <c r="H35" s="351"/>
    </row>
    <row r="36">
      <c r="A36" s="205">
        <v>34.0</v>
      </c>
      <c r="B36" s="362" t="b">
        <v>0</v>
      </c>
      <c r="C36" s="207" t="s">
        <v>2678</v>
      </c>
      <c r="D36" s="208" t="s">
        <v>2679</v>
      </c>
      <c r="E36" s="208">
        <v>7.707700001E9</v>
      </c>
      <c r="F36" s="363" t="s">
        <v>2680</v>
      </c>
      <c r="G36" s="351"/>
      <c r="H36" s="351"/>
    </row>
    <row r="37">
      <c r="A37" s="205">
        <v>35.0</v>
      </c>
      <c r="B37" s="362" t="b">
        <v>0</v>
      </c>
      <c r="C37" s="207" t="s">
        <v>2681</v>
      </c>
      <c r="D37" s="208" t="s">
        <v>2682</v>
      </c>
      <c r="E37" s="208" t="s">
        <v>2683</v>
      </c>
      <c r="F37" s="363" t="s">
        <v>2684</v>
      </c>
      <c r="G37" s="351"/>
      <c r="H37" s="351"/>
    </row>
    <row r="38">
      <c r="A38" s="205">
        <v>36.0</v>
      </c>
      <c r="B38" s="362" t="b">
        <v>0</v>
      </c>
      <c r="C38" s="207" t="s">
        <v>2660</v>
      </c>
      <c r="D38" s="208" t="s">
        <v>2685</v>
      </c>
      <c r="E38" s="208">
        <v>7.708277741E9</v>
      </c>
      <c r="F38" s="363" t="s">
        <v>2686</v>
      </c>
      <c r="G38" s="351"/>
      <c r="H38" s="351"/>
    </row>
    <row r="39">
      <c r="A39" s="205">
        <v>37.0</v>
      </c>
      <c r="B39" s="362" t="b">
        <v>0</v>
      </c>
      <c r="C39" s="207" t="s">
        <v>2687</v>
      </c>
      <c r="E39" s="208">
        <v>7.505550707E9</v>
      </c>
      <c r="F39" s="363" t="s">
        <v>2688</v>
      </c>
      <c r="G39" s="351"/>
      <c r="H39" s="351"/>
    </row>
    <row r="40">
      <c r="A40" s="205">
        <v>38.0</v>
      </c>
      <c r="B40" s="362" t="b">
        <v>0</v>
      </c>
      <c r="C40" s="207" t="s">
        <v>2689</v>
      </c>
      <c r="D40" s="208" t="s">
        <v>2690</v>
      </c>
      <c r="E40" s="208" t="s">
        <v>2691</v>
      </c>
      <c r="F40" s="363" t="s">
        <v>2692</v>
      </c>
      <c r="G40" s="351"/>
      <c r="H40" s="351"/>
    </row>
    <row r="41">
      <c r="A41" s="205">
        <v>39.0</v>
      </c>
      <c r="B41" s="362" t="b">
        <v>0</v>
      </c>
      <c r="C41" s="207" t="s">
        <v>2693</v>
      </c>
      <c r="D41" s="208"/>
      <c r="E41" s="208" t="s">
        <v>2694</v>
      </c>
      <c r="F41" s="363" t="s">
        <v>2695</v>
      </c>
      <c r="G41" s="351"/>
      <c r="H41" s="351"/>
    </row>
    <row r="42">
      <c r="A42" s="205">
        <v>40.0</v>
      </c>
      <c r="B42" s="362" t="b">
        <v>0</v>
      </c>
      <c r="C42" s="207" t="s">
        <v>2696</v>
      </c>
      <c r="D42" s="208" t="s">
        <v>2697</v>
      </c>
      <c r="E42" s="208" t="s">
        <v>2698</v>
      </c>
      <c r="F42" s="363" t="s">
        <v>2699</v>
      </c>
      <c r="G42" s="351"/>
      <c r="H42" s="351"/>
    </row>
    <row r="43">
      <c r="A43" s="205">
        <v>41.0</v>
      </c>
      <c r="B43" s="362" t="b">
        <v>0</v>
      </c>
      <c r="C43" s="207" t="s">
        <v>2700</v>
      </c>
      <c r="D43" s="208" t="s">
        <v>2701</v>
      </c>
      <c r="E43" s="208" t="s">
        <v>2702</v>
      </c>
      <c r="F43" s="363" t="s">
        <v>2703</v>
      </c>
      <c r="G43" s="351"/>
      <c r="H43" s="351"/>
    </row>
    <row r="44">
      <c r="A44" s="205">
        <v>42.0</v>
      </c>
      <c r="B44" s="362" t="b">
        <v>0</v>
      </c>
      <c r="C44" s="207" t="s">
        <v>2704</v>
      </c>
      <c r="D44" s="208" t="s">
        <v>2705</v>
      </c>
      <c r="E44" s="208">
        <v>7.513001E9</v>
      </c>
      <c r="F44" s="363" t="s">
        <v>2706</v>
      </c>
      <c r="G44" s="351"/>
      <c r="H44" s="351"/>
    </row>
    <row r="45">
      <c r="A45" s="205">
        <v>43.0</v>
      </c>
      <c r="B45" s="362" t="b">
        <v>0</v>
      </c>
      <c r="C45" s="207"/>
      <c r="D45" s="208"/>
      <c r="E45" s="208"/>
      <c r="F45" s="363"/>
      <c r="G45" s="351"/>
      <c r="H45" s="351"/>
    </row>
    <row r="46">
      <c r="A46" s="205">
        <v>44.0</v>
      </c>
      <c r="B46" s="362" t="b">
        <v>0</v>
      </c>
      <c r="C46" s="207"/>
      <c r="D46" s="208"/>
      <c r="E46" s="208"/>
      <c r="F46" s="363"/>
      <c r="G46" s="351"/>
      <c r="H46" s="351"/>
    </row>
    <row r="47">
      <c r="A47" s="205">
        <v>45.0</v>
      </c>
      <c r="B47" s="362" t="b">
        <v>0</v>
      </c>
      <c r="C47" s="207"/>
      <c r="D47" s="208"/>
      <c r="E47" s="208"/>
      <c r="F47" s="363"/>
      <c r="G47" s="351"/>
      <c r="H47" s="351"/>
    </row>
    <row r="48">
      <c r="A48" s="205">
        <v>46.0</v>
      </c>
      <c r="B48" s="362" t="b">
        <v>0</v>
      </c>
      <c r="C48" s="207"/>
      <c r="D48" s="208"/>
      <c r="E48" s="208"/>
      <c r="F48" s="363"/>
      <c r="G48" s="351"/>
      <c r="H48" s="351"/>
    </row>
    <row r="49">
      <c r="A49" s="205">
        <v>47.0</v>
      </c>
      <c r="B49" s="362" t="b">
        <v>0</v>
      </c>
      <c r="C49" s="207"/>
      <c r="D49" s="208"/>
      <c r="E49" s="208"/>
      <c r="F49" s="363"/>
      <c r="G49" s="351"/>
      <c r="H49" s="351"/>
    </row>
    <row r="50">
      <c r="A50" s="205">
        <v>48.0</v>
      </c>
      <c r="B50" s="362" t="b">
        <v>0</v>
      </c>
      <c r="C50" s="207"/>
      <c r="D50" s="208"/>
      <c r="E50" s="208"/>
      <c r="F50" s="363"/>
      <c r="G50" s="351"/>
      <c r="H50" s="351"/>
    </row>
    <row r="51">
      <c r="A51" s="205">
        <v>49.0</v>
      </c>
      <c r="B51" s="362" t="b">
        <v>0</v>
      </c>
      <c r="C51" s="207"/>
      <c r="D51" s="208"/>
      <c r="E51" s="208"/>
      <c r="F51" s="363"/>
      <c r="G51" s="351"/>
      <c r="H51" s="351"/>
    </row>
    <row r="52">
      <c r="A52" s="205">
        <v>50.0</v>
      </c>
      <c r="B52" s="362" t="b">
        <v>0</v>
      </c>
      <c r="C52" s="207"/>
      <c r="D52" s="208"/>
      <c r="E52" s="208"/>
      <c r="F52" s="363"/>
      <c r="G52" s="351"/>
      <c r="H52" s="351"/>
    </row>
    <row r="53">
      <c r="A53" s="205">
        <v>51.0</v>
      </c>
      <c r="B53" s="362" t="b">
        <v>0</v>
      </c>
      <c r="C53" s="207"/>
      <c r="D53" s="208"/>
      <c r="E53" s="208"/>
      <c r="F53" s="363"/>
      <c r="G53" s="351"/>
      <c r="H53" s="351"/>
    </row>
    <row r="54">
      <c r="A54" s="205">
        <v>52.0</v>
      </c>
      <c r="B54" s="362" t="b">
        <v>0</v>
      </c>
      <c r="C54" s="207"/>
      <c r="D54" s="208"/>
      <c r="E54" s="208"/>
      <c r="F54" s="363"/>
      <c r="G54" s="351"/>
      <c r="H54" s="351"/>
    </row>
    <row r="55">
      <c r="A55" s="205">
        <v>53.0</v>
      </c>
      <c r="B55" s="362" t="b">
        <v>0</v>
      </c>
      <c r="C55" s="207"/>
      <c r="D55" s="208"/>
      <c r="E55" s="208"/>
      <c r="F55" s="363"/>
      <c r="G55" s="351"/>
      <c r="H55" s="351"/>
    </row>
    <row r="56">
      <c r="A56" s="205">
        <v>54.0</v>
      </c>
      <c r="B56" s="362" t="b">
        <v>0</v>
      </c>
      <c r="C56" s="207"/>
      <c r="D56" s="208"/>
      <c r="E56" s="208"/>
      <c r="F56" s="363"/>
      <c r="G56" s="351"/>
      <c r="H56" s="351"/>
    </row>
    <row r="57">
      <c r="A57" s="205">
        <v>55.0</v>
      </c>
      <c r="B57" s="362" t="b">
        <v>0</v>
      </c>
      <c r="C57" s="207"/>
      <c r="D57" s="208"/>
      <c r="E57" s="208"/>
      <c r="F57" s="363"/>
      <c r="G57" s="351"/>
      <c r="H57" s="351"/>
    </row>
    <row r="58">
      <c r="A58" s="205">
        <v>56.0</v>
      </c>
      <c r="B58" s="362" t="b">
        <v>0</v>
      </c>
      <c r="C58" s="207"/>
      <c r="D58" s="208"/>
      <c r="E58" s="208"/>
      <c r="F58" s="363"/>
      <c r="G58" s="351"/>
      <c r="H58" s="351"/>
    </row>
    <row r="59">
      <c r="A59" s="205">
        <v>57.0</v>
      </c>
      <c r="B59" s="362" t="b">
        <v>0</v>
      </c>
      <c r="C59" s="207"/>
      <c r="D59" s="208"/>
      <c r="E59" s="208"/>
      <c r="F59" s="363"/>
      <c r="G59" s="351"/>
      <c r="H59" s="351"/>
    </row>
    <row r="60">
      <c r="A60" s="205">
        <v>58.0</v>
      </c>
      <c r="B60" s="362" t="b">
        <v>0</v>
      </c>
      <c r="C60" s="207"/>
      <c r="D60" s="208"/>
      <c r="E60" s="208"/>
      <c r="F60" s="363"/>
      <c r="G60" s="351"/>
      <c r="H60" s="351"/>
    </row>
    <row r="61">
      <c r="A61" s="205">
        <v>59.0</v>
      </c>
      <c r="B61" s="362" t="b">
        <v>0</v>
      </c>
      <c r="C61" s="207"/>
      <c r="D61" s="208"/>
      <c r="E61" s="208"/>
      <c r="F61" s="363"/>
      <c r="G61" s="351"/>
      <c r="H61" s="351"/>
    </row>
    <row r="62">
      <c r="A62" s="205">
        <v>60.0</v>
      </c>
      <c r="B62" s="362" t="b">
        <v>0</v>
      </c>
      <c r="C62" s="207"/>
      <c r="D62" s="208"/>
      <c r="E62" s="208"/>
      <c r="F62" s="363"/>
      <c r="G62" s="351"/>
      <c r="H62" s="351"/>
    </row>
    <row r="63">
      <c r="A63" s="205">
        <v>61.0</v>
      </c>
      <c r="B63" s="362" t="b">
        <v>0</v>
      </c>
      <c r="C63" s="207"/>
      <c r="D63" s="208"/>
      <c r="E63" s="208"/>
      <c r="F63" s="363"/>
      <c r="G63" s="351"/>
      <c r="H63" s="351"/>
    </row>
    <row r="64">
      <c r="A64" s="205">
        <v>62.0</v>
      </c>
      <c r="B64" s="362" t="b">
        <v>0</v>
      </c>
      <c r="C64" s="207"/>
      <c r="D64" s="208"/>
      <c r="E64" s="208"/>
      <c r="F64" s="363"/>
      <c r="G64" s="351"/>
      <c r="H64" s="351"/>
    </row>
    <row r="65">
      <c r="A65" s="205">
        <v>63.0</v>
      </c>
      <c r="B65" s="362" t="b">
        <v>0</v>
      </c>
      <c r="C65" s="207"/>
      <c r="D65" s="208"/>
      <c r="E65" s="208"/>
      <c r="F65" s="363"/>
      <c r="G65" s="351"/>
      <c r="H65" s="351"/>
    </row>
    <row r="66">
      <c r="A66" s="205">
        <v>64.0</v>
      </c>
      <c r="B66" s="362" t="b">
        <v>0</v>
      </c>
      <c r="C66" s="207"/>
      <c r="D66" s="208"/>
      <c r="E66" s="208"/>
      <c r="F66" s="363"/>
      <c r="G66" s="351"/>
      <c r="H66" s="351"/>
    </row>
    <row r="67">
      <c r="A67" s="205">
        <v>65.0</v>
      </c>
      <c r="B67" s="362" t="b">
        <v>0</v>
      </c>
      <c r="C67" s="207"/>
      <c r="D67" s="208"/>
      <c r="E67" s="208"/>
      <c r="F67" s="363"/>
      <c r="G67" s="351"/>
      <c r="H67" s="351"/>
    </row>
    <row r="68">
      <c r="A68" s="205">
        <v>66.0</v>
      </c>
      <c r="B68" s="362" t="b">
        <v>0</v>
      </c>
      <c r="C68" s="207"/>
      <c r="D68" s="208"/>
      <c r="E68" s="208"/>
      <c r="F68" s="363"/>
      <c r="G68" s="351"/>
      <c r="H68" s="351"/>
    </row>
    <row r="69">
      <c r="A69" s="205">
        <v>67.0</v>
      </c>
      <c r="B69" s="362" t="b">
        <v>0</v>
      </c>
      <c r="C69" s="207"/>
      <c r="D69" s="208"/>
      <c r="E69" s="208"/>
      <c r="F69" s="363"/>
      <c r="G69" s="351"/>
      <c r="H69" s="351"/>
    </row>
    <row r="70">
      <c r="A70" s="205">
        <v>68.0</v>
      </c>
      <c r="B70" s="362" t="b">
        <v>0</v>
      </c>
      <c r="C70" s="207"/>
      <c r="D70" s="208"/>
      <c r="E70" s="208"/>
      <c r="F70" s="363"/>
      <c r="G70" s="351"/>
      <c r="H70" s="351"/>
    </row>
    <row r="71">
      <c r="A71" s="205">
        <v>69.0</v>
      </c>
      <c r="B71" s="362" t="b">
        <v>0</v>
      </c>
      <c r="C71" s="207"/>
      <c r="D71" s="208"/>
      <c r="E71" s="208"/>
      <c r="F71" s="363"/>
      <c r="G71" s="351"/>
      <c r="H71" s="351"/>
    </row>
    <row r="72">
      <c r="A72" s="205">
        <v>70.0</v>
      </c>
      <c r="B72" s="362" t="b">
        <v>0</v>
      </c>
      <c r="C72" s="207"/>
      <c r="D72" s="208"/>
      <c r="E72" s="208"/>
      <c r="F72" s="363"/>
      <c r="G72" s="351"/>
      <c r="H72" s="351"/>
    </row>
    <row r="73">
      <c r="A73" s="205">
        <v>71.0</v>
      </c>
      <c r="B73" s="362" t="b">
        <v>0</v>
      </c>
      <c r="C73" s="207"/>
      <c r="D73" s="208"/>
      <c r="E73" s="208"/>
      <c r="F73" s="363"/>
      <c r="G73" s="351"/>
      <c r="H73" s="351"/>
    </row>
    <row r="74">
      <c r="A74" s="205">
        <v>72.0</v>
      </c>
      <c r="B74" s="362" t="b">
        <v>0</v>
      </c>
      <c r="C74" s="207"/>
      <c r="D74" s="208"/>
      <c r="E74" s="208"/>
      <c r="F74" s="363"/>
      <c r="G74" s="351"/>
      <c r="H74" s="351"/>
    </row>
    <row r="75">
      <c r="A75" s="205">
        <v>73.0</v>
      </c>
      <c r="B75" s="362" t="b">
        <v>0</v>
      </c>
      <c r="C75" s="207"/>
      <c r="D75" s="208"/>
      <c r="E75" s="208"/>
      <c r="F75" s="363"/>
      <c r="G75" s="351"/>
      <c r="H75" s="351"/>
    </row>
    <row r="76">
      <c r="A76" s="205">
        <v>74.0</v>
      </c>
      <c r="B76" s="362" t="b">
        <v>0</v>
      </c>
      <c r="C76" s="207"/>
      <c r="D76" s="208"/>
      <c r="E76" s="208"/>
      <c r="F76" s="363"/>
      <c r="G76" s="351"/>
      <c r="H76" s="351"/>
    </row>
    <row r="77">
      <c r="A77" s="205">
        <v>75.0</v>
      </c>
      <c r="B77" s="362" t="b">
        <v>0</v>
      </c>
      <c r="C77" s="207"/>
      <c r="D77" s="208"/>
      <c r="E77" s="208"/>
      <c r="F77" s="363"/>
      <c r="G77" s="351"/>
      <c r="H77" s="351"/>
    </row>
    <row r="78">
      <c r="A78" s="205">
        <v>76.0</v>
      </c>
      <c r="B78" s="362" t="b">
        <v>0</v>
      </c>
      <c r="C78" s="207"/>
      <c r="D78" s="208"/>
      <c r="E78" s="208"/>
      <c r="F78" s="363"/>
      <c r="G78" s="351"/>
      <c r="H78" s="351"/>
    </row>
    <row r="79">
      <c r="A79" s="205">
        <v>77.0</v>
      </c>
      <c r="B79" s="362" t="b">
        <v>0</v>
      </c>
      <c r="C79" s="207"/>
      <c r="D79" s="208"/>
      <c r="E79" s="208"/>
      <c r="F79" s="363"/>
      <c r="G79" s="351"/>
      <c r="H79" s="351"/>
    </row>
    <row r="80">
      <c r="A80" s="205">
        <v>78.0</v>
      </c>
      <c r="B80" s="362" t="b">
        <v>0</v>
      </c>
      <c r="C80" s="207"/>
      <c r="D80" s="208"/>
      <c r="E80" s="208"/>
      <c r="F80" s="363"/>
      <c r="G80" s="351"/>
      <c r="H80" s="351"/>
    </row>
    <row r="81">
      <c r="A81" s="205">
        <v>79.0</v>
      </c>
      <c r="B81" s="362" t="b">
        <v>0</v>
      </c>
      <c r="C81" s="207"/>
      <c r="D81" s="208"/>
      <c r="E81" s="208"/>
      <c r="F81" s="363"/>
      <c r="G81" s="351"/>
      <c r="H81" s="351"/>
    </row>
    <row r="82">
      <c r="A82" s="205">
        <v>80.0</v>
      </c>
      <c r="B82" s="362" t="b">
        <v>0</v>
      </c>
      <c r="C82" s="207"/>
      <c r="D82" s="208"/>
      <c r="E82" s="208"/>
      <c r="F82" s="363"/>
      <c r="G82" s="351"/>
      <c r="H82" s="351"/>
    </row>
    <row r="83">
      <c r="A83" s="205">
        <v>81.0</v>
      </c>
      <c r="B83" s="362" t="b">
        <v>0</v>
      </c>
      <c r="C83" s="207"/>
      <c r="D83" s="208"/>
      <c r="E83" s="208"/>
      <c r="F83" s="363"/>
      <c r="G83" s="351"/>
      <c r="H83" s="351"/>
    </row>
    <row r="84">
      <c r="A84" s="205">
        <v>82.0</v>
      </c>
      <c r="B84" s="362" t="b">
        <v>0</v>
      </c>
      <c r="C84" s="207"/>
      <c r="D84" s="208"/>
      <c r="E84" s="208"/>
      <c r="F84" s="363"/>
      <c r="G84" s="351"/>
      <c r="H84" s="351"/>
    </row>
    <row r="85">
      <c r="A85" s="205">
        <v>83.0</v>
      </c>
      <c r="B85" s="362" t="b">
        <v>0</v>
      </c>
      <c r="C85" s="207"/>
      <c r="D85" s="208"/>
      <c r="E85" s="208"/>
      <c r="F85" s="363"/>
      <c r="G85" s="351"/>
      <c r="H85" s="351"/>
    </row>
    <row r="86">
      <c r="A86" s="205">
        <v>84.0</v>
      </c>
      <c r="B86" s="362" t="b">
        <v>0</v>
      </c>
      <c r="C86" s="207"/>
      <c r="D86" s="208"/>
      <c r="E86" s="208"/>
      <c r="F86" s="363"/>
      <c r="G86" s="351"/>
      <c r="H86" s="351"/>
    </row>
    <row r="87">
      <c r="A87" s="205">
        <v>85.0</v>
      </c>
      <c r="B87" s="362" t="b">
        <v>0</v>
      </c>
      <c r="C87" s="207"/>
      <c r="D87" s="208"/>
      <c r="E87" s="208"/>
      <c r="F87" s="363"/>
      <c r="G87" s="351"/>
      <c r="H87" s="351"/>
    </row>
    <row r="88">
      <c r="A88" s="205">
        <v>86.0</v>
      </c>
      <c r="B88" s="362" t="b">
        <v>0</v>
      </c>
      <c r="C88" s="207"/>
      <c r="D88" s="208"/>
      <c r="E88" s="208"/>
      <c r="F88" s="363"/>
      <c r="G88" s="351"/>
      <c r="H88" s="351"/>
    </row>
    <row r="89">
      <c r="A89" s="205">
        <v>87.0</v>
      </c>
      <c r="B89" s="362" t="b">
        <v>0</v>
      </c>
      <c r="C89" s="207"/>
      <c r="D89" s="208"/>
      <c r="E89" s="208"/>
      <c r="F89" s="363"/>
      <c r="G89" s="351"/>
      <c r="H89" s="351"/>
    </row>
    <row r="90">
      <c r="A90" s="205">
        <v>88.0</v>
      </c>
      <c r="B90" s="362" t="b">
        <v>0</v>
      </c>
      <c r="C90" s="207"/>
      <c r="D90" s="208"/>
      <c r="E90" s="208"/>
      <c r="F90" s="363"/>
      <c r="G90" s="351"/>
      <c r="H90" s="351"/>
    </row>
  </sheetData>
  <mergeCells count="1">
    <mergeCell ref="C1:H1"/>
  </mergeCells>
  <conditionalFormatting sqref="A3:B90">
    <cfRule type="expression" dxfId="0" priority="1">
      <formula>$B3=TRUE</formula>
    </cfRule>
  </conditionalFormatting>
  <conditionalFormatting sqref="A3:F90">
    <cfRule type="expression" dxfId="0" priority="2">
      <formula>$D3=TRUE</formula>
    </cfRule>
  </conditionalFormatting>
  <hyperlinks>
    <hyperlink r:id="rId1" ref="F7"/>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38"/>
    <col customWidth="1" min="3" max="3" width="43.5"/>
    <col customWidth="1" min="4" max="4" width="31.5"/>
    <col customWidth="1" min="5" max="5" width="33.0"/>
    <col customWidth="1" min="6" max="6" width="32.13"/>
    <col customWidth="1" min="7" max="7" width="6.13"/>
    <col customWidth="1" min="8" max="8" width="41.25"/>
    <col customWidth="1" min="9" max="9" width="35.25"/>
  </cols>
  <sheetData>
    <row r="1" ht="27.0" customHeight="1">
      <c r="A1" s="366" t="s">
        <v>2707</v>
      </c>
      <c r="B1" s="53"/>
      <c r="C1" s="53"/>
      <c r="D1" s="53"/>
      <c r="E1" s="53"/>
      <c r="F1" s="53"/>
      <c r="G1" s="53"/>
      <c r="H1" s="53"/>
      <c r="I1" s="202"/>
    </row>
    <row r="2">
      <c r="A2" s="204"/>
      <c r="B2" s="204" t="s">
        <v>0</v>
      </c>
      <c r="C2" s="204" t="s">
        <v>1</v>
      </c>
      <c r="D2" s="204" t="s">
        <v>2</v>
      </c>
      <c r="E2" s="204" t="s">
        <v>3</v>
      </c>
      <c r="F2" s="204" t="s">
        <v>4</v>
      </c>
      <c r="G2" s="204"/>
      <c r="H2" s="204" t="s">
        <v>5</v>
      </c>
      <c r="I2" s="204" t="s">
        <v>6</v>
      </c>
    </row>
    <row r="3">
      <c r="A3" s="205">
        <v>1.0</v>
      </c>
      <c r="B3" s="362" t="b">
        <v>0</v>
      </c>
      <c r="C3" s="207" t="s">
        <v>2065</v>
      </c>
      <c r="D3" s="208"/>
      <c r="E3" s="217" t="s">
        <v>2066</v>
      </c>
      <c r="F3" s="209" t="s">
        <v>2067</v>
      </c>
      <c r="G3" s="362" t="b">
        <v>0</v>
      </c>
      <c r="H3" s="211" t="s">
        <v>2068</v>
      </c>
      <c r="I3" s="209"/>
    </row>
    <row r="4">
      <c r="A4" s="205">
        <v>2.0</v>
      </c>
      <c r="B4" s="362" t="b">
        <v>0</v>
      </c>
      <c r="C4" s="207" t="s">
        <v>2069</v>
      </c>
      <c r="D4" s="208"/>
      <c r="E4" s="208"/>
      <c r="F4" s="209" t="s">
        <v>2070</v>
      </c>
      <c r="G4" s="362" t="b">
        <v>1</v>
      </c>
      <c r="H4" s="211" t="s">
        <v>2071</v>
      </c>
      <c r="I4" s="209"/>
    </row>
    <row r="5">
      <c r="A5" s="205">
        <v>3.0</v>
      </c>
      <c r="B5" s="362" t="b">
        <v>0</v>
      </c>
      <c r="C5" s="207" t="s">
        <v>2081</v>
      </c>
      <c r="D5" s="208"/>
      <c r="E5" s="208" t="s">
        <v>2082</v>
      </c>
      <c r="F5" s="209" t="s">
        <v>2083</v>
      </c>
      <c r="G5" s="362" t="b">
        <v>1</v>
      </c>
      <c r="H5" s="209"/>
      <c r="I5" s="209"/>
    </row>
    <row r="6">
      <c r="A6" s="205">
        <v>4.0</v>
      </c>
      <c r="B6" s="362" t="b">
        <v>0</v>
      </c>
      <c r="C6" s="207" t="s">
        <v>2084</v>
      </c>
      <c r="D6" s="208"/>
      <c r="E6" s="217" t="s">
        <v>2085</v>
      </c>
      <c r="F6" s="209" t="s">
        <v>2086</v>
      </c>
      <c r="G6" s="362" t="b">
        <v>1</v>
      </c>
      <c r="H6" s="209"/>
      <c r="I6" s="209"/>
    </row>
    <row r="7">
      <c r="A7" s="205">
        <v>5.0</v>
      </c>
      <c r="B7" s="362" t="b">
        <v>0</v>
      </c>
      <c r="C7" s="207" t="s">
        <v>2087</v>
      </c>
      <c r="D7" s="208"/>
      <c r="E7" s="217" t="s">
        <v>2088</v>
      </c>
      <c r="F7" s="209" t="s">
        <v>2089</v>
      </c>
      <c r="G7" s="362" t="b">
        <v>1</v>
      </c>
      <c r="H7" s="209"/>
      <c r="I7" s="209"/>
    </row>
    <row r="8">
      <c r="A8" s="205">
        <v>6.0</v>
      </c>
      <c r="B8" s="362" t="b">
        <v>0</v>
      </c>
      <c r="C8" s="207" t="s">
        <v>2090</v>
      </c>
      <c r="D8" s="208"/>
      <c r="E8" s="208" t="s">
        <v>2091</v>
      </c>
      <c r="F8" s="209" t="s">
        <v>2092</v>
      </c>
      <c r="G8" s="362" t="b">
        <v>0</v>
      </c>
      <c r="H8" s="209"/>
      <c r="I8" s="209"/>
    </row>
    <row r="9">
      <c r="A9" s="205">
        <v>7.0</v>
      </c>
      <c r="B9" s="362" t="b">
        <v>0</v>
      </c>
      <c r="C9" s="325" t="s">
        <v>2093</v>
      </c>
      <c r="D9" s="326"/>
      <c r="E9" s="326" t="s">
        <v>2094</v>
      </c>
      <c r="F9" s="327" t="s">
        <v>2095</v>
      </c>
      <c r="G9" s="362" t="b">
        <v>0</v>
      </c>
      <c r="H9" s="209"/>
      <c r="I9" s="209"/>
    </row>
    <row r="10">
      <c r="A10" s="205">
        <v>8.0</v>
      </c>
      <c r="B10" s="362" t="b">
        <v>0</v>
      </c>
      <c r="C10" s="328"/>
      <c r="D10" s="326"/>
      <c r="E10" s="326" t="s">
        <v>2096</v>
      </c>
      <c r="F10" s="327" t="s">
        <v>2097</v>
      </c>
      <c r="G10" s="362" t="b">
        <v>0</v>
      </c>
      <c r="H10" s="209"/>
      <c r="I10" s="209"/>
    </row>
    <row r="11">
      <c r="A11" s="205">
        <v>9.0</v>
      </c>
      <c r="B11" s="362" t="b">
        <v>0</v>
      </c>
      <c r="C11" s="328"/>
      <c r="D11" s="326"/>
      <c r="E11" s="326"/>
      <c r="F11" s="327" t="s">
        <v>2098</v>
      </c>
      <c r="G11" s="362" t="b">
        <v>0</v>
      </c>
      <c r="H11" s="209"/>
      <c r="I11" s="209"/>
    </row>
    <row r="12">
      <c r="A12" s="205">
        <v>10.0</v>
      </c>
      <c r="B12" s="362" t="b">
        <v>0</v>
      </c>
      <c r="C12" s="328"/>
      <c r="D12" s="326"/>
      <c r="E12" s="326"/>
      <c r="F12" s="327" t="s">
        <v>2099</v>
      </c>
      <c r="G12" s="362" t="b">
        <v>0</v>
      </c>
      <c r="H12" s="209"/>
      <c r="I12" s="209"/>
    </row>
    <row r="13">
      <c r="A13" s="205">
        <v>11.0</v>
      </c>
      <c r="B13" s="362" t="b">
        <v>0</v>
      </c>
      <c r="C13" s="328"/>
      <c r="D13" s="326"/>
      <c r="E13" s="326"/>
      <c r="F13" s="327" t="s">
        <v>2100</v>
      </c>
      <c r="G13" s="362" t="b">
        <v>0</v>
      </c>
      <c r="H13" s="209"/>
      <c r="I13" s="209"/>
    </row>
    <row r="14">
      <c r="A14" s="205">
        <v>12.0</v>
      </c>
      <c r="B14" s="362" t="b">
        <v>0</v>
      </c>
      <c r="C14" s="328"/>
      <c r="D14" s="326"/>
      <c r="E14" s="326"/>
      <c r="F14" s="327" t="s">
        <v>2101</v>
      </c>
      <c r="G14" s="362" t="b">
        <v>0</v>
      </c>
      <c r="H14" s="209"/>
      <c r="I14" s="209"/>
    </row>
    <row r="15">
      <c r="A15" s="205">
        <v>13.0</v>
      </c>
      <c r="B15" s="362" t="b">
        <v>0</v>
      </c>
      <c r="C15" s="328"/>
      <c r="D15" s="326"/>
      <c r="E15" s="326"/>
      <c r="F15" s="327" t="s">
        <v>2102</v>
      </c>
      <c r="G15" s="362" t="b">
        <v>0</v>
      </c>
      <c r="H15" s="209"/>
      <c r="I15" s="209"/>
    </row>
    <row r="16">
      <c r="A16" s="205">
        <v>14.0</v>
      </c>
      <c r="B16" s="362" t="b">
        <v>0</v>
      </c>
      <c r="C16" s="328"/>
      <c r="D16" s="326"/>
      <c r="E16" s="326"/>
      <c r="F16" s="327" t="s">
        <v>2103</v>
      </c>
      <c r="G16" s="362" t="b">
        <v>0</v>
      </c>
      <c r="H16" s="209"/>
      <c r="I16" s="209"/>
    </row>
    <row r="17">
      <c r="A17" s="205">
        <v>15.0</v>
      </c>
      <c r="B17" s="362" t="b">
        <v>0</v>
      </c>
      <c r="C17" s="329"/>
      <c r="D17" s="326"/>
      <c r="E17" s="326"/>
      <c r="F17" s="327" t="s">
        <v>2104</v>
      </c>
      <c r="G17" s="362" t="b">
        <v>0</v>
      </c>
      <c r="H17" s="209"/>
      <c r="I17" s="209"/>
    </row>
    <row r="18">
      <c r="A18" s="205">
        <v>16.0</v>
      </c>
      <c r="B18" s="362" t="b">
        <v>0</v>
      </c>
      <c r="C18" s="207" t="s">
        <v>2105</v>
      </c>
      <c r="D18" s="208"/>
      <c r="E18" s="208">
        <v>3.5121780222E11</v>
      </c>
      <c r="F18" s="209" t="s">
        <v>2106</v>
      </c>
      <c r="G18" s="362" t="b">
        <v>0</v>
      </c>
      <c r="H18" s="211" t="s">
        <v>2107</v>
      </c>
      <c r="I18" s="209"/>
    </row>
    <row r="19">
      <c r="A19" s="205">
        <v>17.0</v>
      </c>
      <c r="B19" s="362" t="b">
        <v>0</v>
      </c>
      <c r="C19" s="207" t="s">
        <v>2108</v>
      </c>
      <c r="D19" s="208"/>
      <c r="E19" s="208" t="s">
        <v>2109</v>
      </c>
      <c r="F19" s="209" t="s">
        <v>2110</v>
      </c>
      <c r="G19" s="362" t="b">
        <v>0</v>
      </c>
      <c r="H19" s="211" t="s">
        <v>2111</v>
      </c>
      <c r="I19" s="209"/>
    </row>
    <row r="20">
      <c r="A20" s="205">
        <v>18.0</v>
      </c>
      <c r="B20" s="362" t="b">
        <v>0</v>
      </c>
      <c r="C20" s="207" t="s">
        <v>2112</v>
      </c>
      <c r="D20" s="208"/>
      <c r="E20" s="208" t="s">
        <v>2113</v>
      </c>
      <c r="F20" s="209" t="s">
        <v>2114</v>
      </c>
      <c r="G20" s="362" t="b">
        <v>0</v>
      </c>
      <c r="H20" s="211" t="s">
        <v>2115</v>
      </c>
      <c r="I20" s="209"/>
    </row>
    <row r="21">
      <c r="A21" s="205">
        <v>19.0</v>
      </c>
      <c r="B21" s="362" t="b">
        <v>0</v>
      </c>
      <c r="C21" s="207" t="s">
        <v>2116</v>
      </c>
      <c r="D21" s="208"/>
      <c r="E21" s="208" t="s">
        <v>2117</v>
      </c>
      <c r="F21" s="209" t="s">
        <v>2118</v>
      </c>
      <c r="G21" s="362" t="b">
        <v>0</v>
      </c>
      <c r="H21" s="211" t="s">
        <v>2119</v>
      </c>
      <c r="I21" s="209"/>
    </row>
    <row r="22">
      <c r="A22" s="205">
        <v>20.0</v>
      </c>
      <c r="B22" s="362" t="b">
        <v>0</v>
      </c>
      <c r="C22" s="207" t="s">
        <v>2120</v>
      </c>
      <c r="D22" s="208"/>
      <c r="E22" s="208" t="s">
        <v>2121</v>
      </c>
      <c r="F22" s="209" t="s">
        <v>2122</v>
      </c>
      <c r="G22" s="362" t="b">
        <v>0</v>
      </c>
      <c r="H22" s="211" t="s">
        <v>2123</v>
      </c>
      <c r="I22" s="209"/>
    </row>
    <row r="23">
      <c r="A23" s="205">
        <v>21.0</v>
      </c>
      <c r="B23" s="362" t="b">
        <v>0</v>
      </c>
      <c r="C23" s="330" t="s">
        <v>2124</v>
      </c>
      <c r="D23" s="331"/>
      <c r="E23" s="331" t="s">
        <v>2125</v>
      </c>
      <c r="F23" s="332" t="s">
        <v>2126</v>
      </c>
      <c r="G23" s="362" t="b">
        <v>0</v>
      </c>
      <c r="H23" s="209"/>
      <c r="I23" s="209"/>
    </row>
    <row r="24">
      <c r="A24" s="205">
        <v>22.0</v>
      </c>
      <c r="B24" s="362" t="b">
        <v>0</v>
      </c>
      <c r="C24" s="328"/>
      <c r="D24" s="331"/>
      <c r="E24" s="331" t="s">
        <v>2127</v>
      </c>
      <c r="F24" s="332" t="s">
        <v>2128</v>
      </c>
      <c r="G24" s="362" t="b">
        <v>0</v>
      </c>
      <c r="H24" s="211" t="s">
        <v>2129</v>
      </c>
      <c r="I24" s="209"/>
    </row>
    <row r="25">
      <c r="A25" s="205">
        <v>23.0</v>
      </c>
      <c r="B25" s="362" t="b">
        <v>0</v>
      </c>
      <c r="C25" s="328"/>
      <c r="D25" s="331" t="s">
        <v>2130</v>
      </c>
      <c r="E25" s="331" t="s">
        <v>2131</v>
      </c>
      <c r="F25" s="332" t="s">
        <v>2132</v>
      </c>
      <c r="G25" s="362" t="b">
        <v>0</v>
      </c>
      <c r="H25" s="209"/>
      <c r="I25" s="209"/>
    </row>
    <row r="26">
      <c r="A26" s="205">
        <v>24.0</v>
      </c>
      <c r="B26" s="362" t="b">
        <v>0</v>
      </c>
      <c r="C26" s="329"/>
      <c r="D26" s="331" t="s">
        <v>2133</v>
      </c>
      <c r="E26" s="331" t="s">
        <v>2134</v>
      </c>
      <c r="F26" s="332" t="s">
        <v>2135</v>
      </c>
      <c r="G26" s="362" t="b">
        <v>0</v>
      </c>
      <c r="H26" s="209"/>
      <c r="I26" s="209"/>
    </row>
    <row r="27">
      <c r="A27" s="205">
        <v>25.0</v>
      </c>
      <c r="B27" s="362" t="b">
        <v>0</v>
      </c>
      <c r="C27" s="207" t="s">
        <v>2136</v>
      </c>
      <c r="D27" s="208"/>
      <c r="E27" s="208"/>
      <c r="F27" s="209"/>
      <c r="G27" s="362" t="b">
        <v>0</v>
      </c>
      <c r="H27" s="209"/>
      <c r="I27" s="209"/>
    </row>
    <row r="28">
      <c r="A28" s="205">
        <v>26.0</v>
      </c>
      <c r="B28" s="362" t="b">
        <v>0</v>
      </c>
      <c r="C28" s="207" t="s">
        <v>2137</v>
      </c>
      <c r="D28" s="208"/>
      <c r="E28" s="208"/>
      <c r="F28" s="209" t="s">
        <v>2138</v>
      </c>
      <c r="G28" s="362" t="b">
        <v>1</v>
      </c>
      <c r="H28" s="209"/>
      <c r="I28" s="209"/>
    </row>
    <row r="29">
      <c r="A29" s="205">
        <v>27.0</v>
      </c>
      <c r="B29" s="362" t="b">
        <v>0</v>
      </c>
      <c r="C29" s="207" t="s">
        <v>2139</v>
      </c>
      <c r="D29" s="208"/>
      <c r="E29" s="208" t="s">
        <v>2140</v>
      </c>
      <c r="F29" s="209" t="s">
        <v>2141</v>
      </c>
      <c r="G29" s="362" t="b">
        <v>1</v>
      </c>
      <c r="H29" s="209"/>
      <c r="I29" s="209"/>
    </row>
    <row r="30">
      <c r="A30" s="205">
        <v>28.0</v>
      </c>
      <c r="B30" s="362" t="b">
        <v>0</v>
      </c>
      <c r="C30" s="207" t="s">
        <v>2142</v>
      </c>
      <c r="D30" s="208"/>
      <c r="E30" s="208" t="s">
        <v>2143</v>
      </c>
      <c r="F30" s="209" t="s">
        <v>2144</v>
      </c>
      <c r="G30" s="362" t="b">
        <v>1</v>
      </c>
      <c r="H30" s="209"/>
      <c r="I30" s="209"/>
    </row>
    <row r="31">
      <c r="A31" s="205">
        <v>29.0</v>
      </c>
      <c r="B31" s="362" t="b">
        <v>0</v>
      </c>
      <c r="C31" s="207" t="s">
        <v>2145</v>
      </c>
      <c r="D31" s="208"/>
      <c r="E31" s="208" t="s">
        <v>2146</v>
      </c>
      <c r="F31" s="209" t="s">
        <v>2147</v>
      </c>
      <c r="G31" s="362" t="b">
        <v>1</v>
      </c>
      <c r="H31" s="209"/>
      <c r="I31" s="209"/>
    </row>
    <row r="32">
      <c r="A32" s="205">
        <v>30.0</v>
      </c>
      <c r="B32" s="362" t="b">
        <v>0</v>
      </c>
      <c r="C32" s="207" t="s">
        <v>2148</v>
      </c>
      <c r="D32" s="208"/>
      <c r="E32" s="208" t="s">
        <v>2149</v>
      </c>
      <c r="F32" s="209" t="s">
        <v>2150</v>
      </c>
      <c r="G32" s="362" t="b">
        <v>1</v>
      </c>
      <c r="H32" s="211" t="s">
        <v>2151</v>
      </c>
      <c r="I32" s="209"/>
    </row>
    <row r="33">
      <c r="A33" s="205">
        <v>31.0</v>
      </c>
      <c r="B33" s="362" t="b">
        <v>0</v>
      </c>
      <c r="C33" s="207" t="s">
        <v>2152</v>
      </c>
      <c r="D33" s="208"/>
      <c r="E33" s="208">
        <v>9.7154333404E11</v>
      </c>
      <c r="F33" s="209"/>
      <c r="G33" s="362" t="b">
        <v>0</v>
      </c>
      <c r="H33" s="209"/>
      <c r="I33" s="209"/>
    </row>
    <row r="34">
      <c r="A34" s="205">
        <v>32.0</v>
      </c>
      <c r="B34" s="362" t="b">
        <v>0</v>
      </c>
      <c r="C34" s="207" t="s">
        <v>2136</v>
      </c>
      <c r="D34" s="208"/>
      <c r="E34" s="208"/>
      <c r="F34" s="209"/>
      <c r="G34" s="362" t="b">
        <v>0</v>
      </c>
      <c r="H34" s="211" t="s">
        <v>2153</v>
      </c>
      <c r="I34" s="209"/>
    </row>
    <row r="35">
      <c r="A35" s="205">
        <v>33.0</v>
      </c>
      <c r="B35" s="362" t="b">
        <v>0</v>
      </c>
      <c r="C35" s="207" t="s">
        <v>2154</v>
      </c>
      <c r="D35" s="208"/>
      <c r="E35" s="208" t="s">
        <v>2155</v>
      </c>
      <c r="F35" s="209" t="s">
        <v>2156</v>
      </c>
      <c r="G35" s="362" t="b">
        <v>1</v>
      </c>
      <c r="H35" s="211" t="s">
        <v>2157</v>
      </c>
      <c r="I35" s="209"/>
    </row>
    <row r="36">
      <c r="A36" s="205">
        <v>34.0</v>
      </c>
      <c r="B36" s="362" t="b">
        <v>0</v>
      </c>
      <c r="C36" s="207" t="s">
        <v>2158</v>
      </c>
      <c r="D36" s="208"/>
      <c r="E36" s="208"/>
      <c r="F36" s="209"/>
      <c r="G36" s="362" t="b">
        <v>1</v>
      </c>
      <c r="H36" s="209"/>
      <c r="I36" s="209"/>
    </row>
    <row r="37">
      <c r="A37" s="205">
        <v>35.0</v>
      </c>
      <c r="B37" s="362" t="b">
        <v>0</v>
      </c>
      <c r="C37" s="207" t="s">
        <v>2159</v>
      </c>
      <c r="D37" s="208"/>
      <c r="E37" s="208" t="s">
        <v>2160</v>
      </c>
      <c r="F37" s="209" t="s">
        <v>2161</v>
      </c>
      <c r="G37" s="362" t="b">
        <v>1</v>
      </c>
      <c r="H37" s="211" t="s">
        <v>2162</v>
      </c>
      <c r="I37" s="209"/>
    </row>
    <row r="38">
      <c r="A38" s="205">
        <v>36.0</v>
      </c>
      <c r="B38" s="362" t="b">
        <v>0</v>
      </c>
      <c r="C38" s="207" t="s">
        <v>2163</v>
      </c>
      <c r="D38" s="208"/>
      <c r="E38" s="208" t="s">
        <v>2164</v>
      </c>
      <c r="F38" s="209" t="s">
        <v>2165</v>
      </c>
      <c r="G38" s="362" t="b">
        <v>1</v>
      </c>
      <c r="H38" s="211" t="s">
        <v>2166</v>
      </c>
      <c r="I38" s="209"/>
    </row>
    <row r="39">
      <c r="A39" s="205">
        <v>37.0</v>
      </c>
      <c r="B39" s="362" t="b">
        <v>0</v>
      </c>
      <c r="C39" s="207" t="s">
        <v>2167</v>
      </c>
      <c r="D39" s="208"/>
      <c r="E39" s="208">
        <v>9.71566056655E11</v>
      </c>
      <c r="F39" s="209" t="s">
        <v>2168</v>
      </c>
      <c r="G39" s="362" t="b">
        <v>1</v>
      </c>
      <c r="H39" s="209"/>
      <c r="I39" s="209"/>
    </row>
    <row r="40">
      <c r="A40" s="205">
        <v>38.0</v>
      </c>
      <c r="B40" s="362" t="b">
        <v>0</v>
      </c>
      <c r="C40" s="207" t="s">
        <v>2169</v>
      </c>
      <c r="D40" s="208"/>
      <c r="E40" s="208" t="s">
        <v>2170</v>
      </c>
      <c r="F40" s="333" t="s">
        <v>2171</v>
      </c>
      <c r="G40" s="362" t="b">
        <v>1</v>
      </c>
      <c r="H40" s="211" t="s">
        <v>2172</v>
      </c>
      <c r="I40" s="209"/>
    </row>
    <row r="41">
      <c r="A41" s="205">
        <v>39.0</v>
      </c>
      <c r="B41" s="362" t="b">
        <v>0</v>
      </c>
      <c r="C41" s="334" t="s">
        <v>2173</v>
      </c>
      <c r="D41" s="208"/>
      <c r="E41" s="208" t="s">
        <v>2174</v>
      </c>
      <c r="F41" s="209" t="s">
        <v>2175</v>
      </c>
      <c r="G41" s="362" t="b">
        <v>1</v>
      </c>
      <c r="H41" s="211" t="s">
        <v>2176</v>
      </c>
      <c r="I41" s="209"/>
    </row>
    <row r="42">
      <c r="A42" s="205">
        <v>40.0</v>
      </c>
      <c r="B42" s="362" t="b">
        <v>0</v>
      </c>
      <c r="C42" s="207" t="s">
        <v>2177</v>
      </c>
      <c r="D42" s="208"/>
      <c r="E42" s="208" t="s">
        <v>2178</v>
      </c>
      <c r="F42" s="209" t="s">
        <v>2179</v>
      </c>
      <c r="G42" s="362" t="b">
        <v>1</v>
      </c>
      <c r="H42" s="211" t="s">
        <v>2180</v>
      </c>
      <c r="I42" s="209"/>
    </row>
    <row r="43">
      <c r="A43" s="205">
        <v>41.0</v>
      </c>
      <c r="B43" s="362" t="b">
        <v>0</v>
      </c>
      <c r="C43" s="207" t="s">
        <v>2181</v>
      </c>
      <c r="D43" s="208"/>
      <c r="E43" s="208" t="s">
        <v>2182</v>
      </c>
      <c r="F43" s="209" t="s">
        <v>2183</v>
      </c>
      <c r="G43" s="362" t="b">
        <v>0</v>
      </c>
      <c r="H43" s="209"/>
      <c r="I43" s="209"/>
    </row>
    <row r="44">
      <c r="A44" s="205">
        <v>42.0</v>
      </c>
      <c r="B44" s="362" t="b">
        <v>0</v>
      </c>
      <c r="C44" s="207" t="s">
        <v>2184</v>
      </c>
      <c r="D44" s="208"/>
      <c r="E44" s="208" t="s">
        <v>2185</v>
      </c>
      <c r="F44" s="209" t="s">
        <v>2186</v>
      </c>
      <c r="G44" s="362" t="b">
        <v>1</v>
      </c>
      <c r="H44" s="209"/>
      <c r="I44" s="209"/>
    </row>
    <row r="45">
      <c r="A45" s="205">
        <v>43.0</v>
      </c>
      <c r="B45" s="362" t="b">
        <v>0</v>
      </c>
      <c r="C45" s="207" t="s">
        <v>2187</v>
      </c>
      <c r="D45" s="208"/>
      <c r="E45" s="208" t="s">
        <v>2188</v>
      </c>
      <c r="F45" s="209" t="s">
        <v>2189</v>
      </c>
      <c r="G45" s="362" t="b">
        <v>1</v>
      </c>
      <c r="H45" s="209"/>
      <c r="I45" s="209"/>
    </row>
    <row r="46">
      <c r="A46" s="205">
        <v>44.0</v>
      </c>
      <c r="B46" s="362" t="b">
        <v>0</v>
      </c>
      <c r="C46" s="207" t="s">
        <v>2190</v>
      </c>
      <c r="D46" s="208"/>
      <c r="E46" s="208" t="s">
        <v>2191</v>
      </c>
      <c r="F46" s="209" t="s">
        <v>2192</v>
      </c>
      <c r="G46" s="362" t="b">
        <v>1</v>
      </c>
      <c r="H46" s="209"/>
      <c r="I46" s="209"/>
    </row>
    <row r="47">
      <c r="A47" s="205">
        <v>45.0</v>
      </c>
      <c r="B47" s="362" t="b">
        <v>0</v>
      </c>
      <c r="C47" s="207" t="s">
        <v>2193</v>
      </c>
      <c r="D47" s="208"/>
      <c r="E47" s="208"/>
      <c r="F47" s="209"/>
      <c r="G47" s="362" t="b">
        <v>0</v>
      </c>
      <c r="H47" s="211" t="s">
        <v>2194</v>
      </c>
      <c r="I47" s="209"/>
    </row>
    <row r="48">
      <c r="A48" s="205">
        <v>46.0</v>
      </c>
      <c r="B48" s="362" t="b">
        <v>0</v>
      </c>
      <c r="C48" s="207" t="s">
        <v>2195</v>
      </c>
      <c r="D48" s="208"/>
      <c r="E48" s="208" t="s">
        <v>2196</v>
      </c>
      <c r="F48" s="209"/>
      <c r="G48" s="362" t="b">
        <v>0</v>
      </c>
      <c r="H48" s="209"/>
      <c r="I48" s="209"/>
    </row>
    <row r="49">
      <c r="A49" s="205">
        <v>47.0</v>
      </c>
      <c r="B49" s="362" t="b">
        <v>0</v>
      </c>
      <c r="C49" s="207" t="s">
        <v>2197</v>
      </c>
      <c r="D49" s="208"/>
      <c r="E49" s="208" t="s">
        <v>2198</v>
      </c>
      <c r="F49" s="209" t="s">
        <v>2199</v>
      </c>
      <c r="G49" s="362" t="b">
        <v>1</v>
      </c>
      <c r="H49" s="209"/>
      <c r="I49" s="209"/>
    </row>
    <row r="50">
      <c r="A50" s="205">
        <v>48.0</v>
      </c>
      <c r="B50" s="362" t="b">
        <v>0</v>
      </c>
      <c r="C50" s="207" t="s">
        <v>2200</v>
      </c>
      <c r="D50" s="208"/>
      <c r="E50" s="208" t="s">
        <v>2201</v>
      </c>
      <c r="F50" s="209" t="s">
        <v>2202</v>
      </c>
      <c r="G50" s="362" t="b">
        <v>1</v>
      </c>
      <c r="H50" s="209"/>
      <c r="I50" s="209"/>
    </row>
    <row r="51">
      <c r="A51" s="205">
        <v>49.0</v>
      </c>
      <c r="B51" s="362" t="b">
        <v>0</v>
      </c>
      <c r="C51" s="207" t="s">
        <v>2203</v>
      </c>
      <c r="D51" s="208"/>
      <c r="E51" s="208"/>
      <c r="F51" s="209"/>
      <c r="G51" s="362" t="b">
        <v>0</v>
      </c>
      <c r="H51" s="209"/>
      <c r="I51" s="209"/>
    </row>
    <row r="52">
      <c r="A52" s="205">
        <v>50.0</v>
      </c>
      <c r="B52" s="362" t="b">
        <v>0</v>
      </c>
      <c r="C52" s="207" t="s">
        <v>2204</v>
      </c>
      <c r="D52" s="208"/>
      <c r="E52" s="208" t="s">
        <v>2205</v>
      </c>
      <c r="F52" s="209"/>
      <c r="G52" s="362" t="b">
        <v>0</v>
      </c>
      <c r="H52" s="209"/>
      <c r="I52" s="209"/>
    </row>
    <row r="53">
      <c r="A53" s="205">
        <v>51.0</v>
      </c>
      <c r="B53" s="362" t="b">
        <v>0</v>
      </c>
      <c r="C53" s="207" t="s">
        <v>2206</v>
      </c>
      <c r="D53" s="335"/>
      <c r="E53" s="208" t="s">
        <v>2207</v>
      </c>
      <c r="F53" s="209" t="s">
        <v>2208</v>
      </c>
      <c r="G53" s="362" t="b">
        <v>1</v>
      </c>
      <c r="H53" s="211" t="s">
        <v>2209</v>
      </c>
      <c r="I53" s="209"/>
    </row>
    <row r="54">
      <c r="A54" s="205">
        <v>52.0</v>
      </c>
      <c r="B54" s="362" t="b">
        <v>0</v>
      </c>
      <c r="C54" s="207" t="s">
        <v>2210</v>
      </c>
      <c r="D54" s="208"/>
      <c r="E54" s="208" t="s">
        <v>2211</v>
      </c>
      <c r="F54" s="209" t="s">
        <v>2212</v>
      </c>
      <c r="G54" s="362" t="b">
        <v>1</v>
      </c>
      <c r="H54" s="209"/>
      <c r="I54" s="209"/>
    </row>
    <row r="55">
      <c r="A55" s="205">
        <v>53.0</v>
      </c>
      <c r="B55" s="362" t="b">
        <v>0</v>
      </c>
      <c r="C55" s="207" t="s">
        <v>2213</v>
      </c>
      <c r="D55" s="208"/>
      <c r="E55" s="208" t="s">
        <v>2214</v>
      </c>
      <c r="F55" s="209" t="s">
        <v>2215</v>
      </c>
      <c r="G55" s="362" t="b">
        <v>1</v>
      </c>
      <c r="H55" s="209"/>
      <c r="I55" s="209"/>
    </row>
    <row r="56">
      <c r="A56" s="205">
        <v>54.0</v>
      </c>
      <c r="B56" s="362" t="b">
        <v>0</v>
      </c>
      <c r="C56" s="207" t="s">
        <v>2216</v>
      </c>
      <c r="D56" s="208"/>
      <c r="E56" s="208" t="s">
        <v>2217</v>
      </c>
      <c r="F56" s="209" t="s">
        <v>2218</v>
      </c>
      <c r="G56" s="362" t="b">
        <v>1</v>
      </c>
      <c r="H56" s="209"/>
      <c r="I56" s="209"/>
    </row>
    <row r="57">
      <c r="A57" s="205">
        <v>55.0</v>
      </c>
      <c r="B57" s="362" t="b">
        <v>0</v>
      </c>
      <c r="C57" s="207" t="s">
        <v>2219</v>
      </c>
      <c r="D57" s="208"/>
      <c r="E57" s="208" t="s">
        <v>2220</v>
      </c>
      <c r="F57" s="209" t="s">
        <v>2221</v>
      </c>
      <c r="G57" s="362" t="b">
        <v>1</v>
      </c>
      <c r="H57" s="209"/>
      <c r="I57" s="209"/>
    </row>
    <row r="58">
      <c r="A58" s="205">
        <v>56.0</v>
      </c>
      <c r="B58" s="362" t="b">
        <v>0</v>
      </c>
      <c r="C58" s="207" t="s">
        <v>2222</v>
      </c>
      <c r="D58" s="335"/>
      <c r="E58" s="208" t="s">
        <v>2223</v>
      </c>
      <c r="F58" s="209" t="s">
        <v>2224</v>
      </c>
      <c r="G58" s="362" t="b">
        <v>1</v>
      </c>
      <c r="H58" s="211" t="s">
        <v>2225</v>
      </c>
      <c r="I58" s="209"/>
    </row>
    <row r="59">
      <c r="A59" s="205">
        <v>57.0</v>
      </c>
      <c r="B59" s="362" t="b">
        <v>0</v>
      </c>
      <c r="C59" s="207" t="s">
        <v>2226</v>
      </c>
      <c r="D59" s="208"/>
      <c r="E59" s="208" t="s">
        <v>2227</v>
      </c>
      <c r="F59" s="209" t="s">
        <v>2228</v>
      </c>
      <c r="G59" s="362" t="b">
        <v>1</v>
      </c>
      <c r="H59" s="209"/>
      <c r="I59" s="209"/>
    </row>
    <row r="60">
      <c r="A60" s="205">
        <v>58.0</v>
      </c>
      <c r="B60" s="362" t="b">
        <v>0</v>
      </c>
      <c r="C60" s="207" t="s">
        <v>2229</v>
      </c>
      <c r="D60" s="208"/>
      <c r="E60" s="208" t="s">
        <v>2230</v>
      </c>
      <c r="F60" s="209" t="s">
        <v>2231</v>
      </c>
      <c r="G60" s="362" t="b">
        <v>1</v>
      </c>
      <c r="H60" s="209"/>
      <c r="I60" s="209"/>
    </row>
    <row r="61">
      <c r="A61" s="205">
        <v>59.0</v>
      </c>
      <c r="B61" s="362" t="b">
        <v>0</v>
      </c>
      <c r="C61" s="207" t="s">
        <v>2232</v>
      </c>
      <c r="D61" s="208"/>
      <c r="E61" s="208" t="s">
        <v>2233</v>
      </c>
      <c r="F61" s="209" t="s">
        <v>2234</v>
      </c>
      <c r="G61" s="362" t="b">
        <v>1</v>
      </c>
      <c r="H61" s="209"/>
      <c r="I61" s="209"/>
    </row>
    <row r="62">
      <c r="A62" s="205">
        <v>60.0</v>
      </c>
      <c r="B62" s="362" t="b">
        <v>0</v>
      </c>
      <c r="C62" s="207" t="s">
        <v>2235</v>
      </c>
      <c r="D62" s="208"/>
      <c r="E62" s="208"/>
      <c r="F62" s="209"/>
      <c r="G62" s="362" t="b">
        <v>0</v>
      </c>
      <c r="H62" s="209"/>
      <c r="I62" s="209"/>
    </row>
    <row r="63">
      <c r="A63" s="205">
        <v>61.0</v>
      </c>
      <c r="B63" s="362" t="b">
        <v>0</v>
      </c>
      <c r="C63" s="207" t="s">
        <v>2236</v>
      </c>
      <c r="D63" s="208"/>
      <c r="E63" s="208"/>
      <c r="F63" s="209" t="s">
        <v>2237</v>
      </c>
      <c r="G63" s="362" t="b">
        <v>1</v>
      </c>
      <c r="H63" s="209"/>
      <c r="I63" s="209"/>
    </row>
    <row r="64">
      <c r="A64" s="205">
        <v>62.0</v>
      </c>
      <c r="B64" s="362" t="b">
        <v>0</v>
      </c>
      <c r="C64" s="207" t="s">
        <v>2238</v>
      </c>
      <c r="D64" s="208"/>
      <c r="E64" s="208" t="s">
        <v>2239</v>
      </c>
      <c r="F64" s="209" t="s">
        <v>2240</v>
      </c>
      <c r="G64" s="362" t="b">
        <v>1</v>
      </c>
      <c r="H64" s="209"/>
      <c r="I64" s="209"/>
    </row>
    <row r="65">
      <c r="A65" s="205">
        <v>63.0</v>
      </c>
      <c r="B65" s="362" t="b">
        <v>0</v>
      </c>
      <c r="C65" s="207" t="s">
        <v>2241</v>
      </c>
      <c r="D65" s="208"/>
      <c r="E65" s="208" t="s">
        <v>2242</v>
      </c>
      <c r="F65" s="209" t="s">
        <v>2243</v>
      </c>
      <c r="G65" s="362" t="b">
        <v>1</v>
      </c>
      <c r="H65" s="209"/>
      <c r="I65" s="209"/>
    </row>
    <row r="66">
      <c r="A66" s="205">
        <v>64.0</v>
      </c>
      <c r="B66" s="362" t="b">
        <v>0</v>
      </c>
      <c r="C66" s="207" t="s">
        <v>2244</v>
      </c>
      <c r="D66" s="208"/>
      <c r="E66" s="208"/>
      <c r="F66" s="209"/>
      <c r="G66" s="362" t="b">
        <v>0</v>
      </c>
      <c r="H66" s="209"/>
      <c r="I66" s="209"/>
    </row>
    <row r="67">
      <c r="A67" s="205">
        <v>65.0</v>
      </c>
      <c r="B67" s="362" t="b">
        <v>0</v>
      </c>
      <c r="C67" s="207" t="s">
        <v>2245</v>
      </c>
      <c r="D67" s="208"/>
      <c r="E67" s="208"/>
      <c r="F67" s="209"/>
      <c r="G67" s="362" t="b">
        <v>0</v>
      </c>
      <c r="H67" s="209"/>
      <c r="I67" s="209"/>
    </row>
    <row r="68">
      <c r="A68" s="205">
        <v>66.0</v>
      </c>
      <c r="B68" s="362" t="b">
        <v>0</v>
      </c>
      <c r="C68" s="207" t="s">
        <v>2246</v>
      </c>
      <c r="D68" s="208"/>
      <c r="E68" s="208" t="s">
        <v>2247</v>
      </c>
      <c r="F68" s="209" t="s">
        <v>2248</v>
      </c>
      <c r="G68" s="362" t="b">
        <v>1</v>
      </c>
      <c r="H68" s="209"/>
      <c r="I68" s="209"/>
    </row>
    <row r="69">
      <c r="A69" s="205">
        <v>67.0</v>
      </c>
      <c r="B69" s="362" t="b">
        <v>0</v>
      </c>
      <c r="C69" s="207" t="s">
        <v>2249</v>
      </c>
      <c r="D69" s="208"/>
      <c r="E69" s="208" t="s">
        <v>2250</v>
      </c>
      <c r="F69" s="208" t="s">
        <v>2251</v>
      </c>
      <c r="G69" s="362" t="b">
        <v>1</v>
      </c>
      <c r="H69" s="209"/>
      <c r="I69" s="209"/>
    </row>
    <row r="70">
      <c r="A70" s="205">
        <v>68.0</v>
      </c>
      <c r="B70" s="362" t="b">
        <v>0</v>
      </c>
      <c r="C70" s="207" t="s">
        <v>2252</v>
      </c>
      <c r="D70" s="208"/>
      <c r="E70" s="208" t="s">
        <v>2253</v>
      </c>
      <c r="F70" s="209" t="s">
        <v>2254</v>
      </c>
      <c r="G70" s="362" t="b">
        <v>1</v>
      </c>
      <c r="H70" s="211" t="s">
        <v>2255</v>
      </c>
      <c r="I70" s="209"/>
    </row>
    <row r="71">
      <c r="A71" s="205">
        <v>69.0</v>
      </c>
      <c r="B71" s="362" t="b">
        <v>0</v>
      </c>
      <c r="C71" s="207" t="s">
        <v>2256</v>
      </c>
      <c r="D71" s="208"/>
      <c r="E71" s="208" t="s">
        <v>2257</v>
      </c>
      <c r="F71" s="209" t="s">
        <v>2258</v>
      </c>
      <c r="G71" s="362" t="b">
        <v>1</v>
      </c>
      <c r="H71" s="211" t="s">
        <v>2259</v>
      </c>
      <c r="I71" s="209"/>
    </row>
    <row r="72">
      <c r="A72" s="205">
        <v>70.0</v>
      </c>
      <c r="B72" s="362" t="b">
        <v>0</v>
      </c>
      <c r="C72" s="207" t="s">
        <v>2260</v>
      </c>
      <c r="D72" s="208"/>
      <c r="E72" s="208" t="s">
        <v>2261</v>
      </c>
      <c r="F72" s="209" t="s">
        <v>2262</v>
      </c>
      <c r="G72" s="362" t="b">
        <v>1</v>
      </c>
      <c r="H72" s="209"/>
      <c r="I72" s="209"/>
    </row>
    <row r="73">
      <c r="A73" s="205">
        <v>71.0</v>
      </c>
      <c r="B73" s="362" t="b">
        <v>0</v>
      </c>
      <c r="C73" s="207" t="s">
        <v>2263</v>
      </c>
      <c r="D73" s="208"/>
      <c r="E73" s="208" t="s">
        <v>2264</v>
      </c>
      <c r="F73" s="209" t="s">
        <v>2265</v>
      </c>
      <c r="G73" s="362" t="b">
        <v>1</v>
      </c>
      <c r="H73" s="209"/>
      <c r="I73" s="209"/>
    </row>
    <row r="74">
      <c r="A74" s="205">
        <v>72.0</v>
      </c>
      <c r="B74" s="362" t="b">
        <v>0</v>
      </c>
      <c r="C74" s="207" t="s">
        <v>2266</v>
      </c>
      <c r="D74" s="208"/>
      <c r="E74" s="208" t="s">
        <v>2267</v>
      </c>
      <c r="F74" s="209" t="s">
        <v>2268</v>
      </c>
      <c r="G74" s="362" t="b">
        <v>1</v>
      </c>
      <c r="H74" s="209"/>
      <c r="I74" s="209"/>
    </row>
    <row r="75">
      <c r="A75" s="205">
        <v>73.0</v>
      </c>
      <c r="B75" s="362" t="b">
        <v>0</v>
      </c>
      <c r="C75" s="207" t="s">
        <v>2269</v>
      </c>
      <c r="D75" s="208"/>
      <c r="E75" s="217" t="s">
        <v>2270</v>
      </c>
      <c r="F75" s="209" t="s">
        <v>2271</v>
      </c>
      <c r="G75" s="362" t="b">
        <v>1</v>
      </c>
      <c r="H75" s="209"/>
      <c r="I75" s="209"/>
    </row>
    <row r="76">
      <c r="A76" s="205">
        <v>74.0</v>
      </c>
      <c r="B76" s="362" t="b">
        <v>0</v>
      </c>
      <c r="C76" s="336" t="s">
        <v>2272</v>
      </c>
      <c r="D76" s="208"/>
      <c r="E76" s="208" t="s">
        <v>2273</v>
      </c>
      <c r="F76" s="209" t="s">
        <v>2274</v>
      </c>
      <c r="G76" s="362" t="b">
        <v>1</v>
      </c>
      <c r="H76" s="209"/>
      <c r="I76" s="209"/>
    </row>
    <row r="77">
      <c r="A77" s="205">
        <v>75.0</v>
      </c>
      <c r="B77" s="362" t="b">
        <v>0</v>
      </c>
      <c r="C77" s="207" t="s">
        <v>2275</v>
      </c>
      <c r="D77" s="208"/>
      <c r="E77" s="217" t="s">
        <v>2276</v>
      </c>
      <c r="F77" s="208" t="s">
        <v>2277</v>
      </c>
      <c r="G77" s="362" t="b">
        <v>1</v>
      </c>
      <c r="H77" s="209"/>
      <c r="I77" s="209"/>
    </row>
    <row r="78">
      <c r="A78" s="205">
        <v>76.0</v>
      </c>
      <c r="B78" s="362" t="b">
        <v>0</v>
      </c>
      <c r="C78" s="207" t="s">
        <v>2278</v>
      </c>
      <c r="D78" s="208"/>
      <c r="E78" s="208">
        <v>4.47786959201E11</v>
      </c>
      <c r="F78" s="209" t="s">
        <v>2279</v>
      </c>
      <c r="G78" s="362" t="b">
        <v>1</v>
      </c>
      <c r="H78" s="209"/>
      <c r="I78" s="209"/>
    </row>
    <row r="79">
      <c r="A79" s="205">
        <v>77.0</v>
      </c>
      <c r="B79" s="362" t="b">
        <v>0</v>
      </c>
      <c r="C79" s="207" t="s">
        <v>2280</v>
      </c>
      <c r="D79" s="208"/>
      <c r="E79" s="208" t="s">
        <v>2281</v>
      </c>
      <c r="F79" s="209" t="s">
        <v>2282</v>
      </c>
      <c r="G79" s="362" t="b">
        <v>1</v>
      </c>
      <c r="H79" s="209"/>
      <c r="I79" s="209"/>
    </row>
    <row r="80">
      <c r="A80" s="205">
        <v>78.0</v>
      </c>
      <c r="B80" s="362" t="b">
        <v>0</v>
      </c>
      <c r="C80" s="207" t="s">
        <v>2283</v>
      </c>
      <c r="D80" s="208"/>
      <c r="E80" s="208" t="s">
        <v>2284</v>
      </c>
      <c r="F80" s="209" t="s">
        <v>2285</v>
      </c>
      <c r="G80" s="362" t="b">
        <v>1</v>
      </c>
      <c r="H80" s="209"/>
      <c r="I80" s="209"/>
    </row>
    <row r="81">
      <c r="A81" s="205">
        <v>79.0</v>
      </c>
      <c r="B81" s="362" t="b">
        <v>0</v>
      </c>
      <c r="C81" s="207" t="s">
        <v>2286</v>
      </c>
      <c r="D81" s="208"/>
      <c r="E81" s="208"/>
      <c r="F81" s="209"/>
      <c r="G81" s="362" t="b">
        <v>0</v>
      </c>
      <c r="H81" s="209"/>
      <c r="I81" s="209"/>
    </row>
    <row r="82">
      <c r="A82" s="205">
        <v>80.0</v>
      </c>
      <c r="B82" s="362" t="b">
        <v>0</v>
      </c>
      <c r="C82" s="207" t="s">
        <v>2287</v>
      </c>
      <c r="D82" s="208"/>
      <c r="E82" s="208" t="s">
        <v>2288</v>
      </c>
      <c r="F82" s="209"/>
      <c r="G82" s="362" t="b">
        <v>0</v>
      </c>
      <c r="H82" s="209"/>
      <c r="I82" s="209"/>
    </row>
    <row r="83">
      <c r="A83" s="205">
        <v>81.0</v>
      </c>
      <c r="B83" s="362" t="b">
        <v>0</v>
      </c>
      <c r="C83" s="336" t="s">
        <v>2289</v>
      </c>
      <c r="D83" s="208"/>
      <c r="E83" s="217"/>
      <c r="F83" s="209" t="s">
        <v>2290</v>
      </c>
      <c r="G83" s="362" t="b">
        <v>0</v>
      </c>
      <c r="H83" s="209"/>
      <c r="I83" s="209"/>
    </row>
    <row r="84">
      <c r="A84" s="205">
        <v>82.0</v>
      </c>
      <c r="B84" s="362" t="b">
        <v>0</v>
      </c>
      <c r="C84" s="207" t="s">
        <v>2291</v>
      </c>
      <c r="D84" s="208"/>
      <c r="E84" s="217" t="s">
        <v>2292</v>
      </c>
      <c r="F84" s="209" t="s">
        <v>2293</v>
      </c>
      <c r="G84" s="362" t="b">
        <v>0</v>
      </c>
      <c r="H84" s="209"/>
      <c r="I84" s="209"/>
    </row>
    <row r="85">
      <c r="A85" s="205">
        <v>83.0</v>
      </c>
      <c r="B85" s="362" t="b">
        <v>0</v>
      </c>
      <c r="C85" s="207" t="s">
        <v>2294</v>
      </c>
      <c r="D85" s="208"/>
      <c r="E85" s="208" t="s">
        <v>2295</v>
      </c>
      <c r="F85" s="209" t="s">
        <v>2296</v>
      </c>
      <c r="G85" s="362" t="b">
        <v>0</v>
      </c>
      <c r="H85" s="209"/>
      <c r="I85" s="209"/>
    </row>
    <row r="86" ht="29.25" customHeight="1">
      <c r="A86" s="205">
        <v>84.0</v>
      </c>
      <c r="B86" s="362" t="b">
        <v>0</v>
      </c>
      <c r="C86" s="337" t="s">
        <v>2297</v>
      </c>
      <c r="D86" s="53"/>
      <c r="E86" s="53"/>
      <c r="F86" s="53"/>
      <c r="G86" s="53"/>
      <c r="H86" s="53"/>
      <c r="I86" s="202"/>
    </row>
    <row r="87">
      <c r="A87" s="205">
        <v>85.0</v>
      </c>
      <c r="B87" s="362" t="b">
        <v>0</v>
      </c>
      <c r="C87" s="207" t="s">
        <v>2298</v>
      </c>
      <c r="D87" s="208"/>
      <c r="E87" s="208" t="s">
        <v>2299</v>
      </c>
      <c r="F87" s="209"/>
      <c r="G87" s="362" t="b">
        <v>1</v>
      </c>
      <c r="H87" s="209"/>
      <c r="I87" s="209"/>
    </row>
    <row r="88">
      <c r="A88" s="205">
        <v>86.0</v>
      </c>
      <c r="B88" s="362" t="b">
        <v>0</v>
      </c>
      <c r="C88" s="207" t="s">
        <v>2300</v>
      </c>
      <c r="D88" s="208"/>
      <c r="E88" s="208" t="s">
        <v>2301</v>
      </c>
      <c r="F88" s="209" t="s">
        <v>2302</v>
      </c>
      <c r="G88" s="362" t="b">
        <v>1</v>
      </c>
      <c r="H88" s="209"/>
      <c r="I88" s="209"/>
    </row>
    <row r="89">
      <c r="A89" s="205">
        <v>87.0</v>
      </c>
      <c r="B89" s="362" t="b">
        <v>0</v>
      </c>
      <c r="C89" s="207" t="s">
        <v>2303</v>
      </c>
      <c r="D89" s="208"/>
      <c r="E89" s="208" t="s">
        <v>2304</v>
      </c>
      <c r="F89" s="209" t="s">
        <v>2305</v>
      </c>
      <c r="G89" s="362" t="b">
        <v>1</v>
      </c>
      <c r="H89" s="209"/>
      <c r="I89" s="209"/>
    </row>
    <row r="90">
      <c r="A90" s="205">
        <v>88.0</v>
      </c>
      <c r="B90" s="362" t="b">
        <v>0</v>
      </c>
      <c r="C90" s="207" t="s">
        <v>2306</v>
      </c>
      <c r="D90" s="208"/>
      <c r="E90" s="208" t="s">
        <v>2307</v>
      </c>
      <c r="F90" s="209" t="s">
        <v>2308</v>
      </c>
      <c r="G90" s="362" t="b">
        <v>1</v>
      </c>
      <c r="H90" s="209"/>
      <c r="I90" s="209"/>
    </row>
    <row r="91">
      <c r="A91" s="205">
        <v>89.0</v>
      </c>
      <c r="B91" s="362" t="b">
        <v>0</v>
      </c>
      <c r="C91" s="207" t="s">
        <v>2309</v>
      </c>
      <c r="D91" s="208"/>
      <c r="E91" s="208" t="s">
        <v>2310</v>
      </c>
      <c r="F91" s="209" t="s">
        <v>2311</v>
      </c>
      <c r="G91" s="362" t="b">
        <v>1</v>
      </c>
      <c r="H91" s="209"/>
      <c r="I91" s="209"/>
    </row>
    <row r="92">
      <c r="A92" s="205">
        <v>90.0</v>
      </c>
      <c r="B92" s="362" t="b">
        <v>0</v>
      </c>
      <c r="C92" s="207" t="s">
        <v>2312</v>
      </c>
      <c r="D92" s="338" t="s">
        <v>2313</v>
      </c>
      <c r="E92" s="338" t="s">
        <v>2314</v>
      </c>
      <c r="F92" s="339" t="s">
        <v>2315</v>
      </c>
      <c r="G92" s="362" t="b">
        <v>1</v>
      </c>
      <c r="H92" s="340" t="s">
        <v>2316</v>
      </c>
      <c r="I92" s="339" t="s">
        <v>2317</v>
      </c>
    </row>
    <row r="93">
      <c r="A93" s="205">
        <v>91.0</v>
      </c>
      <c r="B93" s="362" t="b">
        <v>0</v>
      </c>
      <c r="C93" s="341" t="s">
        <v>2318</v>
      </c>
      <c r="D93" s="208" t="s">
        <v>2319</v>
      </c>
      <c r="E93" s="208" t="s">
        <v>2319</v>
      </c>
      <c r="F93" s="209" t="s">
        <v>2319</v>
      </c>
      <c r="G93" s="362" t="b">
        <v>0</v>
      </c>
      <c r="H93" s="209" t="s">
        <v>2319</v>
      </c>
      <c r="I93" s="209" t="s">
        <v>2319</v>
      </c>
    </row>
    <row r="94">
      <c r="A94" s="205">
        <v>92.0</v>
      </c>
      <c r="B94" s="362" t="b">
        <v>0</v>
      </c>
      <c r="C94" s="207" t="s">
        <v>2319</v>
      </c>
      <c r="D94" s="208"/>
      <c r="E94" s="208"/>
      <c r="F94" s="209"/>
      <c r="G94" s="362" t="b">
        <v>0</v>
      </c>
      <c r="H94" s="209"/>
      <c r="I94" s="209"/>
    </row>
    <row r="95">
      <c r="A95" s="205">
        <v>93.0</v>
      </c>
      <c r="B95" s="362" t="b">
        <v>0</v>
      </c>
      <c r="C95" s="207"/>
      <c r="D95" s="208" t="s">
        <v>2320</v>
      </c>
      <c r="E95" s="208" t="s">
        <v>2321</v>
      </c>
      <c r="F95" s="209" t="s">
        <v>2322</v>
      </c>
      <c r="G95" s="362" t="b">
        <v>0</v>
      </c>
      <c r="H95" s="209" t="s">
        <v>2323</v>
      </c>
      <c r="I95" s="209" t="s">
        <v>2324</v>
      </c>
    </row>
    <row r="96">
      <c r="A96" s="205">
        <v>94.0</v>
      </c>
      <c r="B96" s="362" t="b">
        <v>0</v>
      </c>
      <c r="C96" s="207" t="s">
        <v>2325</v>
      </c>
      <c r="D96" s="208"/>
      <c r="E96" s="208" t="s">
        <v>2326</v>
      </c>
      <c r="F96" s="209"/>
      <c r="G96" s="362" t="b">
        <v>0</v>
      </c>
      <c r="H96" s="209"/>
      <c r="I96" s="209"/>
    </row>
    <row r="97">
      <c r="A97" s="205">
        <v>95.0</v>
      </c>
      <c r="B97" s="362" t="b">
        <v>0</v>
      </c>
      <c r="C97" s="207"/>
      <c r="D97" s="208"/>
      <c r="E97" s="338" t="s">
        <v>2327</v>
      </c>
      <c r="F97" s="339" t="s">
        <v>2328</v>
      </c>
      <c r="G97" s="362" t="b">
        <v>0</v>
      </c>
      <c r="H97" s="339" t="s">
        <v>2329</v>
      </c>
      <c r="I97" s="209"/>
    </row>
    <row r="98">
      <c r="A98" s="205">
        <v>96.0</v>
      </c>
      <c r="B98" s="362" t="b">
        <v>0</v>
      </c>
      <c r="C98" s="207"/>
      <c r="D98" s="208"/>
      <c r="E98" s="208" t="s">
        <v>2319</v>
      </c>
      <c r="F98" s="209" t="s">
        <v>2319</v>
      </c>
      <c r="G98" s="362" t="b">
        <v>1</v>
      </c>
      <c r="H98" s="209" t="s">
        <v>2319</v>
      </c>
      <c r="I98" s="209"/>
    </row>
    <row r="99">
      <c r="A99" s="205">
        <v>97.0</v>
      </c>
      <c r="B99" s="362" t="b">
        <v>0</v>
      </c>
      <c r="C99" s="207"/>
      <c r="D99" s="208"/>
      <c r="E99" s="208"/>
      <c r="F99" s="209"/>
      <c r="G99" s="362" t="b">
        <v>0</v>
      </c>
      <c r="H99" s="209"/>
      <c r="I99" s="209"/>
    </row>
    <row r="100">
      <c r="A100" s="205">
        <v>98.0</v>
      </c>
      <c r="B100" s="362" t="b">
        <v>0</v>
      </c>
      <c r="C100" s="207"/>
      <c r="D100" s="208"/>
      <c r="E100" s="208" t="s">
        <v>2330</v>
      </c>
      <c r="F100" s="209" t="s">
        <v>2331</v>
      </c>
      <c r="G100" s="362" t="b">
        <v>0</v>
      </c>
      <c r="H100" s="209" t="s">
        <v>2332</v>
      </c>
      <c r="I100" s="209"/>
    </row>
    <row r="101">
      <c r="A101" s="205">
        <v>99.0</v>
      </c>
      <c r="B101" s="362" t="b">
        <v>0</v>
      </c>
      <c r="C101" s="207" t="s">
        <v>2333</v>
      </c>
      <c r="D101" s="208"/>
      <c r="E101" s="208" t="s">
        <v>2334</v>
      </c>
      <c r="F101" s="209" t="s">
        <v>2335</v>
      </c>
      <c r="G101" s="362" t="b">
        <v>0</v>
      </c>
      <c r="H101" s="209"/>
      <c r="I101" s="209"/>
    </row>
    <row r="102">
      <c r="A102" s="205">
        <v>100.0</v>
      </c>
      <c r="B102" s="362" t="b">
        <v>0</v>
      </c>
      <c r="C102" s="207" t="s">
        <v>2336</v>
      </c>
      <c r="D102" s="208"/>
      <c r="E102" s="208" t="s">
        <v>2337</v>
      </c>
      <c r="F102" s="209" t="s">
        <v>2338</v>
      </c>
      <c r="G102" s="362" t="b">
        <v>0</v>
      </c>
      <c r="H102" s="209"/>
      <c r="I102" s="209"/>
    </row>
    <row r="103">
      <c r="A103" s="205">
        <v>101.0</v>
      </c>
      <c r="B103" s="362" t="b">
        <v>0</v>
      </c>
      <c r="C103" s="207" t="s">
        <v>2339</v>
      </c>
      <c r="D103" s="208"/>
      <c r="E103" s="208" t="s">
        <v>2340</v>
      </c>
      <c r="F103" s="209" t="s">
        <v>2341</v>
      </c>
      <c r="G103" s="362" t="b">
        <v>0</v>
      </c>
      <c r="H103" s="209"/>
      <c r="I103" s="209"/>
    </row>
    <row r="104">
      <c r="A104" s="205">
        <v>102.0</v>
      </c>
      <c r="B104" s="362" t="b">
        <v>0</v>
      </c>
      <c r="C104" s="207"/>
      <c r="D104" s="208"/>
      <c r="E104" s="208"/>
      <c r="F104" s="209" t="s">
        <v>2342</v>
      </c>
      <c r="G104" s="362" t="b">
        <v>0</v>
      </c>
      <c r="H104" s="209"/>
      <c r="I104" s="209"/>
    </row>
    <row r="105">
      <c r="A105" s="205">
        <v>103.0</v>
      </c>
      <c r="B105" s="362" t="b">
        <v>0</v>
      </c>
      <c r="C105" s="336" t="s">
        <v>2343</v>
      </c>
      <c r="D105" s="208"/>
      <c r="E105" s="208" t="s">
        <v>2344</v>
      </c>
      <c r="F105" s="209" t="s">
        <v>2345</v>
      </c>
      <c r="G105" s="362" t="b">
        <v>0</v>
      </c>
      <c r="H105" s="209"/>
      <c r="I105" s="209"/>
    </row>
    <row r="106">
      <c r="A106" s="205">
        <v>104.0</v>
      </c>
      <c r="B106" s="362" t="b">
        <v>0</v>
      </c>
      <c r="C106" s="207" t="s">
        <v>2346</v>
      </c>
      <c r="D106" s="208"/>
      <c r="E106" s="338" t="s">
        <v>2347</v>
      </c>
      <c r="F106" s="339" t="s">
        <v>2348</v>
      </c>
      <c r="G106" s="362" t="b">
        <v>0</v>
      </c>
      <c r="H106" s="209"/>
      <c r="I106" s="209"/>
    </row>
    <row r="107">
      <c r="A107" s="205">
        <v>105.0</v>
      </c>
      <c r="B107" s="362" t="b">
        <v>0</v>
      </c>
      <c r="C107" s="207"/>
      <c r="D107" s="208"/>
      <c r="E107" s="208" t="s">
        <v>2349</v>
      </c>
      <c r="F107" s="209" t="s">
        <v>2349</v>
      </c>
      <c r="G107" s="362" t="b">
        <v>0</v>
      </c>
      <c r="H107" s="209"/>
      <c r="I107" s="209"/>
    </row>
    <row r="108">
      <c r="A108" s="205">
        <v>106.0</v>
      </c>
      <c r="B108" s="362" t="b">
        <v>0</v>
      </c>
      <c r="C108" s="207"/>
      <c r="D108" s="208"/>
      <c r="E108" s="208" t="s">
        <v>2350</v>
      </c>
      <c r="F108" s="209" t="s">
        <v>2350</v>
      </c>
      <c r="G108" s="362" t="b">
        <v>1</v>
      </c>
      <c r="H108" s="209"/>
      <c r="I108" s="209"/>
    </row>
    <row r="109">
      <c r="A109" s="205">
        <v>107.0</v>
      </c>
      <c r="B109" s="362" t="b">
        <v>0</v>
      </c>
      <c r="C109" s="207" t="s">
        <v>2351</v>
      </c>
      <c r="D109" s="208"/>
      <c r="E109" s="208" t="s">
        <v>2352</v>
      </c>
      <c r="F109" s="209" t="s">
        <v>2353</v>
      </c>
      <c r="G109" s="362" t="b">
        <v>1</v>
      </c>
      <c r="H109" s="209"/>
      <c r="I109" s="209"/>
    </row>
    <row r="110">
      <c r="A110" s="205">
        <v>108.0</v>
      </c>
      <c r="B110" s="362" t="b">
        <v>0</v>
      </c>
      <c r="C110" s="207" t="s">
        <v>2354</v>
      </c>
      <c r="D110" s="208"/>
      <c r="E110" s="217" t="s">
        <v>2355</v>
      </c>
      <c r="F110" s="209" t="s">
        <v>2356</v>
      </c>
      <c r="G110" s="362" t="b">
        <v>1</v>
      </c>
      <c r="H110" s="209"/>
      <c r="I110" s="209"/>
    </row>
    <row r="111">
      <c r="A111" s="205">
        <v>109.0</v>
      </c>
      <c r="B111" s="362" t="b">
        <v>0</v>
      </c>
      <c r="C111" s="207" t="s">
        <v>2357</v>
      </c>
      <c r="D111" s="208"/>
      <c r="E111" s="208" t="s">
        <v>2358</v>
      </c>
      <c r="F111" s="209" t="s">
        <v>2359</v>
      </c>
      <c r="G111" s="362" t="b">
        <v>1</v>
      </c>
      <c r="H111" s="209"/>
      <c r="I111" s="209"/>
    </row>
    <row r="112">
      <c r="A112" s="205">
        <v>110.0</v>
      </c>
      <c r="B112" s="362" t="b">
        <v>0</v>
      </c>
      <c r="C112" s="207" t="s">
        <v>2360</v>
      </c>
      <c r="D112" s="208"/>
      <c r="E112" s="208" t="s">
        <v>2361</v>
      </c>
      <c r="F112" s="209" t="s">
        <v>2362</v>
      </c>
      <c r="G112" s="362" t="b">
        <v>1</v>
      </c>
      <c r="H112" s="209"/>
      <c r="I112" s="209"/>
    </row>
    <row r="113">
      <c r="A113" s="205">
        <v>111.0</v>
      </c>
      <c r="B113" s="362" t="b">
        <v>0</v>
      </c>
      <c r="C113" s="207" t="s">
        <v>2363</v>
      </c>
      <c r="D113" s="208"/>
      <c r="E113" s="208" t="s">
        <v>2364</v>
      </c>
      <c r="F113" s="209" t="s">
        <v>2365</v>
      </c>
      <c r="G113" s="362" t="b">
        <v>1</v>
      </c>
      <c r="H113" s="209"/>
      <c r="I113" s="209"/>
    </row>
    <row r="114">
      <c r="A114" s="205">
        <v>112.0</v>
      </c>
      <c r="B114" s="362" t="b">
        <v>0</v>
      </c>
      <c r="C114" s="207" t="s">
        <v>2187</v>
      </c>
      <c r="D114" s="208"/>
      <c r="E114" s="208" t="s">
        <v>2188</v>
      </c>
      <c r="F114" s="209" t="s">
        <v>2189</v>
      </c>
      <c r="G114" s="362" t="b">
        <v>1</v>
      </c>
      <c r="H114" s="209"/>
      <c r="I114" s="209"/>
    </row>
    <row r="115">
      <c r="A115" s="205">
        <v>113.0</v>
      </c>
      <c r="B115" s="362" t="b">
        <v>0</v>
      </c>
      <c r="C115" s="207" t="s">
        <v>2366</v>
      </c>
      <c r="D115" s="208"/>
      <c r="E115" s="208" t="s">
        <v>2367</v>
      </c>
      <c r="F115" s="367"/>
      <c r="G115" s="362" t="b">
        <v>1</v>
      </c>
      <c r="H115" s="209"/>
      <c r="I115" s="209"/>
    </row>
    <row r="116">
      <c r="A116" s="205">
        <v>114.0</v>
      </c>
      <c r="B116" s="362" t="b">
        <v>0</v>
      </c>
      <c r="C116" s="207" t="s">
        <v>2368</v>
      </c>
      <c r="D116" s="208"/>
      <c r="E116" s="208"/>
      <c r="F116" s="211" t="s">
        <v>2369</v>
      </c>
      <c r="G116" s="362" t="b">
        <v>1</v>
      </c>
      <c r="H116" s="209"/>
      <c r="I116" s="209"/>
    </row>
    <row r="117">
      <c r="A117" s="205">
        <v>115.0</v>
      </c>
      <c r="B117" s="362" t="b">
        <v>0</v>
      </c>
      <c r="C117" s="207" t="s">
        <v>2370</v>
      </c>
      <c r="D117" s="208"/>
      <c r="E117" s="208" t="s">
        <v>2371</v>
      </c>
      <c r="F117" s="209" t="s">
        <v>2302</v>
      </c>
      <c r="G117" s="362" t="b">
        <v>1</v>
      </c>
      <c r="H117" s="209"/>
      <c r="I117" s="209"/>
    </row>
    <row r="118">
      <c r="A118" s="205">
        <v>116.0</v>
      </c>
      <c r="B118" s="362" t="b">
        <v>0</v>
      </c>
      <c r="C118" s="305" t="s">
        <v>2373</v>
      </c>
      <c r="D118" s="208"/>
      <c r="E118" s="208" t="s">
        <v>2374</v>
      </c>
      <c r="F118" s="209" t="s">
        <v>2305</v>
      </c>
      <c r="G118" s="362" t="b">
        <v>1</v>
      </c>
      <c r="H118" s="209"/>
      <c r="I118" s="209"/>
    </row>
    <row r="119">
      <c r="A119" s="205">
        <v>117.0</v>
      </c>
      <c r="B119" s="362" t="b">
        <v>0</v>
      </c>
      <c r="C119" s="207" t="s">
        <v>2376</v>
      </c>
      <c r="D119" s="208"/>
      <c r="E119" s="208" t="s">
        <v>2377</v>
      </c>
      <c r="F119" s="209" t="s">
        <v>2308</v>
      </c>
      <c r="G119" s="362" t="b">
        <v>0</v>
      </c>
      <c r="H119" s="209"/>
      <c r="I119" s="209"/>
    </row>
    <row r="120">
      <c r="A120" s="205">
        <v>118.0</v>
      </c>
      <c r="B120" s="362" t="b">
        <v>0</v>
      </c>
      <c r="C120" s="207" t="s">
        <v>2235</v>
      </c>
      <c r="D120" s="208"/>
      <c r="E120" s="208"/>
      <c r="F120" s="209" t="s">
        <v>2311</v>
      </c>
      <c r="G120" s="362" t="b">
        <v>0</v>
      </c>
      <c r="H120" s="209"/>
      <c r="I120" s="209"/>
    </row>
    <row r="121">
      <c r="A121" s="205">
        <v>119.0</v>
      </c>
      <c r="B121" s="362" t="b">
        <v>0</v>
      </c>
      <c r="C121" s="207" t="s">
        <v>2378</v>
      </c>
      <c r="D121" s="208"/>
      <c r="E121" s="208" t="s">
        <v>2379</v>
      </c>
      <c r="F121" s="209" t="s">
        <v>2302</v>
      </c>
      <c r="G121" s="362" t="b">
        <v>1</v>
      </c>
      <c r="H121" s="209"/>
      <c r="I121" s="209"/>
    </row>
    <row r="122">
      <c r="A122" s="205">
        <v>120.0</v>
      </c>
      <c r="B122" s="362" t="b">
        <v>0</v>
      </c>
      <c r="C122" s="207" t="s">
        <v>2381</v>
      </c>
      <c r="D122" s="208"/>
      <c r="E122" s="208" t="s">
        <v>2382</v>
      </c>
      <c r="F122" s="209" t="s">
        <v>2305</v>
      </c>
      <c r="G122" s="362" t="b">
        <v>1</v>
      </c>
      <c r="H122" s="209"/>
      <c r="I122" s="209"/>
    </row>
    <row r="123">
      <c r="A123" s="205">
        <v>121.0</v>
      </c>
      <c r="B123" s="362" t="b">
        <v>0</v>
      </c>
      <c r="C123" s="207" t="s">
        <v>2384</v>
      </c>
      <c r="D123" s="208"/>
      <c r="E123" s="208" t="s">
        <v>2385</v>
      </c>
      <c r="F123" s="209" t="s">
        <v>2308</v>
      </c>
      <c r="G123" s="362" t="b">
        <v>1</v>
      </c>
      <c r="H123" s="209"/>
      <c r="I123" s="209"/>
    </row>
    <row r="124">
      <c r="A124" s="205">
        <v>122.0</v>
      </c>
      <c r="B124" s="362" t="b">
        <v>0</v>
      </c>
      <c r="C124" s="207" t="s">
        <v>2387</v>
      </c>
      <c r="D124" s="208"/>
      <c r="E124" s="208"/>
      <c r="F124" s="209" t="s">
        <v>2311</v>
      </c>
      <c r="G124" s="362" t="b">
        <v>1</v>
      </c>
      <c r="H124" s="209"/>
      <c r="I124" s="209"/>
    </row>
    <row r="125">
      <c r="A125" s="205">
        <v>123.0</v>
      </c>
      <c r="B125" s="362" t="b">
        <v>0</v>
      </c>
      <c r="C125" s="207" t="s">
        <v>2275</v>
      </c>
      <c r="D125" s="208"/>
      <c r="E125" s="217" t="s">
        <v>2388</v>
      </c>
      <c r="F125" s="209" t="s">
        <v>2302</v>
      </c>
      <c r="G125" s="362" t="b">
        <v>1</v>
      </c>
      <c r="H125" s="211" t="s">
        <v>2389</v>
      </c>
      <c r="I125" s="209"/>
    </row>
    <row r="126">
      <c r="A126" s="205">
        <v>124.0</v>
      </c>
      <c r="B126" s="362" t="b">
        <v>0</v>
      </c>
      <c r="C126" s="207" t="s">
        <v>2390</v>
      </c>
      <c r="D126" s="208"/>
      <c r="E126" s="208">
        <v>9.7336773317E10</v>
      </c>
      <c r="F126" s="209" t="s">
        <v>2305</v>
      </c>
      <c r="G126" s="362" t="b">
        <v>1</v>
      </c>
      <c r="H126" s="209"/>
      <c r="I126" s="209"/>
    </row>
    <row r="127">
      <c r="A127" s="205">
        <v>125.0</v>
      </c>
      <c r="B127" s="362" t="b">
        <v>0</v>
      </c>
      <c r="C127" s="207" t="s">
        <v>2392</v>
      </c>
      <c r="D127" s="208"/>
      <c r="E127" s="208" t="s">
        <v>2393</v>
      </c>
      <c r="F127" s="209" t="s">
        <v>2308</v>
      </c>
      <c r="G127" s="362" t="b">
        <v>1</v>
      </c>
      <c r="H127" s="209"/>
      <c r="I127" s="209"/>
    </row>
    <row r="128">
      <c r="A128" s="205">
        <v>126.0</v>
      </c>
      <c r="B128" s="362" t="b">
        <v>0</v>
      </c>
      <c r="C128" s="207" t="s">
        <v>2395</v>
      </c>
      <c r="D128" s="208"/>
      <c r="E128" s="208">
        <v>8005454.0</v>
      </c>
      <c r="F128" s="209" t="s">
        <v>2311</v>
      </c>
      <c r="G128" s="362" t="b">
        <v>1</v>
      </c>
      <c r="H128" s="209"/>
      <c r="I128" s="209"/>
    </row>
    <row r="129">
      <c r="A129" s="205">
        <v>127.0</v>
      </c>
      <c r="B129" s="362" t="b">
        <v>0</v>
      </c>
      <c r="C129" s="207" t="s">
        <v>2397</v>
      </c>
      <c r="D129" s="208"/>
      <c r="E129" s="208" t="s">
        <v>2398</v>
      </c>
      <c r="F129" s="209" t="s">
        <v>2302</v>
      </c>
      <c r="G129" s="362" t="b">
        <v>1</v>
      </c>
      <c r="H129" s="209"/>
      <c r="I129" s="209"/>
    </row>
    <row r="130">
      <c r="A130" s="205">
        <v>128.0</v>
      </c>
      <c r="B130" s="362" t="b">
        <v>0</v>
      </c>
      <c r="C130" s="207" t="s">
        <v>2400</v>
      </c>
      <c r="D130" s="208"/>
      <c r="E130" s="208" t="s">
        <v>2401</v>
      </c>
      <c r="F130" s="209" t="s">
        <v>2305</v>
      </c>
      <c r="G130" s="362" t="b">
        <v>1</v>
      </c>
      <c r="H130" s="209"/>
      <c r="I130" s="209"/>
    </row>
    <row r="131">
      <c r="A131" s="205">
        <v>129.0</v>
      </c>
      <c r="B131" s="362" t="b">
        <v>0</v>
      </c>
      <c r="C131" s="207" t="s">
        <v>2402</v>
      </c>
      <c r="D131" s="208"/>
      <c r="E131" s="208" t="s">
        <v>2403</v>
      </c>
      <c r="F131" s="209" t="s">
        <v>2308</v>
      </c>
      <c r="G131" s="362" t="b">
        <v>1</v>
      </c>
      <c r="H131" s="209"/>
      <c r="I131" s="209"/>
    </row>
    <row r="132">
      <c r="A132" s="205">
        <v>130.0</v>
      </c>
      <c r="B132" s="362" t="b">
        <v>0</v>
      </c>
      <c r="C132" s="207" t="s">
        <v>2405</v>
      </c>
      <c r="D132" s="208"/>
      <c r="E132" s="208" t="s">
        <v>2406</v>
      </c>
      <c r="F132" s="209" t="s">
        <v>2311</v>
      </c>
      <c r="G132" s="362" t="b">
        <v>1</v>
      </c>
      <c r="H132" s="209"/>
      <c r="I132" s="209"/>
    </row>
    <row r="133">
      <c r="A133" s="205">
        <v>131.0</v>
      </c>
      <c r="B133" s="362" t="b">
        <v>0</v>
      </c>
      <c r="C133" s="207"/>
      <c r="D133" s="208"/>
      <c r="E133" s="208" t="s">
        <v>2407</v>
      </c>
      <c r="F133" s="209" t="s">
        <v>2408</v>
      </c>
      <c r="G133" s="362" t="b">
        <v>1</v>
      </c>
      <c r="H133" s="209"/>
      <c r="I133" s="209"/>
    </row>
    <row r="134">
      <c r="A134" s="205">
        <v>132.0</v>
      </c>
      <c r="B134" s="362" t="b">
        <v>0</v>
      </c>
      <c r="C134" s="207" t="s">
        <v>2409</v>
      </c>
      <c r="D134" s="208"/>
      <c r="E134" s="208" t="s">
        <v>2410</v>
      </c>
      <c r="F134" s="209" t="s">
        <v>2411</v>
      </c>
      <c r="G134" s="362" t="b">
        <v>1</v>
      </c>
      <c r="H134" s="209"/>
      <c r="I134" s="209"/>
    </row>
    <row r="135">
      <c r="A135" s="205">
        <v>133.0</v>
      </c>
      <c r="B135" s="362" t="b">
        <v>0</v>
      </c>
      <c r="C135" s="207" t="s">
        <v>2412</v>
      </c>
      <c r="D135" s="208"/>
      <c r="E135" s="208"/>
      <c r="F135" s="209"/>
      <c r="G135" s="209"/>
      <c r="H135" s="209"/>
      <c r="I135" s="209"/>
    </row>
    <row r="136">
      <c r="A136" s="205">
        <v>134.0</v>
      </c>
      <c r="B136" s="362" t="b">
        <v>0</v>
      </c>
      <c r="C136" s="342" t="s">
        <v>2413</v>
      </c>
      <c r="D136" s="322"/>
      <c r="E136" s="322" t="s">
        <v>2414</v>
      </c>
      <c r="F136" s="209"/>
      <c r="G136" s="209"/>
      <c r="H136" s="209"/>
      <c r="I136" s="209"/>
    </row>
    <row r="137">
      <c r="A137" s="205">
        <v>135.0</v>
      </c>
      <c r="B137" s="362" t="b">
        <v>0</v>
      </c>
      <c r="C137" s="328"/>
      <c r="D137" s="322"/>
      <c r="E137" s="322" t="s">
        <v>2415</v>
      </c>
      <c r="F137" s="209"/>
      <c r="G137" s="209"/>
      <c r="H137" s="209"/>
      <c r="I137" s="209"/>
    </row>
    <row r="138">
      <c r="A138" s="205">
        <v>136.0</v>
      </c>
      <c r="B138" s="362" t="b">
        <v>0</v>
      </c>
      <c r="C138" s="328"/>
      <c r="D138" s="322"/>
      <c r="E138" s="322" t="s">
        <v>2416</v>
      </c>
      <c r="F138" s="209"/>
      <c r="G138" s="209"/>
      <c r="H138" s="209"/>
      <c r="I138" s="209"/>
    </row>
    <row r="139">
      <c r="A139" s="205">
        <v>137.0</v>
      </c>
      <c r="B139" s="362" t="b">
        <v>0</v>
      </c>
      <c r="C139" s="328"/>
      <c r="D139" s="322"/>
      <c r="E139" s="322" t="s">
        <v>2417</v>
      </c>
      <c r="F139" s="209"/>
      <c r="G139" s="209"/>
      <c r="H139" s="209"/>
      <c r="I139" s="209"/>
    </row>
    <row r="140">
      <c r="A140" s="205">
        <v>138.0</v>
      </c>
      <c r="B140" s="362" t="b">
        <v>0</v>
      </c>
      <c r="C140" s="328"/>
      <c r="D140" s="322"/>
      <c r="E140" s="322" t="s">
        <v>2418</v>
      </c>
      <c r="F140" s="209"/>
      <c r="G140" s="209"/>
      <c r="H140" s="209"/>
      <c r="I140" s="209"/>
    </row>
    <row r="141">
      <c r="A141" s="205">
        <v>139.0</v>
      </c>
      <c r="B141" s="362" t="b">
        <v>0</v>
      </c>
      <c r="C141" s="328"/>
      <c r="D141" s="322"/>
      <c r="E141" s="322" t="s">
        <v>2417</v>
      </c>
      <c r="F141" s="209"/>
      <c r="G141" s="209"/>
      <c r="H141" s="209"/>
      <c r="I141" s="209"/>
    </row>
    <row r="142">
      <c r="A142" s="205">
        <v>140.0</v>
      </c>
      <c r="B142" s="362" t="b">
        <v>0</v>
      </c>
      <c r="C142" s="328"/>
      <c r="D142" s="322"/>
      <c r="E142" s="322" t="s">
        <v>2419</v>
      </c>
      <c r="F142" s="209"/>
      <c r="G142" s="209"/>
      <c r="H142" s="209"/>
      <c r="I142" s="209"/>
    </row>
    <row r="143">
      <c r="A143" s="205">
        <v>141.0</v>
      </c>
      <c r="B143" s="362" t="b">
        <v>0</v>
      </c>
      <c r="C143" s="328"/>
      <c r="D143" s="322"/>
      <c r="E143" s="322" t="s">
        <v>2415</v>
      </c>
      <c r="F143" s="209"/>
      <c r="G143" s="209"/>
      <c r="H143" s="209"/>
      <c r="I143" s="209"/>
    </row>
    <row r="144">
      <c r="A144" s="205">
        <v>142.0</v>
      </c>
      <c r="B144" s="362" t="b">
        <v>0</v>
      </c>
      <c r="C144" s="328"/>
      <c r="D144" s="322"/>
      <c r="E144" s="322" t="s">
        <v>2420</v>
      </c>
      <c r="F144" s="209"/>
      <c r="G144" s="209"/>
      <c r="H144" s="209"/>
      <c r="I144" s="209"/>
    </row>
    <row r="145">
      <c r="A145" s="205">
        <v>143.0</v>
      </c>
      <c r="B145" s="362" t="b">
        <v>0</v>
      </c>
      <c r="C145" s="329"/>
      <c r="D145" s="322"/>
      <c r="E145" s="322" t="s">
        <v>2421</v>
      </c>
      <c r="F145" s="209"/>
      <c r="G145" s="209"/>
      <c r="H145" s="209"/>
      <c r="I145" s="209"/>
    </row>
    <row r="146">
      <c r="A146" s="205">
        <v>144.0</v>
      </c>
      <c r="B146" s="362" t="b">
        <v>0</v>
      </c>
      <c r="C146" s="207" t="s">
        <v>2422</v>
      </c>
      <c r="D146" s="208"/>
      <c r="E146" s="208"/>
      <c r="F146" s="209"/>
      <c r="G146" s="209"/>
      <c r="H146" s="209"/>
      <c r="I146" s="209"/>
    </row>
    <row r="147">
      <c r="A147" s="205">
        <v>145.0</v>
      </c>
      <c r="B147" s="362" t="b">
        <v>0</v>
      </c>
      <c r="C147" s="207" t="s">
        <v>2423</v>
      </c>
      <c r="D147" s="208"/>
      <c r="E147" s="208" t="s">
        <v>2424</v>
      </c>
      <c r="F147" s="209" t="s">
        <v>2425</v>
      </c>
      <c r="G147" s="362" t="b">
        <v>1</v>
      </c>
      <c r="H147" s="209"/>
      <c r="I147" s="209"/>
    </row>
    <row r="148">
      <c r="A148" s="205">
        <v>146.0</v>
      </c>
      <c r="B148" s="362" t="b">
        <v>0</v>
      </c>
      <c r="C148" s="207" t="s">
        <v>2426</v>
      </c>
      <c r="D148" s="208"/>
      <c r="E148" s="208" t="s">
        <v>2427</v>
      </c>
      <c r="F148" s="209" t="s">
        <v>2428</v>
      </c>
      <c r="G148" s="362" t="b">
        <v>1</v>
      </c>
      <c r="H148" s="209"/>
      <c r="I148" s="209"/>
    </row>
    <row r="149">
      <c r="A149" s="205">
        <v>147.0</v>
      </c>
      <c r="B149" s="362" t="b">
        <v>0</v>
      </c>
      <c r="C149" s="207" t="s">
        <v>2429</v>
      </c>
      <c r="D149" s="208"/>
      <c r="E149" s="208" t="s">
        <v>2430</v>
      </c>
      <c r="F149" s="209" t="s">
        <v>2431</v>
      </c>
      <c r="G149" s="362" t="b">
        <v>1</v>
      </c>
      <c r="H149" s="209"/>
      <c r="I149" s="209"/>
    </row>
    <row r="150">
      <c r="A150" s="205">
        <v>148.0</v>
      </c>
      <c r="B150" s="362" t="b">
        <v>0</v>
      </c>
      <c r="C150" s="207" t="s">
        <v>2432</v>
      </c>
      <c r="D150" s="208"/>
      <c r="E150" s="214" t="s">
        <v>2433</v>
      </c>
      <c r="F150" s="209"/>
      <c r="G150" s="362" t="b">
        <v>0</v>
      </c>
      <c r="H150" s="209"/>
      <c r="I150" s="209"/>
    </row>
    <row r="151">
      <c r="A151" s="205">
        <v>149.0</v>
      </c>
      <c r="B151" s="362" t="b">
        <v>0</v>
      </c>
      <c r="C151" s="207" t="s">
        <v>2434</v>
      </c>
      <c r="D151" s="208"/>
      <c r="E151" s="208"/>
      <c r="F151" s="209"/>
      <c r="G151" s="362" t="b">
        <v>0</v>
      </c>
      <c r="H151" s="209"/>
      <c r="I151" s="209"/>
    </row>
    <row r="152">
      <c r="A152" s="205">
        <v>150.0</v>
      </c>
      <c r="B152" s="362" t="b">
        <v>0</v>
      </c>
      <c r="C152" s="207" t="s">
        <v>2435</v>
      </c>
      <c r="D152" s="208"/>
      <c r="E152" s="208"/>
      <c r="F152" s="209"/>
      <c r="G152" s="362" t="b">
        <v>0</v>
      </c>
      <c r="H152" s="209"/>
      <c r="I152" s="209"/>
    </row>
    <row r="153">
      <c r="A153" s="205">
        <v>151.0</v>
      </c>
      <c r="B153" s="362" t="b">
        <v>0</v>
      </c>
      <c r="C153" s="207" t="s">
        <v>2436</v>
      </c>
      <c r="D153" s="208"/>
      <c r="E153" s="208"/>
      <c r="F153" s="209"/>
      <c r="G153" s="362" t="b">
        <v>0</v>
      </c>
      <c r="H153" s="209"/>
      <c r="I153" s="209"/>
    </row>
    <row r="154">
      <c r="A154" s="205">
        <v>152.0</v>
      </c>
      <c r="B154" s="362" t="b">
        <v>0</v>
      </c>
      <c r="C154" s="207" t="s">
        <v>2437</v>
      </c>
      <c r="D154" s="208"/>
      <c r="E154" s="208"/>
      <c r="F154" s="209"/>
      <c r="G154" s="362" t="b">
        <v>0</v>
      </c>
      <c r="H154" s="209"/>
      <c r="I154" s="209"/>
    </row>
    <row r="155">
      <c r="A155" s="205">
        <v>153.0</v>
      </c>
      <c r="B155" s="362" t="b">
        <v>0</v>
      </c>
      <c r="C155" s="207" t="s">
        <v>2438</v>
      </c>
      <c r="D155" s="208"/>
      <c r="E155" s="208"/>
      <c r="F155" s="209"/>
      <c r="G155" s="362" t="b">
        <v>0</v>
      </c>
      <c r="H155" s="209"/>
      <c r="I155" s="209"/>
    </row>
    <row r="156">
      <c r="A156" s="205">
        <v>154.0</v>
      </c>
      <c r="B156" s="362" t="b">
        <v>0</v>
      </c>
      <c r="C156" s="207" t="s">
        <v>2439</v>
      </c>
      <c r="D156" s="208"/>
      <c r="E156" s="208"/>
      <c r="F156" s="209"/>
      <c r="G156" s="362" t="b">
        <v>0</v>
      </c>
      <c r="H156" s="209"/>
      <c r="I156" s="209"/>
    </row>
    <row r="157">
      <c r="A157" s="205">
        <v>155.0</v>
      </c>
      <c r="B157" s="362" t="b">
        <v>0</v>
      </c>
      <c r="C157" s="207" t="s">
        <v>2440</v>
      </c>
      <c r="D157" s="208"/>
      <c r="E157" s="208"/>
      <c r="F157" s="209"/>
      <c r="G157" s="362" t="b">
        <v>0</v>
      </c>
      <c r="H157" s="209"/>
      <c r="I157" s="209"/>
    </row>
    <row r="158">
      <c r="A158" s="205">
        <v>156.0</v>
      </c>
      <c r="B158" s="362" t="b">
        <v>0</v>
      </c>
      <c r="C158" s="207" t="s">
        <v>2441</v>
      </c>
      <c r="D158" s="208"/>
      <c r="E158" s="208" t="s">
        <v>2442</v>
      </c>
      <c r="F158" s="211" t="s">
        <v>2443</v>
      </c>
      <c r="G158" s="362" t="b">
        <v>0</v>
      </c>
      <c r="H158" s="209"/>
      <c r="I158" s="209"/>
    </row>
    <row r="159">
      <c r="A159" s="205">
        <v>157.0</v>
      </c>
      <c r="B159" s="362" t="b">
        <v>0</v>
      </c>
      <c r="C159" s="343" t="s">
        <v>2444</v>
      </c>
      <c r="D159" s="53"/>
      <c r="E159" s="53"/>
      <c r="F159" s="53"/>
      <c r="G159" s="53"/>
      <c r="H159" s="53"/>
      <c r="I159" s="202"/>
    </row>
    <row r="160">
      <c r="A160" s="205">
        <v>158.0</v>
      </c>
      <c r="B160" s="362" t="b">
        <v>0</v>
      </c>
      <c r="C160" s="207" t="s">
        <v>2445</v>
      </c>
      <c r="D160" s="208"/>
      <c r="E160" s="208"/>
      <c r="F160" s="209"/>
      <c r="G160" s="209"/>
      <c r="H160" s="209"/>
      <c r="I160" s="209"/>
    </row>
    <row r="161">
      <c r="A161" s="205">
        <v>159.0</v>
      </c>
      <c r="B161" s="362" t="b">
        <v>0</v>
      </c>
      <c r="C161" s="207" t="s">
        <v>2446</v>
      </c>
      <c r="D161" s="208"/>
      <c r="E161" s="208"/>
      <c r="F161" s="209"/>
      <c r="G161" s="209"/>
      <c r="H161" s="209"/>
      <c r="I161" s="209"/>
    </row>
    <row r="162">
      <c r="A162" s="205">
        <v>160.0</v>
      </c>
      <c r="B162" s="362" t="b">
        <v>0</v>
      </c>
      <c r="C162" s="336" t="s">
        <v>2447</v>
      </c>
      <c r="D162" s="208" t="s">
        <v>2448</v>
      </c>
      <c r="E162" s="208" t="s">
        <v>2449</v>
      </c>
      <c r="F162" s="209" t="s">
        <v>2450</v>
      </c>
      <c r="G162" s="362" t="b">
        <v>1</v>
      </c>
      <c r="H162" s="209"/>
      <c r="I162" s="209"/>
    </row>
    <row r="163">
      <c r="A163" s="205">
        <v>161.0</v>
      </c>
      <c r="B163" s="362" t="b">
        <v>0</v>
      </c>
      <c r="C163" s="220" t="s">
        <v>2451</v>
      </c>
      <c r="D163" s="326" t="s">
        <v>2452</v>
      </c>
      <c r="E163" s="326" t="s">
        <v>2453</v>
      </c>
      <c r="F163" s="327" t="s">
        <v>2454</v>
      </c>
      <c r="G163" s="362" t="b">
        <v>1</v>
      </c>
      <c r="H163" s="209"/>
      <c r="I163" s="209"/>
    </row>
    <row r="164">
      <c r="A164" s="205">
        <v>162.0</v>
      </c>
      <c r="B164" s="362" t="b">
        <v>0</v>
      </c>
      <c r="C164" s="220"/>
      <c r="D164" s="326" t="s">
        <v>2455</v>
      </c>
      <c r="E164" s="326">
        <v>9.05488342812E11</v>
      </c>
      <c r="F164" s="327"/>
      <c r="G164" s="362" t="b">
        <v>1</v>
      </c>
      <c r="H164" s="209"/>
      <c r="I164" s="209"/>
    </row>
    <row r="165">
      <c r="A165" s="205">
        <v>163.0</v>
      </c>
      <c r="B165" s="362" t="b">
        <v>0</v>
      </c>
      <c r="C165" s="207" t="s">
        <v>2456</v>
      </c>
      <c r="D165" s="208"/>
      <c r="E165" s="208" t="s">
        <v>2457</v>
      </c>
      <c r="F165" s="209" t="s">
        <v>2458</v>
      </c>
      <c r="G165" s="362" t="b">
        <v>1</v>
      </c>
      <c r="H165" s="209"/>
      <c r="I165" s="209"/>
    </row>
    <row r="166">
      <c r="A166" s="205">
        <v>164.0</v>
      </c>
      <c r="B166" s="362" t="b">
        <v>0</v>
      </c>
      <c r="C166" s="207" t="s">
        <v>2459</v>
      </c>
      <c r="D166" s="208"/>
      <c r="E166" s="208"/>
      <c r="F166" s="209" t="s">
        <v>2460</v>
      </c>
      <c r="G166" s="362" t="b">
        <v>1</v>
      </c>
      <c r="H166" s="209"/>
      <c r="I166" s="209"/>
    </row>
    <row r="167">
      <c r="A167" s="205">
        <v>165.0</v>
      </c>
      <c r="B167" s="362" t="b">
        <v>0</v>
      </c>
      <c r="C167" s="207" t="s">
        <v>2708</v>
      </c>
      <c r="D167" s="208"/>
      <c r="E167" s="208" t="s">
        <v>2709</v>
      </c>
      <c r="F167" s="209"/>
      <c r="G167" s="209"/>
      <c r="H167" s="209"/>
      <c r="I167" s="209"/>
    </row>
    <row r="168">
      <c r="A168" s="205">
        <v>166.0</v>
      </c>
      <c r="B168" s="362" t="b">
        <v>0</v>
      </c>
      <c r="C168" s="220" t="s">
        <v>2710</v>
      </c>
      <c r="D168" s="326" t="s">
        <v>2711</v>
      </c>
      <c r="E168" s="326" t="s">
        <v>2712</v>
      </c>
      <c r="F168" s="327" t="s">
        <v>2713</v>
      </c>
      <c r="G168" s="209"/>
      <c r="H168" s="209"/>
      <c r="I168" s="209"/>
    </row>
    <row r="169">
      <c r="A169" s="205">
        <v>167.0</v>
      </c>
      <c r="B169" s="362" t="b">
        <v>0</v>
      </c>
      <c r="C169" s="220"/>
      <c r="D169" s="326" t="s">
        <v>2714</v>
      </c>
      <c r="E169" s="326" t="s">
        <v>2715</v>
      </c>
      <c r="F169" s="327" t="s">
        <v>2716</v>
      </c>
      <c r="G169" s="209"/>
      <c r="H169" s="209"/>
      <c r="I169" s="209"/>
    </row>
    <row r="170">
      <c r="A170" s="205">
        <v>168.0</v>
      </c>
      <c r="B170" s="362" t="b">
        <v>0</v>
      </c>
      <c r="C170" s="220"/>
      <c r="D170" s="326" t="s">
        <v>2717</v>
      </c>
      <c r="E170" s="326" t="s">
        <v>2718</v>
      </c>
      <c r="F170" s="327" t="s">
        <v>2719</v>
      </c>
      <c r="G170" s="209"/>
      <c r="H170" s="209"/>
      <c r="I170" s="209"/>
    </row>
    <row r="171">
      <c r="A171" s="205">
        <v>169.0</v>
      </c>
      <c r="B171" s="362" t="b">
        <v>0</v>
      </c>
      <c r="C171" s="220"/>
      <c r="D171" s="326" t="s">
        <v>2720</v>
      </c>
      <c r="E171" s="326" t="s">
        <v>2721</v>
      </c>
      <c r="F171" s="327" t="s">
        <v>2722</v>
      </c>
      <c r="G171" s="209"/>
      <c r="H171" s="209"/>
      <c r="I171" s="209"/>
    </row>
    <row r="172">
      <c r="A172" s="205">
        <v>170.0</v>
      </c>
      <c r="B172" s="362" t="b">
        <v>0</v>
      </c>
      <c r="C172" s="207" t="s">
        <v>2723</v>
      </c>
      <c r="D172" s="208"/>
      <c r="E172" s="208"/>
      <c r="F172" s="209"/>
      <c r="G172" s="209"/>
      <c r="H172" s="209"/>
      <c r="I172" s="209"/>
    </row>
    <row r="173">
      <c r="A173" s="205">
        <v>171.0</v>
      </c>
      <c r="B173" s="362" t="b">
        <v>0</v>
      </c>
      <c r="C173" s="207" t="s">
        <v>2093</v>
      </c>
      <c r="D173" s="208" t="s">
        <v>2096</v>
      </c>
      <c r="E173" s="208" t="s">
        <v>2724</v>
      </c>
      <c r="F173" s="209" t="s">
        <v>2725</v>
      </c>
      <c r="G173" s="209"/>
      <c r="H173" s="209"/>
      <c r="I173" s="209"/>
    </row>
    <row r="174">
      <c r="A174" s="205">
        <v>172.0</v>
      </c>
      <c r="B174" s="362" t="b">
        <v>0</v>
      </c>
      <c r="C174" s="207" t="s">
        <v>2105</v>
      </c>
      <c r="D174" s="208"/>
      <c r="E174" s="208">
        <v>3.5121780222E11</v>
      </c>
      <c r="F174" s="209" t="s">
        <v>2726</v>
      </c>
      <c r="G174" s="209"/>
      <c r="H174" s="209"/>
      <c r="I174" s="209"/>
    </row>
    <row r="175">
      <c r="A175" s="205">
        <v>173.0</v>
      </c>
      <c r="B175" s="362" t="b">
        <v>0</v>
      </c>
      <c r="C175" s="207" t="s">
        <v>2108</v>
      </c>
      <c r="D175" s="208"/>
      <c r="E175" s="208"/>
      <c r="F175" s="209"/>
      <c r="G175" s="209"/>
      <c r="H175" s="209"/>
      <c r="I175" s="209"/>
    </row>
    <row r="176">
      <c r="A176" s="205">
        <v>174.0</v>
      </c>
      <c r="B176" s="362" t="b">
        <v>0</v>
      </c>
      <c r="C176" s="207" t="s">
        <v>2124</v>
      </c>
      <c r="D176" s="208"/>
      <c r="E176" s="208"/>
      <c r="F176" s="209"/>
      <c r="G176" s="209"/>
      <c r="H176" s="209"/>
      <c r="I176" s="209"/>
    </row>
    <row r="177">
      <c r="A177" s="205">
        <v>175.0</v>
      </c>
      <c r="B177" s="362" t="b">
        <v>0</v>
      </c>
      <c r="C177" s="207"/>
      <c r="D177" s="208"/>
      <c r="E177" s="208"/>
      <c r="F177" s="209"/>
      <c r="G177" s="209"/>
      <c r="H177" s="209"/>
      <c r="I177" s="209"/>
    </row>
    <row r="178">
      <c r="A178" s="205">
        <v>176.0</v>
      </c>
      <c r="B178" s="362" t="b">
        <v>0</v>
      </c>
      <c r="C178" s="207"/>
      <c r="D178" s="208"/>
      <c r="E178" s="208"/>
      <c r="F178" s="209"/>
      <c r="G178" s="209"/>
      <c r="H178" s="209"/>
      <c r="I178" s="209"/>
    </row>
    <row r="179">
      <c r="A179" s="205">
        <v>177.0</v>
      </c>
      <c r="B179" s="362" t="b">
        <v>0</v>
      </c>
      <c r="C179" s="207"/>
      <c r="D179" s="208"/>
      <c r="E179" s="208"/>
      <c r="F179" s="209"/>
      <c r="G179" s="209"/>
      <c r="H179" s="209"/>
      <c r="I179" s="209"/>
    </row>
    <row r="180">
      <c r="A180" s="205">
        <v>178.0</v>
      </c>
      <c r="B180" s="362" t="b">
        <v>0</v>
      </c>
      <c r="C180" s="207"/>
      <c r="D180" s="208"/>
      <c r="E180" s="208"/>
      <c r="F180" s="209"/>
      <c r="G180" s="209"/>
      <c r="H180" s="209"/>
      <c r="I180" s="209"/>
    </row>
    <row r="181">
      <c r="A181" s="205">
        <v>179.0</v>
      </c>
      <c r="B181" s="362" t="b">
        <v>0</v>
      </c>
      <c r="C181" s="207"/>
      <c r="D181" s="208"/>
      <c r="E181" s="208"/>
      <c r="F181" s="209"/>
      <c r="G181" s="209"/>
      <c r="H181" s="209"/>
      <c r="I181" s="209"/>
    </row>
    <row r="182">
      <c r="A182" s="205">
        <v>180.0</v>
      </c>
      <c r="B182" s="362" t="b">
        <v>0</v>
      </c>
      <c r="C182" s="207"/>
      <c r="D182" s="208"/>
      <c r="E182" s="208"/>
      <c r="F182" s="209"/>
      <c r="G182" s="209"/>
      <c r="H182" s="209"/>
      <c r="I182" s="209"/>
    </row>
    <row r="183">
      <c r="A183" s="205">
        <v>181.0</v>
      </c>
      <c r="B183" s="362" t="b">
        <v>0</v>
      </c>
      <c r="C183" s="207"/>
      <c r="D183" s="208"/>
      <c r="E183" s="208"/>
      <c r="F183" s="209"/>
      <c r="G183" s="209"/>
      <c r="H183" s="209"/>
      <c r="I183" s="209"/>
    </row>
    <row r="184">
      <c r="A184" s="205">
        <v>182.0</v>
      </c>
      <c r="B184" s="362" t="b">
        <v>0</v>
      </c>
      <c r="C184" s="207"/>
      <c r="D184" s="208"/>
      <c r="E184" s="208"/>
      <c r="F184" s="209"/>
      <c r="G184" s="209"/>
      <c r="H184" s="209"/>
      <c r="I184" s="209"/>
    </row>
    <row r="185">
      <c r="A185" s="205">
        <v>183.0</v>
      </c>
      <c r="B185" s="362" t="b">
        <v>0</v>
      </c>
      <c r="C185" s="207"/>
      <c r="D185" s="208"/>
      <c r="E185" s="208"/>
      <c r="F185" s="209"/>
      <c r="G185" s="209"/>
      <c r="H185" s="209"/>
      <c r="I185" s="209"/>
    </row>
    <row r="186">
      <c r="A186" s="205">
        <v>184.0</v>
      </c>
      <c r="B186" s="362" t="b">
        <v>0</v>
      </c>
      <c r="C186" s="207"/>
      <c r="D186" s="208"/>
      <c r="E186" s="208"/>
      <c r="F186" s="209"/>
      <c r="G186" s="209"/>
      <c r="H186" s="209"/>
      <c r="I186" s="209"/>
    </row>
    <row r="187">
      <c r="A187" s="205">
        <v>185.0</v>
      </c>
      <c r="B187" s="362" t="b">
        <v>0</v>
      </c>
      <c r="C187" s="207"/>
      <c r="D187" s="208"/>
      <c r="E187" s="208"/>
      <c r="F187" s="209"/>
      <c r="G187" s="209"/>
      <c r="H187" s="209"/>
      <c r="I187" s="209"/>
    </row>
    <row r="188">
      <c r="A188" s="205">
        <v>186.0</v>
      </c>
      <c r="B188" s="362" t="b">
        <v>0</v>
      </c>
      <c r="C188" s="207"/>
      <c r="D188" s="208"/>
      <c r="E188" s="208"/>
      <c r="F188" s="209"/>
      <c r="G188" s="209"/>
      <c r="H188" s="209"/>
      <c r="I188" s="209"/>
    </row>
    <row r="189">
      <c r="A189" s="205">
        <v>187.0</v>
      </c>
      <c r="B189" s="362" t="b">
        <v>0</v>
      </c>
      <c r="C189" s="207"/>
      <c r="D189" s="208"/>
      <c r="E189" s="208"/>
      <c r="F189" s="209"/>
      <c r="G189" s="209"/>
      <c r="H189" s="209"/>
      <c r="I189" s="209"/>
    </row>
    <row r="190">
      <c r="A190" s="205">
        <v>188.0</v>
      </c>
      <c r="B190" s="362" t="b">
        <v>0</v>
      </c>
      <c r="C190" s="207"/>
      <c r="D190" s="208"/>
      <c r="E190" s="208"/>
      <c r="F190" s="209"/>
      <c r="G190" s="209"/>
      <c r="H190" s="209"/>
      <c r="I190" s="209"/>
    </row>
    <row r="191">
      <c r="A191" s="205">
        <v>189.0</v>
      </c>
      <c r="B191" s="362" t="b">
        <v>0</v>
      </c>
      <c r="C191" s="207"/>
      <c r="D191" s="208"/>
      <c r="E191" s="208"/>
      <c r="F191" s="209"/>
      <c r="G191" s="209"/>
      <c r="H191" s="209"/>
      <c r="I191" s="209"/>
    </row>
    <row r="192">
      <c r="A192" s="205">
        <v>190.0</v>
      </c>
      <c r="B192" s="362" t="b">
        <v>0</v>
      </c>
      <c r="C192" s="207"/>
      <c r="D192" s="208"/>
      <c r="E192" s="208"/>
      <c r="F192" s="209"/>
      <c r="G192" s="209"/>
      <c r="H192" s="209"/>
      <c r="I192" s="209"/>
    </row>
    <row r="193">
      <c r="A193" s="205">
        <v>191.0</v>
      </c>
      <c r="B193" s="362" t="b">
        <v>0</v>
      </c>
      <c r="C193" s="207"/>
      <c r="D193" s="208"/>
      <c r="E193" s="208"/>
      <c r="F193" s="209"/>
      <c r="G193" s="209"/>
      <c r="H193" s="209"/>
      <c r="I193" s="209"/>
    </row>
    <row r="194">
      <c r="A194" s="205">
        <v>192.0</v>
      </c>
      <c r="B194" s="362" t="b">
        <v>0</v>
      </c>
      <c r="C194" s="207"/>
      <c r="D194" s="208"/>
      <c r="E194" s="208"/>
      <c r="F194" s="209"/>
      <c r="G194" s="209"/>
      <c r="H194" s="209"/>
      <c r="I194" s="209"/>
    </row>
    <row r="195">
      <c r="A195" s="205">
        <v>193.0</v>
      </c>
      <c r="B195" s="362" t="b">
        <v>0</v>
      </c>
      <c r="C195" s="207"/>
      <c r="D195" s="208"/>
      <c r="E195" s="208"/>
      <c r="F195" s="209"/>
      <c r="G195" s="209"/>
      <c r="H195" s="209"/>
      <c r="I195" s="209"/>
    </row>
    <row r="196">
      <c r="A196" s="205">
        <v>194.0</v>
      </c>
      <c r="B196" s="362" t="b">
        <v>0</v>
      </c>
      <c r="C196" s="207"/>
      <c r="D196" s="208"/>
      <c r="E196" s="208"/>
      <c r="F196" s="209"/>
      <c r="G196" s="209"/>
      <c r="H196" s="209"/>
      <c r="I196" s="209"/>
    </row>
    <row r="197">
      <c r="A197" s="205">
        <v>195.0</v>
      </c>
      <c r="B197" s="362" t="b">
        <v>0</v>
      </c>
      <c r="C197" s="207"/>
      <c r="D197" s="208"/>
      <c r="E197" s="208"/>
      <c r="F197" s="209"/>
      <c r="G197" s="209"/>
      <c r="H197" s="209"/>
      <c r="I197" s="209"/>
    </row>
    <row r="198">
      <c r="A198" s="205">
        <v>196.0</v>
      </c>
      <c r="B198" s="362" t="b">
        <v>0</v>
      </c>
      <c r="C198" s="207"/>
      <c r="D198" s="208"/>
      <c r="E198" s="208"/>
      <c r="F198" s="209"/>
      <c r="G198" s="209"/>
      <c r="H198" s="209"/>
      <c r="I198" s="209"/>
    </row>
    <row r="199">
      <c r="A199" s="205">
        <v>197.0</v>
      </c>
      <c r="B199" s="362" t="b">
        <v>0</v>
      </c>
      <c r="C199" s="207"/>
      <c r="D199" s="208"/>
      <c r="E199" s="208"/>
      <c r="F199" s="209"/>
      <c r="G199" s="209"/>
      <c r="H199" s="209"/>
      <c r="I199" s="209"/>
    </row>
    <row r="200">
      <c r="A200" s="205">
        <v>198.0</v>
      </c>
      <c r="B200" s="362" t="b">
        <v>0</v>
      </c>
      <c r="C200" s="207"/>
      <c r="D200" s="208"/>
      <c r="E200" s="208"/>
      <c r="F200" s="209"/>
      <c r="G200" s="209"/>
      <c r="H200" s="209"/>
      <c r="I200" s="209"/>
    </row>
    <row r="201">
      <c r="A201" s="205">
        <v>199.0</v>
      </c>
      <c r="B201" s="362" t="b">
        <v>0</v>
      </c>
      <c r="C201" s="207"/>
      <c r="D201" s="208"/>
      <c r="E201" s="208"/>
      <c r="F201" s="209"/>
      <c r="G201" s="209"/>
      <c r="H201" s="209"/>
      <c r="I201" s="209"/>
    </row>
    <row r="202">
      <c r="A202" s="205">
        <v>200.0</v>
      </c>
      <c r="B202" s="362" t="b">
        <v>0</v>
      </c>
      <c r="C202" s="207"/>
      <c r="D202" s="208"/>
      <c r="E202" s="208"/>
      <c r="F202" s="209"/>
      <c r="G202" s="209"/>
      <c r="H202" s="209"/>
      <c r="I202" s="209"/>
    </row>
    <row r="203">
      <c r="A203" s="205">
        <v>201.0</v>
      </c>
      <c r="B203" s="362" t="b">
        <v>0</v>
      </c>
      <c r="C203" s="207"/>
      <c r="D203" s="208"/>
      <c r="E203" s="208"/>
      <c r="F203" s="209"/>
      <c r="G203" s="209"/>
      <c r="H203" s="209"/>
      <c r="I203" s="209"/>
    </row>
    <row r="204">
      <c r="A204" s="205">
        <v>202.0</v>
      </c>
      <c r="B204" s="362" t="b">
        <v>0</v>
      </c>
      <c r="C204" s="207"/>
      <c r="D204" s="208"/>
      <c r="E204" s="208"/>
      <c r="F204" s="209"/>
      <c r="G204" s="209"/>
      <c r="H204" s="209"/>
      <c r="I204" s="209"/>
    </row>
    <row r="205">
      <c r="A205" s="205">
        <v>203.0</v>
      </c>
      <c r="B205" s="362" t="b">
        <v>0</v>
      </c>
      <c r="C205" s="207"/>
      <c r="D205" s="208"/>
      <c r="E205" s="208"/>
      <c r="F205" s="209"/>
      <c r="G205" s="209"/>
      <c r="H205" s="209"/>
      <c r="I205" s="209"/>
    </row>
    <row r="206">
      <c r="A206" s="205">
        <v>204.0</v>
      </c>
      <c r="B206" s="362" t="b">
        <v>0</v>
      </c>
      <c r="C206" s="207"/>
      <c r="D206" s="208"/>
      <c r="E206" s="208"/>
      <c r="F206" s="209"/>
      <c r="G206" s="209"/>
      <c r="H206" s="209"/>
      <c r="I206" s="209"/>
    </row>
    <row r="207">
      <c r="A207" s="205">
        <v>205.0</v>
      </c>
      <c r="B207" s="362" t="b">
        <v>0</v>
      </c>
      <c r="C207" s="207"/>
      <c r="D207" s="208"/>
      <c r="E207" s="208"/>
      <c r="F207" s="209"/>
      <c r="G207" s="209"/>
      <c r="H207" s="209"/>
      <c r="I207" s="209"/>
    </row>
    <row r="208">
      <c r="A208" s="205">
        <v>206.0</v>
      </c>
      <c r="B208" s="362" t="b">
        <v>0</v>
      </c>
      <c r="C208" s="207"/>
      <c r="D208" s="208"/>
      <c r="E208" s="208"/>
      <c r="F208" s="209"/>
      <c r="G208" s="209"/>
      <c r="H208" s="209"/>
      <c r="I208" s="209"/>
    </row>
    <row r="209">
      <c r="A209" s="205">
        <v>207.0</v>
      </c>
      <c r="B209" s="362" t="b">
        <v>0</v>
      </c>
      <c r="C209" s="207"/>
      <c r="D209" s="208"/>
      <c r="E209" s="208"/>
      <c r="F209" s="209"/>
      <c r="G209" s="209"/>
      <c r="H209" s="209"/>
      <c r="I209" s="209"/>
    </row>
    <row r="210">
      <c r="A210" s="205">
        <v>208.0</v>
      </c>
      <c r="B210" s="362" t="b">
        <v>0</v>
      </c>
      <c r="C210" s="207"/>
      <c r="D210" s="208"/>
      <c r="E210" s="208"/>
      <c r="F210" s="209"/>
      <c r="G210" s="209"/>
      <c r="H210" s="209"/>
      <c r="I210" s="209"/>
    </row>
    <row r="211">
      <c r="A211" s="205">
        <v>209.0</v>
      </c>
      <c r="B211" s="362" t="b">
        <v>0</v>
      </c>
      <c r="C211" s="207"/>
      <c r="D211" s="208"/>
      <c r="E211" s="208"/>
      <c r="F211" s="209"/>
      <c r="G211" s="209"/>
      <c r="H211" s="209"/>
      <c r="I211" s="209"/>
    </row>
    <row r="212">
      <c r="A212" s="205">
        <v>210.0</v>
      </c>
      <c r="B212" s="362" t="b">
        <v>0</v>
      </c>
      <c r="C212" s="207"/>
      <c r="D212" s="208"/>
      <c r="E212" s="208"/>
      <c r="F212" s="209"/>
      <c r="G212" s="209"/>
      <c r="H212" s="209"/>
      <c r="I212" s="209"/>
    </row>
    <row r="213">
      <c r="A213" s="205">
        <v>211.0</v>
      </c>
      <c r="B213" s="362" t="b">
        <v>0</v>
      </c>
      <c r="C213" s="207"/>
      <c r="D213" s="208"/>
      <c r="E213" s="208"/>
      <c r="F213" s="209"/>
      <c r="G213" s="209"/>
      <c r="H213" s="209"/>
      <c r="I213" s="209"/>
    </row>
    <row r="214">
      <c r="A214" s="205">
        <v>212.0</v>
      </c>
      <c r="B214" s="362" t="b">
        <v>0</v>
      </c>
      <c r="C214" s="207"/>
      <c r="D214" s="208"/>
      <c r="E214" s="208"/>
      <c r="F214" s="209"/>
      <c r="G214" s="209"/>
      <c r="H214" s="209"/>
      <c r="I214" s="209"/>
    </row>
    <row r="215">
      <c r="A215" s="205">
        <v>213.0</v>
      </c>
      <c r="B215" s="362" t="b">
        <v>0</v>
      </c>
      <c r="C215" s="207"/>
      <c r="D215" s="208"/>
      <c r="E215" s="208"/>
      <c r="F215" s="209"/>
      <c r="G215" s="209"/>
      <c r="H215" s="209"/>
      <c r="I215" s="209"/>
    </row>
    <row r="216">
      <c r="A216" s="205">
        <v>214.0</v>
      </c>
      <c r="B216" s="362" t="b">
        <v>0</v>
      </c>
      <c r="C216" s="207"/>
      <c r="D216" s="208"/>
      <c r="E216" s="208"/>
      <c r="F216" s="209"/>
      <c r="G216" s="209"/>
      <c r="H216" s="209"/>
      <c r="I216" s="209"/>
    </row>
    <row r="217">
      <c r="A217" s="205">
        <v>215.0</v>
      </c>
      <c r="B217" s="362" t="b">
        <v>0</v>
      </c>
      <c r="C217" s="207"/>
      <c r="D217" s="208"/>
      <c r="E217" s="208"/>
      <c r="F217" s="209"/>
      <c r="G217" s="209"/>
      <c r="H217" s="209"/>
      <c r="I217" s="209"/>
    </row>
    <row r="218">
      <c r="A218" s="205">
        <v>216.0</v>
      </c>
      <c r="B218" s="362" t="b">
        <v>0</v>
      </c>
      <c r="C218" s="207"/>
      <c r="D218" s="208"/>
      <c r="E218" s="208"/>
      <c r="F218" s="209"/>
      <c r="G218" s="209"/>
      <c r="H218" s="209"/>
      <c r="I218" s="209"/>
    </row>
    <row r="219">
      <c r="A219" s="205">
        <v>217.0</v>
      </c>
      <c r="B219" s="362" t="b">
        <v>0</v>
      </c>
      <c r="C219" s="207"/>
      <c r="D219" s="208"/>
      <c r="E219" s="208"/>
      <c r="F219" s="209"/>
      <c r="G219" s="209"/>
      <c r="H219" s="209"/>
      <c r="I219" s="209"/>
    </row>
    <row r="220">
      <c r="A220" s="205">
        <v>218.0</v>
      </c>
      <c r="B220" s="362" t="b">
        <v>0</v>
      </c>
      <c r="C220" s="207"/>
      <c r="D220" s="208"/>
      <c r="E220" s="208"/>
      <c r="F220" s="209"/>
      <c r="G220" s="209"/>
      <c r="H220" s="209"/>
      <c r="I220" s="209"/>
    </row>
    <row r="221">
      <c r="A221" s="205">
        <v>219.0</v>
      </c>
      <c r="B221" s="362" t="b">
        <v>0</v>
      </c>
      <c r="C221" s="207"/>
      <c r="D221" s="208"/>
      <c r="E221" s="208"/>
      <c r="F221" s="209"/>
      <c r="G221" s="209"/>
      <c r="H221" s="209"/>
      <c r="I221" s="209"/>
    </row>
    <row r="222">
      <c r="A222" s="205">
        <v>220.0</v>
      </c>
      <c r="B222" s="362" t="b">
        <v>0</v>
      </c>
      <c r="C222" s="207"/>
      <c r="D222" s="208"/>
      <c r="E222" s="208"/>
      <c r="F222" s="209"/>
      <c r="G222" s="209"/>
      <c r="H222" s="209"/>
      <c r="I222" s="209"/>
    </row>
    <row r="223">
      <c r="A223" s="205">
        <v>221.0</v>
      </c>
      <c r="B223" s="362" t="b">
        <v>0</v>
      </c>
      <c r="C223" s="207"/>
      <c r="D223" s="208"/>
      <c r="E223" s="208"/>
      <c r="F223" s="209"/>
      <c r="G223" s="209"/>
      <c r="H223" s="209"/>
      <c r="I223" s="209"/>
    </row>
    <row r="224">
      <c r="A224" s="205">
        <v>222.0</v>
      </c>
      <c r="B224" s="362" t="b">
        <v>0</v>
      </c>
      <c r="C224" s="207"/>
      <c r="D224" s="208"/>
      <c r="E224" s="208"/>
      <c r="F224" s="209"/>
      <c r="G224" s="209"/>
      <c r="H224" s="209"/>
      <c r="I224" s="209"/>
    </row>
    <row r="225">
      <c r="A225" s="205">
        <v>223.0</v>
      </c>
      <c r="B225" s="362" t="b">
        <v>0</v>
      </c>
      <c r="C225" s="207"/>
      <c r="D225" s="208"/>
      <c r="E225" s="208"/>
      <c r="F225" s="209"/>
      <c r="G225" s="209"/>
      <c r="H225" s="209"/>
      <c r="I225" s="209"/>
    </row>
    <row r="226">
      <c r="A226" s="205">
        <v>224.0</v>
      </c>
      <c r="B226" s="362" t="b">
        <v>0</v>
      </c>
      <c r="C226" s="207"/>
      <c r="D226" s="208"/>
      <c r="E226" s="208"/>
      <c r="F226" s="209"/>
      <c r="G226" s="209"/>
      <c r="H226" s="209"/>
      <c r="I226" s="209"/>
    </row>
    <row r="227">
      <c r="A227" s="205">
        <v>225.0</v>
      </c>
      <c r="B227" s="362" t="b">
        <v>0</v>
      </c>
      <c r="C227" s="207"/>
      <c r="D227" s="208"/>
      <c r="E227" s="208"/>
      <c r="F227" s="209"/>
      <c r="G227" s="209"/>
      <c r="H227" s="209"/>
      <c r="I227" s="209"/>
    </row>
    <row r="228">
      <c r="A228" s="205">
        <v>226.0</v>
      </c>
      <c r="B228" s="362" t="b">
        <v>0</v>
      </c>
      <c r="C228" s="207"/>
      <c r="D228" s="208"/>
      <c r="E228" s="208"/>
      <c r="F228" s="209"/>
      <c r="G228" s="209"/>
      <c r="H228" s="209"/>
      <c r="I228" s="209"/>
    </row>
    <row r="229">
      <c r="A229" s="205">
        <v>227.0</v>
      </c>
      <c r="B229" s="362" t="b">
        <v>0</v>
      </c>
      <c r="C229" s="207"/>
      <c r="D229" s="208"/>
      <c r="E229" s="208"/>
      <c r="F229" s="209"/>
      <c r="G229" s="209"/>
      <c r="H229" s="209"/>
      <c r="I229" s="209"/>
    </row>
    <row r="230">
      <c r="A230" s="205">
        <v>228.0</v>
      </c>
      <c r="B230" s="362" t="b">
        <v>0</v>
      </c>
      <c r="C230" s="207"/>
      <c r="D230" s="208"/>
      <c r="E230" s="208"/>
      <c r="F230" s="209"/>
      <c r="G230" s="209"/>
      <c r="H230" s="209"/>
      <c r="I230" s="209"/>
    </row>
    <row r="231">
      <c r="A231" s="205">
        <v>229.0</v>
      </c>
      <c r="B231" s="362" t="b">
        <v>0</v>
      </c>
      <c r="C231" s="207"/>
      <c r="D231" s="208"/>
      <c r="E231" s="208"/>
      <c r="F231" s="209"/>
      <c r="G231" s="209"/>
      <c r="H231" s="209"/>
      <c r="I231" s="209"/>
    </row>
    <row r="232">
      <c r="A232" s="205">
        <v>230.0</v>
      </c>
      <c r="B232" s="362" t="b">
        <v>0</v>
      </c>
      <c r="C232" s="207"/>
      <c r="D232" s="208"/>
      <c r="E232" s="208"/>
      <c r="F232" s="209"/>
      <c r="G232" s="209"/>
      <c r="H232" s="209"/>
      <c r="I232" s="209"/>
    </row>
    <row r="233">
      <c r="A233" s="205">
        <v>231.0</v>
      </c>
      <c r="B233" s="362" t="b">
        <v>0</v>
      </c>
      <c r="C233" s="207"/>
      <c r="D233" s="208"/>
      <c r="E233" s="208"/>
      <c r="F233" s="209"/>
      <c r="G233" s="209"/>
      <c r="H233" s="209"/>
      <c r="I233" s="209"/>
    </row>
    <row r="234">
      <c r="A234" s="205">
        <v>232.0</v>
      </c>
      <c r="B234" s="362" t="b">
        <v>0</v>
      </c>
      <c r="C234" s="207"/>
      <c r="D234" s="208"/>
      <c r="E234" s="208"/>
      <c r="F234" s="209"/>
      <c r="G234" s="209"/>
      <c r="H234" s="209"/>
      <c r="I234" s="209"/>
    </row>
    <row r="235">
      <c r="A235" s="205">
        <v>233.0</v>
      </c>
      <c r="B235" s="362" t="b">
        <v>0</v>
      </c>
      <c r="C235" s="207"/>
      <c r="D235" s="208"/>
      <c r="E235" s="208"/>
      <c r="F235" s="209"/>
      <c r="G235" s="209"/>
      <c r="H235" s="209"/>
      <c r="I235" s="209"/>
    </row>
    <row r="236">
      <c r="A236" s="205">
        <v>234.0</v>
      </c>
      <c r="B236" s="362" t="b">
        <v>0</v>
      </c>
      <c r="C236" s="207"/>
      <c r="D236" s="208"/>
      <c r="E236" s="208"/>
      <c r="F236" s="209"/>
      <c r="G236" s="209"/>
      <c r="H236" s="209"/>
      <c r="I236" s="209"/>
    </row>
    <row r="237">
      <c r="A237" s="205">
        <v>235.0</v>
      </c>
      <c r="B237" s="362" t="b">
        <v>0</v>
      </c>
      <c r="C237" s="207"/>
      <c r="D237" s="208"/>
      <c r="E237" s="208"/>
      <c r="F237" s="209"/>
      <c r="G237" s="209"/>
      <c r="H237" s="209"/>
      <c r="I237" s="209"/>
    </row>
    <row r="238">
      <c r="A238" s="205">
        <v>236.0</v>
      </c>
      <c r="B238" s="362" t="b">
        <v>0</v>
      </c>
      <c r="C238" s="207"/>
      <c r="D238" s="208"/>
      <c r="E238" s="208"/>
      <c r="F238" s="209"/>
      <c r="G238" s="209"/>
      <c r="H238" s="209"/>
      <c r="I238" s="209"/>
    </row>
    <row r="239">
      <c r="A239" s="205">
        <v>237.0</v>
      </c>
      <c r="B239" s="362" t="b">
        <v>0</v>
      </c>
      <c r="C239" s="207"/>
      <c r="D239" s="208"/>
      <c r="E239" s="208"/>
      <c r="F239" s="209"/>
      <c r="G239" s="209"/>
      <c r="H239" s="209"/>
      <c r="I239" s="209"/>
    </row>
    <row r="240">
      <c r="A240" s="205">
        <v>238.0</v>
      </c>
      <c r="B240" s="362" t="b">
        <v>0</v>
      </c>
      <c r="C240" s="207"/>
      <c r="D240" s="208"/>
      <c r="E240" s="208"/>
      <c r="F240" s="209"/>
      <c r="G240" s="209"/>
      <c r="H240" s="209"/>
      <c r="I240" s="209"/>
    </row>
  </sheetData>
  <mergeCells count="6">
    <mergeCell ref="A1:I1"/>
    <mergeCell ref="C9:C17"/>
    <mergeCell ref="C23:C26"/>
    <mergeCell ref="C86:I86"/>
    <mergeCell ref="C136:C145"/>
    <mergeCell ref="C159:I159"/>
  </mergeCells>
  <conditionalFormatting sqref="A3:I240">
    <cfRule type="expression" dxfId="0" priority="1">
      <formula>$B3=TRUE</formula>
    </cfRule>
  </conditionalFormatting>
  <hyperlinks>
    <hyperlink r:id="rId1" ref="H3"/>
    <hyperlink r:id="rId2" ref="H4"/>
    <hyperlink r:id="rId3" ref="H18"/>
    <hyperlink r:id="rId4" ref="H19"/>
    <hyperlink r:id="rId5" ref="H20"/>
    <hyperlink r:id="rId6" ref="H21"/>
    <hyperlink r:id="rId7" ref="H22"/>
    <hyperlink r:id="rId8" ref="H24"/>
    <hyperlink r:id="rId9" ref="H32"/>
    <hyperlink r:id="rId10" ref="H34"/>
    <hyperlink r:id="rId11" ref="H35"/>
    <hyperlink r:id="rId12" ref="H37"/>
    <hyperlink r:id="rId13" ref="H38"/>
    <hyperlink r:id="rId14" ref="H40"/>
    <hyperlink r:id="rId15" ref="H41"/>
    <hyperlink r:id="rId16" ref="H42"/>
    <hyperlink r:id="rId17" ref="H47"/>
    <hyperlink r:id="rId18" ref="H53"/>
    <hyperlink r:id="rId19" ref="H58"/>
    <hyperlink r:id="rId20" ref="H70"/>
    <hyperlink r:id="rId21" ref="H71"/>
    <hyperlink r:id="rId22" ref="C76"/>
    <hyperlink r:id="rId23" ref="C83"/>
    <hyperlink r:id="rId24" ref="C105"/>
    <hyperlink r:id="rId25" ref="F116"/>
    <hyperlink r:id="rId26" ref="H125"/>
    <hyperlink r:id="rId27" ref="E150"/>
    <hyperlink r:id="rId28" ref="F158"/>
    <hyperlink r:id="rId29" ref="C162"/>
  </hyperlinks>
  <drawing r:id="rId3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6.63"/>
    <col customWidth="1" min="2" max="2" width="13.75"/>
    <col customWidth="1" min="3" max="3" width="29.5"/>
    <col customWidth="1" min="4" max="4" width="40.88"/>
    <col customWidth="1" min="5" max="5" width="34.0"/>
    <col customWidth="1" min="6" max="6" width="18.63"/>
  </cols>
  <sheetData>
    <row r="1">
      <c r="A1" s="368" t="s">
        <v>2727</v>
      </c>
      <c r="B1" s="369"/>
      <c r="C1" s="369"/>
      <c r="D1" s="369"/>
      <c r="E1" s="369"/>
      <c r="F1" s="369"/>
      <c r="G1" s="369"/>
      <c r="H1" s="369"/>
      <c r="I1" s="370"/>
      <c r="J1" s="371"/>
      <c r="K1" s="371"/>
      <c r="L1" s="371"/>
      <c r="M1" s="371"/>
      <c r="N1" s="371"/>
      <c r="O1" s="371"/>
      <c r="P1" s="371"/>
      <c r="Q1" s="371"/>
    </row>
    <row r="2">
      <c r="A2" s="372" t="s">
        <v>2728</v>
      </c>
      <c r="B2" s="373" t="s">
        <v>2</v>
      </c>
      <c r="C2" s="372" t="s">
        <v>2729</v>
      </c>
      <c r="D2" s="373" t="s">
        <v>4</v>
      </c>
      <c r="E2" s="373" t="s">
        <v>2730</v>
      </c>
      <c r="F2" s="373" t="s">
        <v>2731</v>
      </c>
      <c r="G2" s="373" t="s">
        <v>2732</v>
      </c>
      <c r="H2" s="374" t="s">
        <v>5</v>
      </c>
      <c r="I2" s="375" t="s">
        <v>2733</v>
      </c>
      <c r="J2" s="371"/>
      <c r="K2" s="371"/>
      <c r="L2" s="371"/>
      <c r="M2" s="371"/>
      <c r="N2" s="371"/>
      <c r="O2" s="371"/>
      <c r="P2" s="371"/>
      <c r="Q2" s="371"/>
    </row>
    <row r="3">
      <c r="A3" s="376" t="s">
        <v>1663</v>
      </c>
      <c r="B3" s="377"/>
      <c r="C3" s="378" t="s">
        <v>1664</v>
      </c>
      <c r="D3" s="348" t="s">
        <v>1665</v>
      </c>
      <c r="E3" s="377" t="s">
        <v>1666</v>
      </c>
      <c r="F3" s="377" t="s">
        <v>1691</v>
      </c>
      <c r="G3" s="379" t="b">
        <v>0</v>
      </c>
      <c r="H3" s="379"/>
      <c r="I3" s="194"/>
    </row>
    <row r="4">
      <c r="A4" s="376" t="s">
        <v>1667</v>
      </c>
      <c r="B4" s="377"/>
      <c r="C4" s="378" t="s">
        <v>1668</v>
      </c>
      <c r="D4" s="348" t="s">
        <v>1669</v>
      </c>
      <c r="E4" s="377"/>
      <c r="F4" s="379"/>
      <c r="G4" s="379" t="b">
        <v>0</v>
      </c>
      <c r="H4" s="379"/>
      <c r="I4" s="194"/>
    </row>
    <row r="5">
      <c r="A5" s="380" t="s">
        <v>1670</v>
      </c>
      <c r="B5" s="377"/>
      <c r="C5" s="378" t="s">
        <v>1671</v>
      </c>
      <c r="D5" s="348" t="s">
        <v>1672</v>
      </c>
      <c r="E5" s="377" t="s">
        <v>1673</v>
      </c>
      <c r="F5" s="379"/>
      <c r="G5" s="379" t="b">
        <v>0</v>
      </c>
      <c r="H5" s="379"/>
      <c r="I5" s="194"/>
    </row>
    <row r="6">
      <c r="A6" s="376" t="s">
        <v>1674</v>
      </c>
      <c r="B6" s="377"/>
      <c r="C6" s="378" t="s">
        <v>1675</v>
      </c>
      <c r="D6" s="348" t="s">
        <v>1676</v>
      </c>
      <c r="E6" s="377" t="s">
        <v>1677</v>
      </c>
      <c r="F6" s="379"/>
      <c r="G6" s="379" t="b">
        <v>0</v>
      </c>
      <c r="H6" s="379"/>
      <c r="I6" s="194"/>
    </row>
    <row r="7">
      <c r="A7" s="376" t="s">
        <v>1678</v>
      </c>
      <c r="B7" s="377"/>
      <c r="C7" s="378" t="s">
        <v>1679</v>
      </c>
      <c r="D7" s="348" t="s">
        <v>1680</v>
      </c>
      <c r="E7" s="377" t="s">
        <v>1681</v>
      </c>
      <c r="F7" s="379"/>
      <c r="G7" s="379" t="b">
        <v>0</v>
      </c>
      <c r="H7" s="379"/>
      <c r="I7" s="194"/>
    </row>
    <row r="8">
      <c r="A8" s="376" t="s">
        <v>1682</v>
      </c>
      <c r="B8" s="377"/>
      <c r="C8" s="378">
        <v>9.647509890989E12</v>
      </c>
      <c r="D8" s="348" t="s">
        <v>1683</v>
      </c>
      <c r="E8" s="377" t="s">
        <v>1684</v>
      </c>
      <c r="F8" s="379"/>
      <c r="G8" s="379" t="b">
        <v>0</v>
      </c>
      <c r="H8" s="379"/>
      <c r="I8" s="194"/>
    </row>
    <row r="9">
      <c r="A9" s="376" t="s">
        <v>1685</v>
      </c>
      <c r="B9" s="377"/>
      <c r="C9" s="378" t="s">
        <v>1686</v>
      </c>
      <c r="D9" s="348" t="s">
        <v>1687</v>
      </c>
      <c r="E9" s="377" t="s">
        <v>1688</v>
      </c>
      <c r="F9" s="379"/>
      <c r="G9" s="379" t="b">
        <v>0</v>
      </c>
      <c r="H9" s="379"/>
      <c r="I9" s="194"/>
    </row>
    <row r="10">
      <c r="A10" s="376" t="s">
        <v>1689</v>
      </c>
      <c r="B10" s="377"/>
      <c r="C10" s="378" t="s">
        <v>1690</v>
      </c>
      <c r="D10" s="348" t="s">
        <v>1691</v>
      </c>
      <c r="E10" s="377" t="s">
        <v>1692</v>
      </c>
      <c r="F10" s="379"/>
      <c r="G10" s="379" t="b">
        <v>0</v>
      </c>
      <c r="H10" s="379"/>
      <c r="I10" s="194"/>
    </row>
    <row r="11">
      <c r="A11" s="376" t="s">
        <v>1693</v>
      </c>
      <c r="B11" s="377"/>
      <c r="C11" s="378" t="s">
        <v>1694</v>
      </c>
      <c r="D11" s="348" t="s">
        <v>1695</v>
      </c>
      <c r="E11" s="377" t="s">
        <v>1696</v>
      </c>
      <c r="F11" s="379"/>
      <c r="G11" s="379" t="b">
        <v>0</v>
      </c>
      <c r="H11" s="379"/>
      <c r="I11" s="194"/>
    </row>
    <row r="12">
      <c r="A12" s="376" t="s">
        <v>1697</v>
      </c>
      <c r="B12" s="377"/>
      <c r="C12" s="378" t="s">
        <v>1698</v>
      </c>
      <c r="D12" s="348" t="s">
        <v>1699</v>
      </c>
      <c r="E12" s="377" t="s">
        <v>1700</v>
      </c>
      <c r="F12" s="379"/>
      <c r="G12" s="379" t="b">
        <v>0</v>
      </c>
      <c r="H12" s="379"/>
      <c r="I12" s="194"/>
    </row>
    <row r="13">
      <c r="A13" s="376" t="s">
        <v>1701</v>
      </c>
      <c r="B13" s="377"/>
      <c r="C13" s="378" t="s">
        <v>1702</v>
      </c>
      <c r="D13" s="348" t="s">
        <v>1703</v>
      </c>
      <c r="E13" s="377" t="s">
        <v>1704</v>
      </c>
      <c r="F13" s="379"/>
      <c r="G13" s="379" t="b">
        <v>0</v>
      </c>
      <c r="H13" s="379"/>
      <c r="I13" s="194"/>
    </row>
    <row r="14">
      <c r="A14" s="376" t="s">
        <v>1705</v>
      </c>
      <c r="B14" s="377"/>
      <c r="C14" s="378" t="s">
        <v>1706</v>
      </c>
      <c r="D14" s="348" t="s">
        <v>1707</v>
      </c>
      <c r="E14" s="377" t="s">
        <v>1708</v>
      </c>
      <c r="F14" s="379"/>
      <c r="G14" s="379" t="b">
        <v>0</v>
      </c>
      <c r="H14" s="379"/>
      <c r="I14" s="194"/>
    </row>
    <row r="15">
      <c r="A15" s="376" t="s">
        <v>1709</v>
      </c>
      <c r="B15" s="377"/>
      <c r="C15" s="378" t="s">
        <v>1710</v>
      </c>
      <c r="D15" s="348" t="s">
        <v>1711</v>
      </c>
      <c r="E15" s="377" t="s">
        <v>1712</v>
      </c>
      <c r="F15" s="379"/>
      <c r="G15" s="379" t="b">
        <v>0</v>
      </c>
      <c r="H15" s="379"/>
      <c r="I15" s="194"/>
    </row>
    <row r="16">
      <c r="A16" s="376" t="s">
        <v>1713</v>
      </c>
      <c r="B16" s="377"/>
      <c r="C16" s="378">
        <v>9.647710006E12</v>
      </c>
      <c r="D16" s="348" t="s">
        <v>1714</v>
      </c>
      <c r="E16" s="377" t="s">
        <v>1715</v>
      </c>
      <c r="F16" s="379"/>
      <c r="G16" s="379" t="b">
        <v>0</v>
      </c>
      <c r="H16" s="379"/>
      <c r="I16" s="194"/>
    </row>
    <row r="17">
      <c r="A17" s="376" t="s">
        <v>1716</v>
      </c>
      <c r="B17" s="377"/>
      <c r="C17" s="378" t="s">
        <v>1717</v>
      </c>
      <c r="D17" s="348" t="s">
        <v>1718</v>
      </c>
      <c r="E17" s="377" t="s">
        <v>1719</v>
      </c>
      <c r="F17" s="379"/>
      <c r="G17" s="379" t="b">
        <v>0</v>
      </c>
      <c r="H17" s="379"/>
      <c r="I17" s="194"/>
    </row>
    <row r="18">
      <c r="A18" s="380" t="s">
        <v>1720</v>
      </c>
      <c r="B18" s="377"/>
      <c r="C18" s="378" t="s">
        <v>1721</v>
      </c>
      <c r="D18" s="348" t="s">
        <v>1722</v>
      </c>
      <c r="E18" s="377" t="s">
        <v>1723</v>
      </c>
      <c r="F18" s="379"/>
      <c r="G18" s="379" t="b">
        <v>0</v>
      </c>
      <c r="H18" s="379"/>
      <c r="I18" s="194"/>
    </row>
    <row r="19">
      <c r="A19" s="380" t="s">
        <v>1724</v>
      </c>
      <c r="B19" s="377"/>
      <c r="C19" s="378">
        <v>9.647504617977E12</v>
      </c>
      <c r="D19" s="348" t="s">
        <v>1725</v>
      </c>
      <c r="E19" s="377" t="s">
        <v>1726</v>
      </c>
      <c r="F19" s="379"/>
      <c r="G19" s="379" t="b">
        <v>0</v>
      </c>
      <c r="H19" s="379"/>
      <c r="I19" s="194"/>
    </row>
    <row r="20">
      <c r="A20" s="380" t="s">
        <v>1727</v>
      </c>
      <c r="B20" s="377"/>
      <c r="C20" s="378" t="s">
        <v>1728</v>
      </c>
      <c r="D20" s="348" t="s">
        <v>1729</v>
      </c>
      <c r="E20" s="377" t="s">
        <v>1730</v>
      </c>
      <c r="F20" s="379"/>
      <c r="G20" s="379" t="b">
        <v>0</v>
      </c>
      <c r="H20" s="379"/>
      <c r="I20" s="194"/>
    </row>
    <row r="21">
      <c r="A21" s="380" t="s">
        <v>1731</v>
      </c>
      <c r="B21" s="377"/>
      <c r="C21" s="378" t="s">
        <v>1732</v>
      </c>
      <c r="D21" s="348" t="s">
        <v>1733</v>
      </c>
      <c r="E21" s="377" t="s">
        <v>1734</v>
      </c>
      <c r="F21" s="379"/>
      <c r="G21" s="379" t="b">
        <v>0</v>
      </c>
      <c r="H21" s="379"/>
      <c r="I21" s="194"/>
    </row>
    <row r="22">
      <c r="A22" s="376" t="s">
        <v>1735</v>
      </c>
      <c r="B22" s="377"/>
      <c r="C22" s="378" t="s">
        <v>1736</v>
      </c>
      <c r="D22" s="348" t="s">
        <v>1737</v>
      </c>
      <c r="E22" s="377" t="s">
        <v>1738</v>
      </c>
      <c r="F22" s="379"/>
      <c r="G22" s="379" t="b">
        <v>0</v>
      </c>
      <c r="H22" s="379"/>
      <c r="I22" s="194"/>
    </row>
    <row r="23">
      <c r="A23" s="376" t="s">
        <v>2734</v>
      </c>
      <c r="B23" s="379"/>
      <c r="C23" s="378" t="s">
        <v>1690</v>
      </c>
      <c r="D23" s="348" t="s">
        <v>1691</v>
      </c>
      <c r="E23" s="381" t="s">
        <v>2735</v>
      </c>
      <c r="F23" s="379"/>
      <c r="G23" s="379" t="b">
        <v>0</v>
      </c>
      <c r="H23" s="379"/>
      <c r="I23" s="194"/>
    </row>
    <row r="24">
      <c r="A24" s="376" t="s">
        <v>2736</v>
      </c>
      <c r="B24" s="379"/>
      <c r="C24" s="378" t="s">
        <v>2737</v>
      </c>
      <c r="D24" s="348" t="s">
        <v>1672</v>
      </c>
      <c r="E24" s="381" t="s">
        <v>1673</v>
      </c>
      <c r="F24" s="379"/>
      <c r="G24" s="379" t="b">
        <v>0</v>
      </c>
      <c r="H24" s="379"/>
      <c r="I24" s="194"/>
    </row>
    <row r="25">
      <c r="A25" s="376" t="s">
        <v>2738</v>
      </c>
      <c r="B25" s="379"/>
      <c r="C25" s="382">
        <v>2.0003655E7</v>
      </c>
      <c r="D25" s="348" t="s">
        <v>2739</v>
      </c>
      <c r="E25" s="381" t="s">
        <v>2740</v>
      </c>
      <c r="F25" s="379"/>
      <c r="G25" s="379" t="b">
        <v>0</v>
      </c>
      <c r="H25" s="379"/>
      <c r="I25" s="194"/>
    </row>
    <row r="26">
      <c r="A26" s="376" t="s">
        <v>2741</v>
      </c>
      <c r="B26" s="379"/>
      <c r="C26" s="383">
        <v>9.647710006E12</v>
      </c>
      <c r="D26" s="348" t="s">
        <v>2742</v>
      </c>
      <c r="E26" s="384" t="s">
        <v>2743</v>
      </c>
      <c r="F26" s="379"/>
      <c r="G26" s="379"/>
      <c r="H26" s="379"/>
      <c r="I26" s="194"/>
    </row>
    <row r="27">
      <c r="A27" s="376" t="s">
        <v>2744</v>
      </c>
      <c r="B27" s="379"/>
      <c r="C27" s="385"/>
      <c r="D27" s="344"/>
      <c r="E27" s="379"/>
      <c r="F27" s="379"/>
      <c r="G27" s="379" t="b">
        <v>0</v>
      </c>
      <c r="H27" s="379"/>
      <c r="I27" s="194"/>
    </row>
    <row r="28">
      <c r="A28" s="386"/>
      <c r="B28" s="379"/>
      <c r="C28" s="385"/>
      <c r="D28" s="344"/>
      <c r="E28" s="379"/>
      <c r="F28" s="379"/>
      <c r="G28" s="379" t="b">
        <v>0</v>
      </c>
      <c r="H28" s="379"/>
      <c r="I28" s="194"/>
    </row>
    <row r="29">
      <c r="A29" s="386"/>
      <c r="B29" s="379"/>
      <c r="C29" s="385"/>
      <c r="D29" s="344"/>
      <c r="E29" s="379"/>
      <c r="F29" s="379"/>
      <c r="G29" s="379" t="b">
        <v>0</v>
      </c>
      <c r="H29" s="379"/>
      <c r="I29" s="194"/>
    </row>
    <row r="30">
      <c r="A30" s="386"/>
      <c r="B30" s="379"/>
      <c r="C30" s="385"/>
      <c r="D30" s="344"/>
      <c r="E30" s="379"/>
      <c r="F30" s="379"/>
      <c r="G30" s="379" t="b">
        <v>0</v>
      </c>
      <c r="H30" s="379"/>
      <c r="I30" s="194"/>
    </row>
    <row r="31">
      <c r="A31" s="386"/>
      <c r="B31" s="379"/>
      <c r="C31" s="385"/>
      <c r="D31" s="344"/>
      <c r="E31" s="379"/>
      <c r="F31" s="379"/>
      <c r="G31" s="379" t="b">
        <v>0</v>
      </c>
      <c r="H31" s="379"/>
      <c r="I31" s="194"/>
    </row>
    <row r="32">
      <c r="A32" s="386"/>
      <c r="B32" s="379"/>
      <c r="C32" s="385"/>
      <c r="D32" s="344"/>
      <c r="E32" s="379"/>
      <c r="F32" s="379"/>
      <c r="G32" s="379" t="b">
        <v>0</v>
      </c>
      <c r="H32" s="379"/>
      <c r="I32" s="194"/>
    </row>
    <row r="33">
      <c r="A33" s="386"/>
      <c r="B33" s="379"/>
      <c r="C33" s="385"/>
      <c r="D33" s="344"/>
      <c r="E33" s="379"/>
      <c r="F33" s="379"/>
      <c r="G33" s="379" t="b">
        <v>0</v>
      </c>
      <c r="H33" s="379"/>
      <c r="I33" s="194"/>
    </row>
    <row r="34">
      <c r="A34" s="386"/>
      <c r="B34" s="379"/>
      <c r="C34" s="385"/>
      <c r="D34" s="344"/>
      <c r="E34" s="379"/>
      <c r="F34" s="379"/>
      <c r="G34" s="379" t="b">
        <v>0</v>
      </c>
      <c r="H34" s="379"/>
      <c r="I34" s="194"/>
    </row>
    <row r="35">
      <c r="A35" s="386"/>
      <c r="B35" s="379"/>
      <c r="C35" s="385"/>
      <c r="D35" s="344"/>
      <c r="E35" s="379"/>
      <c r="F35" s="379"/>
      <c r="G35" s="379" t="b">
        <v>0</v>
      </c>
      <c r="H35" s="379"/>
      <c r="I35" s="194"/>
    </row>
    <row r="36">
      <c r="A36" s="386"/>
      <c r="B36" s="379"/>
      <c r="C36" s="385"/>
      <c r="D36" s="344"/>
      <c r="E36" s="379"/>
      <c r="F36" s="379"/>
      <c r="G36" s="379" t="b">
        <v>0</v>
      </c>
      <c r="H36" s="379"/>
      <c r="I36" s="194"/>
    </row>
    <row r="37">
      <c r="A37" s="386"/>
      <c r="B37" s="379"/>
      <c r="C37" s="385"/>
      <c r="D37" s="344"/>
      <c r="E37" s="379"/>
      <c r="F37" s="379"/>
      <c r="G37" s="379" t="b">
        <v>0</v>
      </c>
      <c r="H37" s="379"/>
      <c r="I37" s="194"/>
    </row>
    <row r="38">
      <c r="A38" s="386"/>
      <c r="B38" s="379"/>
      <c r="C38" s="385"/>
      <c r="D38" s="344"/>
      <c r="E38" s="379"/>
      <c r="F38" s="379"/>
      <c r="G38" s="379" t="b">
        <v>0</v>
      </c>
      <c r="H38" s="379"/>
      <c r="I38" s="194"/>
    </row>
    <row r="39">
      <c r="A39" s="386"/>
      <c r="B39" s="379"/>
      <c r="C39" s="385"/>
      <c r="D39" s="344"/>
      <c r="E39" s="379"/>
      <c r="F39" s="379"/>
      <c r="G39" s="379" t="b">
        <v>0</v>
      </c>
      <c r="H39" s="379"/>
      <c r="I39" s="194"/>
    </row>
    <row r="40">
      <c r="A40" s="386"/>
      <c r="B40" s="379"/>
      <c r="C40" s="385"/>
      <c r="D40" s="344"/>
      <c r="E40" s="379"/>
      <c r="F40" s="379"/>
      <c r="G40" s="379" t="b">
        <v>0</v>
      </c>
      <c r="H40" s="379"/>
      <c r="I40" s="194"/>
    </row>
    <row r="41" ht="29.25" customHeight="1">
      <c r="A41" s="387" t="s">
        <v>2745</v>
      </c>
      <c r="B41" s="53"/>
      <c r="C41" s="53"/>
      <c r="D41" s="53"/>
      <c r="E41" s="53"/>
      <c r="F41" s="53"/>
      <c r="G41" s="53"/>
      <c r="H41" s="53"/>
      <c r="I41" s="202"/>
    </row>
    <row r="42">
      <c r="A42" s="376" t="s">
        <v>2746</v>
      </c>
      <c r="B42" s="377"/>
      <c r="C42" s="378" t="s">
        <v>1518</v>
      </c>
      <c r="D42" s="348"/>
      <c r="E42" s="377"/>
      <c r="F42" s="377"/>
      <c r="G42" s="379" t="b">
        <v>0</v>
      </c>
      <c r="H42" s="379"/>
      <c r="I42" s="194"/>
    </row>
    <row r="43">
      <c r="A43" s="376" t="s">
        <v>2747</v>
      </c>
      <c r="B43" s="377"/>
      <c r="C43" s="378" t="s">
        <v>1520</v>
      </c>
      <c r="D43" s="348" t="s">
        <v>1521</v>
      </c>
      <c r="E43" s="377" t="s">
        <v>1522</v>
      </c>
      <c r="F43" s="377"/>
      <c r="G43" s="379" t="b">
        <v>0</v>
      </c>
      <c r="H43" s="379"/>
      <c r="I43" s="194"/>
    </row>
    <row r="44">
      <c r="A44" s="376" t="s">
        <v>1523</v>
      </c>
      <c r="B44" s="377"/>
      <c r="C44" s="378" t="s">
        <v>1524</v>
      </c>
      <c r="D44" s="348"/>
      <c r="E44" s="377" t="s">
        <v>1525</v>
      </c>
      <c r="F44" s="377"/>
      <c r="G44" s="379" t="b">
        <v>0</v>
      </c>
      <c r="H44" s="379"/>
      <c r="I44" s="194"/>
    </row>
    <row r="45">
      <c r="A45" s="376" t="s">
        <v>1526</v>
      </c>
      <c r="B45" s="377" t="s">
        <v>1527</v>
      </c>
      <c r="C45" s="378" t="s">
        <v>1528</v>
      </c>
      <c r="D45" s="348" t="s">
        <v>1529</v>
      </c>
      <c r="E45" s="377" t="s">
        <v>1530</v>
      </c>
      <c r="F45" s="377"/>
      <c r="G45" s="379" t="b">
        <v>0</v>
      </c>
      <c r="H45" s="379"/>
      <c r="I45" s="194"/>
    </row>
    <row r="46">
      <c r="A46" s="376" t="s">
        <v>1531</v>
      </c>
      <c r="B46" s="377"/>
      <c r="C46" s="378" t="s">
        <v>1532</v>
      </c>
      <c r="D46" s="348"/>
      <c r="E46" s="377" t="s">
        <v>1533</v>
      </c>
      <c r="F46" s="377"/>
      <c r="G46" s="379" t="b">
        <v>0</v>
      </c>
      <c r="H46" s="379"/>
      <c r="I46" s="194"/>
    </row>
    <row r="47">
      <c r="A47" s="376" t="s">
        <v>1534</v>
      </c>
      <c r="B47" s="377"/>
      <c r="C47" s="378" t="s">
        <v>1535</v>
      </c>
      <c r="D47" s="348" t="s">
        <v>2748</v>
      </c>
      <c r="E47" s="377"/>
      <c r="F47" s="377"/>
      <c r="G47" s="379" t="b">
        <v>0</v>
      </c>
      <c r="H47" s="379"/>
      <c r="I47" s="194"/>
    </row>
    <row r="48">
      <c r="A48" s="376" t="s">
        <v>1537</v>
      </c>
      <c r="B48" s="377" t="s">
        <v>1538</v>
      </c>
      <c r="C48" s="378">
        <v>7.704891014E9</v>
      </c>
      <c r="D48" s="348" t="s">
        <v>1539</v>
      </c>
      <c r="E48" s="377" t="s">
        <v>1540</v>
      </c>
      <c r="F48" s="377"/>
      <c r="G48" s="379" t="b">
        <v>0</v>
      </c>
      <c r="H48" s="379"/>
      <c r="I48" s="194"/>
    </row>
    <row r="49">
      <c r="A49" s="376" t="s">
        <v>1541</v>
      </c>
      <c r="B49" s="377"/>
      <c r="C49" s="378"/>
      <c r="D49" s="348" t="s">
        <v>1542</v>
      </c>
      <c r="E49" s="377" t="s">
        <v>1543</v>
      </c>
      <c r="F49" s="377"/>
      <c r="G49" s="379" t="b">
        <v>0</v>
      </c>
      <c r="H49" s="379"/>
      <c r="I49" s="194"/>
    </row>
    <row r="50">
      <c r="A50" s="380" t="s">
        <v>1544</v>
      </c>
      <c r="B50" s="377"/>
      <c r="C50" s="378"/>
      <c r="D50" s="348" t="s">
        <v>2749</v>
      </c>
      <c r="E50" s="377"/>
      <c r="F50" s="377"/>
      <c r="G50" s="379" t="b">
        <v>0</v>
      </c>
      <c r="H50" s="379"/>
      <c r="I50" s="194"/>
    </row>
    <row r="51">
      <c r="A51" s="376" t="s">
        <v>1546</v>
      </c>
      <c r="B51" s="377"/>
      <c r="C51" s="378" t="s">
        <v>1547</v>
      </c>
      <c r="D51" s="348" t="s">
        <v>2750</v>
      </c>
      <c r="E51" s="377"/>
      <c r="F51" s="377"/>
      <c r="G51" s="379" t="b">
        <v>0</v>
      </c>
      <c r="H51" s="379"/>
      <c r="I51" s="194"/>
    </row>
    <row r="52">
      <c r="A52" s="380" t="s">
        <v>1549</v>
      </c>
      <c r="B52" s="377"/>
      <c r="C52" s="378" t="s">
        <v>1550</v>
      </c>
      <c r="D52" s="348" t="s">
        <v>1551</v>
      </c>
      <c r="E52" s="377"/>
      <c r="F52" s="377"/>
      <c r="G52" s="379" t="b">
        <v>0</v>
      </c>
      <c r="H52" s="379"/>
      <c r="I52" s="194"/>
    </row>
    <row r="53">
      <c r="A53" s="376" t="s">
        <v>1552</v>
      </c>
      <c r="B53" s="377"/>
      <c r="C53" s="378" t="s">
        <v>1553</v>
      </c>
      <c r="D53" s="348" t="s">
        <v>2751</v>
      </c>
      <c r="E53" s="377" t="s">
        <v>1555</v>
      </c>
      <c r="F53" s="377"/>
      <c r="G53" s="379" t="b">
        <v>0</v>
      </c>
      <c r="H53" s="379"/>
      <c r="I53" s="194"/>
    </row>
    <row r="54">
      <c r="A54" s="376" t="s">
        <v>1556</v>
      </c>
      <c r="B54" s="377"/>
      <c r="C54" s="378">
        <v>9.64783339989E12</v>
      </c>
      <c r="D54" s="348" t="s">
        <v>1557</v>
      </c>
      <c r="E54" s="377" t="s">
        <v>1558</v>
      </c>
      <c r="F54" s="377"/>
      <c r="G54" s="379" t="b">
        <v>0</v>
      </c>
      <c r="H54" s="379"/>
      <c r="I54" s="194"/>
    </row>
    <row r="55">
      <c r="A55" s="376" t="s">
        <v>1559</v>
      </c>
      <c r="B55" s="377"/>
      <c r="C55" s="378"/>
      <c r="D55" s="348" t="s">
        <v>1560</v>
      </c>
      <c r="E55" s="377" t="s">
        <v>1561</v>
      </c>
      <c r="F55" s="377"/>
      <c r="G55" s="379" t="b">
        <v>0</v>
      </c>
      <c r="H55" s="379"/>
      <c r="I55" s="194"/>
    </row>
    <row r="56">
      <c r="A56" s="376" t="s">
        <v>1562</v>
      </c>
      <c r="B56" s="377"/>
      <c r="C56" s="378">
        <v>9.647700073512E12</v>
      </c>
      <c r="D56" s="348" t="s">
        <v>1563</v>
      </c>
      <c r="E56" s="377" t="s">
        <v>1564</v>
      </c>
      <c r="F56" s="377"/>
      <c r="G56" s="379" t="b">
        <v>0</v>
      </c>
      <c r="H56" s="379"/>
      <c r="I56" s="194"/>
    </row>
    <row r="57">
      <c r="A57" s="376" t="s">
        <v>1565</v>
      </c>
      <c r="B57" s="377"/>
      <c r="C57" s="378" t="s">
        <v>1566</v>
      </c>
      <c r="D57" s="348" t="s">
        <v>1567</v>
      </c>
      <c r="E57" s="377" t="s">
        <v>1568</v>
      </c>
      <c r="F57" s="377"/>
      <c r="G57" s="379" t="b">
        <v>0</v>
      </c>
      <c r="H57" s="379"/>
      <c r="I57" s="194"/>
    </row>
    <row r="58">
      <c r="A58" s="376" t="s">
        <v>1569</v>
      </c>
      <c r="B58" s="377"/>
      <c r="C58" s="378" t="s">
        <v>1570</v>
      </c>
      <c r="D58" s="348" t="s">
        <v>1571</v>
      </c>
      <c r="E58" s="377" t="s">
        <v>1572</v>
      </c>
      <c r="F58" s="377"/>
      <c r="G58" s="379" t="b">
        <v>0</v>
      </c>
      <c r="H58" s="379"/>
      <c r="I58" s="194"/>
    </row>
    <row r="59">
      <c r="A59" s="380" t="s">
        <v>1573</v>
      </c>
      <c r="B59" s="377"/>
      <c r="C59" s="378"/>
      <c r="D59" s="348" t="s">
        <v>1574</v>
      </c>
      <c r="E59" s="377"/>
      <c r="F59" s="377"/>
      <c r="G59" s="379" t="b">
        <v>0</v>
      </c>
      <c r="H59" s="379"/>
      <c r="I59" s="194"/>
    </row>
    <row r="60">
      <c r="A60" s="376" t="s">
        <v>1575</v>
      </c>
      <c r="B60" s="377"/>
      <c r="C60" s="378"/>
      <c r="D60" s="348" t="s">
        <v>1576</v>
      </c>
      <c r="E60" s="377"/>
      <c r="F60" s="377"/>
      <c r="G60" s="379" t="b">
        <v>0</v>
      </c>
      <c r="H60" s="379"/>
      <c r="I60" s="194"/>
    </row>
    <row r="61">
      <c r="A61" s="376" t="s">
        <v>1577</v>
      </c>
      <c r="B61" s="377"/>
      <c r="C61" s="378">
        <v>9.647505166477E12</v>
      </c>
      <c r="D61" s="348" t="s">
        <v>1578</v>
      </c>
      <c r="E61" s="377"/>
      <c r="F61" s="377"/>
      <c r="G61" s="379" t="b">
        <v>0</v>
      </c>
      <c r="H61" s="379"/>
      <c r="I61" s="194"/>
    </row>
    <row r="62">
      <c r="A62" s="380" t="s">
        <v>1579</v>
      </c>
      <c r="B62" s="377"/>
      <c r="C62" s="378" t="s">
        <v>1580</v>
      </c>
      <c r="D62" s="348" t="s">
        <v>1581</v>
      </c>
      <c r="E62" s="377" t="s">
        <v>1582</v>
      </c>
      <c r="F62" s="377"/>
      <c r="G62" s="379" t="b">
        <v>0</v>
      </c>
      <c r="H62" s="379"/>
      <c r="I62" s="194"/>
    </row>
    <row r="63">
      <c r="A63" s="376" t="s">
        <v>1583</v>
      </c>
      <c r="B63" s="377"/>
      <c r="C63" s="378" t="s">
        <v>1584</v>
      </c>
      <c r="D63" s="348" t="s">
        <v>1585</v>
      </c>
      <c r="E63" s="377" t="s">
        <v>1586</v>
      </c>
      <c r="F63" s="377"/>
      <c r="G63" s="379" t="b">
        <v>0</v>
      </c>
      <c r="H63" s="379"/>
      <c r="I63" s="194"/>
    </row>
    <row r="64">
      <c r="A64" s="380" t="s">
        <v>1587</v>
      </c>
      <c r="B64" s="377"/>
      <c r="C64" s="378" t="s">
        <v>1588</v>
      </c>
      <c r="D64" s="348" t="s">
        <v>1589</v>
      </c>
      <c r="E64" s="377" t="s">
        <v>1590</v>
      </c>
      <c r="F64" s="377"/>
      <c r="G64" s="379" t="b">
        <v>0</v>
      </c>
      <c r="H64" s="379"/>
      <c r="I64" s="194"/>
    </row>
    <row r="65">
      <c r="A65" s="376" t="s">
        <v>1591</v>
      </c>
      <c r="B65" s="377"/>
      <c r="C65" s="378" t="s">
        <v>1592</v>
      </c>
      <c r="D65" s="348" t="s">
        <v>2752</v>
      </c>
      <c r="E65" s="377" t="s">
        <v>1594</v>
      </c>
      <c r="F65" s="377"/>
      <c r="G65" s="379" t="b">
        <v>0</v>
      </c>
      <c r="H65" s="379"/>
      <c r="I65" s="194"/>
    </row>
    <row r="66">
      <c r="A66" s="376" t="s">
        <v>1595</v>
      </c>
      <c r="B66" s="377"/>
      <c r="C66" s="378" t="s">
        <v>1596</v>
      </c>
      <c r="D66" s="348" t="s">
        <v>1597</v>
      </c>
      <c r="E66" s="377" t="s">
        <v>1598</v>
      </c>
      <c r="F66" s="377"/>
      <c r="G66" s="379" t="b">
        <v>0</v>
      </c>
      <c r="H66" s="379"/>
      <c r="I66" s="194"/>
    </row>
    <row r="67">
      <c r="A67" s="376" t="s">
        <v>1599</v>
      </c>
      <c r="B67" s="377"/>
      <c r="C67" s="378" t="s">
        <v>1600</v>
      </c>
      <c r="D67" s="348" t="s">
        <v>1601</v>
      </c>
      <c r="E67" s="377" t="s">
        <v>1602</v>
      </c>
      <c r="F67" s="377"/>
      <c r="G67" s="379" t="b">
        <v>0</v>
      </c>
      <c r="H67" s="379"/>
      <c r="I67" s="194"/>
    </row>
    <row r="68">
      <c r="A68" s="376" t="s">
        <v>1603</v>
      </c>
      <c r="B68" s="377"/>
      <c r="C68" s="378" t="s">
        <v>1604</v>
      </c>
      <c r="D68" s="348" t="s">
        <v>1605</v>
      </c>
      <c r="E68" s="377"/>
      <c r="F68" s="377"/>
      <c r="G68" s="379" t="b">
        <v>0</v>
      </c>
      <c r="H68" s="379"/>
      <c r="I68" s="194"/>
    </row>
    <row r="69">
      <c r="A69" s="380" t="s">
        <v>1606</v>
      </c>
      <c r="B69" s="377"/>
      <c r="C69" s="378" t="s">
        <v>1607</v>
      </c>
      <c r="D69" s="348"/>
      <c r="E69" s="377" t="s">
        <v>1608</v>
      </c>
      <c r="F69" s="377"/>
      <c r="G69" s="379" t="b">
        <v>0</v>
      </c>
      <c r="H69" s="379"/>
      <c r="I69" s="194"/>
    </row>
    <row r="70">
      <c r="A70" s="380" t="s">
        <v>1609</v>
      </c>
      <c r="B70" s="377"/>
      <c r="C70" s="378" t="s">
        <v>1610</v>
      </c>
      <c r="D70" s="348" t="s">
        <v>1611</v>
      </c>
      <c r="E70" s="388" t="s">
        <v>1612</v>
      </c>
      <c r="F70" s="377"/>
      <c r="G70" s="379" t="b">
        <v>0</v>
      </c>
      <c r="H70" s="379"/>
      <c r="I70" s="194"/>
    </row>
    <row r="71">
      <c r="A71" s="376" t="s">
        <v>1613</v>
      </c>
      <c r="B71" s="377"/>
      <c r="C71" s="378" t="s">
        <v>1614</v>
      </c>
      <c r="D71" s="348" t="s">
        <v>1615</v>
      </c>
      <c r="E71" s="377" t="s">
        <v>1616</v>
      </c>
      <c r="F71" s="377"/>
      <c r="G71" s="379" t="b">
        <v>0</v>
      </c>
      <c r="H71" s="379"/>
      <c r="I71" s="194"/>
    </row>
    <row r="72">
      <c r="A72" s="376" t="s">
        <v>1617</v>
      </c>
      <c r="B72" s="377"/>
      <c r="C72" s="378"/>
      <c r="D72" s="348" t="s">
        <v>1618</v>
      </c>
      <c r="E72" s="377" t="s">
        <v>1619</v>
      </c>
      <c r="F72" s="377"/>
      <c r="G72" s="379" t="b">
        <v>0</v>
      </c>
      <c r="H72" s="379"/>
      <c r="I72" s="194"/>
    </row>
    <row r="73">
      <c r="A73" s="380" t="s">
        <v>1620</v>
      </c>
      <c r="B73" s="377"/>
      <c r="C73" s="378" t="s">
        <v>1621</v>
      </c>
      <c r="D73" s="348" t="s">
        <v>1622</v>
      </c>
      <c r="E73" s="377"/>
      <c r="F73" s="377"/>
      <c r="G73" s="379" t="b">
        <v>0</v>
      </c>
      <c r="H73" s="379"/>
      <c r="I73" s="194"/>
    </row>
    <row r="74">
      <c r="A74" s="380" t="s">
        <v>1623</v>
      </c>
      <c r="B74" s="377"/>
      <c r="C74" s="378"/>
      <c r="D74" s="348" t="s">
        <v>1624</v>
      </c>
      <c r="E74" s="377" t="s">
        <v>1625</v>
      </c>
      <c r="F74" s="377"/>
      <c r="G74" s="379" t="b">
        <v>0</v>
      </c>
      <c r="H74" s="379"/>
      <c r="I74" s="194"/>
    </row>
    <row r="75">
      <c r="A75" s="380" t="s">
        <v>1626</v>
      </c>
      <c r="B75" s="377"/>
      <c r="C75" s="378">
        <v>7.834907607E9</v>
      </c>
      <c r="D75" s="348" t="s">
        <v>1627</v>
      </c>
      <c r="E75" s="377" t="s">
        <v>1628</v>
      </c>
      <c r="F75" s="377"/>
      <c r="G75" s="379" t="b">
        <v>0</v>
      </c>
      <c r="H75" s="379"/>
      <c r="I75" s="194"/>
    </row>
    <row r="76">
      <c r="A76" s="380" t="s">
        <v>1629</v>
      </c>
      <c r="B76" s="377"/>
      <c r="C76" s="378" t="s">
        <v>1630</v>
      </c>
      <c r="D76" s="348" t="s">
        <v>1631</v>
      </c>
      <c r="E76" s="377" t="s">
        <v>1632</v>
      </c>
      <c r="F76" s="377"/>
      <c r="G76" s="379" t="b">
        <v>0</v>
      </c>
      <c r="H76" s="379"/>
      <c r="I76" s="194"/>
    </row>
    <row r="77">
      <c r="A77" s="380" t="s">
        <v>1633</v>
      </c>
      <c r="B77" s="377"/>
      <c r="C77" s="378" t="s">
        <v>1634</v>
      </c>
      <c r="D77" s="348" t="s">
        <v>1635</v>
      </c>
      <c r="E77" s="377" t="s">
        <v>1636</v>
      </c>
      <c r="F77" s="377"/>
      <c r="G77" s="379" t="b">
        <v>0</v>
      </c>
      <c r="H77" s="379"/>
      <c r="I77" s="194"/>
    </row>
    <row r="78">
      <c r="A78" s="376" t="s">
        <v>1637</v>
      </c>
      <c r="B78" s="377"/>
      <c r="C78" s="378" t="s">
        <v>1638</v>
      </c>
      <c r="D78" s="348" t="s">
        <v>1639</v>
      </c>
      <c r="E78" s="377" t="s">
        <v>1640</v>
      </c>
      <c r="F78" s="377"/>
      <c r="G78" s="379" t="b">
        <v>0</v>
      </c>
      <c r="H78" s="379"/>
      <c r="I78" s="194"/>
    </row>
    <row r="79">
      <c r="A79" s="376" t="s">
        <v>1641</v>
      </c>
      <c r="B79" s="377"/>
      <c r="C79" s="378" t="s">
        <v>1642</v>
      </c>
      <c r="D79" s="348" t="s">
        <v>1643</v>
      </c>
      <c r="E79" s="377" t="s">
        <v>1644</v>
      </c>
      <c r="F79" s="377"/>
      <c r="G79" s="379" t="b">
        <v>0</v>
      </c>
      <c r="H79" s="379"/>
      <c r="I79" s="194"/>
    </row>
    <row r="80">
      <c r="A80" s="376" t="s">
        <v>1645</v>
      </c>
      <c r="B80" s="377"/>
      <c r="C80" s="378" t="s">
        <v>1646</v>
      </c>
      <c r="D80" s="348" t="s">
        <v>1647</v>
      </c>
      <c r="E80" s="377" t="s">
        <v>1648</v>
      </c>
      <c r="F80" s="377"/>
      <c r="G80" s="379" t="b">
        <v>0</v>
      </c>
      <c r="H80" s="379"/>
      <c r="I80" s="194"/>
    </row>
    <row r="81">
      <c r="A81" s="376" t="s">
        <v>1649</v>
      </c>
      <c r="B81" s="377"/>
      <c r="C81" s="378" t="s">
        <v>1650</v>
      </c>
      <c r="D81" s="348" t="s">
        <v>1651</v>
      </c>
      <c r="E81" s="377" t="s">
        <v>1652</v>
      </c>
      <c r="F81" s="377"/>
      <c r="G81" s="379" t="b">
        <v>0</v>
      </c>
      <c r="H81" s="379"/>
      <c r="I81" s="194"/>
    </row>
    <row r="82">
      <c r="A82" s="376"/>
      <c r="B82" s="377"/>
      <c r="C82" s="378"/>
      <c r="D82" s="348"/>
      <c r="E82" s="377"/>
      <c r="F82" s="377"/>
      <c r="G82" s="379" t="b">
        <v>0</v>
      </c>
      <c r="H82" s="379"/>
      <c r="I82" s="194"/>
    </row>
    <row r="83">
      <c r="A83" s="376" t="s">
        <v>1653</v>
      </c>
      <c r="B83" s="377"/>
      <c r="C83" s="378"/>
      <c r="D83" s="348"/>
      <c r="E83" s="377"/>
      <c r="F83" s="377"/>
      <c r="G83" s="379" t="b">
        <v>0</v>
      </c>
      <c r="H83" s="379"/>
      <c r="I83" s="194"/>
    </row>
    <row r="84">
      <c r="A84" s="376"/>
      <c r="B84" s="377"/>
      <c r="C84" s="378"/>
      <c r="D84" s="348"/>
      <c r="E84" s="377"/>
      <c r="F84" s="377"/>
      <c r="G84" s="379" t="b">
        <v>0</v>
      </c>
      <c r="H84" s="379"/>
      <c r="I84" s="194"/>
    </row>
    <row r="85">
      <c r="A85" s="376" t="s">
        <v>1654</v>
      </c>
      <c r="B85" s="377"/>
      <c r="C85" s="378">
        <v>7.827851649E9</v>
      </c>
      <c r="D85" s="348" t="s">
        <v>1655</v>
      </c>
      <c r="E85" s="377"/>
      <c r="F85" s="377"/>
      <c r="G85" s="379" t="b">
        <v>0</v>
      </c>
      <c r="H85" s="379"/>
      <c r="I85" s="194"/>
    </row>
    <row r="86">
      <c r="A86" s="376"/>
      <c r="B86" s="377"/>
      <c r="C86" s="378"/>
      <c r="D86" s="348"/>
      <c r="E86" s="377"/>
      <c r="F86" s="377"/>
      <c r="G86" s="379" t="b">
        <v>0</v>
      </c>
      <c r="H86" s="379"/>
      <c r="I86" s="194"/>
    </row>
    <row r="87">
      <c r="A87" s="376" t="s">
        <v>1656</v>
      </c>
      <c r="B87" s="377"/>
      <c r="C87" s="378"/>
      <c r="D87" s="348"/>
      <c r="E87" s="377"/>
      <c r="F87" s="377"/>
      <c r="G87" s="379" t="b">
        <v>0</v>
      </c>
      <c r="H87" s="379"/>
      <c r="I87" s="194"/>
    </row>
    <row r="88">
      <c r="A88" s="376" t="s">
        <v>1657</v>
      </c>
      <c r="B88" s="377"/>
      <c r="C88" s="378"/>
      <c r="D88" s="348"/>
      <c r="E88" s="377"/>
      <c r="F88" s="377"/>
      <c r="G88" s="379" t="b">
        <v>0</v>
      </c>
      <c r="H88" s="379"/>
      <c r="I88" s="194"/>
    </row>
    <row r="89">
      <c r="A89" s="376" t="s">
        <v>1658</v>
      </c>
      <c r="B89" s="377"/>
      <c r="C89" s="378">
        <v>7.704671622E9</v>
      </c>
      <c r="D89" s="348"/>
      <c r="E89" s="377"/>
      <c r="F89" s="377"/>
      <c r="G89" s="379" t="b">
        <v>0</v>
      </c>
      <c r="H89" s="379"/>
      <c r="I89" s="194"/>
    </row>
    <row r="90">
      <c r="A90" s="376" t="s">
        <v>1659</v>
      </c>
      <c r="B90" s="377"/>
      <c r="C90" s="378" t="s">
        <v>1660</v>
      </c>
      <c r="D90" s="348" t="s">
        <v>1661</v>
      </c>
      <c r="E90" s="377"/>
      <c r="F90" s="377"/>
      <c r="G90" s="379" t="b">
        <v>0</v>
      </c>
      <c r="H90" s="379"/>
      <c r="I90" s="194"/>
    </row>
    <row r="91">
      <c r="A91" s="386"/>
      <c r="B91" s="379"/>
      <c r="C91" s="385"/>
      <c r="D91" s="344"/>
      <c r="E91" s="379"/>
      <c r="F91" s="379"/>
      <c r="G91" s="379" t="b">
        <v>0</v>
      </c>
      <c r="H91" s="379"/>
      <c r="I91" s="194"/>
    </row>
    <row r="92">
      <c r="A92" s="386"/>
      <c r="B92" s="379"/>
      <c r="C92" s="385"/>
      <c r="D92" s="344"/>
      <c r="E92" s="379"/>
      <c r="F92" s="379"/>
      <c r="G92" s="379" t="b">
        <v>0</v>
      </c>
      <c r="H92" s="379"/>
      <c r="I92" s="194"/>
    </row>
    <row r="93">
      <c r="A93" s="386"/>
      <c r="B93" s="379"/>
      <c r="C93" s="385"/>
      <c r="D93" s="344"/>
      <c r="E93" s="379"/>
      <c r="F93" s="379"/>
      <c r="G93" s="379" t="b">
        <v>0</v>
      </c>
      <c r="H93" s="379"/>
      <c r="I93" s="194"/>
    </row>
    <row r="94">
      <c r="A94" s="386"/>
      <c r="B94" s="379"/>
      <c r="C94" s="385"/>
      <c r="D94" s="344"/>
      <c r="E94" s="379"/>
      <c r="F94" s="379"/>
      <c r="G94" s="379" t="b">
        <v>0</v>
      </c>
      <c r="H94" s="379"/>
      <c r="I94" s="194"/>
    </row>
    <row r="95">
      <c r="A95" s="386"/>
      <c r="B95" s="379"/>
      <c r="C95" s="385"/>
      <c r="D95" s="344"/>
      <c r="E95" s="379"/>
      <c r="F95" s="379"/>
      <c r="G95" s="379" t="b">
        <v>0</v>
      </c>
      <c r="H95" s="379"/>
      <c r="I95" s="194"/>
    </row>
    <row r="96">
      <c r="A96" s="386"/>
      <c r="B96" s="379"/>
      <c r="C96" s="385"/>
      <c r="D96" s="344"/>
      <c r="E96" s="379"/>
      <c r="F96" s="379"/>
      <c r="G96" s="379" t="b">
        <v>0</v>
      </c>
      <c r="H96" s="379"/>
      <c r="I96" s="194"/>
    </row>
    <row r="97">
      <c r="A97" s="386"/>
      <c r="B97" s="379"/>
      <c r="C97" s="385"/>
      <c r="D97" s="344"/>
      <c r="E97" s="379"/>
      <c r="F97" s="379"/>
      <c r="G97" s="379" t="b">
        <v>0</v>
      </c>
      <c r="H97" s="379"/>
      <c r="I97" s="194"/>
    </row>
    <row r="98">
      <c r="A98" s="386"/>
      <c r="B98" s="379"/>
      <c r="C98" s="385"/>
      <c r="D98" s="344"/>
      <c r="E98" s="379"/>
      <c r="F98" s="379"/>
      <c r="G98" s="379" t="b">
        <v>0</v>
      </c>
      <c r="H98" s="379"/>
      <c r="I98" s="194"/>
    </row>
    <row r="99">
      <c r="A99" s="386"/>
      <c r="B99" s="379"/>
      <c r="C99" s="385"/>
      <c r="D99" s="344"/>
      <c r="E99" s="379"/>
      <c r="F99" s="379"/>
      <c r="G99" s="379" t="b">
        <v>0</v>
      </c>
      <c r="H99" s="379"/>
      <c r="I99" s="194"/>
    </row>
    <row r="100">
      <c r="A100" s="386"/>
      <c r="B100" s="379"/>
      <c r="C100" s="385"/>
      <c r="D100" s="344"/>
      <c r="E100" s="379"/>
      <c r="F100" s="379"/>
      <c r="G100" s="379" t="b">
        <v>0</v>
      </c>
      <c r="H100" s="379"/>
      <c r="I100" s="194"/>
    </row>
    <row r="101">
      <c r="A101" s="386"/>
      <c r="B101" s="379"/>
      <c r="C101" s="385"/>
      <c r="D101" s="344"/>
      <c r="E101" s="379"/>
      <c r="F101" s="379"/>
      <c r="G101" s="379" t="b">
        <v>0</v>
      </c>
      <c r="H101" s="379"/>
      <c r="I101" s="194"/>
    </row>
    <row r="102">
      <c r="A102" s="386"/>
      <c r="B102" s="379"/>
      <c r="C102" s="385"/>
      <c r="D102" s="344"/>
      <c r="E102" s="379"/>
      <c r="F102" s="379"/>
      <c r="G102" s="379" t="b">
        <v>0</v>
      </c>
      <c r="H102" s="379"/>
      <c r="I102" s="194"/>
    </row>
    <row r="103">
      <c r="A103" s="389"/>
      <c r="B103" s="203"/>
      <c r="C103" s="390"/>
      <c r="D103" s="345"/>
      <c r="E103" s="203"/>
      <c r="F103" s="203"/>
      <c r="G103" s="203"/>
      <c r="H103" s="203"/>
    </row>
    <row r="104">
      <c r="A104" s="389"/>
      <c r="B104" s="203"/>
      <c r="C104" s="390"/>
      <c r="D104" s="345"/>
      <c r="E104" s="203"/>
      <c r="F104" s="203"/>
      <c r="G104" s="203"/>
      <c r="H104" s="203"/>
    </row>
    <row r="105">
      <c r="A105" s="389"/>
      <c r="B105" s="203"/>
      <c r="C105" s="390"/>
      <c r="D105" s="345"/>
      <c r="E105" s="203"/>
      <c r="F105" s="203"/>
      <c r="G105" s="203"/>
      <c r="H105" s="203"/>
    </row>
    <row r="106">
      <c r="A106" s="389"/>
      <c r="B106" s="203"/>
      <c r="C106" s="390"/>
      <c r="D106" s="345"/>
      <c r="E106" s="203"/>
      <c r="F106" s="203"/>
      <c r="G106" s="203"/>
      <c r="H106" s="203"/>
    </row>
    <row r="107">
      <c r="A107" s="389"/>
      <c r="B107" s="203"/>
      <c r="C107" s="390"/>
      <c r="D107" s="345"/>
      <c r="E107" s="203"/>
      <c r="F107" s="203"/>
      <c r="G107" s="203"/>
      <c r="H107" s="203"/>
    </row>
    <row r="108">
      <c r="A108" s="389"/>
      <c r="B108" s="203"/>
      <c r="C108" s="390"/>
      <c r="D108" s="345"/>
      <c r="E108" s="203"/>
      <c r="F108" s="203"/>
      <c r="G108" s="203"/>
      <c r="H108" s="203"/>
    </row>
    <row r="109">
      <c r="A109" s="389"/>
      <c r="B109" s="203"/>
      <c r="C109" s="390"/>
      <c r="D109" s="345"/>
      <c r="E109" s="203"/>
      <c r="F109" s="203"/>
      <c r="G109" s="203"/>
      <c r="H109" s="203"/>
    </row>
    <row r="110">
      <c r="A110" s="389"/>
      <c r="B110" s="203"/>
      <c r="C110" s="390"/>
      <c r="D110" s="345"/>
      <c r="E110" s="203"/>
      <c r="F110" s="203"/>
      <c r="G110" s="203"/>
      <c r="H110" s="203"/>
    </row>
    <row r="111">
      <c r="A111" s="389"/>
      <c r="B111" s="203"/>
      <c r="C111" s="390"/>
      <c r="D111" s="345"/>
      <c r="E111" s="203"/>
      <c r="F111" s="203"/>
      <c r="G111" s="203"/>
      <c r="H111" s="203"/>
    </row>
    <row r="112">
      <c r="A112" s="389"/>
      <c r="B112" s="203"/>
      <c r="C112" s="390"/>
      <c r="D112" s="345"/>
      <c r="E112" s="203"/>
      <c r="F112" s="203"/>
      <c r="G112" s="203"/>
      <c r="H112" s="203"/>
    </row>
    <row r="113">
      <c r="A113" s="389"/>
      <c r="B113" s="203"/>
      <c r="C113" s="390"/>
      <c r="D113" s="345"/>
      <c r="E113" s="203"/>
      <c r="F113" s="203"/>
      <c r="G113" s="203"/>
      <c r="H113" s="203"/>
    </row>
    <row r="114">
      <c r="A114" s="389"/>
      <c r="B114" s="203"/>
      <c r="C114" s="390"/>
      <c r="D114" s="345"/>
      <c r="E114" s="203"/>
      <c r="F114" s="203"/>
      <c r="G114" s="203"/>
      <c r="H114" s="203"/>
    </row>
    <row r="115">
      <c r="A115" s="389"/>
      <c r="B115" s="203"/>
      <c r="C115" s="390"/>
      <c r="D115" s="345"/>
      <c r="E115" s="203"/>
      <c r="F115" s="203"/>
      <c r="G115" s="203"/>
      <c r="H115" s="203"/>
    </row>
    <row r="116">
      <c r="A116" s="389"/>
      <c r="B116" s="203"/>
      <c r="C116" s="390"/>
      <c r="D116" s="345"/>
      <c r="E116" s="203"/>
      <c r="F116" s="203"/>
      <c r="G116" s="203"/>
      <c r="H116" s="203"/>
    </row>
    <row r="117">
      <c r="A117" s="389"/>
      <c r="B117" s="203"/>
      <c r="C117" s="390"/>
      <c r="D117" s="345"/>
      <c r="E117" s="203"/>
      <c r="F117" s="203"/>
      <c r="G117" s="203"/>
      <c r="H117" s="203"/>
    </row>
    <row r="118">
      <c r="A118" s="389"/>
      <c r="B118" s="203"/>
      <c r="C118" s="390"/>
      <c r="D118" s="345"/>
      <c r="E118" s="203"/>
      <c r="F118" s="203"/>
      <c r="G118" s="203"/>
      <c r="H118" s="203"/>
    </row>
    <row r="119">
      <c r="A119" s="389"/>
      <c r="B119" s="203"/>
      <c r="C119" s="390"/>
      <c r="D119" s="345"/>
      <c r="E119" s="203"/>
      <c r="F119" s="203"/>
      <c r="G119" s="203"/>
      <c r="H119" s="203"/>
    </row>
    <row r="120">
      <c r="A120" s="389"/>
      <c r="B120" s="203"/>
      <c r="C120" s="390"/>
      <c r="D120" s="345"/>
      <c r="E120" s="203"/>
      <c r="F120" s="203"/>
      <c r="G120" s="203"/>
      <c r="H120" s="203"/>
    </row>
    <row r="121">
      <c r="A121" s="389"/>
      <c r="B121" s="203"/>
      <c r="C121" s="390"/>
      <c r="D121" s="345"/>
      <c r="E121" s="203"/>
      <c r="F121" s="203"/>
      <c r="G121" s="203"/>
      <c r="H121" s="203"/>
    </row>
    <row r="122">
      <c r="A122" s="389"/>
      <c r="B122" s="203"/>
      <c r="C122" s="390"/>
      <c r="D122" s="345"/>
      <c r="E122" s="203"/>
      <c r="F122" s="203"/>
      <c r="G122" s="203"/>
      <c r="H122" s="203"/>
    </row>
    <row r="123">
      <c r="A123" s="389"/>
      <c r="B123" s="203"/>
      <c r="C123" s="390"/>
      <c r="D123" s="345"/>
      <c r="E123" s="203"/>
      <c r="F123" s="203"/>
      <c r="G123" s="203"/>
      <c r="H123" s="203"/>
    </row>
    <row r="124">
      <c r="A124" s="389"/>
      <c r="B124" s="203"/>
      <c r="C124" s="390"/>
      <c r="D124" s="345"/>
      <c r="E124" s="203"/>
      <c r="F124" s="203"/>
      <c r="G124" s="203"/>
      <c r="H124" s="203"/>
    </row>
    <row r="125">
      <c r="A125" s="389"/>
      <c r="B125" s="203"/>
      <c r="C125" s="390"/>
      <c r="D125" s="345"/>
      <c r="E125" s="203"/>
      <c r="F125" s="203"/>
      <c r="G125" s="203"/>
      <c r="H125" s="203"/>
    </row>
    <row r="126">
      <c r="A126" s="389"/>
      <c r="B126" s="203"/>
      <c r="C126" s="390"/>
      <c r="D126" s="345"/>
      <c r="E126" s="203"/>
      <c r="F126" s="203"/>
      <c r="G126" s="203"/>
      <c r="H126" s="203"/>
    </row>
    <row r="127">
      <c r="A127" s="389"/>
      <c r="B127" s="203"/>
      <c r="C127" s="390"/>
      <c r="D127" s="345"/>
      <c r="E127" s="203"/>
      <c r="F127" s="203"/>
      <c r="G127" s="203"/>
      <c r="H127" s="203"/>
    </row>
    <row r="128">
      <c r="A128" s="389"/>
      <c r="B128" s="203"/>
      <c r="C128" s="390"/>
      <c r="D128" s="345"/>
      <c r="E128" s="203"/>
      <c r="F128" s="203"/>
      <c r="G128" s="203"/>
      <c r="H128" s="203"/>
    </row>
    <row r="129">
      <c r="A129" s="389"/>
      <c r="B129" s="203"/>
      <c r="C129" s="390"/>
      <c r="D129" s="345"/>
      <c r="E129" s="203"/>
      <c r="F129" s="203"/>
      <c r="G129" s="203"/>
      <c r="H129" s="203"/>
    </row>
    <row r="130">
      <c r="A130" s="389"/>
      <c r="B130" s="203"/>
      <c r="C130" s="390"/>
      <c r="D130" s="345"/>
      <c r="E130" s="203"/>
      <c r="F130" s="203"/>
      <c r="G130" s="203"/>
      <c r="H130" s="203"/>
    </row>
    <row r="131">
      <c r="A131" s="389"/>
      <c r="B131" s="203"/>
      <c r="C131" s="390"/>
      <c r="D131" s="345"/>
      <c r="E131" s="203"/>
      <c r="F131" s="203"/>
      <c r="G131" s="203"/>
      <c r="H131" s="203"/>
    </row>
    <row r="132">
      <c r="A132" s="389"/>
      <c r="B132" s="203"/>
      <c r="C132" s="390"/>
      <c r="D132" s="345"/>
      <c r="E132" s="203"/>
      <c r="F132" s="203"/>
      <c r="G132" s="203"/>
      <c r="H132" s="203"/>
    </row>
    <row r="133">
      <c r="A133" s="389"/>
      <c r="B133" s="203"/>
      <c r="C133" s="390"/>
      <c r="D133" s="345"/>
      <c r="E133" s="203"/>
      <c r="F133" s="203"/>
      <c r="G133" s="203"/>
      <c r="H133" s="203"/>
    </row>
    <row r="134">
      <c r="A134" s="389"/>
      <c r="B134" s="203"/>
      <c r="C134" s="390"/>
      <c r="D134" s="345"/>
      <c r="E134" s="203"/>
      <c r="F134" s="203"/>
      <c r="G134" s="203"/>
      <c r="H134" s="203"/>
    </row>
    <row r="135">
      <c r="A135" s="389"/>
      <c r="B135" s="203"/>
      <c r="C135" s="390"/>
      <c r="D135" s="345"/>
      <c r="E135" s="203"/>
      <c r="F135" s="203"/>
      <c r="G135" s="203"/>
      <c r="H135" s="203"/>
    </row>
    <row r="136">
      <c r="A136" s="389"/>
      <c r="B136" s="203"/>
      <c r="C136" s="390"/>
      <c r="D136" s="345"/>
      <c r="E136" s="203"/>
      <c r="F136" s="203"/>
      <c r="G136" s="203"/>
      <c r="H136" s="203"/>
    </row>
    <row r="137">
      <c r="A137" s="389"/>
      <c r="B137" s="203"/>
      <c r="C137" s="390"/>
      <c r="D137" s="345"/>
      <c r="E137" s="203"/>
      <c r="F137" s="203"/>
      <c r="G137" s="203"/>
      <c r="H137" s="203"/>
    </row>
    <row r="138">
      <c r="A138" s="389"/>
      <c r="B138" s="203"/>
      <c r="C138" s="390"/>
      <c r="D138" s="345"/>
      <c r="E138" s="203"/>
      <c r="F138" s="203"/>
      <c r="G138" s="203"/>
      <c r="H138" s="203"/>
    </row>
    <row r="139">
      <c r="A139" s="389"/>
      <c r="B139" s="203"/>
      <c r="C139" s="390"/>
      <c r="D139" s="345"/>
      <c r="E139" s="203"/>
      <c r="F139" s="203"/>
      <c r="G139" s="203"/>
      <c r="H139" s="203"/>
    </row>
    <row r="140">
      <c r="A140" s="389"/>
      <c r="B140" s="203"/>
      <c r="C140" s="390"/>
      <c r="D140" s="345"/>
      <c r="E140" s="203"/>
      <c r="F140" s="203"/>
      <c r="G140" s="203"/>
      <c r="H140" s="203"/>
    </row>
    <row r="141">
      <c r="A141" s="389"/>
      <c r="B141" s="203"/>
      <c r="C141" s="390"/>
      <c r="D141" s="345"/>
      <c r="E141" s="203"/>
      <c r="F141" s="203"/>
      <c r="G141" s="203"/>
      <c r="H141" s="203"/>
    </row>
    <row r="142">
      <c r="A142" s="389"/>
      <c r="B142" s="203"/>
      <c r="C142" s="390"/>
      <c r="D142" s="345"/>
      <c r="E142" s="203"/>
      <c r="F142" s="203"/>
      <c r="G142" s="203"/>
      <c r="H142" s="203"/>
    </row>
    <row r="143">
      <c r="A143" s="389"/>
      <c r="B143" s="203"/>
      <c r="C143" s="390"/>
      <c r="D143" s="345"/>
      <c r="E143" s="203"/>
      <c r="F143" s="203"/>
      <c r="G143" s="203"/>
      <c r="H143" s="203"/>
    </row>
    <row r="144">
      <c r="A144" s="389"/>
      <c r="B144" s="203"/>
      <c r="C144" s="390"/>
      <c r="D144" s="345"/>
      <c r="E144" s="203"/>
      <c r="F144" s="203"/>
      <c r="G144" s="203"/>
      <c r="H144" s="203"/>
    </row>
    <row r="145">
      <c r="A145" s="389"/>
      <c r="B145" s="203"/>
      <c r="C145" s="390"/>
      <c r="D145" s="345"/>
      <c r="E145" s="203"/>
      <c r="F145" s="203"/>
      <c r="G145" s="203"/>
      <c r="H145" s="203"/>
    </row>
    <row r="146">
      <c r="A146" s="389"/>
      <c r="B146" s="203"/>
      <c r="C146" s="390"/>
      <c r="D146" s="345"/>
      <c r="E146" s="203"/>
      <c r="F146" s="203"/>
      <c r="G146" s="203"/>
      <c r="H146" s="203"/>
    </row>
    <row r="147">
      <c r="A147" s="389"/>
      <c r="B147" s="203"/>
      <c r="C147" s="390"/>
      <c r="D147" s="345"/>
      <c r="E147" s="203"/>
      <c r="F147" s="203"/>
      <c r="G147" s="203"/>
      <c r="H147" s="203"/>
    </row>
    <row r="148">
      <c r="A148" s="389"/>
      <c r="B148" s="203"/>
      <c r="C148" s="390"/>
      <c r="D148" s="345"/>
      <c r="E148" s="203"/>
      <c r="F148" s="203"/>
      <c r="G148" s="203"/>
      <c r="H148" s="203"/>
    </row>
    <row r="149">
      <c r="A149" s="389"/>
      <c r="B149" s="203"/>
      <c r="C149" s="390"/>
      <c r="D149" s="345"/>
      <c r="E149" s="203"/>
      <c r="F149" s="203"/>
      <c r="G149" s="203"/>
      <c r="H149" s="203"/>
    </row>
    <row r="150">
      <c r="A150" s="389"/>
      <c r="B150" s="203"/>
      <c r="C150" s="390"/>
      <c r="D150" s="345"/>
      <c r="E150" s="203"/>
      <c r="F150" s="203"/>
      <c r="G150" s="203"/>
      <c r="H150" s="203"/>
    </row>
    <row r="151">
      <c r="A151" s="389"/>
      <c r="B151" s="203"/>
      <c r="C151" s="390"/>
      <c r="D151" s="345"/>
      <c r="E151" s="203"/>
      <c r="F151" s="203"/>
      <c r="G151" s="203"/>
      <c r="H151" s="203"/>
    </row>
    <row r="152">
      <c r="A152" s="389"/>
      <c r="B152" s="203"/>
      <c r="C152" s="390"/>
      <c r="D152" s="345"/>
      <c r="E152" s="203"/>
      <c r="F152" s="203"/>
      <c r="G152" s="203"/>
      <c r="H152" s="203"/>
    </row>
    <row r="153">
      <c r="A153" s="389"/>
      <c r="B153" s="203"/>
      <c r="C153" s="390"/>
      <c r="D153" s="345"/>
      <c r="E153" s="203"/>
      <c r="F153" s="203"/>
      <c r="G153" s="203"/>
      <c r="H153" s="203"/>
    </row>
    <row r="154">
      <c r="A154" s="389"/>
      <c r="B154" s="203"/>
      <c r="C154" s="390"/>
      <c r="D154" s="345"/>
      <c r="E154" s="203"/>
      <c r="F154" s="203"/>
      <c r="G154" s="203"/>
      <c r="H154" s="203"/>
    </row>
    <row r="155">
      <c r="A155" s="389"/>
      <c r="B155" s="203"/>
      <c r="C155" s="390"/>
      <c r="D155" s="345"/>
      <c r="E155" s="203"/>
      <c r="F155" s="203"/>
      <c r="G155" s="203"/>
      <c r="H155" s="203"/>
    </row>
    <row r="156">
      <c r="A156" s="389"/>
      <c r="B156" s="203"/>
      <c r="C156" s="390"/>
      <c r="D156" s="345"/>
      <c r="E156" s="203"/>
      <c r="F156" s="203"/>
      <c r="G156" s="203"/>
      <c r="H156" s="203"/>
    </row>
    <row r="157">
      <c r="A157" s="389"/>
      <c r="B157" s="203"/>
      <c r="C157" s="390"/>
      <c r="D157" s="345"/>
      <c r="E157" s="203"/>
      <c r="F157" s="203"/>
      <c r="G157" s="203"/>
      <c r="H157" s="203"/>
    </row>
    <row r="158">
      <c r="A158" s="389"/>
      <c r="B158" s="203"/>
      <c r="C158" s="390"/>
      <c r="D158" s="345"/>
      <c r="E158" s="203"/>
      <c r="F158" s="203"/>
      <c r="G158" s="203"/>
      <c r="H158" s="203"/>
    </row>
    <row r="159">
      <c r="A159" s="389"/>
      <c r="B159" s="203"/>
      <c r="C159" s="390"/>
      <c r="D159" s="345"/>
      <c r="E159" s="203"/>
      <c r="F159" s="203"/>
      <c r="G159" s="203"/>
      <c r="H159" s="203"/>
    </row>
    <row r="160">
      <c r="A160" s="389"/>
      <c r="B160" s="203"/>
      <c r="C160" s="390"/>
      <c r="D160" s="345"/>
      <c r="E160" s="203"/>
      <c r="F160" s="203"/>
      <c r="G160" s="203"/>
      <c r="H160" s="203"/>
    </row>
    <row r="161">
      <c r="A161" s="389"/>
      <c r="B161" s="203"/>
      <c r="C161" s="390"/>
      <c r="D161" s="345"/>
      <c r="E161" s="203"/>
      <c r="F161" s="203"/>
      <c r="G161" s="203"/>
      <c r="H161" s="203"/>
    </row>
    <row r="162">
      <c r="A162" s="389"/>
      <c r="B162" s="203"/>
      <c r="C162" s="390"/>
      <c r="D162" s="345"/>
      <c r="E162" s="203"/>
      <c r="F162" s="203"/>
      <c r="G162" s="203"/>
      <c r="H162" s="203"/>
    </row>
    <row r="163">
      <c r="A163" s="389"/>
      <c r="B163" s="203"/>
      <c r="C163" s="390"/>
      <c r="D163" s="345"/>
      <c r="E163" s="203"/>
      <c r="F163" s="203"/>
      <c r="G163" s="203"/>
      <c r="H163" s="203"/>
    </row>
    <row r="164">
      <c r="A164" s="389"/>
      <c r="B164" s="203"/>
      <c r="C164" s="390"/>
      <c r="D164" s="345"/>
      <c r="E164" s="203"/>
      <c r="F164" s="203"/>
      <c r="G164" s="203"/>
      <c r="H164" s="203"/>
    </row>
    <row r="165">
      <c r="A165" s="389"/>
      <c r="B165" s="203"/>
      <c r="C165" s="390"/>
      <c r="D165" s="345"/>
      <c r="E165" s="203"/>
      <c r="F165" s="203"/>
      <c r="G165" s="203"/>
      <c r="H165" s="203"/>
    </row>
    <row r="166">
      <c r="A166" s="389"/>
      <c r="B166" s="203"/>
      <c r="C166" s="390"/>
      <c r="D166" s="345"/>
      <c r="E166" s="203"/>
      <c r="F166" s="203"/>
      <c r="G166" s="203"/>
      <c r="H166" s="203"/>
    </row>
    <row r="167">
      <c r="A167" s="389"/>
      <c r="B167" s="203"/>
      <c r="C167" s="390"/>
      <c r="D167" s="345"/>
      <c r="E167" s="203"/>
      <c r="F167" s="203"/>
      <c r="G167" s="203"/>
      <c r="H167" s="203"/>
    </row>
    <row r="168">
      <c r="A168" s="389"/>
      <c r="B168" s="203"/>
      <c r="C168" s="390"/>
      <c r="D168" s="345"/>
      <c r="E168" s="203"/>
      <c r="F168" s="203"/>
      <c r="G168" s="203"/>
      <c r="H168" s="203"/>
    </row>
    <row r="169">
      <c r="A169" s="389"/>
      <c r="B169" s="203"/>
      <c r="C169" s="390"/>
      <c r="D169" s="345"/>
      <c r="E169" s="203"/>
      <c r="F169" s="203"/>
      <c r="G169" s="203"/>
      <c r="H169" s="203"/>
    </row>
    <row r="170">
      <c r="A170" s="389"/>
      <c r="B170" s="203"/>
      <c r="C170" s="390"/>
      <c r="D170" s="345"/>
      <c r="E170" s="203"/>
      <c r="F170" s="203"/>
      <c r="G170" s="203"/>
      <c r="H170" s="203"/>
    </row>
    <row r="171">
      <c r="A171" s="389"/>
      <c r="B171" s="203"/>
      <c r="C171" s="390"/>
      <c r="D171" s="345"/>
      <c r="E171" s="203"/>
      <c r="F171" s="203"/>
      <c r="G171" s="203"/>
      <c r="H171" s="203"/>
    </row>
    <row r="172">
      <c r="A172" s="389"/>
      <c r="B172" s="203"/>
      <c r="C172" s="390"/>
      <c r="D172" s="345"/>
      <c r="E172" s="203"/>
      <c r="F172" s="203"/>
      <c r="G172" s="203"/>
      <c r="H172" s="203"/>
    </row>
    <row r="173">
      <c r="A173" s="389"/>
      <c r="B173" s="203"/>
      <c r="C173" s="390"/>
      <c r="D173" s="345"/>
      <c r="E173" s="203"/>
      <c r="F173" s="203"/>
      <c r="G173" s="203"/>
      <c r="H173" s="203"/>
    </row>
    <row r="174">
      <c r="A174" s="389"/>
      <c r="B174" s="203"/>
      <c r="C174" s="390"/>
      <c r="D174" s="345"/>
      <c r="E174" s="203"/>
      <c r="F174" s="203"/>
      <c r="G174" s="203"/>
      <c r="H174" s="203"/>
    </row>
    <row r="175">
      <c r="A175" s="389"/>
      <c r="B175" s="203"/>
      <c r="C175" s="390"/>
      <c r="D175" s="345"/>
      <c r="E175" s="203"/>
      <c r="F175" s="203"/>
      <c r="G175" s="203"/>
      <c r="H175" s="203"/>
    </row>
    <row r="176">
      <c r="A176" s="389"/>
      <c r="B176" s="203"/>
      <c r="C176" s="390"/>
      <c r="D176" s="345"/>
      <c r="E176" s="203"/>
      <c r="F176" s="203"/>
      <c r="G176" s="203"/>
      <c r="H176" s="203"/>
    </row>
    <row r="177">
      <c r="A177" s="389"/>
      <c r="B177" s="203"/>
      <c r="C177" s="390"/>
      <c r="D177" s="345"/>
      <c r="E177" s="203"/>
      <c r="F177" s="203"/>
      <c r="G177" s="203"/>
      <c r="H177" s="203"/>
    </row>
    <row r="178">
      <c r="A178" s="389"/>
      <c r="B178" s="203"/>
      <c r="C178" s="390"/>
      <c r="D178" s="345"/>
      <c r="E178" s="203"/>
      <c r="F178" s="203"/>
      <c r="G178" s="203"/>
      <c r="H178" s="203"/>
    </row>
    <row r="179">
      <c r="A179" s="389"/>
      <c r="B179" s="203"/>
      <c r="C179" s="390"/>
      <c r="D179" s="345"/>
      <c r="E179" s="203"/>
      <c r="F179" s="203"/>
      <c r="G179" s="203"/>
      <c r="H179" s="203"/>
    </row>
    <row r="180">
      <c r="A180" s="389"/>
      <c r="B180" s="203"/>
      <c r="C180" s="390"/>
      <c r="D180" s="345"/>
      <c r="E180" s="203"/>
      <c r="F180" s="203"/>
      <c r="G180" s="203"/>
      <c r="H180" s="203"/>
    </row>
    <row r="181">
      <c r="A181" s="389"/>
      <c r="B181" s="203"/>
      <c r="C181" s="390"/>
      <c r="D181" s="345"/>
      <c r="E181" s="203"/>
      <c r="F181" s="203"/>
      <c r="G181" s="203"/>
      <c r="H181" s="203"/>
    </row>
    <row r="182">
      <c r="A182" s="389"/>
      <c r="B182" s="203"/>
      <c r="C182" s="390"/>
      <c r="D182" s="345"/>
      <c r="E182" s="203"/>
      <c r="F182" s="203"/>
      <c r="G182" s="203"/>
      <c r="H182" s="203"/>
    </row>
    <row r="183">
      <c r="A183" s="389"/>
      <c r="B183" s="203"/>
      <c r="C183" s="390"/>
      <c r="D183" s="345"/>
      <c r="E183" s="203"/>
      <c r="F183" s="203"/>
      <c r="G183" s="203"/>
      <c r="H183" s="203"/>
    </row>
    <row r="184">
      <c r="A184" s="389"/>
      <c r="B184" s="203"/>
      <c r="C184" s="390"/>
      <c r="D184" s="345"/>
      <c r="E184" s="203"/>
      <c r="F184" s="203"/>
      <c r="G184" s="203"/>
      <c r="H184" s="203"/>
    </row>
    <row r="185">
      <c r="A185" s="389"/>
      <c r="B185" s="203"/>
      <c r="C185" s="390"/>
      <c r="D185" s="345"/>
      <c r="E185" s="203"/>
      <c r="F185" s="203"/>
      <c r="G185" s="203"/>
      <c r="H185" s="203"/>
    </row>
    <row r="186">
      <c r="A186" s="389"/>
      <c r="B186" s="203"/>
      <c r="C186" s="390"/>
      <c r="D186" s="345"/>
      <c r="E186" s="203"/>
      <c r="F186" s="203"/>
      <c r="G186" s="203"/>
      <c r="H186" s="203"/>
    </row>
    <row r="187">
      <c r="A187" s="389"/>
      <c r="B187" s="203"/>
      <c r="C187" s="390"/>
      <c r="D187" s="345"/>
      <c r="E187" s="203"/>
      <c r="F187" s="203"/>
      <c r="G187" s="203"/>
      <c r="H187" s="203"/>
    </row>
    <row r="188">
      <c r="A188" s="389"/>
      <c r="B188" s="203"/>
      <c r="C188" s="390"/>
      <c r="D188" s="345"/>
      <c r="E188" s="203"/>
      <c r="F188" s="203"/>
      <c r="G188" s="203"/>
      <c r="H188" s="203"/>
    </row>
    <row r="189">
      <c r="A189" s="389"/>
      <c r="B189" s="203"/>
      <c r="C189" s="390"/>
      <c r="D189" s="345"/>
      <c r="E189" s="203"/>
      <c r="F189" s="203"/>
      <c r="G189" s="203"/>
      <c r="H189" s="203"/>
    </row>
    <row r="190">
      <c r="A190" s="389"/>
      <c r="B190" s="203"/>
      <c r="C190" s="390"/>
      <c r="D190" s="345"/>
      <c r="E190" s="203"/>
      <c r="F190" s="203"/>
      <c r="G190" s="203"/>
      <c r="H190" s="203"/>
    </row>
    <row r="191">
      <c r="A191" s="389"/>
      <c r="B191" s="203"/>
      <c r="C191" s="390"/>
      <c r="D191" s="345"/>
      <c r="E191" s="203"/>
      <c r="F191" s="203"/>
      <c r="G191" s="203"/>
      <c r="H191" s="203"/>
    </row>
    <row r="192">
      <c r="A192" s="389"/>
      <c r="B192" s="203"/>
      <c r="C192" s="390"/>
      <c r="D192" s="345"/>
      <c r="E192" s="203"/>
      <c r="F192" s="203"/>
      <c r="G192" s="203"/>
      <c r="H192" s="203"/>
    </row>
    <row r="193">
      <c r="A193" s="389"/>
      <c r="B193" s="203"/>
      <c r="C193" s="390"/>
      <c r="D193" s="345"/>
      <c r="E193" s="203"/>
      <c r="F193" s="203"/>
      <c r="G193" s="203"/>
      <c r="H193" s="203"/>
    </row>
    <row r="194">
      <c r="A194" s="389"/>
      <c r="B194" s="203"/>
      <c r="C194" s="390"/>
      <c r="D194" s="345"/>
      <c r="E194" s="203"/>
      <c r="F194" s="203"/>
      <c r="G194" s="203"/>
      <c r="H194" s="203"/>
    </row>
    <row r="195">
      <c r="A195" s="389"/>
      <c r="B195" s="203"/>
      <c r="C195" s="390"/>
      <c r="D195" s="345"/>
      <c r="E195" s="203"/>
      <c r="F195" s="203"/>
      <c r="G195" s="203"/>
      <c r="H195" s="203"/>
    </row>
    <row r="196">
      <c r="A196" s="389"/>
      <c r="B196" s="203"/>
      <c r="C196" s="390"/>
      <c r="D196" s="345"/>
      <c r="E196" s="203"/>
      <c r="F196" s="203"/>
      <c r="G196" s="203"/>
      <c r="H196" s="203"/>
    </row>
    <row r="197">
      <c r="A197" s="389"/>
      <c r="B197" s="203"/>
      <c r="C197" s="390"/>
      <c r="D197" s="345"/>
      <c r="E197" s="203"/>
      <c r="F197" s="203"/>
      <c r="G197" s="203"/>
      <c r="H197" s="203"/>
    </row>
    <row r="198">
      <c r="A198" s="389"/>
      <c r="B198" s="203"/>
      <c r="C198" s="390"/>
      <c r="D198" s="345"/>
      <c r="E198" s="203"/>
      <c r="F198" s="203"/>
      <c r="G198" s="203"/>
      <c r="H198" s="203"/>
    </row>
    <row r="199">
      <c r="A199" s="389"/>
      <c r="B199" s="203"/>
      <c r="C199" s="390"/>
      <c r="D199" s="345"/>
      <c r="E199" s="203"/>
      <c r="F199" s="203"/>
      <c r="G199" s="203"/>
      <c r="H199" s="203"/>
    </row>
    <row r="200">
      <c r="A200" s="389"/>
      <c r="B200" s="203"/>
      <c r="C200" s="390"/>
      <c r="D200" s="345"/>
      <c r="E200" s="203"/>
      <c r="F200" s="203"/>
      <c r="G200" s="203"/>
      <c r="H200" s="203"/>
    </row>
    <row r="201">
      <c r="A201" s="389"/>
      <c r="B201" s="203"/>
      <c r="C201" s="390"/>
      <c r="D201" s="345"/>
      <c r="E201" s="203"/>
      <c r="F201" s="203"/>
      <c r="G201" s="203"/>
      <c r="H201" s="203"/>
    </row>
    <row r="202">
      <c r="A202" s="389"/>
      <c r="B202" s="203"/>
      <c r="C202" s="390"/>
      <c r="D202" s="345"/>
      <c r="E202" s="203"/>
      <c r="F202" s="203"/>
      <c r="G202" s="203"/>
      <c r="H202" s="203"/>
    </row>
    <row r="203">
      <c r="A203" s="389"/>
      <c r="B203" s="203"/>
      <c r="C203" s="390"/>
      <c r="D203" s="345"/>
      <c r="E203" s="203"/>
      <c r="F203" s="203"/>
      <c r="G203" s="203"/>
      <c r="H203" s="203"/>
    </row>
    <row r="204">
      <c r="A204" s="389"/>
      <c r="B204" s="203"/>
      <c r="C204" s="390"/>
      <c r="D204" s="345"/>
      <c r="E204" s="203"/>
      <c r="F204" s="203"/>
      <c r="G204" s="203"/>
      <c r="H204" s="203"/>
    </row>
    <row r="205">
      <c r="A205" s="389"/>
      <c r="B205" s="203"/>
      <c r="C205" s="390"/>
      <c r="D205" s="345"/>
      <c r="E205" s="203"/>
      <c r="F205" s="203"/>
      <c r="G205" s="203"/>
      <c r="H205" s="203"/>
    </row>
    <row r="206">
      <c r="A206" s="389"/>
      <c r="B206" s="203"/>
      <c r="C206" s="390"/>
      <c r="D206" s="345"/>
      <c r="E206" s="203"/>
      <c r="F206" s="203"/>
      <c r="G206" s="203"/>
      <c r="H206" s="203"/>
    </row>
    <row r="207">
      <c r="A207" s="389"/>
      <c r="B207" s="203"/>
      <c r="C207" s="390"/>
      <c r="D207" s="345"/>
      <c r="E207" s="203"/>
      <c r="F207" s="203"/>
      <c r="G207" s="203"/>
      <c r="H207" s="203"/>
    </row>
    <row r="208">
      <c r="A208" s="389"/>
      <c r="B208" s="203"/>
      <c r="C208" s="390"/>
      <c r="D208" s="345"/>
      <c r="E208" s="203"/>
      <c r="F208" s="203"/>
      <c r="G208" s="203"/>
      <c r="H208" s="203"/>
    </row>
    <row r="209">
      <c r="A209" s="389"/>
      <c r="B209" s="203"/>
      <c r="C209" s="390"/>
      <c r="D209" s="345"/>
      <c r="E209" s="203"/>
      <c r="F209" s="203"/>
      <c r="G209" s="203"/>
      <c r="H209" s="203"/>
    </row>
    <row r="210">
      <c r="A210" s="389"/>
      <c r="B210" s="203"/>
      <c r="C210" s="390"/>
      <c r="D210" s="345"/>
      <c r="E210" s="203"/>
      <c r="F210" s="203"/>
      <c r="G210" s="203"/>
      <c r="H210" s="203"/>
    </row>
    <row r="211">
      <c r="A211" s="389"/>
      <c r="B211" s="203"/>
      <c r="C211" s="390"/>
      <c r="D211" s="345"/>
      <c r="E211" s="203"/>
      <c r="F211" s="203"/>
      <c r="G211" s="203"/>
      <c r="H211" s="203"/>
    </row>
    <row r="212">
      <c r="A212" s="389"/>
      <c r="B212" s="203"/>
      <c r="C212" s="390"/>
      <c r="D212" s="345"/>
      <c r="E212" s="203"/>
      <c r="F212" s="203"/>
      <c r="G212" s="203"/>
      <c r="H212" s="203"/>
    </row>
    <row r="213">
      <c r="A213" s="389"/>
      <c r="B213" s="203"/>
      <c r="C213" s="390"/>
      <c r="D213" s="345"/>
      <c r="E213" s="203"/>
      <c r="F213" s="203"/>
      <c r="G213" s="203"/>
      <c r="H213" s="203"/>
    </row>
    <row r="214">
      <c r="A214" s="389"/>
      <c r="B214" s="203"/>
      <c r="C214" s="390"/>
      <c r="D214" s="345"/>
      <c r="E214" s="203"/>
      <c r="F214" s="203"/>
      <c r="G214" s="203"/>
      <c r="H214" s="203"/>
    </row>
    <row r="215">
      <c r="A215" s="389"/>
      <c r="B215" s="203"/>
      <c r="C215" s="390"/>
      <c r="D215" s="345"/>
      <c r="E215" s="203"/>
      <c r="F215" s="203"/>
      <c r="G215" s="203"/>
      <c r="H215" s="203"/>
    </row>
    <row r="216">
      <c r="A216" s="389"/>
      <c r="B216" s="203"/>
      <c r="C216" s="390"/>
      <c r="D216" s="345"/>
      <c r="E216" s="203"/>
      <c r="F216" s="203"/>
      <c r="G216" s="203"/>
      <c r="H216" s="203"/>
    </row>
    <row r="217">
      <c r="A217" s="389"/>
      <c r="B217" s="203"/>
      <c r="C217" s="390"/>
      <c r="D217" s="345"/>
      <c r="E217" s="203"/>
      <c r="F217" s="203"/>
      <c r="G217" s="203"/>
      <c r="H217" s="203"/>
    </row>
    <row r="218">
      <c r="A218" s="389"/>
      <c r="B218" s="203"/>
      <c r="C218" s="390"/>
      <c r="D218" s="345"/>
      <c r="E218" s="203"/>
      <c r="F218" s="203"/>
      <c r="G218" s="203"/>
      <c r="H218" s="203"/>
    </row>
    <row r="219">
      <c r="A219" s="389"/>
      <c r="B219" s="203"/>
      <c r="C219" s="390"/>
      <c r="D219" s="345"/>
      <c r="E219" s="203"/>
      <c r="F219" s="203"/>
      <c r="G219" s="203"/>
      <c r="H219" s="203"/>
    </row>
    <row r="220">
      <c r="A220" s="389"/>
      <c r="B220" s="203"/>
      <c r="C220" s="390"/>
      <c r="D220" s="345"/>
      <c r="E220" s="203"/>
      <c r="F220" s="203"/>
      <c r="G220" s="203"/>
      <c r="H220" s="203"/>
    </row>
    <row r="221">
      <c r="A221" s="389"/>
      <c r="B221" s="203"/>
      <c r="C221" s="390"/>
      <c r="D221" s="345"/>
      <c r="E221" s="203"/>
      <c r="F221" s="203"/>
      <c r="G221" s="203"/>
      <c r="H221" s="203"/>
    </row>
    <row r="222">
      <c r="A222" s="389"/>
      <c r="B222" s="203"/>
      <c r="C222" s="390"/>
      <c r="D222" s="345"/>
      <c r="E222" s="203"/>
      <c r="F222" s="203"/>
      <c r="G222" s="203"/>
      <c r="H222" s="203"/>
    </row>
    <row r="223">
      <c r="A223" s="389"/>
      <c r="B223" s="203"/>
      <c r="C223" s="390"/>
      <c r="D223" s="345"/>
      <c r="E223" s="203"/>
      <c r="F223" s="203"/>
      <c r="G223" s="203"/>
      <c r="H223" s="203"/>
    </row>
    <row r="224">
      <c r="A224" s="389"/>
      <c r="B224" s="203"/>
      <c r="C224" s="390"/>
      <c r="D224" s="345"/>
      <c r="E224" s="203"/>
      <c r="F224" s="203"/>
      <c r="G224" s="203"/>
      <c r="H224" s="203"/>
    </row>
    <row r="225">
      <c r="A225" s="389"/>
      <c r="B225" s="203"/>
      <c r="C225" s="390"/>
      <c r="D225" s="345"/>
      <c r="E225" s="203"/>
      <c r="F225" s="203"/>
      <c r="G225" s="203"/>
      <c r="H225" s="203"/>
    </row>
    <row r="226">
      <c r="A226" s="389"/>
      <c r="B226" s="203"/>
      <c r="C226" s="390"/>
      <c r="D226" s="345"/>
      <c r="E226" s="203"/>
      <c r="F226" s="203"/>
      <c r="G226" s="203"/>
      <c r="H226" s="203"/>
    </row>
    <row r="227">
      <c r="A227" s="389"/>
      <c r="B227" s="203"/>
      <c r="C227" s="390"/>
      <c r="D227" s="345"/>
      <c r="E227" s="203"/>
      <c r="F227" s="203"/>
      <c r="G227" s="203"/>
      <c r="H227" s="203"/>
    </row>
    <row r="228">
      <c r="A228" s="389"/>
      <c r="B228" s="203"/>
      <c r="C228" s="390"/>
      <c r="D228" s="345"/>
      <c r="E228" s="203"/>
      <c r="F228" s="203"/>
      <c r="G228" s="203"/>
      <c r="H228" s="203"/>
    </row>
    <row r="229">
      <c r="A229" s="389"/>
      <c r="B229" s="203"/>
      <c r="C229" s="390"/>
      <c r="D229" s="345"/>
      <c r="E229" s="203"/>
      <c r="F229" s="203"/>
      <c r="G229" s="203"/>
      <c r="H229" s="203"/>
    </row>
    <row r="230">
      <c r="A230" s="389"/>
      <c r="B230" s="203"/>
      <c r="C230" s="390"/>
      <c r="D230" s="345"/>
      <c r="E230" s="203"/>
      <c r="F230" s="203"/>
      <c r="G230" s="203"/>
      <c r="H230" s="203"/>
    </row>
    <row r="231">
      <c r="A231" s="389"/>
      <c r="B231" s="203"/>
      <c r="C231" s="390"/>
      <c r="D231" s="345"/>
      <c r="E231" s="203"/>
      <c r="F231" s="203"/>
      <c r="G231" s="203"/>
      <c r="H231" s="203"/>
    </row>
    <row r="232">
      <c r="A232" s="389"/>
      <c r="B232" s="203"/>
      <c r="C232" s="390"/>
      <c r="D232" s="345"/>
      <c r="E232" s="203"/>
      <c r="F232" s="203"/>
      <c r="G232" s="203"/>
      <c r="H232" s="203"/>
    </row>
    <row r="233">
      <c r="A233" s="389"/>
      <c r="B233" s="203"/>
      <c r="C233" s="390"/>
      <c r="D233" s="345"/>
      <c r="E233" s="203"/>
      <c r="F233" s="203"/>
      <c r="G233" s="203"/>
      <c r="H233" s="203"/>
    </row>
    <row r="234">
      <c r="A234" s="389"/>
      <c r="B234" s="203"/>
      <c r="C234" s="390"/>
      <c r="D234" s="345"/>
      <c r="E234" s="203"/>
      <c r="F234" s="203"/>
      <c r="G234" s="203"/>
      <c r="H234" s="203"/>
    </row>
    <row r="235">
      <c r="A235" s="389"/>
      <c r="B235" s="203"/>
      <c r="C235" s="390"/>
      <c r="D235" s="345"/>
      <c r="E235" s="203"/>
      <c r="F235" s="203"/>
      <c r="G235" s="203"/>
      <c r="H235" s="203"/>
    </row>
    <row r="236">
      <c r="A236" s="389"/>
      <c r="B236" s="203"/>
      <c r="C236" s="390"/>
      <c r="D236" s="345"/>
      <c r="E236" s="203"/>
      <c r="F236" s="203"/>
      <c r="G236" s="203"/>
      <c r="H236" s="203"/>
    </row>
    <row r="237">
      <c r="A237" s="389"/>
      <c r="B237" s="203"/>
      <c r="C237" s="390"/>
      <c r="D237" s="345"/>
      <c r="E237" s="203"/>
      <c r="F237" s="203"/>
      <c r="G237" s="203"/>
      <c r="H237" s="203"/>
    </row>
    <row r="238">
      <c r="A238" s="389"/>
      <c r="B238" s="203"/>
      <c r="C238" s="390"/>
      <c r="D238" s="345"/>
      <c r="E238" s="203"/>
      <c r="F238" s="203"/>
      <c r="G238" s="203"/>
      <c r="H238" s="203"/>
    </row>
    <row r="239">
      <c r="A239" s="389"/>
      <c r="B239" s="203"/>
      <c r="C239" s="390"/>
      <c r="D239" s="345"/>
      <c r="E239" s="203"/>
      <c r="F239" s="203"/>
      <c r="G239" s="203"/>
      <c r="H239" s="203"/>
    </row>
    <row r="240">
      <c r="A240" s="389"/>
      <c r="B240" s="203"/>
      <c r="C240" s="390"/>
      <c r="D240" s="345"/>
      <c r="E240" s="203"/>
      <c r="F240" s="203"/>
      <c r="G240" s="203"/>
      <c r="H240" s="203"/>
    </row>
    <row r="241">
      <c r="A241" s="389"/>
      <c r="B241" s="203"/>
      <c r="C241" s="390"/>
      <c r="D241" s="345"/>
      <c r="E241" s="203"/>
      <c r="F241" s="203"/>
      <c r="G241" s="203"/>
      <c r="H241" s="203"/>
    </row>
    <row r="242">
      <c r="A242" s="389"/>
      <c r="B242" s="203"/>
      <c r="C242" s="390"/>
      <c r="D242" s="345"/>
      <c r="E242" s="203"/>
      <c r="F242" s="203"/>
      <c r="G242" s="203"/>
      <c r="H242" s="203"/>
    </row>
    <row r="243">
      <c r="A243" s="389"/>
      <c r="B243" s="203"/>
      <c r="C243" s="390"/>
      <c r="D243" s="345"/>
      <c r="E243" s="203"/>
      <c r="F243" s="203"/>
      <c r="G243" s="203"/>
      <c r="H243" s="203"/>
    </row>
    <row r="244">
      <c r="A244" s="389"/>
      <c r="B244" s="203"/>
      <c r="C244" s="390"/>
      <c r="D244" s="345"/>
      <c r="E244" s="203"/>
      <c r="F244" s="203"/>
      <c r="G244" s="203"/>
      <c r="H244" s="203"/>
    </row>
    <row r="245">
      <c r="A245" s="389"/>
      <c r="B245" s="203"/>
      <c r="C245" s="390"/>
      <c r="D245" s="345"/>
      <c r="E245" s="203"/>
      <c r="F245" s="203"/>
      <c r="G245" s="203"/>
      <c r="H245" s="203"/>
    </row>
    <row r="246">
      <c r="A246" s="389"/>
      <c r="B246" s="203"/>
      <c r="C246" s="390"/>
      <c r="D246" s="345"/>
      <c r="E246" s="203"/>
      <c r="F246" s="203"/>
      <c r="G246" s="203"/>
      <c r="H246" s="203"/>
    </row>
    <row r="247">
      <c r="A247" s="389"/>
      <c r="B247" s="203"/>
      <c r="C247" s="390"/>
      <c r="D247" s="345"/>
      <c r="E247" s="203"/>
      <c r="F247" s="203"/>
      <c r="G247" s="203"/>
      <c r="H247" s="203"/>
    </row>
    <row r="248">
      <c r="A248" s="389"/>
      <c r="B248" s="203"/>
      <c r="C248" s="390"/>
      <c r="D248" s="345"/>
      <c r="E248" s="203"/>
      <c r="F248" s="203"/>
      <c r="G248" s="203"/>
      <c r="H248" s="203"/>
    </row>
    <row r="249">
      <c r="A249" s="389"/>
      <c r="B249" s="203"/>
      <c r="C249" s="390"/>
      <c r="D249" s="345"/>
      <c r="E249" s="203"/>
      <c r="F249" s="203"/>
      <c r="G249" s="203"/>
      <c r="H249" s="203"/>
    </row>
    <row r="250">
      <c r="A250" s="389"/>
      <c r="B250" s="203"/>
      <c r="C250" s="390"/>
      <c r="D250" s="345"/>
      <c r="E250" s="203"/>
      <c r="F250" s="203"/>
      <c r="G250" s="203"/>
      <c r="H250" s="203"/>
    </row>
    <row r="251">
      <c r="A251" s="389"/>
      <c r="B251" s="203"/>
      <c r="C251" s="390"/>
      <c r="D251" s="345"/>
      <c r="E251" s="203"/>
      <c r="F251" s="203"/>
      <c r="G251" s="203"/>
      <c r="H251" s="203"/>
    </row>
    <row r="252">
      <c r="A252" s="389"/>
      <c r="B252" s="203"/>
      <c r="C252" s="390"/>
      <c r="D252" s="345"/>
      <c r="E252" s="203"/>
      <c r="F252" s="203"/>
      <c r="G252" s="203"/>
      <c r="H252" s="203"/>
    </row>
    <row r="253">
      <c r="A253" s="389"/>
      <c r="B253" s="203"/>
      <c r="C253" s="390"/>
      <c r="D253" s="345"/>
      <c r="E253" s="203"/>
      <c r="F253" s="203"/>
      <c r="G253" s="203"/>
      <c r="H253" s="203"/>
    </row>
    <row r="254">
      <c r="A254" s="389"/>
      <c r="B254" s="203"/>
      <c r="C254" s="390"/>
      <c r="D254" s="345"/>
      <c r="E254" s="203"/>
      <c r="F254" s="203"/>
      <c r="G254" s="203"/>
      <c r="H254" s="203"/>
    </row>
    <row r="255">
      <c r="A255" s="389"/>
      <c r="B255" s="203"/>
      <c r="C255" s="390"/>
      <c r="D255" s="345"/>
      <c r="E255" s="203"/>
      <c r="F255" s="203"/>
      <c r="G255" s="203"/>
      <c r="H255" s="203"/>
    </row>
    <row r="256">
      <c r="A256" s="389"/>
      <c r="B256" s="203"/>
      <c r="C256" s="390"/>
      <c r="D256" s="345"/>
      <c r="E256" s="203"/>
      <c r="F256" s="203"/>
      <c r="G256" s="203"/>
      <c r="H256" s="203"/>
    </row>
    <row r="257">
      <c r="A257" s="389"/>
      <c r="B257" s="203"/>
      <c r="C257" s="390"/>
      <c r="D257" s="345"/>
      <c r="E257" s="203"/>
      <c r="F257" s="203"/>
      <c r="G257" s="203"/>
      <c r="H257" s="203"/>
    </row>
    <row r="258">
      <c r="A258" s="389"/>
      <c r="B258" s="203"/>
      <c r="C258" s="390"/>
      <c r="D258" s="345"/>
      <c r="E258" s="203"/>
      <c r="F258" s="203"/>
      <c r="G258" s="203"/>
      <c r="H258" s="203"/>
    </row>
    <row r="259">
      <c r="A259" s="389"/>
      <c r="B259" s="203"/>
      <c r="C259" s="390"/>
      <c r="D259" s="345"/>
      <c r="E259" s="203"/>
      <c r="F259" s="203"/>
      <c r="G259" s="203"/>
      <c r="H259" s="203"/>
    </row>
    <row r="260">
      <c r="A260" s="389"/>
      <c r="B260" s="203"/>
      <c r="C260" s="390"/>
      <c r="D260" s="345"/>
      <c r="E260" s="203"/>
      <c r="F260" s="203"/>
      <c r="G260" s="203"/>
      <c r="H260" s="203"/>
    </row>
    <row r="261">
      <c r="A261" s="389"/>
      <c r="B261" s="203"/>
      <c r="C261" s="390"/>
      <c r="D261" s="345"/>
      <c r="E261" s="203"/>
      <c r="F261" s="203"/>
      <c r="G261" s="203"/>
      <c r="H261" s="203"/>
    </row>
    <row r="262">
      <c r="A262" s="389"/>
      <c r="B262" s="203"/>
      <c r="C262" s="390"/>
      <c r="D262" s="345"/>
      <c r="E262" s="203"/>
      <c r="F262" s="203"/>
      <c r="G262" s="203"/>
      <c r="H262" s="203"/>
    </row>
    <row r="263">
      <c r="A263" s="389"/>
      <c r="B263" s="203"/>
      <c r="C263" s="390"/>
      <c r="D263" s="345"/>
      <c r="E263" s="203"/>
      <c r="F263" s="203"/>
      <c r="G263" s="203"/>
      <c r="H263" s="203"/>
    </row>
    <row r="264">
      <c r="A264" s="389"/>
      <c r="B264" s="203"/>
      <c r="C264" s="390"/>
      <c r="D264" s="345"/>
      <c r="E264" s="203"/>
      <c r="F264" s="203"/>
      <c r="G264" s="203"/>
      <c r="H264" s="203"/>
    </row>
    <row r="265">
      <c r="A265" s="389"/>
      <c r="B265" s="203"/>
      <c r="C265" s="390"/>
      <c r="D265" s="345"/>
      <c r="E265" s="203"/>
      <c r="F265" s="203"/>
      <c r="G265" s="203"/>
      <c r="H265" s="203"/>
    </row>
    <row r="266">
      <c r="A266" s="389"/>
      <c r="B266" s="203"/>
      <c r="C266" s="390"/>
      <c r="D266" s="345"/>
      <c r="E266" s="203"/>
      <c r="F266" s="203"/>
      <c r="G266" s="203"/>
      <c r="H266" s="203"/>
    </row>
    <row r="267">
      <c r="A267" s="389"/>
      <c r="B267" s="203"/>
      <c r="C267" s="390"/>
      <c r="D267" s="345"/>
      <c r="E267" s="203"/>
      <c r="F267" s="203"/>
      <c r="G267" s="203"/>
      <c r="H267" s="203"/>
    </row>
    <row r="268">
      <c r="A268" s="389"/>
      <c r="B268" s="203"/>
      <c r="C268" s="390"/>
      <c r="D268" s="345"/>
      <c r="E268" s="203"/>
      <c r="F268" s="203"/>
      <c r="G268" s="203"/>
      <c r="H268" s="203"/>
    </row>
    <row r="269">
      <c r="A269" s="389"/>
      <c r="B269" s="203"/>
      <c r="C269" s="390"/>
      <c r="D269" s="345"/>
      <c r="E269" s="203"/>
      <c r="F269" s="203"/>
      <c r="G269" s="203"/>
      <c r="H269" s="203"/>
    </row>
    <row r="270">
      <c r="A270" s="389"/>
      <c r="B270" s="203"/>
      <c r="C270" s="390"/>
      <c r="D270" s="345"/>
      <c r="E270" s="203"/>
      <c r="F270" s="203"/>
      <c r="G270" s="203"/>
      <c r="H270" s="203"/>
    </row>
    <row r="271">
      <c r="A271" s="389"/>
      <c r="B271" s="203"/>
      <c r="C271" s="390"/>
      <c r="D271" s="345"/>
      <c r="E271" s="203"/>
      <c r="F271" s="203"/>
      <c r="G271" s="203"/>
      <c r="H271" s="203"/>
    </row>
    <row r="272">
      <c r="A272" s="389"/>
      <c r="B272" s="203"/>
      <c r="C272" s="390"/>
      <c r="D272" s="345"/>
      <c r="E272" s="203"/>
      <c r="F272" s="203"/>
      <c r="G272" s="203"/>
      <c r="H272" s="203"/>
    </row>
    <row r="273">
      <c r="A273" s="389"/>
      <c r="B273" s="203"/>
      <c r="C273" s="390"/>
      <c r="D273" s="345"/>
      <c r="E273" s="203"/>
      <c r="F273" s="203"/>
      <c r="G273" s="203"/>
      <c r="H273" s="203"/>
    </row>
    <row r="274">
      <c r="A274" s="389"/>
      <c r="B274" s="203"/>
      <c r="C274" s="390"/>
      <c r="D274" s="345"/>
      <c r="E274" s="203"/>
      <c r="F274" s="203"/>
      <c r="G274" s="203"/>
      <c r="H274" s="203"/>
    </row>
    <row r="275">
      <c r="A275" s="389"/>
      <c r="B275" s="203"/>
      <c r="C275" s="390"/>
      <c r="D275" s="345"/>
      <c r="E275" s="203"/>
      <c r="F275" s="203"/>
      <c r="G275" s="203"/>
      <c r="H275" s="203"/>
    </row>
    <row r="276">
      <c r="A276" s="389"/>
      <c r="B276" s="203"/>
      <c r="C276" s="390"/>
      <c r="D276" s="345"/>
      <c r="E276" s="203"/>
      <c r="F276" s="203"/>
      <c r="G276" s="203"/>
      <c r="H276" s="203"/>
    </row>
    <row r="277">
      <c r="A277" s="389"/>
      <c r="B277" s="203"/>
      <c r="C277" s="390"/>
      <c r="D277" s="345"/>
      <c r="E277" s="203"/>
      <c r="F277" s="203"/>
      <c r="G277" s="203"/>
      <c r="H277" s="203"/>
    </row>
    <row r="278">
      <c r="A278" s="389"/>
      <c r="B278" s="203"/>
      <c r="C278" s="390"/>
      <c r="D278" s="345"/>
      <c r="E278" s="203"/>
      <c r="F278" s="203"/>
      <c r="G278" s="203"/>
      <c r="H278" s="203"/>
    </row>
    <row r="279">
      <c r="A279" s="389"/>
      <c r="B279" s="203"/>
      <c r="C279" s="390"/>
      <c r="D279" s="345"/>
      <c r="E279" s="203"/>
      <c r="F279" s="203"/>
      <c r="G279" s="203"/>
      <c r="H279" s="203"/>
    </row>
    <row r="280">
      <c r="A280" s="389"/>
      <c r="B280" s="203"/>
      <c r="C280" s="390"/>
      <c r="D280" s="345"/>
      <c r="E280" s="203"/>
      <c r="F280" s="203"/>
      <c r="G280" s="203"/>
      <c r="H280" s="203"/>
    </row>
    <row r="281">
      <c r="A281" s="389"/>
      <c r="B281" s="203"/>
      <c r="C281" s="390"/>
      <c r="D281" s="345"/>
      <c r="E281" s="203"/>
      <c r="F281" s="203"/>
      <c r="G281" s="203"/>
      <c r="H281" s="203"/>
    </row>
    <row r="282">
      <c r="A282" s="389"/>
      <c r="B282" s="203"/>
      <c r="C282" s="390"/>
      <c r="D282" s="345"/>
      <c r="E282" s="203"/>
      <c r="F282" s="203"/>
      <c r="G282" s="203"/>
      <c r="H282" s="203"/>
    </row>
    <row r="283">
      <c r="A283" s="389"/>
      <c r="B283" s="203"/>
      <c r="C283" s="390"/>
      <c r="D283" s="345"/>
      <c r="E283" s="203"/>
      <c r="F283" s="203"/>
      <c r="G283" s="203"/>
      <c r="H283" s="203"/>
    </row>
    <row r="284">
      <c r="A284" s="389"/>
      <c r="B284" s="203"/>
      <c r="C284" s="390"/>
      <c r="D284" s="345"/>
      <c r="E284" s="203"/>
      <c r="F284" s="203"/>
      <c r="G284" s="203"/>
      <c r="H284" s="203"/>
    </row>
    <row r="285">
      <c r="A285" s="389"/>
      <c r="B285" s="203"/>
      <c r="C285" s="390"/>
      <c r="D285" s="345"/>
      <c r="E285" s="203"/>
      <c r="F285" s="203"/>
      <c r="G285" s="203"/>
      <c r="H285" s="203"/>
    </row>
    <row r="286">
      <c r="A286" s="389"/>
      <c r="B286" s="203"/>
      <c r="C286" s="390"/>
      <c r="D286" s="345"/>
      <c r="E286" s="203"/>
      <c r="F286" s="203"/>
      <c r="G286" s="203"/>
      <c r="H286" s="203"/>
    </row>
    <row r="287">
      <c r="A287" s="389"/>
      <c r="B287" s="203"/>
      <c r="C287" s="390"/>
      <c r="D287" s="345"/>
      <c r="E287" s="203"/>
      <c r="F287" s="203"/>
      <c r="G287" s="203"/>
      <c r="H287" s="203"/>
    </row>
    <row r="288">
      <c r="A288" s="389"/>
      <c r="B288" s="203"/>
      <c r="C288" s="390"/>
      <c r="D288" s="345"/>
      <c r="E288" s="203"/>
      <c r="F288" s="203"/>
      <c r="G288" s="203"/>
      <c r="H288" s="203"/>
    </row>
    <row r="289">
      <c r="A289" s="389"/>
      <c r="B289" s="203"/>
      <c r="C289" s="390"/>
      <c r="D289" s="345"/>
      <c r="E289" s="203"/>
      <c r="F289" s="203"/>
      <c r="G289" s="203"/>
      <c r="H289" s="203"/>
    </row>
    <row r="290">
      <c r="A290" s="389"/>
      <c r="B290" s="203"/>
      <c r="C290" s="390"/>
      <c r="D290" s="345"/>
      <c r="E290" s="203"/>
      <c r="F290" s="203"/>
      <c r="G290" s="203"/>
      <c r="H290" s="203"/>
    </row>
    <row r="291">
      <c r="A291" s="389"/>
      <c r="B291" s="203"/>
      <c r="C291" s="390"/>
      <c r="D291" s="345"/>
      <c r="E291" s="203"/>
      <c r="F291" s="203"/>
      <c r="G291" s="203"/>
      <c r="H291" s="203"/>
    </row>
    <row r="292">
      <c r="A292" s="389"/>
      <c r="B292" s="203"/>
      <c r="C292" s="390"/>
      <c r="D292" s="345"/>
      <c r="E292" s="203"/>
      <c r="F292" s="203"/>
      <c r="G292" s="203"/>
      <c r="H292" s="203"/>
    </row>
    <row r="293">
      <c r="A293" s="389"/>
      <c r="B293" s="203"/>
      <c r="C293" s="390"/>
      <c r="D293" s="345"/>
      <c r="E293" s="203"/>
      <c r="F293" s="203"/>
      <c r="G293" s="203"/>
      <c r="H293" s="203"/>
    </row>
    <row r="294">
      <c r="A294" s="389"/>
      <c r="B294" s="203"/>
      <c r="C294" s="390"/>
      <c r="D294" s="345"/>
      <c r="E294" s="203"/>
      <c r="F294" s="203"/>
      <c r="G294" s="203"/>
      <c r="H294" s="203"/>
    </row>
    <row r="295">
      <c r="A295" s="389"/>
      <c r="B295" s="203"/>
      <c r="C295" s="390"/>
      <c r="D295" s="345"/>
      <c r="E295" s="203"/>
      <c r="F295" s="203"/>
      <c r="G295" s="203"/>
      <c r="H295" s="203"/>
    </row>
    <row r="296">
      <c r="A296" s="389"/>
      <c r="B296" s="203"/>
      <c r="C296" s="390"/>
      <c r="D296" s="345"/>
      <c r="E296" s="203"/>
      <c r="F296" s="203"/>
      <c r="G296" s="203"/>
      <c r="H296" s="203"/>
    </row>
    <row r="297">
      <c r="A297" s="389"/>
      <c r="B297" s="203"/>
      <c r="C297" s="390"/>
      <c r="D297" s="345"/>
      <c r="E297" s="203"/>
      <c r="F297" s="203"/>
      <c r="G297" s="203"/>
      <c r="H297" s="203"/>
    </row>
    <row r="298">
      <c r="A298" s="389"/>
      <c r="B298" s="203"/>
      <c r="C298" s="390"/>
      <c r="D298" s="345"/>
      <c r="E298" s="203"/>
      <c r="F298" s="203"/>
      <c r="G298" s="203"/>
      <c r="H298" s="203"/>
    </row>
    <row r="299">
      <c r="A299" s="389"/>
      <c r="B299" s="203"/>
      <c r="C299" s="390"/>
      <c r="D299" s="345"/>
      <c r="E299" s="203"/>
      <c r="F299" s="203"/>
      <c r="G299" s="203"/>
      <c r="H299" s="203"/>
    </row>
    <row r="300">
      <c r="A300" s="389"/>
      <c r="B300" s="203"/>
      <c r="C300" s="390"/>
      <c r="D300" s="345"/>
      <c r="E300" s="203"/>
      <c r="F300" s="203"/>
      <c r="G300" s="203"/>
      <c r="H300" s="203"/>
    </row>
    <row r="301">
      <c r="A301" s="389"/>
      <c r="B301" s="203"/>
      <c r="C301" s="390"/>
      <c r="D301" s="345"/>
      <c r="E301" s="203"/>
      <c r="F301" s="203"/>
      <c r="G301" s="203"/>
      <c r="H301" s="203"/>
    </row>
    <row r="302">
      <c r="A302" s="389"/>
      <c r="B302" s="203"/>
      <c r="C302" s="390"/>
      <c r="D302" s="345"/>
      <c r="E302" s="203"/>
      <c r="F302" s="203"/>
      <c r="G302" s="203"/>
      <c r="H302" s="203"/>
    </row>
    <row r="303">
      <c r="A303" s="389"/>
      <c r="B303" s="203"/>
      <c r="C303" s="390"/>
      <c r="D303" s="345"/>
      <c r="E303" s="203"/>
      <c r="F303" s="203"/>
      <c r="G303" s="203"/>
      <c r="H303" s="203"/>
    </row>
    <row r="304">
      <c r="A304" s="389"/>
      <c r="B304" s="203"/>
      <c r="C304" s="390"/>
      <c r="D304" s="345"/>
      <c r="E304" s="203"/>
      <c r="F304" s="203"/>
      <c r="G304" s="203"/>
      <c r="H304" s="203"/>
    </row>
    <row r="305">
      <c r="A305" s="389"/>
      <c r="B305" s="203"/>
      <c r="C305" s="390"/>
      <c r="D305" s="345"/>
      <c r="E305" s="203"/>
      <c r="F305" s="203"/>
      <c r="G305" s="203"/>
      <c r="H305" s="203"/>
    </row>
    <row r="306">
      <c r="A306" s="389"/>
      <c r="B306" s="203"/>
      <c r="C306" s="390"/>
      <c r="D306" s="345"/>
      <c r="E306" s="203"/>
      <c r="F306" s="203"/>
      <c r="G306" s="203"/>
      <c r="H306" s="203"/>
    </row>
    <row r="307">
      <c r="A307" s="389"/>
      <c r="B307" s="203"/>
      <c r="C307" s="390"/>
      <c r="D307" s="345"/>
      <c r="E307" s="203"/>
      <c r="F307" s="203"/>
      <c r="G307" s="203"/>
      <c r="H307" s="203"/>
    </row>
    <row r="308">
      <c r="A308" s="389"/>
      <c r="B308" s="203"/>
      <c r="C308" s="390"/>
      <c r="D308" s="345"/>
      <c r="E308" s="203"/>
      <c r="F308" s="203"/>
      <c r="G308" s="203"/>
      <c r="H308" s="203"/>
    </row>
    <row r="309">
      <c r="A309" s="389"/>
      <c r="B309" s="203"/>
      <c r="C309" s="390"/>
      <c r="D309" s="345"/>
      <c r="E309" s="203"/>
      <c r="F309" s="203"/>
      <c r="G309" s="203"/>
      <c r="H309" s="203"/>
    </row>
    <row r="310">
      <c r="A310" s="389"/>
      <c r="B310" s="203"/>
      <c r="C310" s="390"/>
      <c r="D310" s="345"/>
      <c r="E310" s="203"/>
      <c r="F310" s="203"/>
      <c r="G310" s="203"/>
      <c r="H310" s="203"/>
    </row>
    <row r="311">
      <c r="A311" s="389"/>
      <c r="B311" s="203"/>
      <c r="C311" s="390"/>
      <c r="D311" s="345"/>
      <c r="E311" s="203"/>
      <c r="F311" s="203"/>
      <c r="G311" s="203"/>
      <c r="H311" s="203"/>
    </row>
    <row r="312">
      <c r="A312" s="389"/>
      <c r="B312" s="203"/>
      <c r="C312" s="390"/>
      <c r="D312" s="345"/>
      <c r="E312" s="203"/>
      <c r="F312" s="203"/>
      <c r="G312" s="203"/>
      <c r="H312" s="203"/>
    </row>
    <row r="313">
      <c r="A313" s="389"/>
      <c r="B313" s="203"/>
      <c r="C313" s="390"/>
      <c r="D313" s="345"/>
      <c r="E313" s="203"/>
      <c r="F313" s="203"/>
      <c r="G313" s="203"/>
      <c r="H313" s="203"/>
    </row>
    <row r="314">
      <c r="A314" s="389"/>
      <c r="B314" s="203"/>
      <c r="C314" s="390"/>
      <c r="D314" s="345"/>
      <c r="E314" s="203"/>
      <c r="F314" s="203"/>
      <c r="G314" s="203"/>
      <c r="H314" s="203"/>
    </row>
    <row r="315">
      <c r="A315" s="389"/>
      <c r="B315" s="203"/>
      <c r="C315" s="390"/>
      <c r="D315" s="345"/>
      <c r="E315" s="203"/>
      <c r="F315" s="203"/>
      <c r="G315" s="203"/>
      <c r="H315" s="203"/>
    </row>
    <row r="316">
      <c r="A316" s="389"/>
      <c r="B316" s="203"/>
      <c r="C316" s="390"/>
      <c r="D316" s="345"/>
      <c r="E316" s="203"/>
      <c r="F316" s="203"/>
      <c r="G316" s="203"/>
      <c r="H316" s="203"/>
    </row>
    <row r="317">
      <c r="A317" s="389"/>
      <c r="B317" s="203"/>
      <c r="C317" s="390"/>
      <c r="D317" s="345"/>
      <c r="E317" s="203"/>
      <c r="F317" s="203"/>
      <c r="G317" s="203"/>
      <c r="H317" s="203"/>
    </row>
    <row r="318">
      <c r="A318" s="389"/>
      <c r="B318" s="203"/>
      <c r="C318" s="390"/>
      <c r="D318" s="345"/>
      <c r="E318" s="203"/>
      <c r="F318" s="203"/>
      <c r="G318" s="203"/>
      <c r="H318" s="203"/>
    </row>
    <row r="319">
      <c r="A319" s="389"/>
      <c r="B319" s="203"/>
      <c r="C319" s="390"/>
      <c r="D319" s="345"/>
      <c r="E319" s="203"/>
      <c r="F319" s="203"/>
      <c r="G319" s="203"/>
      <c r="H319" s="203"/>
    </row>
    <row r="320">
      <c r="A320" s="389"/>
      <c r="B320" s="203"/>
      <c r="C320" s="390"/>
      <c r="D320" s="345"/>
      <c r="E320" s="203"/>
      <c r="F320" s="203"/>
      <c r="G320" s="203"/>
      <c r="H320" s="203"/>
    </row>
    <row r="321">
      <c r="A321" s="389"/>
      <c r="B321" s="203"/>
      <c r="C321" s="390"/>
      <c r="D321" s="345"/>
      <c r="E321" s="203"/>
      <c r="F321" s="203"/>
      <c r="G321" s="203"/>
      <c r="H321" s="203"/>
    </row>
    <row r="322">
      <c r="A322" s="389"/>
      <c r="B322" s="203"/>
      <c r="C322" s="390"/>
      <c r="D322" s="345"/>
      <c r="E322" s="203"/>
      <c r="F322" s="203"/>
      <c r="G322" s="203"/>
      <c r="H322" s="203"/>
    </row>
    <row r="323">
      <c r="A323" s="389"/>
      <c r="B323" s="203"/>
      <c r="C323" s="390"/>
      <c r="D323" s="345"/>
      <c r="E323" s="203"/>
      <c r="F323" s="203"/>
      <c r="G323" s="203"/>
      <c r="H323" s="203"/>
    </row>
    <row r="324">
      <c r="A324" s="389"/>
      <c r="B324" s="203"/>
      <c r="C324" s="390"/>
      <c r="D324" s="345"/>
      <c r="E324" s="203"/>
      <c r="F324" s="203"/>
      <c r="G324" s="203"/>
      <c r="H324" s="203"/>
    </row>
    <row r="325">
      <c r="A325" s="389"/>
      <c r="B325" s="203"/>
      <c r="C325" s="390"/>
      <c r="D325" s="345"/>
      <c r="E325" s="203"/>
      <c r="F325" s="203"/>
      <c r="G325" s="203"/>
      <c r="H325" s="203"/>
    </row>
    <row r="326">
      <c r="A326" s="389"/>
      <c r="B326" s="203"/>
      <c r="C326" s="390"/>
      <c r="D326" s="345"/>
      <c r="E326" s="203"/>
      <c r="F326" s="203"/>
      <c r="G326" s="203"/>
      <c r="H326" s="203"/>
    </row>
    <row r="327">
      <c r="A327" s="389"/>
      <c r="B327" s="203"/>
      <c r="C327" s="390"/>
      <c r="D327" s="345"/>
      <c r="E327" s="203"/>
      <c r="F327" s="203"/>
      <c r="G327" s="203"/>
      <c r="H327" s="203"/>
    </row>
    <row r="328">
      <c r="A328" s="389"/>
      <c r="B328" s="203"/>
      <c r="C328" s="390"/>
      <c r="D328" s="345"/>
      <c r="E328" s="203"/>
      <c r="F328" s="203"/>
      <c r="G328" s="203"/>
      <c r="H328" s="203"/>
    </row>
    <row r="329">
      <c r="A329" s="389"/>
      <c r="B329" s="203"/>
      <c r="C329" s="390"/>
      <c r="D329" s="345"/>
      <c r="E329" s="203"/>
      <c r="F329" s="203"/>
      <c r="G329" s="203"/>
      <c r="H329" s="203"/>
    </row>
    <row r="330">
      <c r="A330" s="389"/>
      <c r="B330" s="203"/>
      <c r="C330" s="390"/>
      <c r="D330" s="345"/>
      <c r="E330" s="203"/>
      <c r="F330" s="203"/>
      <c r="G330" s="203"/>
      <c r="H330" s="203"/>
    </row>
    <row r="331">
      <c r="A331" s="389"/>
      <c r="B331" s="203"/>
      <c r="C331" s="390"/>
      <c r="D331" s="345"/>
      <c r="E331" s="203"/>
      <c r="F331" s="203"/>
      <c r="G331" s="203"/>
      <c r="H331" s="203"/>
    </row>
    <row r="332">
      <c r="A332" s="389"/>
      <c r="B332" s="203"/>
      <c r="C332" s="390"/>
      <c r="D332" s="345"/>
      <c r="E332" s="203"/>
      <c r="F332" s="203"/>
      <c r="G332" s="203"/>
      <c r="H332" s="203"/>
    </row>
    <row r="333">
      <c r="A333" s="389"/>
      <c r="B333" s="203"/>
      <c r="C333" s="390"/>
      <c r="D333" s="345"/>
      <c r="E333" s="203"/>
      <c r="F333" s="203"/>
      <c r="G333" s="203"/>
      <c r="H333" s="203"/>
    </row>
    <row r="334">
      <c r="A334" s="389"/>
      <c r="B334" s="203"/>
      <c r="C334" s="390"/>
      <c r="D334" s="345"/>
      <c r="E334" s="203"/>
      <c r="F334" s="203"/>
      <c r="G334" s="203"/>
      <c r="H334" s="203"/>
    </row>
    <row r="335">
      <c r="A335" s="389"/>
      <c r="B335" s="203"/>
      <c r="C335" s="390"/>
      <c r="D335" s="345"/>
      <c r="E335" s="203"/>
      <c r="F335" s="203"/>
      <c r="G335" s="203"/>
      <c r="H335" s="203"/>
    </row>
    <row r="336">
      <c r="A336" s="389"/>
      <c r="B336" s="203"/>
      <c r="C336" s="390"/>
      <c r="D336" s="345"/>
      <c r="E336" s="203"/>
      <c r="F336" s="203"/>
      <c r="G336" s="203"/>
      <c r="H336" s="203"/>
    </row>
    <row r="337">
      <c r="A337" s="389"/>
      <c r="B337" s="203"/>
      <c r="C337" s="390"/>
      <c r="D337" s="345"/>
      <c r="E337" s="203"/>
      <c r="F337" s="203"/>
      <c r="G337" s="203"/>
      <c r="H337" s="203"/>
    </row>
    <row r="338">
      <c r="A338" s="389"/>
      <c r="B338" s="203"/>
      <c r="C338" s="390"/>
      <c r="D338" s="345"/>
      <c r="E338" s="203"/>
      <c r="F338" s="203"/>
      <c r="G338" s="203"/>
      <c r="H338" s="203"/>
    </row>
    <row r="339">
      <c r="A339" s="389"/>
      <c r="B339" s="203"/>
      <c r="C339" s="390"/>
      <c r="D339" s="345"/>
      <c r="E339" s="203"/>
      <c r="F339" s="203"/>
      <c r="G339" s="203"/>
      <c r="H339" s="203"/>
    </row>
    <row r="340">
      <c r="A340" s="389"/>
      <c r="B340" s="203"/>
      <c r="C340" s="390"/>
      <c r="D340" s="345"/>
      <c r="E340" s="203"/>
      <c r="F340" s="203"/>
      <c r="G340" s="203"/>
      <c r="H340" s="203"/>
    </row>
    <row r="341">
      <c r="A341" s="389"/>
      <c r="B341" s="203"/>
      <c r="C341" s="390"/>
      <c r="D341" s="345"/>
      <c r="E341" s="203"/>
      <c r="F341" s="203"/>
      <c r="G341" s="203"/>
      <c r="H341" s="203"/>
    </row>
    <row r="342">
      <c r="A342" s="389"/>
      <c r="B342" s="203"/>
      <c r="C342" s="390"/>
      <c r="D342" s="345"/>
      <c r="E342" s="203"/>
      <c r="F342" s="203"/>
      <c r="G342" s="203"/>
      <c r="H342" s="203"/>
    </row>
    <row r="343">
      <c r="A343" s="389"/>
      <c r="B343" s="203"/>
      <c r="C343" s="390"/>
      <c r="D343" s="345"/>
      <c r="E343" s="203"/>
      <c r="F343" s="203"/>
      <c r="G343" s="203"/>
      <c r="H343" s="203"/>
    </row>
    <row r="344">
      <c r="A344" s="389"/>
      <c r="B344" s="203"/>
      <c r="C344" s="390"/>
      <c r="D344" s="345"/>
      <c r="E344" s="203"/>
      <c r="F344" s="203"/>
      <c r="G344" s="203"/>
      <c r="H344" s="203"/>
    </row>
    <row r="345">
      <c r="A345" s="389"/>
      <c r="B345" s="203"/>
      <c r="C345" s="390"/>
      <c r="D345" s="345"/>
      <c r="E345" s="203"/>
      <c r="F345" s="203"/>
      <c r="G345" s="203"/>
      <c r="H345" s="203"/>
    </row>
    <row r="346">
      <c r="A346" s="389"/>
      <c r="B346" s="203"/>
      <c r="C346" s="390"/>
      <c r="D346" s="345"/>
      <c r="E346" s="203"/>
      <c r="F346" s="203"/>
      <c r="G346" s="203"/>
      <c r="H346" s="203"/>
    </row>
    <row r="347">
      <c r="A347" s="389"/>
      <c r="B347" s="203"/>
      <c r="C347" s="390"/>
      <c r="D347" s="345"/>
      <c r="E347" s="203"/>
      <c r="F347" s="203"/>
      <c r="G347" s="203"/>
      <c r="H347" s="203"/>
    </row>
    <row r="348">
      <c r="A348" s="389"/>
      <c r="B348" s="203"/>
      <c r="C348" s="390"/>
      <c r="D348" s="345"/>
      <c r="E348" s="203"/>
      <c r="F348" s="203"/>
      <c r="G348" s="203"/>
      <c r="H348" s="203"/>
    </row>
    <row r="349">
      <c r="A349" s="389"/>
      <c r="B349" s="203"/>
      <c r="C349" s="390"/>
      <c r="D349" s="345"/>
      <c r="E349" s="203"/>
      <c r="F349" s="203"/>
      <c r="G349" s="203"/>
      <c r="H349" s="203"/>
    </row>
    <row r="350">
      <c r="A350" s="389"/>
      <c r="B350" s="203"/>
      <c r="C350" s="390"/>
      <c r="D350" s="345"/>
      <c r="E350" s="203"/>
      <c r="F350" s="203"/>
      <c r="G350" s="203"/>
      <c r="H350" s="203"/>
    </row>
    <row r="351">
      <c r="A351" s="389"/>
      <c r="B351" s="203"/>
      <c r="C351" s="390"/>
      <c r="D351" s="345"/>
      <c r="E351" s="203"/>
      <c r="F351" s="203"/>
      <c r="G351" s="203"/>
      <c r="H351" s="203"/>
    </row>
    <row r="352">
      <c r="A352" s="389"/>
      <c r="B352" s="203"/>
      <c r="C352" s="390"/>
      <c r="D352" s="345"/>
      <c r="E352" s="203"/>
      <c r="F352" s="203"/>
      <c r="G352" s="203"/>
      <c r="H352" s="203"/>
    </row>
    <row r="353">
      <c r="A353" s="389"/>
      <c r="B353" s="203"/>
      <c r="C353" s="390"/>
      <c r="D353" s="345"/>
      <c r="E353" s="203"/>
      <c r="F353" s="203"/>
      <c r="G353" s="203"/>
      <c r="H353" s="203"/>
    </row>
    <row r="354">
      <c r="A354" s="389"/>
      <c r="B354" s="203"/>
      <c r="C354" s="390"/>
      <c r="D354" s="345"/>
      <c r="E354" s="203"/>
      <c r="F354" s="203"/>
      <c r="G354" s="203"/>
      <c r="H354" s="203"/>
    </row>
    <row r="355">
      <c r="A355" s="389"/>
      <c r="B355" s="203"/>
      <c r="C355" s="390"/>
      <c r="D355" s="345"/>
      <c r="E355" s="203"/>
      <c r="F355" s="203"/>
      <c r="G355" s="203"/>
      <c r="H355" s="203"/>
    </row>
    <row r="356">
      <c r="A356" s="389"/>
      <c r="B356" s="203"/>
      <c r="C356" s="390"/>
      <c r="D356" s="345"/>
      <c r="E356" s="203"/>
      <c r="F356" s="203"/>
      <c r="G356" s="203"/>
      <c r="H356" s="203"/>
    </row>
    <row r="357">
      <c r="A357" s="389"/>
      <c r="B357" s="203"/>
      <c r="C357" s="390"/>
      <c r="D357" s="345"/>
      <c r="E357" s="203"/>
      <c r="F357" s="203"/>
      <c r="G357" s="203"/>
      <c r="H357" s="203"/>
    </row>
    <row r="358">
      <c r="A358" s="389"/>
      <c r="B358" s="203"/>
      <c r="C358" s="390"/>
      <c r="D358" s="345"/>
      <c r="E358" s="203"/>
      <c r="F358" s="203"/>
      <c r="G358" s="203"/>
      <c r="H358" s="203"/>
    </row>
    <row r="359">
      <c r="A359" s="389"/>
      <c r="B359" s="203"/>
      <c r="C359" s="390"/>
      <c r="D359" s="345"/>
      <c r="E359" s="203"/>
      <c r="F359" s="203"/>
      <c r="G359" s="203"/>
      <c r="H359" s="203"/>
    </row>
    <row r="360">
      <c r="A360" s="389"/>
      <c r="B360" s="203"/>
      <c r="C360" s="390"/>
      <c r="D360" s="345"/>
      <c r="E360" s="203"/>
      <c r="F360" s="203"/>
      <c r="G360" s="203"/>
      <c r="H360" s="203"/>
    </row>
    <row r="361">
      <c r="A361" s="389"/>
      <c r="B361" s="203"/>
      <c r="C361" s="390"/>
      <c r="D361" s="345"/>
      <c r="E361" s="203"/>
      <c r="F361" s="203"/>
      <c r="G361" s="203"/>
      <c r="H361" s="203"/>
    </row>
    <row r="362">
      <c r="A362" s="389"/>
      <c r="B362" s="203"/>
      <c r="C362" s="390"/>
      <c r="D362" s="345"/>
      <c r="E362" s="203"/>
      <c r="F362" s="203"/>
      <c r="G362" s="203"/>
      <c r="H362" s="203"/>
    </row>
    <row r="363">
      <c r="A363" s="389"/>
      <c r="B363" s="203"/>
      <c r="C363" s="390"/>
      <c r="D363" s="345"/>
      <c r="E363" s="203"/>
      <c r="F363" s="203"/>
      <c r="G363" s="203"/>
      <c r="H363" s="203"/>
    </row>
    <row r="364">
      <c r="A364" s="389"/>
      <c r="B364" s="203"/>
      <c r="C364" s="390"/>
      <c r="D364" s="345"/>
      <c r="E364" s="203"/>
      <c r="F364" s="203"/>
      <c r="G364" s="203"/>
      <c r="H364" s="203"/>
    </row>
    <row r="365">
      <c r="A365" s="389"/>
      <c r="B365" s="203"/>
      <c r="C365" s="390"/>
      <c r="D365" s="345"/>
      <c r="E365" s="203"/>
      <c r="F365" s="203"/>
      <c r="G365" s="203"/>
      <c r="H365" s="203"/>
    </row>
    <row r="366">
      <c r="A366" s="389"/>
      <c r="B366" s="203"/>
      <c r="C366" s="390"/>
      <c r="D366" s="345"/>
      <c r="E366" s="203"/>
      <c r="F366" s="203"/>
      <c r="G366" s="203"/>
      <c r="H366" s="203"/>
    </row>
    <row r="367">
      <c r="A367" s="389"/>
      <c r="B367" s="203"/>
      <c r="C367" s="390"/>
      <c r="D367" s="345"/>
      <c r="E367" s="203"/>
      <c r="F367" s="203"/>
      <c r="G367" s="203"/>
      <c r="H367" s="203"/>
    </row>
    <row r="368">
      <c r="A368" s="389"/>
      <c r="B368" s="203"/>
      <c r="C368" s="390"/>
      <c r="D368" s="345"/>
      <c r="E368" s="203"/>
      <c r="F368" s="203"/>
      <c r="G368" s="203"/>
      <c r="H368" s="203"/>
    </row>
    <row r="369">
      <c r="A369" s="389"/>
      <c r="B369" s="203"/>
      <c r="C369" s="390"/>
      <c r="D369" s="345"/>
      <c r="E369" s="203"/>
      <c r="F369" s="203"/>
      <c r="G369" s="203"/>
      <c r="H369" s="203"/>
    </row>
    <row r="370">
      <c r="A370" s="389"/>
      <c r="B370" s="203"/>
      <c r="C370" s="390"/>
      <c r="D370" s="345"/>
      <c r="E370" s="203"/>
      <c r="F370" s="203"/>
      <c r="G370" s="203"/>
      <c r="H370" s="203"/>
    </row>
    <row r="371">
      <c r="A371" s="389"/>
      <c r="B371" s="203"/>
      <c r="C371" s="390"/>
      <c r="D371" s="345"/>
      <c r="E371" s="203"/>
      <c r="F371" s="203"/>
      <c r="G371" s="203"/>
      <c r="H371" s="203"/>
    </row>
    <row r="372">
      <c r="A372" s="389"/>
      <c r="B372" s="203"/>
      <c r="C372" s="390"/>
      <c r="D372" s="345"/>
      <c r="E372" s="203"/>
      <c r="F372" s="203"/>
      <c r="G372" s="203"/>
      <c r="H372" s="203"/>
    </row>
    <row r="373">
      <c r="A373" s="389"/>
      <c r="B373" s="203"/>
      <c r="C373" s="390"/>
      <c r="D373" s="345"/>
      <c r="E373" s="203"/>
      <c r="F373" s="203"/>
      <c r="G373" s="203"/>
      <c r="H373" s="203"/>
    </row>
    <row r="374">
      <c r="A374" s="389"/>
      <c r="B374" s="203"/>
      <c r="C374" s="390"/>
      <c r="D374" s="345"/>
      <c r="E374" s="203"/>
      <c r="F374" s="203"/>
      <c r="G374" s="203"/>
      <c r="H374" s="203"/>
    </row>
    <row r="375">
      <c r="A375" s="389"/>
      <c r="B375" s="203"/>
      <c r="C375" s="390"/>
      <c r="D375" s="345"/>
      <c r="E375" s="203"/>
      <c r="F375" s="203"/>
      <c r="G375" s="203"/>
      <c r="H375" s="203"/>
    </row>
    <row r="376">
      <c r="A376" s="389"/>
      <c r="B376" s="203"/>
      <c r="C376" s="390"/>
      <c r="D376" s="345"/>
      <c r="E376" s="203"/>
      <c r="F376" s="203"/>
      <c r="G376" s="203"/>
      <c r="H376" s="203"/>
    </row>
    <row r="377">
      <c r="A377" s="389"/>
      <c r="B377" s="203"/>
      <c r="C377" s="390"/>
      <c r="D377" s="345"/>
      <c r="E377" s="203"/>
      <c r="F377" s="203"/>
      <c r="G377" s="203"/>
      <c r="H377" s="203"/>
    </row>
    <row r="378">
      <c r="A378" s="389"/>
      <c r="B378" s="203"/>
      <c r="C378" s="390"/>
      <c r="D378" s="345"/>
      <c r="E378" s="203"/>
      <c r="F378" s="203"/>
      <c r="G378" s="203"/>
      <c r="H378" s="203"/>
    </row>
    <row r="379">
      <c r="A379" s="389"/>
      <c r="B379" s="203"/>
      <c r="C379" s="390"/>
      <c r="D379" s="345"/>
      <c r="E379" s="203"/>
      <c r="F379" s="203"/>
      <c r="G379" s="203"/>
      <c r="H379" s="203"/>
    </row>
    <row r="380">
      <c r="A380" s="389"/>
      <c r="B380" s="203"/>
      <c r="C380" s="390"/>
      <c r="D380" s="345"/>
      <c r="E380" s="203"/>
      <c r="F380" s="203"/>
      <c r="G380" s="203"/>
      <c r="H380" s="203"/>
    </row>
    <row r="381">
      <c r="A381" s="389"/>
      <c r="B381" s="203"/>
      <c r="C381" s="390"/>
      <c r="D381" s="345"/>
      <c r="E381" s="203"/>
      <c r="F381" s="203"/>
      <c r="G381" s="203"/>
      <c r="H381" s="203"/>
    </row>
    <row r="382">
      <c r="A382" s="389"/>
      <c r="B382" s="203"/>
      <c r="C382" s="390"/>
      <c r="D382" s="345"/>
      <c r="E382" s="203"/>
      <c r="F382" s="203"/>
      <c r="G382" s="203"/>
      <c r="H382" s="203"/>
    </row>
    <row r="383">
      <c r="A383" s="389"/>
      <c r="B383" s="203"/>
      <c r="C383" s="390"/>
      <c r="D383" s="345"/>
      <c r="E383" s="203"/>
      <c r="F383" s="203"/>
      <c r="G383" s="203"/>
      <c r="H383" s="203"/>
    </row>
    <row r="384">
      <c r="A384" s="389"/>
      <c r="B384" s="203"/>
      <c r="C384" s="390"/>
      <c r="D384" s="345"/>
      <c r="E384" s="203"/>
      <c r="F384" s="203"/>
      <c r="G384" s="203"/>
      <c r="H384" s="203"/>
    </row>
    <row r="385">
      <c r="A385" s="389"/>
      <c r="B385" s="203"/>
      <c r="C385" s="390"/>
      <c r="D385" s="345"/>
      <c r="E385" s="203"/>
      <c r="F385" s="203"/>
      <c r="G385" s="203"/>
      <c r="H385" s="203"/>
    </row>
    <row r="386">
      <c r="A386" s="389"/>
      <c r="B386" s="203"/>
      <c r="C386" s="390"/>
      <c r="D386" s="345"/>
      <c r="E386" s="203"/>
      <c r="F386" s="203"/>
      <c r="G386" s="203"/>
      <c r="H386" s="203"/>
    </row>
    <row r="387">
      <c r="A387" s="389"/>
      <c r="B387" s="203"/>
      <c r="C387" s="390"/>
      <c r="D387" s="345"/>
      <c r="E387" s="203"/>
      <c r="F387" s="203"/>
      <c r="G387" s="203"/>
      <c r="H387" s="203"/>
    </row>
    <row r="388">
      <c r="A388" s="389"/>
      <c r="B388" s="203"/>
      <c r="C388" s="390"/>
      <c r="D388" s="345"/>
      <c r="E388" s="203"/>
      <c r="F388" s="203"/>
      <c r="G388" s="203"/>
      <c r="H388" s="203"/>
    </row>
    <row r="389">
      <c r="A389" s="389"/>
      <c r="B389" s="203"/>
      <c r="C389" s="390"/>
      <c r="D389" s="345"/>
      <c r="E389" s="203"/>
      <c r="F389" s="203"/>
      <c r="G389" s="203"/>
      <c r="H389" s="203"/>
    </row>
    <row r="390">
      <c r="A390" s="389"/>
      <c r="B390" s="203"/>
      <c r="C390" s="390"/>
      <c r="D390" s="345"/>
      <c r="E390" s="203"/>
      <c r="F390" s="203"/>
      <c r="G390" s="203"/>
      <c r="H390" s="203"/>
    </row>
    <row r="391">
      <c r="A391" s="389"/>
      <c r="B391" s="203"/>
      <c r="C391" s="390"/>
      <c r="D391" s="345"/>
      <c r="E391" s="203"/>
      <c r="F391" s="203"/>
      <c r="G391" s="203"/>
      <c r="H391" s="203"/>
    </row>
    <row r="392">
      <c r="A392" s="389"/>
      <c r="B392" s="203"/>
      <c r="C392" s="390"/>
      <c r="D392" s="345"/>
      <c r="E392" s="203"/>
      <c r="F392" s="203"/>
      <c r="G392" s="203"/>
      <c r="H392" s="203"/>
    </row>
    <row r="393">
      <c r="A393" s="389"/>
      <c r="B393" s="203"/>
      <c r="C393" s="390"/>
      <c r="D393" s="345"/>
      <c r="E393" s="203"/>
      <c r="F393" s="203"/>
      <c r="G393" s="203"/>
      <c r="H393" s="203"/>
    </row>
    <row r="394">
      <c r="A394" s="389"/>
      <c r="B394" s="203"/>
      <c r="C394" s="390"/>
      <c r="D394" s="345"/>
      <c r="E394" s="203"/>
      <c r="F394" s="203"/>
      <c r="G394" s="203"/>
      <c r="H394" s="203"/>
    </row>
    <row r="395">
      <c r="A395" s="389"/>
      <c r="B395" s="203"/>
      <c r="C395" s="390"/>
      <c r="D395" s="345"/>
      <c r="E395" s="203"/>
      <c r="F395" s="203"/>
      <c r="G395" s="203"/>
      <c r="H395" s="203"/>
    </row>
    <row r="396">
      <c r="A396" s="389"/>
      <c r="B396" s="203"/>
      <c r="C396" s="390"/>
      <c r="D396" s="345"/>
      <c r="E396" s="203"/>
      <c r="F396" s="203"/>
      <c r="G396" s="203"/>
      <c r="H396" s="203"/>
    </row>
    <row r="397">
      <c r="A397" s="389"/>
      <c r="B397" s="203"/>
      <c r="C397" s="390"/>
      <c r="D397" s="345"/>
      <c r="E397" s="203"/>
      <c r="F397" s="203"/>
      <c r="G397" s="203"/>
      <c r="H397" s="203"/>
    </row>
    <row r="398">
      <c r="A398" s="389"/>
      <c r="B398" s="203"/>
      <c r="C398" s="390"/>
      <c r="D398" s="345"/>
      <c r="E398" s="203"/>
      <c r="F398" s="203"/>
      <c r="G398" s="203"/>
      <c r="H398" s="203"/>
    </row>
    <row r="399">
      <c r="A399" s="389"/>
      <c r="B399" s="203"/>
      <c r="C399" s="390"/>
      <c r="D399" s="345"/>
      <c r="E399" s="203"/>
      <c r="F399" s="203"/>
      <c r="G399" s="203"/>
      <c r="H399" s="203"/>
    </row>
    <row r="400">
      <c r="A400" s="389"/>
      <c r="B400" s="203"/>
      <c r="C400" s="390"/>
      <c r="D400" s="345"/>
      <c r="E400" s="203"/>
      <c r="F400" s="203"/>
      <c r="G400" s="203"/>
      <c r="H400" s="203"/>
    </row>
    <row r="401">
      <c r="A401" s="389"/>
      <c r="B401" s="203"/>
      <c r="C401" s="390"/>
      <c r="D401" s="345"/>
      <c r="E401" s="203"/>
      <c r="F401" s="203"/>
      <c r="G401" s="203"/>
      <c r="H401" s="203"/>
    </row>
    <row r="402">
      <c r="A402" s="389"/>
      <c r="B402" s="203"/>
      <c r="C402" s="390"/>
      <c r="D402" s="345"/>
      <c r="E402" s="203"/>
      <c r="F402" s="203"/>
      <c r="G402" s="203"/>
      <c r="H402" s="203"/>
    </row>
    <row r="403">
      <c r="A403" s="389"/>
      <c r="B403" s="203"/>
      <c r="C403" s="390"/>
      <c r="D403" s="345"/>
      <c r="E403" s="203"/>
      <c r="F403" s="203"/>
      <c r="G403" s="203"/>
      <c r="H403" s="203"/>
    </row>
    <row r="404">
      <c r="A404" s="389"/>
      <c r="B404" s="203"/>
      <c r="C404" s="390"/>
      <c r="D404" s="345"/>
      <c r="E404" s="203"/>
      <c r="F404" s="203"/>
      <c r="G404" s="203"/>
      <c r="H404" s="203"/>
    </row>
    <row r="405">
      <c r="A405" s="389"/>
      <c r="B405" s="203"/>
      <c r="C405" s="390"/>
      <c r="D405" s="345"/>
      <c r="E405" s="203"/>
      <c r="F405" s="203"/>
      <c r="G405" s="203"/>
      <c r="H405" s="203"/>
    </row>
    <row r="406">
      <c r="A406" s="389"/>
      <c r="B406" s="203"/>
      <c r="C406" s="390"/>
      <c r="D406" s="345"/>
      <c r="E406" s="203"/>
      <c r="F406" s="203"/>
      <c r="G406" s="203"/>
      <c r="H406" s="203"/>
    </row>
    <row r="407">
      <c r="A407" s="389"/>
      <c r="B407" s="203"/>
      <c r="C407" s="390"/>
      <c r="D407" s="345"/>
      <c r="E407" s="203"/>
      <c r="F407" s="203"/>
      <c r="G407" s="203"/>
      <c r="H407" s="203"/>
    </row>
    <row r="408">
      <c r="A408" s="389"/>
      <c r="B408" s="203"/>
      <c r="C408" s="390"/>
      <c r="D408" s="345"/>
      <c r="E408" s="203"/>
      <c r="F408" s="203"/>
      <c r="G408" s="203"/>
      <c r="H408" s="203"/>
    </row>
    <row r="409">
      <c r="A409" s="389"/>
      <c r="B409" s="203"/>
      <c r="C409" s="390"/>
      <c r="D409" s="345"/>
      <c r="E409" s="203"/>
      <c r="F409" s="203"/>
      <c r="G409" s="203"/>
      <c r="H409" s="203"/>
    </row>
    <row r="410">
      <c r="A410" s="389"/>
      <c r="B410" s="203"/>
      <c r="C410" s="390"/>
      <c r="D410" s="345"/>
      <c r="E410" s="203"/>
      <c r="F410" s="203"/>
      <c r="G410" s="203"/>
      <c r="H410" s="203"/>
    </row>
    <row r="411">
      <c r="A411" s="389"/>
      <c r="B411" s="203"/>
      <c r="C411" s="390"/>
      <c r="D411" s="345"/>
      <c r="E411" s="203"/>
      <c r="F411" s="203"/>
      <c r="G411" s="203"/>
      <c r="H411" s="203"/>
    </row>
    <row r="412">
      <c r="A412" s="389"/>
      <c r="B412" s="203"/>
      <c r="C412" s="390"/>
      <c r="D412" s="345"/>
      <c r="E412" s="203"/>
      <c r="F412" s="203"/>
      <c r="G412" s="203"/>
      <c r="H412" s="203"/>
    </row>
    <row r="413">
      <c r="A413" s="389"/>
      <c r="B413" s="203"/>
      <c r="C413" s="390"/>
      <c r="D413" s="345"/>
      <c r="E413" s="203"/>
      <c r="F413" s="203"/>
      <c r="G413" s="203"/>
      <c r="H413" s="203"/>
    </row>
    <row r="414">
      <c r="A414" s="389"/>
      <c r="B414" s="203"/>
      <c r="C414" s="390"/>
      <c r="D414" s="345"/>
      <c r="E414" s="203"/>
      <c r="F414" s="203"/>
      <c r="G414" s="203"/>
      <c r="H414" s="203"/>
    </row>
    <row r="415">
      <c r="A415" s="389"/>
      <c r="B415" s="203"/>
      <c r="C415" s="390"/>
      <c r="D415" s="345"/>
      <c r="E415" s="203"/>
      <c r="F415" s="203"/>
      <c r="G415" s="203"/>
      <c r="H415" s="203"/>
    </row>
    <row r="416">
      <c r="A416" s="389"/>
      <c r="B416" s="203"/>
      <c r="C416" s="390"/>
      <c r="D416" s="345"/>
      <c r="E416" s="203"/>
      <c r="F416" s="203"/>
      <c r="G416" s="203"/>
      <c r="H416" s="203"/>
    </row>
    <row r="417">
      <c r="A417" s="389"/>
      <c r="B417" s="203"/>
      <c r="C417" s="390"/>
      <c r="D417" s="345"/>
      <c r="E417" s="203"/>
      <c r="F417" s="203"/>
      <c r="G417" s="203"/>
      <c r="H417" s="203"/>
    </row>
    <row r="418">
      <c r="A418" s="389"/>
      <c r="B418" s="203"/>
      <c r="C418" s="390"/>
      <c r="D418" s="345"/>
      <c r="E418" s="203"/>
      <c r="F418" s="203"/>
      <c r="G418" s="203"/>
      <c r="H418" s="203"/>
    </row>
    <row r="419">
      <c r="A419" s="389"/>
      <c r="B419" s="203"/>
      <c r="C419" s="390"/>
      <c r="D419" s="345"/>
      <c r="E419" s="203"/>
      <c r="F419" s="203"/>
      <c r="G419" s="203"/>
      <c r="H419" s="203"/>
    </row>
    <row r="420">
      <c r="A420" s="389"/>
      <c r="B420" s="203"/>
      <c r="C420" s="390"/>
      <c r="D420" s="345"/>
      <c r="E420" s="203"/>
      <c r="F420" s="203"/>
      <c r="G420" s="203"/>
      <c r="H420" s="203"/>
    </row>
    <row r="421">
      <c r="A421" s="389"/>
      <c r="B421" s="203"/>
      <c r="C421" s="390"/>
      <c r="D421" s="345"/>
      <c r="E421" s="203"/>
      <c r="F421" s="203"/>
      <c r="G421" s="203"/>
      <c r="H421" s="203"/>
    </row>
    <row r="422">
      <c r="A422" s="389"/>
      <c r="B422" s="203"/>
      <c r="C422" s="390"/>
      <c r="D422" s="345"/>
      <c r="E422" s="203"/>
      <c r="F422" s="203"/>
      <c r="G422" s="203"/>
      <c r="H422" s="203"/>
    </row>
    <row r="423">
      <c r="A423" s="389"/>
      <c r="B423" s="203"/>
      <c r="C423" s="390"/>
      <c r="D423" s="345"/>
      <c r="E423" s="203"/>
      <c r="F423" s="203"/>
      <c r="G423" s="203"/>
      <c r="H423" s="203"/>
    </row>
    <row r="424">
      <c r="A424" s="389"/>
      <c r="B424" s="203"/>
      <c r="C424" s="390"/>
      <c r="D424" s="345"/>
      <c r="E424" s="203"/>
      <c r="F424" s="203"/>
      <c r="G424" s="203"/>
      <c r="H424" s="203"/>
    </row>
    <row r="425">
      <c r="A425" s="389"/>
      <c r="B425" s="203"/>
      <c r="C425" s="390"/>
      <c r="D425" s="345"/>
      <c r="E425" s="203"/>
      <c r="F425" s="203"/>
      <c r="G425" s="203"/>
      <c r="H425" s="203"/>
    </row>
    <row r="426">
      <c r="A426" s="389"/>
      <c r="B426" s="203"/>
      <c r="C426" s="390"/>
      <c r="D426" s="345"/>
      <c r="E426" s="203"/>
      <c r="F426" s="203"/>
      <c r="G426" s="203"/>
      <c r="H426" s="203"/>
    </row>
    <row r="427">
      <c r="A427" s="389"/>
      <c r="B427" s="203"/>
      <c r="C427" s="390"/>
      <c r="D427" s="345"/>
      <c r="E427" s="203"/>
      <c r="F427" s="203"/>
      <c r="G427" s="203"/>
      <c r="H427" s="203"/>
    </row>
    <row r="428">
      <c r="A428" s="389"/>
      <c r="B428" s="203"/>
      <c r="C428" s="390"/>
      <c r="D428" s="345"/>
      <c r="E428" s="203"/>
      <c r="F428" s="203"/>
      <c r="G428" s="203"/>
      <c r="H428" s="203"/>
    </row>
    <row r="429">
      <c r="A429" s="389"/>
      <c r="B429" s="203"/>
      <c r="C429" s="390"/>
      <c r="D429" s="345"/>
      <c r="E429" s="203"/>
      <c r="F429" s="203"/>
      <c r="G429" s="203"/>
      <c r="H429" s="203"/>
    </row>
    <row r="430">
      <c r="A430" s="389"/>
      <c r="B430" s="203"/>
      <c r="C430" s="390"/>
      <c r="D430" s="345"/>
      <c r="E430" s="203"/>
      <c r="F430" s="203"/>
      <c r="G430" s="203"/>
      <c r="H430" s="203"/>
    </row>
    <row r="431">
      <c r="A431" s="389"/>
      <c r="B431" s="203"/>
      <c r="C431" s="390"/>
      <c r="D431" s="345"/>
      <c r="E431" s="203"/>
      <c r="F431" s="203"/>
      <c r="G431" s="203"/>
      <c r="H431" s="203"/>
    </row>
    <row r="432">
      <c r="A432" s="389"/>
      <c r="B432" s="203"/>
      <c r="C432" s="390"/>
      <c r="D432" s="345"/>
      <c r="E432" s="203"/>
      <c r="F432" s="203"/>
      <c r="G432" s="203"/>
      <c r="H432" s="203"/>
    </row>
    <row r="433">
      <c r="A433" s="389"/>
      <c r="B433" s="203"/>
      <c r="C433" s="390"/>
      <c r="D433" s="345"/>
      <c r="E433" s="203"/>
      <c r="F433" s="203"/>
      <c r="G433" s="203"/>
      <c r="H433" s="203"/>
    </row>
    <row r="434">
      <c r="A434" s="389"/>
      <c r="B434" s="203"/>
      <c r="C434" s="390"/>
      <c r="D434" s="345"/>
      <c r="E434" s="203"/>
      <c r="F434" s="203"/>
      <c r="G434" s="203"/>
      <c r="H434" s="203"/>
    </row>
    <row r="435">
      <c r="A435" s="389"/>
      <c r="B435" s="203"/>
      <c r="C435" s="390"/>
      <c r="D435" s="345"/>
      <c r="E435" s="203"/>
      <c r="F435" s="203"/>
      <c r="G435" s="203"/>
      <c r="H435" s="203"/>
    </row>
    <row r="436">
      <c r="A436" s="389"/>
      <c r="B436" s="203"/>
      <c r="C436" s="390"/>
      <c r="D436" s="345"/>
      <c r="E436" s="203"/>
      <c r="F436" s="203"/>
      <c r="G436" s="203"/>
      <c r="H436" s="203"/>
    </row>
    <row r="437">
      <c r="A437" s="389"/>
      <c r="B437" s="203"/>
      <c r="C437" s="390"/>
      <c r="D437" s="345"/>
      <c r="E437" s="203"/>
      <c r="F437" s="203"/>
      <c r="G437" s="203"/>
      <c r="H437" s="203"/>
    </row>
    <row r="438">
      <c r="A438" s="389"/>
      <c r="B438" s="203"/>
      <c r="C438" s="390"/>
      <c r="D438" s="345"/>
      <c r="E438" s="203"/>
      <c r="F438" s="203"/>
      <c r="G438" s="203"/>
      <c r="H438" s="203"/>
    </row>
    <row r="439">
      <c r="A439" s="389"/>
      <c r="B439" s="203"/>
      <c r="C439" s="390"/>
      <c r="D439" s="345"/>
      <c r="E439" s="203"/>
      <c r="F439" s="203"/>
      <c r="G439" s="203"/>
      <c r="H439" s="203"/>
    </row>
    <row r="440">
      <c r="A440" s="389"/>
      <c r="B440" s="203"/>
      <c r="C440" s="390"/>
      <c r="D440" s="345"/>
      <c r="E440" s="203"/>
      <c r="F440" s="203"/>
      <c r="G440" s="203"/>
      <c r="H440" s="203"/>
    </row>
    <row r="441">
      <c r="A441" s="389"/>
      <c r="B441" s="203"/>
      <c r="C441" s="390"/>
      <c r="D441" s="345"/>
      <c r="E441" s="203"/>
      <c r="F441" s="203"/>
      <c r="G441" s="203"/>
      <c r="H441" s="203"/>
    </row>
    <row r="442">
      <c r="A442" s="389"/>
      <c r="B442" s="203"/>
      <c r="C442" s="390"/>
      <c r="D442" s="345"/>
      <c r="E442" s="203"/>
      <c r="F442" s="203"/>
      <c r="G442" s="203"/>
      <c r="H442" s="203"/>
    </row>
    <row r="443">
      <c r="A443" s="389"/>
      <c r="B443" s="203"/>
      <c r="C443" s="390"/>
      <c r="D443" s="345"/>
      <c r="E443" s="203"/>
      <c r="F443" s="203"/>
      <c r="G443" s="203"/>
      <c r="H443" s="203"/>
    </row>
    <row r="444">
      <c r="A444" s="389"/>
      <c r="B444" s="203"/>
      <c r="C444" s="390"/>
      <c r="D444" s="345"/>
      <c r="E444" s="203"/>
      <c r="F444" s="203"/>
      <c r="G444" s="203"/>
      <c r="H444" s="203"/>
    </row>
    <row r="445">
      <c r="A445" s="389"/>
      <c r="B445" s="203"/>
      <c r="C445" s="390"/>
      <c r="D445" s="345"/>
      <c r="E445" s="203"/>
      <c r="F445" s="203"/>
      <c r="G445" s="203"/>
      <c r="H445" s="203"/>
    </row>
    <row r="446">
      <c r="A446" s="389"/>
      <c r="B446" s="203"/>
      <c r="C446" s="390"/>
      <c r="D446" s="345"/>
      <c r="E446" s="203"/>
      <c r="F446" s="203"/>
      <c r="G446" s="203"/>
      <c r="H446" s="203"/>
    </row>
    <row r="447">
      <c r="A447" s="389"/>
      <c r="B447" s="203"/>
      <c r="C447" s="390"/>
      <c r="D447" s="345"/>
      <c r="E447" s="203"/>
      <c r="F447" s="203"/>
      <c r="G447" s="203"/>
      <c r="H447" s="203"/>
    </row>
    <row r="448">
      <c r="A448" s="389"/>
      <c r="B448" s="203"/>
      <c r="C448" s="390"/>
      <c r="D448" s="345"/>
      <c r="E448" s="203"/>
      <c r="F448" s="203"/>
      <c r="G448" s="203"/>
      <c r="H448" s="203"/>
    </row>
    <row r="449">
      <c r="A449" s="389"/>
      <c r="B449" s="203"/>
      <c r="C449" s="390"/>
      <c r="D449" s="345"/>
      <c r="E449" s="203"/>
      <c r="F449" s="203"/>
      <c r="G449" s="203"/>
      <c r="H449" s="203"/>
    </row>
    <row r="450">
      <c r="A450" s="389"/>
      <c r="B450" s="203"/>
      <c r="C450" s="390"/>
      <c r="D450" s="345"/>
      <c r="E450" s="203"/>
      <c r="F450" s="203"/>
      <c r="G450" s="203"/>
      <c r="H450" s="203"/>
    </row>
    <row r="451">
      <c r="A451" s="389"/>
      <c r="B451" s="203"/>
      <c r="C451" s="390"/>
      <c r="D451" s="345"/>
      <c r="E451" s="203"/>
      <c r="F451" s="203"/>
      <c r="G451" s="203"/>
      <c r="H451" s="203"/>
    </row>
    <row r="452">
      <c r="A452" s="389"/>
      <c r="B452" s="203"/>
      <c r="C452" s="390"/>
      <c r="D452" s="345"/>
      <c r="E452" s="203"/>
      <c r="F452" s="203"/>
      <c r="G452" s="203"/>
      <c r="H452" s="203"/>
    </row>
    <row r="453">
      <c r="A453" s="389"/>
      <c r="B453" s="203"/>
      <c r="C453" s="390"/>
      <c r="D453" s="345"/>
      <c r="E453" s="203"/>
      <c r="F453" s="203"/>
      <c r="G453" s="203"/>
      <c r="H453" s="203"/>
    </row>
    <row r="454">
      <c r="A454" s="389"/>
      <c r="B454" s="203"/>
      <c r="C454" s="390"/>
      <c r="D454" s="345"/>
      <c r="E454" s="203"/>
      <c r="F454" s="203"/>
      <c r="G454" s="203"/>
      <c r="H454" s="203"/>
    </row>
    <row r="455">
      <c r="A455" s="389"/>
      <c r="B455" s="203"/>
      <c r="C455" s="390"/>
      <c r="D455" s="345"/>
      <c r="E455" s="203"/>
      <c r="F455" s="203"/>
      <c r="G455" s="203"/>
      <c r="H455" s="203"/>
    </row>
    <row r="456">
      <c r="A456" s="389"/>
      <c r="B456" s="203"/>
      <c r="C456" s="390"/>
      <c r="D456" s="345"/>
      <c r="E456" s="203"/>
      <c r="F456" s="203"/>
      <c r="G456" s="203"/>
      <c r="H456" s="203"/>
    </row>
    <row r="457">
      <c r="A457" s="389"/>
      <c r="B457" s="203"/>
      <c r="C457" s="390"/>
      <c r="D457" s="345"/>
      <c r="E457" s="203"/>
      <c r="F457" s="203"/>
      <c r="G457" s="203"/>
      <c r="H457" s="203"/>
    </row>
    <row r="458">
      <c r="A458" s="389"/>
      <c r="B458" s="203"/>
      <c r="C458" s="390"/>
      <c r="D458" s="345"/>
      <c r="E458" s="203"/>
      <c r="F458" s="203"/>
      <c r="G458" s="203"/>
      <c r="H458" s="203"/>
    </row>
    <row r="459">
      <c r="A459" s="389"/>
      <c r="B459" s="203"/>
      <c r="C459" s="390"/>
      <c r="D459" s="345"/>
      <c r="E459" s="203"/>
      <c r="F459" s="203"/>
      <c r="G459" s="203"/>
      <c r="H459" s="203"/>
    </row>
    <row r="460">
      <c r="A460" s="389"/>
      <c r="B460" s="203"/>
      <c r="C460" s="390"/>
      <c r="D460" s="345"/>
      <c r="E460" s="203"/>
      <c r="F460" s="203"/>
      <c r="G460" s="203"/>
      <c r="H460" s="203"/>
    </row>
    <row r="461">
      <c r="A461" s="389"/>
      <c r="B461" s="203"/>
      <c r="C461" s="390"/>
      <c r="D461" s="345"/>
      <c r="E461" s="203"/>
      <c r="F461" s="203"/>
      <c r="G461" s="203"/>
      <c r="H461" s="203"/>
    </row>
    <row r="462">
      <c r="A462" s="389"/>
      <c r="B462" s="203"/>
      <c r="C462" s="390"/>
      <c r="D462" s="345"/>
      <c r="E462" s="203"/>
      <c r="F462" s="203"/>
      <c r="G462" s="203"/>
      <c r="H462" s="203"/>
    </row>
    <row r="463">
      <c r="A463" s="389"/>
      <c r="B463" s="203"/>
      <c r="C463" s="390"/>
      <c r="D463" s="345"/>
      <c r="E463" s="203"/>
      <c r="F463" s="203"/>
      <c r="G463" s="203"/>
      <c r="H463" s="203"/>
    </row>
    <row r="464">
      <c r="A464" s="389"/>
      <c r="B464" s="203"/>
      <c r="C464" s="390"/>
      <c r="D464" s="345"/>
      <c r="E464" s="203"/>
      <c r="F464" s="203"/>
      <c r="G464" s="203"/>
      <c r="H464" s="203"/>
    </row>
    <row r="465">
      <c r="A465" s="389"/>
      <c r="B465" s="203"/>
      <c r="C465" s="390"/>
      <c r="D465" s="345"/>
      <c r="E465" s="203"/>
      <c r="F465" s="203"/>
      <c r="G465" s="203"/>
      <c r="H465" s="203"/>
    </row>
    <row r="466">
      <c r="A466" s="389"/>
      <c r="B466" s="203"/>
      <c r="C466" s="390"/>
      <c r="D466" s="345"/>
      <c r="E466" s="203"/>
      <c r="F466" s="203"/>
      <c r="G466" s="203"/>
      <c r="H466" s="203"/>
    </row>
    <row r="467">
      <c r="A467" s="389"/>
      <c r="B467" s="203"/>
      <c r="C467" s="390"/>
      <c r="D467" s="345"/>
      <c r="E467" s="203"/>
      <c r="F467" s="203"/>
      <c r="G467" s="203"/>
      <c r="H467" s="203"/>
    </row>
    <row r="468">
      <c r="A468" s="389"/>
      <c r="B468" s="203"/>
      <c r="C468" s="390"/>
      <c r="D468" s="345"/>
      <c r="E468" s="203"/>
      <c r="F468" s="203"/>
      <c r="G468" s="203"/>
      <c r="H468" s="203"/>
    </row>
    <row r="469">
      <c r="A469" s="389"/>
      <c r="B469" s="203"/>
      <c r="C469" s="390"/>
      <c r="D469" s="345"/>
      <c r="E469" s="203"/>
      <c r="F469" s="203"/>
      <c r="G469" s="203"/>
      <c r="H469" s="203"/>
    </row>
    <row r="470">
      <c r="A470" s="389"/>
      <c r="B470" s="203"/>
      <c r="C470" s="390"/>
      <c r="D470" s="345"/>
      <c r="E470" s="203"/>
      <c r="F470" s="203"/>
      <c r="G470" s="203"/>
      <c r="H470" s="203"/>
    </row>
    <row r="471">
      <c r="A471" s="389"/>
      <c r="B471" s="203"/>
      <c r="C471" s="390"/>
      <c r="D471" s="345"/>
      <c r="E471" s="203"/>
      <c r="F471" s="203"/>
      <c r="G471" s="203"/>
      <c r="H471" s="203"/>
    </row>
    <row r="472">
      <c r="A472" s="389"/>
      <c r="B472" s="203"/>
      <c r="C472" s="390"/>
      <c r="D472" s="345"/>
      <c r="E472" s="203"/>
      <c r="F472" s="203"/>
      <c r="G472" s="203"/>
      <c r="H472" s="203"/>
    </row>
    <row r="473">
      <c r="A473" s="389"/>
      <c r="B473" s="203"/>
      <c r="C473" s="390"/>
      <c r="D473" s="345"/>
      <c r="E473" s="203"/>
      <c r="F473" s="203"/>
      <c r="G473" s="203"/>
      <c r="H473" s="203"/>
    </row>
    <row r="474">
      <c r="A474" s="389"/>
      <c r="B474" s="203"/>
      <c r="C474" s="390"/>
      <c r="D474" s="345"/>
      <c r="E474" s="203"/>
      <c r="F474" s="203"/>
      <c r="G474" s="203"/>
      <c r="H474" s="203"/>
    </row>
    <row r="475">
      <c r="A475" s="389"/>
      <c r="B475" s="203"/>
      <c r="C475" s="390"/>
      <c r="D475" s="345"/>
      <c r="E475" s="203"/>
      <c r="F475" s="203"/>
      <c r="G475" s="203"/>
      <c r="H475" s="203"/>
    </row>
    <row r="476">
      <c r="A476" s="389"/>
      <c r="B476" s="203"/>
      <c r="C476" s="390"/>
      <c r="D476" s="345"/>
      <c r="E476" s="203"/>
      <c r="F476" s="203"/>
      <c r="G476" s="203"/>
      <c r="H476" s="203"/>
    </row>
    <row r="477">
      <c r="A477" s="389"/>
      <c r="B477" s="203"/>
      <c r="C477" s="390"/>
      <c r="D477" s="345"/>
      <c r="E477" s="203"/>
      <c r="F477" s="203"/>
      <c r="G477" s="203"/>
      <c r="H477" s="203"/>
    </row>
    <row r="478">
      <c r="A478" s="389"/>
      <c r="B478" s="203"/>
      <c r="C478" s="390"/>
      <c r="D478" s="345"/>
      <c r="E478" s="203"/>
      <c r="F478" s="203"/>
      <c r="G478" s="203"/>
      <c r="H478" s="203"/>
    </row>
    <row r="479">
      <c r="A479" s="389"/>
      <c r="B479" s="203"/>
      <c r="C479" s="390"/>
      <c r="D479" s="345"/>
      <c r="E479" s="203"/>
      <c r="F479" s="203"/>
      <c r="G479" s="203"/>
      <c r="H479" s="203"/>
    </row>
    <row r="480">
      <c r="A480" s="389"/>
      <c r="B480" s="203"/>
      <c r="C480" s="390"/>
      <c r="D480" s="345"/>
      <c r="E480" s="203"/>
      <c r="F480" s="203"/>
      <c r="G480" s="203"/>
      <c r="H480" s="203"/>
    </row>
    <row r="481">
      <c r="A481" s="389"/>
      <c r="B481" s="203"/>
      <c r="C481" s="390"/>
      <c r="D481" s="345"/>
      <c r="E481" s="203"/>
      <c r="F481" s="203"/>
      <c r="G481" s="203"/>
      <c r="H481" s="203"/>
    </row>
    <row r="482">
      <c r="A482" s="389"/>
      <c r="B482" s="203"/>
      <c r="C482" s="390"/>
      <c r="D482" s="345"/>
      <c r="E482" s="203"/>
      <c r="F482" s="203"/>
      <c r="G482" s="203"/>
      <c r="H482" s="203"/>
    </row>
    <row r="483">
      <c r="A483" s="389"/>
      <c r="B483" s="203"/>
      <c r="C483" s="390"/>
      <c r="D483" s="345"/>
      <c r="E483" s="203"/>
      <c r="F483" s="203"/>
      <c r="G483" s="203"/>
      <c r="H483" s="203"/>
    </row>
    <row r="484">
      <c r="A484" s="389"/>
      <c r="B484" s="203"/>
      <c r="C484" s="390"/>
      <c r="D484" s="345"/>
      <c r="E484" s="203"/>
      <c r="F484" s="203"/>
      <c r="G484" s="203"/>
      <c r="H484" s="203"/>
    </row>
    <row r="485">
      <c r="A485" s="389"/>
      <c r="B485" s="203"/>
      <c r="C485" s="390"/>
      <c r="D485" s="345"/>
      <c r="E485" s="203"/>
      <c r="F485" s="203"/>
      <c r="G485" s="203"/>
      <c r="H485" s="203"/>
    </row>
    <row r="486">
      <c r="A486" s="389"/>
      <c r="B486" s="203"/>
      <c r="C486" s="390"/>
      <c r="D486" s="345"/>
      <c r="E486" s="203"/>
      <c r="F486" s="203"/>
      <c r="G486" s="203"/>
      <c r="H486" s="203"/>
    </row>
    <row r="487">
      <c r="A487" s="389"/>
      <c r="B487" s="203"/>
      <c r="C487" s="390"/>
      <c r="D487" s="345"/>
      <c r="E487" s="203"/>
      <c r="F487" s="203"/>
      <c r="G487" s="203"/>
      <c r="H487" s="203"/>
    </row>
    <row r="488">
      <c r="A488" s="389"/>
      <c r="B488" s="203"/>
      <c r="C488" s="390"/>
      <c r="D488" s="345"/>
      <c r="E488" s="203"/>
      <c r="F488" s="203"/>
      <c r="G488" s="203"/>
      <c r="H488" s="203"/>
    </row>
    <row r="489">
      <c r="A489" s="389"/>
      <c r="B489" s="203"/>
      <c r="C489" s="390"/>
      <c r="D489" s="345"/>
      <c r="E489" s="203"/>
      <c r="F489" s="203"/>
      <c r="G489" s="203"/>
      <c r="H489" s="203"/>
    </row>
    <row r="490">
      <c r="A490" s="389"/>
      <c r="B490" s="203"/>
      <c r="C490" s="390"/>
      <c r="D490" s="345"/>
      <c r="E490" s="203"/>
      <c r="F490" s="203"/>
      <c r="G490" s="203"/>
      <c r="H490" s="203"/>
    </row>
    <row r="491">
      <c r="A491" s="389"/>
      <c r="B491" s="203"/>
      <c r="C491" s="390"/>
      <c r="D491" s="345"/>
      <c r="E491" s="203"/>
      <c r="F491" s="203"/>
      <c r="G491" s="203"/>
      <c r="H491" s="203"/>
    </row>
    <row r="492">
      <c r="A492" s="389"/>
      <c r="B492" s="203"/>
      <c r="C492" s="390"/>
      <c r="D492" s="345"/>
      <c r="E492" s="203"/>
      <c r="F492" s="203"/>
      <c r="G492" s="203"/>
      <c r="H492" s="203"/>
    </row>
    <row r="493">
      <c r="A493" s="389"/>
      <c r="B493" s="203"/>
      <c r="C493" s="390"/>
      <c r="D493" s="345"/>
      <c r="E493" s="203"/>
      <c r="F493" s="203"/>
      <c r="G493" s="203"/>
      <c r="H493" s="203"/>
    </row>
    <row r="494">
      <c r="A494" s="389"/>
      <c r="B494" s="203"/>
      <c r="C494" s="390"/>
      <c r="D494" s="345"/>
      <c r="E494" s="203"/>
      <c r="F494" s="203"/>
      <c r="G494" s="203"/>
      <c r="H494" s="203"/>
    </row>
    <row r="495">
      <c r="A495" s="389"/>
      <c r="B495" s="203"/>
      <c r="C495" s="390"/>
      <c r="D495" s="345"/>
      <c r="E495" s="203"/>
      <c r="F495" s="203"/>
      <c r="G495" s="203"/>
      <c r="H495" s="203"/>
    </row>
    <row r="496">
      <c r="A496" s="389"/>
      <c r="B496" s="203"/>
      <c r="C496" s="390"/>
      <c r="D496" s="345"/>
      <c r="E496" s="203"/>
      <c r="F496" s="203"/>
      <c r="G496" s="203"/>
      <c r="H496" s="203"/>
    </row>
    <row r="497">
      <c r="A497" s="389"/>
      <c r="B497" s="203"/>
      <c r="C497" s="390"/>
      <c r="D497" s="345"/>
      <c r="E497" s="203"/>
      <c r="F497" s="203"/>
      <c r="G497" s="203"/>
      <c r="H497" s="203"/>
    </row>
    <row r="498">
      <c r="A498" s="389"/>
      <c r="B498" s="203"/>
      <c r="C498" s="390"/>
      <c r="D498" s="345"/>
      <c r="E498" s="203"/>
      <c r="F498" s="203"/>
      <c r="G498" s="203"/>
      <c r="H498" s="203"/>
    </row>
    <row r="499">
      <c r="A499" s="389"/>
      <c r="B499" s="203"/>
      <c r="C499" s="390"/>
      <c r="D499" s="345"/>
      <c r="E499" s="203"/>
      <c r="F499" s="203"/>
      <c r="G499" s="203"/>
      <c r="H499" s="203"/>
    </row>
    <row r="500">
      <c r="A500" s="389"/>
      <c r="B500" s="203"/>
      <c r="C500" s="390"/>
      <c r="D500" s="345"/>
      <c r="E500" s="203"/>
      <c r="F500" s="203"/>
      <c r="G500" s="203"/>
      <c r="H500" s="203"/>
    </row>
    <row r="501">
      <c r="A501" s="389"/>
      <c r="B501" s="203"/>
      <c r="C501" s="390"/>
      <c r="D501" s="345"/>
      <c r="E501" s="203"/>
      <c r="F501" s="203"/>
      <c r="G501" s="203"/>
      <c r="H501" s="203"/>
    </row>
    <row r="502">
      <c r="A502" s="389"/>
      <c r="B502" s="203"/>
      <c r="C502" s="390"/>
      <c r="D502" s="345"/>
      <c r="E502" s="203"/>
      <c r="F502" s="203"/>
      <c r="G502" s="203"/>
      <c r="H502" s="203"/>
    </row>
    <row r="503">
      <c r="A503" s="389"/>
      <c r="B503" s="203"/>
      <c r="C503" s="390"/>
      <c r="D503" s="345"/>
      <c r="E503" s="203"/>
      <c r="F503" s="203"/>
      <c r="G503" s="203"/>
      <c r="H503" s="203"/>
    </row>
    <row r="504">
      <c r="A504" s="389"/>
      <c r="B504" s="203"/>
      <c r="C504" s="390"/>
      <c r="D504" s="345"/>
      <c r="E504" s="203"/>
      <c r="F504" s="203"/>
      <c r="G504" s="203"/>
      <c r="H504" s="203"/>
    </row>
    <row r="505">
      <c r="A505" s="389"/>
      <c r="B505" s="203"/>
      <c r="C505" s="390"/>
      <c r="D505" s="345"/>
      <c r="E505" s="203"/>
      <c r="F505" s="203"/>
      <c r="G505" s="203"/>
      <c r="H505" s="203"/>
    </row>
    <row r="506">
      <c r="A506" s="389"/>
      <c r="B506" s="203"/>
      <c r="C506" s="390"/>
      <c r="D506" s="345"/>
      <c r="E506" s="203"/>
      <c r="F506" s="203"/>
      <c r="G506" s="203"/>
      <c r="H506" s="203"/>
    </row>
    <row r="507">
      <c r="A507" s="389"/>
      <c r="B507" s="203"/>
      <c r="C507" s="390"/>
      <c r="D507" s="345"/>
      <c r="E507" s="203"/>
      <c r="F507" s="203"/>
      <c r="G507" s="203"/>
      <c r="H507" s="203"/>
    </row>
    <row r="508">
      <c r="A508" s="389"/>
      <c r="B508" s="203"/>
      <c r="C508" s="390"/>
      <c r="D508" s="345"/>
      <c r="E508" s="203"/>
      <c r="F508" s="203"/>
      <c r="G508" s="203"/>
      <c r="H508" s="203"/>
    </row>
    <row r="509">
      <c r="A509" s="389"/>
      <c r="B509" s="203"/>
      <c r="C509" s="390"/>
      <c r="D509" s="345"/>
      <c r="E509" s="203"/>
      <c r="F509" s="203"/>
      <c r="G509" s="203"/>
      <c r="H509" s="203"/>
    </row>
    <row r="510">
      <c r="A510" s="389"/>
      <c r="B510" s="203"/>
      <c r="C510" s="390"/>
      <c r="D510" s="345"/>
      <c r="E510" s="203"/>
      <c r="F510" s="203"/>
      <c r="G510" s="203"/>
      <c r="H510" s="203"/>
    </row>
    <row r="511">
      <c r="A511" s="389"/>
      <c r="B511" s="203"/>
      <c r="C511" s="390"/>
      <c r="D511" s="345"/>
      <c r="E511" s="203"/>
      <c r="F511" s="203"/>
      <c r="G511" s="203"/>
      <c r="H511" s="203"/>
    </row>
    <row r="512">
      <c r="A512" s="389"/>
      <c r="B512" s="203"/>
      <c r="C512" s="390"/>
      <c r="D512" s="345"/>
      <c r="E512" s="203"/>
      <c r="F512" s="203"/>
      <c r="G512" s="203"/>
      <c r="H512" s="203"/>
    </row>
    <row r="513">
      <c r="A513" s="389"/>
      <c r="B513" s="203"/>
      <c r="C513" s="390"/>
      <c r="D513" s="345"/>
      <c r="E513" s="203"/>
      <c r="F513" s="203"/>
      <c r="G513" s="203"/>
      <c r="H513" s="203"/>
    </row>
    <row r="514">
      <c r="A514" s="389"/>
      <c r="B514" s="203"/>
      <c r="C514" s="390"/>
      <c r="D514" s="345"/>
      <c r="E514" s="203"/>
      <c r="F514" s="203"/>
      <c r="G514" s="203"/>
      <c r="H514" s="203"/>
    </row>
    <row r="515">
      <c r="A515" s="389"/>
      <c r="B515" s="203"/>
      <c r="C515" s="390"/>
      <c r="D515" s="345"/>
      <c r="E515" s="203"/>
      <c r="F515" s="203"/>
      <c r="G515" s="203"/>
      <c r="H515" s="203"/>
    </row>
    <row r="516">
      <c r="A516" s="389"/>
      <c r="B516" s="203"/>
      <c r="C516" s="390"/>
      <c r="D516" s="345"/>
      <c r="E516" s="203"/>
      <c r="F516" s="203"/>
      <c r="G516" s="203"/>
      <c r="H516" s="203"/>
    </row>
    <row r="517">
      <c r="A517" s="389"/>
      <c r="B517" s="203"/>
      <c r="C517" s="390"/>
      <c r="D517" s="345"/>
      <c r="E517" s="203"/>
      <c r="F517" s="203"/>
      <c r="G517" s="203"/>
      <c r="H517" s="203"/>
    </row>
    <row r="518">
      <c r="A518" s="389"/>
      <c r="B518" s="203"/>
      <c r="C518" s="390"/>
      <c r="D518" s="345"/>
      <c r="E518" s="203"/>
      <c r="F518" s="203"/>
      <c r="G518" s="203"/>
      <c r="H518" s="203"/>
    </row>
    <row r="519">
      <c r="A519" s="389"/>
      <c r="B519" s="203"/>
      <c r="C519" s="390"/>
      <c r="D519" s="345"/>
      <c r="E519" s="203"/>
      <c r="F519" s="203"/>
      <c r="G519" s="203"/>
      <c r="H519" s="203"/>
    </row>
    <row r="520">
      <c r="A520" s="389"/>
      <c r="B520" s="203"/>
      <c r="C520" s="390"/>
      <c r="D520" s="345"/>
      <c r="E520" s="203"/>
      <c r="F520" s="203"/>
      <c r="G520" s="203"/>
      <c r="H520" s="203"/>
    </row>
    <row r="521">
      <c r="A521" s="389"/>
      <c r="B521" s="203"/>
      <c r="C521" s="390"/>
      <c r="D521" s="345"/>
      <c r="E521" s="203"/>
      <c r="F521" s="203"/>
      <c r="G521" s="203"/>
      <c r="H521" s="203"/>
    </row>
    <row r="522">
      <c r="A522" s="389"/>
      <c r="B522" s="203"/>
      <c r="C522" s="390"/>
      <c r="D522" s="345"/>
      <c r="E522" s="203"/>
      <c r="F522" s="203"/>
      <c r="G522" s="203"/>
      <c r="H522" s="203"/>
    </row>
    <row r="523">
      <c r="A523" s="389"/>
      <c r="B523" s="203"/>
      <c r="C523" s="390"/>
      <c r="D523" s="345"/>
      <c r="E523" s="203"/>
      <c r="F523" s="203"/>
      <c r="G523" s="203"/>
      <c r="H523" s="203"/>
    </row>
    <row r="524">
      <c r="A524" s="389"/>
      <c r="B524" s="203"/>
      <c r="C524" s="390"/>
      <c r="D524" s="345"/>
      <c r="E524" s="203"/>
      <c r="F524" s="203"/>
      <c r="G524" s="203"/>
      <c r="H524" s="203"/>
    </row>
    <row r="525">
      <c r="A525" s="389"/>
      <c r="B525" s="203"/>
      <c r="C525" s="390"/>
      <c r="D525" s="345"/>
      <c r="E525" s="203"/>
      <c r="F525" s="203"/>
      <c r="G525" s="203"/>
      <c r="H525" s="203"/>
    </row>
    <row r="526">
      <c r="A526" s="389"/>
      <c r="B526" s="203"/>
      <c r="C526" s="390"/>
      <c r="D526" s="345"/>
      <c r="E526" s="203"/>
      <c r="F526" s="203"/>
      <c r="G526" s="203"/>
      <c r="H526" s="203"/>
    </row>
    <row r="527">
      <c r="A527" s="389"/>
      <c r="B527" s="203"/>
      <c r="C527" s="390"/>
      <c r="D527" s="345"/>
      <c r="E527" s="203"/>
      <c r="F527" s="203"/>
      <c r="G527" s="203"/>
      <c r="H527" s="203"/>
    </row>
    <row r="528">
      <c r="A528" s="389"/>
      <c r="B528" s="203"/>
      <c r="C528" s="390"/>
      <c r="D528" s="345"/>
      <c r="E528" s="203"/>
      <c r="F528" s="203"/>
      <c r="G528" s="203"/>
      <c r="H528" s="203"/>
    </row>
    <row r="529">
      <c r="A529" s="389"/>
      <c r="B529" s="203"/>
      <c r="C529" s="390"/>
      <c r="D529" s="345"/>
      <c r="E529" s="203"/>
      <c r="F529" s="203"/>
      <c r="G529" s="203"/>
      <c r="H529" s="203"/>
    </row>
    <row r="530">
      <c r="A530" s="389"/>
      <c r="B530" s="203"/>
      <c r="C530" s="390"/>
      <c r="D530" s="345"/>
      <c r="E530" s="203"/>
      <c r="F530" s="203"/>
      <c r="G530" s="203"/>
      <c r="H530" s="203"/>
    </row>
    <row r="531">
      <c r="A531" s="389"/>
      <c r="B531" s="203"/>
      <c r="C531" s="390"/>
      <c r="D531" s="345"/>
      <c r="E531" s="203"/>
      <c r="F531" s="203"/>
      <c r="G531" s="203"/>
      <c r="H531" s="203"/>
    </row>
    <row r="532">
      <c r="A532" s="389"/>
      <c r="B532" s="203"/>
      <c r="C532" s="390"/>
      <c r="D532" s="345"/>
      <c r="E532" s="203"/>
      <c r="F532" s="203"/>
      <c r="G532" s="203"/>
      <c r="H532" s="203"/>
    </row>
    <row r="533">
      <c r="A533" s="389"/>
      <c r="B533" s="203"/>
      <c r="C533" s="390"/>
      <c r="D533" s="345"/>
      <c r="E533" s="203"/>
      <c r="F533" s="203"/>
      <c r="G533" s="203"/>
      <c r="H533" s="203"/>
    </row>
    <row r="534">
      <c r="A534" s="389"/>
      <c r="B534" s="203"/>
      <c r="C534" s="390"/>
      <c r="D534" s="345"/>
      <c r="E534" s="203"/>
      <c r="F534" s="203"/>
      <c r="G534" s="203"/>
      <c r="H534" s="203"/>
    </row>
    <row r="535">
      <c r="A535" s="389"/>
      <c r="B535" s="203"/>
      <c r="C535" s="390"/>
      <c r="D535" s="345"/>
      <c r="E535" s="203"/>
      <c r="F535" s="203"/>
      <c r="G535" s="203"/>
      <c r="H535" s="203"/>
    </row>
    <row r="536">
      <c r="A536" s="389"/>
      <c r="B536" s="203"/>
      <c r="C536" s="390"/>
      <c r="D536" s="345"/>
      <c r="E536" s="203"/>
      <c r="F536" s="203"/>
      <c r="G536" s="203"/>
      <c r="H536" s="203"/>
    </row>
    <row r="537">
      <c r="A537" s="389"/>
      <c r="B537" s="203"/>
      <c r="C537" s="390"/>
      <c r="D537" s="345"/>
      <c r="E537" s="203"/>
      <c r="F537" s="203"/>
      <c r="G537" s="203"/>
      <c r="H537" s="203"/>
    </row>
    <row r="538">
      <c r="A538" s="389"/>
      <c r="B538" s="203"/>
      <c r="C538" s="390"/>
      <c r="D538" s="345"/>
      <c r="E538" s="203"/>
      <c r="F538" s="203"/>
      <c r="G538" s="203"/>
      <c r="H538" s="203"/>
    </row>
    <row r="539">
      <c r="A539" s="389"/>
      <c r="B539" s="203"/>
      <c r="C539" s="390"/>
      <c r="D539" s="345"/>
      <c r="E539" s="203"/>
      <c r="F539" s="203"/>
      <c r="G539" s="203"/>
      <c r="H539" s="203"/>
    </row>
    <row r="540">
      <c r="A540" s="389"/>
      <c r="B540" s="203"/>
      <c r="C540" s="390"/>
      <c r="D540" s="345"/>
      <c r="E540" s="203"/>
      <c r="F540" s="203"/>
      <c r="G540" s="203"/>
      <c r="H540" s="203"/>
    </row>
    <row r="541">
      <c r="A541" s="389"/>
      <c r="B541" s="203"/>
      <c r="C541" s="390"/>
      <c r="D541" s="345"/>
      <c r="E541" s="203"/>
      <c r="F541" s="203"/>
      <c r="G541" s="203"/>
      <c r="H541" s="203"/>
    </row>
    <row r="542">
      <c r="A542" s="389"/>
      <c r="B542" s="203"/>
      <c r="C542" s="390"/>
      <c r="D542" s="345"/>
      <c r="E542" s="203"/>
      <c r="F542" s="203"/>
      <c r="G542" s="203"/>
      <c r="H542" s="203"/>
    </row>
    <row r="543">
      <c r="A543" s="389"/>
      <c r="B543" s="203"/>
      <c r="C543" s="390"/>
      <c r="D543" s="345"/>
      <c r="E543" s="203"/>
      <c r="F543" s="203"/>
      <c r="G543" s="203"/>
      <c r="H543" s="203"/>
    </row>
    <row r="544">
      <c r="A544" s="389"/>
      <c r="B544" s="203"/>
      <c r="C544" s="390"/>
      <c r="D544" s="345"/>
      <c r="E544" s="203"/>
      <c r="F544" s="203"/>
      <c r="G544" s="203"/>
      <c r="H544" s="203"/>
    </row>
    <row r="545">
      <c r="A545" s="389"/>
      <c r="B545" s="203"/>
      <c r="C545" s="390"/>
      <c r="D545" s="345"/>
      <c r="E545" s="203"/>
      <c r="F545" s="203"/>
      <c r="G545" s="203"/>
      <c r="H545" s="203"/>
    </row>
    <row r="546">
      <c r="A546" s="389"/>
      <c r="B546" s="203"/>
      <c r="C546" s="390"/>
      <c r="D546" s="345"/>
      <c r="E546" s="203"/>
      <c r="F546" s="203"/>
      <c r="G546" s="203"/>
      <c r="H546" s="203"/>
    </row>
    <row r="547">
      <c r="A547" s="389"/>
      <c r="B547" s="203"/>
      <c r="C547" s="390"/>
      <c r="D547" s="345"/>
      <c r="E547" s="203"/>
      <c r="F547" s="203"/>
      <c r="G547" s="203"/>
      <c r="H547" s="203"/>
    </row>
    <row r="548">
      <c r="A548" s="389"/>
      <c r="B548" s="203"/>
      <c r="C548" s="390"/>
      <c r="D548" s="345"/>
      <c r="E548" s="203"/>
      <c r="F548" s="203"/>
      <c r="G548" s="203"/>
      <c r="H548" s="203"/>
    </row>
    <row r="549">
      <c r="A549" s="389"/>
      <c r="B549" s="203"/>
      <c r="C549" s="390"/>
      <c r="D549" s="345"/>
      <c r="E549" s="203"/>
      <c r="F549" s="203"/>
      <c r="G549" s="203"/>
      <c r="H549" s="203"/>
    </row>
    <row r="550">
      <c r="A550" s="389"/>
      <c r="B550" s="203"/>
      <c r="C550" s="390"/>
      <c r="D550" s="345"/>
      <c r="E550" s="203"/>
      <c r="F550" s="203"/>
      <c r="G550" s="203"/>
      <c r="H550" s="203"/>
    </row>
    <row r="551">
      <c r="A551" s="389"/>
      <c r="B551" s="203"/>
      <c r="C551" s="390"/>
      <c r="D551" s="345"/>
      <c r="E551" s="203"/>
      <c r="F551" s="203"/>
      <c r="G551" s="203"/>
      <c r="H551" s="203"/>
    </row>
    <row r="552">
      <c r="A552" s="389"/>
      <c r="B552" s="203"/>
      <c r="C552" s="390"/>
      <c r="D552" s="345"/>
      <c r="E552" s="203"/>
      <c r="F552" s="203"/>
      <c r="G552" s="203"/>
      <c r="H552" s="203"/>
    </row>
    <row r="553">
      <c r="A553" s="389"/>
      <c r="B553" s="203"/>
      <c r="C553" s="390"/>
      <c r="D553" s="345"/>
      <c r="E553" s="203"/>
      <c r="F553" s="203"/>
      <c r="G553" s="203"/>
      <c r="H553" s="203"/>
    </row>
    <row r="554">
      <c r="A554" s="389"/>
      <c r="B554" s="203"/>
      <c r="C554" s="390"/>
      <c r="D554" s="345"/>
      <c r="E554" s="203"/>
      <c r="F554" s="203"/>
      <c r="G554" s="203"/>
      <c r="H554" s="203"/>
    </row>
    <row r="555">
      <c r="A555" s="389"/>
      <c r="B555" s="203"/>
      <c r="C555" s="390"/>
      <c r="D555" s="345"/>
      <c r="E555" s="203"/>
      <c r="F555" s="203"/>
      <c r="G555" s="203"/>
      <c r="H555" s="203"/>
    </row>
    <row r="556">
      <c r="A556" s="389"/>
      <c r="B556" s="203"/>
      <c r="C556" s="390"/>
      <c r="D556" s="345"/>
      <c r="E556" s="203"/>
      <c r="F556" s="203"/>
      <c r="G556" s="203"/>
      <c r="H556" s="203"/>
    </row>
    <row r="557">
      <c r="A557" s="389"/>
      <c r="B557" s="203"/>
      <c r="C557" s="390"/>
      <c r="D557" s="345"/>
      <c r="E557" s="203"/>
      <c r="F557" s="203"/>
      <c r="G557" s="203"/>
      <c r="H557" s="203"/>
    </row>
    <row r="558">
      <c r="A558" s="389"/>
      <c r="B558" s="203"/>
      <c r="C558" s="390"/>
      <c r="D558" s="345"/>
      <c r="E558" s="203"/>
      <c r="F558" s="203"/>
      <c r="G558" s="203"/>
      <c r="H558" s="203"/>
    </row>
    <row r="559">
      <c r="A559" s="389"/>
      <c r="B559" s="203"/>
      <c r="C559" s="390"/>
      <c r="D559" s="345"/>
      <c r="E559" s="203"/>
      <c r="F559" s="203"/>
      <c r="G559" s="203"/>
      <c r="H559" s="203"/>
    </row>
    <row r="560">
      <c r="A560" s="389"/>
      <c r="B560" s="203"/>
      <c r="C560" s="390"/>
      <c r="D560" s="345"/>
      <c r="E560" s="203"/>
      <c r="F560" s="203"/>
      <c r="G560" s="203"/>
      <c r="H560" s="203"/>
    </row>
    <row r="561">
      <c r="A561" s="389"/>
      <c r="B561" s="203"/>
      <c r="C561" s="390"/>
      <c r="D561" s="345"/>
      <c r="E561" s="203"/>
      <c r="F561" s="203"/>
      <c r="G561" s="203"/>
      <c r="H561" s="203"/>
    </row>
    <row r="562">
      <c r="A562" s="389"/>
      <c r="B562" s="203"/>
      <c r="C562" s="390"/>
      <c r="D562" s="345"/>
      <c r="E562" s="203"/>
      <c r="F562" s="203"/>
      <c r="G562" s="203"/>
      <c r="H562" s="203"/>
    </row>
    <row r="563">
      <c r="A563" s="389"/>
      <c r="B563" s="203"/>
      <c r="C563" s="390"/>
      <c r="D563" s="345"/>
      <c r="E563" s="203"/>
      <c r="F563" s="203"/>
      <c r="G563" s="203"/>
      <c r="H563" s="203"/>
    </row>
    <row r="564">
      <c r="A564" s="389"/>
      <c r="B564" s="203"/>
      <c r="C564" s="390"/>
      <c r="D564" s="345"/>
      <c r="E564" s="203"/>
      <c r="F564" s="203"/>
      <c r="G564" s="203"/>
      <c r="H564" s="203"/>
    </row>
    <row r="565">
      <c r="A565" s="389"/>
      <c r="B565" s="203"/>
      <c r="C565" s="390"/>
      <c r="D565" s="345"/>
      <c r="E565" s="203"/>
      <c r="F565" s="203"/>
      <c r="G565" s="203"/>
      <c r="H565" s="203"/>
    </row>
    <row r="566">
      <c r="A566" s="389"/>
      <c r="B566" s="203"/>
      <c r="C566" s="390"/>
      <c r="D566" s="345"/>
      <c r="E566" s="203"/>
      <c r="F566" s="203"/>
      <c r="G566" s="203"/>
      <c r="H566" s="203"/>
    </row>
    <row r="567">
      <c r="A567" s="389"/>
      <c r="B567" s="203"/>
      <c r="C567" s="390"/>
      <c r="D567" s="345"/>
      <c r="E567" s="203"/>
      <c r="F567" s="203"/>
      <c r="G567" s="203"/>
      <c r="H567" s="203"/>
    </row>
    <row r="568">
      <c r="A568" s="389"/>
      <c r="B568" s="203"/>
      <c r="C568" s="390"/>
      <c r="D568" s="345"/>
      <c r="E568" s="203"/>
      <c r="F568" s="203"/>
      <c r="G568" s="203"/>
      <c r="H568" s="203"/>
    </row>
    <row r="569">
      <c r="A569" s="389"/>
      <c r="B569" s="203"/>
      <c r="C569" s="390"/>
      <c r="D569" s="345"/>
      <c r="E569" s="203"/>
      <c r="F569" s="203"/>
      <c r="G569" s="203"/>
      <c r="H569" s="203"/>
    </row>
    <row r="570">
      <c r="A570" s="389"/>
      <c r="B570" s="203"/>
      <c r="C570" s="390"/>
      <c r="D570" s="345"/>
      <c r="E570" s="203"/>
      <c r="F570" s="203"/>
      <c r="G570" s="203"/>
      <c r="H570" s="203"/>
    </row>
    <row r="571">
      <c r="A571" s="389"/>
      <c r="B571" s="203"/>
      <c r="C571" s="390"/>
      <c r="D571" s="345"/>
      <c r="E571" s="203"/>
      <c r="F571" s="203"/>
      <c r="G571" s="203"/>
      <c r="H571" s="203"/>
    </row>
    <row r="572">
      <c r="A572" s="389"/>
      <c r="B572" s="203"/>
      <c r="C572" s="390"/>
      <c r="D572" s="345"/>
      <c r="E572" s="203"/>
      <c r="F572" s="203"/>
      <c r="G572" s="203"/>
      <c r="H572" s="203"/>
    </row>
    <row r="573">
      <c r="A573" s="389"/>
      <c r="B573" s="203"/>
      <c r="C573" s="390"/>
      <c r="D573" s="345"/>
      <c r="E573" s="203"/>
      <c r="F573" s="203"/>
      <c r="G573" s="203"/>
      <c r="H573" s="203"/>
    </row>
    <row r="574">
      <c r="A574" s="389"/>
      <c r="B574" s="203"/>
      <c r="C574" s="390"/>
      <c r="D574" s="345"/>
      <c r="E574" s="203"/>
      <c r="F574" s="203"/>
      <c r="G574" s="203"/>
      <c r="H574" s="203"/>
    </row>
    <row r="575">
      <c r="A575" s="389"/>
      <c r="B575" s="203"/>
      <c r="C575" s="390"/>
      <c r="D575" s="345"/>
      <c r="E575" s="203"/>
      <c r="F575" s="203"/>
      <c r="G575" s="203"/>
      <c r="H575" s="203"/>
    </row>
    <row r="576">
      <c r="A576" s="389"/>
      <c r="B576" s="203"/>
      <c r="C576" s="390"/>
      <c r="D576" s="345"/>
      <c r="E576" s="203"/>
      <c r="F576" s="203"/>
      <c r="G576" s="203"/>
      <c r="H576" s="203"/>
    </row>
    <row r="577">
      <c r="A577" s="389"/>
      <c r="B577" s="203"/>
      <c r="C577" s="390"/>
      <c r="D577" s="345"/>
      <c r="E577" s="203"/>
      <c r="F577" s="203"/>
      <c r="G577" s="203"/>
      <c r="H577" s="203"/>
    </row>
    <row r="578">
      <c r="A578" s="389"/>
      <c r="B578" s="203"/>
      <c r="C578" s="390"/>
      <c r="D578" s="345"/>
      <c r="E578" s="203"/>
      <c r="F578" s="203"/>
      <c r="G578" s="203"/>
      <c r="H578" s="203"/>
    </row>
    <row r="579">
      <c r="A579" s="389"/>
      <c r="B579" s="203"/>
      <c r="C579" s="390"/>
      <c r="D579" s="345"/>
      <c r="E579" s="203"/>
      <c r="F579" s="203"/>
      <c r="G579" s="203"/>
      <c r="H579" s="203"/>
    </row>
    <row r="580">
      <c r="A580" s="389"/>
      <c r="B580" s="203"/>
      <c r="C580" s="390"/>
      <c r="D580" s="345"/>
      <c r="E580" s="203"/>
      <c r="F580" s="203"/>
      <c r="G580" s="203"/>
      <c r="H580" s="203"/>
    </row>
    <row r="581">
      <c r="A581" s="389"/>
      <c r="B581" s="203"/>
      <c r="C581" s="390"/>
      <c r="D581" s="345"/>
      <c r="E581" s="203"/>
      <c r="F581" s="203"/>
      <c r="G581" s="203"/>
      <c r="H581" s="203"/>
    </row>
    <row r="582">
      <c r="A582" s="389"/>
      <c r="B582" s="203"/>
      <c r="C582" s="390"/>
      <c r="D582" s="345"/>
      <c r="E582" s="203"/>
      <c r="F582" s="203"/>
      <c r="G582" s="203"/>
      <c r="H582" s="203"/>
    </row>
    <row r="583">
      <c r="A583" s="389"/>
      <c r="B583" s="203"/>
      <c r="C583" s="390"/>
      <c r="D583" s="345"/>
      <c r="E583" s="203"/>
      <c r="F583" s="203"/>
      <c r="G583" s="203"/>
      <c r="H583" s="203"/>
    </row>
    <row r="584">
      <c r="A584" s="389"/>
      <c r="B584" s="203"/>
      <c r="C584" s="390"/>
      <c r="D584" s="345"/>
      <c r="E584" s="203"/>
      <c r="F584" s="203"/>
      <c r="G584" s="203"/>
      <c r="H584" s="203"/>
    </row>
    <row r="585">
      <c r="A585" s="389"/>
      <c r="B585" s="203"/>
      <c r="C585" s="390"/>
      <c r="D585" s="345"/>
      <c r="E585" s="203"/>
      <c r="F585" s="203"/>
      <c r="G585" s="203"/>
      <c r="H585" s="203"/>
    </row>
    <row r="586">
      <c r="A586" s="389"/>
      <c r="B586" s="203"/>
      <c r="C586" s="390"/>
      <c r="D586" s="345"/>
      <c r="E586" s="203"/>
      <c r="F586" s="203"/>
      <c r="G586" s="203"/>
      <c r="H586" s="203"/>
    </row>
    <row r="587">
      <c r="A587" s="389"/>
      <c r="B587" s="203"/>
      <c r="C587" s="390"/>
      <c r="D587" s="345"/>
      <c r="E587" s="203"/>
      <c r="F587" s="203"/>
      <c r="G587" s="203"/>
      <c r="H587" s="203"/>
    </row>
    <row r="588">
      <c r="A588" s="389"/>
      <c r="B588" s="203"/>
      <c r="C588" s="390"/>
      <c r="D588" s="345"/>
      <c r="E588" s="203"/>
      <c r="F588" s="203"/>
      <c r="G588" s="203"/>
      <c r="H588" s="203"/>
    </row>
    <row r="589">
      <c r="A589" s="389"/>
      <c r="B589" s="203"/>
      <c r="C589" s="390"/>
      <c r="D589" s="345"/>
      <c r="E589" s="203"/>
      <c r="F589" s="203"/>
      <c r="G589" s="203"/>
      <c r="H589" s="203"/>
    </row>
    <row r="590">
      <c r="A590" s="389"/>
      <c r="B590" s="203"/>
      <c r="C590" s="390"/>
      <c r="D590" s="345"/>
      <c r="E590" s="203"/>
      <c r="F590" s="203"/>
      <c r="G590" s="203"/>
      <c r="H590" s="203"/>
    </row>
    <row r="591">
      <c r="A591" s="389"/>
      <c r="B591" s="203"/>
      <c r="C591" s="390"/>
      <c r="D591" s="345"/>
      <c r="E591" s="203"/>
      <c r="F591" s="203"/>
      <c r="G591" s="203"/>
      <c r="H591" s="203"/>
    </row>
    <row r="592">
      <c r="A592" s="389"/>
      <c r="B592" s="203"/>
      <c r="C592" s="390"/>
      <c r="D592" s="345"/>
      <c r="E592" s="203"/>
      <c r="F592" s="203"/>
      <c r="G592" s="203"/>
      <c r="H592" s="203"/>
    </row>
    <row r="593">
      <c r="A593" s="389"/>
      <c r="B593" s="203"/>
      <c r="C593" s="390"/>
      <c r="D593" s="345"/>
      <c r="E593" s="203"/>
      <c r="F593" s="203"/>
      <c r="G593" s="203"/>
      <c r="H593" s="203"/>
    </row>
    <row r="594">
      <c r="A594" s="389"/>
      <c r="B594" s="203"/>
      <c r="C594" s="390"/>
      <c r="D594" s="345"/>
      <c r="E594" s="203"/>
      <c r="F594" s="203"/>
      <c r="G594" s="203"/>
      <c r="H594" s="203"/>
    </row>
    <row r="595">
      <c r="A595" s="389"/>
      <c r="B595" s="203"/>
      <c r="C595" s="390"/>
      <c r="D595" s="345"/>
      <c r="E595" s="203"/>
      <c r="F595" s="203"/>
      <c r="G595" s="203"/>
      <c r="H595" s="203"/>
    </row>
    <row r="596">
      <c r="A596" s="389"/>
      <c r="B596" s="203"/>
      <c r="C596" s="390"/>
      <c r="D596" s="345"/>
      <c r="E596" s="203"/>
      <c r="F596" s="203"/>
      <c r="G596" s="203"/>
      <c r="H596" s="203"/>
    </row>
    <row r="597">
      <c r="A597" s="389"/>
      <c r="B597" s="203"/>
      <c r="C597" s="390"/>
      <c r="D597" s="345"/>
      <c r="E597" s="203"/>
      <c r="F597" s="203"/>
      <c r="G597" s="203"/>
      <c r="H597" s="203"/>
    </row>
    <row r="598">
      <c r="A598" s="389"/>
      <c r="B598" s="203"/>
      <c r="C598" s="390"/>
      <c r="D598" s="345"/>
      <c r="E598" s="203"/>
      <c r="F598" s="203"/>
      <c r="G598" s="203"/>
      <c r="H598" s="203"/>
    </row>
    <row r="599">
      <c r="A599" s="389"/>
      <c r="B599" s="203"/>
      <c r="C599" s="390"/>
      <c r="D599" s="345"/>
      <c r="E599" s="203"/>
      <c r="F599" s="203"/>
      <c r="G599" s="203"/>
      <c r="H599" s="203"/>
    </row>
    <row r="600">
      <c r="A600" s="389"/>
      <c r="B600" s="203"/>
      <c r="C600" s="390"/>
      <c r="D600" s="345"/>
      <c r="E600" s="203"/>
      <c r="F600" s="203"/>
      <c r="G600" s="203"/>
      <c r="H600" s="203"/>
    </row>
    <row r="601">
      <c r="A601" s="389"/>
      <c r="B601" s="203"/>
      <c r="C601" s="390"/>
      <c r="D601" s="345"/>
      <c r="E601" s="203"/>
      <c r="F601" s="203"/>
      <c r="G601" s="203"/>
      <c r="H601" s="203"/>
    </row>
    <row r="602">
      <c r="A602" s="389"/>
      <c r="B602" s="203"/>
      <c r="C602" s="390"/>
      <c r="D602" s="345"/>
      <c r="E602" s="203"/>
      <c r="F602" s="203"/>
      <c r="G602" s="203"/>
      <c r="H602" s="203"/>
    </row>
    <row r="603">
      <c r="A603" s="389"/>
      <c r="B603" s="203"/>
      <c r="C603" s="390"/>
      <c r="D603" s="345"/>
      <c r="E603" s="203"/>
      <c r="F603" s="203"/>
      <c r="G603" s="203"/>
      <c r="H603" s="203"/>
    </row>
    <row r="604">
      <c r="A604" s="389"/>
      <c r="B604" s="203"/>
      <c r="C604" s="390"/>
      <c r="D604" s="345"/>
      <c r="E604" s="203"/>
      <c r="F604" s="203"/>
      <c r="G604" s="203"/>
      <c r="H604" s="203"/>
    </row>
    <row r="605">
      <c r="A605" s="389"/>
      <c r="B605" s="203"/>
      <c r="C605" s="390"/>
      <c r="D605" s="345"/>
      <c r="E605" s="203"/>
      <c r="F605" s="203"/>
      <c r="G605" s="203"/>
      <c r="H605" s="203"/>
    </row>
    <row r="606">
      <c r="A606" s="389"/>
      <c r="B606" s="203"/>
      <c r="C606" s="390"/>
      <c r="D606" s="345"/>
      <c r="E606" s="203"/>
      <c r="F606" s="203"/>
      <c r="G606" s="203"/>
      <c r="H606" s="203"/>
    </row>
    <row r="607">
      <c r="A607" s="389"/>
      <c r="B607" s="203"/>
      <c r="C607" s="390"/>
      <c r="D607" s="345"/>
      <c r="E607" s="203"/>
      <c r="F607" s="203"/>
      <c r="G607" s="203"/>
      <c r="H607" s="203"/>
    </row>
    <row r="608">
      <c r="A608" s="389"/>
      <c r="B608" s="203"/>
      <c r="C608" s="390"/>
      <c r="D608" s="345"/>
      <c r="E608" s="203"/>
      <c r="F608" s="203"/>
      <c r="G608" s="203"/>
      <c r="H608" s="203"/>
    </row>
    <row r="609">
      <c r="A609" s="389"/>
      <c r="B609" s="203"/>
      <c r="C609" s="390"/>
      <c r="D609" s="345"/>
      <c r="E609" s="203"/>
      <c r="F609" s="203"/>
      <c r="G609" s="203"/>
      <c r="H609" s="203"/>
    </row>
    <row r="610">
      <c r="A610" s="389"/>
      <c r="B610" s="203"/>
      <c r="C610" s="390"/>
      <c r="D610" s="345"/>
      <c r="E610" s="203"/>
      <c r="F610" s="203"/>
      <c r="G610" s="203"/>
      <c r="H610" s="203"/>
    </row>
    <row r="611">
      <c r="A611" s="389"/>
      <c r="B611" s="203"/>
      <c r="C611" s="390"/>
      <c r="D611" s="345"/>
      <c r="E611" s="203"/>
      <c r="F611" s="203"/>
      <c r="G611" s="203"/>
      <c r="H611" s="203"/>
    </row>
    <row r="612">
      <c r="A612" s="389"/>
      <c r="B612" s="203"/>
      <c r="C612" s="390"/>
      <c r="D612" s="345"/>
      <c r="E612" s="203"/>
      <c r="F612" s="203"/>
      <c r="G612" s="203"/>
      <c r="H612" s="203"/>
    </row>
    <row r="613">
      <c r="A613" s="389"/>
      <c r="B613" s="203"/>
      <c r="C613" s="390"/>
      <c r="D613" s="345"/>
      <c r="E613" s="203"/>
      <c r="F613" s="203"/>
      <c r="G613" s="203"/>
      <c r="H613" s="203"/>
    </row>
    <row r="614">
      <c r="A614" s="389"/>
      <c r="B614" s="203"/>
      <c r="C614" s="390"/>
      <c r="D614" s="345"/>
      <c r="E614" s="203"/>
      <c r="F614" s="203"/>
      <c r="G614" s="203"/>
      <c r="H614" s="203"/>
    </row>
    <row r="615">
      <c r="A615" s="389"/>
      <c r="B615" s="203"/>
      <c r="C615" s="390"/>
      <c r="D615" s="345"/>
      <c r="E615" s="203"/>
      <c r="F615" s="203"/>
      <c r="G615" s="203"/>
      <c r="H615" s="203"/>
    </row>
    <row r="616">
      <c r="A616" s="389"/>
      <c r="B616" s="203"/>
      <c r="C616" s="390"/>
      <c r="D616" s="345"/>
      <c r="E616" s="203"/>
      <c r="F616" s="203"/>
      <c r="G616" s="203"/>
      <c r="H616" s="203"/>
    </row>
    <row r="617">
      <c r="A617" s="389"/>
      <c r="B617" s="203"/>
      <c r="C617" s="390"/>
      <c r="D617" s="345"/>
      <c r="E617" s="203"/>
      <c r="F617" s="203"/>
      <c r="G617" s="203"/>
      <c r="H617" s="203"/>
    </row>
    <row r="618">
      <c r="A618" s="389"/>
      <c r="B618" s="203"/>
      <c r="C618" s="390"/>
      <c r="D618" s="345"/>
      <c r="E618" s="203"/>
      <c r="F618" s="203"/>
      <c r="G618" s="203"/>
      <c r="H618" s="203"/>
    </row>
    <row r="619">
      <c r="A619" s="389"/>
      <c r="B619" s="203"/>
      <c r="C619" s="390"/>
      <c r="D619" s="345"/>
      <c r="E619" s="203"/>
      <c r="F619" s="203"/>
      <c r="G619" s="203"/>
      <c r="H619" s="203"/>
    </row>
    <row r="620">
      <c r="A620" s="389"/>
      <c r="B620" s="203"/>
      <c r="C620" s="390"/>
      <c r="D620" s="345"/>
      <c r="E620" s="203"/>
      <c r="F620" s="203"/>
      <c r="G620" s="203"/>
      <c r="H620" s="203"/>
    </row>
    <row r="621">
      <c r="A621" s="389"/>
      <c r="B621" s="203"/>
      <c r="C621" s="390"/>
      <c r="D621" s="345"/>
      <c r="E621" s="203"/>
      <c r="F621" s="203"/>
      <c r="G621" s="203"/>
      <c r="H621" s="203"/>
    </row>
    <row r="622">
      <c r="A622" s="389"/>
      <c r="B622" s="203"/>
      <c r="C622" s="390"/>
      <c r="D622" s="345"/>
      <c r="E622" s="203"/>
      <c r="F622" s="203"/>
      <c r="G622" s="203"/>
      <c r="H622" s="203"/>
    </row>
    <row r="623">
      <c r="A623" s="389"/>
      <c r="B623" s="203"/>
      <c r="C623" s="390"/>
      <c r="D623" s="345"/>
      <c r="E623" s="203"/>
      <c r="F623" s="203"/>
      <c r="G623" s="203"/>
      <c r="H623" s="203"/>
    </row>
    <row r="624">
      <c r="A624" s="389"/>
      <c r="B624" s="203"/>
      <c r="C624" s="390"/>
      <c r="D624" s="345"/>
      <c r="E624" s="203"/>
      <c r="F624" s="203"/>
      <c r="G624" s="203"/>
      <c r="H624" s="203"/>
    </row>
    <row r="625">
      <c r="A625" s="389"/>
      <c r="B625" s="203"/>
      <c r="C625" s="390"/>
      <c r="D625" s="345"/>
      <c r="E625" s="203"/>
      <c r="F625" s="203"/>
      <c r="G625" s="203"/>
      <c r="H625" s="203"/>
    </row>
    <row r="626">
      <c r="A626" s="389"/>
      <c r="B626" s="203"/>
      <c r="C626" s="390"/>
      <c r="D626" s="345"/>
      <c r="E626" s="203"/>
      <c r="F626" s="203"/>
      <c r="G626" s="203"/>
      <c r="H626" s="203"/>
    </row>
    <row r="627">
      <c r="A627" s="389"/>
      <c r="B627" s="203"/>
      <c r="C627" s="390"/>
      <c r="D627" s="345"/>
      <c r="E627" s="203"/>
      <c r="F627" s="203"/>
      <c r="G627" s="203"/>
      <c r="H627" s="203"/>
    </row>
    <row r="628">
      <c r="A628" s="389"/>
      <c r="B628" s="203"/>
      <c r="C628" s="390"/>
      <c r="D628" s="345"/>
      <c r="E628" s="203"/>
      <c r="F628" s="203"/>
      <c r="G628" s="203"/>
      <c r="H628" s="203"/>
    </row>
    <row r="629">
      <c r="A629" s="389"/>
      <c r="B629" s="203"/>
      <c r="C629" s="390"/>
      <c r="D629" s="345"/>
      <c r="E629" s="203"/>
      <c r="F629" s="203"/>
      <c r="G629" s="203"/>
      <c r="H629" s="203"/>
    </row>
    <row r="630">
      <c r="A630" s="389"/>
      <c r="B630" s="203"/>
      <c r="C630" s="390"/>
      <c r="D630" s="345"/>
      <c r="E630" s="203"/>
      <c r="F630" s="203"/>
      <c r="G630" s="203"/>
      <c r="H630" s="203"/>
    </row>
    <row r="631">
      <c r="A631" s="389"/>
      <c r="B631" s="203"/>
      <c r="C631" s="390"/>
      <c r="D631" s="345"/>
      <c r="E631" s="203"/>
      <c r="F631" s="203"/>
      <c r="G631" s="203"/>
      <c r="H631" s="203"/>
    </row>
    <row r="632">
      <c r="A632" s="389"/>
      <c r="B632" s="203"/>
      <c r="C632" s="390"/>
      <c r="D632" s="345"/>
      <c r="E632" s="203"/>
      <c r="F632" s="203"/>
      <c r="G632" s="203"/>
      <c r="H632" s="203"/>
    </row>
    <row r="633">
      <c r="A633" s="389"/>
      <c r="B633" s="203"/>
      <c r="C633" s="390"/>
      <c r="D633" s="345"/>
      <c r="E633" s="203"/>
      <c r="F633" s="203"/>
      <c r="G633" s="203"/>
      <c r="H633" s="203"/>
    </row>
    <row r="634">
      <c r="A634" s="389"/>
      <c r="B634" s="203"/>
      <c r="C634" s="390"/>
      <c r="D634" s="345"/>
      <c r="E634" s="203"/>
      <c r="F634" s="203"/>
      <c r="G634" s="203"/>
      <c r="H634" s="203"/>
    </row>
    <row r="635">
      <c r="A635" s="389"/>
      <c r="B635" s="203"/>
      <c r="C635" s="390"/>
      <c r="D635" s="345"/>
      <c r="E635" s="203"/>
      <c r="F635" s="203"/>
      <c r="G635" s="203"/>
      <c r="H635" s="203"/>
    </row>
    <row r="636">
      <c r="A636" s="389"/>
      <c r="B636" s="203"/>
      <c r="C636" s="390"/>
      <c r="D636" s="345"/>
      <c r="E636" s="203"/>
      <c r="F636" s="203"/>
      <c r="G636" s="203"/>
      <c r="H636" s="203"/>
    </row>
    <row r="637">
      <c r="A637" s="389"/>
      <c r="B637" s="203"/>
      <c r="C637" s="390"/>
      <c r="D637" s="345"/>
      <c r="E637" s="203"/>
      <c r="F637" s="203"/>
      <c r="G637" s="203"/>
      <c r="H637" s="203"/>
    </row>
    <row r="638">
      <c r="A638" s="389"/>
      <c r="B638" s="203"/>
      <c r="C638" s="390"/>
      <c r="D638" s="345"/>
      <c r="E638" s="203"/>
      <c r="F638" s="203"/>
      <c r="G638" s="203"/>
      <c r="H638" s="203"/>
    </row>
    <row r="639">
      <c r="A639" s="389"/>
      <c r="B639" s="203"/>
      <c r="C639" s="390"/>
      <c r="D639" s="345"/>
      <c r="E639" s="203"/>
      <c r="F639" s="203"/>
      <c r="G639" s="203"/>
      <c r="H639" s="203"/>
    </row>
    <row r="640">
      <c r="A640" s="389"/>
      <c r="B640" s="203"/>
      <c r="C640" s="390"/>
      <c r="D640" s="345"/>
      <c r="E640" s="203"/>
      <c r="F640" s="203"/>
      <c r="G640" s="203"/>
      <c r="H640" s="203"/>
    </row>
    <row r="641">
      <c r="A641" s="389"/>
      <c r="B641" s="203"/>
      <c r="C641" s="390"/>
      <c r="D641" s="345"/>
      <c r="E641" s="203"/>
      <c r="F641" s="203"/>
      <c r="G641" s="203"/>
      <c r="H641" s="203"/>
    </row>
    <row r="642">
      <c r="A642" s="389"/>
      <c r="B642" s="203"/>
      <c r="C642" s="390"/>
      <c r="D642" s="345"/>
      <c r="E642" s="203"/>
      <c r="F642" s="203"/>
      <c r="G642" s="203"/>
      <c r="H642" s="203"/>
    </row>
    <row r="643">
      <c r="A643" s="389"/>
      <c r="B643" s="203"/>
      <c r="C643" s="390"/>
      <c r="D643" s="345"/>
      <c r="E643" s="203"/>
      <c r="F643" s="203"/>
      <c r="G643" s="203"/>
      <c r="H643" s="203"/>
    </row>
    <row r="644">
      <c r="A644" s="389"/>
      <c r="B644" s="203"/>
      <c r="C644" s="390"/>
      <c r="D644" s="345"/>
      <c r="E644" s="203"/>
      <c r="F644" s="203"/>
      <c r="G644" s="203"/>
      <c r="H644" s="203"/>
    </row>
    <row r="645">
      <c r="A645" s="389"/>
      <c r="B645" s="203"/>
      <c r="C645" s="390"/>
      <c r="D645" s="345"/>
      <c r="E645" s="203"/>
      <c r="F645" s="203"/>
      <c r="G645" s="203"/>
      <c r="H645" s="203"/>
    </row>
    <row r="646">
      <c r="A646" s="389"/>
      <c r="B646" s="203"/>
      <c r="C646" s="390"/>
      <c r="D646" s="345"/>
      <c r="E646" s="203"/>
      <c r="F646" s="203"/>
      <c r="G646" s="203"/>
      <c r="H646" s="203"/>
    </row>
    <row r="647">
      <c r="A647" s="389"/>
      <c r="B647" s="203"/>
      <c r="C647" s="390"/>
      <c r="D647" s="345"/>
      <c r="E647" s="203"/>
      <c r="F647" s="203"/>
      <c r="G647" s="203"/>
      <c r="H647" s="203"/>
    </row>
    <row r="648">
      <c r="A648" s="389"/>
      <c r="B648" s="203"/>
      <c r="C648" s="390"/>
      <c r="D648" s="345"/>
      <c r="E648" s="203"/>
      <c r="F648" s="203"/>
      <c r="G648" s="203"/>
      <c r="H648" s="203"/>
    </row>
    <row r="649">
      <c r="A649" s="389"/>
      <c r="B649" s="203"/>
      <c r="C649" s="390"/>
      <c r="D649" s="345"/>
      <c r="E649" s="203"/>
      <c r="F649" s="203"/>
      <c r="G649" s="203"/>
      <c r="H649" s="203"/>
    </row>
    <row r="650">
      <c r="A650" s="389"/>
      <c r="B650" s="203"/>
      <c r="C650" s="390"/>
      <c r="D650" s="345"/>
      <c r="E650" s="203"/>
      <c r="F650" s="203"/>
      <c r="G650" s="203"/>
      <c r="H650" s="203"/>
    </row>
    <row r="651">
      <c r="A651" s="389"/>
      <c r="B651" s="203"/>
      <c r="C651" s="390"/>
      <c r="D651" s="345"/>
      <c r="E651" s="203"/>
      <c r="F651" s="203"/>
      <c r="G651" s="203"/>
      <c r="H651" s="203"/>
    </row>
    <row r="652">
      <c r="A652" s="389"/>
      <c r="B652" s="203"/>
      <c r="C652" s="390"/>
      <c r="D652" s="345"/>
      <c r="E652" s="203"/>
      <c r="F652" s="203"/>
      <c r="G652" s="203"/>
      <c r="H652" s="203"/>
    </row>
    <row r="653">
      <c r="A653" s="389"/>
      <c r="B653" s="203"/>
      <c r="C653" s="390"/>
      <c r="D653" s="345"/>
      <c r="E653" s="203"/>
      <c r="F653" s="203"/>
      <c r="G653" s="203"/>
      <c r="H653" s="203"/>
    </row>
    <row r="654">
      <c r="A654" s="389"/>
      <c r="B654" s="203"/>
      <c r="C654" s="390"/>
      <c r="D654" s="345"/>
      <c r="E654" s="203"/>
      <c r="F654" s="203"/>
      <c r="G654" s="203"/>
      <c r="H654" s="203"/>
    </row>
    <row r="655">
      <c r="A655" s="389"/>
      <c r="B655" s="203"/>
      <c r="C655" s="390"/>
      <c r="D655" s="345"/>
      <c r="E655" s="203"/>
      <c r="F655" s="203"/>
      <c r="G655" s="203"/>
      <c r="H655" s="203"/>
    </row>
    <row r="656">
      <c r="A656" s="389"/>
      <c r="B656" s="203"/>
      <c r="C656" s="390"/>
      <c r="D656" s="345"/>
      <c r="E656" s="203"/>
      <c r="F656" s="203"/>
      <c r="G656" s="203"/>
      <c r="H656" s="203"/>
    </row>
    <row r="657">
      <c r="A657" s="389"/>
      <c r="B657" s="203"/>
      <c r="C657" s="390"/>
      <c r="D657" s="345"/>
      <c r="E657" s="203"/>
      <c r="F657" s="203"/>
      <c r="G657" s="203"/>
      <c r="H657" s="203"/>
    </row>
    <row r="658">
      <c r="A658" s="389"/>
      <c r="B658" s="203"/>
      <c r="C658" s="390"/>
      <c r="D658" s="345"/>
      <c r="E658" s="203"/>
      <c r="F658" s="203"/>
      <c r="G658" s="203"/>
      <c r="H658" s="203"/>
    </row>
    <row r="659">
      <c r="A659" s="389"/>
      <c r="B659" s="203"/>
      <c r="C659" s="390"/>
      <c r="D659" s="345"/>
      <c r="E659" s="203"/>
      <c r="F659" s="203"/>
      <c r="G659" s="203"/>
      <c r="H659" s="203"/>
    </row>
    <row r="660">
      <c r="A660" s="389"/>
      <c r="B660" s="203"/>
      <c r="C660" s="390"/>
      <c r="D660" s="345"/>
      <c r="E660" s="203"/>
      <c r="F660" s="203"/>
      <c r="G660" s="203"/>
      <c r="H660" s="203"/>
    </row>
    <row r="661">
      <c r="A661" s="389"/>
      <c r="B661" s="203"/>
      <c r="C661" s="390"/>
      <c r="D661" s="345"/>
      <c r="E661" s="203"/>
      <c r="F661" s="203"/>
      <c r="G661" s="203"/>
      <c r="H661" s="203"/>
    </row>
    <row r="662">
      <c r="A662" s="389"/>
      <c r="B662" s="203"/>
      <c r="C662" s="390"/>
      <c r="D662" s="345"/>
      <c r="E662" s="203"/>
      <c r="F662" s="203"/>
      <c r="G662" s="203"/>
      <c r="H662" s="203"/>
    </row>
    <row r="663">
      <c r="A663" s="389"/>
      <c r="B663" s="203"/>
      <c r="C663" s="390"/>
      <c r="D663" s="345"/>
      <c r="E663" s="203"/>
      <c r="F663" s="203"/>
      <c r="G663" s="203"/>
      <c r="H663" s="203"/>
    </row>
    <row r="664">
      <c r="A664" s="389"/>
      <c r="B664" s="203"/>
      <c r="C664" s="390"/>
      <c r="D664" s="345"/>
      <c r="E664" s="203"/>
      <c r="F664" s="203"/>
      <c r="G664" s="203"/>
      <c r="H664" s="203"/>
    </row>
    <row r="665">
      <c r="A665" s="389"/>
      <c r="B665" s="203"/>
      <c r="C665" s="390"/>
      <c r="D665" s="345"/>
      <c r="E665" s="203"/>
      <c r="F665" s="203"/>
      <c r="G665" s="203"/>
      <c r="H665" s="203"/>
    </row>
    <row r="666">
      <c r="A666" s="389"/>
      <c r="B666" s="203"/>
      <c r="C666" s="390"/>
      <c r="D666" s="345"/>
      <c r="E666" s="203"/>
      <c r="F666" s="203"/>
      <c r="G666" s="203"/>
      <c r="H666" s="203"/>
    </row>
    <row r="667">
      <c r="A667" s="389"/>
      <c r="B667" s="203"/>
      <c r="C667" s="390"/>
      <c r="D667" s="345"/>
      <c r="E667" s="203"/>
      <c r="F667" s="203"/>
      <c r="G667" s="203"/>
      <c r="H667" s="203"/>
    </row>
    <row r="668">
      <c r="A668" s="389"/>
      <c r="B668" s="203"/>
      <c r="C668" s="390"/>
      <c r="D668" s="345"/>
      <c r="E668" s="203"/>
      <c r="F668" s="203"/>
      <c r="G668" s="203"/>
      <c r="H668" s="203"/>
    </row>
    <row r="669">
      <c r="A669" s="389"/>
      <c r="B669" s="203"/>
      <c r="C669" s="390"/>
      <c r="D669" s="345"/>
      <c r="E669" s="203"/>
      <c r="F669" s="203"/>
      <c r="G669" s="203"/>
      <c r="H669" s="203"/>
    </row>
    <row r="670">
      <c r="A670" s="389"/>
      <c r="B670" s="203"/>
      <c r="C670" s="390"/>
      <c r="D670" s="345"/>
      <c r="E670" s="203"/>
      <c r="F670" s="203"/>
      <c r="G670" s="203"/>
      <c r="H670" s="203"/>
    </row>
    <row r="671">
      <c r="A671" s="389"/>
      <c r="B671" s="203"/>
      <c r="C671" s="390"/>
      <c r="D671" s="345"/>
      <c r="E671" s="203"/>
      <c r="F671" s="203"/>
      <c r="G671" s="203"/>
      <c r="H671" s="203"/>
    </row>
    <row r="672">
      <c r="A672" s="389"/>
      <c r="B672" s="203"/>
      <c r="C672" s="390"/>
      <c r="D672" s="345"/>
      <c r="E672" s="203"/>
      <c r="F672" s="203"/>
      <c r="G672" s="203"/>
      <c r="H672" s="203"/>
    </row>
    <row r="673">
      <c r="A673" s="389"/>
      <c r="B673" s="203"/>
      <c r="C673" s="390"/>
      <c r="D673" s="345"/>
      <c r="E673" s="203"/>
      <c r="F673" s="203"/>
      <c r="G673" s="203"/>
      <c r="H673" s="203"/>
    </row>
    <row r="674">
      <c r="A674" s="389"/>
      <c r="B674" s="203"/>
      <c r="C674" s="390"/>
      <c r="D674" s="345"/>
      <c r="E674" s="203"/>
      <c r="F674" s="203"/>
      <c r="G674" s="203"/>
      <c r="H674" s="203"/>
    </row>
    <row r="675">
      <c r="A675" s="389"/>
      <c r="B675" s="203"/>
      <c r="C675" s="390"/>
      <c r="D675" s="345"/>
      <c r="E675" s="203"/>
      <c r="F675" s="203"/>
      <c r="G675" s="203"/>
      <c r="H675" s="203"/>
    </row>
    <row r="676">
      <c r="A676" s="389"/>
      <c r="B676" s="203"/>
      <c r="C676" s="390"/>
      <c r="D676" s="345"/>
      <c r="E676" s="203"/>
      <c r="F676" s="203"/>
      <c r="G676" s="203"/>
      <c r="H676" s="203"/>
    </row>
    <row r="677">
      <c r="A677" s="389"/>
      <c r="B677" s="203"/>
      <c r="C677" s="390"/>
      <c r="D677" s="345"/>
      <c r="E677" s="203"/>
      <c r="F677" s="203"/>
      <c r="G677" s="203"/>
      <c r="H677" s="203"/>
    </row>
    <row r="678">
      <c r="A678" s="389"/>
      <c r="B678" s="203"/>
      <c r="C678" s="390"/>
      <c r="D678" s="345"/>
      <c r="E678" s="203"/>
      <c r="F678" s="203"/>
      <c r="G678" s="203"/>
      <c r="H678" s="203"/>
    </row>
    <row r="679">
      <c r="A679" s="389"/>
      <c r="B679" s="203"/>
      <c r="C679" s="390"/>
      <c r="D679" s="345"/>
      <c r="E679" s="203"/>
      <c r="F679" s="203"/>
      <c r="G679" s="203"/>
      <c r="H679" s="203"/>
    </row>
    <row r="680">
      <c r="A680" s="389"/>
      <c r="B680" s="203"/>
      <c r="C680" s="390"/>
      <c r="D680" s="345"/>
      <c r="E680" s="203"/>
      <c r="F680" s="203"/>
      <c r="G680" s="203"/>
      <c r="H680" s="203"/>
    </row>
    <row r="681">
      <c r="A681" s="389"/>
      <c r="B681" s="203"/>
      <c r="C681" s="390"/>
      <c r="D681" s="345"/>
      <c r="E681" s="203"/>
      <c r="F681" s="203"/>
      <c r="G681" s="203"/>
      <c r="H681" s="203"/>
    </row>
    <row r="682">
      <c r="A682" s="389"/>
      <c r="B682" s="203"/>
      <c r="C682" s="390"/>
      <c r="D682" s="345"/>
      <c r="E682" s="203"/>
      <c r="F682" s="203"/>
      <c r="G682" s="203"/>
      <c r="H682" s="203"/>
    </row>
    <row r="683">
      <c r="A683" s="389"/>
      <c r="B683" s="203"/>
      <c r="C683" s="390"/>
      <c r="D683" s="345"/>
      <c r="E683" s="203"/>
      <c r="F683" s="203"/>
      <c r="G683" s="203"/>
      <c r="H683" s="203"/>
    </row>
    <row r="684">
      <c r="A684" s="389"/>
      <c r="B684" s="203"/>
      <c r="C684" s="390"/>
      <c r="D684" s="345"/>
      <c r="E684" s="203"/>
      <c r="F684" s="203"/>
      <c r="G684" s="203"/>
      <c r="H684" s="203"/>
    </row>
    <row r="685">
      <c r="A685" s="389"/>
      <c r="B685" s="203"/>
      <c r="C685" s="390"/>
      <c r="D685" s="345"/>
      <c r="E685" s="203"/>
      <c r="F685" s="203"/>
      <c r="G685" s="203"/>
      <c r="H685" s="203"/>
    </row>
    <row r="686">
      <c r="A686" s="389"/>
      <c r="B686" s="203"/>
      <c r="C686" s="390"/>
      <c r="D686" s="345"/>
      <c r="E686" s="203"/>
      <c r="F686" s="203"/>
      <c r="G686" s="203"/>
      <c r="H686" s="203"/>
    </row>
    <row r="687">
      <c r="A687" s="389"/>
      <c r="B687" s="203"/>
      <c r="C687" s="390"/>
      <c r="D687" s="345"/>
      <c r="E687" s="203"/>
      <c r="F687" s="203"/>
      <c r="G687" s="203"/>
      <c r="H687" s="203"/>
    </row>
    <row r="688">
      <c r="A688" s="389"/>
      <c r="B688" s="203"/>
      <c r="C688" s="390"/>
      <c r="D688" s="345"/>
      <c r="E688" s="203"/>
      <c r="F688" s="203"/>
      <c r="G688" s="203"/>
      <c r="H688" s="203"/>
    </row>
    <row r="689">
      <c r="A689" s="389"/>
      <c r="B689" s="203"/>
      <c r="C689" s="390"/>
      <c r="D689" s="345"/>
      <c r="E689" s="203"/>
      <c r="F689" s="203"/>
      <c r="G689" s="203"/>
      <c r="H689" s="203"/>
    </row>
    <row r="690">
      <c r="A690" s="389"/>
      <c r="B690" s="203"/>
      <c r="C690" s="390"/>
      <c r="D690" s="345"/>
      <c r="E690" s="203"/>
      <c r="F690" s="203"/>
      <c r="G690" s="203"/>
      <c r="H690" s="203"/>
    </row>
    <row r="691">
      <c r="A691" s="389"/>
      <c r="B691" s="203"/>
      <c r="C691" s="390"/>
      <c r="D691" s="345"/>
      <c r="E691" s="203"/>
      <c r="F691" s="203"/>
      <c r="G691" s="203"/>
      <c r="H691" s="203"/>
    </row>
    <row r="692">
      <c r="A692" s="389"/>
      <c r="B692" s="203"/>
      <c r="C692" s="390"/>
      <c r="D692" s="345"/>
      <c r="E692" s="203"/>
      <c r="F692" s="203"/>
      <c r="G692" s="203"/>
      <c r="H692" s="203"/>
    </row>
    <row r="693">
      <c r="A693" s="389"/>
      <c r="B693" s="203"/>
      <c r="C693" s="390"/>
      <c r="D693" s="345"/>
      <c r="E693" s="203"/>
      <c r="F693" s="203"/>
      <c r="G693" s="203"/>
      <c r="H693" s="203"/>
    </row>
    <row r="694">
      <c r="A694" s="389"/>
      <c r="B694" s="203"/>
      <c r="C694" s="390"/>
      <c r="D694" s="345"/>
      <c r="E694" s="203"/>
      <c r="F694" s="203"/>
      <c r="G694" s="203"/>
      <c r="H694" s="203"/>
    </row>
    <row r="695">
      <c r="A695" s="389"/>
      <c r="B695" s="203"/>
      <c r="C695" s="390"/>
      <c r="D695" s="345"/>
      <c r="E695" s="203"/>
      <c r="F695" s="203"/>
      <c r="G695" s="203"/>
      <c r="H695" s="203"/>
    </row>
    <row r="696">
      <c r="A696" s="389"/>
      <c r="B696" s="203"/>
      <c r="C696" s="390"/>
      <c r="D696" s="345"/>
      <c r="E696" s="203"/>
      <c r="F696" s="203"/>
      <c r="G696" s="203"/>
      <c r="H696" s="203"/>
    </row>
    <row r="697">
      <c r="A697" s="389"/>
      <c r="B697" s="203"/>
      <c r="C697" s="390"/>
      <c r="D697" s="345"/>
      <c r="E697" s="203"/>
      <c r="F697" s="203"/>
      <c r="G697" s="203"/>
      <c r="H697" s="203"/>
    </row>
    <row r="698">
      <c r="A698" s="389"/>
      <c r="B698" s="203"/>
      <c r="C698" s="390"/>
      <c r="D698" s="345"/>
      <c r="E698" s="203"/>
      <c r="F698" s="203"/>
      <c r="G698" s="203"/>
      <c r="H698" s="203"/>
    </row>
    <row r="699">
      <c r="A699" s="389"/>
      <c r="B699" s="203"/>
      <c r="C699" s="390"/>
      <c r="D699" s="345"/>
      <c r="E699" s="203"/>
      <c r="F699" s="203"/>
      <c r="G699" s="203"/>
      <c r="H699" s="203"/>
    </row>
    <row r="700">
      <c r="A700" s="389"/>
      <c r="B700" s="203"/>
      <c r="C700" s="390"/>
      <c r="D700" s="345"/>
      <c r="E700" s="203"/>
      <c r="F700" s="203"/>
      <c r="G700" s="203"/>
      <c r="H700" s="203"/>
    </row>
    <row r="701">
      <c r="A701" s="389"/>
      <c r="B701" s="203"/>
      <c r="C701" s="390"/>
      <c r="D701" s="345"/>
      <c r="E701" s="203"/>
      <c r="F701" s="203"/>
      <c r="G701" s="203"/>
      <c r="H701" s="203"/>
    </row>
    <row r="702">
      <c r="A702" s="389"/>
      <c r="B702" s="203"/>
      <c r="C702" s="390"/>
      <c r="D702" s="345"/>
      <c r="E702" s="203"/>
      <c r="F702" s="203"/>
      <c r="G702" s="203"/>
      <c r="H702" s="203"/>
    </row>
    <row r="703">
      <c r="A703" s="389"/>
      <c r="B703" s="203"/>
      <c r="C703" s="390"/>
      <c r="D703" s="345"/>
      <c r="E703" s="203"/>
      <c r="F703" s="203"/>
      <c r="G703" s="203"/>
      <c r="H703" s="203"/>
    </row>
    <row r="704">
      <c r="A704" s="389"/>
      <c r="B704" s="203"/>
      <c r="C704" s="390"/>
      <c r="D704" s="345"/>
      <c r="E704" s="203"/>
      <c r="F704" s="203"/>
      <c r="G704" s="203"/>
      <c r="H704" s="203"/>
    </row>
    <row r="705">
      <c r="A705" s="389"/>
      <c r="B705" s="203"/>
      <c r="C705" s="390"/>
      <c r="D705" s="345"/>
      <c r="E705" s="203"/>
      <c r="F705" s="203"/>
      <c r="G705" s="203"/>
      <c r="H705" s="203"/>
    </row>
    <row r="706">
      <c r="A706" s="389"/>
      <c r="B706" s="203"/>
      <c r="C706" s="390"/>
      <c r="D706" s="345"/>
      <c r="E706" s="203"/>
      <c r="F706" s="203"/>
      <c r="G706" s="203"/>
      <c r="H706" s="203"/>
    </row>
    <row r="707">
      <c r="A707" s="389"/>
      <c r="B707" s="203"/>
      <c r="C707" s="390"/>
      <c r="D707" s="345"/>
      <c r="E707" s="203"/>
      <c r="F707" s="203"/>
      <c r="G707" s="203"/>
      <c r="H707" s="203"/>
    </row>
    <row r="708">
      <c r="A708" s="389"/>
      <c r="B708" s="203"/>
      <c r="C708" s="390"/>
      <c r="D708" s="345"/>
      <c r="E708" s="203"/>
      <c r="F708" s="203"/>
      <c r="G708" s="203"/>
      <c r="H708" s="203"/>
    </row>
    <row r="709">
      <c r="A709" s="389"/>
      <c r="B709" s="203"/>
      <c r="C709" s="390"/>
      <c r="D709" s="345"/>
      <c r="E709" s="203"/>
      <c r="F709" s="203"/>
      <c r="G709" s="203"/>
      <c r="H709" s="203"/>
    </row>
    <row r="710">
      <c r="A710" s="389"/>
      <c r="B710" s="203"/>
      <c r="C710" s="390"/>
      <c r="D710" s="345"/>
      <c r="E710" s="203"/>
      <c r="F710" s="203"/>
      <c r="G710" s="203"/>
      <c r="H710" s="203"/>
    </row>
    <row r="711">
      <c r="A711" s="389"/>
      <c r="B711" s="203"/>
      <c r="C711" s="390"/>
      <c r="D711" s="345"/>
      <c r="E711" s="203"/>
      <c r="F711" s="203"/>
      <c r="G711" s="203"/>
      <c r="H711" s="203"/>
    </row>
    <row r="712">
      <c r="A712" s="389"/>
      <c r="B712" s="203"/>
      <c r="C712" s="390"/>
      <c r="D712" s="345"/>
      <c r="E712" s="203"/>
      <c r="F712" s="203"/>
      <c r="G712" s="203"/>
      <c r="H712" s="203"/>
    </row>
    <row r="713">
      <c r="A713" s="389"/>
      <c r="B713" s="203"/>
      <c r="C713" s="390"/>
      <c r="D713" s="345"/>
      <c r="E713" s="203"/>
      <c r="F713" s="203"/>
      <c r="G713" s="203"/>
      <c r="H713" s="203"/>
    </row>
    <row r="714">
      <c r="A714" s="389"/>
      <c r="B714" s="203"/>
      <c r="C714" s="390"/>
      <c r="D714" s="345"/>
      <c r="E714" s="203"/>
      <c r="F714" s="203"/>
      <c r="G714" s="203"/>
      <c r="H714" s="203"/>
    </row>
    <row r="715">
      <c r="A715" s="389"/>
      <c r="B715" s="203"/>
      <c r="C715" s="390"/>
      <c r="D715" s="345"/>
      <c r="E715" s="203"/>
      <c r="F715" s="203"/>
      <c r="G715" s="203"/>
      <c r="H715" s="203"/>
    </row>
    <row r="716">
      <c r="A716" s="389"/>
      <c r="B716" s="203"/>
      <c r="C716" s="390"/>
      <c r="D716" s="345"/>
      <c r="E716" s="203"/>
      <c r="F716" s="203"/>
      <c r="G716" s="203"/>
      <c r="H716" s="203"/>
    </row>
    <row r="717">
      <c r="A717" s="389"/>
      <c r="B717" s="203"/>
      <c r="C717" s="390"/>
      <c r="D717" s="345"/>
      <c r="E717" s="203"/>
      <c r="F717" s="203"/>
      <c r="G717" s="203"/>
      <c r="H717" s="203"/>
    </row>
    <row r="718">
      <c r="A718" s="389"/>
      <c r="B718" s="203"/>
      <c r="C718" s="390"/>
      <c r="D718" s="345"/>
      <c r="E718" s="203"/>
      <c r="F718" s="203"/>
      <c r="G718" s="203"/>
      <c r="H718" s="203"/>
    </row>
    <row r="719">
      <c r="A719" s="389"/>
      <c r="B719" s="203"/>
      <c r="C719" s="390"/>
      <c r="D719" s="345"/>
      <c r="E719" s="203"/>
      <c r="F719" s="203"/>
      <c r="G719" s="203"/>
      <c r="H719" s="203"/>
    </row>
    <row r="720">
      <c r="A720" s="389"/>
      <c r="B720" s="203"/>
      <c r="C720" s="390"/>
      <c r="D720" s="345"/>
      <c r="E720" s="203"/>
      <c r="F720" s="203"/>
      <c r="G720" s="203"/>
      <c r="H720" s="203"/>
    </row>
    <row r="721">
      <c r="A721" s="389"/>
      <c r="B721" s="203"/>
      <c r="C721" s="390"/>
      <c r="D721" s="345"/>
      <c r="E721" s="203"/>
      <c r="F721" s="203"/>
      <c r="G721" s="203"/>
      <c r="H721" s="203"/>
    </row>
    <row r="722">
      <c r="A722" s="389"/>
      <c r="B722" s="203"/>
      <c r="C722" s="390"/>
      <c r="D722" s="345"/>
      <c r="E722" s="203"/>
      <c r="F722" s="203"/>
      <c r="G722" s="203"/>
      <c r="H722" s="203"/>
    </row>
    <row r="723">
      <c r="A723" s="389"/>
      <c r="B723" s="203"/>
      <c r="C723" s="390"/>
      <c r="D723" s="345"/>
      <c r="E723" s="203"/>
      <c r="F723" s="203"/>
      <c r="G723" s="203"/>
      <c r="H723" s="203"/>
    </row>
    <row r="724">
      <c r="A724" s="389"/>
      <c r="B724" s="203"/>
      <c r="C724" s="390"/>
      <c r="D724" s="345"/>
      <c r="E724" s="203"/>
      <c r="F724" s="203"/>
      <c r="G724" s="203"/>
      <c r="H724" s="203"/>
    </row>
    <row r="725">
      <c r="A725" s="389"/>
      <c r="B725" s="203"/>
      <c r="C725" s="390"/>
      <c r="D725" s="345"/>
      <c r="E725" s="203"/>
      <c r="F725" s="203"/>
      <c r="G725" s="203"/>
      <c r="H725" s="203"/>
    </row>
    <row r="726">
      <c r="A726" s="389"/>
      <c r="B726" s="203"/>
      <c r="C726" s="390"/>
      <c r="D726" s="345"/>
      <c r="E726" s="203"/>
      <c r="F726" s="203"/>
      <c r="G726" s="203"/>
      <c r="H726" s="203"/>
    </row>
    <row r="727">
      <c r="A727" s="389"/>
      <c r="B727" s="203"/>
      <c r="C727" s="390"/>
      <c r="D727" s="345"/>
      <c r="E727" s="203"/>
      <c r="F727" s="203"/>
      <c r="G727" s="203"/>
      <c r="H727" s="203"/>
    </row>
    <row r="728">
      <c r="A728" s="389"/>
      <c r="B728" s="203"/>
      <c r="C728" s="390"/>
      <c r="D728" s="345"/>
      <c r="E728" s="203"/>
      <c r="F728" s="203"/>
      <c r="G728" s="203"/>
      <c r="H728" s="203"/>
    </row>
    <row r="729">
      <c r="A729" s="389"/>
      <c r="B729" s="203"/>
      <c r="C729" s="390"/>
      <c r="D729" s="345"/>
      <c r="E729" s="203"/>
      <c r="F729" s="203"/>
      <c r="G729" s="203"/>
      <c r="H729" s="203"/>
    </row>
    <row r="730">
      <c r="A730" s="389"/>
      <c r="B730" s="203"/>
      <c r="C730" s="390"/>
      <c r="D730" s="345"/>
      <c r="E730" s="203"/>
      <c r="F730" s="203"/>
      <c r="G730" s="203"/>
      <c r="H730" s="203"/>
    </row>
    <row r="731">
      <c r="A731" s="389"/>
      <c r="B731" s="203"/>
      <c r="C731" s="390"/>
      <c r="D731" s="345"/>
      <c r="E731" s="203"/>
      <c r="F731" s="203"/>
      <c r="G731" s="203"/>
      <c r="H731" s="203"/>
    </row>
    <row r="732">
      <c r="A732" s="389"/>
      <c r="B732" s="203"/>
      <c r="C732" s="390"/>
      <c r="D732" s="345"/>
      <c r="E732" s="203"/>
      <c r="F732" s="203"/>
      <c r="G732" s="203"/>
      <c r="H732" s="203"/>
    </row>
    <row r="733">
      <c r="A733" s="389"/>
      <c r="B733" s="203"/>
      <c r="C733" s="390"/>
      <c r="D733" s="345"/>
      <c r="E733" s="203"/>
      <c r="F733" s="203"/>
      <c r="G733" s="203"/>
      <c r="H733" s="203"/>
    </row>
    <row r="734">
      <c r="A734" s="389"/>
      <c r="B734" s="203"/>
      <c r="C734" s="390"/>
      <c r="D734" s="345"/>
      <c r="E734" s="203"/>
      <c r="F734" s="203"/>
      <c r="G734" s="203"/>
      <c r="H734" s="203"/>
    </row>
    <row r="735">
      <c r="A735" s="389"/>
      <c r="B735" s="203"/>
      <c r="C735" s="390"/>
      <c r="D735" s="345"/>
      <c r="E735" s="203"/>
      <c r="F735" s="203"/>
      <c r="G735" s="203"/>
      <c r="H735" s="203"/>
    </row>
    <row r="736">
      <c r="A736" s="389"/>
      <c r="B736" s="203"/>
      <c r="C736" s="390"/>
      <c r="D736" s="345"/>
      <c r="E736" s="203"/>
      <c r="F736" s="203"/>
      <c r="G736" s="203"/>
      <c r="H736" s="203"/>
    </row>
    <row r="737">
      <c r="A737" s="389"/>
      <c r="B737" s="203"/>
      <c r="C737" s="390"/>
      <c r="D737" s="345"/>
      <c r="E737" s="203"/>
      <c r="F737" s="203"/>
      <c r="G737" s="203"/>
      <c r="H737" s="203"/>
    </row>
    <row r="738">
      <c r="A738" s="389"/>
      <c r="B738" s="203"/>
      <c r="C738" s="390"/>
      <c r="D738" s="345"/>
      <c r="E738" s="203"/>
      <c r="F738" s="203"/>
      <c r="G738" s="203"/>
      <c r="H738" s="203"/>
    </row>
    <row r="739">
      <c r="A739" s="389"/>
      <c r="B739" s="203"/>
      <c r="C739" s="390"/>
      <c r="D739" s="345"/>
      <c r="E739" s="203"/>
      <c r="F739" s="203"/>
      <c r="G739" s="203"/>
      <c r="H739" s="203"/>
    </row>
    <row r="740">
      <c r="A740" s="389"/>
      <c r="B740" s="203"/>
      <c r="C740" s="390"/>
      <c r="D740" s="345"/>
      <c r="E740" s="203"/>
      <c r="F740" s="203"/>
      <c r="G740" s="203"/>
      <c r="H740" s="203"/>
    </row>
    <row r="741">
      <c r="A741" s="389"/>
      <c r="B741" s="203"/>
      <c r="C741" s="390"/>
      <c r="D741" s="345"/>
      <c r="E741" s="203"/>
      <c r="F741" s="203"/>
      <c r="G741" s="203"/>
      <c r="H741" s="203"/>
    </row>
    <row r="742">
      <c r="A742" s="389"/>
      <c r="B742" s="203"/>
      <c r="C742" s="390"/>
      <c r="D742" s="345"/>
      <c r="E742" s="203"/>
      <c r="F742" s="203"/>
      <c r="G742" s="203"/>
      <c r="H742" s="203"/>
    </row>
    <row r="743">
      <c r="A743" s="389"/>
      <c r="B743" s="203"/>
      <c r="C743" s="390"/>
      <c r="D743" s="345"/>
      <c r="E743" s="203"/>
      <c r="F743" s="203"/>
      <c r="G743" s="203"/>
      <c r="H743" s="203"/>
    </row>
    <row r="744">
      <c r="A744" s="389"/>
      <c r="B744" s="203"/>
      <c r="C744" s="390"/>
      <c r="D744" s="345"/>
      <c r="E744" s="203"/>
      <c r="F744" s="203"/>
      <c r="G744" s="203"/>
      <c r="H744" s="203"/>
    </row>
    <row r="745">
      <c r="A745" s="389"/>
      <c r="B745" s="203"/>
      <c r="C745" s="390"/>
      <c r="D745" s="345"/>
      <c r="E745" s="203"/>
      <c r="F745" s="203"/>
      <c r="G745" s="203"/>
      <c r="H745" s="203"/>
    </row>
    <row r="746">
      <c r="A746" s="389"/>
      <c r="B746" s="203"/>
      <c r="C746" s="390"/>
      <c r="D746" s="345"/>
      <c r="E746" s="203"/>
      <c r="F746" s="203"/>
      <c r="G746" s="203"/>
      <c r="H746" s="203"/>
    </row>
    <row r="747">
      <c r="A747" s="389"/>
      <c r="B747" s="203"/>
      <c r="C747" s="390"/>
      <c r="D747" s="345"/>
      <c r="E747" s="203"/>
      <c r="F747" s="203"/>
      <c r="G747" s="203"/>
      <c r="H747" s="203"/>
    </row>
    <row r="748">
      <c r="A748" s="389"/>
      <c r="B748" s="203"/>
      <c r="C748" s="390"/>
      <c r="D748" s="345"/>
      <c r="E748" s="203"/>
      <c r="F748" s="203"/>
      <c r="G748" s="203"/>
      <c r="H748" s="203"/>
    </row>
    <row r="749">
      <c r="A749" s="389"/>
      <c r="B749" s="203"/>
      <c r="C749" s="390"/>
      <c r="D749" s="345"/>
      <c r="E749" s="203"/>
      <c r="F749" s="203"/>
      <c r="G749" s="203"/>
      <c r="H749" s="203"/>
    </row>
    <row r="750">
      <c r="A750" s="389"/>
      <c r="B750" s="203"/>
      <c r="C750" s="390"/>
      <c r="D750" s="345"/>
      <c r="E750" s="203"/>
      <c r="F750" s="203"/>
      <c r="G750" s="203"/>
      <c r="H750" s="203"/>
    </row>
    <row r="751">
      <c r="A751" s="389"/>
      <c r="B751" s="203"/>
      <c r="C751" s="390"/>
      <c r="D751" s="345"/>
      <c r="E751" s="203"/>
      <c r="F751" s="203"/>
      <c r="G751" s="203"/>
      <c r="H751" s="203"/>
    </row>
    <row r="752">
      <c r="A752" s="389"/>
      <c r="B752" s="203"/>
      <c r="C752" s="390"/>
      <c r="D752" s="345"/>
      <c r="E752" s="203"/>
      <c r="F752" s="203"/>
      <c r="G752" s="203"/>
      <c r="H752" s="203"/>
    </row>
    <row r="753">
      <c r="A753" s="389"/>
      <c r="B753" s="203"/>
      <c r="C753" s="390"/>
      <c r="D753" s="345"/>
      <c r="E753" s="203"/>
      <c r="F753" s="203"/>
      <c r="G753" s="203"/>
      <c r="H753" s="203"/>
    </row>
    <row r="754">
      <c r="A754" s="389"/>
      <c r="B754" s="203"/>
      <c r="C754" s="390"/>
      <c r="D754" s="345"/>
      <c r="E754" s="203"/>
      <c r="F754" s="203"/>
      <c r="G754" s="203"/>
      <c r="H754" s="203"/>
    </row>
    <row r="755">
      <c r="A755" s="389"/>
      <c r="B755" s="203"/>
      <c r="C755" s="390"/>
      <c r="D755" s="345"/>
      <c r="E755" s="203"/>
      <c r="F755" s="203"/>
      <c r="G755" s="203"/>
      <c r="H755" s="203"/>
    </row>
    <row r="756">
      <c r="A756" s="389"/>
      <c r="B756" s="203"/>
      <c r="C756" s="390"/>
      <c r="D756" s="345"/>
      <c r="E756" s="203"/>
      <c r="F756" s="203"/>
      <c r="G756" s="203"/>
      <c r="H756" s="203"/>
    </row>
    <row r="757">
      <c r="A757" s="389"/>
      <c r="B757" s="203"/>
      <c r="C757" s="390"/>
      <c r="D757" s="345"/>
      <c r="E757" s="203"/>
      <c r="F757" s="203"/>
      <c r="G757" s="203"/>
      <c r="H757" s="203"/>
    </row>
    <row r="758">
      <c r="A758" s="389"/>
      <c r="B758" s="203"/>
      <c r="C758" s="390"/>
      <c r="D758" s="345"/>
      <c r="E758" s="203"/>
      <c r="F758" s="203"/>
      <c r="G758" s="203"/>
      <c r="H758" s="203"/>
    </row>
    <row r="759">
      <c r="A759" s="389"/>
      <c r="B759" s="203"/>
      <c r="C759" s="390"/>
      <c r="D759" s="345"/>
      <c r="E759" s="203"/>
      <c r="F759" s="203"/>
      <c r="G759" s="203"/>
      <c r="H759" s="203"/>
    </row>
    <row r="760">
      <c r="A760" s="389"/>
      <c r="B760" s="203"/>
      <c r="C760" s="390"/>
      <c r="D760" s="345"/>
      <c r="E760" s="203"/>
      <c r="F760" s="203"/>
      <c r="G760" s="203"/>
      <c r="H760" s="203"/>
    </row>
    <row r="761">
      <c r="A761" s="389"/>
      <c r="B761" s="203"/>
      <c r="C761" s="390"/>
      <c r="D761" s="345"/>
      <c r="E761" s="203"/>
      <c r="F761" s="203"/>
      <c r="G761" s="203"/>
      <c r="H761" s="203"/>
    </row>
    <row r="762">
      <c r="A762" s="389"/>
      <c r="B762" s="203"/>
      <c r="C762" s="390"/>
      <c r="D762" s="345"/>
      <c r="E762" s="203"/>
      <c r="F762" s="203"/>
      <c r="G762" s="203"/>
      <c r="H762" s="203"/>
    </row>
    <row r="763">
      <c r="A763" s="389"/>
      <c r="B763" s="203"/>
      <c r="C763" s="390"/>
      <c r="D763" s="345"/>
      <c r="E763" s="203"/>
      <c r="F763" s="203"/>
      <c r="G763" s="203"/>
      <c r="H763" s="203"/>
    </row>
    <row r="764">
      <c r="A764" s="389"/>
      <c r="B764" s="203"/>
      <c r="C764" s="390"/>
      <c r="D764" s="345"/>
      <c r="E764" s="203"/>
      <c r="F764" s="203"/>
      <c r="G764" s="203"/>
      <c r="H764" s="203"/>
    </row>
    <row r="765">
      <c r="A765" s="389"/>
      <c r="B765" s="203"/>
      <c r="C765" s="390"/>
      <c r="D765" s="345"/>
      <c r="E765" s="203"/>
      <c r="F765" s="203"/>
      <c r="G765" s="203"/>
      <c r="H765" s="203"/>
    </row>
    <row r="766">
      <c r="A766" s="389"/>
      <c r="B766" s="203"/>
      <c r="C766" s="390"/>
      <c r="D766" s="345"/>
      <c r="E766" s="203"/>
      <c r="F766" s="203"/>
      <c r="G766" s="203"/>
      <c r="H766" s="203"/>
    </row>
    <row r="767">
      <c r="A767" s="389"/>
      <c r="B767" s="203"/>
      <c r="C767" s="390"/>
      <c r="D767" s="345"/>
      <c r="E767" s="203"/>
      <c r="F767" s="203"/>
      <c r="G767" s="203"/>
      <c r="H767" s="203"/>
    </row>
    <row r="768">
      <c r="A768" s="389"/>
      <c r="B768" s="203"/>
      <c r="C768" s="390"/>
      <c r="D768" s="345"/>
      <c r="E768" s="203"/>
      <c r="F768" s="203"/>
      <c r="G768" s="203"/>
      <c r="H768" s="203"/>
    </row>
    <row r="769">
      <c r="A769" s="389"/>
      <c r="B769" s="203"/>
      <c r="C769" s="390"/>
      <c r="D769" s="345"/>
      <c r="E769" s="203"/>
      <c r="F769" s="203"/>
      <c r="G769" s="203"/>
      <c r="H769" s="203"/>
    </row>
    <row r="770">
      <c r="A770" s="389"/>
      <c r="B770" s="203"/>
      <c r="C770" s="390"/>
      <c r="D770" s="345"/>
      <c r="E770" s="203"/>
      <c r="F770" s="203"/>
      <c r="G770" s="203"/>
      <c r="H770" s="203"/>
    </row>
    <row r="771">
      <c r="A771" s="389"/>
      <c r="B771" s="203"/>
      <c r="C771" s="390"/>
      <c r="D771" s="345"/>
      <c r="E771" s="203"/>
      <c r="F771" s="203"/>
      <c r="G771" s="203"/>
      <c r="H771" s="203"/>
    </row>
    <row r="772">
      <c r="A772" s="389"/>
      <c r="B772" s="203"/>
      <c r="C772" s="390"/>
      <c r="D772" s="345"/>
      <c r="E772" s="203"/>
      <c r="F772" s="203"/>
      <c r="G772" s="203"/>
      <c r="H772" s="203"/>
    </row>
    <row r="773">
      <c r="A773" s="389"/>
      <c r="B773" s="203"/>
      <c r="C773" s="390"/>
      <c r="D773" s="345"/>
      <c r="E773" s="203"/>
      <c r="F773" s="203"/>
      <c r="G773" s="203"/>
      <c r="H773" s="203"/>
    </row>
    <row r="774">
      <c r="A774" s="389"/>
      <c r="B774" s="203"/>
      <c r="C774" s="390"/>
      <c r="D774" s="345"/>
      <c r="E774" s="203"/>
      <c r="F774" s="203"/>
      <c r="G774" s="203"/>
      <c r="H774" s="203"/>
    </row>
    <row r="775">
      <c r="A775" s="389"/>
      <c r="B775" s="203"/>
      <c r="C775" s="390"/>
      <c r="D775" s="345"/>
      <c r="E775" s="203"/>
      <c r="F775" s="203"/>
      <c r="G775" s="203"/>
      <c r="H775" s="203"/>
    </row>
    <row r="776">
      <c r="A776" s="389"/>
      <c r="B776" s="203"/>
      <c r="C776" s="390"/>
      <c r="D776" s="345"/>
      <c r="E776" s="203"/>
      <c r="F776" s="203"/>
      <c r="G776" s="203"/>
      <c r="H776" s="203"/>
    </row>
    <row r="777">
      <c r="A777" s="389"/>
      <c r="B777" s="203"/>
      <c r="C777" s="390"/>
      <c r="D777" s="345"/>
      <c r="E777" s="203"/>
      <c r="F777" s="203"/>
      <c r="G777" s="203"/>
      <c r="H777" s="203"/>
    </row>
    <row r="778">
      <c r="A778" s="389"/>
      <c r="B778" s="203"/>
      <c r="C778" s="390"/>
      <c r="D778" s="345"/>
      <c r="E778" s="203"/>
      <c r="F778" s="203"/>
      <c r="G778" s="203"/>
      <c r="H778" s="203"/>
    </row>
    <row r="779">
      <c r="A779" s="389"/>
      <c r="B779" s="203"/>
      <c r="C779" s="390"/>
      <c r="D779" s="345"/>
      <c r="E779" s="203"/>
      <c r="F779" s="203"/>
      <c r="G779" s="203"/>
      <c r="H779" s="203"/>
    </row>
    <row r="780">
      <c r="A780" s="389"/>
      <c r="B780" s="203"/>
      <c r="C780" s="390"/>
      <c r="D780" s="345"/>
      <c r="E780" s="203"/>
      <c r="F780" s="203"/>
      <c r="G780" s="203"/>
      <c r="H780" s="203"/>
    </row>
    <row r="781">
      <c r="A781" s="389"/>
      <c r="B781" s="203"/>
      <c r="C781" s="390"/>
      <c r="D781" s="345"/>
      <c r="E781" s="203"/>
      <c r="F781" s="203"/>
      <c r="G781" s="203"/>
      <c r="H781" s="203"/>
    </row>
    <row r="782">
      <c r="A782" s="389"/>
      <c r="B782" s="203"/>
      <c r="C782" s="390"/>
      <c r="D782" s="345"/>
      <c r="E782" s="203"/>
      <c r="F782" s="203"/>
      <c r="G782" s="203"/>
      <c r="H782" s="203"/>
    </row>
    <row r="783">
      <c r="A783" s="389"/>
      <c r="B783" s="203"/>
      <c r="C783" s="390"/>
      <c r="D783" s="345"/>
      <c r="E783" s="203"/>
      <c r="F783" s="203"/>
      <c r="G783" s="203"/>
      <c r="H783" s="203"/>
    </row>
    <row r="784">
      <c r="A784" s="389"/>
      <c r="B784" s="203"/>
      <c r="C784" s="390"/>
      <c r="D784" s="345"/>
      <c r="E784" s="203"/>
      <c r="F784" s="203"/>
      <c r="G784" s="203"/>
      <c r="H784" s="203"/>
    </row>
    <row r="785">
      <c r="A785" s="389"/>
      <c r="B785" s="203"/>
      <c r="C785" s="390"/>
      <c r="D785" s="345"/>
      <c r="E785" s="203"/>
      <c r="F785" s="203"/>
      <c r="G785" s="203"/>
      <c r="H785" s="203"/>
    </row>
    <row r="786">
      <c r="A786" s="389"/>
      <c r="B786" s="203"/>
      <c r="C786" s="390"/>
      <c r="D786" s="345"/>
      <c r="E786" s="203"/>
      <c r="F786" s="203"/>
      <c r="G786" s="203"/>
      <c r="H786" s="203"/>
    </row>
    <row r="787">
      <c r="A787" s="389"/>
      <c r="B787" s="203"/>
      <c r="C787" s="390"/>
      <c r="D787" s="345"/>
      <c r="E787" s="203"/>
      <c r="F787" s="203"/>
      <c r="G787" s="203"/>
      <c r="H787" s="203"/>
    </row>
    <row r="788">
      <c r="A788" s="389"/>
      <c r="B788" s="203"/>
      <c r="C788" s="390"/>
      <c r="D788" s="345"/>
      <c r="E788" s="203"/>
      <c r="F788" s="203"/>
      <c r="G788" s="203"/>
      <c r="H788" s="203"/>
    </row>
    <row r="789">
      <c r="A789" s="389"/>
      <c r="B789" s="203"/>
      <c r="C789" s="390"/>
      <c r="D789" s="345"/>
      <c r="E789" s="203"/>
      <c r="F789" s="203"/>
      <c r="G789" s="203"/>
      <c r="H789" s="203"/>
    </row>
    <row r="790">
      <c r="A790" s="389"/>
      <c r="B790" s="203"/>
      <c r="C790" s="390"/>
      <c r="D790" s="345"/>
      <c r="E790" s="203"/>
      <c r="F790" s="203"/>
      <c r="G790" s="203"/>
      <c r="H790" s="203"/>
    </row>
    <row r="791">
      <c r="A791" s="389"/>
      <c r="B791" s="203"/>
      <c r="C791" s="390"/>
      <c r="D791" s="345"/>
      <c r="E791" s="203"/>
      <c r="F791" s="203"/>
      <c r="G791" s="203"/>
      <c r="H791" s="203"/>
    </row>
    <row r="792">
      <c r="A792" s="389"/>
      <c r="B792" s="203"/>
      <c r="C792" s="390"/>
      <c r="D792" s="345"/>
      <c r="E792" s="203"/>
      <c r="F792" s="203"/>
      <c r="G792" s="203"/>
      <c r="H792" s="203"/>
    </row>
    <row r="793">
      <c r="A793" s="389"/>
      <c r="B793" s="203"/>
      <c r="C793" s="390"/>
      <c r="D793" s="345"/>
      <c r="E793" s="203"/>
      <c r="F793" s="203"/>
      <c r="G793" s="203"/>
      <c r="H793" s="203"/>
    </row>
    <row r="794">
      <c r="A794" s="389"/>
      <c r="B794" s="203"/>
      <c r="C794" s="390"/>
      <c r="D794" s="345"/>
      <c r="E794" s="203"/>
      <c r="F794" s="203"/>
      <c r="G794" s="203"/>
      <c r="H794" s="203"/>
    </row>
    <row r="795">
      <c r="A795" s="389"/>
      <c r="B795" s="203"/>
      <c r="C795" s="390"/>
      <c r="D795" s="345"/>
      <c r="E795" s="203"/>
      <c r="F795" s="203"/>
      <c r="G795" s="203"/>
      <c r="H795" s="203"/>
    </row>
    <row r="796">
      <c r="A796" s="389"/>
      <c r="B796" s="203"/>
      <c r="C796" s="390"/>
      <c r="D796" s="345"/>
      <c r="E796" s="203"/>
      <c r="F796" s="203"/>
      <c r="G796" s="203"/>
      <c r="H796" s="203"/>
    </row>
    <row r="797">
      <c r="A797" s="389"/>
      <c r="B797" s="203"/>
      <c r="C797" s="390"/>
      <c r="D797" s="345"/>
      <c r="E797" s="203"/>
      <c r="F797" s="203"/>
      <c r="G797" s="203"/>
      <c r="H797" s="203"/>
    </row>
    <row r="798">
      <c r="A798" s="389"/>
      <c r="B798" s="203"/>
      <c r="C798" s="390"/>
      <c r="D798" s="345"/>
      <c r="E798" s="203"/>
      <c r="F798" s="203"/>
      <c r="G798" s="203"/>
      <c r="H798" s="203"/>
    </row>
    <row r="799">
      <c r="A799" s="389"/>
      <c r="B799" s="203"/>
      <c r="C799" s="390"/>
      <c r="D799" s="345"/>
      <c r="E799" s="203"/>
      <c r="F799" s="203"/>
      <c r="G799" s="203"/>
      <c r="H799" s="203"/>
    </row>
    <row r="800">
      <c r="A800" s="389"/>
      <c r="B800" s="203"/>
      <c r="C800" s="390"/>
      <c r="D800" s="345"/>
      <c r="E800" s="203"/>
      <c r="F800" s="203"/>
      <c r="G800" s="203"/>
      <c r="H800" s="203"/>
    </row>
    <row r="801">
      <c r="A801" s="389"/>
      <c r="B801" s="203"/>
      <c r="C801" s="390"/>
      <c r="D801" s="345"/>
      <c r="E801" s="203"/>
      <c r="F801" s="203"/>
      <c r="G801" s="203"/>
      <c r="H801" s="203"/>
    </row>
    <row r="802">
      <c r="A802" s="389"/>
      <c r="B802" s="203"/>
      <c r="C802" s="390"/>
      <c r="D802" s="345"/>
      <c r="E802" s="203"/>
      <c r="F802" s="203"/>
      <c r="G802" s="203"/>
      <c r="H802" s="203"/>
    </row>
    <row r="803">
      <c r="A803" s="389"/>
      <c r="B803" s="203"/>
      <c r="C803" s="390"/>
      <c r="D803" s="345"/>
      <c r="E803" s="203"/>
      <c r="F803" s="203"/>
      <c r="G803" s="203"/>
      <c r="H803" s="203"/>
    </row>
    <row r="804">
      <c r="A804" s="389"/>
      <c r="B804" s="203"/>
      <c r="C804" s="390"/>
      <c r="D804" s="345"/>
      <c r="E804" s="203"/>
      <c r="F804" s="203"/>
      <c r="G804" s="203"/>
      <c r="H804" s="203"/>
    </row>
    <row r="805">
      <c r="A805" s="389"/>
      <c r="B805" s="203"/>
      <c r="C805" s="390"/>
      <c r="D805" s="345"/>
      <c r="E805" s="203"/>
      <c r="F805" s="203"/>
      <c r="G805" s="203"/>
      <c r="H805" s="203"/>
    </row>
    <row r="806">
      <c r="A806" s="389"/>
      <c r="B806" s="203"/>
      <c r="C806" s="390"/>
      <c r="D806" s="345"/>
      <c r="E806" s="203"/>
      <c r="F806" s="203"/>
      <c r="G806" s="203"/>
      <c r="H806" s="203"/>
    </row>
    <row r="807">
      <c r="A807" s="389"/>
      <c r="B807" s="203"/>
      <c r="C807" s="390"/>
      <c r="D807" s="345"/>
      <c r="E807" s="203"/>
      <c r="F807" s="203"/>
      <c r="G807" s="203"/>
      <c r="H807" s="203"/>
    </row>
    <row r="808">
      <c r="A808" s="389"/>
      <c r="B808" s="203"/>
      <c r="C808" s="390"/>
      <c r="D808" s="345"/>
      <c r="E808" s="203"/>
      <c r="F808" s="203"/>
      <c r="G808" s="203"/>
      <c r="H808" s="203"/>
    </row>
    <row r="809">
      <c r="A809" s="389"/>
      <c r="B809" s="203"/>
      <c r="C809" s="390"/>
      <c r="D809" s="345"/>
      <c r="E809" s="203"/>
      <c r="F809" s="203"/>
      <c r="G809" s="203"/>
      <c r="H809" s="203"/>
    </row>
    <row r="810">
      <c r="A810" s="389"/>
      <c r="B810" s="203"/>
      <c r="C810" s="390"/>
      <c r="D810" s="345"/>
      <c r="E810" s="203"/>
      <c r="F810" s="203"/>
      <c r="G810" s="203"/>
      <c r="H810" s="203"/>
    </row>
    <row r="811">
      <c r="A811" s="389"/>
      <c r="B811" s="203"/>
      <c r="C811" s="390"/>
      <c r="D811" s="345"/>
      <c r="E811" s="203"/>
      <c r="F811" s="203"/>
      <c r="G811" s="203"/>
      <c r="H811" s="203"/>
    </row>
    <row r="812">
      <c r="A812" s="389"/>
      <c r="B812" s="203"/>
      <c r="C812" s="390"/>
      <c r="D812" s="345"/>
      <c r="E812" s="203"/>
      <c r="F812" s="203"/>
      <c r="G812" s="203"/>
      <c r="H812" s="203"/>
    </row>
    <row r="813">
      <c r="A813" s="389"/>
      <c r="B813" s="203"/>
      <c r="C813" s="390"/>
      <c r="D813" s="345"/>
      <c r="E813" s="203"/>
      <c r="F813" s="203"/>
      <c r="G813" s="203"/>
      <c r="H813" s="203"/>
    </row>
    <row r="814">
      <c r="A814" s="389"/>
      <c r="B814" s="203"/>
      <c r="C814" s="390"/>
      <c r="D814" s="345"/>
      <c r="E814" s="203"/>
      <c r="F814" s="203"/>
      <c r="G814" s="203"/>
      <c r="H814" s="203"/>
    </row>
    <row r="815">
      <c r="A815" s="389"/>
      <c r="B815" s="203"/>
      <c r="C815" s="390"/>
      <c r="D815" s="345"/>
      <c r="E815" s="203"/>
      <c r="F815" s="203"/>
      <c r="G815" s="203"/>
      <c r="H815" s="203"/>
    </row>
    <row r="816">
      <c r="A816" s="389"/>
      <c r="B816" s="203"/>
      <c r="C816" s="390"/>
      <c r="D816" s="345"/>
      <c r="E816" s="203"/>
      <c r="F816" s="203"/>
      <c r="G816" s="203"/>
      <c r="H816" s="203"/>
    </row>
    <row r="817">
      <c r="A817" s="389"/>
      <c r="B817" s="203"/>
      <c r="C817" s="390"/>
      <c r="D817" s="345"/>
      <c r="E817" s="203"/>
      <c r="F817" s="203"/>
      <c r="G817" s="203"/>
      <c r="H817" s="203"/>
    </row>
    <row r="818">
      <c r="A818" s="389"/>
      <c r="B818" s="203"/>
      <c r="C818" s="390"/>
      <c r="D818" s="345"/>
      <c r="E818" s="203"/>
      <c r="F818" s="203"/>
      <c r="G818" s="203"/>
      <c r="H818" s="203"/>
    </row>
    <row r="819">
      <c r="A819" s="389"/>
      <c r="B819" s="203"/>
      <c r="C819" s="390"/>
      <c r="D819" s="345"/>
      <c r="E819" s="203"/>
      <c r="F819" s="203"/>
      <c r="G819" s="203"/>
      <c r="H819" s="203"/>
    </row>
    <row r="820">
      <c r="A820" s="389"/>
      <c r="B820" s="203"/>
      <c r="C820" s="390"/>
      <c r="D820" s="345"/>
      <c r="E820" s="203"/>
      <c r="F820" s="203"/>
      <c r="G820" s="203"/>
      <c r="H820" s="203"/>
    </row>
    <row r="821">
      <c r="A821" s="389"/>
      <c r="B821" s="203"/>
      <c r="C821" s="390"/>
      <c r="D821" s="345"/>
      <c r="E821" s="203"/>
      <c r="F821" s="203"/>
      <c r="G821" s="203"/>
      <c r="H821" s="203"/>
    </row>
    <row r="822">
      <c r="A822" s="389"/>
      <c r="B822" s="203"/>
      <c r="C822" s="390"/>
      <c r="D822" s="345"/>
      <c r="E822" s="203"/>
      <c r="F822" s="203"/>
      <c r="G822" s="203"/>
      <c r="H822" s="203"/>
    </row>
    <row r="823">
      <c r="A823" s="389"/>
      <c r="B823" s="203"/>
      <c r="C823" s="390"/>
      <c r="D823" s="345"/>
      <c r="E823" s="203"/>
      <c r="F823" s="203"/>
      <c r="G823" s="203"/>
      <c r="H823" s="203"/>
    </row>
    <row r="824">
      <c r="A824" s="389"/>
      <c r="B824" s="203"/>
      <c r="C824" s="390"/>
      <c r="D824" s="345"/>
      <c r="E824" s="203"/>
      <c r="F824" s="203"/>
      <c r="G824" s="203"/>
      <c r="H824" s="203"/>
    </row>
    <row r="825">
      <c r="A825" s="389"/>
      <c r="B825" s="203"/>
      <c r="C825" s="390"/>
      <c r="D825" s="345"/>
      <c r="E825" s="203"/>
      <c r="F825" s="203"/>
      <c r="G825" s="203"/>
      <c r="H825" s="203"/>
    </row>
    <row r="826">
      <c r="A826" s="389"/>
      <c r="B826" s="203"/>
      <c r="C826" s="390"/>
      <c r="D826" s="345"/>
      <c r="E826" s="203"/>
      <c r="F826" s="203"/>
      <c r="G826" s="203"/>
      <c r="H826" s="203"/>
    </row>
    <row r="827">
      <c r="A827" s="389"/>
      <c r="B827" s="203"/>
      <c r="C827" s="390"/>
      <c r="D827" s="345"/>
      <c r="E827" s="203"/>
      <c r="F827" s="203"/>
      <c r="G827" s="203"/>
      <c r="H827" s="203"/>
    </row>
    <row r="828">
      <c r="A828" s="389"/>
      <c r="B828" s="203"/>
      <c r="C828" s="390"/>
      <c r="D828" s="345"/>
      <c r="E828" s="203"/>
      <c r="F828" s="203"/>
      <c r="G828" s="203"/>
      <c r="H828" s="203"/>
    </row>
    <row r="829">
      <c r="A829" s="389"/>
      <c r="B829" s="203"/>
      <c r="C829" s="390"/>
      <c r="D829" s="345"/>
      <c r="E829" s="203"/>
      <c r="F829" s="203"/>
      <c r="G829" s="203"/>
      <c r="H829" s="203"/>
    </row>
    <row r="830">
      <c r="A830" s="389"/>
      <c r="B830" s="203"/>
      <c r="C830" s="390"/>
      <c r="D830" s="345"/>
      <c r="E830" s="203"/>
      <c r="F830" s="203"/>
      <c r="G830" s="203"/>
      <c r="H830" s="203"/>
    </row>
    <row r="831">
      <c r="A831" s="389"/>
      <c r="B831" s="203"/>
      <c r="C831" s="390"/>
      <c r="D831" s="345"/>
      <c r="E831" s="203"/>
      <c r="F831" s="203"/>
      <c r="G831" s="203"/>
      <c r="H831" s="203"/>
    </row>
    <row r="832">
      <c r="A832" s="389"/>
      <c r="B832" s="203"/>
      <c r="C832" s="390"/>
      <c r="D832" s="345"/>
      <c r="E832" s="203"/>
      <c r="F832" s="203"/>
      <c r="G832" s="203"/>
      <c r="H832" s="203"/>
    </row>
    <row r="833">
      <c r="A833" s="389"/>
      <c r="B833" s="203"/>
      <c r="C833" s="390"/>
      <c r="D833" s="345"/>
      <c r="E833" s="203"/>
      <c r="F833" s="203"/>
      <c r="G833" s="203"/>
      <c r="H833" s="203"/>
    </row>
    <row r="834">
      <c r="A834" s="389"/>
      <c r="B834" s="203"/>
      <c r="C834" s="390"/>
      <c r="D834" s="345"/>
      <c r="E834" s="203"/>
      <c r="F834" s="203"/>
      <c r="G834" s="203"/>
      <c r="H834" s="203"/>
    </row>
    <row r="835">
      <c r="A835" s="389"/>
      <c r="B835" s="203"/>
      <c r="C835" s="390"/>
      <c r="D835" s="345"/>
      <c r="E835" s="203"/>
      <c r="F835" s="203"/>
      <c r="G835" s="203"/>
      <c r="H835" s="203"/>
    </row>
    <row r="836">
      <c r="A836" s="389"/>
      <c r="B836" s="203"/>
      <c r="C836" s="390"/>
      <c r="D836" s="345"/>
      <c r="E836" s="203"/>
      <c r="F836" s="203"/>
      <c r="G836" s="203"/>
      <c r="H836" s="203"/>
    </row>
    <row r="837">
      <c r="A837" s="389"/>
      <c r="B837" s="203"/>
      <c r="C837" s="390"/>
      <c r="D837" s="345"/>
      <c r="E837" s="203"/>
      <c r="F837" s="203"/>
      <c r="G837" s="203"/>
      <c r="H837" s="203"/>
    </row>
    <row r="838">
      <c r="A838" s="389"/>
      <c r="B838" s="203"/>
      <c r="C838" s="390"/>
      <c r="D838" s="345"/>
      <c r="E838" s="203"/>
      <c r="F838" s="203"/>
      <c r="G838" s="203"/>
      <c r="H838" s="203"/>
    </row>
    <row r="839">
      <c r="A839" s="389"/>
      <c r="B839" s="203"/>
      <c r="C839" s="390"/>
      <c r="D839" s="345"/>
      <c r="E839" s="203"/>
      <c r="F839" s="203"/>
      <c r="G839" s="203"/>
      <c r="H839" s="203"/>
    </row>
    <row r="840">
      <c r="A840" s="389"/>
      <c r="B840" s="203"/>
      <c r="C840" s="390"/>
      <c r="D840" s="345"/>
      <c r="E840" s="203"/>
      <c r="F840" s="203"/>
      <c r="G840" s="203"/>
      <c r="H840" s="203"/>
    </row>
    <row r="841">
      <c r="A841" s="389"/>
      <c r="B841" s="203"/>
      <c r="C841" s="390"/>
      <c r="D841" s="345"/>
      <c r="E841" s="203"/>
      <c r="F841" s="203"/>
      <c r="G841" s="203"/>
      <c r="H841" s="203"/>
    </row>
    <row r="842">
      <c r="A842" s="389"/>
      <c r="B842" s="203"/>
      <c r="C842" s="390"/>
      <c r="D842" s="345"/>
      <c r="E842" s="203"/>
      <c r="F842" s="203"/>
      <c r="G842" s="203"/>
      <c r="H842" s="203"/>
    </row>
    <row r="843">
      <c r="A843" s="389"/>
      <c r="B843" s="203"/>
      <c r="C843" s="390"/>
      <c r="D843" s="345"/>
      <c r="E843" s="203"/>
      <c r="F843" s="203"/>
      <c r="G843" s="203"/>
      <c r="H843" s="203"/>
    </row>
    <row r="844">
      <c r="A844" s="389"/>
      <c r="B844" s="203"/>
      <c r="C844" s="390"/>
      <c r="D844" s="345"/>
      <c r="E844" s="203"/>
      <c r="F844" s="203"/>
      <c r="G844" s="203"/>
      <c r="H844" s="203"/>
    </row>
    <row r="845">
      <c r="A845" s="389"/>
      <c r="B845" s="203"/>
      <c r="C845" s="390"/>
      <c r="D845" s="345"/>
      <c r="E845" s="203"/>
      <c r="F845" s="203"/>
      <c r="G845" s="203"/>
      <c r="H845" s="203"/>
    </row>
    <row r="846">
      <c r="A846" s="389"/>
      <c r="B846" s="203"/>
      <c r="C846" s="390"/>
      <c r="D846" s="345"/>
      <c r="E846" s="203"/>
      <c r="F846" s="203"/>
      <c r="G846" s="203"/>
      <c r="H846" s="203"/>
    </row>
    <row r="847">
      <c r="A847" s="389"/>
      <c r="B847" s="203"/>
      <c r="C847" s="390"/>
      <c r="D847" s="345"/>
      <c r="E847" s="203"/>
      <c r="F847" s="203"/>
      <c r="G847" s="203"/>
      <c r="H847" s="203"/>
    </row>
    <row r="848">
      <c r="A848" s="389"/>
      <c r="B848" s="203"/>
      <c r="C848" s="390"/>
      <c r="D848" s="345"/>
      <c r="E848" s="203"/>
      <c r="F848" s="203"/>
      <c r="G848" s="203"/>
      <c r="H848" s="203"/>
    </row>
    <row r="849">
      <c r="A849" s="389"/>
      <c r="B849" s="203"/>
      <c r="C849" s="390"/>
      <c r="D849" s="345"/>
      <c r="E849" s="203"/>
      <c r="F849" s="203"/>
      <c r="G849" s="203"/>
      <c r="H849" s="203"/>
    </row>
    <row r="850">
      <c r="A850" s="389"/>
      <c r="B850" s="203"/>
      <c r="C850" s="390"/>
      <c r="D850" s="345"/>
      <c r="E850" s="203"/>
      <c r="F850" s="203"/>
      <c r="G850" s="203"/>
      <c r="H850" s="203"/>
    </row>
    <row r="851">
      <c r="A851" s="389"/>
      <c r="B851" s="203"/>
      <c r="C851" s="390"/>
      <c r="D851" s="345"/>
      <c r="E851" s="203"/>
      <c r="F851" s="203"/>
      <c r="G851" s="203"/>
      <c r="H851" s="203"/>
    </row>
    <row r="852">
      <c r="A852" s="389"/>
      <c r="B852" s="203"/>
      <c r="C852" s="390"/>
      <c r="D852" s="345"/>
      <c r="E852" s="203"/>
      <c r="F852" s="203"/>
      <c r="G852" s="203"/>
      <c r="H852" s="203"/>
    </row>
    <row r="853">
      <c r="A853" s="389"/>
      <c r="B853" s="203"/>
      <c r="C853" s="390"/>
      <c r="D853" s="345"/>
      <c r="E853" s="203"/>
      <c r="F853" s="203"/>
      <c r="G853" s="203"/>
      <c r="H853" s="203"/>
    </row>
    <row r="854">
      <c r="A854" s="389"/>
      <c r="B854" s="203"/>
      <c r="C854" s="390"/>
      <c r="D854" s="345"/>
      <c r="E854" s="203"/>
      <c r="F854" s="203"/>
      <c r="G854" s="203"/>
      <c r="H854" s="203"/>
    </row>
    <row r="855">
      <c r="A855" s="389"/>
      <c r="B855" s="203"/>
      <c r="C855" s="390"/>
      <c r="D855" s="345"/>
      <c r="E855" s="203"/>
      <c r="F855" s="203"/>
      <c r="G855" s="203"/>
      <c r="H855" s="203"/>
    </row>
    <row r="856">
      <c r="A856" s="389"/>
      <c r="B856" s="203"/>
      <c r="C856" s="390"/>
      <c r="D856" s="345"/>
      <c r="E856" s="203"/>
      <c r="F856" s="203"/>
      <c r="G856" s="203"/>
      <c r="H856" s="203"/>
    </row>
    <row r="857">
      <c r="A857" s="389"/>
      <c r="B857" s="203"/>
      <c r="C857" s="390"/>
      <c r="D857" s="345"/>
      <c r="E857" s="203"/>
      <c r="F857" s="203"/>
      <c r="G857" s="203"/>
      <c r="H857" s="203"/>
    </row>
    <row r="858">
      <c r="A858" s="389"/>
      <c r="B858" s="203"/>
      <c r="C858" s="390"/>
      <c r="D858" s="345"/>
      <c r="E858" s="203"/>
      <c r="F858" s="203"/>
      <c r="G858" s="203"/>
      <c r="H858" s="203"/>
    </row>
    <row r="859">
      <c r="A859" s="389"/>
      <c r="B859" s="203"/>
      <c r="C859" s="390"/>
      <c r="D859" s="345"/>
      <c r="E859" s="203"/>
      <c r="F859" s="203"/>
      <c r="G859" s="203"/>
      <c r="H859" s="203"/>
    </row>
    <row r="860">
      <c r="A860" s="389"/>
      <c r="B860" s="203"/>
      <c r="C860" s="390"/>
      <c r="D860" s="345"/>
      <c r="E860" s="203"/>
      <c r="F860" s="203"/>
      <c r="G860" s="203"/>
      <c r="H860" s="203"/>
    </row>
    <row r="861">
      <c r="A861" s="389"/>
      <c r="B861" s="203"/>
      <c r="C861" s="390"/>
      <c r="D861" s="345"/>
      <c r="E861" s="203"/>
      <c r="F861" s="203"/>
      <c r="G861" s="203"/>
      <c r="H861" s="203"/>
    </row>
    <row r="862">
      <c r="A862" s="389"/>
      <c r="B862" s="203"/>
      <c r="C862" s="390"/>
      <c r="D862" s="345"/>
      <c r="E862" s="203"/>
      <c r="F862" s="203"/>
      <c r="G862" s="203"/>
      <c r="H862" s="203"/>
    </row>
    <row r="863">
      <c r="A863" s="389"/>
      <c r="B863" s="203"/>
      <c r="C863" s="390"/>
      <c r="D863" s="345"/>
      <c r="E863" s="203"/>
      <c r="F863" s="203"/>
      <c r="G863" s="203"/>
      <c r="H863" s="203"/>
    </row>
    <row r="864">
      <c r="A864" s="389"/>
      <c r="B864" s="203"/>
      <c r="C864" s="390"/>
      <c r="D864" s="345"/>
      <c r="E864" s="203"/>
      <c r="F864" s="203"/>
      <c r="G864" s="203"/>
      <c r="H864" s="203"/>
    </row>
    <row r="865">
      <c r="A865" s="389"/>
      <c r="B865" s="203"/>
      <c r="C865" s="390"/>
      <c r="D865" s="345"/>
      <c r="E865" s="203"/>
      <c r="F865" s="203"/>
      <c r="G865" s="203"/>
      <c r="H865" s="203"/>
    </row>
    <row r="866">
      <c r="A866" s="389"/>
      <c r="B866" s="203"/>
      <c r="C866" s="390"/>
      <c r="D866" s="345"/>
      <c r="E866" s="203"/>
      <c r="F866" s="203"/>
      <c r="G866" s="203"/>
      <c r="H866" s="203"/>
    </row>
    <row r="867">
      <c r="A867" s="389"/>
      <c r="B867" s="203"/>
      <c r="C867" s="390"/>
      <c r="D867" s="345"/>
      <c r="E867" s="203"/>
      <c r="F867" s="203"/>
      <c r="G867" s="203"/>
      <c r="H867" s="203"/>
    </row>
    <row r="868">
      <c r="A868" s="389"/>
      <c r="B868" s="203"/>
      <c r="C868" s="390"/>
      <c r="D868" s="345"/>
      <c r="E868" s="203"/>
      <c r="F868" s="203"/>
      <c r="G868" s="203"/>
      <c r="H868" s="203"/>
    </row>
    <row r="869">
      <c r="A869" s="389"/>
      <c r="B869" s="203"/>
      <c r="C869" s="390"/>
      <c r="D869" s="345"/>
      <c r="E869" s="203"/>
      <c r="F869" s="203"/>
      <c r="G869" s="203"/>
      <c r="H869" s="203"/>
    </row>
    <row r="870">
      <c r="A870" s="389"/>
      <c r="B870" s="203"/>
      <c r="C870" s="390"/>
      <c r="D870" s="345"/>
      <c r="E870" s="203"/>
      <c r="F870" s="203"/>
      <c r="G870" s="203"/>
      <c r="H870" s="203"/>
    </row>
    <row r="871">
      <c r="A871" s="389"/>
      <c r="B871" s="203"/>
      <c r="C871" s="390"/>
      <c r="D871" s="345"/>
      <c r="E871" s="203"/>
      <c r="F871" s="203"/>
      <c r="G871" s="203"/>
      <c r="H871" s="203"/>
    </row>
    <row r="872">
      <c r="A872" s="389"/>
      <c r="B872" s="203"/>
      <c r="C872" s="390"/>
      <c r="D872" s="345"/>
      <c r="E872" s="203"/>
      <c r="F872" s="203"/>
      <c r="G872" s="203"/>
      <c r="H872" s="203"/>
    </row>
    <row r="873">
      <c r="A873" s="389"/>
      <c r="B873" s="203"/>
      <c r="C873" s="390"/>
      <c r="D873" s="345"/>
      <c r="E873" s="203"/>
      <c r="F873" s="203"/>
      <c r="G873" s="203"/>
      <c r="H873" s="203"/>
    </row>
    <row r="874">
      <c r="A874" s="389"/>
      <c r="B874" s="203"/>
      <c r="C874" s="390"/>
      <c r="D874" s="345"/>
      <c r="E874" s="203"/>
      <c r="F874" s="203"/>
      <c r="G874" s="203"/>
      <c r="H874" s="203"/>
    </row>
    <row r="875">
      <c r="A875" s="389"/>
      <c r="B875" s="203"/>
      <c r="C875" s="390"/>
      <c r="D875" s="345"/>
      <c r="E875" s="203"/>
      <c r="F875" s="203"/>
      <c r="G875" s="203"/>
      <c r="H875" s="203"/>
    </row>
    <row r="876">
      <c r="A876" s="389"/>
      <c r="B876" s="203"/>
      <c r="C876" s="390"/>
      <c r="D876" s="345"/>
      <c r="E876" s="203"/>
      <c r="F876" s="203"/>
      <c r="G876" s="203"/>
      <c r="H876" s="203"/>
    </row>
    <row r="877">
      <c r="A877" s="389"/>
      <c r="B877" s="203"/>
      <c r="C877" s="390"/>
      <c r="D877" s="345"/>
      <c r="E877" s="203"/>
      <c r="F877" s="203"/>
      <c r="G877" s="203"/>
      <c r="H877" s="203"/>
    </row>
    <row r="878">
      <c r="A878" s="389"/>
      <c r="B878" s="203"/>
      <c r="C878" s="390"/>
      <c r="D878" s="345"/>
      <c r="E878" s="203"/>
      <c r="F878" s="203"/>
      <c r="G878" s="203"/>
      <c r="H878" s="203"/>
    </row>
    <row r="879">
      <c r="A879" s="389"/>
      <c r="B879" s="203"/>
      <c r="C879" s="390"/>
      <c r="D879" s="345"/>
      <c r="E879" s="203"/>
      <c r="F879" s="203"/>
      <c r="G879" s="203"/>
      <c r="H879" s="203"/>
    </row>
    <row r="880">
      <c r="A880" s="389"/>
      <c r="B880" s="203"/>
      <c r="C880" s="390"/>
      <c r="D880" s="345"/>
      <c r="E880" s="203"/>
      <c r="F880" s="203"/>
      <c r="G880" s="203"/>
      <c r="H880" s="203"/>
    </row>
    <row r="881">
      <c r="A881" s="389"/>
      <c r="B881" s="203"/>
      <c r="C881" s="390"/>
      <c r="D881" s="345"/>
      <c r="E881" s="203"/>
      <c r="F881" s="203"/>
      <c r="G881" s="203"/>
      <c r="H881" s="203"/>
    </row>
    <row r="882">
      <c r="A882" s="389"/>
      <c r="B882" s="203"/>
      <c r="C882" s="390"/>
      <c r="D882" s="345"/>
      <c r="E882" s="203"/>
      <c r="F882" s="203"/>
      <c r="G882" s="203"/>
      <c r="H882" s="203"/>
    </row>
    <row r="883">
      <c r="A883" s="389"/>
      <c r="B883" s="203"/>
      <c r="C883" s="390"/>
      <c r="D883" s="345"/>
      <c r="E883" s="203"/>
      <c r="F883" s="203"/>
      <c r="G883" s="203"/>
      <c r="H883" s="203"/>
    </row>
    <row r="884">
      <c r="A884" s="389"/>
      <c r="B884" s="203"/>
      <c r="C884" s="390"/>
      <c r="D884" s="345"/>
      <c r="E884" s="203"/>
      <c r="F884" s="203"/>
      <c r="G884" s="203"/>
      <c r="H884" s="203"/>
    </row>
    <row r="885">
      <c r="A885" s="389"/>
      <c r="B885" s="203"/>
      <c r="C885" s="390"/>
      <c r="D885" s="345"/>
      <c r="E885" s="203"/>
      <c r="F885" s="203"/>
      <c r="G885" s="203"/>
      <c r="H885" s="203"/>
    </row>
    <row r="886">
      <c r="A886" s="389"/>
      <c r="B886" s="203"/>
      <c r="C886" s="390"/>
      <c r="D886" s="345"/>
      <c r="E886" s="203"/>
      <c r="F886" s="203"/>
      <c r="G886" s="203"/>
      <c r="H886" s="203"/>
    </row>
    <row r="887">
      <c r="A887" s="389"/>
      <c r="B887" s="203"/>
      <c r="C887" s="390"/>
      <c r="D887" s="345"/>
      <c r="E887" s="203"/>
      <c r="F887" s="203"/>
      <c r="G887" s="203"/>
      <c r="H887" s="203"/>
    </row>
    <row r="888">
      <c r="A888" s="389"/>
      <c r="B888" s="203"/>
      <c r="C888" s="390"/>
      <c r="D888" s="345"/>
      <c r="E888" s="203"/>
      <c r="F888" s="203"/>
      <c r="G888" s="203"/>
      <c r="H888" s="203"/>
    </row>
    <row r="889">
      <c r="A889" s="389"/>
      <c r="B889" s="203"/>
      <c r="C889" s="390"/>
      <c r="D889" s="345"/>
      <c r="E889" s="203"/>
      <c r="F889" s="203"/>
      <c r="G889" s="203"/>
      <c r="H889" s="203"/>
    </row>
    <row r="890">
      <c r="A890" s="389"/>
      <c r="B890" s="203"/>
      <c r="C890" s="390"/>
      <c r="D890" s="345"/>
      <c r="E890" s="203"/>
      <c r="F890" s="203"/>
      <c r="G890" s="203"/>
      <c r="H890" s="203"/>
    </row>
    <row r="891">
      <c r="A891" s="389"/>
      <c r="B891" s="203"/>
      <c r="C891" s="390"/>
      <c r="D891" s="345"/>
      <c r="E891" s="203"/>
      <c r="F891" s="203"/>
      <c r="G891" s="203"/>
      <c r="H891" s="203"/>
    </row>
    <row r="892">
      <c r="A892" s="389"/>
      <c r="B892" s="203"/>
      <c r="C892" s="390"/>
      <c r="D892" s="345"/>
      <c r="E892" s="203"/>
      <c r="F892" s="203"/>
      <c r="G892" s="203"/>
      <c r="H892" s="203"/>
    </row>
    <row r="893">
      <c r="A893" s="389"/>
      <c r="B893" s="203"/>
      <c r="C893" s="390"/>
      <c r="D893" s="345"/>
      <c r="E893" s="203"/>
      <c r="F893" s="203"/>
      <c r="G893" s="203"/>
      <c r="H893" s="203"/>
    </row>
    <row r="894">
      <c r="A894" s="389"/>
      <c r="B894" s="203"/>
      <c r="C894" s="390"/>
      <c r="D894" s="345"/>
      <c r="E894" s="203"/>
      <c r="F894" s="203"/>
      <c r="G894" s="203"/>
      <c r="H894" s="203"/>
    </row>
    <row r="895">
      <c r="A895" s="389"/>
      <c r="B895" s="203"/>
      <c r="C895" s="390"/>
      <c r="D895" s="345"/>
      <c r="E895" s="203"/>
      <c r="F895" s="203"/>
      <c r="G895" s="203"/>
      <c r="H895" s="203"/>
    </row>
    <row r="896">
      <c r="A896" s="389"/>
      <c r="B896" s="203"/>
      <c r="C896" s="390"/>
      <c r="D896" s="345"/>
      <c r="E896" s="203"/>
      <c r="F896" s="203"/>
      <c r="G896" s="203"/>
      <c r="H896" s="203"/>
    </row>
    <row r="897">
      <c r="A897" s="389"/>
      <c r="B897" s="203"/>
      <c r="C897" s="390"/>
      <c r="D897" s="345"/>
      <c r="E897" s="203"/>
      <c r="F897" s="203"/>
      <c r="G897" s="203"/>
      <c r="H897" s="203"/>
    </row>
    <row r="898">
      <c r="A898" s="389"/>
      <c r="B898" s="203"/>
      <c r="C898" s="390"/>
      <c r="D898" s="345"/>
      <c r="E898" s="203"/>
      <c r="F898" s="203"/>
      <c r="G898" s="203"/>
      <c r="H898" s="203"/>
    </row>
    <row r="899">
      <c r="A899" s="389"/>
      <c r="B899" s="203"/>
      <c r="C899" s="390"/>
      <c r="D899" s="345"/>
      <c r="E899" s="203"/>
      <c r="F899" s="203"/>
      <c r="G899" s="203"/>
      <c r="H899" s="203"/>
    </row>
    <row r="900">
      <c r="A900" s="389"/>
      <c r="B900" s="203"/>
      <c r="C900" s="390"/>
      <c r="D900" s="345"/>
      <c r="E900" s="203"/>
      <c r="F900" s="203"/>
      <c r="G900" s="203"/>
      <c r="H900" s="203"/>
    </row>
    <row r="901">
      <c r="A901" s="389"/>
      <c r="B901" s="203"/>
      <c r="C901" s="390"/>
      <c r="D901" s="345"/>
      <c r="E901" s="203"/>
      <c r="F901" s="203"/>
      <c r="G901" s="203"/>
      <c r="H901" s="203"/>
    </row>
    <row r="902">
      <c r="A902" s="389"/>
      <c r="B902" s="203"/>
      <c r="C902" s="390"/>
      <c r="D902" s="345"/>
      <c r="E902" s="203"/>
      <c r="F902" s="203"/>
      <c r="G902" s="203"/>
      <c r="H902" s="203"/>
    </row>
    <row r="903">
      <c r="A903" s="389"/>
      <c r="B903" s="203"/>
      <c r="C903" s="390"/>
      <c r="D903" s="345"/>
      <c r="E903" s="203"/>
      <c r="F903" s="203"/>
      <c r="G903" s="203"/>
      <c r="H903" s="203"/>
    </row>
    <row r="904">
      <c r="A904" s="389"/>
      <c r="B904" s="203"/>
      <c r="C904" s="390"/>
      <c r="D904" s="345"/>
      <c r="E904" s="203"/>
      <c r="F904" s="203"/>
      <c r="G904" s="203"/>
      <c r="H904" s="203"/>
    </row>
    <row r="905">
      <c r="A905" s="389"/>
      <c r="B905" s="203"/>
      <c r="C905" s="390"/>
      <c r="D905" s="345"/>
      <c r="E905" s="203"/>
      <c r="F905" s="203"/>
      <c r="G905" s="203"/>
      <c r="H905" s="203"/>
    </row>
    <row r="906">
      <c r="A906" s="389"/>
      <c r="B906" s="203"/>
      <c r="C906" s="390"/>
      <c r="D906" s="345"/>
      <c r="E906" s="203"/>
      <c r="F906" s="203"/>
      <c r="G906" s="203"/>
      <c r="H906" s="203"/>
    </row>
    <row r="907">
      <c r="A907" s="389"/>
      <c r="B907" s="203"/>
      <c r="C907" s="390"/>
      <c r="D907" s="345"/>
      <c r="E907" s="203"/>
      <c r="F907" s="203"/>
      <c r="G907" s="203"/>
      <c r="H907" s="203"/>
    </row>
    <row r="908">
      <c r="A908" s="389"/>
      <c r="B908" s="203"/>
      <c r="C908" s="390"/>
      <c r="D908" s="345"/>
      <c r="E908" s="203"/>
      <c r="F908" s="203"/>
      <c r="G908" s="203"/>
      <c r="H908" s="203"/>
    </row>
    <row r="909">
      <c r="A909" s="389"/>
      <c r="B909" s="203"/>
      <c r="C909" s="390"/>
      <c r="D909" s="345"/>
      <c r="E909" s="203"/>
      <c r="F909" s="203"/>
      <c r="G909" s="203"/>
      <c r="H909" s="203"/>
    </row>
    <row r="910">
      <c r="A910" s="389"/>
      <c r="B910" s="203"/>
      <c r="C910" s="390"/>
      <c r="D910" s="345"/>
      <c r="E910" s="203"/>
      <c r="F910" s="203"/>
      <c r="G910" s="203"/>
      <c r="H910" s="203"/>
    </row>
    <row r="911">
      <c r="A911" s="389"/>
      <c r="B911" s="203"/>
      <c r="C911" s="390"/>
      <c r="D911" s="345"/>
      <c r="E911" s="203"/>
      <c r="F911" s="203"/>
      <c r="G911" s="203"/>
      <c r="H911" s="203"/>
    </row>
    <row r="912">
      <c r="A912" s="389"/>
      <c r="B912" s="203"/>
      <c r="C912" s="390"/>
      <c r="D912" s="345"/>
      <c r="E912" s="203"/>
      <c r="F912" s="203"/>
      <c r="G912" s="203"/>
      <c r="H912" s="203"/>
    </row>
    <row r="913">
      <c r="A913" s="389"/>
      <c r="B913" s="203"/>
      <c r="C913" s="390"/>
      <c r="D913" s="345"/>
      <c r="E913" s="203"/>
      <c r="F913" s="203"/>
      <c r="G913" s="203"/>
      <c r="H913" s="203"/>
    </row>
    <row r="914">
      <c r="A914" s="389"/>
      <c r="B914" s="203"/>
      <c r="C914" s="390"/>
      <c r="D914" s="345"/>
      <c r="E914" s="203"/>
      <c r="F914" s="203"/>
      <c r="G914" s="203"/>
      <c r="H914" s="203"/>
    </row>
    <row r="915">
      <c r="A915" s="389"/>
      <c r="B915" s="203"/>
      <c r="C915" s="390"/>
      <c r="D915" s="345"/>
      <c r="E915" s="203"/>
      <c r="F915" s="203"/>
      <c r="G915" s="203"/>
      <c r="H915" s="203"/>
    </row>
    <row r="916">
      <c r="A916" s="389"/>
      <c r="B916" s="203"/>
      <c r="C916" s="390"/>
      <c r="D916" s="345"/>
      <c r="E916" s="203"/>
      <c r="F916" s="203"/>
      <c r="G916" s="203"/>
      <c r="H916" s="203"/>
    </row>
    <row r="917">
      <c r="A917" s="389"/>
      <c r="B917" s="203"/>
      <c r="C917" s="390"/>
      <c r="D917" s="345"/>
      <c r="E917" s="203"/>
      <c r="F917" s="203"/>
      <c r="G917" s="203"/>
      <c r="H917" s="203"/>
    </row>
    <row r="918">
      <c r="A918" s="389"/>
      <c r="B918" s="203"/>
      <c r="C918" s="390"/>
      <c r="D918" s="345"/>
      <c r="E918" s="203"/>
      <c r="F918" s="203"/>
      <c r="G918" s="203"/>
      <c r="H918" s="203"/>
    </row>
    <row r="919">
      <c r="A919" s="389"/>
      <c r="B919" s="203"/>
      <c r="C919" s="390"/>
      <c r="D919" s="345"/>
      <c r="E919" s="203"/>
      <c r="F919" s="203"/>
      <c r="G919" s="203"/>
      <c r="H919" s="203"/>
    </row>
    <row r="920">
      <c r="A920" s="389"/>
      <c r="B920" s="203"/>
      <c r="C920" s="390"/>
      <c r="D920" s="345"/>
      <c r="E920" s="203"/>
      <c r="F920" s="203"/>
      <c r="G920" s="203"/>
      <c r="H920" s="203"/>
    </row>
    <row r="921">
      <c r="A921" s="389"/>
      <c r="B921" s="203"/>
      <c r="C921" s="390"/>
      <c r="D921" s="345"/>
      <c r="E921" s="203"/>
      <c r="F921" s="203"/>
      <c r="G921" s="203"/>
      <c r="H921" s="203"/>
    </row>
    <row r="922">
      <c r="A922" s="389"/>
      <c r="B922" s="203"/>
      <c r="C922" s="390"/>
      <c r="D922" s="345"/>
      <c r="E922" s="203"/>
      <c r="F922" s="203"/>
      <c r="G922" s="203"/>
      <c r="H922" s="203"/>
    </row>
    <row r="923">
      <c r="A923" s="389"/>
      <c r="B923" s="203"/>
      <c r="C923" s="390"/>
      <c r="D923" s="345"/>
      <c r="E923" s="203"/>
      <c r="F923" s="203"/>
      <c r="G923" s="203"/>
      <c r="H923" s="203"/>
    </row>
    <row r="924">
      <c r="A924" s="389"/>
      <c r="B924" s="203"/>
      <c r="C924" s="390"/>
      <c r="D924" s="345"/>
      <c r="E924" s="203"/>
      <c r="F924" s="203"/>
      <c r="G924" s="203"/>
      <c r="H924" s="203"/>
    </row>
    <row r="925">
      <c r="A925" s="389"/>
      <c r="B925" s="203"/>
      <c r="C925" s="390"/>
      <c r="D925" s="345"/>
      <c r="E925" s="203"/>
      <c r="F925" s="203"/>
      <c r="G925" s="203"/>
      <c r="H925" s="203"/>
    </row>
    <row r="926">
      <c r="A926" s="389"/>
      <c r="B926" s="203"/>
      <c r="C926" s="390"/>
      <c r="D926" s="345"/>
      <c r="E926" s="203"/>
      <c r="F926" s="203"/>
      <c r="G926" s="203"/>
      <c r="H926" s="203"/>
    </row>
    <row r="927">
      <c r="A927" s="389"/>
      <c r="B927" s="203"/>
      <c r="C927" s="390"/>
      <c r="D927" s="345"/>
      <c r="E927" s="203"/>
      <c r="F927" s="203"/>
      <c r="G927" s="203"/>
      <c r="H927" s="203"/>
    </row>
    <row r="928">
      <c r="A928" s="389"/>
      <c r="B928" s="203"/>
      <c r="C928" s="390"/>
      <c r="D928" s="345"/>
      <c r="E928" s="203"/>
      <c r="F928" s="203"/>
      <c r="G928" s="203"/>
      <c r="H928" s="203"/>
    </row>
    <row r="929">
      <c r="A929" s="389"/>
      <c r="B929" s="203"/>
      <c r="C929" s="390"/>
      <c r="D929" s="345"/>
      <c r="E929" s="203"/>
      <c r="F929" s="203"/>
      <c r="G929" s="203"/>
      <c r="H929" s="203"/>
    </row>
    <row r="930">
      <c r="A930" s="389"/>
      <c r="B930" s="203"/>
      <c r="C930" s="390"/>
      <c r="D930" s="345"/>
      <c r="E930" s="203"/>
      <c r="F930" s="203"/>
      <c r="G930" s="203"/>
      <c r="H930" s="203"/>
    </row>
    <row r="931">
      <c r="A931" s="389"/>
      <c r="B931" s="203"/>
      <c r="C931" s="390"/>
      <c r="D931" s="345"/>
      <c r="E931" s="203"/>
      <c r="F931" s="203"/>
      <c r="G931" s="203"/>
      <c r="H931" s="203"/>
    </row>
    <row r="932">
      <c r="A932" s="389"/>
      <c r="B932" s="203"/>
      <c r="C932" s="390"/>
      <c r="D932" s="345"/>
      <c r="E932" s="203"/>
      <c r="F932" s="203"/>
      <c r="G932" s="203"/>
      <c r="H932" s="203"/>
    </row>
    <row r="933">
      <c r="A933" s="389"/>
      <c r="B933" s="203"/>
      <c r="C933" s="390"/>
      <c r="D933" s="345"/>
      <c r="E933" s="203"/>
      <c r="F933" s="203"/>
      <c r="G933" s="203"/>
      <c r="H933" s="203"/>
    </row>
    <row r="934">
      <c r="A934" s="389"/>
      <c r="B934" s="203"/>
      <c r="C934" s="390"/>
      <c r="D934" s="345"/>
      <c r="E934" s="203"/>
      <c r="F934" s="203"/>
      <c r="G934" s="203"/>
      <c r="H934" s="203"/>
    </row>
    <row r="935">
      <c r="A935" s="389"/>
      <c r="B935" s="203"/>
      <c r="C935" s="390"/>
      <c r="D935" s="345"/>
      <c r="E935" s="203"/>
      <c r="F935" s="203"/>
      <c r="G935" s="203"/>
      <c r="H935" s="203"/>
    </row>
    <row r="936">
      <c r="A936" s="389"/>
      <c r="B936" s="203"/>
      <c r="C936" s="390"/>
      <c r="D936" s="345"/>
      <c r="E936" s="203"/>
      <c r="F936" s="203"/>
      <c r="G936" s="203"/>
      <c r="H936" s="203"/>
    </row>
    <row r="937">
      <c r="A937" s="389"/>
      <c r="B937" s="203"/>
      <c r="C937" s="390"/>
      <c r="D937" s="345"/>
      <c r="E937" s="203"/>
      <c r="F937" s="203"/>
      <c r="G937" s="203"/>
      <c r="H937" s="203"/>
    </row>
    <row r="938">
      <c r="A938" s="389"/>
      <c r="B938" s="203"/>
      <c r="C938" s="390"/>
      <c r="D938" s="345"/>
      <c r="E938" s="203"/>
      <c r="F938" s="203"/>
      <c r="G938" s="203"/>
      <c r="H938" s="203"/>
    </row>
    <row r="939">
      <c r="A939" s="389"/>
      <c r="B939" s="203"/>
      <c r="C939" s="390"/>
      <c r="D939" s="345"/>
      <c r="E939" s="203"/>
      <c r="F939" s="203"/>
      <c r="G939" s="203"/>
      <c r="H939" s="203"/>
    </row>
    <row r="940">
      <c r="A940" s="389"/>
      <c r="B940" s="203"/>
      <c r="C940" s="390"/>
      <c r="D940" s="345"/>
      <c r="E940" s="203"/>
      <c r="F940" s="203"/>
      <c r="G940" s="203"/>
      <c r="H940" s="203"/>
    </row>
    <row r="941">
      <c r="A941" s="389"/>
      <c r="B941" s="203"/>
      <c r="C941" s="390"/>
      <c r="D941" s="345"/>
      <c r="E941" s="203"/>
      <c r="F941" s="203"/>
      <c r="G941" s="203"/>
      <c r="H941" s="203"/>
    </row>
    <row r="942">
      <c r="A942" s="389"/>
      <c r="B942" s="203"/>
      <c r="C942" s="390"/>
      <c r="D942" s="345"/>
      <c r="E942" s="203"/>
      <c r="F942" s="203"/>
      <c r="G942" s="203"/>
      <c r="H942" s="203"/>
    </row>
    <row r="943">
      <c r="A943" s="389"/>
      <c r="B943" s="203"/>
      <c r="C943" s="390"/>
      <c r="D943" s="345"/>
      <c r="E943" s="203"/>
      <c r="F943" s="203"/>
      <c r="G943" s="203"/>
      <c r="H943" s="203"/>
    </row>
    <row r="944">
      <c r="A944" s="389"/>
      <c r="B944" s="203"/>
      <c r="C944" s="390"/>
      <c r="D944" s="345"/>
      <c r="E944" s="203"/>
      <c r="F944" s="203"/>
      <c r="G944" s="203"/>
      <c r="H944" s="203"/>
    </row>
    <row r="945">
      <c r="A945" s="389"/>
      <c r="B945" s="203"/>
      <c r="C945" s="390"/>
      <c r="D945" s="345"/>
      <c r="E945" s="203"/>
      <c r="F945" s="203"/>
      <c r="G945" s="203"/>
      <c r="H945" s="203"/>
    </row>
    <row r="946">
      <c r="A946" s="389"/>
      <c r="B946" s="203"/>
      <c r="C946" s="390"/>
      <c r="D946" s="345"/>
      <c r="E946" s="203"/>
      <c r="F946" s="203"/>
      <c r="G946" s="203"/>
      <c r="H946" s="203"/>
    </row>
    <row r="947">
      <c r="A947" s="389"/>
      <c r="B947" s="203"/>
      <c r="C947" s="390"/>
      <c r="D947" s="345"/>
      <c r="E947" s="203"/>
      <c r="F947" s="203"/>
      <c r="G947" s="203"/>
      <c r="H947" s="203"/>
    </row>
    <row r="948">
      <c r="A948" s="389"/>
      <c r="B948" s="203"/>
      <c r="C948" s="390"/>
      <c r="D948" s="345"/>
      <c r="E948" s="203"/>
      <c r="F948" s="203"/>
      <c r="G948" s="203"/>
      <c r="H948" s="203"/>
    </row>
    <row r="949">
      <c r="A949" s="389"/>
      <c r="B949" s="203"/>
      <c r="C949" s="390"/>
      <c r="D949" s="345"/>
      <c r="E949" s="203"/>
      <c r="F949" s="203"/>
      <c r="G949" s="203"/>
      <c r="H949" s="203"/>
    </row>
    <row r="950">
      <c r="A950" s="389"/>
      <c r="B950" s="203"/>
      <c r="C950" s="390"/>
      <c r="D950" s="345"/>
      <c r="E950" s="203"/>
      <c r="F950" s="203"/>
      <c r="G950" s="203"/>
      <c r="H950" s="203"/>
    </row>
    <row r="951">
      <c r="A951" s="389"/>
      <c r="B951" s="203"/>
      <c r="C951" s="390"/>
      <c r="D951" s="345"/>
      <c r="E951" s="203"/>
      <c r="F951" s="203"/>
      <c r="G951" s="203"/>
      <c r="H951" s="203"/>
    </row>
    <row r="952">
      <c r="A952" s="389"/>
      <c r="B952" s="203"/>
      <c r="C952" s="390"/>
      <c r="D952" s="345"/>
      <c r="E952" s="203"/>
      <c r="F952" s="203"/>
      <c r="G952" s="203"/>
      <c r="H952" s="203"/>
    </row>
    <row r="953">
      <c r="A953" s="389"/>
      <c r="B953" s="203"/>
      <c r="C953" s="390"/>
      <c r="D953" s="345"/>
      <c r="E953" s="203"/>
      <c r="F953" s="203"/>
      <c r="G953" s="203"/>
      <c r="H953" s="203"/>
    </row>
    <row r="954">
      <c r="A954" s="389"/>
      <c r="B954" s="203"/>
      <c r="C954" s="390"/>
      <c r="D954" s="345"/>
      <c r="E954" s="203"/>
      <c r="F954" s="203"/>
      <c r="G954" s="203"/>
      <c r="H954" s="203"/>
    </row>
    <row r="955">
      <c r="A955" s="389"/>
      <c r="B955" s="203"/>
      <c r="C955" s="390"/>
      <c r="D955" s="345"/>
      <c r="E955" s="203"/>
      <c r="F955" s="203"/>
      <c r="G955" s="203"/>
      <c r="H955" s="203"/>
    </row>
    <row r="956">
      <c r="A956" s="389"/>
      <c r="B956" s="203"/>
      <c r="C956" s="390"/>
      <c r="D956" s="345"/>
      <c r="E956" s="203"/>
      <c r="F956" s="203"/>
      <c r="G956" s="203"/>
      <c r="H956" s="203"/>
    </row>
    <row r="957">
      <c r="A957" s="389"/>
      <c r="B957" s="203"/>
      <c r="C957" s="390"/>
      <c r="D957" s="345"/>
      <c r="E957" s="203"/>
      <c r="F957" s="203"/>
      <c r="G957" s="203"/>
      <c r="H957" s="203"/>
    </row>
    <row r="958">
      <c r="A958" s="389"/>
      <c r="B958" s="203"/>
      <c r="C958" s="390"/>
      <c r="D958" s="345"/>
      <c r="E958" s="203"/>
      <c r="F958" s="203"/>
      <c r="G958" s="203"/>
      <c r="H958" s="203"/>
    </row>
    <row r="959">
      <c r="A959" s="389"/>
      <c r="B959" s="203"/>
      <c r="C959" s="390"/>
      <c r="D959" s="345"/>
      <c r="E959" s="203"/>
      <c r="F959" s="203"/>
      <c r="G959" s="203"/>
      <c r="H959" s="203"/>
    </row>
    <row r="960">
      <c r="A960" s="389"/>
      <c r="B960" s="203"/>
      <c r="C960" s="390"/>
      <c r="D960" s="345"/>
      <c r="E960" s="203"/>
      <c r="F960" s="203"/>
      <c r="G960" s="203"/>
      <c r="H960" s="203"/>
    </row>
    <row r="961">
      <c r="A961" s="389"/>
      <c r="B961" s="203"/>
      <c r="C961" s="390"/>
      <c r="D961" s="345"/>
      <c r="E961" s="203"/>
      <c r="F961" s="203"/>
      <c r="G961" s="203"/>
      <c r="H961" s="203"/>
    </row>
    <row r="962">
      <c r="A962" s="389"/>
      <c r="B962" s="203"/>
      <c r="C962" s="390"/>
      <c r="D962" s="345"/>
      <c r="E962" s="203"/>
      <c r="F962" s="203"/>
      <c r="G962" s="203"/>
      <c r="H962" s="203"/>
    </row>
    <row r="963">
      <c r="A963" s="389"/>
      <c r="B963" s="203"/>
      <c r="C963" s="390"/>
      <c r="D963" s="345"/>
      <c r="E963" s="203"/>
      <c r="F963" s="203"/>
      <c r="G963" s="203"/>
      <c r="H963" s="203"/>
    </row>
    <row r="964">
      <c r="A964" s="389"/>
      <c r="B964" s="203"/>
      <c r="C964" s="390"/>
      <c r="D964" s="345"/>
      <c r="E964" s="203"/>
      <c r="F964" s="203"/>
      <c r="G964" s="203"/>
      <c r="H964" s="203"/>
    </row>
    <row r="965">
      <c r="A965" s="389"/>
      <c r="B965" s="203"/>
      <c r="C965" s="390"/>
      <c r="D965" s="345"/>
      <c r="E965" s="203"/>
      <c r="F965" s="203"/>
      <c r="G965" s="203"/>
      <c r="H965" s="203"/>
    </row>
    <row r="966">
      <c r="A966" s="389"/>
      <c r="B966" s="203"/>
      <c r="C966" s="390"/>
      <c r="D966" s="345"/>
      <c r="E966" s="203"/>
      <c r="F966" s="203"/>
      <c r="G966" s="203"/>
      <c r="H966" s="203"/>
    </row>
    <row r="967">
      <c r="A967" s="389"/>
      <c r="B967" s="203"/>
      <c r="C967" s="390"/>
      <c r="D967" s="345"/>
      <c r="E967" s="203"/>
      <c r="F967" s="203"/>
      <c r="G967" s="203"/>
      <c r="H967" s="203"/>
    </row>
    <row r="968">
      <c r="A968" s="389"/>
      <c r="B968" s="203"/>
      <c r="C968" s="390"/>
      <c r="D968" s="345"/>
      <c r="E968" s="203"/>
      <c r="F968" s="203"/>
      <c r="G968" s="203"/>
      <c r="H968" s="203"/>
    </row>
    <row r="969">
      <c r="A969" s="389"/>
      <c r="B969" s="203"/>
      <c r="C969" s="390"/>
      <c r="D969" s="345"/>
      <c r="E969" s="203"/>
      <c r="F969" s="203"/>
      <c r="G969" s="203"/>
      <c r="H969" s="203"/>
    </row>
    <row r="970">
      <c r="A970" s="389"/>
      <c r="B970" s="203"/>
      <c r="C970" s="390"/>
      <c r="D970" s="345"/>
      <c r="E970" s="203"/>
      <c r="F970" s="203"/>
      <c r="G970" s="203"/>
      <c r="H970" s="203"/>
    </row>
    <row r="971">
      <c r="A971" s="389"/>
      <c r="B971" s="203"/>
      <c r="C971" s="390"/>
      <c r="D971" s="345"/>
      <c r="E971" s="203"/>
      <c r="F971" s="203"/>
      <c r="G971" s="203"/>
      <c r="H971" s="203"/>
    </row>
    <row r="972">
      <c r="A972" s="389"/>
      <c r="B972" s="203"/>
      <c r="C972" s="390"/>
      <c r="D972" s="345"/>
      <c r="E972" s="203"/>
      <c r="F972" s="203"/>
      <c r="G972" s="203"/>
      <c r="H972" s="203"/>
    </row>
    <row r="973">
      <c r="A973" s="389"/>
      <c r="B973" s="203"/>
      <c r="C973" s="390"/>
      <c r="D973" s="345"/>
      <c r="E973" s="203"/>
      <c r="F973" s="203"/>
      <c r="G973" s="203"/>
      <c r="H973" s="203"/>
    </row>
    <row r="974">
      <c r="A974" s="389"/>
      <c r="B974" s="203"/>
      <c r="C974" s="390"/>
      <c r="D974" s="345"/>
      <c r="E974" s="203"/>
      <c r="F974" s="203"/>
      <c r="G974" s="203"/>
      <c r="H974" s="203"/>
    </row>
    <row r="975">
      <c r="A975" s="389"/>
      <c r="B975" s="203"/>
      <c r="C975" s="390"/>
      <c r="D975" s="345"/>
      <c r="E975" s="203"/>
      <c r="F975" s="203"/>
      <c r="G975" s="203"/>
      <c r="H975" s="203"/>
    </row>
    <row r="976">
      <c r="A976" s="389"/>
      <c r="B976" s="203"/>
      <c r="C976" s="390"/>
      <c r="D976" s="345"/>
      <c r="E976" s="203"/>
      <c r="F976" s="203"/>
      <c r="G976" s="203"/>
      <c r="H976" s="203"/>
    </row>
    <row r="977">
      <c r="A977" s="389"/>
      <c r="B977" s="203"/>
      <c r="C977" s="390"/>
      <c r="D977" s="345"/>
      <c r="E977" s="203"/>
      <c r="F977" s="203"/>
      <c r="G977" s="203"/>
      <c r="H977" s="203"/>
    </row>
    <row r="978">
      <c r="A978" s="389"/>
      <c r="B978" s="203"/>
      <c r="C978" s="390"/>
      <c r="D978" s="345"/>
      <c r="E978" s="203"/>
      <c r="F978" s="203"/>
      <c r="G978" s="203"/>
      <c r="H978" s="203"/>
    </row>
    <row r="979">
      <c r="A979" s="389"/>
      <c r="B979" s="203"/>
      <c r="C979" s="390"/>
      <c r="D979" s="345"/>
      <c r="E979" s="203"/>
      <c r="F979" s="203"/>
      <c r="G979" s="203"/>
      <c r="H979" s="203"/>
    </row>
    <row r="980">
      <c r="A980" s="389"/>
      <c r="B980" s="203"/>
      <c r="C980" s="390"/>
      <c r="D980" s="345"/>
      <c r="E980" s="203"/>
      <c r="F980" s="203"/>
      <c r="G980" s="203"/>
      <c r="H980" s="203"/>
    </row>
    <row r="981">
      <c r="A981" s="389"/>
      <c r="B981" s="203"/>
      <c r="C981" s="390"/>
      <c r="D981" s="345"/>
      <c r="E981" s="203"/>
      <c r="F981" s="203"/>
      <c r="G981" s="203"/>
      <c r="H981" s="203"/>
    </row>
    <row r="982">
      <c r="A982" s="389"/>
      <c r="B982" s="203"/>
      <c r="C982" s="390"/>
      <c r="D982" s="345"/>
      <c r="E982" s="203"/>
      <c r="F982" s="203"/>
      <c r="G982" s="203"/>
      <c r="H982" s="203"/>
    </row>
    <row r="983">
      <c r="A983" s="389"/>
      <c r="B983" s="203"/>
      <c r="C983" s="390"/>
      <c r="D983" s="345"/>
      <c r="E983" s="203"/>
      <c r="F983" s="203"/>
      <c r="G983" s="203"/>
      <c r="H983" s="203"/>
    </row>
    <row r="984">
      <c r="A984" s="389"/>
      <c r="B984" s="203"/>
      <c r="C984" s="390"/>
      <c r="D984" s="345"/>
      <c r="E984" s="203"/>
      <c r="F984" s="203"/>
      <c r="G984" s="203"/>
      <c r="H984" s="203"/>
    </row>
    <row r="985">
      <c r="A985" s="389"/>
      <c r="B985" s="203"/>
      <c r="C985" s="390"/>
      <c r="D985" s="345"/>
      <c r="E985" s="203"/>
      <c r="F985" s="203"/>
      <c r="G985" s="203"/>
      <c r="H985" s="203"/>
    </row>
    <row r="986">
      <c r="A986" s="389"/>
      <c r="B986" s="203"/>
      <c r="C986" s="390"/>
      <c r="D986" s="345"/>
      <c r="E986" s="203"/>
      <c r="F986" s="203"/>
      <c r="G986" s="203"/>
      <c r="H986" s="203"/>
    </row>
    <row r="987">
      <c r="A987" s="389"/>
      <c r="B987" s="203"/>
      <c r="C987" s="390"/>
      <c r="D987" s="345"/>
      <c r="E987" s="203"/>
      <c r="F987" s="203"/>
      <c r="G987" s="203"/>
      <c r="H987" s="203"/>
    </row>
    <row r="988">
      <c r="A988" s="389"/>
      <c r="B988" s="203"/>
      <c r="C988" s="390"/>
      <c r="D988" s="345"/>
      <c r="E988" s="203"/>
      <c r="F988" s="203"/>
      <c r="G988" s="203"/>
      <c r="H988" s="203"/>
    </row>
    <row r="989">
      <c r="A989" s="389"/>
      <c r="B989" s="203"/>
      <c r="C989" s="390"/>
      <c r="D989" s="345"/>
      <c r="E989" s="203"/>
      <c r="F989" s="203"/>
      <c r="G989" s="203"/>
      <c r="H989" s="203"/>
    </row>
    <row r="990">
      <c r="A990" s="389"/>
      <c r="B990" s="203"/>
      <c r="C990" s="390"/>
      <c r="D990" s="345"/>
      <c r="E990" s="203"/>
      <c r="F990" s="203"/>
      <c r="G990" s="203"/>
      <c r="H990" s="203"/>
    </row>
    <row r="991">
      <c r="A991" s="389"/>
      <c r="B991" s="203"/>
      <c r="C991" s="390"/>
      <c r="D991" s="345"/>
      <c r="E991" s="203"/>
      <c r="F991" s="203"/>
      <c r="G991" s="203"/>
      <c r="H991" s="203"/>
    </row>
    <row r="992">
      <c r="A992" s="389"/>
      <c r="B992" s="203"/>
      <c r="C992" s="390"/>
      <c r="D992" s="345"/>
      <c r="E992" s="203"/>
      <c r="F992" s="203"/>
      <c r="G992" s="203"/>
      <c r="H992" s="203"/>
    </row>
    <row r="993">
      <c r="A993" s="389"/>
      <c r="B993" s="203"/>
      <c r="C993" s="390"/>
      <c r="D993" s="345"/>
      <c r="E993" s="203"/>
      <c r="F993" s="203"/>
      <c r="G993" s="203"/>
      <c r="H993" s="203"/>
    </row>
    <row r="994">
      <c r="A994" s="389"/>
      <c r="B994" s="203"/>
      <c r="C994" s="390"/>
      <c r="D994" s="345"/>
      <c r="E994" s="203"/>
      <c r="F994" s="203"/>
      <c r="G994" s="203"/>
      <c r="H994" s="203"/>
    </row>
    <row r="995">
      <c r="A995" s="389"/>
      <c r="B995" s="203"/>
      <c r="C995" s="390"/>
      <c r="D995" s="345"/>
      <c r="E995" s="203"/>
      <c r="F995" s="203"/>
      <c r="G995" s="203"/>
      <c r="H995" s="203"/>
    </row>
    <row r="996">
      <c r="A996" s="389"/>
      <c r="B996" s="203"/>
      <c r="C996" s="390"/>
      <c r="D996" s="345"/>
      <c r="E996" s="203"/>
      <c r="F996" s="203"/>
      <c r="G996" s="203"/>
      <c r="H996" s="203"/>
    </row>
    <row r="997">
      <c r="A997" s="389"/>
      <c r="B997" s="203"/>
      <c r="C997" s="390"/>
      <c r="D997" s="345"/>
      <c r="E997" s="203"/>
      <c r="F997" s="203"/>
      <c r="G997" s="203"/>
      <c r="H997" s="203"/>
    </row>
    <row r="998">
      <c r="A998" s="389"/>
      <c r="B998" s="203"/>
      <c r="C998" s="390"/>
      <c r="D998" s="345"/>
      <c r="E998" s="203"/>
      <c r="F998" s="203"/>
      <c r="G998" s="203"/>
      <c r="H998" s="203"/>
    </row>
    <row r="999">
      <c r="A999" s="389"/>
      <c r="B999" s="203"/>
      <c r="C999" s="390"/>
      <c r="D999" s="345"/>
      <c r="E999" s="203"/>
      <c r="F999" s="203"/>
      <c r="G999" s="203"/>
      <c r="H999" s="203"/>
    </row>
    <row r="1000">
      <c r="A1000" s="389"/>
      <c r="B1000" s="203"/>
      <c r="C1000" s="390"/>
      <c r="D1000" s="345"/>
      <c r="E1000" s="203"/>
      <c r="F1000" s="203"/>
      <c r="G1000" s="203"/>
      <c r="H1000" s="203"/>
    </row>
  </sheetData>
  <mergeCells count="2">
    <mergeCell ref="A1:I1"/>
    <mergeCell ref="A41:I41"/>
  </mergeCells>
  <hyperlinks>
    <hyperlink r:id="rId1" ref="E23"/>
    <hyperlink r:id="rId2" ref="E24"/>
    <hyperlink r:id="rId3" ref="E25"/>
    <hyperlink r:id="rId4" ref="E26"/>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4.63"/>
    <col customWidth="1" min="2" max="2" width="60.38"/>
    <col customWidth="1" min="3" max="3" width="28.5"/>
    <col customWidth="1" min="4" max="4" width="24.75"/>
    <col customWidth="1" min="5" max="5" width="18.5"/>
  </cols>
  <sheetData>
    <row r="1" ht="22.5" customHeight="1">
      <c r="A1" s="391" t="s">
        <v>2753</v>
      </c>
      <c r="B1" s="392"/>
      <c r="C1" s="392"/>
      <c r="D1" s="392"/>
      <c r="E1" s="392"/>
      <c r="F1" s="393"/>
      <c r="G1" s="203"/>
      <c r="H1" s="203"/>
      <c r="I1" s="203"/>
      <c r="J1" s="203"/>
      <c r="K1" s="203"/>
      <c r="L1" s="203"/>
      <c r="M1" s="203"/>
      <c r="N1" s="203"/>
      <c r="O1" s="203"/>
      <c r="P1" s="203"/>
      <c r="Q1" s="203"/>
      <c r="R1" s="203"/>
      <c r="S1" s="203"/>
      <c r="T1" s="203"/>
      <c r="U1" s="203"/>
      <c r="V1" s="203"/>
      <c r="W1" s="203"/>
      <c r="X1" s="203"/>
      <c r="Y1" s="203"/>
      <c r="Z1" s="203"/>
    </row>
    <row r="2" ht="24.0" customHeight="1">
      <c r="A2" s="394" t="s">
        <v>1</v>
      </c>
      <c r="B2" s="394" t="s">
        <v>6</v>
      </c>
      <c r="C2" s="394" t="s">
        <v>250</v>
      </c>
      <c r="D2" s="394" t="s">
        <v>2754</v>
      </c>
      <c r="E2" s="394" t="s">
        <v>2730</v>
      </c>
      <c r="F2" s="393"/>
      <c r="G2" s="203"/>
      <c r="H2" s="203"/>
      <c r="I2" s="203"/>
      <c r="J2" s="203"/>
      <c r="K2" s="203"/>
      <c r="L2" s="203"/>
      <c r="M2" s="203"/>
      <c r="N2" s="203"/>
      <c r="O2" s="203"/>
      <c r="P2" s="203"/>
      <c r="Q2" s="203"/>
      <c r="R2" s="203"/>
      <c r="S2" s="203"/>
      <c r="T2" s="203"/>
      <c r="U2" s="203"/>
      <c r="V2" s="203"/>
      <c r="W2" s="203"/>
      <c r="X2" s="203"/>
      <c r="Y2" s="203"/>
      <c r="Z2" s="203"/>
    </row>
    <row r="3">
      <c r="A3" s="395" t="s">
        <v>2755</v>
      </c>
      <c r="B3" s="395" t="s">
        <v>2756</v>
      </c>
      <c r="C3" s="395" t="s">
        <v>2757</v>
      </c>
      <c r="D3" s="396" t="s">
        <v>2758</v>
      </c>
      <c r="E3" s="396" t="s">
        <v>2759</v>
      </c>
      <c r="F3" s="194"/>
    </row>
    <row r="4">
      <c r="A4" s="395" t="s">
        <v>2760</v>
      </c>
      <c r="B4" s="395" t="s">
        <v>2316</v>
      </c>
      <c r="C4" s="395" t="s">
        <v>2761</v>
      </c>
      <c r="D4" s="396" t="s">
        <v>2762</v>
      </c>
      <c r="E4" s="396" t="s">
        <v>2763</v>
      </c>
      <c r="F4" s="194"/>
    </row>
    <row r="5">
      <c r="A5" s="395" t="s">
        <v>2764</v>
      </c>
      <c r="B5" s="395" t="s">
        <v>2765</v>
      </c>
      <c r="C5" s="395" t="s">
        <v>2766</v>
      </c>
      <c r="D5" s="395" t="s">
        <v>2766</v>
      </c>
      <c r="E5" s="396" t="s">
        <v>2767</v>
      </c>
      <c r="F5" s="194"/>
    </row>
    <row r="6">
      <c r="A6" s="395" t="s">
        <v>852</v>
      </c>
      <c r="B6" s="395" t="s">
        <v>2768</v>
      </c>
      <c r="C6" s="395" t="s">
        <v>2769</v>
      </c>
      <c r="D6" s="396" t="s">
        <v>2770</v>
      </c>
      <c r="E6" s="396" t="s">
        <v>2771</v>
      </c>
      <c r="F6" s="194"/>
    </row>
    <row r="7">
      <c r="A7" s="395" t="s">
        <v>2772</v>
      </c>
      <c r="B7" s="397" t="s">
        <v>2773</v>
      </c>
      <c r="C7" s="395" t="s">
        <v>2774</v>
      </c>
      <c r="D7" s="395" t="s">
        <v>2766</v>
      </c>
      <c r="E7" s="395" t="s">
        <v>2766</v>
      </c>
      <c r="F7" s="194"/>
    </row>
    <row r="8">
      <c r="A8" s="395" t="s">
        <v>2775</v>
      </c>
      <c r="B8" s="395" t="s">
        <v>2776</v>
      </c>
      <c r="C8" s="395" t="s">
        <v>2777</v>
      </c>
      <c r="D8" s="396" t="s">
        <v>2778</v>
      </c>
      <c r="E8" s="395" t="s">
        <v>2766</v>
      </c>
      <c r="F8" s="194"/>
    </row>
    <row r="9">
      <c r="A9" s="395" t="s">
        <v>2779</v>
      </c>
      <c r="B9" s="395" t="s">
        <v>2780</v>
      </c>
      <c r="C9" s="395" t="s">
        <v>2781</v>
      </c>
      <c r="D9" s="396" t="s">
        <v>2782</v>
      </c>
      <c r="E9" s="396" t="s">
        <v>2783</v>
      </c>
      <c r="F9" s="194"/>
    </row>
    <row r="10">
      <c r="A10" s="395" t="s">
        <v>2784</v>
      </c>
      <c r="B10" s="395" t="s">
        <v>2785</v>
      </c>
      <c r="C10" s="395" t="s">
        <v>2786</v>
      </c>
      <c r="D10" s="396" t="s">
        <v>2787</v>
      </c>
      <c r="E10" s="396" t="s">
        <v>2788</v>
      </c>
      <c r="F10" s="194"/>
    </row>
    <row r="11">
      <c r="A11" s="395" t="s">
        <v>2789</v>
      </c>
      <c r="B11" s="395" t="s">
        <v>2790</v>
      </c>
      <c r="C11" s="395" t="s">
        <v>2791</v>
      </c>
      <c r="D11" s="395" t="s">
        <v>2766</v>
      </c>
      <c r="E11" s="395" t="s">
        <v>2766</v>
      </c>
      <c r="F11" s="194"/>
    </row>
    <row r="12">
      <c r="A12" s="395" t="s">
        <v>2792</v>
      </c>
      <c r="B12" s="395" t="s">
        <v>2793</v>
      </c>
      <c r="C12" s="395" t="s">
        <v>2794</v>
      </c>
      <c r="D12" s="396" t="s">
        <v>2795</v>
      </c>
      <c r="E12" s="396" t="s">
        <v>2796</v>
      </c>
      <c r="F12" s="194"/>
    </row>
    <row r="13">
      <c r="A13" s="395" t="s">
        <v>2797</v>
      </c>
      <c r="B13" s="395" t="s">
        <v>2798</v>
      </c>
      <c r="C13" s="395" t="s">
        <v>2799</v>
      </c>
      <c r="D13" s="396" t="s">
        <v>2800</v>
      </c>
      <c r="E13" s="396" t="s">
        <v>2801</v>
      </c>
      <c r="F13" s="194"/>
    </row>
    <row r="14">
      <c r="A14" s="395" t="s">
        <v>2802</v>
      </c>
      <c r="B14" s="395" t="s">
        <v>2803</v>
      </c>
      <c r="C14" s="395" t="s">
        <v>2804</v>
      </c>
      <c r="D14" s="396" t="s">
        <v>2805</v>
      </c>
      <c r="E14" s="396" t="s">
        <v>2806</v>
      </c>
      <c r="F14" s="194"/>
    </row>
    <row r="15">
      <c r="A15" s="395" t="s">
        <v>2807</v>
      </c>
      <c r="B15" s="395" t="s">
        <v>2808</v>
      </c>
      <c r="C15" s="395" t="s">
        <v>2809</v>
      </c>
      <c r="D15" s="396" t="s">
        <v>2810</v>
      </c>
      <c r="E15" s="396" t="s">
        <v>2811</v>
      </c>
      <c r="F15" s="194"/>
    </row>
    <row r="16">
      <c r="A16" s="395" t="s">
        <v>2812</v>
      </c>
      <c r="B16" s="395" t="s">
        <v>2813</v>
      </c>
      <c r="C16" s="395" t="s">
        <v>2814</v>
      </c>
      <c r="D16" s="396" t="s">
        <v>2815</v>
      </c>
      <c r="E16" s="396" t="s">
        <v>2816</v>
      </c>
      <c r="F16" s="194"/>
    </row>
    <row r="17">
      <c r="A17" s="395" t="s">
        <v>2817</v>
      </c>
      <c r="B17" s="395" t="s">
        <v>2818</v>
      </c>
      <c r="C17" s="395" t="s">
        <v>2819</v>
      </c>
      <c r="D17" s="396" t="s">
        <v>2820</v>
      </c>
      <c r="E17" s="396" t="s">
        <v>2821</v>
      </c>
      <c r="F17" s="194"/>
    </row>
    <row r="18">
      <c r="A18" s="395" t="s">
        <v>2822</v>
      </c>
      <c r="B18" s="395" t="s">
        <v>2823</v>
      </c>
      <c r="C18" s="395" t="s">
        <v>2824</v>
      </c>
      <c r="D18" s="396" t="s">
        <v>2825</v>
      </c>
      <c r="E18" s="396" t="s">
        <v>2826</v>
      </c>
      <c r="F18" s="194"/>
    </row>
    <row r="19">
      <c r="A19" s="395" t="s">
        <v>2827</v>
      </c>
      <c r="B19" s="395" t="s">
        <v>2828</v>
      </c>
      <c r="C19" s="395" t="s">
        <v>2829</v>
      </c>
      <c r="D19" s="396" t="s">
        <v>2830</v>
      </c>
      <c r="E19" s="396" t="s">
        <v>2831</v>
      </c>
      <c r="F19" s="194"/>
    </row>
    <row r="20">
      <c r="A20" s="395" t="s">
        <v>2832</v>
      </c>
      <c r="B20" s="395" t="s">
        <v>2833</v>
      </c>
      <c r="C20" s="395" t="s">
        <v>2834</v>
      </c>
      <c r="D20" s="396" t="s">
        <v>2835</v>
      </c>
      <c r="E20" s="396" t="s">
        <v>2836</v>
      </c>
      <c r="F20" s="194"/>
    </row>
    <row r="21">
      <c r="A21" s="395" t="s">
        <v>2764</v>
      </c>
      <c r="B21" s="395" t="s">
        <v>2765</v>
      </c>
      <c r="C21" s="395" t="s">
        <v>2766</v>
      </c>
      <c r="D21" s="395" t="s">
        <v>2766</v>
      </c>
      <c r="E21" s="396" t="s">
        <v>2837</v>
      </c>
      <c r="F21" s="194"/>
    </row>
    <row r="22">
      <c r="A22" s="395" t="s">
        <v>2838</v>
      </c>
      <c r="B22" s="395" t="s">
        <v>2766</v>
      </c>
      <c r="C22" s="395" t="s">
        <v>2839</v>
      </c>
      <c r="D22" s="396" t="s">
        <v>2840</v>
      </c>
      <c r="E22" s="396" t="s">
        <v>2841</v>
      </c>
      <c r="F22" s="194"/>
    </row>
    <row r="23">
      <c r="A23" s="395" t="s">
        <v>2842</v>
      </c>
      <c r="B23" s="395" t="s">
        <v>2843</v>
      </c>
      <c r="C23" s="395" t="s">
        <v>2844</v>
      </c>
      <c r="D23" s="396" t="s">
        <v>2845</v>
      </c>
      <c r="E23" s="396" t="s">
        <v>2846</v>
      </c>
      <c r="F23" s="194"/>
    </row>
    <row r="24">
      <c r="A24" s="395" t="s">
        <v>2847</v>
      </c>
      <c r="B24" s="395" t="s">
        <v>2843</v>
      </c>
      <c r="C24" s="395" t="s">
        <v>2848</v>
      </c>
      <c r="D24" s="395" t="s">
        <v>2766</v>
      </c>
      <c r="E24" s="396" t="s">
        <v>2849</v>
      </c>
      <c r="F24" s="194"/>
    </row>
    <row r="25">
      <c r="A25" s="395" t="s">
        <v>2850</v>
      </c>
      <c r="B25" s="395" t="s">
        <v>2843</v>
      </c>
      <c r="C25" s="395" t="s">
        <v>2851</v>
      </c>
      <c r="D25" s="396" t="s">
        <v>2852</v>
      </c>
      <c r="E25" s="396" t="s">
        <v>2853</v>
      </c>
      <c r="F25" s="194"/>
    </row>
    <row r="26">
      <c r="A26" s="395" t="s">
        <v>2854</v>
      </c>
      <c r="B26" s="395" t="s">
        <v>2843</v>
      </c>
      <c r="C26" s="395" t="s">
        <v>2766</v>
      </c>
      <c r="D26" s="395" t="s">
        <v>2766</v>
      </c>
      <c r="E26" s="396" t="s">
        <v>2855</v>
      </c>
      <c r="F26" s="194"/>
    </row>
    <row r="27">
      <c r="A27" s="395" t="s">
        <v>2856</v>
      </c>
      <c r="B27" s="395" t="s">
        <v>2316</v>
      </c>
      <c r="C27" s="395" t="s">
        <v>2857</v>
      </c>
      <c r="D27" s="395" t="s">
        <v>2766</v>
      </c>
      <c r="E27" s="396" t="s">
        <v>2858</v>
      </c>
      <c r="F27" s="194"/>
    </row>
    <row r="28">
      <c r="A28" s="395" t="s">
        <v>2859</v>
      </c>
      <c r="B28" s="395" t="s">
        <v>2860</v>
      </c>
      <c r="C28" s="395" t="s">
        <v>2766</v>
      </c>
      <c r="D28" s="395" t="s">
        <v>2766</v>
      </c>
      <c r="E28" s="395" t="s">
        <v>2766</v>
      </c>
      <c r="F28" s="194"/>
    </row>
    <row r="29">
      <c r="A29" s="395" t="s">
        <v>2861</v>
      </c>
      <c r="B29" s="395" t="s">
        <v>2862</v>
      </c>
      <c r="C29" s="395" t="s">
        <v>2863</v>
      </c>
      <c r="D29" s="396" t="s">
        <v>2864</v>
      </c>
      <c r="E29" s="396" t="s">
        <v>2865</v>
      </c>
      <c r="F29" s="194"/>
    </row>
    <row r="30">
      <c r="A30" s="395" t="s">
        <v>2866</v>
      </c>
      <c r="B30" s="395" t="s">
        <v>2316</v>
      </c>
      <c r="C30" s="395" t="s">
        <v>2867</v>
      </c>
      <c r="D30" s="395" t="s">
        <v>2766</v>
      </c>
      <c r="E30" s="396" t="s">
        <v>2868</v>
      </c>
      <c r="F30" s="194"/>
    </row>
    <row r="31">
      <c r="A31" s="395" t="s">
        <v>2869</v>
      </c>
      <c r="B31" s="395" t="s">
        <v>2870</v>
      </c>
      <c r="C31" s="395" t="s">
        <v>2871</v>
      </c>
      <c r="D31" s="396" t="s">
        <v>2872</v>
      </c>
      <c r="E31" s="396" t="s">
        <v>2873</v>
      </c>
      <c r="F31" s="194"/>
    </row>
    <row r="32">
      <c r="A32" s="398" t="s">
        <v>2874</v>
      </c>
      <c r="B32" s="398" t="s">
        <v>2875</v>
      </c>
      <c r="C32" s="399" t="s">
        <v>2876</v>
      </c>
      <c r="D32" s="400" t="s">
        <v>2877</v>
      </c>
      <c r="E32" s="401"/>
      <c r="F32" s="194"/>
    </row>
    <row r="33">
      <c r="A33" s="398" t="s">
        <v>2878</v>
      </c>
      <c r="B33" s="398">
        <v>7.87880086E9</v>
      </c>
      <c r="C33" s="399" t="s">
        <v>2879</v>
      </c>
      <c r="D33" s="400" t="s">
        <v>2880</v>
      </c>
      <c r="E33" s="401"/>
      <c r="F33" s="194"/>
    </row>
    <row r="34">
      <c r="A34" s="398" t="s">
        <v>2881</v>
      </c>
      <c r="B34" s="401"/>
      <c r="C34" s="399" t="s">
        <v>2882</v>
      </c>
      <c r="D34" s="400" t="s">
        <v>2883</v>
      </c>
      <c r="E34" s="401"/>
      <c r="F34" s="194"/>
    </row>
    <row r="35">
      <c r="A35" s="398" t="s">
        <v>2884</v>
      </c>
      <c r="B35" s="401"/>
      <c r="C35" s="399" t="s">
        <v>2885</v>
      </c>
      <c r="E35" s="400" t="s">
        <v>2886</v>
      </c>
      <c r="F35" s="194"/>
    </row>
    <row r="36">
      <c r="A36" s="398" t="s">
        <v>2887</v>
      </c>
      <c r="B36" s="401"/>
      <c r="C36" s="399">
        <v>7.874777177E9</v>
      </c>
      <c r="D36" s="402"/>
      <c r="E36" s="401"/>
      <c r="F36" s="194"/>
    </row>
    <row r="37">
      <c r="A37" s="398" t="s">
        <v>2888</v>
      </c>
      <c r="B37" s="401"/>
      <c r="C37" s="399" t="s">
        <v>2889</v>
      </c>
      <c r="D37" s="402"/>
      <c r="E37" s="401"/>
      <c r="F37" s="194"/>
    </row>
    <row r="38">
      <c r="A38" s="400" t="s">
        <v>2890</v>
      </c>
      <c r="B38" s="401"/>
      <c r="C38" s="403"/>
      <c r="D38" s="400" t="s">
        <v>2891</v>
      </c>
      <c r="E38" s="401"/>
      <c r="F38" s="194"/>
    </row>
    <row r="39">
      <c r="A39" s="398" t="s">
        <v>2892</v>
      </c>
      <c r="B39" s="401"/>
      <c r="C39" s="399" t="s">
        <v>2893</v>
      </c>
      <c r="D39" s="400" t="s">
        <v>2894</v>
      </c>
      <c r="E39" s="398"/>
      <c r="F39" s="194"/>
    </row>
    <row r="40">
      <c r="A40" s="398" t="s">
        <v>2895</v>
      </c>
      <c r="B40" s="401"/>
      <c r="C40" s="404"/>
      <c r="D40" s="400" t="s">
        <v>2896</v>
      </c>
      <c r="E40" s="401"/>
      <c r="F40" s="194"/>
    </row>
    <row r="41">
      <c r="A41" s="398" t="s">
        <v>2897</v>
      </c>
      <c r="B41" s="401"/>
      <c r="C41" s="399" t="s">
        <v>2898</v>
      </c>
      <c r="D41" s="402"/>
      <c r="E41" s="401"/>
      <c r="F41" s="194"/>
    </row>
    <row r="42">
      <c r="A42" s="405" t="s">
        <v>2899</v>
      </c>
      <c r="B42" s="401"/>
      <c r="C42" s="399" t="s">
        <v>2900</v>
      </c>
      <c r="D42" s="402"/>
      <c r="E42" s="401"/>
      <c r="F42" s="194"/>
    </row>
    <row r="43">
      <c r="A43" s="398" t="s">
        <v>2901</v>
      </c>
      <c r="B43" s="401"/>
      <c r="C43" s="399"/>
      <c r="D43" s="402"/>
      <c r="E43" s="401"/>
    </row>
    <row r="44">
      <c r="A44" s="398" t="s">
        <v>2902</v>
      </c>
      <c r="B44" s="401"/>
      <c r="C44" s="399" t="s">
        <v>2903</v>
      </c>
      <c r="D44" s="400" t="s">
        <v>2904</v>
      </c>
      <c r="E44" s="401"/>
    </row>
    <row r="45">
      <c r="A45" s="398" t="s">
        <v>2905</v>
      </c>
      <c r="B45" s="398" t="s">
        <v>2906</v>
      </c>
      <c r="C45" s="241">
        <v>7.705331198E9</v>
      </c>
      <c r="D45" s="400"/>
      <c r="E45" s="398" t="s">
        <v>2907</v>
      </c>
    </row>
    <row r="46">
      <c r="A46" s="405" t="s">
        <v>2908</v>
      </c>
      <c r="B46" s="401"/>
      <c r="C46" s="399" t="s">
        <v>2909</v>
      </c>
      <c r="D46" s="400" t="s">
        <v>2910</v>
      </c>
      <c r="E46" s="401"/>
    </row>
    <row r="47">
      <c r="A47" s="398" t="s">
        <v>2911</v>
      </c>
      <c r="B47" s="398">
        <v>7.732311E8</v>
      </c>
      <c r="C47" s="399" t="s">
        <v>1698</v>
      </c>
      <c r="D47" s="400" t="s">
        <v>1699</v>
      </c>
      <c r="E47" s="401"/>
    </row>
    <row r="48">
      <c r="A48" s="398" t="s">
        <v>2912</v>
      </c>
      <c r="B48" s="401"/>
      <c r="C48" s="399" t="s">
        <v>2913</v>
      </c>
      <c r="D48" s="400" t="s">
        <v>1218</v>
      </c>
      <c r="E48" s="401"/>
    </row>
    <row r="49">
      <c r="A49" s="400" t="s">
        <v>2914</v>
      </c>
      <c r="B49" s="401"/>
      <c r="C49" s="399" t="s">
        <v>2915</v>
      </c>
      <c r="D49" s="402"/>
      <c r="E49" s="401"/>
    </row>
    <row r="50">
      <c r="A50" s="398" t="s">
        <v>2916</v>
      </c>
      <c r="B50" s="401"/>
      <c r="C50" s="399" t="s">
        <v>2917</v>
      </c>
      <c r="D50" s="400" t="s">
        <v>2918</v>
      </c>
      <c r="E50" s="401"/>
    </row>
    <row r="51">
      <c r="A51" s="398" t="s">
        <v>2919</v>
      </c>
      <c r="B51" s="401"/>
      <c r="C51" s="403"/>
      <c r="D51" s="402"/>
      <c r="E51" s="401"/>
    </row>
    <row r="52">
      <c r="A52" s="398" t="s">
        <v>2920</v>
      </c>
      <c r="B52" s="401"/>
      <c r="C52" s="399" t="s">
        <v>2921</v>
      </c>
      <c r="D52" s="400" t="s">
        <v>2922</v>
      </c>
      <c r="E52" s="401"/>
    </row>
    <row r="53">
      <c r="A53" s="398" t="s">
        <v>2923</v>
      </c>
      <c r="B53" s="401"/>
      <c r="C53" s="399" t="s">
        <v>2924</v>
      </c>
      <c r="D53" s="400" t="s">
        <v>2925</v>
      </c>
      <c r="E53" s="401"/>
    </row>
    <row r="54">
      <c r="A54" s="398" t="s">
        <v>2926</v>
      </c>
      <c r="B54" s="401"/>
      <c r="C54" s="403"/>
      <c r="D54" s="402"/>
      <c r="E54" s="401"/>
    </row>
    <row r="55">
      <c r="A55" s="398" t="s">
        <v>2927</v>
      </c>
      <c r="B55" s="401"/>
      <c r="C55" s="399" t="s">
        <v>2928</v>
      </c>
      <c r="D55" s="402"/>
      <c r="E55" s="401"/>
    </row>
    <row r="56">
      <c r="A56" s="400" t="s">
        <v>2929</v>
      </c>
      <c r="B56" s="401"/>
      <c r="C56" s="399" t="s">
        <v>2930</v>
      </c>
      <c r="D56" s="400" t="s">
        <v>1483</v>
      </c>
      <c r="E56" s="401"/>
    </row>
    <row r="57">
      <c r="A57" s="400" t="s">
        <v>2931</v>
      </c>
      <c r="B57" s="401"/>
      <c r="C57" s="399" t="s">
        <v>2932</v>
      </c>
      <c r="D57" s="400" t="s">
        <v>2933</v>
      </c>
      <c r="E57" s="401"/>
    </row>
    <row r="58">
      <c r="A58" s="398" t="s">
        <v>2934</v>
      </c>
      <c r="B58" s="401"/>
      <c r="C58" s="399" t="s">
        <v>2935</v>
      </c>
      <c r="D58" s="400" t="s">
        <v>2936</v>
      </c>
      <c r="E58" s="401"/>
    </row>
    <row r="59">
      <c r="A59" s="398" t="s">
        <v>2937</v>
      </c>
      <c r="B59" s="398" t="s">
        <v>2938</v>
      </c>
      <c r="C59" s="399" t="s">
        <v>2939</v>
      </c>
      <c r="D59" s="400"/>
      <c r="E59" s="401"/>
    </row>
    <row r="60">
      <c r="A60" s="398" t="s">
        <v>2940</v>
      </c>
      <c r="B60" s="401"/>
      <c r="C60" s="399" t="s">
        <v>2941</v>
      </c>
      <c r="D60" s="400" t="s">
        <v>2942</v>
      </c>
      <c r="E60" s="401"/>
    </row>
    <row r="61">
      <c r="A61" s="398" t="s">
        <v>2943</v>
      </c>
      <c r="B61" s="401"/>
      <c r="C61" s="399" t="s">
        <v>2944</v>
      </c>
      <c r="D61" s="402"/>
      <c r="E61" s="401"/>
    </row>
    <row r="62">
      <c r="A62" s="398" t="s">
        <v>2945</v>
      </c>
      <c r="B62" s="401"/>
      <c r="C62" s="403"/>
      <c r="D62" s="402"/>
      <c r="E62" s="401"/>
    </row>
    <row r="63">
      <c r="A63" s="405" t="s">
        <v>2946</v>
      </c>
      <c r="B63" s="401"/>
      <c r="C63" s="399">
        <v>6968.0</v>
      </c>
      <c r="D63" s="402"/>
      <c r="E63" s="401"/>
    </row>
    <row r="64">
      <c r="A64" s="398" t="s">
        <v>2947</v>
      </c>
      <c r="B64" s="401"/>
      <c r="C64" s="399" t="s">
        <v>2948</v>
      </c>
      <c r="D64" s="402"/>
      <c r="E64" s="401"/>
    </row>
    <row r="65">
      <c r="A65" s="405" t="s">
        <v>2949</v>
      </c>
      <c r="B65" s="401"/>
      <c r="C65" s="403"/>
      <c r="D65" s="402"/>
      <c r="E65" s="401"/>
    </row>
    <row r="66">
      <c r="A66" s="398" t="s">
        <v>2950</v>
      </c>
      <c r="B66" s="401"/>
      <c r="C66" s="399" t="s">
        <v>2951</v>
      </c>
      <c r="D66" s="400" t="s">
        <v>2952</v>
      </c>
      <c r="E66" s="401"/>
    </row>
    <row r="67">
      <c r="A67" s="398" t="s">
        <v>2953</v>
      </c>
      <c r="B67" s="296" t="s">
        <v>2954</v>
      </c>
      <c r="C67" s="399" t="s">
        <v>2955</v>
      </c>
      <c r="D67" s="402"/>
      <c r="E67" s="401"/>
    </row>
    <row r="68">
      <c r="A68" s="405" t="s">
        <v>2956</v>
      </c>
      <c r="B68" s="401"/>
      <c r="C68" s="399" t="s">
        <v>2957</v>
      </c>
      <c r="D68" s="402"/>
      <c r="E68" s="401"/>
    </row>
    <row r="69">
      <c r="A69" s="398" t="s">
        <v>2958</v>
      </c>
      <c r="B69" s="296" t="s">
        <v>2959</v>
      </c>
      <c r="C69" s="399" t="s">
        <v>2960</v>
      </c>
      <c r="D69" s="402"/>
      <c r="E69" s="401"/>
    </row>
    <row r="70">
      <c r="A70" s="398" t="s">
        <v>2961</v>
      </c>
      <c r="B70" s="401"/>
      <c r="C70" s="403"/>
      <c r="D70" s="402"/>
      <c r="E70" s="401"/>
    </row>
    <row r="71">
      <c r="A71" s="405" t="s">
        <v>2962</v>
      </c>
      <c r="B71" s="401"/>
      <c r="C71" s="403"/>
      <c r="D71" s="402"/>
      <c r="E71" s="401"/>
    </row>
    <row r="72">
      <c r="A72" s="398" t="s">
        <v>2963</v>
      </c>
      <c r="B72" s="401"/>
      <c r="C72" s="403"/>
      <c r="D72" s="402"/>
      <c r="E72" s="401"/>
    </row>
    <row r="73">
      <c r="A73" s="398" t="s">
        <v>2964</v>
      </c>
      <c r="B73" s="401"/>
      <c r="C73" s="403"/>
      <c r="D73" s="402"/>
      <c r="E73" s="401"/>
    </row>
    <row r="74">
      <c r="A74" s="398" t="s">
        <v>2965</v>
      </c>
      <c r="B74" s="401"/>
      <c r="C74" s="403"/>
      <c r="D74" s="402"/>
      <c r="E74" s="401"/>
    </row>
    <row r="75">
      <c r="A75" s="398" t="s">
        <v>756</v>
      </c>
      <c r="B75" s="401"/>
      <c r="C75" s="403"/>
      <c r="D75" s="402"/>
      <c r="E75" s="401"/>
    </row>
    <row r="76">
      <c r="A76" s="405" t="s">
        <v>2966</v>
      </c>
      <c r="B76" s="401"/>
      <c r="C76" s="403"/>
      <c r="D76" s="402"/>
      <c r="E76" s="401"/>
    </row>
    <row r="77">
      <c r="A77" s="398" t="s">
        <v>2967</v>
      </c>
      <c r="B77" s="401"/>
      <c r="C77" s="403"/>
      <c r="D77" s="402"/>
      <c r="E77" s="401"/>
    </row>
    <row r="78">
      <c r="A78" s="398" t="s">
        <v>2968</v>
      </c>
      <c r="B78" s="401"/>
      <c r="C78" s="403"/>
      <c r="D78" s="402"/>
      <c r="E78" s="401"/>
    </row>
    <row r="79">
      <c r="A79" s="398" t="s">
        <v>2969</v>
      </c>
      <c r="B79" s="401"/>
      <c r="C79" s="403"/>
      <c r="D79" s="402"/>
      <c r="E79" s="401"/>
    </row>
    <row r="80">
      <c r="A80" s="398" t="s">
        <v>2970</v>
      </c>
      <c r="B80" s="401"/>
      <c r="C80" s="403"/>
      <c r="D80" s="402"/>
      <c r="E80" s="401"/>
    </row>
    <row r="81">
      <c r="A81" s="398" t="s">
        <v>2971</v>
      </c>
      <c r="B81" s="401"/>
      <c r="C81" s="403"/>
      <c r="D81" s="402"/>
      <c r="E81" s="401"/>
    </row>
    <row r="82">
      <c r="A82" s="398" t="s">
        <v>2972</v>
      </c>
      <c r="B82" s="401"/>
      <c r="C82" s="403"/>
      <c r="D82" s="402"/>
      <c r="E82" s="401"/>
    </row>
    <row r="83">
      <c r="A83" s="405" t="s">
        <v>2973</v>
      </c>
      <c r="B83" s="401"/>
      <c r="C83" s="403"/>
      <c r="D83" s="402"/>
      <c r="E83" s="401"/>
    </row>
    <row r="84">
      <c r="A84" s="405" t="s">
        <v>2974</v>
      </c>
      <c r="B84" s="401"/>
      <c r="C84" s="403"/>
      <c r="D84" s="402"/>
      <c r="E84" s="401"/>
    </row>
    <row r="85">
      <c r="A85" s="405" t="s">
        <v>2975</v>
      </c>
      <c r="B85" s="401"/>
      <c r="C85" s="403"/>
      <c r="D85" s="402"/>
      <c r="E85" s="401"/>
    </row>
    <row r="86">
      <c r="A86" s="405" t="s">
        <v>2976</v>
      </c>
      <c r="B86" s="401"/>
      <c r="C86" s="403"/>
      <c r="D86" s="402"/>
      <c r="E86" s="401"/>
    </row>
    <row r="87">
      <c r="A87" s="398" t="s">
        <v>2977</v>
      </c>
      <c r="B87" s="401"/>
      <c r="C87" s="399">
        <v>7.905432823E9</v>
      </c>
      <c r="D87" s="402"/>
      <c r="E87" s="401"/>
    </row>
    <row r="88">
      <c r="A88" s="405" t="s">
        <v>2978</v>
      </c>
      <c r="B88" s="401"/>
      <c r="C88" s="403"/>
      <c r="D88" s="402"/>
      <c r="E88" s="401"/>
    </row>
    <row r="89">
      <c r="A89" s="405" t="s">
        <v>2979</v>
      </c>
      <c r="B89" s="401"/>
      <c r="C89" s="403"/>
      <c r="D89" s="402"/>
      <c r="E89" s="401"/>
    </row>
    <row r="90">
      <c r="A90" s="405" t="s">
        <v>2980</v>
      </c>
      <c r="B90" s="401"/>
      <c r="C90" s="402"/>
      <c r="D90" s="402"/>
      <c r="E90" s="401"/>
    </row>
    <row r="91">
      <c r="A91" s="405" t="s">
        <v>2981</v>
      </c>
      <c r="B91" s="398" t="s">
        <v>2982</v>
      </c>
      <c r="C91" s="400">
        <v>7.84310203E9</v>
      </c>
      <c r="D91" s="402"/>
      <c r="E91" s="401"/>
    </row>
    <row r="92">
      <c r="A92" s="405" t="s">
        <v>2983</v>
      </c>
      <c r="B92" s="401"/>
      <c r="C92" s="402"/>
      <c r="D92" s="402"/>
      <c r="E92" s="401"/>
    </row>
    <row r="93">
      <c r="A93" s="398" t="s">
        <v>2984</v>
      </c>
      <c r="B93" s="398" t="s">
        <v>2985</v>
      </c>
      <c r="C93" s="400">
        <v>9.66590359303E11</v>
      </c>
      <c r="D93" s="402"/>
      <c r="E93" s="401"/>
    </row>
    <row r="94">
      <c r="A94" s="405" t="s">
        <v>2986</v>
      </c>
      <c r="B94" s="401"/>
      <c r="C94" s="402"/>
      <c r="D94" s="402"/>
      <c r="E94" s="401"/>
    </row>
    <row r="95">
      <c r="A95" s="405" t="s">
        <v>2987</v>
      </c>
      <c r="B95" s="401"/>
      <c r="C95" s="402"/>
      <c r="D95" s="402"/>
      <c r="E95" s="401"/>
    </row>
    <row r="96">
      <c r="A96" s="405" t="s">
        <v>2988</v>
      </c>
      <c r="B96" s="401"/>
      <c r="C96" s="402"/>
      <c r="D96" s="402"/>
      <c r="E96" s="401"/>
    </row>
    <row r="97">
      <c r="A97" s="406" t="s">
        <v>2989</v>
      </c>
      <c r="B97" s="194"/>
      <c r="C97" s="194"/>
      <c r="D97" s="402"/>
      <c r="E97" s="401"/>
    </row>
    <row r="98">
      <c r="A98" s="398" t="s">
        <v>2990</v>
      </c>
      <c r="B98" s="401"/>
      <c r="C98" s="400" t="s">
        <v>2991</v>
      </c>
      <c r="D98" s="402"/>
      <c r="E98" s="401"/>
    </row>
    <row r="99">
      <c r="A99" s="398" t="s">
        <v>2992</v>
      </c>
      <c r="B99" s="398" t="s">
        <v>2993</v>
      </c>
      <c r="C99" s="400">
        <v>9.647839001058E12</v>
      </c>
      <c r="D99" s="402"/>
      <c r="E99" s="401"/>
    </row>
    <row r="100">
      <c r="B100" s="407"/>
      <c r="D100" s="408"/>
      <c r="E100" s="407"/>
    </row>
    <row r="101">
      <c r="A101" s="407"/>
      <c r="B101" s="407"/>
    </row>
    <row r="102">
      <c r="A102" s="407"/>
      <c r="B102" s="407"/>
    </row>
    <row r="103">
      <c r="A103" s="407"/>
      <c r="B103" s="407"/>
    </row>
    <row r="104">
      <c r="B104" s="407"/>
    </row>
    <row r="105">
      <c r="B105" s="407"/>
    </row>
    <row r="106">
      <c r="B106" s="407"/>
    </row>
    <row r="107">
      <c r="B107" s="407"/>
    </row>
  </sheetData>
  <hyperlinks>
    <hyperlink r:id="rId1" ref="D3"/>
    <hyperlink r:id="rId2" ref="E3"/>
    <hyperlink r:id="rId3" ref="D4"/>
    <hyperlink r:id="rId4" ref="E4"/>
    <hyperlink r:id="rId5" ref="E5"/>
    <hyperlink r:id="rId6" ref="D6"/>
    <hyperlink r:id="rId7" ref="E6"/>
    <hyperlink r:id="rId8" ref="D8"/>
    <hyperlink r:id="rId9" ref="D9"/>
    <hyperlink r:id="rId10" ref="E9"/>
    <hyperlink r:id="rId11" ref="D10"/>
    <hyperlink r:id="rId12" ref="E10"/>
    <hyperlink r:id="rId13" ref="D12"/>
    <hyperlink r:id="rId14" ref="E12"/>
    <hyperlink r:id="rId15" ref="D13"/>
    <hyperlink r:id="rId16" ref="E13"/>
    <hyperlink r:id="rId17" ref="D14"/>
    <hyperlink r:id="rId18" ref="E14"/>
    <hyperlink r:id="rId19" ref="D15"/>
    <hyperlink r:id="rId20" ref="E15"/>
    <hyperlink r:id="rId21" ref="D16"/>
    <hyperlink r:id="rId22" ref="E16"/>
    <hyperlink r:id="rId23" ref="D17"/>
    <hyperlink r:id="rId24" ref="E17"/>
    <hyperlink r:id="rId25" ref="D18"/>
    <hyperlink r:id="rId26" ref="E18"/>
    <hyperlink r:id="rId27" ref="D19"/>
    <hyperlink r:id="rId28" ref="E19"/>
    <hyperlink r:id="rId29" ref="D20"/>
    <hyperlink r:id="rId30" ref="E20"/>
    <hyperlink r:id="rId31" ref="E21"/>
    <hyperlink r:id="rId32" ref="D22"/>
    <hyperlink r:id="rId33" ref="E22"/>
    <hyperlink r:id="rId34" ref="D23"/>
    <hyperlink r:id="rId35" ref="E23"/>
    <hyperlink r:id="rId36" ref="E24"/>
    <hyperlink r:id="rId37" ref="D25"/>
    <hyperlink r:id="rId38" ref="E25"/>
    <hyperlink r:id="rId39" ref="E26"/>
    <hyperlink r:id="rId40" ref="E27"/>
    <hyperlink r:id="rId41" ref="D29"/>
    <hyperlink r:id="rId42" ref="E29"/>
    <hyperlink r:id="rId43" ref="E30"/>
    <hyperlink r:id="rId44" ref="D31"/>
    <hyperlink r:id="rId45" ref="E31"/>
  </hyperlinks>
  <printOptions gridLines="1" horizontalCentered="1"/>
  <pageMargins bottom="0.75" footer="0.0" header="0.0" left="0.7" right="0.7" top="0.75"/>
  <pageSetup fitToHeight="0" cellComments="atEnd" orientation="landscape" pageOrder="overThenDown"/>
  <drawing r:id="rId4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16.0"/>
    <col customWidth="1" min="3" max="3" width="18.75"/>
    <col customWidth="1" min="4" max="4" width="32.88"/>
    <col customWidth="1" min="5" max="5" width="27.38"/>
    <col customWidth="1" min="6" max="6" width="9.25"/>
  </cols>
  <sheetData>
    <row r="1">
      <c r="A1" s="241" t="s">
        <v>2994</v>
      </c>
      <c r="B1" s="241" t="s">
        <v>2995</v>
      </c>
      <c r="C1" s="241" t="s">
        <v>2730</v>
      </c>
      <c r="D1" s="241" t="s">
        <v>2996</v>
      </c>
      <c r="E1" s="241" t="s">
        <v>4</v>
      </c>
      <c r="G1" s="409"/>
      <c r="H1" s="409"/>
      <c r="I1" s="410"/>
      <c r="J1" s="371"/>
      <c r="K1" s="371"/>
      <c r="L1" s="371"/>
      <c r="M1" s="371"/>
      <c r="N1" s="371"/>
      <c r="O1" s="371"/>
      <c r="P1" s="371"/>
      <c r="Q1" s="371"/>
    </row>
    <row r="2">
      <c r="A2" s="411" t="s">
        <v>2997</v>
      </c>
      <c r="B2" s="411" t="s">
        <v>2998</v>
      </c>
      <c r="C2" s="412" t="s">
        <v>2999</v>
      </c>
      <c r="D2" s="411" t="s">
        <v>3000</v>
      </c>
      <c r="E2" s="412" t="s">
        <v>3001</v>
      </c>
      <c r="F2" s="413" t="s">
        <v>3002</v>
      </c>
      <c r="G2" s="414" t="s">
        <v>2732</v>
      </c>
      <c r="H2" s="415" t="s">
        <v>5</v>
      </c>
      <c r="I2" s="416" t="s">
        <v>2733</v>
      </c>
      <c r="J2" s="371"/>
      <c r="K2" s="371"/>
      <c r="L2" s="371"/>
      <c r="M2" s="371"/>
      <c r="N2" s="371"/>
      <c r="O2" s="371"/>
      <c r="P2" s="371"/>
      <c r="Q2" s="371"/>
    </row>
    <row r="3">
      <c r="A3" s="411" t="s">
        <v>3003</v>
      </c>
      <c r="B3" s="411" t="s">
        <v>2998</v>
      </c>
      <c r="C3" s="412" t="s">
        <v>3004</v>
      </c>
      <c r="D3" s="411" t="s">
        <v>3005</v>
      </c>
      <c r="E3" s="412" t="s">
        <v>3006</v>
      </c>
      <c r="F3" t="b">
        <v>0</v>
      </c>
      <c r="G3" s="417"/>
      <c r="H3" s="418"/>
      <c r="I3" s="419"/>
    </row>
    <row r="4">
      <c r="A4" s="411" t="s">
        <v>3007</v>
      </c>
      <c r="B4" s="411" t="s">
        <v>3008</v>
      </c>
      <c r="C4" s="412" t="s">
        <v>3009</v>
      </c>
      <c r="D4" s="411" t="s">
        <v>3010</v>
      </c>
      <c r="E4" s="412" t="s">
        <v>3011</v>
      </c>
      <c r="F4" t="b">
        <v>0</v>
      </c>
      <c r="G4" s="417"/>
      <c r="H4" s="418"/>
      <c r="I4" s="419"/>
    </row>
    <row r="5">
      <c r="A5" s="411" t="s">
        <v>3012</v>
      </c>
      <c r="B5" s="411" t="s">
        <v>3008</v>
      </c>
      <c r="C5" s="412" t="s">
        <v>3013</v>
      </c>
      <c r="D5" s="411" t="s">
        <v>3014</v>
      </c>
      <c r="E5" s="412" t="s">
        <v>3015</v>
      </c>
      <c r="F5" t="b">
        <v>0</v>
      </c>
      <c r="G5" s="417"/>
      <c r="H5" s="418"/>
      <c r="I5" s="419"/>
    </row>
    <row r="6">
      <c r="A6" s="411" t="s">
        <v>3016</v>
      </c>
      <c r="B6" s="411" t="s">
        <v>3017</v>
      </c>
      <c r="C6" s="412" t="s">
        <v>3018</v>
      </c>
      <c r="D6" s="411" t="s">
        <v>3019</v>
      </c>
      <c r="E6" s="412" t="s">
        <v>3020</v>
      </c>
      <c r="F6" t="b">
        <v>0</v>
      </c>
      <c r="G6" s="417"/>
      <c r="H6" s="418"/>
      <c r="I6" s="419"/>
    </row>
    <row r="7">
      <c r="A7" s="411" t="s">
        <v>3021</v>
      </c>
      <c r="B7" s="411" t="s">
        <v>3017</v>
      </c>
      <c r="C7" s="412" t="s">
        <v>3022</v>
      </c>
      <c r="D7" s="411" t="s">
        <v>3023</v>
      </c>
      <c r="E7" s="412" t="s">
        <v>3024</v>
      </c>
      <c r="F7" t="b">
        <v>0</v>
      </c>
      <c r="G7" s="417"/>
      <c r="H7" s="418"/>
      <c r="I7" s="419"/>
    </row>
    <row r="8">
      <c r="A8" s="411" t="s">
        <v>3025</v>
      </c>
      <c r="B8" s="411" t="s">
        <v>3026</v>
      </c>
      <c r="C8" s="412" t="s">
        <v>3027</v>
      </c>
      <c r="D8" s="411" t="s">
        <v>3028</v>
      </c>
      <c r="E8" s="412" t="s">
        <v>3029</v>
      </c>
      <c r="F8" t="b">
        <v>0</v>
      </c>
      <c r="G8" s="417"/>
      <c r="H8" s="418"/>
      <c r="I8" s="419"/>
    </row>
    <row r="9">
      <c r="A9" s="411" t="s">
        <v>3030</v>
      </c>
      <c r="B9" s="411" t="s">
        <v>3026</v>
      </c>
      <c r="C9" s="412" t="s">
        <v>3031</v>
      </c>
      <c r="D9" s="411" t="s">
        <v>3032</v>
      </c>
      <c r="E9" s="412" t="s">
        <v>3033</v>
      </c>
      <c r="F9" t="b">
        <v>0</v>
      </c>
      <c r="G9" s="417"/>
      <c r="H9" s="418"/>
      <c r="I9" s="419"/>
    </row>
    <row r="10">
      <c r="A10" s="411" t="s">
        <v>3034</v>
      </c>
      <c r="B10" s="411" t="s">
        <v>3035</v>
      </c>
      <c r="C10" s="412" t="s">
        <v>3036</v>
      </c>
      <c r="D10" s="411" t="s">
        <v>3037</v>
      </c>
      <c r="E10" s="412" t="s">
        <v>3038</v>
      </c>
      <c r="F10" t="b">
        <v>0</v>
      </c>
      <c r="G10" s="417"/>
      <c r="H10" s="418"/>
      <c r="I10" s="419"/>
    </row>
    <row r="11">
      <c r="A11" s="411" t="s">
        <v>3039</v>
      </c>
      <c r="B11" s="411" t="s">
        <v>3035</v>
      </c>
      <c r="C11" s="412" t="s">
        <v>3040</v>
      </c>
      <c r="D11" s="411" t="s">
        <v>2766</v>
      </c>
      <c r="E11" s="411" t="s">
        <v>2766</v>
      </c>
      <c r="F11" t="b">
        <v>0</v>
      </c>
      <c r="G11" s="417"/>
      <c r="H11" s="418"/>
      <c r="I11" s="419"/>
    </row>
    <row r="12">
      <c r="A12" s="411" t="s">
        <v>3041</v>
      </c>
      <c r="B12" s="411" t="s">
        <v>3042</v>
      </c>
      <c r="C12" s="412" t="s">
        <v>3043</v>
      </c>
      <c r="D12" s="411" t="s">
        <v>3044</v>
      </c>
      <c r="E12" s="411" t="s">
        <v>2766</v>
      </c>
      <c r="F12" t="b">
        <v>0</v>
      </c>
      <c r="G12" s="417"/>
      <c r="H12" s="418"/>
      <c r="I12" s="419"/>
    </row>
    <row r="13">
      <c r="A13" s="411" t="s">
        <v>3045</v>
      </c>
      <c r="B13" s="411" t="s">
        <v>3042</v>
      </c>
      <c r="C13" s="412" t="s">
        <v>3046</v>
      </c>
      <c r="D13" s="411" t="s">
        <v>3047</v>
      </c>
      <c r="E13" s="412" t="s">
        <v>3048</v>
      </c>
      <c r="F13" t="b">
        <v>0</v>
      </c>
      <c r="G13" s="417"/>
      <c r="H13" s="418"/>
      <c r="I13" s="419"/>
    </row>
    <row r="14">
      <c r="A14" s="411" t="s">
        <v>3049</v>
      </c>
      <c r="B14" s="420"/>
      <c r="C14" s="421" t="s">
        <v>3050</v>
      </c>
      <c r="D14" s="422"/>
      <c r="E14" s="423"/>
      <c r="F14" t="b">
        <v>0</v>
      </c>
      <c r="G14" s="417"/>
      <c r="H14" s="418"/>
      <c r="I14" s="419"/>
    </row>
    <row r="15">
      <c r="A15" s="411"/>
      <c r="B15" s="424"/>
      <c r="C15" s="425"/>
      <c r="D15" s="426"/>
      <c r="E15" s="427"/>
      <c r="F15" t="b">
        <v>0</v>
      </c>
      <c r="G15" s="428"/>
      <c r="H15" s="429"/>
      <c r="I15" s="430"/>
    </row>
    <row r="16">
      <c r="A16" s="241" t="s">
        <v>2994</v>
      </c>
      <c r="B16" s="241" t="s">
        <v>669</v>
      </c>
      <c r="C16" s="241" t="s">
        <v>2996</v>
      </c>
      <c r="D16" s="241" t="s">
        <v>4</v>
      </c>
      <c r="E16" s="241" t="s">
        <v>2730</v>
      </c>
      <c r="F16" t="b">
        <v>0</v>
      </c>
      <c r="G16" s="428"/>
      <c r="H16" s="429"/>
      <c r="I16" s="430"/>
    </row>
    <row r="17">
      <c r="A17" s="411" t="s">
        <v>3051</v>
      </c>
      <c r="B17" s="411" t="s">
        <v>3052</v>
      </c>
      <c r="C17" s="411" t="s">
        <v>2766</v>
      </c>
      <c r="D17" s="411" t="s">
        <v>2766</v>
      </c>
      <c r="E17" s="412" t="s">
        <v>3053</v>
      </c>
      <c r="F17" t="b">
        <v>0</v>
      </c>
      <c r="G17" s="428"/>
      <c r="H17" s="429"/>
      <c r="I17" s="430"/>
    </row>
    <row r="18">
      <c r="A18" s="411" t="s">
        <v>3054</v>
      </c>
      <c r="B18" s="411" t="s">
        <v>3052</v>
      </c>
      <c r="C18" s="411" t="s">
        <v>2766</v>
      </c>
      <c r="D18" s="411" t="s">
        <v>2766</v>
      </c>
      <c r="E18" s="412" t="s">
        <v>3055</v>
      </c>
      <c r="F18" t="b">
        <v>0</v>
      </c>
      <c r="G18" s="194"/>
      <c r="H18" s="194"/>
      <c r="I18" s="194"/>
    </row>
    <row r="19">
      <c r="A19" s="411" t="s">
        <v>3056</v>
      </c>
      <c r="B19" s="411" t="s">
        <v>3052</v>
      </c>
      <c r="C19" s="411" t="s">
        <v>3057</v>
      </c>
      <c r="D19" s="411" t="s">
        <v>2766</v>
      </c>
      <c r="E19" s="412" t="s">
        <v>3058</v>
      </c>
      <c r="F19" t="b">
        <v>0</v>
      </c>
      <c r="G19" s="194"/>
      <c r="H19" s="194"/>
      <c r="I19" s="194"/>
    </row>
    <row r="20">
      <c r="A20" s="411" t="s">
        <v>3059</v>
      </c>
      <c r="B20" s="411" t="s">
        <v>3052</v>
      </c>
      <c r="C20" s="411" t="s">
        <v>3060</v>
      </c>
      <c r="D20" s="411" t="s">
        <v>2766</v>
      </c>
      <c r="E20" s="412" t="s">
        <v>3061</v>
      </c>
      <c r="F20" t="b">
        <v>0</v>
      </c>
      <c r="G20" s="194"/>
      <c r="H20" s="194"/>
      <c r="I20" s="194"/>
    </row>
    <row r="21">
      <c r="A21" s="411" t="s">
        <v>3062</v>
      </c>
      <c r="B21" s="411" t="s">
        <v>3052</v>
      </c>
      <c r="C21" s="411" t="s">
        <v>3063</v>
      </c>
      <c r="D21" s="412" t="s">
        <v>3064</v>
      </c>
      <c r="E21" s="412" t="s">
        <v>3065</v>
      </c>
      <c r="F21" t="b">
        <v>0</v>
      </c>
      <c r="G21" s="194"/>
      <c r="H21" s="194"/>
      <c r="I21" s="194"/>
    </row>
    <row r="22">
      <c r="A22" s="411" t="s">
        <v>3066</v>
      </c>
      <c r="B22" s="411" t="s">
        <v>3052</v>
      </c>
      <c r="C22" s="411" t="s">
        <v>3067</v>
      </c>
      <c r="D22" s="412" t="s">
        <v>3068</v>
      </c>
      <c r="E22" s="412" t="s">
        <v>3069</v>
      </c>
      <c r="F22" t="b">
        <v>0</v>
      </c>
      <c r="G22" s="194"/>
      <c r="H22" s="194"/>
      <c r="I22" s="194"/>
    </row>
    <row r="23">
      <c r="A23" s="411" t="s">
        <v>3070</v>
      </c>
      <c r="B23" s="411" t="s">
        <v>3052</v>
      </c>
      <c r="C23" s="411" t="s">
        <v>3071</v>
      </c>
      <c r="D23" s="412" t="s">
        <v>3072</v>
      </c>
      <c r="E23" s="412" t="s">
        <v>3073</v>
      </c>
      <c r="F23" t="b">
        <v>0</v>
      </c>
      <c r="G23" s="194"/>
      <c r="H23" s="194"/>
      <c r="I23" s="194"/>
    </row>
    <row r="24">
      <c r="A24" s="411" t="s">
        <v>3074</v>
      </c>
      <c r="B24" s="411" t="s">
        <v>3052</v>
      </c>
      <c r="C24" s="411" t="s">
        <v>3075</v>
      </c>
      <c r="D24" s="412" t="s">
        <v>3076</v>
      </c>
      <c r="E24" s="412" t="s">
        <v>3077</v>
      </c>
      <c r="F24" t="b">
        <v>0</v>
      </c>
      <c r="G24" s="194"/>
      <c r="H24" s="194"/>
      <c r="I24" s="194"/>
    </row>
    <row r="25">
      <c r="A25" s="411" t="s">
        <v>3078</v>
      </c>
      <c r="B25" s="411" t="s">
        <v>3052</v>
      </c>
      <c r="C25" s="411" t="s">
        <v>3079</v>
      </c>
      <c r="D25" s="412" t="s">
        <v>3080</v>
      </c>
      <c r="E25" s="412" t="s">
        <v>3081</v>
      </c>
      <c r="F25" t="b">
        <v>0</v>
      </c>
      <c r="G25" s="194"/>
      <c r="H25" s="194"/>
      <c r="I25" s="194"/>
    </row>
    <row r="26">
      <c r="A26" s="411" t="s">
        <v>3082</v>
      </c>
      <c r="B26" s="411" t="s">
        <v>3052</v>
      </c>
      <c r="C26" s="411" t="s">
        <v>3083</v>
      </c>
      <c r="D26" s="412" t="s">
        <v>3084</v>
      </c>
      <c r="E26" s="431"/>
      <c r="F26" t="b">
        <v>0</v>
      </c>
      <c r="G26" s="194"/>
      <c r="H26" s="194"/>
      <c r="I26" s="194"/>
    </row>
    <row r="27">
      <c r="A27" s="411" t="s">
        <v>3085</v>
      </c>
      <c r="B27" s="432"/>
      <c r="C27" s="432"/>
      <c r="D27" s="432"/>
      <c r="E27" s="432"/>
      <c r="F27" t="b">
        <v>0</v>
      </c>
      <c r="G27" s="194"/>
      <c r="H27" s="194"/>
      <c r="I27" s="194"/>
    </row>
    <row r="28">
      <c r="A28" s="241" t="s">
        <v>2994</v>
      </c>
      <c r="B28" s="241" t="s">
        <v>669</v>
      </c>
      <c r="C28" s="241" t="s">
        <v>2996</v>
      </c>
      <c r="D28" s="241" t="s">
        <v>4</v>
      </c>
      <c r="E28" s="241" t="s">
        <v>2730</v>
      </c>
      <c r="F28" t="b">
        <v>0</v>
      </c>
      <c r="G28" s="194"/>
      <c r="H28" s="194"/>
      <c r="I28" s="194"/>
    </row>
    <row r="29">
      <c r="A29" s="411" t="s">
        <v>3086</v>
      </c>
      <c r="B29" s="411" t="s">
        <v>3052</v>
      </c>
      <c r="C29" s="411" t="s">
        <v>3087</v>
      </c>
      <c r="D29" s="412" t="s">
        <v>3088</v>
      </c>
      <c r="E29" s="412" t="s">
        <v>3089</v>
      </c>
      <c r="F29" t="b">
        <v>0</v>
      </c>
      <c r="G29" s="194"/>
      <c r="H29" s="194"/>
      <c r="I29" s="194"/>
    </row>
    <row r="30">
      <c r="A30" s="411" t="s">
        <v>3090</v>
      </c>
      <c r="B30" s="411" t="s">
        <v>3052</v>
      </c>
      <c r="C30" s="411" t="s">
        <v>3091</v>
      </c>
      <c r="D30" s="412" t="s">
        <v>3092</v>
      </c>
      <c r="E30" s="412" t="s">
        <v>3093</v>
      </c>
      <c r="F30" t="b">
        <v>0</v>
      </c>
      <c r="G30" s="194"/>
      <c r="H30" s="194"/>
      <c r="I30" s="194"/>
    </row>
    <row r="31">
      <c r="A31" s="411" t="s">
        <v>3094</v>
      </c>
      <c r="B31" s="411" t="s">
        <v>3052</v>
      </c>
      <c r="C31" s="411" t="s">
        <v>3095</v>
      </c>
      <c r="D31" s="412" t="s">
        <v>3096</v>
      </c>
      <c r="E31" s="412" t="s">
        <v>3097</v>
      </c>
      <c r="F31" t="b">
        <v>0</v>
      </c>
      <c r="G31" s="194"/>
      <c r="H31" s="194"/>
      <c r="I31" s="194"/>
    </row>
    <row r="32">
      <c r="A32" s="411" t="s">
        <v>3098</v>
      </c>
      <c r="B32" s="411" t="s">
        <v>3052</v>
      </c>
      <c r="C32" s="411" t="s">
        <v>3099</v>
      </c>
      <c r="D32" s="412" t="s">
        <v>3100</v>
      </c>
      <c r="E32" s="412" t="s">
        <v>3101</v>
      </c>
      <c r="F32" t="b">
        <v>0</v>
      </c>
    </row>
    <row r="33">
      <c r="A33" s="411" t="s">
        <v>3102</v>
      </c>
      <c r="B33" s="411" t="s">
        <v>3052</v>
      </c>
      <c r="C33" s="411" t="s">
        <v>3103</v>
      </c>
      <c r="D33" s="412" t="s">
        <v>3104</v>
      </c>
      <c r="E33" s="412" t="s">
        <v>3105</v>
      </c>
      <c r="F33" t="b">
        <v>0</v>
      </c>
    </row>
    <row r="34">
      <c r="A34" s="411" t="s">
        <v>3106</v>
      </c>
      <c r="B34" s="411" t="s">
        <v>3052</v>
      </c>
      <c r="C34" s="411" t="s">
        <v>3107</v>
      </c>
      <c r="D34" s="412" t="s">
        <v>3108</v>
      </c>
      <c r="E34" s="412" t="s">
        <v>3109</v>
      </c>
      <c r="F34" t="b">
        <v>0</v>
      </c>
    </row>
    <row r="35">
      <c r="A35" s="411" t="s">
        <v>3110</v>
      </c>
      <c r="B35" s="411" t="s">
        <v>3052</v>
      </c>
      <c r="C35" s="411" t="s">
        <v>3111</v>
      </c>
      <c r="D35" s="412" t="s">
        <v>3112</v>
      </c>
      <c r="E35" s="412" t="s">
        <v>3113</v>
      </c>
      <c r="F35" t="b">
        <v>0</v>
      </c>
    </row>
    <row r="36">
      <c r="A36" s="411" t="s">
        <v>3114</v>
      </c>
      <c r="B36" s="411" t="s">
        <v>3052</v>
      </c>
      <c r="C36" s="411" t="s">
        <v>3115</v>
      </c>
      <c r="D36" s="412" t="s">
        <v>3116</v>
      </c>
      <c r="E36" s="412" t="s">
        <v>3117</v>
      </c>
      <c r="F36" t="b">
        <v>0</v>
      </c>
    </row>
    <row r="37">
      <c r="A37" s="411" t="s">
        <v>3118</v>
      </c>
      <c r="B37" s="411" t="s">
        <v>3052</v>
      </c>
      <c r="C37" s="411" t="s">
        <v>3087</v>
      </c>
      <c r="D37" s="412" t="s">
        <v>3119</v>
      </c>
      <c r="E37" s="412" t="s">
        <v>3120</v>
      </c>
      <c r="F37" t="b">
        <v>0</v>
      </c>
    </row>
    <row r="38">
      <c r="A38" s="411" t="s">
        <v>3121</v>
      </c>
      <c r="B38" s="411" t="s">
        <v>3052</v>
      </c>
      <c r="C38" s="411" t="s">
        <v>3122</v>
      </c>
      <c r="D38" s="412" t="s">
        <v>3123</v>
      </c>
      <c r="E38" s="412" t="s">
        <v>3124</v>
      </c>
      <c r="F38" t="b">
        <v>0</v>
      </c>
    </row>
    <row r="39">
      <c r="A39" s="411" t="s">
        <v>3125</v>
      </c>
      <c r="B39" s="431"/>
      <c r="C39" s="431"/>
      <c r="D39" s="431"/>
      <c r="E39" s="431"/>
      <c r="F39" t="b">
        <v>0</v>
      </c>
    </row>
    <row r="40">
      <c r="A40" s="241" t="s">
        <v>2994</v>
      </c>
      <c r="B40" s="241" t="s">
        <v>669</v>
      </c>
      <c r="C40" s="241" t="s">
        <v>2996</v>
      </c>
      <c r="D40" s="241" t="s">
        <v>4</v>
      </c>
      <c r="E40" s="241" t="s">
        <v>2730</v>
      </c>
      <c r="F40" t="b">
        <v>0</v>
      </c>
    </row>
    <row r="41">
      <c r="A41" s="411" t="s">
        <v>3021</v>
      </c>
      <c r="B41" s="411" t="s">
        <v>3052</v>
      </c>
      <c r="C41" s="411" t="s">
        <v>3023</v>
      </c>
      <c r="D41" s="411" t="s">
        <v>3126</v>
      </c>
      <c r="E41" s="412" t="s">
        <v>3127</v>
      </c>
      <c r="F41" t="b">
        <v>0</v>
      </c>
    </row>
    <row r="42">
      <c r="A42" s="411" t="s">
        <v>3016</v>
      </c>
      <c r="B42" s="411" t="s">
        <v>3052</v>
      </c>
      <c r="C42" s="411" t="s">
        <v>3019</v>
      </c>
      <c r="D42" s="411" t="s">
        <v>3128</v>
      </c>
      <c r="E42" s="412" t="s">
        <v>3129</v>
      </c>
      <c r="F42" t="b">
        <v>0</v>
      </c>
    </row>
    <row r="43">
      <c r="A43" s="411" t="s">
        <v>3130</v>
      </c>
      <c r="B43" s="411" t="s">
        <v>3052</v>
      </c>
      <c r="C43" s="411" t="s">
        <v>3131</v>
      </c>
      <c r="D43" s="411" t="s">
        <v>3132</v>
      </c>
      <c r="E43" s="412" t="s">
        <v>3133</v>
      </c>
      <c r="F43" t="b">
        <v>0</v>
      </c>
    </row>
    <row r="44">
      <c r="A44" s="411" t="s">
        <v>3134</v>
      </c>
      <c r="B44" s="411" t="s">
        <v>3052</v>
      </c>
      <c r="C44" s="411" t="s">
        <v>3122</v>
      </c>
      <c r="D44" s="411" t="s">
        <v>3135</v>
      </c>
      <c r="E44" s="412" t="s">
        <v>3136</v>
      </c>
      <c r="F44" t="b">
        <v>0</v>
      </c>
    </row>
    <row r="45">
      <c r="A45" s="411" t="s">
        <v>3137</v>
      </c>
      <c r="B45" s="411" t="s">
        <v>3052</v>
      </c>
      <c r="C45" s="411" t="s">
        <v>3138</v>
      </c>
      <c r="D45" s="411" t="s">
        <v>3139</v>
      </c>
      <c r="E45" s="412" t="s">
        <v>3140</v>
      </c>
      <c r="F45" t="b">
        <v>0</v>
      </c>
    </row>
    <row r="46">
      <c r="A46" s="411" t="s">
        <v>3141</v>
      </c>
      <c r="B46" s="411" t="s">
        <v>3052</v>
      </c>
      <c r="C46" s="411" t="s">
        <v>3142</v>
      </c>
      <c r="D46" s="411" t="s">
        <v>3143</v>
      </c>
      <c r="E46" s="412" t="s">
        <v>3144</v>
      </c>
      <c r="F46" t="b">
        <v>0</v>
      </c>
    </row>
    <row r="47">
      <c r="A47" s="411" t="s">
        <v>3145</v>
      </c>
      <c r="B47" s="411" t="s">
        <v>3052</v>
      </c>
      <c r="C47" s="411" t="s">
        <v>3146</v>
      </c>
      <c r="D47" s="411" t="s">
        <v>3147</v>
      </c>
      <c r="E47" s="412" t="s">
        <v>3148</v>
      </c>
      <c r="F47" t="b">
        <v>0</v>
      </c>
    </row>
    <row r="48">
      <c r="A48" s="411" t="s">
        <v>3149</v>
      </c>
      <c r="B48" s="411" t="s">
        <v>3052</v>
      </c>
      <c r="C48" s="411" t="s">
        <v>3150</v>
      </c>
      <c r="D48" s="411" t="s">
        <v>3151</v>
      </c>
      <c r="E48" s="412" t="s">
        <v>3152</v>
      </c>
      <c r="F48" t="b">
        <v>0</v>
      </c>
    </row>
    <row r="49">
      <c r="A49" s="411" t="s">
        <v>3153</v>
      </c>
      <c r="B49" s="411" t="s">
        <v>3052</v>
      </c>
      <c r="C49" s="411" t="s">
        <v>3111</v>
      </c>
      <c r="D49" s="411" t="s">
        <v>3154</v>
      </c>
      <c r="E49" s="412" t="s">
        <v>3155</v>
      </c>
      <c r="F49" t="b">
        <v>0</v>
      </c>
    </row>
    <row r="50">
      <c r="A50" s="411" t="s">
        <v>3156</v>
      </c>
      <c r="B50" s="411" t="s">
        <v>3052</v>
      </c>
      <c r="C50" s="411" t="s">
        <v>3122</v>
      </c>
      <c r="D50" s="411" t="s">
        <v>3157</v>
      </c>
      <c r="E50" s="431"/>
      <c r="F50" t="b">
        <v>0</v>
      </c>
    </row>
    <row r="51">
      <c r="A51" s="233" t="s">
        <v>2994</v>
      </c>
      <c r="B51" s="233" t="s">
        <v>669</v>
      </c>
      <c r="C51" s="233" t="s">
        <v>2996</v>
      </c>
      <c r="D51" s="233" t="s">
        <v>4</v>
      </c>
      <c r="E51" s="233" t="s">
        <v>2730</v>
      </c>
      <c r="F51" t="b">
        <v>0</v>
      </c>
    </row>
    <row r="52">
      <c r="A52" s="413" t="s">
        <v>3158</v>
      </c>
      <c r="B52" s="413" t="s">
        <v>3052</v>
      </c>
      <c r="C52" s="413" t="s">
        <v>3159</v>
      </c>
      <c r="D52" s="413" t="s">
        <v>2766</v>
      </c>
      <c r="E52" s="433" t="s">
        <v>3160</v>
      </c>
      <c r="F52" t="b">
        <v>0</v>
      </c>
    </row>
    <row r="53">
      <c r="A53" s="413" t="s">
        <v>3161</v>
      </c>
      <c r="B53" s="413" t="s">
        <v>3052</v>
      </c>
      <c r="C53" s="413" t="s">
        <v>3162</v>
      </c>
      <c r="D53" s="413" t="s">
        <v>2766</v>
      </c>
      <c r="E53" s="433" t="s">
        <v>3163</v>
      </c>
      <c r="F53" t="b">
        <v>0</v>
      </c>
    </row>
    <row r="54">
      <c r="A54" s="413" t="s">
        <v>3164</v>
      </c>
      <c r="B54" s="413" t="s">
        <v>3052</v>
      </c>
      <c r="C54" s="413" t="s">
        <v>3165</v>
      </c>
      <c r="D54" s="413" t="s">
        <v>2766</v>
      </c>
      <c r="E54" s="433" t="s">
        <v>3166</v>
      </c>
      <c r="F54" t="b">
        <v>0</v>
      </c>
    </row>
    <row r="55">
      <c r="A55" s="413" t="s">
        <v>3167</v>
      </c>
      <c r="B55" s="413" t="s">
        <v>3052</v>
      </c>
      <c r="C55" s="413" t="s">
        <v>3168</v>
      </c>
      <c r="D55" s="413" t="s">
        <v>2766</v>
      </c>
      <c r="E55" s="433" t="s">
        <v>3169</v>
      </c>
      <c r="F55" t="b">
        <v>0</v>
      </c>
    </row>
    <row r="56">
      <c r="A56" s="413" t="s">
        <v>3170</v>
      </c>
      <c r="B56" s="413" t="s">
        <v>3052</v>
      </c>
      <c r="C56" s="413" t="s">
        <v>3171</v>
      </c>
      <c r="F56" s="431"/>
    </row>
    <row r="57">
      <c r="A57" s="431"/>
      <c r="B57" s="431"/>
      <c r="C57" s="431"/>
      <c r="D57" s="431"/>
      <c r="E57" s="431"/>
      <c r="F57" s="431"/>
    </row>
    <row r="58">
      <c r="A58" s="431"/>
      <c r="B58" s="431"/>
      <c r="C58" s="431"/>
      <c r="D58" s="431"/>
      <c r="E58" s="431"/>
      <c r="F58" s="431"/>
    </row>
    <row r="59">
      <c r="A59" s="431"/>
      <c r="B59" s="431"/>
      <c r="C59" s="431"/>
      <c r="D59" s="431"/>
      <c r="E59" s="431"/>
      <c r="F59" s="431"/>
    </row>
    <row r="60">
      <c r="A60" s="431"/>
      <c r="B60" s="431"/>
      <c r="C60" s="431"/>
      <c r="D60" s="431"/>
      <c r="E60" s="431"/>
      <c r="F60" s="431"/>
    </row>
    <row r="61">
      <c r="A61" s="431"/>
      <c r="B61" s="431"/>
      <c r="C61" s="431"/>
      <c r="D61" s="431"/>
      <c r="E61" s="431"/>
      <c r="F61" s="431"/>
    </row>
    <row r="62">
      <c r="A62" s="431"/>
      <c r="B62" s="431"/>
      <c r="C62" s="431"/>
      <c r="D62" s="431"/>
      <c r="E62" s="431"/>
      <c r="F62" s="431"/>
    </row>
    <row r="63">
      <c r="A63" s="431"/>
      <c r="B63" s="431"/>
      <c r="C63" s="431"/>
      <c r="D63" s="431"/>
      <c r="E63" s="431"/>
      <c r="F63" s="431"/>
    </row>
    <row r="64">
      <c r="A64" s="431"/>
      <c r="B64" s="431"/>
      <c r="C64" s="431"/>
      <c r="D64" s="431"/>
      <c r="E64" s="431"/>
      <c r="F64" s="431"/>
    </row>
    <row r="65">
      <c r="A65" s="431"/>
      <c r="B65" s="431"/>
      <c r="C65" s="431"/>
      <c r="D65" s="431"/>
      <c r="E65" s="431"/>
      <c r="F65" s="431"/>
    </row>
    <row r="66">
      <c r="A66" s="431"/>
      <c r="B66" s="431"/>
      <c r="C66" s="431"/>
      <c r="D66" s="431"/>
      <c r="E66" s="431"/>
      <c r="F66" s="431"/>
    </row>
    <row r="67">
      <c r="A67" s="431"/>
      <c r="B67" s="431"/>
      <c r="C67" s="431"/>
      <c r="D67" s="431"/>
      <c r="E67" s="431"/>
      <c r="F67" s="431"/>
    </row>
    <row r="68">
      <c r="A68" s="431"/>
      <c r="B68" s="431"/>
      <c r="C68" s="431"/>
      <c r="D68" s="431"/>
      <c r="E68" s="431"/>
      <c r="F68" s="431"/>
    </row>
    <row r="69">
      <c r="A69" s="431"/>
      <c r="B69" s="431"/>
      <c r="C69" s="431"/>
      <c r="D69" s="431"/>
      <c r="E69" s="431"/>
      <c r="F69" s="431"/>
    </row>
    <row r="70">
      <c r="A70" s="431"/>
      <c r="B70" s="431"/>
      <c r="C70" s="431"/>
      <c r="D70" s="431"/>
      <c r="E70" s="431"/>
      <c r="F70" s="431"/>
    </row>
    <row r="71">
      <c r="A71" s="431"/>
      <c r="B71" s="431"/>
      <c r="C71" s="431"/>
      <c r="D71" s="431"/>
      <c r="E71" s="431"/>
      <c r="F71" s="431"/>
    </row>
    <row r="72">
      <c r="A72" s="431"/>
      <c r="B72" s="431"/>
      <c r="C72" s="431"/>
      <c r="D72" s="431"/>
      <c r="E72" s="431"/>
      <c r="F72" s="431"/>
    </row>
    <row r="73">
      <c r="A73" s="431"/>
      <c r="B73" s="431"/>
      <c r="C73" s="431"/>
      <c r="D73" s="431"/>
      <c r="E73" s="431"/>
      <c r="F73" s="431"/>
    </row>
    <row r="74">
      <c r="A74" s="431"/>
      <c r="B74" s="431"/>
      <c r="C74" s="431"/>
      <c r="D74" s="431"/>
      <c r="E74" s="431"/>
      <c r="F74" s="431"/>
    </row>
    <row r="75">
      <c r="A75" s="431"/>
      <c r="B75" s="431"/>
      <c r="C75" s="431"/>
      <c r="D75" s="431"/>
      <c r="E75" s="431"/>
      <c r="F75" s="431"/>
    </row>
    <row r="76">
      <c r="A76" s="431"/>
      <c r="B76" s="431"/>
      <c r="C76" s="431"/>
      <c r="D76" s="431"/>
      <c r="E76" s="431"/>
      <c r="F76" s="431"/>
    </row>
    <row r="77">
      <c r="A77" s="431"/>
      <c r="B77" s="431"/>
      <c r="C77" s="431"/>
      <c r="D77" s="431"/>
      <c r="E77" s="431"/>
      <c r="F77" s="431"/>
    </row>
    <row r="78">
      <c r="A78" s="431"/>
      <c r="B78" s="431"/>
      <c r="C78" s="431"/>
      <c r="D78" s="431"/>
      <c r="E78" s="431"/>
      <c r="F78" s="431"/>
    </row>
    <row r="79">
      <c r="A79" s="431"/>
      <c r="B79" s="431"/>
      <c r="C79" s="431"/>
      <c r="D79" s="431"/>
      <c r="E79" s="431"/>
      <c r="F79" s="431"/>
    </row>
    <row r="80">
      <c r="A80" s="431"/>
      <c r="B80" s="431"/>
      <c r="C80" s="431"/>
      <c r="D80" s="431"/>
      <c r="E80" s="431"/>
      <c r="F80" s="431"/>
    </row>
    <row r="81">
      <c r="A81" s="431"/>
      <c r="B81" s="431"/>
      <c r="C81" s="431"/>
      <c r="D81" s="431"/>
      <c r="E81" s="431"/>
      <c r="F81" s="431"/>
    </row>
    <row r="82">
      <c r="A82" s="431"/>
      <c r="B82" s="431"/>
      <c r="C82" s="431"/>
      <c r="D82" s="431"/>
      <c r="E82" s="431"/>
      <c r="F82" s="431"/>
    </row>
    <row r="83">
      <c r="A83" s="431"/>
      <c r="B83" s="431"/>
      <c r="C83" s="431"/>
      <c r="D83" s="431"/>
      <c r="E83" s="431"/>
      <c r="F83" s="431"/>
    </row>
    <row r="84">
      <c r="A84" s="431"/>
      <c r="B84" s="431"/>
      <c r="C84" s="431"/>
      <c r="D84" s="431"/>
      <c r="E84" s="431"/>
      <c r="F84" s="431"/>
    </row>
    <row r="85">
      <c r="A85" s="431"/>
      <c r="B85" s="431"/>
      <c r="C85" s="431"/>
      <c r="D85" s="431"/>
      <c r="E85" s="431"/>
      <c r="F85" s="431"/>
    </row>
    <row r="86">
      <c r="A86" s="431"/>
      <c r="B86" s="431"/>
      <c r="C86" s="431"/>
      <c r="D86" s="431"/>
      <c r="E86" s="431"/>
      <c r="F86" s="431"/>
    </row>
    <row r="87">
      <c r="A87" s="431"/>
      <c r="B87" s="431"/>
      <c r="C87" s="431"/>
      <c r="D87" s="431"/>
      <c r="E87" s="431"/>
      <c r="F87" s="431"/>
    </row>
    <row r="88">
      <c r="A88" s="431"/>
      <c r="B88" s="431"/>
      <c r="C88" s="431"/>
      <c r="D88" s="431"/>
      <c r="E88" s="431"/>
      <c r="F88" s="431"/>
    </row>
    <row r="89">
      <c r="A89" s="431"/>
      <c r="B89" s="431"/>
      <c r="C89" s="431"/>
      <c r="D89" s="431"/>
      <c r="E89" s="431"/>
      <c r="F89" s="431"/>
    </row>
    <row r="90">
      <c r="A90" s="431"/>
      <c r="B90" s="431"/>
      <c r="C90" s="431"/>
      <c r="D90" s="431"/>
      <c r="E90" s="431"/>
      <c r="F90" s="431"/>
    </row>
    <row r="91">
      <c r="A91" s="431"/>
      <c r="B91" s="431"/>
      <c r="C91" s="431"/>
      <c r="D91" s="431"/>
      <c r="E91" s="431"/>
      <c r="F91" s="431"/>
    </row>
    <row r="92">
      <c r="A92" s="431"/>
      <c r="B92" s="431"/>
      <c r="C92" s="431"/>
      <c r="D92" s="431"/>
      <c r="E92" s="431"/>
      <c r="F92" s="431"/>
    </row>
    <row r="93">
      <c r="A93" s="431"/>
      <c r="B93" s="431"/>
      <c r="C93" s="431"/>
      <c r="D93" s="431"/>
      <c r="E93" s="431"/>
      <c r="F93" s="431"/>
    </row>
    <row r="94">
      <c r="A94" s="431"/>
      <c r="B94" s="431"/>
      <c r="C94" s="431"/>
      <c r="D94" s="431"/>
      <c r="E94" s="431"/>
      <c r="F94" s="431"/>
    </row>
    <row r="95">
      <c r="A95" s="431"/>
      <c r="B95" s="431"/>
      <c r="C95" s="431"/>
      <c r="D95" s="431"/>
      <c r="E95" s="431"/>
      <c r="F95" s="431"/>
    </row>
    <row r="96">
      <c r="A96" s="431"/>
      <c r="B96" s="431"/>
      <c r="C96" s="431"/>
      <c r="D96" s="431"/>
      <c r="E96" s="431"/>
      <c r="F96" s="431"/>
    </row>
    <row r="97">
      <c r="A97" s="431"/>
      <c r="B97" s="431"/>
      <c r="C97" s="431"/>
      <c r="D97" s="431"/>
      <c r="E97" s="431"/>
      <c r="F97" s="431"/>
    </row>
    <row r="98">
      <c r="A98" s="431"/>
      <c r="B98" s="431"/>
      <c r="C98" s="431"/>
      <c r="D98" s="431"/>
      <c r="E98" s="431"/>
      <c r="F98" s="431"/>
    </row>
    <row r="99">
      <c r="A99" s="431"/>
      <c r="B99" s="431"/>
      <c r="C99" s="431"/>
      <c r="D99" s="431"/>
      <c r="E99" s="431"/>
      <c r="F99" s="431"/>
    </row>
    <row r="100">
      <c r="A100" s="431"/>
      <c r="B100" s="431"/>
      <c r="C100" s="431"/>
      <c r="D100" s="431"/>
      <c r="E100" s="431"/>
      <c r="F100" s="431"/>
    </row>
    <row r="101">
      <c r="A101" s="431"/>
      <c r="B101" s="431"/>
      <c r="C101" s="431"/>
      <c r="D101" s="431"/>
      <c r="E101" s="431"/>
      <c r="F101" s="431"/>
    </row>
    <row r="102">
      <c r="A102" s="431"/>
      <c r="B102" s="431"/>
      <c r="C102" s="431"/>
      <c r="D102" s="431"/>
      <c r="E102" s="431"/>
      <c r="F102" s="431"/>
    </row>
    <row r="103">
      <c r="A103" s="431"/>
      <c r="B103" s="431"/>
      <c r="C103" s="431"/>
      <c r="D103" s="431"/>
      <c r="E103" s="431"/>
      <c r="F103" s="431"/>
    </row>
    <row r="104">
      <c r="A104" s="431"/>
      <c r="B104" s="431"/>
      <c r="C104" s="431"/>
      <c r="D104" s="431"/>
      <c r="E104" s="431"/>
      <c r="F104" s="431"/>
    </row>
    <row r="105">
      <c r="A105" s="431"/>
      <c r="B105" s="431"/>
      <c r="C105" s="431"/>
      <c r="D105" s="431"/>
      <c r="E105" s="431"/>
      <c r="F105" s="431"/>
    </row>
    <row r="106">
      <c r="A106" s="431"/>
      <c r="B106" s="431"/>
      <c r="C106" s="431"/>
      <c r="D106" s="431"/>
      <c r="E106" s="431"/>
      <c r="F106" s="431"/>
    </row>
    <row r="107">
      <c r="A107" s="431"/>
      <c r="B107" s="431"/>
      <c r="C107" s="431"/>
      <c r="D107" s="431"/>
      <c r="E107" s="431"/>
      <c r="F107" s="431"/>
    </row>
    <row r="108">
      <c r="A108" s="431"/>
      <c r="B108" s="431"/>
      <c r="C108" s="431"/>
      <c r="D108" s="431"/>
      <c r="E108" s="431"/>
      <c r="F108" s="431"/>
    </row>
    <row r="109">
      <c r="A109" s="431"/>
      <c r="B109" s="431"/>
      <c r="C109" s="431"/>
      <c r="D109" s="431"/>
      <c r="E109" s="431"/>
      <c r="F109" s="431"/>
    </row>
    <row r="110">
      <c r="A110" s="431"/>
      <c r="B110" s="431"/>
      <c r="C110" s="431"/>
      <c r="D110" s="431"/>
      <c r="E110" s="431"/>
      <c r="F110" s="431"/>
    </row>
    <row r="111">
      <c r="A111" s="431"/>
      <c r="B111" s="431"/>
      <c r="C111" s="431"/>
      <c r="D111" s="431"/>
      <c r="E111" s="431"/>
      <c r="F111" s="431"/>
    </row>
    <row r="112">
      <c r="A112" s="431"/>
      <c r="B112" s="431"/>
      <c r="C112" s="431"/>
      <c r="D112" s="431"/>
      <c r="E112" s="431"/>
      <c r="F112" s="431"/>
    </row>
    <row r="113">
      <c r="A113" s="431"/>
      <c r="B113" s="431"/>
      <c r="C113" s="431"/>
      <c r="D113" s="431"/>
      <c r="E113" s="431"/>
      <c r="F113" s="431"/>
    </row>
    <row r="114">
      <c r="A114" s="431"/>
      <c r="B114" s="431"/>
      <c r="C114" s="431"/>
      <c r="D114" s="431"/>
      <c r="E114" s="431"/>
      <c r="F114" s="431"/>
    </row>
    <row r="115">
      <c r="A115" s="431"/>
      <c r="B115" s="431"/>
      <c r="C115" s="431"/>
      <c r="D115" s="431"/>
      <c r="E115" s="431"/>
      <c r="F115" s="431"/>
    </row>
    <row r="116">
      <c r="A116" s="431"/>
      <c r="B116" s="431"/>
      <c r="C116" s="431"/>
      <c r="D116" s="431"/>
      <c r="E116" s="431"/>
      <c r="F116" s="431"/>
    </row>
    <row r="117">
      <c r="A117" s="431"/>
      <c r="B117" s="431"/>
      <c r="C117" s="431"/>
      <c r="D117" s="431"/>
      <c r="E117" s="431"/>
      <c r="F117" s="431"/>
    </row>
    <row r="118">
      <c r="A118" s="431"/>
      <c r="B118" s="431"/>
      <c r="C118" s="431"/>
      <c r="D118" s="431"/>
      <c r="E118" s="431"/>
      <c r="F118" s="431"/>
    </row>
    <row r="119">
      <c r="A119" s="431"/>
      <c r="B119" s="431"/>
      <c r="C119" s="431"/>
      <c r="D119" s="431"/>
      <c r="E119" s="431"/>
      <c r="F119" s="431"/>
    </row>
    <row r="120">
      <c r="A120" s="431"/>
      <c r="B120" s="431"/>
      <c r="C120" s="431"/>
      <c r="D120" s="431"/>
      <c r="E120" s="431"/>
      <c r="F120" s="431"/>
    </row>
    <row r="121">
      <c r="A121" s="431"/>
      <c r="B121" s="431"/>
      <c r="C121" s="431"/>
      <c r="D121" s="431"/>
      <c r="E121" s="431"/>
      <c r="F121" s="431"/>
    </row>
    <row r="122">
      <c r="A122" s="431"/>
      <c r="B122" s="431"/>
      <c r="C122" s="431"/>
      <c r="D122" s="431"/>
      <c r="E122" s="431"/>
      <c r="F122" s="431"/>
    </row>
    <row r="123">
      <c r="A123" s="431"/>
      <c r="B123" s="431"/>
      <c r="C123" s="431"/>
      <c r="D123" s="431"/>
      <c r="E123" s="431"/>
      <c r="F123" s="431"/>
    </row>
    <row r="124">
      <c r="A124" s="431"/>
      <c r="B124" s="431"/>
      <c r="C124" s="431"/>
      <c r="D124" s="431"/>
      <c r="E124" s="431"/>
      <c r="F124" s="431"/>
    </row>
    <row r="125">
      <c r="A125" s="431"/>
      <c r="B125" s="431"/>
      <c r="C125" s="431"/>
      <c r="D125" s="431"/>
      <c r="E125" s="431"/>
      <c r="F125" s="431"/>
    </row>
    <row r="126">
      <c r="A126" s="431"/>
      <c r="B126" s="431"/>
      <c r="C126" s="431"/>
      <c r="D126" s="431"/>
      <c r="E126" s="431"/>
      <c r="F126" s="431"/>
    </row>
    <row r="127">
      <c r="A127" s="431"/>
      <c r="B127" s="431"/>
      <c r="C127" s="431"/>
      <c r="D127" s="431"/>
      <c r="E127" s="431"/>
      <c r="F127" s="431"/>
    </row>
    <row r="128">
      <c r="A128" s="431"/>
      <c r="B128" s="431"/>
      <c r="C128" s="431"/>
      <c r="D128" s="431"/>
      <c r="E128" s="431"/>
      <c r="F128" s="431"/>
    </row>
    <row r="129">
      <c r="A129" s="431"/>
      <c r="B129" s="431"/>
      <c r="C129" s="431"/>
      <c r="D129" s="431"/>
      <c r="E129" s="431"/>
      <c r="F129" s="431"/>
    </row>
    <row r="130">
      <c r="A130" s="431"/>
      <c r="B130" s="431"/>
      <c r="C130" s="431"/>
      <c r="D130" s="431"/>
      <c r="E130" s="431"/>
      <c r="F130" s="431"/>
    </row>
    <row r="131">
      <c r="A131" s="431"/>
      <c r="B131" s="431"/>
      <c r="C131" s="431"/>
      <c r="D131" s="431"/>
      <c r="E131" s="431"/>
      <c r="F131" s="431"/>
    </row>
    <row r="132">
      <c r="A132" s="431"/>
      <c r="B132" s="431"/>
      <c r="C132" s="431"/>
      <c r="D132" s="431"/>
      <c r="E132" s="431"/>
      <c r="F132" s="431"/>
    </row>
    <row r="133">
      <c r="A133" s="431"/>
      <c r="B133" s="431"/>
      <c r="C133" s="431"/>
      <c r="D133" s="431"/>
      <c r="E133" s="431"/>
      <c r="F133" s="431"/>
    </row>
    <row r="134">
      <c r="A134" s="431"/>
      <c r="B134" s="431"/>
      <c r="C134" s="431"/>
      <c r="D134" s="431"/>
      <c r="E134" s="431"/>
      <c r="F134" s="431"/>
    </row>
    <row r="135">
      <c r="A135" s="431"/>
      <c r="B135" s="431"/>
      <c r="C135" s="431"/>
      <c r="D135" s="431"/>
      <c r="E135" s="431"/>
      <c r="F135" s="431"/>
    </row>
    <row r="136">
      <c r="A136" s="431"/>
      <c r="B136" s="431"/>
      <c r="C136" s="431"/>
      <c r="D136" s="431"/>
      <c r="E136" s="431"/>
      <c r="F136" s="431"/>
    </row>
    <row r="137">
      <c r="A137" s="431"/>
      <c r="B137" s="431"/>
      <c r="C137" s="431"/>
      <c r="D137" s="431"/>
      <c r="E137" s="431"/>
      <c r="F137" s="431"/>
    </row>
    <row r="138">
      <c r="A138" s="431"/>
      <c r="B138" s="431"/>
      <c r="C138" s="431"/>
      <c r="D138" s="431"/>
      <c r="E138" s="431"/>
      <c r="F138" s="431"/>
    </row>
    <row r="139">
      <c r="A139" s="431"/>
      <c r="B139" s="431"/>
      <c r="C139" s="431"/>
      <c r="D139" s="431"/>
      <c r="E139" s="431"/>
      <c r="F139" s="431"/>
    </row>
    <row r="140">
      <c r="A140" s="431"/>
      <c r="B140" s="431"/>
      <c r="C140" s="431"/>
      <c r="D140" s="431"/>
      <c r="E140" s="431"/>
      <c r="F140" s="431"/>
    </row>
    <row r="141">
      <c r="A141" s="431"/>
      <c r="B141" s="431"/>
      <c r="C141" s="431"/>
      <c r="D141" s="431"/>
      <c r="E141" s="431"/>
      <c r="F141" s="431"/>
    </row>
    <row r="142">
      <c r="A142" s="431"/>
      <c r="B142" s="431"/>
      <c r="C142" s="431"/>
      <c r="D142" s="431"/>
      <c r="E142" s="431"/>
      <c r="F142" s="431"/>
    </row>
    <row r="143">
      <c r="A143" s="431"/>
      <c r="B143" s="431"/>
      <c r="C143" s="431"/>
      <c r="D143" s="431"/>
      <c r="E143" s="431"/>
      <c r="F143" s="431"/>
    </row>
    <row r="144">
      <c r="A144" s="431"/>
      <c r="B144" s="431"/>
      <c r="C144" s="431"/>
      <c r="D144" s="431"/>
      <c r="E144" s="431"/>
      <c r="F144" s="431"/>
    </row>
    <row r="145">
      <c r="A145" s="431"/>
      <c r="B145" s="431"/>
      <c r="C145" s="431"/>
      <c r="D145" s="431"/>
      <c r="E145" s="431"/>
      <c r="F145" s="431"/>
    </row>
    <row r="146">
      <c r="A146" s="431"/>
      <c r="B146" s="431"/>
      <c r="C146" s="431"/>
      <c r="D146" s="431"/>
      <c r="E146" s="431"/>
      <c r="F146" s="431"/>
    </row>
    <row r="147">
      <c r="A147" s="431"/>
      <c r="B147" s="431"/>
      <c r="C147" s="431"/>
      <c r="D147" s="431"/>
      <c r="E147" s="431"/>
      <c r="F147" s="431"/>
    </row>
    <row r="148">
      <c r="A148" s="431"/>
      <c r="B148" s="431"/>
      <c r="C148" s="431"/>
      <c r="D148" s="431"/>
      <c r="E148" s="431"/>
      <c r="F148" s="431"/>
    </row>
    <row r="149">
      <c r="A149" s="431"/>
      <c r="B149" s="431"/>
      <c r="C149" s="431"/>
      <c r="D149" s="431"/>
      <c r="E149" s="431"/>
      <c r="F149" s="431"/>
    </row>
    <row r="150">
      <c r="A150" s="431"/>
      <c r="B150" s="431"/>
      <c r="C150" s="431"/>
      <c r="D150" s="431"/>
      <c r="E150" s="431"/>
      <c r="F150" s="431"/>
    </row>
    <row r="151">
      <c r="A151" s="431"/>
      <c r="B151" s="431"/>
      <c r="C151" s="431"/>
      <c r="D151" s="431"/>
      <c r="E151" s="431"/>
      <c r="F151" s="431"/>
    </row>
    <row r="152">
      <c r="A152" s="431"/>
      <c r="B152" s="431"/>
      <c r="C152" s="431"/>
      <c r="D152" s="431"/>
      <c r="E152" s="431"/>
      <c r="F152" s="431"/>
    </row>
    <row r="153">
      <c r="A153" s="431"/>
      <c r="B153" s="431"/>
      <c r="C153" s="431"/>
      <c r="D153" s="431"/>
      <c r="E153" s="431"/>
      <c r="F153" s="431"/>
    </row>
    <row r="154">
      <c r="A154" s="431"/>
      <c r="B154" s="431"/>
      <c r="C154" s="431"/>
      <c r="D154" s="431"/>
      <c r="E154" s="431"/>
      <c r="F154" s="431"/>
    </row>
    <row r="155">
      <c r="A155" s="431"/>
      <c r="B155" s="431"/>
      <c r="C155" s="431"/>
      <c r="D155" s="431"/>
      <c r="E155" s="431"/>
      <c r="F155" s="431"/>
    </row>
    <row r="156">
      <c r="A156" s="431"/>
      <c r="B156" s="431"/>
      <c r="C156" s="431"/>
      <c r="D156" s="431"/>
      <c r="E156" s="431"/>
      <c r="F156" s="431"/>
    </row>
    <row r="157">
      <c r="A157" s="431"/>
      <c r="B157" s="431"/>
      <c r="C157" s="431"/>
      <c r="D157" s="431"/>
      <c r="E157" s="431"/>
      <c r="F157" s="431"/>
    </row>
    <row r="158">
      <c r="A158" s="431"/>
      <c r="B158" s="431"/>
      <c r="C158" s="431"/>
      <c r="D158" s="431"/>
      <c r="E158" s="431"/>
      <c r="F158" s="431"/>
    </row>
    <row r="159">
      <c r="A159" s="431"/>
      <c r="B159" s="431"/>
      <c r="C159" s="431"/>
      <c r="D159" s="431"/>
      <c r="E159" s="431"/>
      <c r="F159" s="431"/>
    </row>
    <row r="160">
      <c r="A160" s="431"/>
      <c r="B160" s="431"/>
      <c r="C160" s="431"/>
      <c r="D160" s="431"/>
      <c r="E160" s="431"/>
      <c r="F160" s="431"/>
    </row>
    <row r="161">
      <c r="A161" s="431"/>
      <c r="B161" s="431"/>
      <c r="C161" s="431"/>
      <c r="D161" s="431"/>
      <c r="E161" s="431"/>
      <c r="F161" s="431"/>
    </row>
    <row r="162">
      <c r="A162" s="431"/>
      <c r="B162" s="431"/>
      <c r="C162" s="431"/>
      <c r="D162" s="431"/>
      <c r="E162" s="431"/>
      <c r="F162" s="431"/>
    </row>
    <row r="163">
      <c r="A163" s="431"/>
      <c r="B163" s="431"/>
      <c r="C163" s="431"/>
      <c r="D163" s="431"/>
      <c r="E163" s="431"/>
      <c r="F163" s="431"/>
    </row>
    <row r="164">
      <c r="A164" s="431"/>
      <c r="B164" s="431"/>
      <c r="C164" s="431"/>
      <c r="D164" s="431"/>
      <c r="E164" s="431"/>
      <c r="F164" s="431"/>
    </row>
    <row r="165">
      <c r="A165" s="431"/>
      <c r="B165" s="431"/>
      <c r="C165" s="431"/>
      <c r="D165" s="431"/>
      <c r="E165" s="431"/>
      <c r="F165" s="431"/>
    </row>
    <row r="166">
      <c r="A166" s="431"/>
      <c r="B166" s="431"/>
      <c r="C166" s="431"/>
      <c r="D166" s="431"/>
      <c r="E166" s="431"/>
      <c r="F166" s="431"/>
    </row>
    <row r="167">
      <c r="A167" s="431"/>
      <c r="B167" s="431"/>
      <c r="C167" s="431"/>
      <c r="D167" s="431"/>
      <c r="E167" s="431"/>
      <c r="F167" s="431"/>
    </row>
    <row r="168">
      <c r="A168" s="431"/>
      <c r="B168" s="431"/>
      <c r="C168" s="431"/>
      <c r="D168" s="431"/>
      <c r="E168" s="431"/>
      <c r="F168" s="431"/>
    </row>
    <row r="169">
      <c r="A169" s="431"/>
      <c r="B169" s="431"/>
      <c r="C169" s="431"/>
      <c r="D169" s="431"/>
      <c r="E169" s="431"/>
      <c r="F169" s="431"/>
    </row>
    <row r="170">
      <c r="A170" s="431"/>
      <c r="B170" s="431"/>
      <c r="C170" s="431"/>
      <c r="D170" s="431"/>
      <c r="E170" s="431"/>
      <c r="F170" s="431"/>
    </row>
    <row r="171">
      <c r="A171" s="431"/>
      <c r="B171" s="431"/>
      <c r="C171" s="431"/>
      <c r="D171" s="431"/>
      <c r="E171" s="431"/>
      <c r="F171" s="431"/>
    </row>
    <row r="172">
      <c r="A172" s="431"/>
      <c r="B172" s="431"/>
      <c r="C172" s="431"/>
      <c r="D172" s="431"/>
      <c r="E172" s="431"/>
      <c r="F172" s="431"/>
    </row>
    <row r="173">
      <c r="A173" s="431"/>
      <c r="B173" s="431"/>
      <c r="C173" s="431"/>
      <c r="D173" s="431"/>
      <c r="E173" s="431"/>
      <c r="F173" s="431"/>
    </row>
    <row r="174">
      <c r="A174" s="431"/>
      <c r="B174" s="431"/>
      <c r="C174" s="431"/>
      <c r="D174" s="431"/>
      <c r="E174" s="431"/>
      <c r="F174" s="431"/>
    </row>
    <row r="175">
      <c r="A175" s="431"/>
      <c r="B175" s="431"/>
      <c r="C175" s="431"/>
      <c r="D175" s="431"/>
      <c r="E175" s="431"/>
      <c r="F175" s="431"/>
    </row>
    <row r="176">
      <c r="A176" s="431"/>
      <c r="B176" s="431"/>
      <c r="C176" s="431"/>
      <c r="D176" s="431"/>
      <c r="E176" s="431"/>
      <c r="F176" s="431"/>
    </row>
    <row r="177">
      <c r="A177" s="431"/>
      <c r="B177" s="431"/>
      <c r="C177" s="431"/>
      <c r="D177" s="431"/>
      <c r="E177" s="431"/>
      <c r="F177" s="431"/>
    </row>
    <row r="178">
      <c r="A178" s="431"/>
      <c r="B178" s="431"/>
      <c r="C178" s="431"/>
      <c r="D178" s="431"/>
      <c r="E178" s="431"/>
      <c r="F178" s="431"/>
    </row>
    <row r="179">
      <c r="A179" s="431"/>
      <c r="B179" s="431"/>
      <c r="C179" s="431"/>
      <c r="D179" s="431"/>
      <c r="E179" s="431"/>
      <c r="F179" s="431"/>
    </row>
    <row r="180">
      <c r="A180" s="431"/>
      <c r="B180" s="431"/>
      <c r="C180" s="431"/>
      <c r="D180" s="431"/>
      <c r="E180" s="431"/>
      <c r="F180" s="431"/>
    </row>
    <row r="181">
      <c r="A181" s="431"/>
      <c r="B181" s="431"/>
      <c r="C181" s="431"/>
      <c r="D181" s="431"/>
      <c r="E181" s="431"/>
      <c r="F181" s="431"/>
    </row>
    <row r="182">
      <c r="A182" s="431"/>
      <c r="B182" s="431"/>
      <c r="C182" s="431"/>
      <c r="D182" s="431"/>
      <c r="E182" s="431"/>
      <c r="F182" s="431"/>
    </row>
    <row r="183">
      <c r="A183" s="431"/>
      <c r="B183" s="431"/>
      <c r="C183" s="431"/>
      <c r="D183" s="431"/>
      <c r="E183" s="431"/>
      <c r="F183" s="431"/>
    </row>
    <row r="184">
      <c r="A184" s="431"/>
      <c r="B184" s="431"/>
      <c r="C184" s="431"/>
      <c r="D184" s="431"/>
      <c r="E184" s="431"/>
      <c r="F184" s="431"/>
    </row>
    <row r="185">
      <c r="A185" s="431"/>
      <c r="B185" s="431"/>
      <c r="C185" s="431"/>
      <c r="D185" s="431"/>
      <c r="E185" s="431"/>
      <c r="F185" s="431"/>
    </row>
    <row r="186">
      <c r="A186" s="431"/>
      <c r="B186" s="431"/>
      <c r="C186" s="431"/>
      <c r="D186" s="431"/>
      <c r="E186" s="431"/>
      <c r="F186" s="431"/>
    </row>
    <row r="187">
      <c r="A187" s="431"/>
      <c r="B187" s="431"/>
      <c r="C187" s="431"/>
      <c r="D187" s="431"/>
      <c r="E187" s="431"/>
      <c r="F187" s="431"/>
    </row>
    <row r="188">
      <c r="A188" s="431"/>
      <c r="B188" s="431"/>
      <c r="C188" s="431"/>
      <c r="D188" s="431"/>
      <c r="E188" s="431"/>
      <c r="F188" s="431"/>
    </row>
    <row r="189">
      <c r="A189" s="431"/>
      <c r="B189" s="431"/>
      <c r="C189" s="431"/>
      <c r="D189" s="431"/>
      <c r="E189" s="431"/>
      <c r="F189" s="431"/>
    </row>
    <row r="190">
      <c r="A190" s="431"/>
      <c r="B190" s="431"/>
      <c r="C190" s="431"/>
      <c r="D190" s="431"/>
      <c r="E190" s="431"/>
      <c r="F190" s="431"/>
    </row>
    <row r="191">
      <c r="A191" s="431"/>
      <c r="B191" s="431"/>
      <c r="C191" s="431"/>
      <c r="D191" s="431"/>
      <c r="E191" s="431"/>
      <c r="F191" s="431"/>
    </row>
    <row r="192">
      <c r="A192" s="431"/>
      <c r="B192" s="431"/>
      <c r="C192" s="431"/>
      <c r="D192" s="431"/>
      <c r="E192" s="431"/>
      <c r="F192" s="431"/>
    </row>
    <row r="193">
      <c r="A193" s="431"/>
      <c r="B193" s="431"/>
      <c r="C193" s="431"/>
      <c r="D193" s="431"/>
      <c r="E193" s="431"/>
      <c r="F193" s="431"/>
    </row>
    <row r="194">
      <c r="A194" s="431"/>
      <c r="B194" s="431"/>
      <c r="C194" s="431"/>
      <c r="D194" s="431"/>
      <c r="E194" s="431"/>
      <c r="F194" s="431"/>
    </row>
    <row r="195">
      <c r="A195" s="431"/>
      <c r="B195" s="431"/>
      <c r="C195" s="431"/>
      <c r="D195" s="431"/>
      <c r="E195" s="431"/>
      <c r="F195" s="431"/>
    </row>
    <row r="196">
      <c r="A196" s="431"/>
      <c r="B196" s="431"/>
      <c r="C196" s="431"/>
      <c r="D196" s="431"/>
      <c r="E196" s="431"/>
      <c r="F196" s="431"/>
    </row>
    <row r="197">
      <c r="A197" s="431"/>
      <c r="B197" s="431"/>
      <c r="C197" s="431"/>
      <c r="D197" s="431"/>
      <c r="E197" s="431"/>
      <c r="F197" s="431"/>
    </row>
    <row r="198">
      <c r="A198" s="431"/>
      <c r="B198" s="431"/>
      <c r="C198" s="431"/>
      <c r="D198" s="431"/>
      <c r="E198" s="431"/>
      <c r="F198" s="431"/>
    </row>
    <row r="199">
      <c r="A199" s="431"/>
      <c r="B199" s="431"/>
      <c r="C199" s="431"/>
      <c r="D199" s="431"/>
      <c r="E199" s="431"/>
      <c r="F199" s="431"/>
    </row>
    <row r="200">
      <c r="A200" s="431"/>
      <c r="B200" s="431"/>
      <c r="C200" s="431"/>
      <c r="D200" s="431"/>
      <c r="E200" s="431"/>
      <c r="F200" s="431"/>
    </row>
    <row r="201">
      <c r="A201" s="431"/>
      <c r="B201" s="431"/>
      <c r="C201" s="431"/>
      <c r="D201" s="431"/>
      <c r="E201" s="431"/>
      <c r="F201" s="431"/>
    </row>
    <row r="202">
      <c r="A202" s="431"/>
      <c r="B202" s="431"/>
      <c r="C202" s="431"/>
      <c r="D202" s="431"/>
      <c r="E202" s="431"/>
      <c r="F202" s="431"/>
    </row>
    <row r="203">
      <c r="A203" s="431"/>
      <c r="B203" s="431"/>
      <c r="C203" s="431"/>
      <c r="D203" s="431"/>
      <c r="E203" s="431"/>
      <c r="F203" s="431"/>
    </row>
    <row r="204">
      <c r="A204" s="431"/>
      <c r="B204" s="431"/>
      <c r="C204" s="431"/>
      <c r="D204" s="431"/>
      <c r="E204" s="431"/>
      <c r="F204" s="431"/>
    </row>
    <row r="205">
      <c r="A205" s="431"/>
      <c r="B205" s="431"/>
      <c r="C205" s="431"/>
      <c r="D205" s="431"/>
      <c r="E205" s="431"/>
      <c r="F205" s="431"/>
    </row>
    <row r="206">
      <c r="A206" s="431"/>
      <c r="B206" s="431"/>
      <c r="C206" s="431"/>
      <c r="D206" s="431"/>
      <c r="E206" s="431"/>
      <c r="F206" s="431"/>
    </row>
    <row r="207">
      <c r="A207" s="431"/>
      <c r="B207" s="431"/>
      <c r="C207" s="431"/>
      <c r="D207" s="431"/>
      <c r="E207" s="431"/>
      <c r="F207" s="431"/>
    </row>
    <row r="208">
      <c r="A208" s="431"/>
      <c r="B208" s="431"/>
      <c r="C208" s="431"/>
      <c r="D208" s="431"/>
      <c r="E208" s="431"/>
      <c r="F208" s="431"/>
    </row>
    <row r="209">
      <c r="A209" s="431"/>
      <c r="B209" s="431"/>
      <c r="C209" s="431"/>
      <c r="D209" s="431"/>
      <c r="E209" s="431"/>
      <c r="F209" s="431"/>
    </row>
    <row r="210">
      <c r="A210" s="431"/>
      <c r="B210" s="431"/>
      <c r="C210" s="431"/>
      <c r="D210" s="431"/>
      <c r="E210" s="431"/>
      <c r="F210" s="431"/>
    </row>
    <row r="211">
      <c r="A211" s="431"/>
      <c r="B211" s="431"/>
      <c r="C211" s="431"/>
      <c r="D211" s="431"/>
      <c r="E211" s="431"/>
      <c r="F211" s="431"/>
    </row>
    <row r="212">
      <c r="A212" s="431"/>
      <c r="B212" s="431"/>
      <c r="C212" s="431"/>
      <c r="D212" s="431"/>
      <c r="E212" s="431"/>
      <c r="F212" s="431"/>
    </row>
    <row r="213">
      <c r="A213" s="431"/>
      <c r="B213" s="431"/>
      <c r="C213" s="431"/>
      <c r="D213" s="431"/>
      <c r="E213" s="431"/>
      <c r="F213" s="431"/>
    </row>
    <row r="214">
      <c r="A214" s="431"/>
      <c r="B214" s="431"/>
      <c r="C214" s="431"/>
      <c r="D214" s="431"/>
      <c r="E214" s="431"/>
      <c r="F214" s="431"/>
    </row>
    <row r="215">
      <c r="A215" s="431"/>
      <c r="B215" s="431"/>
      <c r="C215" s="431"/>
      <c r="D215" s="431"/>
      <c r="E215" s="431"/>
      <c r="F215" s="431"/>
    </row>
    <row r="216">
      <c r="A216" s="431"/>
      <c r="B216" s="431"/>
      <c r="C216" s="431"/>
      <c r="D216" s="431"/>
      <c r="E216" s="431"/>
      <c r="F216" s="431"/>
    </row>
    <row r="217">
      <c r="A217" s="431"/>
      <c r="B217" s="431"/>
      <c r="C217" s="431"/>
      <c r="D217" s="431"/>
      <c r="E217" s="431"/>
      <c r="F217" s="431"/>
    </row>
    <row r="218">
      <c r="A218" s="431"/>
      <c r="B218" s="431"/>
      <c r="C218" s="431"/>
      <c r="D218" s="431"/>
      <c r="E218" s="431"/>
      <c r="F218" s="431"/>
    </row>
    <row r="219">
      <c r="A219" s="431"/>
      <c r="B219" s="431"/>
      <c r="C219" s="431"/>
      <c r="D219" s="431"/>
      <c r="E219" s="431"/>
      <c r="F219" s="431"/>
    </row>
    <row r="220">
      <c r="A220" s="431"/>
      <c r="B220" s="431"/>
      <c r="C220" s="431"/>
      <c r="D220" s="431"/>
      <c r="E220" s="431"/>
      <c r="F220" s="431"/>
    </row>
    <row r="221">
      <c r="A221" s="431"/>
      <c r="B221" s="431"/>
      <c r="C221" s="431"/>
      <c r="D221" s="431"/>
      <c r="E221" s="431"/>
      <c r="F221" s="431"/>
    </row>
    <row r="222">
      <c r="A222" s="431"/>
      <c r="B222" s="431"/>
      <c r="C222" s="431"/>
      <c r="D222" s="431"/>
      <c r="E222" s="431"/>
      <c r="F222" s="431"/>
    </row>
    <row r="223">
      <c r="A223" s="431"/>
      <c r="B223" s="431"/>
      <c r="C223" s="431"/>
      <c r="D223" s="431"/>
      <c r="E223" s="431"/>
      <c r="F223" s="431"/>
    </row>
    <row r="224">
      <c r="A224" s="431"/>
      <c r="B224" s="431"/>
      <c r="C224" s="431"/>
      <c r="D224" s="431"/>
      <c r="E224" s="431"/>
      <c r="F224" s="431"/>
    </row>
    <row r="225">
      <c r="A225" s="431"/>
      <c r="B225" s="431"/>
      <c r="C225" s="431"/>
      <c r="D225" s="431"/>
      <c r="E225" s="431"/>
      <c r="F225" s="431"/>
    </row>
    <row r="226">
      <c r="A226" s="431"/>
      <c r="B226" s="431"/>
      <c r="C226" s="431"/>
      <c r="D226" s="431"/>
      <c r="E226" s="431"/>
      <c r="F226" s="431"/>
    </row>
    <row r="227">
      <c r="A227" s="431"/>
      <c r="B227" s="431"/>
      <c r="C227" s="431"/>
      <c r="D227" s="431"/>
      <c r="E227" s="431"/>
      <c r="F227" s="431"/>
    </row>
    <row r="228">
      <c r="A228" s="431"/>
      <c r="B228" s="431"/>
      <c r="C228" s="431"/>
      <c r="D228" s="431"/>
      <c r="E228" s="431"/>
      <c r="F228" s="431"/>
    </row>
    <row r="229">
      <c r="A229" s="431"/>
      <c r="B229" s="431"/>
      <c r="C229" s="431"/>
      <c r="D229" s="431"/>
      <c r="E229" s="431"/>
      <c r="F229" s="431"/>
    </row>
    <row r="230">
      <c r="A230" s="431"/>
      <c r="B230" s="431"/>
      <c r="C230" s="431"/>
      <c r="D230" s="431"/>
      <c r="E230" s="431"/>
      <c r="F230" s="431"/>
    </row>
    <row r="231">
      <c r="A231" s="431"/>
      <c r="B231" s="431"/>
      <c r="C231" s="431"/>
      <c r="D231" s="431"/>
      <c r="E231" s="431"/>
      <c r="F231" s="431"/>
    </row>
    <row r="232">
      <c r="A232" s="431"/>
      <c r="B232" s="431"/>
      <c r="C232" s="431"/>
      <c r="D232" s="431"/>
      <c r="E232" s="431"/>
      <c r="F232" s="431"/>
    </row>
    <row r="233">
      <c r="A233" s="431"/>
      <c r="B233" s="431"/>
      <c r="C233" s="431"/>
      <c r="D233" s="431"/>
      <c r="E233" s="431"/>
      <c r="F233" s="431"/>
    </row>
    <row r="234">
      <c r="A234" s="431"/>
      <c r="B234" s="431"/>
      <c r="C234" s="431"/>
      <c r="D234" s="431"/>
      <c r="E234" s="431"/>
      <c r="F234" s="431"/>
    </row>
    <row r="235">
      <c r="A235" s="431"/>
      <c r="B235" s="431"/>
      <c r="C235" s="431"/>
      <c r="D235" s="431"/>
      <c r="E235" s="431"/>
      <c r="F235" s="431"/>
    </row>
    <row r="236">
      <c r="A236" s="431"/>
      <c r="B236" s="431"/>
      <c r="C236" s="431"/>
      <c r="D236" s="431"/>
      <c r="E236" s="431"/>
      <c r="F236" s="431"/>
    </row>
    <row r="237">
      <c r="A237" s="431"/>
      <c r="B237" s="431"/>
      <c r="C237" s="431"/>
      <c r="D237" s="431"/>
      <c r="E237" s="431"/>
      <c r="F237" s="431"/>
    </row>
    <row r="238">
      <c r="A238" s="431"/>
      <c r="B238" s="431"/>
      <c r="C238" s="431"/>
      <c r="D238" s="431"/>
      <c r="E238" s="431"/>
      <c r="F238" s="431"/>
    </row>
    <row r="239">
      <c r="A239" s="431"/>
      <c r="B239" s="431"/>
      <c r="C239" s="431"/>
      <c r="D239" s="431"/>
      <c r="E239" s="431"/>
      <c r="F239" s="431"/>
    </row>
    <row r="240">
      <c r="A240" s="431"/>
      <c r="B240" s="431"/>
      <c r="C240" s="431"/>
      <c r="D240" s="431"/>
      <c r="E240" s="431"/>
      <c r="F240" s="431"/>
    </row>
    <row r="241">
      <c r="A241" s="431"/>
      <c r="B241" s="431"/>
      <c r="C241" s="431"/>
      <c r="D241" s="431"/>
      <c r="E241" s="431"/>
      <c r="F241" s="431"/>
    </row>
    <row r="242">
      <c r="A242" s="431"/>
      <c r="B242" s="431"/>
      <c r="C242" s="431"/>
      <c r="D242" s="431"/>
      <c r="E242" s="431"/>
      <c r="F242" s="431"/>
    </row>
    <row r="243">
      <c r="A243" s="431"/>
      <c r="B243" s="431"/>
      <c r="C243" s="431"/>
      <c r="D243" s="431"/>
      <c r="E243" s="431"/>
      <c r="F243" s="431"/>
    </row>
    <row r="244">
      <c r="A244" s="431"/>
      <c r="B244" s="431"/>
      <c r="C244" s="431"/>
      <c r="D244" s="431"/>
      <c r="E244" s="431"/>
      <c r="F244" s="431"/>
    </row>
    <row r="245">
      <c r="A245" s="431"/>
      <c r="B245" s="431"/>
      <c r="C245" s="431"/>
      <c r="D245" s="431"/>
      <c r="E245" s="431"/>
      <c r="F245" s="431"/>
    </row>
    <row r="246">
      <c r="A246" s="431"/>
      <c r="B246" s="431"/>
      <c r="C246" s="431"/>
      <c r="D246" s="431"/>
      <c r="E246" s="431"/>
      <c r="F246" s="431"/>
    </row>
    <row r="247">
      <c r="A247" s="431"/>
      <c r="B247" s="431"/>
      <c r="C247" s="431"/>
      <c r="D247" s="431"/>
      <c r="E247" s="431"/>
      <c r="F247" s="431"/>
    </row>
    <row r="248">
      <c r="A248" s="431"/>
      <c r="B248" s="431"/>
      <c r="C248" s="431"/>
      <c r="D248" s="431"/>
      <c r="E248" s="431"/>
      <c r="F248" s="431"/>
    </row>
    <row r="249">
      <c r="A249" s="431"/>
      <c r="B249" s="431"/>
      <c r="C249" s="431"/>
      <c r="D249" s="431"/>
      <c r="E249" s="431"/>
      <c r="F249" s="431"/>
    </row>
    <row r="250">
      <c r="A250" s="431"/>
      <c r="B250" s="431"/>
      <c r="C250" s="431"/>
      <c r="D250" s="431"/>
      <c r="E250" s="431"/>
      <c r="F250" s="431"/>
    </row>
    <row r="251">
      <c r="A251" s="431"/>
      <c r="B251" s="431"/>
      <c r="C251" s="431"/>
      <c r="D251" s="431"/>
      <c r="E251" s="431"/>
      <c r="F251" s="431"/>
    </row>
    <row r="252">
      <c r="A252" s="431"/>
      <c r="B252" s="431"/>
      <c r="C252" s="431"/>
      <c r="D252" s="431"/>
      <c r="E252" s="431"/>
      <c r="F252" s="431"/>
    </row>
    <row r="253">
      <c r="A253" s="431"/>
      <c r="B253" s="431"/>
      <c r="C253" s="431"/>
      <c r="D253" s="431"/>
      <c r="E253" s="431"/>
      <c r="F253" s="431"/>
    </row>
    <row r="254">
      <c r="A254" s="431"/>
      <c r="B254" s="431"/>
      <c r="C254" s="431"/>
      <c r="D254" s="431"/>
      <c r="E254" s="431"/>
      <c r="F254" s="431"/>
    </row>
    <row r="255">
      <c r="A255" s="431"/>
      <c r="B255" s="431"/>
      <c r="C255" s="431"/>
      <c r="D255" s="431"/>
      <c r="E255" s="431"/>
      <c r="F255" s="431"/>
    </row>
    <row r="256">
      <c r="A256" s="431"/>
      <c r="B256" s="431"/>
      <c r="C256" s="431"/>
      <c r="D256" s="431"/>
      <c r="E256" s="431"/>
      <c r="F256" s="431"/>
    </row>
    <row r="257">
      <c r="A257" s="431"/>
      <c r="B257" s="431"/>
      <c r="C257" s="431"/>
      <c r="D257" s="431"/>
      <c r="E257" s="431"/>
      <c r="F257" s="431"/>
    </row>
    <row r="258">
      <c r="A258" s="431"/>
      <c r="B258" s="431"/>
      <c r="C258" s="431"/>
      <c r="D258" s="431"/>
      <c r="E258" s="431"/>
      <c r="F258" s="431"/>
    </row>
    <row r="259">
      <c r="A259" s="431"/>
      <c r="B259" s="431"/>
      <c r="C259" s="431"/>
      <c r="D259" s="431"/>
      <c r="E259" s="431"/>
      <c r="F259" s="431"/>
    </row>
    <row r="260">
      <c r="A260" s="431"/>
      <c r="B260" s="431"/>
      <c r="C260" s="431"/>
      <c r="D260" s="431"/>
      <c r="E260" s="431"/>
      <c r="F260" s="431"/>
    </row>
    <row r="261">
      <c r="A261" s="431"/>
      <c r="B261" s="431"/>
      <c r="C261" s="431"/>
      <c r="D261" s="431"/>
      <c r="E261" s="431"/>
      <c r="F261" s="431"/>
    </row>
    <row r="262">
      <c r="A262" s="431"/>
      <c r="B262" s="431"/>
      <c r="C262" s="431"/>
      <c r="D262" s="431"/>
      <c r="E262" s="431"/>
      <c r="F262" s="431"/>
    </row>
    <row r="263">
      <c r="A263" s="431"/>
      <c r="B263" s="431"/>
      <c r="C263" s="431"/>
      <c r="D263" s="431"/>
      <c r="E263" s="431"/>
      <c r="F263" s="431"/>
    </row>
    <row r="264">
      <c r="A264" s="431"/>
      <c r="B264" s="431"/>
      <c r="C264" s="431"/>
      <c r="D264" s="431"/>
      <c r="E264" s="431"/>
      <c r="F264" s="431"/>
    </row>
    <row r="265">
      <c r="A265" s="431"/>
      <c r="B265" s="431"/>
      <c r="C265" s="431"/>
      <c r="D265" s="431"/>
      <c r="E265" s="431"/>
      <c r="F265" s="431"/>
    </row>
    <row r="266">
      <c r="A266" s="431"/>
      <c r="B266" s="431"/>
      <c r="C266" s="431"/>
      <c r="D266" s="431"/>
      <c r="E266" s="431"/>
      <c r="F266" s="431"/>
    </row>
    <row r="267">
      <c r="A267" s="431"/>
      <c r="B267" s="431"/>
      <c r="C267" s="431"/>
      <c r="D267" s="431"/>
      <c r="E267" s="431"/>
      <c r="F267" s="431"/>
    </row>
    <row r="268">
      <c r="A268" s="431"/>
      <c r="B268" s="431"/>
      <c r="C268" s="431"/>
      <c r="D268" s="431"/>
      <c r="E268" s="431"/>
      <c r="F268" s="431"/>
    </row>
    <row r="269">
      <c r="A269" s="431"/>
      <c r="B269" s="431"/>
      <c r="C269" s="431"/>
      <c r="D269" s="431"/>
      <c r="E269" s="431"/>
      <c r="F269" s="431"/>
    </row>
    <row r="270">
      <c r="A270" s="431"/>
      <c r="B270" s="431"/>
      <c r="C270" s="431"/>
      <c r="D270" s="431"/>
      <c r="E270" s="431"/>
      <c r="F270" s="431"/>
    </row>
    <row r="271">
      <c r="A271" s="431"/>
      <c r="B271" s="431"/>
      <c r="C271" s="431"/>
      <c r="D271" s="431"/>
      <c r="E271" s="431"/>
      <c r="F271" s="431"/>
    </row>
    <row r="272">
      <c r="A272" s="431"/>
      <c r="B272" s="431"/>
      <c r="C272" s="431"/>
      <c r="D272" s="431"/>
      <c r="E272" s="431"/>
      <c r="F272" s="431"/>
    </row>
    <row r="273">
      <c r="A273" s="431"/>
      <c r="B273" s="431"/>
      <c r="C273" s="431"/>
      <c r="D273" s="431"/>
      <c r="E273" s="431"/>
      <c r="F273" s="431"/>
    </row>
    <row r="274">
      <c r="A274" s="431"/>
      <c r="B274" s="431"/>
      <c r="C274" s="431"/>
      <c r="D274" s="431"/>
      <c r="E274" s="431"/>
      <c r="F274" s="431"/>
    </row>
    <row r="275">
      <c r="A275" s="431"/>
      <c r="B275" s="431"/>
      <c r="C275" s="431"/>
      <c r="D275" s="431"/>
      <c r="E275" s="431"/>
      <c r="F275" s="431"/>
    </row>
    <row r="276">
      <c r="A276" s="431"/>
      <c r="B276" s="431"/>
      <c r="C276" s="431"/>
      <c r="D276" s="431"/>
      <c r="E276" s="431"/>
      <c r="F276" s="431"/>
    </row>
    <row r="277">
      <c r="A277" s="431"/>
      <c r="B277" s="431"/>
      <c r="C277" s="431"/>
      <c r="D277" s="431"/>
      <c r="E277" s="431"/>
      <c r="F277" s="431"/>
    </row>
    <row r="278">
      <c r="A278" s="431"/>
      <c r="B278" s="431"/>
      <c r="C278" s="431"/>
      <c r="D278" s="431"/>
      <c r="E278" s="431"/>
      <c r="F278" s="431"/>
    </row>
    <row r="279">
      <c r="A279" s="431"/>
      <c r="B279" s="431"/>
      <c r="C279" s="431"/>
      <c r="D279" s="431"/>
      <c r="E279" s="431"/>
      <c r="F279" s="431"/>
    </row>
    <row r="280">
      <c r="A280" s="431"/>
      <c r="B280" s="431"/>
      <c r="C280" s="431"/>
      <c r="D280" s="431"/>
      <c r="E280" s="431"/>
      <c r="F280" s="431"/>
    </row>
    <row r="281">
      <c r="A281" s="431"/>
      <c r="B281" s="431"/>
      <c r="C281" s="431"/>
      <c r="D281" s="431"/>
      <c r="E281" s="431"/>
      <c r="F281" s="431"/>
    </row>
    <row r="282">
      <c r="A282" s="431"/>
      <c r="B282" s="431"/>
      <c r="C282" s="431"/>
      <c r="D282" s="431"/>
      <c r="E282" s="431"/>
      <c r="F282" s="431"/>
    </row>
    <row r="283">
      <c r="A283" s="431"/>
      <c r="B283" s="431"/>
      <c r="C283" s="431"/>
      <c r="D283" s="431"/>
      <c r="E283" s="431"/>
      <c r="F283" s="431"/>
    </row>
    <row r="284">
      <c r="A284" s="431"/>
      <c r="B284" s="431"/>
      <c r="C284" s="431"/>
      <c r="D284" s="431"/>
      <c r="E284" s="431"/>
      <c r="F284" s="431"/>
    </row>
    <row r="285">
      <c r="A285" s="431"/>
      <c r="B285" s="431"/>
      <c r="C285" s="431"/>
      <c r="D285" s="431"/>
      <c r="E285" s="431"/>
      <c r="F285" s="431"/>
    </row>
    <row r="286">
      <c r="A286" s="431"/>
      <c r="B286" s="431"/>
      <c r="C286" s="431"/>
      <c r="D286" s="431"/>
      <c r="E286" s="431"/>
      <c r="F286" s="431"/>
    </row>
    <row r="287">
      <c r="A287" s="431"/>
      <c r="B287" s="431"/>
      <c r="C287" s="431"/>
      <c r="D287" s="431"/>
      <c r="E287" s="431"/>
      <c r="F287" s="431"/>
    </row>
    <row r="288">
      <c r="A288" s="431"/>
      <c r="B288" s="431"/>
      <c r="C288" s="431"/>
      <c r="D288" s="431"/>
      <c r="E288" s="431"/>
      <c r="F288" s="431"/>
    </row>
    <row r="289">
      <c r="A289" s="431"/>
      <c r="B289" s="431"/>
      <c r="C289" s="431"/>
      <c r="D289" s="431"/>
      <c r="E289" s="431"/>
      <c r="F289" s="431"/>
    </row>
    <row r="290">
      <c r="A290" s="431"/>
      <c r="B290" s="431"/>
      <c r="C290" s="431"/>
      <c r="D290" s="431"/>
      <c r="E290" s="431"/>
      <c r="F290" s="431"/>
    </row>
    <row r="291">
      <c r="A291" s="431"/>
      <c r="B291" s="431"/>
      <c r="C291" s="431"/>
      <c r="D291" s="431"/>
      <c r="E291" s="431"/>
      <c r="F291" s="431"/>
    </row>
    <row r="292">
      <c r="A292" s="431"/>
      <c r="B292" s="431"/>
      <c r="C292" s="431"/>
      <c r="D292" s="431"/>
      <c r="E292" s="431"/>
      <c r="F292" s="431"/>
    </row>
    <row r="293">
      <c r="A293" s="431"/>
      <c r="B293" s="431"/>
      <c r="C293" s="431"/>
      <c r="D293" s="431"/>
      <c r="E293" s="431"/>
      <c r="F293" s="431"/>
    </row>
    <row r="294">
      <c r="A294" s="431"/>
      <c r="B294" s="431"/>
      <c r="C294" s="431"/>
      <c r="D294" s="431"/>
      <c r="E294" s="431"/>
      <c r="F294" s="431"/>
    </row>
    <row r="295">
      <c r="A295" s="431"/>
      <c r="B295" s="431"/>
      <c r="C295" s="431"/>
      <c r="D295" s="431"/>
      <c r="E295" s="431"/>
      <c r="F295" s="431"/>
    </row>
    <row r="296">
      <c r="A296" s="431"/>
      <c r="B296" s="431"/>
      <c r="C296" s="431"/>
      <c r="D296" s="431"/>
      <c r="E296" s="431"/>
      <c r="F296" s="431"/>
    </row>
    <row r="297">
      <c r="A297" s="431"/>
      <c r="B297" s="431"/>
      <c r="C297" s="431"/>
      <c r="D297" s="431"/>
      <c r="E297" s="431"/>
      <c r="F297" s="431"/>
    </row>
    <row r="298">
      <c r="A298" s="431"/>
      <c r="B298" s="431"/>
      <c r="C298" s="431"/>
      <c r="D298" s="431"/>
      <c r="E298" s="431"/>
      <c r="F298" s="431"/>
    </row>
    <row r="299">
      <c r="A299" s="431"/>
      <c r="B299" s="431"/>
      <c r="C299" s="431"/>
      <c r="D299" s="431"/>
      <c r="E299" s="431"/>
      <c r="F299" s="431"/>
    </row>
    <row r="300">
      <c r="A300" s="431"/>
      <c r="B300" s="431"/>
      <c r="C300" s="431"/>
      <c r="D300" s="431"/>
      <c r="E300" s="431"/>
      <c r="F300" s="431"/>
    </row>
    <row r="301">
      <c r="A301" s="431"/>
      <c r="B301" s="431"/>
      <c r="C301" s="431"/>
      <c r="D301" s="431"/>
      <c r="E301" s="431"/>
      <c r="F301" s="431"/>
    </row>
    <row r="302">
      <c r="A302" s="431"/>
      <c r="B302" s="431"/>
      <c r="C302" s="431"/>
      <c r="D302" s="431"/>
      <c r="E302" s="431"/>
      <c r="F302" s="431"/>
    </row>
    <row r="303">
      <c r="A303" s="431"/>
      <c r="B303" s="431"/>
      <c r="C303" s="431"/>
      <c r="D303" s="431"/>
      <c r="E303" s="431"/>
      <c r="F303" s="431"/>
    </row>
    <row r="304">
      <c r="A304" s="431"/>
      <c r="B304" s="431"/>
      <c r="C304" s="431"/>
      <c r="D304" s="431"/>
      <c r="E304" s="431"/>
      <c r="F304" s="431"/>
    </row>
    <row r="305">
      <c r="A305" s="431"/>
      <c r="B305" s="431"/>
      <c r="C305" s="431"/>
      <c r="D305" s="431"/>
      <c r="E305" s="431"/>
      <c r="F305" s="431"/>
    </row>
    <row r="306">
      <c r="A306" s="431"/>
      <c r="B306" s="431"/>
      <c r="C306" s="431"/>
      <c r="D306" s="431"/>
      <c r="E306" s="431"/>
      <c r="F306" s="431"/>
    </row>
    <row r="307">
      <c r="A307" s="431"/>
      <c r="B307" s="431"/>
      <c r="C307" s="431"/>
      <c r="D307" s="431"/>
      <c r="E307" s="431"/>
      <c r="F307" s="431"/>
    </row>
    <row r="308">
      <c r="A308" s="431"/>
      <c r="B308" s="431"/>
      <c r="C308" s="431"/>
      <c r="D308" s="431"/>
      <c r="E308" s="431"/>
      <c r="F308" s="431"/>
    </row>
    <row r="309">
      <c r="A309" s="431"/>
      <c r="B309" s="431"/>
      <c r="C309" s="431"/>
      <c r="D309" s="431"/>
      <c r="E309" s="431"/>
      <c r="F309" s="431"/>
    </row>
    <row r="310">
      <c r="A310" s="431"/>
      <c r="B310" s="431"/>
      <c r="C310" s="431"/>
      <c r="D310" s="431"/>
      <c r="E310" s="431"/>
      <c r="F310" s="431"/>
    </row>
    <row r="311">
      <c r="A311" s="431"/>
      <c r="B311" s="431"/>
      <c r="C311" s="431"/>
      <c r="D311" s="431"/>
      <c r="E311" s="431"/>
      <c r="F311" s="431"/>
    </row>
    <row r="312">
      <c r="A312" s="431"/>
      <c r="B312" s="431"/>
      <c r="C312" s="431"/>
      <c r="D312" s="431"/>
      <c r="E312" s="431"/>
      <c r="F312" s="431"/>
    </row>
    <row r="313">
      <c r="A313" s="431"/>
      <c r="B313" s="431"/>
      <c r="C313" s="431"/>
      <c r="D313" s="431"/>
      <c r="E313" s="431"/>
      <c r="F313" s="431"/>
    </row>
    <row r="314">
      <c r="A314" s="431"/>
      <c r="B314" s="431"/>
      <c r="C314" s="431"/>
      <c r="D314" s="431"/>
      <c r="E314" s="431"/>
      <c r="F314" s="431"/>
    </row>
    <row r="315">
      <c r="A315" s="431"/>
      <c r="B315" s="431"/>
      <c r="C315" s="431"/>
      <c r="D315" s="431"/>
      <c r="E315" s="431"/>
      <c r="F315" s="431"/>
    </row>
    <row r="316">
      <c r="A316" s="431"/>
      <c r="B316" s="431"/>
      <c r="C316" s="431"/>
      <c r="D316" s="431"/>
      <c r="E316" s="431"/>
      <c r="F316" s="431"/>
    </row>
    <row r="317">
      <c r="A317" s="431"/>
      <c r="B317" s="431"/>
      <c r="C317" s="431"/>
      <c r="D317" s="431"/>
      <c r="E317" s="431"/>
      <c r="F317" s="431"/>
    </row>
    <row r="318">
      <c r="A318" s="431"/>
      <c r="B318" s="431"/>
      <c r="C318" s="431"/>
      <c r="D318" s="431"/>
      <c r="E318" s="431"/>
      <c r="F318" s="431"/>
    </row>
    <row r="319">
      <c r="A319" s="431"/>
      <c r="B319" s="431"/>
      <c r="C319" s="431"/>
      <c r="D319" s="431"/>
      <c r="E319" s="431"/>
      <c r="F319" s="431"/>
    </row>
    <row r="320">
      <c r="A320" s="431"/>
      <c r="B320" s="431"/>
      <c r="C320" s="431"/>
      <c r="D320" s="431"/>
      <c r="E320" s="431"/>
      <c r="F320" s="431"/>
    </row>
    <row r="321">
      <c r="A321" s="431"/>
      <c r="B321" s="431"/>
      <c r="C321" s="431"/>
      <c r="D321" s="431"/>
      <c r="E321" s="431"/>
      <c r="F321" s="431"/>
    </row>
    <row r="322">
      <c r="A322" s="431"/>
      <c r="B322" s="431"/>
      <c r="C322" s="431"/>
      <c r="D322" s="431"/>
      <c r="E322" s="431"/>
      <c r="F322" s="431"/>
    </row>
    <row r="323">
      <c r="A323" s="431"/>
      <c r="B323" s="431"/>
      <c r="C323" s="431"/>
      <c r="D323" s="431"/>
      <c r="E323" s="431"/>
      <c r="F323" s="431"/>
    </row>
    <row r="324">
      <c r="A324" s="431"/>
      <c r="B324" s="431"/>
      <c r="C324" s="431"/>
      <c r="D324" s="431"/>
      <c r="E324" s="431"/>
      <c r="F324" s="431"/>
    </row>
    <row r="325">
      <c r="A325" s="431"/>
      <c r="B325" s="431"/>
      <c r="C325" s="431"/>
      <c r="D325" s="431"/>
      <c r="E325" s="431"/>
      <c r="F325" s="431"/>
    </row>
    <row r="326">
      <c r="A326" s="431"/>
      <c r="B326" s="431"/>
      <c r="C326" s="431"/>
      <c r="D326" s="431"/>
      <c r="E326" s="431"/>
      <c r="F326" s="431"/>
    </row>
    <row r="327">
      <c r="A327" s="431"/>
      <c r="B327" s="431"/>
      <c r="C327" s="431"/>
      <c r="D327" s="431"/>
      <c r="E327" s="431"/>
      <c r="F327" s="431"/>
    </row>
    <row r="328">
      <c r="A328" s="431"/>
      <c r="B328" s="431"/>
      <c r="C328" s="431"/>
      <c r="D328" s="431"/>
      <c r="E328" s="431"/>
      <c r="F328" s="431"/>
    </row>
    <row r="329">
      <c r="A329" s="431"/>
      <c r="B329" s="431"/>
      <c r="C329" s="431"/>
      <c r="D329" s="431"/>
      <c r="E329" s="431"/>
      <c r="F329" s="431"/>
    </row>
    <row r="330">
      <c r="A330" s="431"/>
      <c r="B330" s="431"/>
      <c r="C330" s="431"/>
      <c r="D330" s="431"/>
      <c r="E330" s="431"/>
      <c r="F330" s="431"/>
    </row>
    <row r="331">
      <c r="A331" s="431"/>
      <c r="B331" s="431"/>
      <c r="C331" s="431"/>
      <c r="D331" s="431"/>
      <c r="E331" s="431"/>
      <c r="F331" s="431"/>
    </row>
    <row r="332">
      <c r="A332" s="431"/>
      <c r="B332" s="431"/>
      <c r="C332" s="431"/>
      <c r="D332" s="431"/>
      <c r="E332" s="431"/>
      <c r="F332" s="431"/>
    </row>
    <row r="333">
      <c r="A333" s="431"/>
      <c r="B333" s="431"/>
      <c r="C333" s="431"/>
      <c r="D333" s="431"/>
      <c r="E333" s="431"/>
      <c r="F333" s="431"/>
    </row>
    <row r="334">
      <c r="A334" s="431"/>
      <c r="B334" s="431"/>
      <c r="C334" s="431"/>
      <c r="D334" s="431"/>
      <c r="E334" s="431"/>
      <c r="F334" s="431"/>
    </row>
    <row r="335">
      <c r="A335" s="431"/>
      <c r="B335" s="431"/>
      <c r="C335" s="431"/>
      <c r="D335" s="431"/>
      <c r="E335" s="431"/>
      <c r="F335" s="431"/>
    </row>
    <row r="336">
      <c r="A336" s="431"/>
      <c r="B336" s="431"/>
      <c r="C336" s="431"/>
      <c r="D336" s="431"/>
      <c r="E336" s="431"/>
      <c r="F336" s="431"/>
    </row>
    <row r="337">
      <c r="A337" s="431"/>
      <c r="B337" s="431"/>
      <c r="C337" s="431"/>
      <c r="D337" s="431"/>
      <c r="E337" s="431"/>
      <c r="F337" s="431"/>
    </row>
    <row r="338">
      <c r="A338" s="431"/>
      <c r="B338" s="431"/>
      <c r="C338" s="431"/>
      <c r="D338" s="431"/>
      <c r="E338" s="431"/>
      <c r="F338" s="431"/>
    </row>
    <row r="339">
      <c r="A339" s="431"/>
      <c r="B339" s="431"/>
      <c r="C339" s="431"/>
      <c r="D339" s="431"/>
      <c r="E339" s="431"/>
      <c r="F339" s="431"/>
    </row>
    <row r="340">
      <c r="A340" s="431"/>
      <c r="B340" s="431"/>
      <c r="C340" s="431"/>
      <c r="D340" s="431"/>
      <c r="E340" s="431"/>
      <c r="F340" s="431"/>
    </row>
    <row r="341">
      <c r="A341" s="431"/>
      <c r="B341" s="431"/>
      <c r="C341" s="431"/>
      <c r="D341" s="431"/>
      <c r="E341" s="431"/>
      <c r="F341" s="431"/>
    </row>
    <row r="342">
      <c r="A342" s="431"/>
      <c r="B342" s="431"/>
      <c r="C342" s="431"/>
      <c r="D342" s="431"/>
      <c r="E342" s="431"/>
      <c r="F342" s="431"/>
    </row>
    <row r="343">
      <c r="A343" s="431"/>
      <c r="B343" s="431"/>
      <c r="C343" s="431"/>
      <c r="D343" s="431"/>
      <c r="E343" s="431"/>
      <c r="F343" s="431"/>
    </row>
    <row r="344">
      <c r="A344" s="431"/>
      <c r="B344" s="431"/>
      <c r="C344" s="431"/>
      <c r="D344" s="431"/>
      <c r="E344" s="431"/>
      <c r="F344" s="431"/>
    </row>
    <row r="345">
      <c r="A345" s="431"/>
      <c r="B345" s="431"/>
      <c r="C345" s="431"/>
      <c r="D345" s="431"/>
      <c r="E345" s="431"/>
      <c r="F345" s="431"/>
    </row>
    <row r="346">
      <c r="A346" s="431"/>
      <c r="B346" s="431"/>
      <c r="C346" s="431"/>
      <c r="D346" s="431"/>
      <c r="E346" s="431"/>
      <c r="F346" s="431"/>
    </row>
    <row r="347">
      <c r="A347" s="431"/>
      <c r="B347" s="431"/>
      <c r="C347" s="431"/>
      <c r="D347" s="431"/>
      <c r="E347" s="431"/>
      <c r="F347" s="431"/>
    </row>
    <row r="348">
      <c r="A348" s="431"/>
      <c r="B348" s="431"/>
      <c r="C348" s="431"/>
      <c r="D348" s="431"/>
      <c r="E348" s="431"/>
      <c r="F348" s="431"/>
    </row>
    <row r="349">
      <c r="A349" s="431"/>
      <c r="B349" s="431"/>
      <c r="C349" s="431"/>
      <c r="D349" s="431"/>
      <c r="E349" s="431"/>
      <c r="F349" s="431"/>
    </row>
    <row r="350">
      <c r="A350" s="431"/>
      <c r="B350" s="431"/>
      <c r="C350" s="431"/>
      <c r="D350" s="431"/>
      <c r="E350" s="431"/>
      <c r="F350" s="431"/>
    </row>
    <row r="351">
      <c r="A351" s="431"/>
      <c r="B351" s="431"/>
      <c r="C351" s="431"/>
      <c r="D351" s="431"/>
      <c r="E351" s="431"/>
      <c r="F351" s="431"/>
    </row>
    <row r="352">
      <c r="A352" s="431"/>
      <c r="B352" s="431"/>
      <c r="C352" s="431"/>
      <c r="D352" s="431"/>
      <c r="E352" s="431"/>
      <c r="F352" s="431"/>
    </row>
    <row r="353">
      <c r="A353" s="431"/>
      <c r="B353" s="431"/>
      <c r="C353" s="431"/>
      <c r="D353" s="431"/>
      <c r="E353" s="431"/>
      <c r="F353" s="431"/>
    </row>
    <row r="354">
      <c r="A354" s="431"/>
      <c r="B354" s="431"/>
      <c r="C354" s="431"/>
      <c r="D354" s="431"/>
      <c r="E354" s="431"/>
      <c r="F354" s="431"/>
    </row>
    <row r="355">
      <c r="A355" s="431"/>
      <c r="B355" s="431"/>
      <c r="C355" s="431"/>
      <c r="D355" s="431"/>
      <c r="E355" s="431"/>
      <c r="F355" s="431"/>
    </row>
    <row r="356">
      <c r="A356" s="431"/>
      <c r="B356" s="431"/>
      <c r="C356" s="431"/>
      <c r="D356" s="431"/>
      <c r="E356" s="431"/>
      <c r="F356" s="431"/>
    </row>
    <row r="357">
      <c r="A357" s="431"/>
      <c r="B357" s="431"/>
      <c r="C357" s="431"/>
      <c r="D357" s="431"/>
      <c r="E357" s="431"/>
      <c r="F357" s="431"/>
    </row>
    <row r="358">
      <c r="A358" s="431"/>
      <c r="B358" s="431"/>
      <c r="C358" s="431"/>
      <c r="D358" s="431"/>
      <c r="E358" s="431"/>
      <c r="F358" s="431"/>
    </row>
    <row r="359">
      <c r="A359" s="431"/>
      <c r="B359" s="431"/>
      <c r="C359" s="431"/>
      <c r="D359" s="431"/>
      <c r="E359" s="431"/>
      <c r="F359" s="431"/>
    </row>
    <row r="360">
      <c r="A360" s="431"/>
      <c r="B360" s="431"/>
      <c r="C360" s="431"/>
      <c r="D360" s="431"/>
      <c r="E360" s="431"/>
      <c r="F360" s="431"/>
    </row>
    <row r="361">
      <c r="A361" s="431"/>
      <c r="B361" s="431"/>
      <c r="C361" s="431"/>
      <c r="D361" s="431"/>
      <c r="E361" s="431"/>
      <c r="F361" s="431"/>
    </row>
    <row r="362">
      <c r="A362" s="431"/>
      <c r="B362" s="431"/>
      <c r="C362" s="431"/>
      <c r="D362" s="431"/>
      <c r="E362" s="431"/>
      <c r="F362" s="431"/>
    </row>
    <row r="363">
      <c r="A363" s="431"/>
      <c r="B363" s="431"/>
      <c r="C363" s="431"/>
      <c r="D363" s="431"/>
      <c r="E363" s="431"/>
      <c r="F363" s="431"/>
    </row>
    <row r="364">
      <c r="A364" s="431"/>
      <c r="B364" s="431"/>
      <c r="C364" s="431"/>
      <c r="D364" s="431"/>
      <c r="E364" s="431"/>
      <c r="F364" s="431"/>
    </row>
    <row r="365">
      <c r="A365" s="431"/>
      <c r="B365" s="431"/>
      <c r="C365" s="431"/>
      <c r="D365" s="431"/>
      <c r="E365" s="431"/>
      <c r="F365" s="431"/>
    </row>
    <row r="366">
      <c r="A366" s="431"/>
      <c r="B366" s="431"/>
      <c r="C366" s="431"/>
      <c r="D366" s="431"/>
      <c r="E366" s="431"/>
      <c r="F366" s="431"/>
    </row>
    <row r="367">
      <c r="A367" s="431"/>
      <c r="B367" s="431"/>
      <c r="C367" s="431"/>
      <c r="D367" s="431"/>
      <c r="E367" s="431"/>
      <c r="F367" s="431"/>
    </row>
    <row r="368">
      <c r="A368" s="431"/>
      <c r="B368" s="431"/>
      <c r="C368" s="431"/>
      <c r="D368" s="431"/>
      <c r="E368" s="431"/>
      <c r="F368" s="431"/>
    </row>
    <row r="369">
      <c r="A369" s="431"/>
      <c r="B369" s="431"/>
      <c r="C369" s="431"/>
      <c r="D369" s="431"/>
      <c r="E369" s="431"/>
      <c r="F369" s="431"/>
    </row>
    <row r="370">
      <c r="A370" s="431"/>
      <c r="B370" s="431"/>
      <c r="C370" s="431"/>
      <c r="D370" s="431"/>
      <c r="E370" s="431"/>
      <c r="F370" s="431"/>
    </row>
    <row r="371">
      <c r="A371" s="431"/>
      <c r="B371" s="431"/>
      <c r="C371" s="431"/>
      <c r="D371" s="431"/>
      <c r="E371" s="431"/>
      <c r="F371" s="431"/>
    </row>
    <row r="372">
      <c r="A372" s="431"/>
      <c r="B372" s="431"/>
      <c r="C372" s="431"/>
      <c r="D372" s="431"/>
      <c r="E372" s="431"/>
      <c r="F372" s="431"/>
    </row>
    <row r="373">
      <c r="A373" s="431"/>
      <c r="B373" s="431"/>
      <c r="C373" s="431"/>
      <c r="D373" s="431"/>
      <c r="E373" s="431"/>
      <c r="F373" s="431"/>
    </row>
    <row r="374">
      <c r="A374" s="431"/>
      <c r="B374" s="431"/>
      <c r="C374" s="431"/>
      <c r="D374" s="431"/>
      <c r="E374" s="431"/>
      <c r="F374" s="431"/>
    </row>
    <row r="375">
      <c r="A375" s="431"/>
      <c r="B375" s="431"/>
      <c r="C375" s="431"/>
      <c r="D375" s="431"/>
      <c r="E375" s="431"/>
      <c r="F375" s="431"/>
    </row>
    <row r="376">
      <c r="A376" s="431"/>
      <c r="B376" s="431"/>
      <c r="C376" s="431"/>
      <c r="D376" s="431"/>
      <c r="E376" s="431"/>
      <c r="F376" s="431"/>
    </row>
    <row r="377">
      <c r="A377" s="431"/>
      <c r="B377" s="431"/>
      <c r="C377" s="431"/>
      <c r="D377" s="431"/>
      <c r="E377" s="431"/>
      <c r="F377" s="431"/>
    </row>
    <row r="378">
      <c r="A378" s="431"/>
      <c r="B378" s="431"/>
      <c r="C378" s="431"/>
      <c r="D378" s="431"/>
      <c r="E378" s="431"/>
      <c r="F378" s="431"/>
    </row>
    <row r="379">
      <c r="A379" s="431"/>
      <c r="B379" s="431"/>
      <c r="C379" s="431"/>
      <c r="D379" s="431"/>
      <c r="E379" s="431"/>
      <c r="F379" s="431"/>
    </row>
    <row r="380">
      <c r="A380" s="431"/>
      <c r="B380" s="431"/>
      <c r="C380" s="431"/>
      <c r="D380" s="431"/>
      <c r="E380" s="431"/>
      <c r="F380" s="431"/>
    </row>
    <row r="381">
      <c r="A381" s="431"/>
      <c r="B381" s="431"/>
      <c r="C381" s="431"/>
      <c r="D381" s="431"/>
      <c r="E381" s="431"/>
      <c r="F381" s="431"/>
    </row>
    <row r="382">
      <c r="A382" s="431"/>
      <c r="B382" s="431"/>
      <c r="C382" s="431"/>
      <c r="D382" s="431"/>
      <c r="E382" s="431"/>
      <c r="F382" s="431"/>
    </row>
    <row r="383">
      <c r="A383" s="431"/>
      <c r="B383" s="431"/>
      <c r="C383" s="431"/>
      <c r="D383" s="431"/>
      <c r="E383" s="431"/>
      <c r="F383" s="431"/>
    </row>
    <row r="384">
      <c r="A384" s="431"/>
      <c r="B384" s="431"/>
      <c r="C384" s="431"/>
      <c r="D384" s="431"/>
      <c r="E384" s="431"/>
      <c r="F384" s="431"/>
    </row>
    <row r="385">
      <c r="A385" s="431"/>
      <c r="B385" s="431"/>
      <c r="C385" s="431"/>
      <c r="D385" s="431"/>
      <c r="E385" s="431"/>
      <c r="F385" s="431"/>
    </row>
    <row r="386">
      <c r="A386" s="431"/>
      <c r="B386" s="431"/>
      <c r="C386" s="431"/>
      <c r="D386" s="431"/>
      <c r="E386" s="431"/>
      <c r="F386" s="431"/>
    </row>
    <row r="387">
      <c r="A387" s="431"/>
      <c r="B387" s="431"/>
      <c r="C387" s="431"/>
      <c r="D387" s="431"/>
      <c r="E387" s="431"/>
      <c r="F387" s="431"/>
    </row>
    <row r="388">
      <c r="A388" s="431"/>
      <c r="B388" s="431"/>
      <c r="C388" s="431"/>
      <c r="D388" s="431"/>
      <c r="E388" s="431"/>
      <c r="F388" s="431"/>
    </row>
    <row r="389">
      <c r="A389" s="431"/>
      <c r="B389" s="431"/>
      <c r="C389" s="431"/>
      <c r="D389" s="431"/>
      <c r="E389" s="431"/>
      <c r="F389" s="431"/>
    </row>
    <row r="390">
      <c r="A390" s="431"/>
      <c r="B390" s="431"/>
      <c r="C390" s="431"/>
      <c r="D390" s="431"/>
      <c r="E390" s="431"/>
      <c r="F390" s="431"/>
    </row>
    <row r="391">
      <c r="A391" s="431"/>
      <c r="B391" s="431"/>
      <c r="C391" s="431"/>
      <c r="D391" s="431"/>
      <c r="E391" s="431"/>
      <c r="F391" s="431"/>
    </row>
    <row r="392">
      <c r="A392" s="431"/>
      <c r="B392" s="431"/>
      <c r="C392" s="431"/>
      <c r="D392" s="431"/>
      <c r="E392" s="431"/>
      <c r="F392" s="431"/>
    </row>
    <row r="393">
      <c r="A393" s="431"/>
      <c r="B393" s="431"/>
      <c r="C393" s="431"/>
      <c r="D393" s="431"/>
      <c r="E393" s="431"/>
      <c r="F393" s="431"/>
    </row>
    <row r="394">
      <c r="A394" s="431"/>
      <c r="B394" s="431"/>
      <c r="C394" s="431"/>
      <c r="D394" s="431"/>
      <c r="E394" s="431"/>
      <c r="F394" s="431"/>
    </row>
    <row r="395">
      <c r="A395" s="431"/>
      <c r="B395" s="431"/>
      <c r="C395" s="431"/>
      <c r="D395" s="431"/>
      <c r="E395" s="431"/>
      <c r="F395" s="431"/>
    </row>
    <row r="396">
      <c r="A396" s="431"/>
      <c r="B396" s="431"/>
      <c r="C396" s="431"/>
      <c r="D396" s="431"/>
      <c r="E396" s="431"/>
      <c r="F396" s="431"/>
    </row>
    <row r="397">
      <c r="A397" s="431"/>
      <c r="B397" s="431"/>
      <c r="C397" s="431"/>
      <c r="D397" s="431"/>
      <c r="E397" s="431"/>
      <c r="F397" s="431"/>
    </row>
    <row r="398">
      <c r="A398" s="431"/>
      <c r="B398" s="431"/>
      <c r="C398" s="431"/>
      <c r="D398" s="431"/>
      <c r="E398" s="431"/>
      <c r="F398" s="431"/>
    </row>
    <row r="399">
      <c r="A399" s="431"/>
      <c r="B399" s="431"/>
      <c r="C399" s="431"/>
      <c r="D399" s="431"/>
      <c r="E399" s="431"/>
      <c r="F399" s="431"/>
    </row>
    <row r="400">
      <c r="A400" s="431"/>
      <c r="B400" s="431"/>
      <c r="C400" s="431"/>
      <c r="D400" s="431"/>
      <c r="E400" s="431"/>
      <c r="F400" s="431"/>
    </row>
    <row r="401">
      <c r="A401" s="431"/>
      <c r="B401" s="431"/>
      <c r="C401" s="431"/>
      <c r="D401" s="431"/>
      <c r="E401" s="431"/>
      <c r="F401" s="431"/>
    </row>
    <row r="402">
      <c r="A402" s="431"/>
      <c r="B402" s="431"/>
      <c r="C402" s="431"/>
      <c r="D402" s="431"/>
      <c r="E402" s="431"/>
      <c r="F402" s="431"/>
    </row>
    <row r="403">
      <c r="A403" s="431"/>
      <c r="B403" s="431"/>
      <c r="C403" s="431"/>
      <c r="D403" s="431"/>
      <c r="E403" s="431"/>
      <c r="F403" s="431"/>
    </row>
    <row r="404">
      <c r="A404" s="431"/>
      <c r="B404" s="431"/>
      <c r="C404" s="431"/>
      <c r="D404" s="431"/>
      <c r="E404" s="431"/>
      <c r="F404" s="431"/>
    </row>
    <row r="405">
      <c r="A405" s="431"/>
      <c r="B405" s="431"/>
      <c r="C405" s="431"/>
      <c r="D405" s="431"/>
      <c r="E405" s="431"/>
      <c r="F405" s="431"/>
    </row>
    <row r="406">
      <c r="A406" s="431"/>
      <c r="B406" s="431"/>
      <c r="C406" s="431"/>
      <c r="D406" s="431"/>
      <c r="E406" s="431"/>
      <c r="F406" s="431"/>
    </row>
    <row r="407">
      <c r="A407" s="431"/>
      <c r="B407" s="431"/>
      <c r="C407" s="431"/>
      <c r="D407" s="431"/>
      <c r="E407" s="431"/>
      <c r="F407" s="431"/>
    </row>
    <row r="408">
      <c r="A408" s="431"/>
      <c r="B408" s="431"/>
      <c r="C408" s="431"/>
      <c r="D408" s="431"/>
      <c r="E408" s="431"/>
      <c r="F408" s="431"/>
    </row>
    <row r="409">
      <c r="A409" s="431"/>
      <c r="B409" s="431"/>
      <c r="C409" s="431"/>
      <c r="D409" s="431"/>
      <c r="E409" s="431"/>
      <c r="F409" s="431"/>
    </row>
    <row r="410">
      <c r="A410" s="431"/>
      <c r="B410" s="431"/>
      <c r="C410" s="431"/>
      <c r="D410" s="431"/>
      <c r="E410" s="431"/>
      <c r="F410" s="431"/>
    </row>
    <row r="411">
      <c r="A411" s="431"/>
      <c r="B411" s="431"/>
      <c r="C411" s="431"/>
      <c r="D411" s="431"/>
      <c r="E411" s="431"/>
      <c r="F411" s="431"/>
    </row>
    <row r="412">
      <c r="A412" s="431"/>
      <c r="B412" s="431"/>
      <c r="C412" s="431"/>
      <c r="D412" s="431"/>
      <c r="E412" s="431"/>
      <c r="F412" s="431"/>
    </row>
    <row r="413">
      <c r="A413" s="431"/>
      <c r="B413" s="431"/>
      <c r="C413" s="431"/>
      <c r="D413" s="431"/>
      <c r="E413" s="431"/>
      <c r="F413" s="431"/>
    </row>
    <row r="414">
      <c r="A414" s="431"/>
      <c r="B414" s="431"/>
      <c r="C414" s="431"/>
      <c r="D414" s="431"/>
      <c r="E414" s="431"/>
      <c r="F414" s="431"/>
    </row>
    <row r="415">
      <c r="A415" s="431"/>
      <c r="B415" s="431"/>
      <c r="C415" s="431"/>
      <c r="D415" s="431"/>
      <c r="E415" s="431"/>
      <c r="F415" s="431"/>
    </row>
    <row r="416">
      <c r="A416" s="431"/>
      <c r="B416" s="431"/>
      <c r="C416" s="431"/>
      <c r="D416" s="431"/>
      <c r="E416" s="431"/>
      <c r="F416" s="431"/>
    </row>
    <row r="417">
      <c r="A417" s="431"/>
      <c r="B417" s="431"/>
      <c r="C417" s="431"/>
      <c r="D417" s="431"/>
      <c r="E417" s="431"/>
      <c r="F417" s="431"/>
    </row>
    <row r="418">
      <c r="A418" s="431"/>
      <c r="B418" s="431"/>
      <c r="C418" s="431"/>
      <c r="D418" s="431"/>
      <c r="E418" s="431"/>
      <c r="F418" s="431"/>
    </row>
    <row r="419">
      <c r="A419" s="431"/>
      <c r="B419" s="431"/>
      <c r="C419" s="431"/>
      <c r="D419" s="431"/>
      <c r="E419" s="431"/>
      <c r="F419" s="431"/>
    </row>
    <row r="420">
      <c r="A420" s="431"/>
      <c r="B420" s="431"/>
      <c r="C420" s="431"/>
      <c r="D420" s="431"/>
      <c r="E420" s="431"/>
      <c r="F420" s="431"/>
    </row>
    <row r="421">
      <c r="A421" s="431"/>
      <c r="B421" s="431"/>
      <c r="C421" s="431"/>
      <c r="D421" s="431"/>
      <c r="E421" s="431"/>
      <c r="F421" s="431"/>
    </row>
    <row r="422">
      <c r="A422" s="431"/>
      <c r="B422" s="431"/>
      <c r="C422" s="431"/>
      <c r="D422" s="431"/>
      <c r="E422" s="431"/>
      <c r="F422" s="431"/>
    </row>
    <row r="423">
      <c r="A423" s="431"/>
      <c r="B423" s="431"/>
      <c r="C423" s="431"/>
      <c r="D423" s="431"/>
      <c r="E423" s="431"/>
      <c r="F423" s="431"/>
    </row>
    <row r="424">
      <c r="A424" s="431"/>
      <c r="B424" s="431"/>
      <c r="C424" s="431"/>
      <c r="D424" s="431"/>
      <c r="E424" s="431"/>
      <c r="F424" s="431"/>
    </row>
    <row r="425">
      <c r="A425" s="431"/>
      <c r="B425" s="431"/>
      <c r="C425" s="431"/>
      <c r="D425" s="431"/>
      <c r="E425" s="431"/>
      <c r="F425" s="431"/>
    </row>
    <row r="426">
      <c r="A426" s="431"/>
      <c r="B426" s="431"/>
      <c r="C426" s="431"/>
      <c r="D426" s="431"/>
      <c r="E426" s="431"/>
      <c r="F426" s="431"/>
    </row>
    <row r="427">
      <c r="A427" s="431"/>
      <c r="B427" s="431"/>
      <c r="C427" s="431"/>
      <c r="D427" s="431"/>
      <c r="E427" s="431"/>
      <c r="F427" s="431"/>
    </row>
    <row r="428">
      <c r="A428" s="431"/>
      <c r="B428" s="431"/>
      <c r="C428" s="431"/>
      <c r="D428" s="431"/>
      <c r="E428" s="431"/>
      <c r="F428" s="431"/>
    </row>
    <row r="429">
      <c r="A429" s="431"/>
      <c r="B429" s="431"/>
      <c r="C429" s="431"/>
      <c r="D429" s="431"/>
      <c r="E429" s="431"/>
      <c r="F429" s="431"/>
    </row>
    <row r="430">
      <c r="A430" s="431"/>
      <c r="B430" s="431"/>
      <c r="C430" s="431"/>
      <c r="D430" s="431"/>
      <c r="E430" s="431"/>
      <c r="F430" s="431"/>
    </row>
    <row r="431">
      <c r="A431" s="431"/>
      <c r="B431" s="431"/>
      <c r="C431" s="431"/>
      <c r="D431" s="431"/>
      <c r="E431" s="431"/>
      <c r="F431" s="431"/>
    </row>
    <row r="432">
      <c r="A432" s="431"/>
      <c r="B432" s="431"/>
      <c r="C432" s="431"/>
      <c r="D432" s="431"/>
      <c r="E432" s="431"/>
      <c r="F432" s="431"/>
    </row>
    <row r="433">
      <c r="A433" s="431"/>
      <c r="B433" s="431"/>
      <c r="C433" s="431"/>
      <c r="D433" s="431"/>
      <c r="E433" s="431"/>
      <c r="F433" s="431"/>
    </row>
    <row r="434">
      <c r="A434" s="431"/>
      <c r="B434" s="431"/>
      <c r="C434" s="431"/>
      <c r="D434" s="431"/>
      <c r="E434" s="431"/>
      <c r="F434" s="431"/>
    </row>
    <row r="435">
      <c r="A435" s="431"/>
      <c r="B435" s="431"/>
      <c r="C435" s="431"/>
      <c r="D435" s="431"/>
      <c r="E435" s="431"/>
      <c r="F435" s="431"/>
    </row>
    <row r="436">
      <c r="A436" s="431"/>
      <c r="B436" s="431"/>
      <c r="C436" s="431"/>
      <c r="D436" s="431"/>
      <c r="E436" s="431"/>
      <c r="F436" s="431"/>
    </row>
    <row r="437">
      <c r="A437" s="431"/>
      <c r="B437" s="431"/>
      <c r="C437" s="431"/>
      <c r="D437" s="431"/>
      <c r="E437" s="431"/>
      <c r="F437" s="431"/>
    </row>
    <row r="438">
      <c r="A438" s="431"/>
      <c r="B438" s="431"/>
      <c r="C438" s="431"/>
      <c r="D438" s="431"/>
      <c r="E438" s="431"/>
      <c r="F438" s="431"/>
    </row>
    <row r="439">
      <c r="A439" s="431"/>
      <c r="B439" s="431"/>
      <c r="C439" s="431"/>
      <c r="D439" s="431"/>
      <c r="E439" s="431"/>
      <c r="F439" s="431"/>
    </row>
    <row r="440">
      <c r="A440" s="431"/>
      <c r="B440" s="431"/>
      <c r="C440" s="431"/>
      <c r="D440" s="431"/>
      <c r="E440" s="431"/>
      <c r="F440" s="431"/>
    </row>
    <row r="441">
      <c r="A441" s="431"/>
      <c r="B441" s="431"/>
      <c r="C441" s="431"/>
      <c r="D441" s="431"/>
      <c r="E441" s="431"/>
      <c r="F441" s="431"/>
    </row>
    <row r="442">
      <c r="A442" s="431"/>
      <c r="B442" s="431"/>
      <c r="C442" s="431"/>
      <c r="D442" s="431"/>
      <c r="E442" s="431"/>
      <c r="F442" s="431"/>
    </row>
    <row r="443">
      <c r="A443" s="431"/>
      <c r="B443" s="431"/>
      <c r="C443" s="431"/>
      <c r="D443" s="431"/>
      <c r="E443" s="431"/>
      <c r="F443" s="431"/>
    </row>
    <row r="444">
      <c r="A444" s="431"/>
      <c r="B444" s="431"/>
      <c r="C444" s="431"/>
      <c r="D444" s="431"/>
      <c r="E444" s="431"/>
      <c r="F444" s="431"/>
    </row>
    <row r="445">
      <c r="A445" s="431"/>
      <c r="B445" s="431"/>
      <c r="C445" s="431"/>
      <c r="D445" s="431"/>
      <c r="E445" s="431"/>
      <c r="F445" s="431"/>
    </row>
    <row r="446">
      <c r="A446" s="431"/>
      <c r="B446" s="431"/>
      <c r="C446" s="431"/>
      <c r="D446" s="431"/>
      <c r="E446" s="431"/>
      <c r="F446" s="431"/>
    </row>
    <row r="447">
      <c r="A447" s="431"/>
      <c r="B447" s="431"/>
      <c r="C447" s="431"/>
      <c r="D447" s="431"/>
      <c r="E447" s="431"/>
      <c r="F447" s="431"/>
    </row>
    <row r="448">
      <c r="A448" s="431"/>
      <c r="B448" s="431"/>
      <c r="C448" s="431"/>
      <c r="D448" s="431"/>
      <c r="E448" s="431"/>
      <c r="F448" s="431"/>
    </row>
    <row r="449">
      <c r="A449" s="431"/>
      <c r="B449" s="431"/>
      <c r="C449" s="431"/>
      <c r="D449" s="431"/>
      <c r="E449" s="431"/>
      <c r="F449" s="431"/>
    </row>
    <row r="450">
      <c r="A450" s="431"/>
      <c r="B450" s="431"/>
      <c r="C450" s="431"/>
      <c r="D450" s="431"/>
      <c r="E450" s="431"/>
      <c r="F450" s="431"/>
    </row>
    <row r="451">
      <c r="A451" s="431"/>
      <c r="B451" s="431"/>
      <c r="C451" s="431"/>
      <c r="D451" s="431"/>
      <c r="E451" s="431"/>
      <c r="F451" s="431"/>
    </row>
    <row r="452">
      <c r="A452" s="431"/>
      <c r="B452" s="431"/>
      <c r="C452" s="431"/>
      <c r="D452" s="431"/>
      <c r="E452" s="431"/>
      <c r="F452" s="431"/>
    </row>
    <row r="453">
      <c r="A453" s="431"/>
      <c r="B453" s="431"/>
      <c r="C453" s="431"/>
      <c r="D453" s="431"/>
      <c r="E453" s="431"/>
      <c r="F453" s="431"/>
    </row>
    <row r="454">
      <c r="A454" s="431"/>
      <c r="B454" s="431"/>
      <c r="C454" s="431"/>
      <c r="D454" s="431"/>
      <c r="E454" s="431"/>
      <c r="F454" s="431"/>
    </row>
    <row r="455">
      <c r="A455" s="431"/>
      <c r="B455" s="431"/>
      <c r="C455" s="431"/>
      <c r="D455" s="431"/>
      <c r="E455" s="431"/>
      <c r="F455" s="431"/>
    </row>
    <row r="456">
      <c r="A456" s="431"/>
      <c r="B456" s="431"/>
      <c r="C456" s="431"/>
      <c r="D456" s="431"/>
      <c r="E456" s="431"/>
      <c r="F456" s="431"/>
    </row>
    <row r="457">
      <c r="A457" s="431"/>
      <c r="B457" s="431"/>
      <c r="C457" s="431"/>
      <c r="D457" s="431"/>
      <c r="E457" s="431"/>
      <c r="F457" s="431"/>
    </row>
    <row r="458">
      <c r="A458" s="431"/>
      <c r="B458" s="431"/>
      <c r="C458" s="431"/>
      <c r="D458" s="431"/>
      <c r="E458" s="431"/>
      <c r="F458" s="431"/>
    </row>
    <row r="459">
      <c r="A459" s="431"/>
      <c r="B459" s="431"/>
      <c r="C459" s="431"/>
      <c r="D459" s="431"/>
      <c r="E459" s="431"/>
      <c r="F459" s="431"/>
    </row>
    <row r="460">
      <c r="A460" s="431"/>
      <c r="B460" s="431"/>
      <c r="C460" s="431"/>
      <c r="D460" s="431"/>
      <c r="E460" s="431"/>
      <c r="F460" s="431"/>
    </row>
    <row r="461">
      <c r="A461" s="431"/>
      <c r="B461" s="431"/>
      <c r="C461" s="431"/>
      <c r="D461" s="431"/>
      <c r="E461" s="431"/>
      <c r="F461" s="431"/>
    </row>
    <row r="462">
      <c r="A462" s="431"/>
      <c r="B462" s="431"/>
      <c r="C462" s="431"/>
      <c r="D462" s="431"/>
      <c r="E462" s="431"/>
      <c r="F462" s="431"/>
    </row>
    <row r="463">
      <c r="A463" s="431"/>
      <c r="B463" s="431"/>
      <c r="C463" s="431"/>
      <c r="D463" s="431"/>
      <c r="E463" s="431"/>
      <c r="F463" s="431"/>
    </row>
    <row r="464">
      <c r="A464" s="431"/>
      <c r="B464" s="431"/>
      <c r="C464" s="431"/>
      <c r="D464" s="431"/>
      <c r="E464" s="431"/>
      <c r="F464" s="431"/>
    </row>
    <row r="465">
      <c r="A465" s="431"/>
      <c r="B465" s="431"/>
      <c r="C465" s="431"/>
      <c r="D465" s="431"/>
      <c r="E465" s="431"/>
      <c r="F465" s="431"/>
    </row>
    <row r="466">
      <c r="A466" s="431"/>
      <c r="B466" s="431"/>
      <c r="C466" s="431"/>
      <c r="D466" s="431"/>
      <c r="E466" s="431"/>
      <c r="F466" s="431"/>
    </row>
    <row r="467">
      <c r="A467" s="431"/>
      <c r="B467" s="431"/>
      <c r="C467" s="431"/>
      <c r="D467" s="431"/>
      <c r="E467" s="431"/>
      <c r="F467" s="431"/>
    </row>
    <row r="468">
      <c r="A468" s="431"/>
      <c r="B468" s="431"/>
      <c r="C468" s="431"/>
      <c r="D468" s="431"/>
      <c r="E468" s="431"/>
      <c r="F468" s="431"/>
    </row>
    <row r="469">
      <c r="A469" s="431"/>
      <c r="B469" s="431"/>
      <c r="C469" s="431"/>
      <c r="D469" s="431"/>
      <c r="E469" s="431"/>
      <c r="F469" s="431"/>
    </row>
    <row r="470">
      <c r="A470" s="431"/>
      <c r="B470" s="431"/>
      <c r="C470" s="431"/>
      <c r="D470" s="431"/>
      <c r="E470" s="431"/>
      <c r="F470" s="431"/>
    </row>
    <row r="471">
      <c r="A471" s="431"/>
      <c r="B471" s="431"/>
      <c r="C471" s="431"/>
      <c r="D471" s="431"/>
      <c r="E471" s="431"/>
      <c r="F471" s="431"/>
    </row>
    <row r="472">
      <c r="A472" s="431"/>
      <c r="B472" s="431"/>
      <c r="C472" s="431"/>
      <c r="D472" s="431"/>
      <c r="E472" s="431"/>
      <c r="F472" s="431"/>
    </row>
    <row r="473">
      <c r="A473" s="431"/>
      <c r="B473" s="431"/>
      <c r="C473" s="431"/>
      <c r="D473" s="431"/>
      <c r="E473" s="431"/>
      <c r="F473" s="431"/>
    </row>
    <row r="474">
      <c r="A474" s="431"/>
      <c r="B474" s="431"/>
      <c r="C474" s="431"/>
      <c r="D474" s="431"/>
      <c r="E474" s="431"/>
      <c r="F474" s="431"/>
    </row>
    <row r="475">
      <c r="A475" s="431"/>
      <c r="B475" s="431"/>
      <c r="C475" s="431"/>
      <c r="D475" s="431"/>
      <c r="E475" s="431"/>
      <c r="F475" s="431"/>
    </row>
    <row r="476">
      <c r="A476" s="431"/>
      <c r="B476" s="431"/>
      <c r="C476" s="431"/>
      <c r="D476" s="431"/>
      <c r="E476" s="431"/>
      <c r="F476" s="431"/>
    </row>
    <row r="477">
      <c r="A477" s="431"/>
      <c r="B477" s="431"/>
      <c r="C477" s="431"/>
      <c r="D477" s="431"/>
      <c r="E477" s="431"/>
      <c r="F477" s="431"/>
    </row>
    <row r="478">
      <c r="A478" s="431"/>
      <c r="B478" s="431"/>
      <c r="C478" s="431"/>
      <c r="D478" s="431"/>
      <c r="E478" s="431"/>
      <c r="F478" s="431"/>
    </row>
    <row r="479">
      <c r="A479" s="431"/>
      <c r="B479" s="431"/>
      <c r="C479" s="431"/>
      <c r="D479" s="431"/>
      <c r="E479" s="431"/>
      <c r="F479" s="431"/>
    </row>
    <row r="480">
      <c r="A480" s="431"/>
      <c r="B480" s="431"/>
      <c r="C480" s="431"/>
      <c r="D480" s="431"/>
      <c r="E480" s="431"/>
      <c r="F480" s="431"/>
    </row>
    <row r="481">
      <c r="A481" s="431"/>
      <c r="B481" s="431"/>
      <c r="C481" s="431"/>
      <c r="D481" s="431"/>
      <c r="E481" s="431"/>
      <c r="F481" s="431"/>
    </row>
    <row r="482">
      <c r="A482" s="431"/>
      <c r="B482" s="431"/>
      <c r="C482" s="431"/>
      <c r="D482" s="431"/>
      <c r="E482" s="431"/>
      <c r="F482" s="431"/>
    </row>
    <row r="483">
      <c r="A483" s="431"/>
      <c r="B483" s="431"/>
      <c r="C483" s="431"/>
      <c r="D483" s="431"/>
      <c r="E483" s="431"/>
      <c r="F483" s="431"/>
    </row>
    <row r="484">
      <c r="A484" s="431"/>
      <c r="B484" s="431"/>
      <c r="C484" s="431"/>
      <c r="D484" s="431"/>
      <c r="E484" s="431"/>
      <c r="F484" s="431"/>
    </row>
    <row r="485">
      <c r="A485" s="431"/>
      <c r="B485" s="431"/>
      <c r="C485" s="431"/>
      <c r="D485" s="431"/>
      <c r="E485" s="431"/>
      <c r="F485" s="431"/>
    </row>
    <row r="486">
      <c r="A486" s="431"/>
      <c r="B486" s="431"/>
      <c r="C486" s="431"/>
      <c r="D486" s="431"/>
      <c r="E486" s="431"/>
      <c r="F486" s="431"/>
    </row>
    <row r="487">
      <c r="A487" s="431"/>
      <c r="B487" s="431"/>
      <c r="C487" s="431"/>
      <c r="D487" s="431"/>
      <c r="E487" s="431"/>
      <c r="F487" s="431"/>
    </row>
    <row r="488">
      <c r="A488" s="431"/>
      <c r="B488" s="431"/>
      <c r="C488" s="431"/>
      <c r="D488" s="431"/>
      <c r="E488" s="431"/>
      <c r="F488" s="431"/>
    </row>
    <row r="489">
      <c r="A489" s="431"/>
      <c r="B489" s="431"/>
      <c r="C489" s="431"/>
      <c r="D489" s="431"/>
      <c r="E489" s="431"/>
      <c r="F489" s="431"/>
    </row>
    <row r="490">
      <c r="A490" s="431"/>
      <c r="B490" s="431"/>
      <c r="C490" s="431"/>
      <c r="D490" s="431"/>
      <c r="E490" s="431"/>
      <c r="F490" s="431"/>
    </row>
    <row r="491">
      <c r="A491" s="431"/>
      <c r="B491" s="431"/>
      <c r="C491" s="431"/>
      <c r="D491" s="431"/>
      <c r="E491" s="431"/>
      <c r="F491" s="431"/>
    </row>
    <row r="492">
      <c r="A492" s="431"/>
      <c r="B492" s="431"/>
      <c r="C492" s="431"/>
      <c r="D492" s="431"/>
      <c r="E492" s="431"/>
      <c r="F492" s="431"/>
    </row>
    <row r="493">
      <c r="A493" s="431"/>
      <c r="B493" s="431"/>
      <c r="C493" s="431"/>
      <c r="D493" s="431"/>
      <c r="E493" s="431"/>
      <c r="F493" s="431"/>
    </row>
    <row r="494">
      <c r="A494" s="431"/>
      <c r="B494" s="431"/>
      <c r="C494" s="431"/>
      <c r="D494" s="431"/>
      <c r="E494" s="431"/>
      <c r="F494" s="431"/>
    </row>
    <row r="495">
      <c r="A495" s="431"/>
      <c r="B495" s="431"/>
      <c r="C495" s="431"/>
      <c r="D495" s="431"/>
      <c r="E495" s="431"/>
      <c r="F495" s="431"/>
    </row>
    <row r="496">
      <c r="A496" s="431"/>
      <c r="B496" s="431"/>
      <c r="C496" s="431"/>
      <c r="D496" s="431"/>
      <c r="E496" s="431"/>
      <c r="F496" s="431"/>
    </row>
    <row r="497">
      <c r="A497" s="431"/>
      <c r="B497" s="431"/>
      <c r="C497" s="431"/>
      <c r="D497" s="431"/>
      <c r="E497" s="431"/>
      <c r="F497" s="431"/>
    </row>
    <row r="498">
      <c r="A498" s="431"/>
      <c r="B498" s="431"/>
      <c r="C498" s="431"/>
      <c r="D498" s="431"/>
      <c r="E498" s="431"/>
      <c r="F498" s="431"/>
    </row>
    <row r="499">
      <c r="A499" s="431"/>
      <c r="B499" s="431"/>
      <c r="C499" s="431"/>
      <c r="D499" s="431"/>
      <c r="E499" s="431"/>
      <c r="F499" s="431"/>
    </row>
    <row r="500">
      <c r="A500" s="431"/>
      <c r="B500" s="431"/>
      <c r="C500" s="431"/>
      <c r="D500" s="431"/>
      <c r="E500" s="431"/>
      <c r="F500" s="431"/>
    </row>
    <row r="501">
      <c r="A501" s="431"/>
      <c r="B501" s="431"/>
      <c r="C501" s="431"/>
      <c r="D501" s="431"/>
      <c r="E501" s="431"/>
      <c r="F501" s="431"/>
    </row>
    <row r="502">
      <c r="A502" s="431"/>
      <c r="B502" s="431"/>
      <c r="C502" s="431"/>
      <c r="D502" s="431"/>
      <c r="E502" s="431"/>
      <c r="F502" s="431"/>
    </row>
    <row r="503">
      <c r="A503" s="431"/>
      <c r="B503" s="431"/>
      <c r="C503" s="431"/>
      <c r="D503" s="431"/>
      <c r="E503" s="431"/>
      <c r="F503" s="431"/>
    </row>
    <row r="504">
      <c r="A504" s="431"/>
      <c r="B504" s="431"/>
      <c r="C504" s="431"/>
      <c r="D504" s="431"/>
      <c r="E504" s="431"/>
      <c r="F504" s="431"/>
    </row>
    <row r="505">
      <c r="A505" s="431"/>
      <c r="B505" s="431"/>
      <c r="C505" s="431"/>
      <c r="D505" s="431"/>
      <c r="E505" s="431"/>
      <c r="F505" s="431"/>
    </row>
    <row r="506">
      <c r="A506" s="431"/>
      <c r="B506" s="431"/>
      <c r="C506" s="431"/>
      <c r="D506" s="431"/>
      <c r="E506" s="431"/>
      <c r="F506" s="431"/>
    </row>
    <row r="507">
      <c r="A507" s="431"/>
      <c r="B507" s="431"/>
      <c r="C507" s="431"/>
      <c r="D507" s="431"/>
      <c r="E507" s="431"/>
      <c r="F507" s="431"/>
    </row>
    <row r="508">
      <c r="A508" s="431"/>
      <c r="B508" s="431"/>
      <c r="C508" s="431"/>
      <c r="D508" s="431"/>
      <c r="E508" s="431"/>
      <c r="F508" s="431"/>
    </row>
    <row r="509">
      <c r="A509" s="431"/>
      <c r="B509" s="431"/>
      <c r="C509" s="431"/>
      <c r="D509" s="431"/>
      <c r="E509" s="431"/>
      <c r="F509" s="431"/>
    </row>
    <row r="510">
      <c r="A510" s="431"/>
      <c r="B510" s="431"/>
      <c r="C510" s="431"/>
      <c r="D510" s="431"/>
      <c r="E510" s="431"/>
      <c r="F510" s="431"/>
    </row>
    <row r="511">
      <c r="A511" s="431"/>
      <c r="B511" s="431"/>
      <c r="C511" s="431"/>
      <c r="D511" s="431"/>
      <c r="E511" s="431"/>
      <c r="F511" s="431"/>
    </row>
    <row r="512">
      <c r="A512" s="431"/>
      <c r="B512" s="431"/>
      <c r="C512" s="431"/>
      <c r="D512" s="431"/>
      <c r="E512" s="431"/>
      <c r="F512" s="431"/>
    </row>
    <row r="513">
      <c r="A513" s="431"/>
      <c r="B513" s="431"/>
      <c r="C513" s="431"/>
      <c r="D513" s="431"/>
      <c r="E513" s="431"/>
      <c r="F513" s="431"/>
    </row>
    <row r="514">
      <c r="A514" s="431"/>
      <c r="B514" s="431"/>
      <c r="C514" s="431"/>
      <c r="D514" s="431"/>
      <c r="E514" s="431"/>
      <c r="F514" s="431"/>
    </row>
    <row r="515">
      <c r="A515" s="431"/>
      <c r="B515" s="431"/>
      <c r="C515" s="431"/>
      <c r="D515" s="431"/>
      <c r="E515" s="431"/>
      <c r="F515" s="431"/>
    </row>
    <row r="516">
      <c r="A516" s="431"/>
      <c r="B516" s="431"/>
      <c r="C516" s="431"/>
      <c r="D516" s="431"/>
      <c r="E516" s="431"/>
      <c r="F516" s="431"/>
    </row>
    <row r="517">
      <c r="A517" s="431"/>
      <c r="B517" s="431"/>
      <c r="C517" s="431"/>
      <c r="D517" s="431"/>
      <c r="E517" s="431"/>
      <c r="F517" s="431"/>
    </row>
    <row r="518">
      <c r="A518" s="431"/>
      <c r="B518" s="431"/>
      <c r="C518" s="431"/>
      <c r="D518" s="431"/>
      <c r="E518" s="431"/>
      <c r="F518" s="431"/>
    </row>
    <row r="519">
      <c r="A519" s="431"/>
      <c r="B519" s="431"/>
      <c r="C519" s="431"/>
      <c r="D519" s="431"/>
      <c r="E519" s="431"/>
      <c r="F519" s="431"/>
    </row>
    <row r="520">
      <c r="A520" s="431"/>
      <c r="B520" s="431"/>
      <c r="C520" s="431"/>
      <c r="D520" s="431"/>
      <c r="E520" s="431"/>
      <c r="F520" s="431"/>
    </row>
    <row r="521">
      <c r="A521" s="431"/>
      <c r="B521" s="431"/>
      <c r="C521" s="431"/>
      <c r="D521" s="431"/>
      <c r="E521" s="431"/>
      <c r="F521" s="431"/>
    </row>
    <row r="522">
      <c r="A522" s="431"/>
      <c r="B522" s="431"/>
      <c r="C522" s="431"/>
      <c r="D522" s="431"/>
      <c r="E522" s="431"/>
      <c r="F522" s="431"/>
    </row>
    <row r="523">
      <c r="A523" s="431"/>
      <c r="B523" s="431"/>
      <c r="C523" s="431"/>
      <c r="D523" s="431"/>
      <c r="E523" s="431"/>
      <c r="F523" s="431"/>
    </row>
    <row r="524">
      <c r="A524" s="431"/>
      <c r="B524" s="431"/>
      <c r="C524" s="431"/>
      <c r="D524" s="431"/>
      <c r="E524" s="431"/>
      <c r="F524" s="431"/>
    </row>
    <row r="525">
      <c r="A525" s="431"/>
      <c r="B525" s="431"/>
      <c r="C525" s="431"/>
      <c r="D525" s="431"/>
      <c r="E525" s="431"/>
      <c r="F525" s="431"/>
    </row>
    <row r="526">
      <c r="A526" s="431"/>
      <c r="B526" s="431"/>
      <c r="C526" s="431"/>
      <c r="D526" s="431"/>
      <c r="E526" s="431"/>
      <c r="F526" s="431"/>
    </row>
    <row r="527">
      <c r="A527" s="431"/>
      <c r="B527" s="431"/>
      <c r="C527" s="431"/>
      <c r="D527" s="431"/>
      <c r="E527" s="431"/>
      <c r="F527" s="431"/>
    </row>
    <row r="528">
      <c r="A528" s="431"/>
      <c r="B528" s="431"/>
      <c r="C528" s="431"/>
      <c r="D528" s="431"/>
      <c r="E528" s="431"/>
      <c r="F528" s="431"/>
    </row>
    <row r="529">
      <c r="A529" s="431"/>
      <c r="B529" s="431"/>
      <c r="C529" s="431"/>
      <c r="D529" s="431"/>
      <c r="E529" s="431"/>
      <c r="F529" s="431"/>
    </row>
    <row r="530">
      <c r="A530" s="431"/>
      <c r="B530" s="431"/>
      <c r="C530" s="431"/>
      <c r="D530" s="431"/>
      <c r="E530" s="431"/>
      <c r="F530" s="431"/>
    </row>
    <row r="531">
      <c r="A531" s="431"/>
      <c r="B531" s="431"/>
      <c r="C531" s="431"/>
      <c r="D531" s="431"/>
      <c r="E531" s="431"/>
      <c r="F531" s="431"/>
    </row>
    <row r="532">
      <c r="A532" s="431"/>
      <c r="B532" s="431"/>
      <c r="C532" s="431"/>
      <c r="D532" s="431"/>
      <c r="E532" s="431"/>
      <c r="F532" s="431"/>
    </row>
    <row r="533">
      <c r="A533" s="431"/>
      <c r="B533" s="431"/>
      <c r="C533" s="431"/>
      <c r="D533" s="431"/>
      <c r="E533" s="431"/>
      <c r="F533" s="431"/>
    </row>
    <row r="534">
      <c r="A534" s="431"/>
      <c r="B534" s="431"/>
      <c r="C534" s="431"/>
      <c r="D534" s="431"/>
      <c r="E534" s="431"/>
      <c r="F534" s="431"/>
    </row>
    <row r="535">
      <c r="A535" s="431"/>
      <c r="B535" s="431"/>
      <c r="C535" s="431"/>
      <c r="D535" s="431"/>
      <c r="E535" s="431"/>
      <c r="F535" s="431"/>
    </row>
    <row r="536">
      <c r="A536" s="431"/>
      <c r="B536" s="431"/>
      <c r="C536" s="431"/>
      <c r="D536" s="431"/>
      <c r="E536" s="431"/>
      <c r="F536" s="431"/>
    </row>
    <row r="537">
      <c r="A537" s="431"/>
      <c r="B537" s="431"/>
      <c r="C537" s="431"/>
      <c r="D537" s="431"/>
      <c r="E537" s="431"/>
      <c r="F537" s="431"/>
    </row>
    <row r="538">
      <c r="A538" s="431"/>
      <c r="B538" s="431"/>
      <c r="C538" s="431"/>
      <c r="D538" s="431"/>
      <c r="E538" s="431"/>
      <c r="F538" s="431"/>
    </row>
    <row r="539">
      <c r="A539" s="431"/>
      <c r="B539" s="431"/>
      <c r="C539" s="431"/>
      <c r="D539" s="431"/>
      <c r="E539" s="431"/>
      <c r="F539" s="431"/>
    </row>
    <row r="540">
      <c r="A540" s="431"/>
      <c r="B540" s="431"/>
      <c r="C540" s="431"/>
      <c r="D540" s="431"/>
      <c r="E540" s="431"/>
      <c r="F540" s="431"/>
    </row>
    <row r="541">
      <c r="A541" s="431"/>
      <c r="B541" s="431"/>
      <c r="C541" s="431"/>
      <c r="D541" s="431"/>
      <c r="E541" s="431"/>
      <c r="F541" s="431"/>
    </row>
    <row r="542">
      <c r="A542" s="431"/>
      <c r="B542" s="431"/>
      <c r="C542" s="431"/>
      <c r="D542" s="431"/>
      <c r="E542" s="431"/>
      <c r="F542" s="431"/>
    </row>
    <row r="543">
      <c r="A543" s="431"/>
      <c r="B543" s="431"/>
      <c r="C543" s="431"/>
      <c r="D543" s="431"/>
      <c r="E543" s="431"/>
      <c r="F543" s="431"/>
    </row>
    <row r="544">
      <c r="A544" s="431"/>
      <c r="B544" s="431"/>
      <c r="C544" s="431"/>
      <c r="D544" s="431"/>
      <c r="E544" s="431"/>
      <c r="F544" s="431"/>
    </row>
    <row r="545">
      <c r="A545" s="431"/>
      <c r="B545" s="431"/>
      <c r="C545" s="431"/>
      <c r="D545" s="431"/>
      <c r="E545" s="431"/>
      <c r="F545" s="431"/>
    </row>
    <row r="546">
      <c r="A546" s="431"/>
      <c r="B546" s="431"/>
      <c r="C546" s="431"/>
      <c r="D546" s="431"/>
      <c r="E546" s="431"/>
      <c r="F546" s="431"/>
    </row>
    <row r="547">
      <c r="A547" s="431"/>
      <c r="B547" s="431"/>
      <c r="C547" s="431"/>
      <c r="D547" s="431"/>
      <c r="E547" s="431"/>
      <c r="F547" s="431"/>
    </row>
    <row r="548">
      <c r="A548" s="431"/>
      <c r="B548" s="431"/>
      <c r="C548" s="431"/>
      <c r="D548" s="431"/>
      <c r="E548" s="431"/>
      <c r="F548" s="431"/>
    </row>
    <row r="549">
      <c r="A549" s="431"/>
      <c r="B549" s="431"/>
      <c r="C549" s="431"/>
      <c r="D549" s="431"/>
      <c r="E549" s="431"/>
      <c r="F549" s="431"/>
    </row>
    <row r="550">
      <c r="A550" s="431"/>
      <c r="B550" s="431"/>
      <c r="C550" s="431"/>
      <c r="D550" s="431"/>
      <c r="E550" s="431"/>
      <c r="F550" s="431"/>
    </row>
    <row r="551">
      <c r="A551" s="431"/>
      <c r="B551" s="431"/>
      <c r="C551" s="431"/>
      <c r="D551" s="431"/>
      <c r="E551" s="431"/>
      <c r="F551" s="431"/>
    </row>
    <row r="552">
      <c r="A552" s="431"/>
      <c r="B552" s="431"/>
      <c r="C552" s="431"/>
      <c r="D552" s="431"/>
      <c r="E552" s="431"/>
      <c r="F552" s="431"/>
    </row>
    <row r="553">
      <c r="A553" s="431"/>
      <c r="B553" s="431"/>
      <c r="C553" s="431"/>
      <c r="D553" s="431"/>
      <c r="E553" s="431"/>
      <c r="F553" s="431"/>
    </row>
    <row r="554">
      <c r="A554" s="431"/>
      <c r="B554" s="431"/>
      <c r="C554" s="431"/>
      <c r="D554" s="431"/>
      <c r="E554" s="431"/>
      <c r="F554" s="431"/>
    </row>
    <row r="555">
      <c r="A555" s="431"/>
      <c r="B555" s="431"/>
      <c r="C555" s="431"/>
      <c r="D555" s="431"/>
      <c r="E555" s="431"/>
      <c r="F555" s="431"/>
    </row>
    <row r="556">
      <c r="A556" s="431"/>
      <c r="B556" s="431"/>
      <c r="C556" s="431"/>
      <c r="D556" s="431"/>
      <c r="E556" s="431"/>
      <c r="F556" s="431"/>
    </row>
    <row r="557">
      <c r="A557" s="431"/>
      <c r="B557" s="431"/>
      <c r="C557" s="431"/>
      <c r="D557" s="431"/>
      <c r="E557" s="431"/>
      <c r="F557" s="431"/>
    </row>
    <row r="558">
      <c r="A558" s="431"/>
      <c r="B558" s="431"/>
      <c r="C558" s="431"/>
      <c r="D558" s="431"/>
      <c r="E558" s="431"/>
      <c r="F558" s="431"/>
    </row>
    <row r="559">
      <c r="A559" s="431"/>
      <c r="B559" s="431"/>
      <c r="C559" s="431"/>
      <c r="D559" s="431"/>
      <c r="E559" s="431"/>
      <c r="F559" s="431"/>
    </row>
    <row r="560">
      <c r="A560" s="431"/>
      <c r="B560" s="431"/>
      <c r="C560" s="431"/>
      <c r="D560" s="431"/>
      <c r="E560" s="431"/>
      <c r="F560" s="431"/>
    </row>
    <row r="561">
      <c r="A561" s="431"/>
      <c r="B561" s="431"/>
      <c r="C561" s="431"/>
      <c r="D561" s="431"/>
      <c r="E561" s="431"/>
      <c r="F561" s="431"/>
    </row>
    <row r="562">
      <c r="A562" s="431"/>
      <c r="B562" s="431"/>
      <c r="C562" s="431"/>
      <c r="D562" s="431"/>
      <c r="E562" s="431"/>
      <c r="F562" s="431"/>
    </row>
    <row r="563">
      <c r="A563" s="431"/>
      <c r="B563" s="431"/>
      <c r="C563" s="431"/>
      <c r="D563" s="431"/>
      <c r="E563" s="431"/>
      <c r="F563" s="431"/>
    </row>
    <row r="564">
      <c r="A564" s="431"/>
      <c r="B564" s="431"/>
      <c r="C564" s="431"/>
      <c r="D564" s="431"/>
      <c r="E564" s="431"/>
      <c r="F564" s="431"/>
    </row>
    <row r="565">
      <c r="A565" s="431"/>
      <c r="B565" s="431"/>
      <c r="C565" s="431"/>
      <c r="D565" s="431"/>
      <c r="E565" s="431"/>
      <c r="F565" s="431"/>
    </row>
    <row r="566">
      <c r="A566" s="431"/>
      <c r="B566" s="431"/>
      <c r="C566" s="431"/>
      <c r="D566" s="431"/>
      <c r="E566" s="431"/>
      <c r="F566" s="431"/>
    </row>
    <row r="567">
      <c r="A567" s="431"/>
      <c r="B567" s="431"/>
      <c r="C567" s="431"/>
      <c r="D567" s="431"/>
      <c r="E567" s="431"/>
      <c r="F567" s="431"/>
    </row>
    <row r="568">
      <c r="A568" s="431"/>
      <c r="B568" s="431"/>
      <c r="C568" s="431"/>
      <c r="D568" s="431"/>
      <c r="E568" s="431"/>
      <c r="F568" s="431"/>
    </row>
    <row r="569">
      <c r="A569" s="431"/>
      <c r="B569" s="431"/>
      <c r="C569" s="431"/>
      <c r="D569" s="431"/>
      <c r="E569" s="431"/>
      <c r="F569" s="431"/>
    </row>
    <row r="570">
      <c r="A570" s="431"/>
      <c r="B570" s="431"/>
      <c r="C570" s="431"/>
      <c r="D570" s="431"/>
      <c r="E570" s="431"/>
      <c r="F570" s="431"/>
    </row>
    <row r="571">
      <c r="A571" s="431"/>
      <c r="B571" s="431"/>
      <c r="C571" s="431"/>
      <c r="D571" s="431"/>
      <c r="E571" s="431"/>
      <c r="F571" s="431"/>
    </row>
    <row r="572">
      <c r="A572" s="431"/>
      <c r="B572" s="431"/>
      <c r="C572" s="431"/>
      <c r="D572" s="431"/>
      <c r="E572" s="431"/>
      <c r="F572" s="431"/>
    </row>
    <row r="573">
      <c r="A573" s="431"/>
      <c r="B573" s="431"/>
      <c r="C573" s="431"/>
      <c r="D573" s="431"/>
      <c r="E573" s="431"/>
      <c r="F573" s="431"/>
    </row>
    <row r="574">
      <c r="A574" s="431"/>
      <c r="B574" s="431"/>
      <c r="C574" s="431"/>
      <c r="D574" s="431"/>
      <c r="E574" s="431"/>
      <c r="F574" s="431"/>
    </row>
    <row r="575">
      <c r="A575" s="431"/>
      <c r="B575" s="431"/>
      <c r="C575" s="431"/>
      <c r="D575" s="431"/>
      <c r="E575" s="431"/>
      <c r="F575" s="431"/>
    </row>
    <row r="576">
      <c r="A576" s="431"/>
      <c r="B576" s="431"/>
      <c r="C576" s="431"/>
      <c r="D576" s="431"/>
      <c r="E576" s="431"/>
      <c r="F576" s="431"/>
    </row>
    <row r="577">
      <c r="A577" s="431"/>
      <c r="B577" s="431"/>
      <c r="C577" s="431"/>
      <c r="D577" s="431"/>
      <c r="E577" s="431"/>
      <c r="F577" s="431"/>
    </row>
    <row r="578">
      <c r="A578" s="431"/>
      <c r="B578" s="431"/>
      <c r="C578" s="431"/>
      <c r="D578" s="431"/>
      <c r="E578" s="431"/>
      <c r="F578" s="431"/>
    </row>
    <row r="579">
      <c r="A579" s="431"/>
      <c r="B579" s="431"/>
      <c r="C579" s="431"/>
      <c r="D579" s="431"/>
      <c r="E579" s="431"/>
      <c r="F579" s="431"/>
    </row>
    <row r="580">
      <c r="A580" s="431"/>
      <c r="B580" s="431"/>
      <c r="C580" s="431"/>
      <c r="D580" s="431"/>
      <c r="E580" s="431"/>
      <c r="F580" s="431"/>
    </row>
    <row r="581">
      <c r="A581" s="431"/>
      <c r="B581" s="431"/>
      <c r="C581" s="431"/>
      <c r="D581" s="431"/>
      <c r="E581" s="431"/>
      <c r="F581" s="431"/>
    </row>
    <row r="582">
      <c r="A582" s="431"/>
      <c r="B582" s="431"/>
      <c r="C582" s="431"/>
      <c r="D582" s="431"/>
      <c r="E582" s="431"/>
      <c r="F582" s="431"/>
    </row>
    <row r="583">
      <c r="A583" s="431"/>
      <c r="B583" s="431"/>
      <c r="C583" s="431"/>
      <c r="D583" s="431"/>
      <c r="E583" s="431"/>
      <c r="F583" s="431"/>
    </row>
    <row r="584">
      <c r="A584" s="431"/>
      <c r="B584" s="431"/>
      <c r="C584" s="431"/>
      <c r="D584" s="431"/>
      <c r="E584" s="431"/>
      <c r="F584" s="431"/>
    </row>
    <row r="585">
      <c r="A585" s="431"/>
      <c r="B585" s="431"/>
      <c r="C585" s="431"/>
      <c r="D585" s="431"/>
      <c r="E585" s="431"/>
      <c r="F585" s="431"/>
    </row>
    <row r="586">
      <c r="A586" s="431"/>
      <c r="B586" s="431"/>
      <c r="C586" s="431"/>
      <c r="D586" s="431"/>
      <c r="E586" s="431"/>
      <c r="F586" s="431"/>
    </row>
    <row r="587">
      <c r="A587" s="431"/>
      <c r="B587" s="431"/>
      <c r="C587" s="431"/>
      <c r="D587" s="431"/>
      <c r="E587" s="431"/>
      <c r="F587" s="431"/>
    </row>
    <row r="588">
      <c r="A588" s="431"/>
      <c r="B588" s="431"/>
      <c r="C588" s="431"/>
      <c r="D588" s="431"/>
      <c r="E588" s="431"/>
      <c r="F588" s="431"/>
    </row>
    <row r="589">
      <c r="A589" s="431"/>
      <c r="B589" s="431"/>
      <c r="C589" s="431"/>
      <c r="D589" s="431"/>
      <c r="E589" s="431"/>
      <c r="F589" s="431"/>
    </row>
    <row r="590">
      <c r="A590" s="431"/>
      <c r="B590" s="431"/>
      <c r="C590" s="431"/>
      <c r="D590" s="431"/>
      <c r="E590" s="431"/>
      <c r="F590" s="431"/>
    </row>
    <row r="591">
      <c r="A591" s="431"/>
      <c r="B591" s="431"/>
      <c r="C591" s="431"/>
      <c r="D591" s="431"/>
      <c r="E591" s="431"/>
      <c r="F591" s="431"/>
    </row>
    <row r="592">
      <c r="A592" s="431"/>
      <c r="B592" s="431"/>
      <c r="C592" s="431"/>
      <c r="D592" s="431"/>
      <c r="E592" s="431"/>
      <c r="F592" s="431"/>
    </row>
    <row r="593">
      <c r="A593" s="431"/>
      <c r="B593" s="431"/>
      <c r="C593" s="431"/>
      <c r="D593" s="431"/>
      <c r="E593" s="431"/>
      <c r="F593" s="431"/>
    </row>
    <row r="594">
      <c r="A594" s="431"/>
      <c r="B594" s="431"/>
      <c r="C594" s="431"/>
      <c r="D594" s="431"/>
      <c r="E594" s="431"/>
      <c r="F594" s="431"/>
    </row>
    <row r="595">
      <c r="A595" s="431"/>
      <c r="B595" s="431"/>
      <c r="C595" s="431"/>
      <c r="D595" s="431"/>
      <c r="E595" s="431"/>
      <c r="F595" s="431"/>
    </row>
    <row r="596">
      <c r="A596" s="431"/>
      <c r="B596" s="431"/>
      <c r="C596" s="431"/>
      <c r="D596" s="431"/>
      <c r="E596" s="431"/>
      <c r="F596" s="431"/>
    </row>
    <row r="597">
      <c r="A597" s="431"/>
      <c r="B597" s="431"/>
      <c r="C597" s="431"/>
      <c r="D597" s="431"/>
      <c r="E597" s="431"/>
      <c r="F597" s="431"/>
    </row>
    <row r="598">
      <c r="A598" s="431"/>
      <c r="B598" s="431"/>
      <c r="C598" s="431"/>
      <c r="D598" s="431"/>
      <c r="E598" s="431"/>
      <c r="F598" s="431"/>
    </row>
    <row r="599">
      <c r="A599" s="431"/>
      <c r="B599" s="431"/>
      <c r="C599" s="431"/>
      <c r="D599" s="431"/>
      <c r="E599" s="431"/>
      <c r="F599" s="431"/>
    </row>
    <row r="600">
      <c r="A600" s="431"/>
      <c r="B600" s="431"/>
      <c r="C600" s="431"/>
      <c r="D600" s="431"/>
      <c r="E600" s="431"/>
      <c r="F600" s="431"/>
    </row>
    <row r="601">
      <c r="A601" s="431"/>
      <c r="B601" s="431"/>
      <c r="C601" s="431"/>
      <c r="D601" s="431"/>
      <c r="E601" s="431"/>
      <c r="F601" s="431"/>
    </row>
    <row r="602">
      <c r="A602" s="431"/>
      <c r="B602" s="431"/>
      <c r="C602" s="431"/>
      <c r="D602" s="431"/>
      <c r="E602" s="431"/>
      <c r="F602" s="431"/>
    </row>
    <row r="603">
      <c r="A603" s="431"/>
      <c r="B603" s="431"/>
      <c r="C603" s="431"/>
      <c r="D603" s="431"/>
      <c r="E603" s="431"/>
      <c r="F603" s="431"/>
    </row>
    <row r="604">
      <c r="A604" s="431"/>
      <c r="B604" s="431"/>
      <c r="C604" s="431"/>
      <c r="D604" s="431"/>
      <c r="E604" s="431"/>
      <c r="F604" s="431"/>
    </row>
    <row r="605">
      <c r="A605" s="431"/>
      <c r="B605" s="431"/>
      <c r="C605" s="431"/>
      <c r="D605" s="431"/>
      <c r="E605" s="431"/>
      <c r="F605" s="431"/>
    </row>
    <row r="606">
      <c r="A606" s="431"/>
      <c r="B606" s="431"/>
      <c r="C606" s="431"/>
      <c r="D606" s="431"/>
      <c r="E606" s="431"/>
      <c r="F606" s="431"/>
    </row>
    <row r="607">
      <c r="A607" s="431"/>
      <c r="B607" s="431"/>
      <c r="C607" s="431"/>
      <c r="D607" s="431"/>
      <c r="E607" s="431"/>
      <c r="F607" s="431"/>
    </row>
    <row r="608">
      <c r="A608" s="431"/>
      <c r="B608" s="431"/>
      <c r="C608" s="431"/>
      <c r="D608" s="431"/>
      <c r="E608" s="431"/>
      <c r="F608" s="431"/>
    </row>
    <row r="609">
      <c r="A609" s="431"/>
      <c r="B609" s="431"/>
      <c r="C609" s="431"/>
      <c r="D609" s="431"/>
      <c r="E609" s="431"/>
      <c r="F609" s="431"/>
    </row>
    <row r="610">
      <c r="A610" s="431"/>
      <c r="B610" s="431"/>
      <c r="C610" s="431"/>
      <c r="D610" s="431"/>
      <c r="E610" s="431"/>
      <c r="F610" s="431"/>
    </row>
    <row r="611">
      <c r="A611" s="431"/>
      <c r="B611" s="431"/>
      <c r="C611" s="431"/>
      <c r="D611" s="431"/>
      <c r="E611" s="431"/>
      <c r="F611" s="431"/>
    </row>
    <row r="612">
      <c r="A612" s="431"/>
      <c r="B612" s="431"/>
      <c r="C612" s="431"/>
      <c r="D612" s="431"/>
      <c r="E612" s="431"/>
      <c r="F612" s="431"/>
    </row>
    <row r="613">
      <c r="A613" s="431"/>
      <c r="B613" s="431"/>
      <c r="C613" s="431"/>
      <c r="D613" s="431"/>
      <c r="E613" s="431"/>
      <c r="F613" s="431"/>
    </row>
    <row r="614">
      <c r="A614" s="431"/>
      <c r="B614" s="431"/>
      <c r="C614" s="431"/>
      <c r="D614" s="431"/>
      <c r="E614" s="431"/>
      <c r="F614" s="431"/>
    </row>
    <row r="615">
      <c r="A615" s="431"/>
      <c r="B615" s="431"/>
      <c r="C615" s="431"/>
      <c r="D615" s="431"/>
      <c r="E615" s="431"/>
      <c r="F615" s="431"/>
    </row>
    <row r="616">
      <c r="A616" s="431"/>
      <c r="B616" s="431"/>
      <c r="C616" s="431"/>
      <c r="D616" s="431"/>
      <c r="E616" s="431"/>
      <c r="F616" s="431"/>
    </row>
    <row r="617">
      <c r="A617" s="431"/>
      <c r="B617" s="431"/>
      <c r="C617" s="431"/>
      <c r="D617" s="431"/>
      <c r="E617" s="431"/>
      <c r="F617" s="431"/>
    </row>
    <row r="618">
      <c r="A618" s="431"/>
      <c r="B618" s="431"/>
      <c r="C618" s="431"/>
      <c r="D618" s="431"/>
      <c r="E618" s="431"/>
      <c r="F618" s="431"/>
    </row>
    <row r="619">
      <c r="A619" s="431"/>
      <c r="B619" s="431"/>
      <c r="C619" s="431"/>
      <c r="D619" s="431"/>
      <c r="E619" s="431"/>
      <c r="F619" s="431"/>
    </row>
    <row r="620">
      <c r="A620" s="431"/>
      <c r="B620" s="431"/>
      <c r="C620" s="431"/>
      <c r="D620" s="431"/>
      <c r="E620" s="431"/>
      <c r="F620" s="431"/>
    </row>
    <row r="621">
      <c r="A621" s="431"/>
      <c r="B621" s="431"/>
      <c r="C621" s="431"/>
      <c r="D621" s="431"/>
      <c r="E621" s="431"/>
      <c r="F621" s="431"/>
    </row>
    <row r="622">
      <c r="A622" s="431"/>
      <c r="B622" s="431"/>
      <c r="C622" s="431"/>
      <c r="D622" s="431"/>
      <c r="E622" s="431"/>
      <c r="F622" s="431"/>
    </row>
    <row r="623">
      <c r="A623" s="431"/>
      <c r="B623" s="431"/>
      <c r="C623" s="431"/>
      <c r="D623" s="431"/>
      <c r="E623" s="431"/>
      <c r="F623" s="431"/>
    </row>
    <row r="624">
      <c r="A624" s="431"/>
      <c r="B624" s="431"/>
      <c r="C624" s="431"/>
      <c r="D624" s="431"/>
      <c r="E624" s="431"/>
      <c r="F624" s="431"/>
    </row>
    <row r="625">
      <c r="A625" s="431"/>
      <c r="B625" s="431"/>
      <c r="C625" s="431"/>
      <c r="D625" s="431"/>
      <c r="E625" s="431"/>
      <c r="F625" s="431"/>
    </row>
    <row r="626">
      <c r="A626" s="431"/>
      <c r="B626" s="431"/>
      <c r="C626" s="431"/>
      <c r="D626" s="431"/>
      <c r="E626" s="431"/>
      <c r="F626" s="431"/>
    </row>
    <row r="627">
      <c r="A627" s="431"/>
      <c r="B627" s="431"/>
      <c r="C627" s="431"/>
      <c r="D627" s="431"/>
      <c r="E627" s="431"/>
      <c r="F627" s="431"/>
    </row>
    <row r="628">
      <c r="A628" s="431"/>
      <c r="B628" s="431"/>
      <c r="C628" s="431"/>
      <c r="D628" s="431"/>
      <c r="E628" s="431"/>
      <c r="F628" s="431"/>
    </row>
    <row r="629">
      <c r="A629" s="431"/>
      <c r="B629" s="431"/>
      <c r="C629" s="431"/>
      <c r="D629" s="431"/>
      <c r="E629" s="431"/>
      <c r="F629" s="431"/>
    </row>
    <row r="630">
      <c r="A630" s="431"/>
      <c r="B630" s="431"/>
      <c r="C630" s="431"/>
      <c r="D630" s="431"/>
      <c r="E630" s="431"/>
      <c r="F630" s="431"/>
    </row>
    <row r="631">
      <c r="A631" s="431"/>
      <c r="B631" s="431"/>
      <c r="C631" s="431"/>
      <c r="D631" s="431"/>
      <c r="E631" s="431"/>
      <c r="F631" s="431"/>
    </row>
    <row r="632">
      <c r="A632" s="431"/>
      <c r="B632" s="431"/>
      <c r="C632" s="431"/>
      <c r="D632" s="431"/>
      <c r="E632" s="431"/>
      <c r="F632" s="431"/>
    </row>
    <row r="633">
      <c r="A633" s="431"/>
      <c r="B633" s="431"/>
      <c r="C633" s="431"/>
      <c r="D633" s="431"/>
      <c r="E633" s="431"/>
      <c r="F633" s="431"/>
    </row>
    <row r="634">
      <c r="A634" s="431"/>
      <c r="B634" s="431"/>
      <c r="C634" s="431"/>
      <c r="D634" s="431"/>
      <c r="E634" s="431"/>
      <c r="F634" s="431"/>
    </row>
    <row r="635">
      <c r="A635" s="431"/>
      <c r="B635" s="431"/>
      <c r="C635" s="431"/>
      <c r="D635" s="431"/>
      <c r="E635" s="431"/>
      <c r="F635" s="431"/>
    </row>
    <row r="636">
      <c r="A636" s="431"/>
      <c r="B636" s="431"/>
      <c r="C636" s="431"/>
      <c r="D636" s="431"/>
      <c r="E636" s="431"/>
      <c r="F636" s="431"/>
    </row>
    <row r="637">
      <c r="A637" s="431"/>
      <c r="B637" s="431"/>
      <c r="C637" s="431"/>
      <c r="D637" s="431"/>
      <c r="E637" s="431"/>
      <c r="F637" s="431"/>
    </row>
    <row r="638">
      <c r="A638" s="431"/>
      <c r="B638" s="431"/>
      <c r="C638" s="431"/>
      <c r="D638" s="431"/>
      <c r="E638" s="431"/>
      <c r="F638" s="431"/>
    </row>
    <row r="639">
      <c r="A639" s="431"/>
      <c r="B639" s="431"/>
      <c r="C639" s="431"/>
      <c r="D639" s="431"/>
      <c r="E639" s="431"/>
      <c r="F639" s="431"/>
    </row>
    <row r="640">
      <c r="A640" s="431"/>
      <c r="B640" s="431"/>
      <c r="C640" s="431"/>
      <c r="D640" s="431"/>
      <c r="E640" s="431"/>
      <c r="F640" s="431"/>
    </row>
    <row r="641">
      <c r="A641" s="431"/>
      <c r="B641" s="431"/>
      <c r="C641" s="431"/>
      <c r="D641" s="431"/>
      <c r="E641" s="431"/>
      <c r="F641" s="431"/>
    </row>
    <row r="642">
      <c r="A642" s="431"/>
      <c r="B642" s="431"/>
      <c r="C642" s="431"/>
      <c r="D642" s="431"/>
      <c r="E642" s="431"/>
      <c r="F642" s="431"/>
    </row>
    <row r="643">
      <c r="A643" s="431"/>
      <c r="B643" s="431"/>
      <c r="C643" s="431"/>
      <c r="D643" s="431"/>
      <c r="E643" s="431"/>
      <c r="F643" s="431"/>
    </row>
    <row r="644">
      <c r="A644" s="431"/>
      <c r="B644" s="431"/>
      <c r="C644" s="431"/>
      <c r="D644" s="431"/>
      <c r="E644" s="431"/>
      <c r="F644" s="431"/>
    </row>
    <row r="645">
      <c r="A645" s="431"/>
      <c r="B645" s="431"/>
      <c r="C645" s="431"/>
      <c r="D645" s="431"/>
      <c r="E645" s="431"/>
      <c r="F645" s="431"/>
    </row>
    <row r="646">
      <c r="A646" s="431"/>
      <c r="B646" s="431"/>
      <c r="C646" s="431"/>
      <c r="D646" s="431"/>
      <c r="E646" s="431"/>
      <c r="F646" s="431"/>
    </row>
    <row r="647">
      <c r="A647" s="431"/>
      <c r="B647" s="431"/>
      <c r="C647" s="431"/>
      <c r="D647" s="431"/>
      <c r="E647" s="431"/>
      <c r="F647" s="431"/>
    </row>
    <row r="648">
      <c r="A648" s="431"/>
      <c r="B648" s="431"/>
      <c r="C648" s="431"/>
      <c r="D648" s="431"/>
      <c r="E648" s="431"/>
      <c r="F648" s="431"/>
    </row>
    <row r="649">
      <c r="A649" s="431"/>
      <c r="B649" s="431"/>
      <c r="C649" s="431"/>
      <c r="D649" s="431"/>
      <c r="E649" s="431"/>
      <c r="F649" s="431"/>
    </row>
    <row r="650">
      <c r="A650" s="431"/>
      <c r="B650" s="431"/>
      <c r="C650" s="431"/>
      <c r="D650" s="431"/>
      <c r="E650" s="431"/>
      <c r="F650" s="431"/>
    </row>
    <row r="651">
      <c r="A651" s="431"/>
      <c r="B651" s="431"/>
      <c r="C651" s="431"/>
      <c r="D651" s="431"/>
      <c r="E651" s="431"/>
      <c r="F651" s="431"/>
    </row>
    <row r="652">
      <c r="A652" s="431"/>
      <c r="B652" s="431"/>
      <c r="C652" s="431"/>
      <c r="D652" s="431"/>
      <c r="E652" s="431"/>
      <c r="F652" s="431"/>
    </row>
    <row r="653">
      <c r="A653" s="431"/>
      <c r="B653" s="431"/>
      <c r="C653" s="431"/>
      <c r="D653" s="431"/>
      <c r="E653" s="431"/>
      <c r="F653" s="431"/>
    </row>
    <row r="654">
      <c r="A654" s="431"/>
      <c r="B654" s="431"/>
      <c r="C654" s="431"/>
      <c r="D654" s="431"/>
      <c r="E654" s="431"/>
      <c r="F654" s="431"/>
    </row>
    <row r="655">
      <c r="A655" s="431"/>
      <c r="B655" s="431"/>
      <c r="C655" s="431"/>
      <c r="D655" s="431"/>
      <c r="E655" s="431"/>
      <c r="F655" s="431"/>
    </row>
    <row r="656">
      <c r="A656" s="431"/>
      <c r="B656" s="431"/>
      <c r="C656" s="431"/>
      <c r="D656" s="431"/>
      <c r="E656" s="431"/>
      <c r="F656" s="431"/>
    </row>
    <row r="657">
      <c r="A657" s="431"/>
      <c r="B657" s="431"/>
      <c r="C657" s="431"/>
      <c r="D657" s="431"/>
      <c r="E657" s="431"/>
      <c r="F657" s="431"/>
    </row>
    <row r="658">
      <c r="A658" s="431"/>
      <c r="B658" s="431"/>
      <c r="C658" s="431"/>
      <c r="D658" s="431"/>
      <c r="E658" s="431"/>
      <c r="F658" s="431"/>
    </row>
    <row r="659">
      <c r="A659" s="431"/>
      <c r="B659" s="431"/>
      <c r="C659" s="431"/>
      <c r="D659" s="431"/>
      <c r="E659" s="431"/>
      <c r="F659" s="431"/>
    </row>
    <row r="660">
      <c r="A660" s="431"/>
      <c r="B660" s="431"/>
      <c r="C660" s="431"/>
      <c r="D660" s="431"/>
      <c r="E660" s="431"/>
      <c r="F660" s="431"/>
    </row>
    <row r="661">
      <c r="A661" s="431"/>
      <c r="B661" s="431"/>
      <c r="C661" s="431"/>
      <c r="D661" s="431"/>
      <c r="E661" s="431"/>
      <c r="F661" s="431"/>
    </row>
    <row r="662">
      <c r="A662" s="431"/>
      <c r="B662" s="431"/>
      <c r="C662" s="431"/>
      <c r="D662" s="431"/>
      <c r="E662" s="431"/>
      <c r="F662" s="431"/>
    </row>
    <row r="663">
      <c r="A663" s="431"/>
      <c r="B663" s="431"/>
      <c r="C663" s="431"/>
      <c r="D663" s="431"/>
      <c r="E663" s="431"/>
      <c r="F663" s="431"/>
    </row>
    <row r="664">
      <c r="A664" s="431"/>
      <c r="B664" s="431"/>
      <c r="C664" s="431"/>
      <c r="D664" s="431"/>
      <c r="E664" s="431"/>
      <c r="F664" s="431"/>
    </row>
    <row r="665">
      <c r="A665" s="431"/>
      <c r="B665" s="431"/>
      <c r="C665" s="431"/>
      <c r="D665" s="431"/>
      <c r="E665" s="431"/>
      <c r="F665" s="431"/>
    </row>
    <row r="666">
      <c r="A666" s="431"/>
      <c r="B666" s="431"/>
      <c r="C666" s="431"/>
      <c r="D666" s="431"/>
      <c r="E666" s="431"/>
      <c r="F666" s="431"/>
    </row>
    <row r="667">
      <c r="A667" s="431"/>
      <c r="B667" s="431"/>
      <c r="C667" s="431"/>
      <c r="D667" s="431"/>
      <c r="E667" s="431"/>
      <c r="F667" s="431"/>
    </row>
    <row r="668">
      <c r="A668" s="431"/>
      <c r="B668" s="431"/>
      <c r="C668" s="431"/>
      <c r="D668" s="431"/>
      <c r="E668" s="431"/>
      <c r="F668" s="431"/>
    </row>
    <row r="669">
      <c r="A669" s="431"/>
      <c r="B669" s="431"/>
      <c r="C669" s="431"/>
      <c r="D669" s="431"/>
      <c r="E669" s="431"/>
      <c r="F669" s="431"/>
    </row>
    <row r="670">
      <c r="A670" s="431"/>
      <c r="B670" s="431"/>
      <c r="C670" s="431"/>
      <c r="D670" s="431"/>
      <c r="E670" s="431"/>
      <c r="F670" s="431"/>
    </row>
    <row r="671">
      <c r="A671" s="431"/>
      <c r="B671" s="431"/>
      <c r="C671" s="431"/>
      <c r="D671" s="431"/>
      <c r="E671" s="431"/>
      <c r="F671" s="431"/>
    </row>
    <row r="672">
      <c r="A672" s="431"/>
      <c r="B672" s="431"/>
      <c r="C672" s="431"/>
      <c r="D672" s="431"/>
      <c r="E672" s="431"/>
      <c r="F672" s="431"/>
    </row>
    <row r="673">
      <c r="A673" s="431"/>
      <c r="B673" s="431"/>
      <c r="C673" s="431"/>
      <c r="D673" s="431"/>
      <c r="E673" s="431"/>
      <c r="F673" s="431"/>
    </row>
    <row r="674">
      <c r="A674" s="431"/>
      <c r="B674" s="431"/>
      <c r="C674" s="431"/>
      <c r="D674" s="431"/>
      <c r="E674" s="431"/>
      <c r="F674" s="431"/>
    </row>
    <row r="675">
      <c r="A675" s="431"/>
      <c r="B675" s="431"/>
      <c r="C675" s="431"/>
      <c r="D675" s="431"/>
      <c r="E675" s="431"/>
      <c r="F675" s="431"/>
    </row>
    <row r="676">
      <c r="A676" s="431"/>
      <c r="B676" s="431"/>
      <c r="C676" s="431"/>
      <c r="D676" s="431"/>
      <c r="E676" s="431"/>
      <c r="F676" s="431"/>
    </row>
    <row r="677">
      <c r="A677" s="431"/>
      <c r="B677" s="431"/>
      <c r="C677" s="431"/>
      <c r="D677" s="431"/>
      <c r="E677" s="431"/>
      <c r="F677" s="431"/>
    </row>
    <row r="678">
      <c r="A678" s="431"/>
      <c r="B678" s="431"/>
      <c r="C678" s="431"/>
      <c r="D678" s="431"/>
      <c r="E678" s="431"/>
      <c r="F678" s="431"/>
    </row>
    <row r="679">
      <c r="A679" s="431"/>
      <c r="B679" s="431"/>
      <c r="C679" s="431"/>
      <c r="D679" s="431"/>
      <c r="E679" s="431"/>
      <c r="F679" s="431"/>
    </row>
    <row r="680">
      <c r="A680" s="431"/>
      <c r="B680" s="431"/>
      <c r="C680" s="431"/>
      <c r="D680" s="431"/>
      <c r="E680" s="431"/>
      <c r="F680" s="431"/>
    </row>
    <row r="681">
      <c r="A681" s="431"/>
      <c r="B681" s="431"/>
      <c r="C681" s="431"/>
      <c r="D681" s="431"/>
      <c r="E681" s="431"/>
      <c r="F681" s="431"/>
    </row>
    <row r="682">
      <c r="A682" s="431"/>
      <c r="B682" s="431"/>
      <c r="C682" s="431"/>
      <c r="D682" s="431"/>
      <c r="E682" s="431"/>
      <c r="F682" s="431"/>
    </row>
    <row r="683">
      <c r="A683" s="431"/>
      <c r="B683" s="431"/>
      <c r="C683" s="431"/>
      <c r="D683" s="431"/>
      <c r="E683" s="431"/>
      <c r="F683" s="431"/>
    </row>
    <row r="684">
      <c r="A684" s="431"/>
      <c r="B684" s="431"/>
      <c r="C684" s="431"/>
      <c r="D684" s="431"/>
      <c r="E684" s="431"/>
      <c r="F684" s="431"/>
    </row>
    <row r="685">
      <c r="A685" s="431"/>
      <c r="B685" s="431"/>
      <c r="C685" s="431"/>
      <c r="D685" s="431"/>
      <c r="E685" s="431"/>
      <c r="F685" s="431"/>
    </row>
    <row r="686">
      <c r="A686" s="431"/>
      <c r="B686" s="431"/>
      <c r="C686" s="431"/>
      <c r="D686" s="431"/>
      <c r="E686" s="431"/>
      <c r="F686" s="431"/>
    </row>
    <row r="687">
      <c r="A687" s="431"/>
      <c r="B687" s="431"/>
      <c r="C687" s="431"/>
      <c r="D687" s="431"/>
      <c r="E687" s="431"/>
      <c r="F687" s="431"/>
    </row>
    <row r="688">
      <c r="A688" s="431"/>
      <c r="B688" s="431"/>
      <c r="C688" s="431"/>
      <c r="D688" s="431"/>
      <c r="E688" s="431"/>
      <c r="F688" s="431"/>
    </row>
    <row r="689">
      <c r="A689" s="431"/>
      <c r="B689" s="431"/>
      <c r="C689" s="431"/>
      <c r="D689" s="431"/>
      <c r="E689" s="431"/>
      <c r="F689" s="431"/>
    </row>
    <row r="690">
      <c r="A690" s="431"/>
      <c r="B690" s="431"/>
      <c r="C690" s="431"/>
      <c r="D690" s="431"/>
      <c r="E690" s="431"/>
      <c r="F690" s="431"/>
    </row>
    <row r="691">
      <c r="A691" s="431"/>
      <c r="B691" s="431"/>
      <c r="C691" s="431"/>
      <c r="D691" s="431"/>
      <c r="E691" s="431"/>
      <c r="F691" s="431"/>
    </row>
    <row r="692">
      <c r="A692" s="431"/>
      <c r="B692" s="431"/>
      <c r="C692" s="431"/>
      <c r="D692" s="431"/>
      <c r="E692" s="431"/>
      <c r="F692" s="431"/>
    </row>
    <row r="693">
      <c r="A693" s="431"/>
      <c r="B693" s="431"/>
      <c r="C693" s="431"/>
      <c r="D693" s="431"/>
      <c r="E693" s="431"/>
      <c r="F693" s="431"/>
    </row>
    <row r="694">
      <c r="A694" s="431"/>
      <c r="B694" s="431"/>
      <c r="C694" s="431"/>
      <c r="D694" s="431"/>
      <c r="E694" s="431"/>
      <c r="F694" s="431"/>
    </row>
    <row r="695">
      <c r="A695" s="431"/>
      <c r="B695" s="431"/>
      <c r="C695" s="431"/>
      <c r="D695" s="431"/>
      <c r="E695" s="431"/>
      <c r="F695" s="431"/>
    </row>
    <row r="696">
      <c r="A696" s="431"/>
      <c r="B696" s="431"/>
      <c r="C696" s="431"/>
      <c r="D696" s="431"/>
      <c r="E696" s="431"/>
      <c r="F696" s="431"/>
    </row>
    <row r="697">
      <c r="A697" s="431"/>
      <c r="B697" s="431"/>
      <c r="C697" s="431"/>
      <c r="D697" s="431"/>
      <c r="E697" s="431"/>
      <c r="F697" s="431"/>
    </row>
    <row r="698">
      <c r="A698" s="431"/>
      <c r="B698" s="431"/>
      <c r="C698" s="431"/>
      <c r="D698" s="431"/>
      <c r="E698" s="431"/>
      <c r="F698" s="431"/>
    </row>
    <row r="699">
      <c r="A699" s="431"/>
      <c r="B699" s="431"/>
      <c r="C699" s="431"/>
      <c r="D699" s="431"/>
      <c r="E699" s="431"/>
      <c r="F699" s="431"/>
    </row>
    <row r="700">
      <c r="A700" s="431"/>
      <c r="B700" s="431"/>
      <c r="C700" s="431"/>
      <c r="D700" s="431"/>
      <c r="E700" s="431"/>
      <c r="F700" s="431"/>
    </row>
    <row r="701">
      <c r="A701" s="431"/>
      <c r="B701" s="431"/>
      <c r="C701" s="431"/>
      <c r="D701" s="431"/>
      <c r="E701" s="431"/>
      <c r="F701" s="431"/>
    </row>
    <row r="702">
      <c r="A702" s="431"/>
      <c r="B702" s="431"/>
      <c r="C702" s="431"/>
      <c r="D702" s="431"/>
      <c r="E702" s="431"/>
      <c r="F702" s="431"/>
    </row>
    <row r="703">
      <c r="A703" s="431"/>
      <c r="B703" s="431"/>
      <c r="C703" s="431"/>
      <c r="D703" s="431"/>
      <c r="E703" s="431"/>
      <c r="F703" s="431"/>
    </row>
    <row r="704">
      <c r="A704" s="431"/>
      <c r="B704" s="431"/>
      <c r="C704" s="431"/>
      <c r="D704" s="431"/>
      <c r="E704" s="431"/>
      <c r="F704" s="431"/>
    </row>
    <row r="705">
      <c r="A705" s="431"/>
      <c r="B705" s="431"/>
      <c r="C705" s="431"/>
      <c r="D705" s="431"/>
      <c r="E705" s="431"/>
      <c r="F705" s="431"/>
    </row>
    <row r="706">
      <c r="A706" s="431"/>
      <c r="B706" s="431"/>
      <c r="C706" s="431"/>
      <c r="D706" s="431"/>
      <c r="E706" s="431"/>
      <c r="F706" s="431"/>
    </row>
    <row r="707">
      <c r="A707" s="431"/>
      <c r="B707" s="431"/>
      <c r="C707" s="431"/>
      <c r="D707" s="431"/>
      <c r="E707" s="431"/>
      <c r="F707" s="431"/>
    </row>
    <row r="708">
      <c r="A708" s="431"/>
      <c r="B708" s="431"/>
      <c r="C708" s="431"/>
      <c r="D708" s="431"/>
      <c r="E708" s="431"/>
      <c r="F708" s="431"/>
    </row>
    <row r="709">
      <c r="A709" s="431"/>
      <c r="B709" s="431"/>
      <c r="C709" s="431"/>
      <c r="D709" s="431"/>
      <c r="E709" s="431"/>
      <c r="F709" s="431"/>
    </row>
    <row r="710">
      <c r="A710" s="431"/>
      <c r="B710" s="431"/>
      <c r="C710" s="431"/>
      <c r="D710" s="431"/>
      <c r="E710" s="431"/>
      <c r="F710" s="431"/>
    </row>
    <row r="711">
      <c r="A711" s="431"/>
      <c r="B711" s="431"/>
      <c r="C711" s="431"/>
      <c r="D711" s="431"/>
      <c r="E711" s="431"/>
      <c r="F711" s="431"/>
    </row>
    <row r="712">
      <c r="A712" s="431"/>
      <c r="B712" s="431"/>
      <c r="C712" s="431"/>
      <c r="D712" s="431"/>
      <c r="E712" s="431"/>
      <c r="F712" s="431"/>
    </row>
    <row r="713">
      <c r="A713" s="431"/>
      <c r="B713" s="431"/>
      <c r="C713" s="431"/>
      <c r="D713" s="431"/>
      <c r="E713" s="431"/>
      <c r="F713" s="431"/>
    </row>
    <row r="714">
      <c r="A714" s="431"/>
      <c r="B714" s="431"/>
      <c r="C714" s="431"/>
      <c r="D714" s="431"/>
      <c r="E714" s="431"/>
      <c r="F714" s="431"/>
    </row>
    <row r="715">
      <c r="A715" s="431"/>
      <c r="B715" s="431"/>
      <c r="C715" s="431"/>
      <c r="D715" s="431"/>
      <c r="E715" s="431"/>
      <c r="F715" s="431"/>
    </row>
    <row r="716">
      <c r="A716" s="431"/>
      <c r="B716" s="431"/>
      <c r="C716" s="431"/>
      <c r="D716" s="431"/>
      <c r="E716" s="431"/>
      <c r="F716" s="431"/>
    </row>
    <row r="717">
      <c r="A717" s="431"/>
      <c r="B717" s="431"/>
      <c r="C717" s="431"/>
      <c r="D717" s="431"/>
      <c r="E717" s="431"/>
      <c r="F717" s="431"/>
    </row>
    <row r="718">
      <c r="A718" s="431"/>
      <c r="B718" s="431"/>
      <c r="C718" s="431"/>
      <c r="D718" s="431"/>
      <c r="E718" s="431"/>
      <c r="F718" s="431"/>
    </row>
    <row r="719">
      <c r="A719" s="431"/>
      <c r="B719" s="431"/>
      <c r="C719" s="431"/>
      <c r="D719" s="431"/>
      <c r="E719" s="431"/>
      <c r="F719" s="431"/>
    </row>
    <row r="720">
      <c r="A720" s="431"/>
      <c r="B720" s="431"/>
      <c r="C720" s="431"/>
      <c r="D720" s="431"/>
      <c r="E720" s="431"/>
      <c r="F720" s="431"/>
    </row>
    <row r="721">
      <c r="A721" s="431"/>
      <c r="B721" s="431"/>
      <c r="C721" s="431"/>
      <c r="D721" s="431"/>
      <c r="E721" s="431"/>
      <c r="F721" s="431"/>
    </row>
    <row r="722">
      <c r="A722" s="431"/>
      <c r="B722" s="431"/>
      <c r="C722" s="431"/>
      <c r="D722" s="431"/>
      <c r="E722" s="431"/>
      <c r="F722" s="431"/>
    </row>
    <row r="723">
      <c r="A723" s="431"/>
      <c r="B723" s="431"/>
      <c r="C723" s="431"/>
      <c r="D723" s="431"/>
      <c r="E723" s="431"/>
      <c r="F723" s="431"/>
    </row>
    <row r="724">
      <c r="A724" s="431"/>
      <c r="B724" s="431"/>
      <c r="C724" s="431"/>
      <c r="D724" s="431"/>
      <c r="E724" s="431"/>
      <c r="F724" s="431"/>
    </row>
    <row r="725">
      <c r="A725" s="431"/>
      <c r="B725" s="431"/>
      <c r="C725" s="431"/>
      <c r="D725" s="431"/>
      <c r="E725" s="431"/>
      <c r="F725" s="431"/>
    </row>
    <row r="726">
      <c r="A726" s="431"/>
      <c r="B726" s="431"/>
      <c r="C726" s="431"/>
      <c r="D726" s="431"/>
      <c r="E726" s="431"/>
      <c r="F726" s="431"/>
    </row>
    <row r="727">
      <c r="A727" s="431"/>
      <c r="B727" s="431"/>
      <c r="C727" s="431"/>
      <c r="D727" s="431"/>
      <c r="E727" s="431"/>
      <c r="F727" s="431"/>
    </row>
    <row r="728">
      <c r="A728" s="431"/>
      <c r="B728" s="431"/>
      <c r="C728" s="431"/>
      <c r="D728" s="431"/>
      <c r="E728" s="431"/>
      <c r="F728" s="431"/>
    </row>
    <row r="729">
      <c r="A729" s="431"/>
      <c r="B729" s="431"/>
      <c r="C729" s="431"/>
      <c r="D729" s="431"/>
      <c r="E729" s="431"/>
      <c r="F729" s="431"/>
    </row>
    <row r="730">
      <c r="A730" s="431"/>
      <c r="B730" s="431"/>
      <c r="C730" s="431"/>
      <c r="D730" s="431"/>
      <c r="E730" s="431"/>
      <c r="F730" s="431"/>
    </row>
    <row r="731">
      <c r="A731" s="431"/>
      <c r="B731" s="431"/>
      <c r="C731" s="431"/>
      <c r="D731" s="431"/>
      <c r="E731" s="431"/>
      <c r="F731" s="431"/>
    </row>
    <row r="732">
      <c r="A732" s="431"/>
      <c r="B732" s="431"/>
      <c r="C732" s="431"/>
      <c r="D732" s="431"/>
      <c r="E732" s="431"/>
      <c r="F732" s="431"/>
    </row>
    <row r="733">
      <c r="A733" s="431"/>
      <c r="B733" s="431"/>
      <c r="C733" s="431"/>
      <c r="D733" s="431"/>
      <c r="E733" s="431"/>
      <c r="F733" s="431"/>
    </row>
    <row r="734">
      <c r="A734" s="431"/>
      <c r="B734" s="431"/>
      <c r="C734" s="431"/>
      <c r="D734" s="431"/>
      <c r="E734" s="431"/>
      <c r="F734" s="431"/>
    </row>
    <row r="735">
      <c r="A735" s="431"/>
      <c r="B735" s="431"/>
      <c r="C735" s="431"/>
      <c r="D735" s="431"/>
      <c r="E735" s="431"/>
      <c r="F735" s="431"/>
    </row>
    <row r="736">
      <c r="A736" s="431"/>
      <c r="B736" s="431"/>
      <c r="C736" s="431"/>
      <c r="D736" s="431"/>
      <c r="E736" s="431"/>
      <c r="F736" s="431"/>
    </row>
    <row r="737">
      <c r="A737" s="431"/>
      <c r="B737" s="431"/>
      <c r="C737" s="431"/>
      <c r="D737" s="431"/>
      <c r="E737" s="431"/>
      <c r="F737" s="431"/>
    </row>
    <row r="738">
      <c r="A738" s="431"/>
      <c r="B738" s="431"/>
      <c r="C738" s="431"/>
      <c r="D738" s="431"/>
      <c r="E738" s="431"/>
      <c r="F738" s="431"/>
    </row>
    <row r="739">
      <c r="A739" s="431"/>
      <c r="B739" s="431"/>
      <c r="C739" s="431"/>
      <c r="D739" s="431"/>
      <c r="E739" s="431"/>
      <c r="F739" s="431"/>
    </row>
    <row r="740">
      <c r="A740" s="431"/>
      <c r="B740" s="431"/>
      <c r="C740" s="431"/>
      <c r="D740" s="431"/>
      <c r="E740" s="431"/>
      <c r="F740" s="431"/>
    </row>
    <row r="741">
      <c r="A741" s="431"/>
      <c r="B741" s="431"/>
      <c r="C741" s="431"/>
      <c r="D741" s="431"/>
      <c r="E741" s="431"/>
      <c r="F741" s="431"/>
    </row>
    <row r="742">
      <c r="A742" s="431"/>
      <c r="B742" s="431"/>
      <c r="C742" s="431"/>
      <c r="D742" s="431"/>
      <c r="E742" s="431"/>
      <c r="F742" s="431"/>
    </row>
    <row r="743">
      <c r="A743" s="431"/>
      <c r="B743" s="431"/>
      <c r="C743" s="431"/>
      <c r="D743" s="431"/>
      <c r="E743" s="431"/>
      <c r="F743" s="431"/>
    </row>
    <row r="744">
      <c r="A744" s="431"/>
      <c r="B744" s="431"/>
      <c r="C744" s="431"/>
      <c r="D744" s="431"/>
      <c r="E744" s="431"/>
      <c r="F744" s="431"/>
    </row>
    <row r="745">
      <c r="A745" s="431"/>
      <c r="B745" s="431"/>
      <c r="C745" s="431"/>
      <c r="D745" s="431"/>
      <c r="E745" s="431"/>
      <c r="F745" s="431"/>
    </row>
    <row r="746">
      <c r="A746" s="431"/>
      <c r="B746" s="431"/>
      <c r="C746" s="431"/>
      <c r="D746" s="431"/>
      <c r="E746" s="431"/>
      <c r="F746" s="431"/>
    </row>
    <row r="747">
      <c r="A747" s="431"/>
      <c r="B747" s="431"/>
      <c r="C747" s="431"/>
      <c r="D747" s="431"/>
      <c r="E747" s="431"/>
      <c r="F747" s="431"/>
    </row>
    <row r="748">
      <c r="A748" s="431"/>
      <c r="B748" s="431"/>
      <c r="C748" s="431"/>
      <c r="D748" s="431"/>
      <c r="E748" s="431"/>
      <c r="F748" s="431"/>
    </row>
    <row r="749">
      <c r="A749" s="431"/>
      <c r="B749" s="431"/>
      <c r="C749" s="431"/>
      <c r="D749" s="431"/>
      <c r="E749" s="431"/>
      <c r="F749" s="431"/>
    </row>
    <row r="750">
      <c r="A750" s="431"/>
      <c r="B750" s="431"/>
      <c r="C750" s="431"/>
      <c r="D750" s="431"/>
      <c r="E750" s="431"/>
      <c r="F750" s="431"/>
    </row>
    <row r="751">
      <c r="A751" s="431"/>
      <c r="B751" s="431"/>
      <c r="C751" s="431"/>
      <c r="D751" s="431"/>
      <c r="E751" s="431"/>
      <c r="F751" s="431"/>
    </row>
    <row r="752">
      <c r="A752" s="431"/>
      <c r="B752" s="431"/>
      <c r="C752" s="431"/>
      <c r="D752" s="431"/>
      <c r="E752" s="431"/>
      <c r="F752" s="431"/>
    </row>
    <row r="753">
      <c r="A753" s="431"/>
      <c r="B753" s="431"/>
      <c r="C753" s="431"/>
      <c r="D753" s="431"/>
      <c r="E753" s="431"/>
      <c r="F753" s="431"/>
    </row>
    <row r="754">
      <c r="A754" s="431"/>
      <c r="B754" s="431"/>
      <c r="C754" s="431"/>
      <c r="D754" s="431"/>
      <c r="E754" s="431"/>
      <c r="F754" s="431"/>
    </row>
    <row r="755">
      <c r="A755" s="431"/>
      <c r="B755" s="431"/>
      <c r="C755" s="431"/>
      <c r="D755" s="431"/>
      <c r="E755" s="431"/>
      <c r="F755" s="431"/>
    </row>
    <row r="756">
      <c r="A756" s="431"/>
      <c r="B756" s="431"/>
      <c r="C756" s="431"/>
      <c r="D756" s="431"/>
      <c r="E756" s="431"/>
      <c r="F756" s="431"/>
    </row>
    <row r="757">
      <c r="A757" s="431"/>
      <c r="B757" s="431"/>
      <c r="C757" s="431"/>
      <c r="D757" s="431"/>
      <c r="E757" s="431"/>
      <c r="F757" s="431"/>
    </row>
    <row r="758">
      <c r="A758" s="431"/>
      <c r="B758" s="431"/>
      <c r="C758" s="431"/>
      <c r="D758" s="431"/>
      <c r="E758" s="431"/>
      <c r="F758" s="431"/>
    </row>
    <row r="759">
      <c r="A759" s="431"/>
      <c r="B759" s="431"/>
      <c r="C759" s="431"/>
      <c r="D759" s="431"/>
      <c r="E759" s="431"/>
      <c r="F759" s="431"/>
    </row>
    <row r="760">
      <c r="A760" s="431"/>
      <c r="B760" s="431"/>
      <c r="C760" s="431"/>
      <c r="D760" s="431"/>
      <c r="E760" s="431"/>
      <c r="F760" s="431"/>
    </row>
    <row r="761">
      <c r="A761" s="431"/>
      <c r="B761" s="431"/>
      <c r="C761" s="431"/>
      <c r="D761" s="431"/>
      <c r="E761" s="431"/>
      <c r="F761" s="431"/>
    </row>
    <row r="762">
      <c r="A762" s="431"/>
      <c r="B762" s="431"/>
      <c r="C762" s="431"/>
      <c r="D762" s="431"/>
      <c r="E762" s="431"/>
      <c r="F762" s="431"/>
    </row>
    <row r="763">
      <c r="A763" s="431"/>
      <c r="B763" s="431"/>
      <c r="C763" s="431"/>
      <c r="D763" s="431"/>
      <c r="E763" s="431"/>
      <c r="F763" s="431"/>
    </row>
    <row r="764">
      <c r="A764" s="431"/>
      <c r="B764" s="431"/>
      <c r="C764" s="431"/>
      <c r="D764" s="431"/>
      <c r="E764" s="431"/>
      <c r="F764" s="431"/>
    </row>
    <row r="765">
      <c r="A765" s="431"/>
      <c r="B765" s="431"/>
      <c r="C765" s="431"/>
      <c r="D765" s="431"/>
      <c r="E765" s="431"/>
      <c r="F765" s="431"/>
    </row>
    <row r="766">
      <c r="A766" s="431"/>
      <c r="B766" s="431"/>
      <c r="C766" s="431"/>
      <c r="D766" s="431"/>
      <c r="E766" s="431"/>
      <c r="F766" s="431"/>
    </row>
    <row r="767">
      <c r="A767" s="431"/>
      <c r="B767" s="431"/>
      <c r="C767" s="431"/>
      <c r="D767" s="431"/>
      <c r="E767" s="431"/>
      <c r="F767" s="431"/>
    </row>
    <row r="768">
      <c r="A768" s="431"/>
      <c r="B768" s="431"/>
      <c r="C768" s="431"/>
      <c r="D768" s="431"/>
      <c r="E768" s="431"/>
      <c r="F768" s="431"/>
    </row>
    <row r="769">
      <c r="A769" s="431"/>
      <c r="B769" s="431"/>
      <c r="C769" s="431"/>
      <c r="D769" s="431"/>
      <c r="E769" s="431"/>
      <c r="F769" s="431"/>
    </row>
    <row r="770">
      <c r="A770" s="431"/>
      <c r="B770" s="431"/>
      <c r="C770" s="431"/>
      <c r="D770" s="431"/>
      <c r="E770" s="431"/>
      <c r="F770" s="431"/>
    </row>
    <row r="771">
      <c r="A771" s="431"/>
      <c r="B771" s="431"/>
      <c r="C771" s="431"/>
      <c r="D771" s="431"/>
      <c r="E771" s="431"/>
      <c r="F771" s="431"/>
    </row>
    <row r="772">
      <c r="A772" s="431"/>
      <c r="B772" s="431"/>
      <c r="C772" s="431"/>
      <c r="D772" s="431"/>
      <c r="E772" s="431"/>
      <c r="F772" s="431"/>
    </row>
    <row r="773">
      <c r="A773" s="431"/>
      <c r="B773" s="431"/>
      <c r="C773" s="431"/>
      <c r="D773" s="431"/>
      <c r="E773" s="431"/>
      <c r="F773" s="431"/>
    </row>
    <row r="774">
      <c r="A774" s="431"/>
      <c r="B774" s="431"/>
      <c r="C774" s="431"/>
      <c r="D774" s="431"/>
      <c r="E774" s="431"/>
      <c r="F774" s="431"/>
    </row>
    <row r="775">
      <c r="A775" s="431"/>
      <c r="B775" s="431"/>
      <c r="C775" s="431"/>
      <c r="D775" s="431"/>
      <c r="E775" s="431"/>
      <c r="F775" s="431"/>
    </row>
    <row r="776">
      <c r="A776" s="431"/>
      <c r="B776" s="431"/>
      <c r="C776" s="431"/>
      <c r="D776" s="431"/>
      <c r="E776" s="431"/>
      <c r="F776" s="431"/>
    </row>
    <row r="777">
      <c r="A777" s="431"/>
      <c r="B777" s="431"/>
      <c r="C777" s="431"/>
      <c r="D777" s="431"/>
      <c r="E777" s="431"/>
      <c r="F777" s="431"/>
    </row>
    <row r="778">
      <c r="A778" s="431"/>
      <c r="B778" s="431"/>
      <c r="C778" s="431"/>
      <c r="D778" s="431"/>
      <c r="E778" s="431"/>
      <c r="F778" s="431"/>
    </row>
    <row r="779">
      <c r="A779" s="431"/>
      <c r="B779" s="431"/>
      <c r="C779" s="431"/>
      <c r="D779" s="431"/>
      <c r="E779" s="431"/>
      <c r="F779" s="431"/>
    </row>
    <row r="780">
      <c r="A780" s="431"/>
      <c r="B780" s="431"/>
      <c r="C780" s="431"/>
      <c r="D780" s="431"/>
      <c r="E780" s="431"/>
      <c r="F780" s="431"/>
    </row>
    <row r="781">
      <c r="A781" s="431"/>
      <c r="B781" s="431"/>
      <c r="C781" s="431"/>
      <c r="D781" s="431"/>
      <c r="E781" s="431"/>
      <c r="F781" s="431"/>
    </row>
    <row r="782">
      <c r="A782" s="431"/>
      <c r="B782" s="431"/>
      <c r="C782" s="431"/>
      <c r="D782" s="431"/>
      <c r="E782" s="431"/>
      <c r="F782" s="431"/>
    </row>
    <row r="783">
      <c r="A783" s="431"/>
      <c r="B783" s="431"/>
      <c r="C783" s="431"/>
      <c r="D783" s="431"/>
      <c r="E783" s="431"/>
      <c r="F783" s="431"/>
    </row>
    <row r="784">
      <c r="A784" s="431"/>
      <c r="B784" s="431"/>
      <c r="C784" s="431"/>
      <c r="D784" s="431"/>
      <c r="E784" s="431"/>
      <c r="F784" s="431"/>
    </row>
    <row r="785">
      <c r="A785" s="431"/>
      <c r="B785" s="431"/>
      <c r="C785" s="431"/>
      <c r="D785" s="431"/>
      <c r="E785" s="431"/>
      <c r="F785" s="431"/>
    </row>
    <row r="786">
      <c r="A786" s="431"/>
      <c r="B786" s="431"/>
      <c r="C786" s="431"/>
      <c r="D786" s="431"/>
      <c r="E786" s="431"/>
      <c r="F786" s="431"/>
    </row>
    <row r="787">
      <c r="A787" s="431"/>
      <c r="B787" s="431"/>
      <c r="C787" s="431"/>
      <c r="D787" s="431"/>
      <c r="E787" s="431"/>
      <c r="F787" s="431"/>
    </row>
    <row r="788">
      <c r="A788" s="431"/>
      <c r="B788" s="431"/>
      <c r="C788" s="431"/>
      <c r="D788" s="431"/>
      <c r="E788" s="431"/>
      <c r="F788" s="431"/>
    </row>
    <row r="789">
      <c r="A789" s="431"/>
      <c r="B789" s="431"/>
      <c r="C789" s="431"/>
      <c r="D789" s="431"/>
      <c r="E789" s="431"/>
      <c r="F789" s="431"/>
    </row>
    <row r="790">
      <c r="A790" s="431"/>
      <c r="B790" s="431"/>
      <c r="C790" s="431"/>
      <c r="D790" s="431"/>
      <c r="E790" s="431"/>
      <c r="F790" s="431"/>
    </row>
    <row r="791">
      <c r="A791" s="431"/>
      <c r="B791" s="431"/>
      <c r="C791" s="431"/>
      <c r="D791" s="431"/>
      <c r="E791" s="431"/>
      <c r="F791" s="431"/>
    </row>
    <row r="792">
      <c r="A792" s="431"/>
      <c r="B792" s="431"/>
      <c r="C792" s="431"/>
      <c r="D792" s="431"/>
      <c r="E792" s="431"/>
      <c r="F792" s="431"/>
    </row>
    <row r="793">
      <c r="A793" s="431"/>
      <c r="B793" s="431"/>
      <c r="C793" s="431"/>
      <c r="D793" s="431"/>
      <c r="E793" s="431"/>
      <c r="F793" s="431"/>
    </row>
    <row r="794">
      <c r="A794" s="431"/>
      <c r="B794" s="431"/>
      <c r="C794" s="431"/>
      <c r="D794" s="431"/>
      <c r="E794" s="431"/>
      <c r="F794" s="431"/>
    </row>
    <row r="795">
      <c r="A795" s="431"/>
      <c r="B795" s="431"/>
      <c r="C795" s="431"/>
      <c r="D795" s="431"/>
      <c r="E795" s="431"/>
      <c r="F795" s="431"/>
    </row>
    <row r="796">
      <c r="A796" s="431"/>
      <c r="B796" s="431"/>
      <c r="C796" s="431"/>
      <c r="D796" s="431"/>
      <c r="E796" s="431"/>
      <c r="F796" s="431"/>
    </row>
    <row r="797">
      <c r="A797" s="431"/>
      <c r="B797" s="431"/>
      <c r="C797" s="431"/>
      <c r="D797" s="431"/>
      <c r="E797" s="431"/>
      <c r="F797" s="431"/>
    </row>
    <row r="798">
      <c r="A798" s="431"/>
      <c r="B798" s="431"/>
      <c r="C798" s="431"/>
      <c r="D798" s="431"/>
      <c r="E798" s="431"/>
      <c r="F798" s="431"/>
    </row>
    <row r="799">
      <c r="A799" s="431"/>
      <c r="B799" s="431"/>
      <c r="C799" s="431"/>
      <c r="D799" s="431"/>
      <c r="E799" s="431"/>
      <c r="F799" s="431"/>
    </row>
    <row r="800">
      <c r="A800" s="431"/>
      <c r="B800" s="431"/>
      <c r="C800" s="431"/>
      <c r="D800" s="431"/>
      <c r="E800" s="431"/>
      <c r="F800" s="431"/>
    </row>
    <row r="801">
      <c r="A801" s="431"/>
      <c r="B801" s="431"/>
      <c r="C801" s="431"/>
      <c r="D801" s="431"/>
      <c r="E801" s="431"/>
      <c r="F801" s="431"/>
    </row>
    <row r="802">
      <c r="A802" s="431"/>
      <c r="B802" s="431"/>
      <c r="C802" s="431"/>
      <c r="D802" s="431"/>
      <c r="E802" s="431"/>
      <c r="F802" s="431"/>
    </row>
    <row r="803">
      <c r="A803" s="431"/>
      <c r="B803" s="431"/>
      <c r="C803" s="431"/>
      <c r="D803" s="431"/>
      <c r="E803" s="431"/>
      <c r="F803" s="431"/>
    </row>
    <row r="804">
      <c r="A804" s="431"/>
      <c r="B804" s="431"/>
      <c r="C804" s="431"/>
      <c r="D804" s="431"/>
      <c r="E804" s="431"/>
      <c r="F804" s="431"/>
    </row>
    <row r="805">
      <c r="A805" s="431"/>
      <c r="B805" s="431"/>
      <c r="C805" s="431"/>
      <c r="D805" s="431"/>
      <c r="E805" s="431"/>
      <c r="F805" s="431"/>
    </row>
    <row r="806">
      <c r="A806" s="431"/>
      <c r="B806" s="431"/>
      <c r="C806" s="431"/>
      <c r="D806" s="431"/>
      <c r="E806" s="431"/>
      <c r="F806" s="431"/>
    </row>
    <row r="807">
      <c r="A807" s="431"/>
      <c r="B807" s="431"/>
      <c r="C807" s="431"/>
      <c r="D807" s="431"/>
      <c r="E807" s="431"/>
      <c r="F807" s="431"/>
    </row>
    <row r="808">
      <c r="A808" s="431"/>
      <c r="B808" s="431"/>
      <c r="C808" s="431"/>
      <c r="D808" s="431"/>
      <c r="E808" s="431"/>
      <c r="F808" s="431"/>
    </row>
    <row r="809">
      <c r="A809" s="431"/>
      <c r="B809" s="431"/>
      <c r="C809" s="431"/>
      <c r="D809" s="431"/>
      <c r="E809" s="431"/>
      <c r="F809" s="431"/>
    </row>
    <row r="810">
      <c r="A810" s="431"/>
      <c r="B810" s="431"/>
      <c r="C810" s="431"/>
      <c r="D810" s="431"/>
      <c r="E810" s="431"/>
      <c r="F810" s="431"/>
    </row>
    <row r="811">
      <c r="A811" s="431"/>
      <c r="B811" s="431"/>
      <c r="C811" s="431"/>
      <c r="D811" s="431"/>
      <c r="E811" s="431"/>
      <c r="F811" s="431"/>
    </row>
    <row r="812">
      <c r="A812" s="431"/>
      <c r="B812" s="431"/>
      <c r="C812" s="431"/>
      <c r="D812" s="431"/>
      <c r="E812" s="431"/>
      <c r="F812" s="431"/>
    </row>
    <row r="813">
      <c r="A813" s="431"/>
      <c r="B813" s="431"/>
      <c r="C813" s="431"/>
      <c r="D813" s="431"/>
      <c r="E813" s="431"/>
      <c r="F813" s="431"/>
    </row>
    <row r="814">
      <c r="A814" s="431"/>
      <c r="B814" s="431"/>
      <c r="C814" s="431"/>
      <c r="D814" s="431"/>
      <c r="E814" s="431"/>
      <c r="F814" s="431"/>
    </row>
    <row r="815">
      <c r="A815" s="431"/>
      <c r="B815" s="431"/>
      <c r="C815" s="431"/>
      <c r="D815" s="431"/>
      <c r="E815" s="431"/>
      <c r="F815" s="431"/>
    </row>
    <row r="816">
      <c r="A816" s="431"/>
      <c r="B816" s="431"/>
      <c r="C816" s="431"/>
      <c r="D816" s="431"/>
      <c r="E816" s="431"/>
      <c r="F816" s="431"/>
    </row>
    <row r="817">
      <c r="A817" s="431"/>
      <c r="B817" s="431"/>
      <c r="C817" s="431"/>
      <c r="D817" s="431"/>
      <c r="E817" s="431"/>
      <c r="F817" s="431"/>
    </row>
    <row r="818">
      <c r="A818" s="431"/>
      <c r="B818" s="431"/>
      <c r="C818" s="431"/>
      <c r="D818" s="431"/>
      <c r="E818" s="431"/>
      <c r="F818" s="431"/>
    </row>
    <row r="819">
      <c r="A819" s="431"/>
      <c r="B819" s="431"/>
      <c r="C819" s="431"/>
      <c r="D819" s="431"/>
      <c r="E819" s="431"/>
      <c r="F819" s="431"/>
    </row>
    <row r="820">
      <c r="A820" s="431"/>
      <c r="B820" s="431"/>
      <c r="C820" s="431"/>
      <c r="D820" s="431"/>
      <c r="E820" s="431"/>
      <c r="F820" s="431"/>
    </row>
    <row r="821">
      <c r="A821" s="431"/>
      <c r="B821" s="431"/>
      <c r="C821" s="431"/>
      <c r="D821" s="431"/>
      <c r="E821" s="431"/>
      <c r="F821" s="431"/>
    </row>
    <row r="822">
      <c r="A822" s="431"/>
      <c r="B822" s="431"/>
      <c r="C822" s="431"/>
      <c r="D822" s="431"/>
      <c r="E822" s="431"/>
      <c r="F822" s="431"/>
    </row>
    <row r="823">
      <c r="A823" s="431"/>
      <c r="B823" s="431"/>
      <c r="C823" s="431"/>
      <c r="D823" s="431"/>
      <c r="E823" s="431"/>
      <c r="F823" s="431"/>
    </row>
    <row r="824">
      <c r="A824" s="431"/>
      <c r="B824" s="431"/>
      <c r="C824" s="431"/>
      <c r="D824" s="431"/>
      <c r="E824" s="431"/>
      <c r="F824" s="431"/>
    </row>
    <row r="825">
      <c r="A825" s="431"/>
      <c r="B825" s="431"/>
      <c r="C825" s="431"/>
      <c r="D825" s="431"/>
      <c r="E825" s="431"/>
      <c r="F825" s="431"/>
    </row>
    <row r="826">
      <c r="A826" s="431"/>
      <c r="B826" s="431"/>
      <c r="C826" s="431"/>
      <c r="D826" s="431"/>
      <c r="E826" s="431"/>
      <c r="F826" s="431"/>
    </row>
    <row r="827">
      <c r="A827" s="431"/>
      <c r="B827" s="431"/>
      <c r="C827" s="431"/>
      <c r="D827" s="431"/>
      <c r="E827" s="431"/>
      <c r="F827" s="431"/>
    </row>
    <row r="828">
      <c r="A828" s="431"/>
      <c r="B828" s="431"/>
      <c r="C828" s="431"/>
      <c r="D828" s="431"/>
      <c r="E828" s="431"/>
      <c r="F828" s="431"/>
    </row>
    <row r="829">
      <c r="A829" s="431"/>
      <c r="B829" s="431"/>
      <c r="C829" s="431"/>
      <c r="D829" s="431"/>
      <c r="E829" s="431"/>
      <c r="F829" s="431"/>
    </row>
    <row r="830">
      <c r="A830" s="431"/>
      <c r="B830" s="431"/>
      <c r="C830" s="431"/>
      <c r="D830" s="431"/>
      <c r="E830" s="431"/>
      <c r="F830" s="431"/>
    </row>
    <row r="831">
      <c r="A831" s="431"/>
      <c r="B831" s="431"/>
      <c r="C831" s="431"/>
      <c r="D831" s="431"/>
      <c r="E831" s="431"/>
      <c r="F831" s="431"/>
    </row>
    <row r="832">
      <c r="A832" s="431"/>
      <c r="B832" s="431"/>
      <c r="C832" s="431"/>
      <c r="D832" s="431"/>
      <c r="E832" s="431"/>
      <c r="F832" s="431"/>
    </row>
    <row r="833">
      <c r="A833" s="431"/>
      <c r="B833" s="431"/>
      <c r="C833" s="431"/>
      <c r="D833" s="431"/>
      <c r="E833" s="431"/>
      <c r="F833" s="431"/>
    </row>
    <row r="834">
      <c r="A834" s="431"/>
      <c r="B834" s="431"/>
      <c r="C834" s="431"/>
      <c r="D834" s="431"/>
      <c r="E834" s="431"/>
      <c r="F834" s="431"/>
    </row>
    <row r="835">
      <c r="A835" s="431"/>
      <c r="B835" s="431"/>
      <c r="C835" s="431"/>
      <c r="D835" s="431"/>
      <c r="E835" s="431"/>
      <c r="F835" s="431"/>
    </row>
    <row r="836">
      <c r="A836" s="431"/>
      <c r="B836" s="431"/>
      <c r="C836" s="431"/>
      <c r="D836" s="431"/>
      <c r="E836" s="431"/>
      <c r="F836" s="431"/>
    </row>
    <row r="837">
      <c r="A837" s="431"/>
      <c r="B837" s="431"/>
      <c r="C837" s="431"/>
      <c r="D837" s="431"/>
      <c r="E837" s="431"/>
      <c r="F837" s="431"/>
    </row>
    <row r="838">
      <c r="A838" s="431"/>
      <c r="B838" s="431"/>
      <c r="C838" s="431"/>
      <c r="D838" s="431"/>
      <c r="E838" s="431"/>
      <c r="F838" s="431"/>
    </row>
    <row r="839">
      <c r="A839" s="431"/>
      <c r="B839" s="431"/>
      <c r="C839" s="431"/>
      <c r="D839" s="431"/>
      <c r="E839" s="431"/>
      <c r="F839" s="431"/>
    </row>
    <row r="840">
      <c r="A840" s="431"/>
      <c r="B840" s="431"/>
      <c r="C840" s="431"/>
      <c r="D840" s="431"/>
      <c r="E840" s="431"/>
      <c r="F840" s="431"/>
    </row>
    <row r="841">
      <c r="A841" s="431"/>
      <c r="B841" s="431"/>
      <c r="C841" s="431"/>
      <c r="D841" s="431"/>
      <c r="E841" s="431"/>
      <c r="F841" s="431"/>
    </row>
    <row r="842">
      <c r="A842" s="431"/>
      <c r="B842" s="431"/>
      <c r="C842" s="431"/>
      <c r="D842" s="431"/>
      <c r="E842" s="431"/>
      <c r="F842" s="431"/>
    </row>
    <row r="843">
      <c r="A843" s="431"/>
      <c r="B843" s="431"/>
      <c r="C843" s="431"/>
      <c r="D843" s="431"/>
      <c r="E843" s="431"/>
      <c r="F843" s="431"/>
    </row>
    <row r="844">
      <c r="A844" s="431"/>
      <c r="B844" s="431"/>
      <c r="C844" s="431"/>
      <c r="D844" s="431"/>
      <c r="E844" s="431"/>
      <c r="F844" s="431"/>
    </row>
    <row r="845">
      <c r="A845" s="431"/>
      <c r="B845" s="431"/>
      <c r="C845" s="431"/>
      <c r="D845" s="431"/>
      <c r="E845" s="431"/>
      <c r="F845" s="431"/>
    </row>
    <row r="846">
      <c r="A846" s="431"/>
      <c r="B846" s="431"/>
      <c r="C846" s="431"/>
      <c r="D846" s="431"/>
      <c r="E846" s="431"/>
      <c r="F846" s="431"/>
    </row>
    <row r="847">
      <c r="A847" s="431"/>
      <c r="B847" s="431"/>
      <c r="C847" s="431"/>
      <c r="D847" s="431"/>
      <c r="E847" s="431"/>
      <c r="F847" s="431"/>
    </row>
    <row r="848">
      <c r="A848" s="431"/>
      <c r="B848" s="431"/>
      <c r="C848" s="431"/>
      <c r="D848" s="431"/>
      <c r="E848" s="431"/>
      <c r="F848" s="431"/>
    </row>
    <row r="849">
      <c r="A849" s="431"/>
      <c r="B849" s="431"/>
      <c r="C849" s="431"/>
      <c r="D849" s="431"/>
      <c r="E849" s="431"/>
      <c r="F849" s="431"/>
    </row>
    <row r="850">
      <c r="A850" s="431"/>
      <c r="B850" s="431"/>
      <c r="C850" s="431"/>
      <c r="D850" s="431"/>
      <c r="E850" s="431"/>
      <c r="F850" s="431"/>
    </row>
    <row r="851">
      <c r="A851" s="431"/>
      <c r="B851" s="431"/>
      <c r="C851" s="431"/>
      <c r="D851" s="431"/>
      <c r="E851" s="431"/>
      <c r="F851" s="431"/>
    </row>
    <row r="852">
      <c r="A852" s="431"/>
      <c r="B852" s="431"/>
      <c r="C852" s="431"/>
      <c r="D852" s="431"/>
      <c r="E852" s="431"/>
      <c r="F852" s="431"/>
    </row>
    <row r="853">
      <c r="A853" s="431"/>
      <c r="B853" s="431"/>
      <c r="C853" s="431"/>
      <c r="D853" s="431"/>
      <c r="E853" s="431"/>
      <c r="F853" s="431"/>
    </row>
    <row r="854">
      <c r="A854" s="431"/>
      <c r="B854" s="431"/>
      <c r="C854" s="431"/>
      <c r="D854" s="431"/>
      <c r="E854" s="431"/>
      <c r="F854" s="431"/>
    </row>
    <row r="855">
      <c r="A855" s="431"/>
      <c r="B855" s="431"/>
      <c r="C855" s="431"/>
      <c r="D855" s="431"/>
      <c r="E855" s="431"/>
      <c r="F855" s="431"/>
    </row>
    <row r="856">
      <c r="A856" s="431"/>
      <c r="B856" s="431"/>
      <c r="C856" s="431"/>
      <c r="D856" s="431"/>
      <c r="E856" s="431"/>
      <c r="F856" s="431"/>
    </row>
    <row r="857">
      <c r="A857" s="431"/>
      <c r="B857" s="431"/>
      <c r="C857" s="431"/>
      <c r="D857" s="431"/>
      <c r="E857" s="431"/>
      <c r="F857" s="431"/>
    </row>
    <row r="858">
      <c r="A858" s="431"/>
      <c r="B858" s="431"/>
      <c r="C858" s="431"/>
      <c r="D858" s="431"/>
      <c r="E858" s="431"/>
      <c r="F858" s="431"/>
    </row>
    <row r="859">
      <c r="A859" s="431"/>
      <c r="B859" s="431"/>
      <c r="C859" s="431"/>
      <c r="D859" s="431"/>
      <c r="E859" s="431"/>
      <c r="F859" s="431"/>
    </row>
    <row r="860">
      <c r="A860" s="431"/>
      <c r="B860" s="431"/>
      <c r="C860" s="431"/>
      <c r="D860" s="431"/>
      <c r="E860" s="431"/>
      <c r="F860" s="431"/>
    </row>
    <row r="861">
      <c r="A861" s="431"/>
      <c r="B861" s="431"/>
      <c r="C861" s="431"/>
      <c r="D861" s="431"/>
      <c r="E861" s="431"/>
      <c r="F861" s="431"/>
    </row>
    <row r="862">
      <c r="A862" s="431"/>
      <c r="B862" s="431"/>
      <c r="C862" s="431"/>
      <c r="D862" s="431"/>
      <c r="E862" s="431"/>
      <c r="F862" s="431"/>
    </row>
    <row r="863">
      <c r="A863" s="431"/>
      <c r="B863" s="431"/>
      <c r="C863" s="431"/>
      <c r="D863" s="431"/>
      <c r="E863" s="431"/>
      <c r="F863" s="431"/>
    </row>
    <row r="864">
      <c r="A864" s="431"/>
      <c r="B864" s="431"/>
      <c r="C864" s="431"/>
      <c r="D864" s="431"/>
      <c r="E864" s="431"/>
      <c r="F864" s="431"/>
    </row>
    <row r="865">
      <c r="A865" s="431"/>
      <c r="B865" s="431"/>
      <c r="C865" s="431"/>
      <c r="D865" s="431"/>
      <c r="E865" s="431"/>
      <c r="F865" s="431"/>
    </row>
    <row r="866">
      <c r="A866" s="431"/>
      <c r="B866" s="431"/>
      <c r="C866" s="431"/>
      <c r="D866" s="431"/>
      <c r="E866" s="431"/>
      <c r="F866" s="431"/>
    </row>
    <row r="867">
      <c r="A867" s="431"/>
      <c r="B867" s="431"/>
      <c r="C867" s="431"/>
      <c r="D867" s="431"/>
      <c r="E867" s="431"/>
      <c r="F867" s="431"/>
    </row>
    <row r="868">
      <c r="A868" s="431"/>
      <c r="B868" s="431"/>
      <c r="C868" s="431"/>
      <c r="D868" s="431"/>
      <c r="E868" s="431"/>
      <c r="F868" s="431"/>
    </row>
    <row r="869">
      <c r="A869" s="431"/>
      <c r="B869" s="431"/>
      <c r="C869" s="431"/>
      <c r="D869" s="431"/>
      <c r="E869" s="431"/>
      <c r="F869" s="431"/>
    </row>
    <row r="870">
      <c r="A870" s="431"/>
      <c r="B870" s="431"/>
      <c r="C870" s="431"/>
      <c r="D870" s="431"/>
      <c r="E870" s="431"/>
      <c r="F870" s="431"/>
    </row>
    <row r="871">
      <c r="A871" s="431"/>
      <c r="B871" s="431"/>
      <c r="C871" s="431"/>
      <c r="D871" s="431"/>
      <c r="E871" s="431"/>
      <c r="F871" s="431"/>
    </row>
    <row r="872">
      <c r="A872" s="431"/>
      <c r="B872" s="431"/>
      <c r="C872" s="431"/>
      <c r="D872" s="431"/>
      <c r="E872" s="431"/>
      <c r="F872" s="431"/>
    </row>
    <row r="873">
      <c r="A873" s="431"/>
      <c r="B873" s="431"/>
      <c r="C873" s="431"/>
      <c r="D873" s="431"/>
      <c r="E873" s="431"/>
      <c r="F873" s="431"/>
    </row>
    <row r="874">
      <c r="A874" s="431"/>
      <c r="B874" s="431"/>
      <c r="C874" s="431"/>
      <c r="D874" s="431"/>
      <c r="E874" s="431"/>
      <c r="F874" s="431"/>
    </row>
    <row r="875">
      <c r="A875" s="431"/>
      <c r="B875" s="431"/>
      <c r="C875" s="431"/>
      <c r="D875" s="431"/>
      <c r="E875" s="431"/>
      <c r="F875" s="431"/>
    </row>
    <row r="876">
      <c r="A876" s="431"/>
      <c r="B876" s="431"/>
      <c r="C876" s="431"/>
      <c r="D876" s="431"/>
      <c r="E876" s="431"/>
      <c r="F876" s="431"/>
    </row>
    <row r="877">
      <c r="A877" s="431"/>
      <c r="B877" s="431"/>
      <c r="C877" s="431"/>
      <c r="D877" s="431"/>
      <c r="E877" s="431"/>
      <c r="F877" s="431"/>
    </row>
    <row r="878">
      <c r="A878" s="431"/>
      <c r="B878" s="431"/>
      <c r="C878" s="431"/>
      <c r="D878" s="431"/>
      <c r="E878" s="431"/>
      <c r="F878" s="431"/>
    </row>
    <row r="879">
      <c r="A879" s="431"/>
      <c r="B879" s="431"/>
      <c r="C879" s="431"/>
      <c r="D879" s="431"/>
      <c r="E879" s="431"/>
      <c r="F879" s="431"/>
    </row>
    <row r="880">
      <c r="A880" s="431"/>
      <c r="B880" s="431"/>
      <c r="C880" s="431"/>
      <c r="D880" s="431"/>
      <c r="E880" s="431"/>
      <c r="F880" s="431"/>
    </row>
    <row r="881">
      <c r="A881" s="431"/>
      <c r="B881" s="431"/>
      <c r="C881" s="431"/>
      <c r="D881" s="431"/>
      <c r="E881" s="431"/>
      <c r="F881" s="431"/>
    </row>
    <row r="882">
      <c r="A882" s="431"/>
      <c r="B882" s="431"/>
      <c r="C882" s="431"/>
      <c r="D882" s="431"/>
      <c r="E882" s="431"/>
      <c r="F882" s="431"/>
    </row>
    <row r="883">
      <c r="A883" s="431"/>
      <c r="B883" s="431"/>
      <c r="C883" s="431"/>
      <c r="D883" s="431"/>
      <c r="E883" s="431"/>
      <c r="F883" s="431"/>
    </row>
    <row r="884">
      <c r="A884" s="431"/>
      <c r="B884" s="431"/>
      <c r="C884" s="431"/>
      <c r="D884" s="431"/>
      <c r="E884" s="431"/>
      <c r="F884" s="431"/>
    </row>
    <row r="885">
      <c r="A885" s="431"/>
      <c r="B885" s="431"/>
      <c r="C885" s="431"/>
      <c r="D885" s="431"/>
      <c r="E885" s="431"/>
      <c r="F885" s="431"/>
    </row>
    <row r="886">
      <c r="A886" s="431"/>
      <c r="B886" s="431"/>
      <c r="C886" s="431"/>
      <c r="D886" s="431"/>
      <c r="E886" s="431"/>
      <c r="F886" s="431"/>
    </row>
    <row r="887">
      <c r="A887" s="431"/>
      <c r="B887" s="431"/>
      <c r="C887" s="431"/>
      <c r="D887" s="431"/>
      <c r="E887" s="431"/>
      <c r="F887" s="431"/>
    </row>
    <row r="888">
      <c r="A888" s="431"/>
      <c r="B888" s="431"/>
      <c r="C888" s="431"/>
      <c r="D888" s="431"/>
      <c r="E888" s="431"/>
      <c r="F888" s="431"/>
    </row>
    <row r="889">
      <c r="A889" s="431"/>
      <c r="B889" s="431"/>
      <c r="C889" s="431"/>
      <c r="D889" s="431"/>
      <c r="E889" s="431"/>
      <c r="F889" s="431"/>
    </row>
    <row r="890">
      <c r="A890" s="431"/>
      <c r="B890" s="431"/>
      <c r="C890" s="431"/>
      <c r="D890" s="431"/>
      <c r="E890" s="431"/>
      <c r="F890" s="431"/>
    </row>
    <row r="891">
      <c r="A891" s="431"/>
      <c r="B891" s="431"/>
      <c r="C891" s="431"/>
      <c r="D891" s="431"/>
      <c r="E891" s="431"/>
      <c r="F891" s="431"/>
    </row>
    <row r="892">
      <c r="A892" s="431"/>
      <c r="B892" s="431"/>
      <c r="C892" s="431"/>
      <c r="D892" s="431"/>
      <c r="E892" s="431"/>
      <c r="F892" s="431"/>
    </row>
    <row r="893">
      <c r="A893" s="431"/>
      <c r="B893" s="431"/>
      <c r="C893" s="431"/>
      <c r="D893" s="431"/>
      <c r="E893" s="431"/>
      <c r="F893" s="431"/>
    </row>
    <row r="894">
      <c r="A894" s="431"/>
      <c r="B894" s="431"/>
      <c r="C894" s="431"/>
      <c r="D894" s="431"/>
      <c r="E894" s="431"/>
      <c r="F894" s="431"/>
    </row>
    <row r="895">
      <c r="A895" s="431"/>
      <c r="B895" s="431"/>
      <c r="C895" s="431"/>
      <c r="D895" s="431"/>
      <c r="E895" s="431"/>
      <c r="F895" s="431"/>
    </row>
    <row r="896">
      <c r="A896" s="431"/>
      <c r="B896" s="431"/>
      <c r="C896" s="431"/>
      <c r="D896" s="431"/>
      <c r="E896" s="431"/>
      <c r="F896" s="431"/>
    </row>
    <row r="897">
      <c r="A897" s="431"/>
      <c r="B897" s="431"/>
      <c r="C897" s="431"/>
      <c r="D897" s="431"/>
      <c r="E897" s="431"/>
      <c r="F897" s="431"/>
    </row>
    <row r="898">
      <c r="A898" s="431"/>
      <c r="B898" s="431"/>
      <c r="C898" s="431"/>
      <c r="D898" s="431"/>
      <c r="E898" s="431"/>
      <c r="F898" s="431"/>
    </row>
    <row r="899">
      <c r="A899" s="431"/>
      <c r="B899" s="431"/>
      <c r="C899" s="431"/>
      <c r="D899" s="431"/>
      <c r="E899" s="431"/>
      <c r="F899" s="431"/>
    </row>
    <row r="900">
      <c r="A900" s="431"/>
      <c r="B900" s="431"/>
      <c r="C900" s="431"/>
      <c r="D900" s="431"/>
      <c r="E900" s="431"/>
      <c r="F900" s="431"/>
    </row>
    <row r="901">
      <c r="A901" s="431"/>
      <c r="B901" s="431"/>
      <c r="C901" s="431"/>
      <c r="D901" s="431"/>
      <c r="E901" s="431"/>
      <c r="F901" s="431"/>
    </row>
    <row r="902">
      <c r="A902" s="431"/>
      <c r="B902" s="431"/>
      <c r="C902" s="431"/>
      <c r="D902" s="431"/>
      <c r="E902" s="431"/>
      <c r="F902" s="431"/>
    </row>
    <row r="903">
      <c r="A903" s="431"/>
      <c r="B903" s="431"/>
      <c r="C903" s="431"/>
      <c r="D903" s="431"/>
      <c r="E903" s="431"/>
      <c r="F903" s="431"/>
    </row>
    <row r="904">
      <c r="A904" s="431"/>
      <c r="B904" s="431"/>
      <c r="C904" s="431"/>
      <c r="D904" s="431"/>
      <c r="E904" s="431"/>
      <c r="F904" s="431"/>
    </row>
    <row r="905">
      <c r="A905" s="431"/>
      <c r="B905" s="431"/>
      <c r="C905" s="431"/>
      <c r="D905" s="431"/>
      <c r="E905" s="431"/>
      <c r="F905" s="431"/>
    </row>
    <row r="906">
      <c r="A906" s="431"/>
      <c r="B906" s="431"/>
      <c r="C906" s="431"/>
      <c r="D906" s="431"/>
      <c r="E906" s="431"/>
      <c r="F906" s="431"/>
    </row>
    <row r="907">
      <c r="A907" s="431"/>
      <c r="B907" s="431"/>
      <c r="C907" s="431"/>
      <c r="D907" s="431"/>
      <c r="E907" s="431"/>
      <c r="F907" s="431"/>
    </row>
    <row r="908">
      <c r="A908" s="431"/>
      <c r="B908" s="431"/>
      <c r="C908" s="431"/>
      <c r="D908" s="431"/>
      <c r="E908" s="431"/>
      <c r="F908" s="431"/>
    </row>
    <row r="909">
      <c r="A909" s="431"/>
      <c r="B909" s="431"/>
      <c r="C909" s="431"/>
      <c r="D909" s="431"/>
      <c r="E909" s="431"/>
      <c r="F909" s="431"/>
    </row>
    <row r="910">
      <c r="A910" s="431"/>
      <c r="B910" s="431"/>
      <c r="C910" s="431"/>
      <c r="D910" s="431"/>
      <c r="E910" s="431"/>
      <c r="F910" s="431"/>
    </row>
    <row r="911">
      <c r="A911" s="431"/>
      <c r="B911" s="431"/>
      <c r="C911" s="431"/>
      <c r="D911" s="431"/>
      <c r="E911" s="431"/>
      <c r="F911" s="431"/>
    </row>
    <row r="912">
      <c r="A912" s="431"/>
      <c r="B912" s="431"/>
      <c r="C912" s="431"/>
      <c r="D912" s="431"/>
      <c r="E912" s="431"/>
      <c r="F912" s="431"/>
    </row>
    <row r="913">
      <c r="A913" s="431"/>
      <c r="B913" s="431"/>
      <c r="C913" s="431"/>
      <c r="D913" s="431"/>
      <c r="E913" s="431"/>
      <c r="F913" s="431"/>
    </row>
    <row r="914">
      <c r="A914" s="431"/>
      <c r="B914" s="431"/>
      <c r="C914" s="431"/>
      <c r="D914" s="431"/>
      <c r="E914" s="431"/>
      <c r="F914" s="431"/>
    </row>
    <row r="915">
      <c r="A915" s="431"/>
      <c r="B915" s="431"/>
      <c r="C915" s="431"/>
      <c r="D915" s="431"/>
      <c r="E915" s="431"/>
      <c r="F915" s="431"/>
    </row>
    <row r="916">
      <c r="A916" s="431"/>
      <c r="B916" s="431"/>
      <c r="C916" s="431"/>
      <c r="D916" s="431"/>
      <c r="E916" s="431"/>
      <c r="F916" s="431"/>
    </row>
    <row r="917">
      <c r="A917" s="431"/>
      <c r="B917" s="431"/>
      <c r="C917" s="431"/>
      <c r="D917" s="431"/>
      <c r="E917" s="431"/>
      <c r="F917" s="431"/>
    </row>
    <row r="918">
      <c r="A918" s="431"/>
      <c r="B918" s="431"/>
      <c r="C918" s="431"/>
      <c r="D918" s="431"/>
      <c r="E918" s="431"/>
      <c r="F918" s="431"/>
    </row>
    <row r="919">
      <c r="A919" s="431"/>
      <c r="B919" s="431"/>
      <c r="C919" s="431"/>
      <c r="D919" s="431"/>
      <c r="E919" s="431"/>
      <c r="F919" s="431"/>
    </row>
    <row r="920">
      <c r="A920" s="431"/>
      <c r="B920" s="431"/>
      <c r="C920" s="431"/>
      <c r="D920" s="431"/>
      <c r="E920" s="431"/>
      <c r="F920" s="431"/>
    </row>
    <row r="921">
      <c r="A921" s="431"/>
      <c r="B921" s="431"/>
      <c r="C921" s="431"/>
      <c r="D921" s="431"/>
      <c r="E921" s="431"/>
      <c r="F921" s="431"/>
    </row>
    <row r="922">
      <c r="A922" s="431"/>
      <c r="B922" s="431"/>
      <c r="C922" s="431"/>
      <c r="D922" s="431"/>
      <c r="E922" s="431"/>
      <c r="F922" s="431"/>
    </row>
    <row r="923">
      <c r="A923" s="431"/>
      <c r="B923" s="431"/>
      <c r="C923" s="431"/>
      <c r="D923" s="431"/>
      <c r="E923" s="431"/>
      <c r="F923" s="431"/>
    </row>
    <row r="924">
      <c r="A924" s="431"/>
      <c r="B924" s="431"/>
      <c r="C924" s="431"/>
      <c r="D924" s="431"/>
      <c r="E924" s="431"/>
      <c r="F924" s="431"/>
    </row>
    <row r="925">
      <c r="A925" s="431"/>
      <c r="B925" s="431"/>
      <c r="C925" s="431"/>
      <c r="D925" s="431"/>
      <c r="E925" s="431"/>
      <c r="F925" s="431"/>
    </row>
    <row r="926">
      <c r="A926" s="431"/>
      <c r="B926" s="431"/>
      <c r="C926" s="431"/>
      <c r="D926" s="431"/>
      <c r="E926" s="431"/>
      <c r="F926" s="431"/>
    </row>
    <row r="927">
      <c r="A927" s="431"/>
      <c r="B927" s="431"/>
      <c r="C927" s="431"/>
      <c r="D927" s="431"/>
      <c r="E927" s="431"/>
      <c r="F927" s="431"/>
    </row>
    <row r="928">
      <c r="A928" s="431"/>
      <c r="B928" s="431"/>
      <c r="C928" s="431"/>
      <c r="D928" s="431"/>
      <c r="E928" s="431"/>
      <c r="F928" s="431"/>
    </row>
    <row r="929">
      <c r="A929" s="431"/>
      <c r="B929" s="431"/>
      <c r="C929" s="431"/>
      <c r="D929" s="431"/>
      <c r="E929" s="431"/>
      <c r="F929" s="431"/>
    </row>
    <row r="930">
      <c r="A930" s="431"/>
      <c r="B930" s="431"/>
      <c r="C930" s="431"/>
      <c r="D930" s="431"/>
      <c r="E930" s="431"/>
      <c r="F930" s="431"/>
    </row>
    <row r="931">
      <c r="A931" s="431"/>
      <c r="B931" s="431"/>
      <c r="C931" s="431"/>
      <c r="D931" s="431"/>
      <c r="E931" s="431"/>
      <c r="F931" s="431"/>
    </row>
    <row r="932">
      <c r="A932" s="431"/>
      <c r="B932" s="431"/>
      <c r="C932" s="431"/>
      <c r="D932" s="431"/>
      <c r="E932" s="431"/>
      <c r="F932" s="431"/>
    </row>
    <row r="933">
      <c r="A933" s="431"/>
      <c r="B933" s="431"/>
      <c r="C933" s="431"/>
      <c r="D933" s="431"/>
      <c r="E933" s="431"/>
      <c r="F933" s="431"/>
    </row>
    <row r="934">
      <c r="A934" s="431"/>
      <c r="B934" s="431"/>
      <c r="C934" s="431"/>
      <c r="D934" s="431"/>
      <c r="E934" s="431"/>
      <c r="F934" s="431"/>
    </row>
    <row r="935">
      <c r="A935" s="431"/>
      <c r="B935" s="431"/>
      <c r="C935" s="431"/>
      <c r="D935" s="431"/>
      <c r="E935" s="431"/>
      <c r="F935" s="431"/>
    </row>
    <row r="936">
      <c r="A936" s="431"/>
      <c r="B936" s="431"/>
      <c r="C936" s="431"/>
      <c r="D936" s="431"/>
      <c r="E936" s="431"/>
      <c r="F936" s="431"/>
    </row>
    <row r="937">
      <c r="A937" s="431"/>
      <c r="B937" s="431"/>
      <c r="C937" s="431"/>
      <c r="D937" s="431"/>
      <c r="E937" s="431"/>
      <c r="F937" s="431"/>
    </row>
    <row r="938">
      <c r="A938" s="431"/>
      <c r="B938" s="431"/>
      <c r="C938" s="431"/>
      <c r="D938" s="431"/>
      <c r="E938" s="431"/>
      <c r="F938" s="431"/>
    </row>
    <row r="939">
      <c r="A939" s="431"/>
      <c r="B939" s="431"/>
      <c r="C939" s="431"/>
      <c r="D939" s="431"/>
      <c r="E939" s="431"/>
      <c r="F939" s="431"/>
    </row>
    <row r="940">
      <c r="A940" s="431"/>
      <c r="B940" s="431"/>
      <c r="C940" s="431"/>
      <c r="D940" s="431"/>
      <c r="E940" s="431"/>
      <c r="F940" s="431"/>
    </row>
    <row r="941">
      <c r="A941" s="431"/>
      <c r="B941" s="431"/>
      <c r="C941" s="431"/>
      <c r="D941" s="431"/>
      <c r="E941" s="431"/>
      <c r="F941" s="431"/>
    </row>
    <row r="942">
      <c r="A942" s="431"/>
      <c r="B942" s="431"/>
      <c r="C942" s="431"/>
      <c r="D942" s="431"/>
      <c r="E942" s="431"/>
      <c r="F942" s="431"/>
    </row>
    <row r="943">
      <c r="A943" s="431"/>
      <c r="B943" s="431"/>
      <c r="C943" s="431"/>
      <c r="D943" s="431"/>
      <c r="E943" s="431"/>
      <c r="F943" s="431"/>
    </row>
    <row r="944">
      <c r="A944" s="431"/>
      <c r="B944" s="431"/>
      <c r="C944" s="431"/>
      <c r="D944" s="431"/>
      <c r="E944" s="431"/>
      <c r="F944" s="431"/>
    </row>
    <row r="945">
      <c r="A945" s="431"/>
      <c r="B945" s="431"/>
      <c r="C945" s="431"/>
      <c r="D945" s="431"/>
      <c r="E945" s="431"/>
      <c r="F945" s="431"/>
    </row>
    <row r="946">
      <c r="A946" s="431"/>
      <c r="B946" s="431"/>
      <c r="C946" s="431"/>
      <c r="D946" s="431"/>
      <c r="E946" s="431"/>
      <c r="F946" s="431"/>
    </row>
    <row r="947">
      <c r="A947" s="431"/>
      <c r="B947" s="431"/>
      <c r="C947" s="431"/>
      <c r="D947" s="431"/>
      <c r="E947" s="431"/>
      <c r="F947" s="431"/>
    </row>
    <row r="948">
      <c r="A948" s="431"/>
      <c r="B948" s="431"/>
      <c r="C948" s="431"/>
      <c r="D948" s="431"/>
      <c r="E948" s="431"/>
      <c r="F948" s="431"/>
    </row>
    <row r="949">
      <c r="A949" s="431"/>
      <c r="B949" s="431"/>
      <c r="C949" s="431"/>
      <c r="D949" s="431"/>
      <c r="E949" s="431"/>
      <c r="F949" s="431"/>
    </row>
    <row r="950">
      <c r="A950" s="431"/>
      <c r="B950" s="431"/>
      <c r="C950" s="431"/>
      <c r="D950" s="431"/>
      <c r="E950" s="431"/>
      <c r="F950" s="431"/>
    </row>
    <row r="951">
      <c r="A951" s="431"/>
      <c r="B951" s="431"/>
      <c r="C951" s="431"/>
      <c r="D951" s="431"/>
      <c r="E951" s="431"/>
      <c r="F951" s="431"/>
    </row>
    <row r="952">
      <c r="A952" s="431"/>
      <c r="B952" s="431"/>
      <c r="C952" s="431"/>
      <c r="D952" s="431"/>
      <c r="E952" s="431"/>
      <c r="F952" s="431"/>
    </row>
    <row r="953">
      <c r="A953" s="431"/>
      <c r="B953" s="431"/>
      <c r="C953" s="431"/>
      <c r="D953" s="431"/>
      <c r="E953" s="431"/>
      <c r="F953" s="431"/>
    </row>
    <row r="954">
      <c r="A954" s="431"/>
      <c r="B954" s="431"/>
      <c r="C954" s="431"/>
      <c r="D954" s="431"/>
      <c r="E954" s="431"/>
      <c r="F954" s="431"/>
    </row>
    <row r="955">
      <c r="A955" s="431"/>
      <c r="B955" s="431"/>
      <c r="C955" s="431"/>
      <c r="D955" s="431"/>
      <c r="E955" s="431"/>
      <c r="F955" s="431"/>
    </row>
    <row r="956">
      <c r="A956" s="431"/>
      <c r="B956" s="431"/>
      <c r="C956" s="431"/>
      <c r="D956" s="431"/>
      <c r="E956" s="431"/>
      <c r="F956" s="431"/>
    </row>
    <row r="957">
      <c r="A957" s="431"/>
      <c r="B957" s="431"/>
      <c r="C957" s="431"/>
      <c r="D957" s="431"/>
      <c r="E957" s="431"/>
      <c r="F957" s="431"/>
    </row>
    <row r="958">
      <c r="A958" s="431"/>
      <c r="B958" s="431"/>
      <c r="C958" s="431"/>
      <c r="D958" s="431"/>
      <c r="E958" s="431"/>
      <c r="F958" s="431"/>
    </row>
    <row r="959">
      <c r="A959" s="431"/>
      <c r="B959" s="431"/>
      <c r="C959" s="431"/>
      <c r="D959" s="431"/>
      <c r="E959" s="431"/>
      <c r="F959" s="431"/>
    </row>
    <row r="960">
      <c r="A960" s="431"/>
      <c r="B960" s="431"/>
      <c r="C960" s="431"/>
      <c r="D960" s="431"/>
      <c r="E960" s="431"/>
      <c r="F960" s="431"/>
    </row>
    <row r="961">
      <c r="A961" s="431"/>
      <c r="B961" s="431"/>
      <c r="C961" s="431"/>
      <c r="D961" s="431"/>
      <c r="E961" s="431"/>
      <c r="F961" s="431"/>
    </row>
    <row r="962">
      <c r="A962" s="431"/>
      <c r="B962" s="431"/>
      <c r="C962" s="431"/>
      <c r="D962" s="431"/>
      <c r="E962" s="431"/>
      <c r="F962" s="431"/>
    </row>
    <row r="963">
      <c r="A963" s="431"/>
      <c r="B963" s="431"/>
      <c r="C963" s="431"/>
      <c r="D963" s="431"/>
      <c r="E963" s="431"/>
      <c r="F963" s="431"/>
    </row>
    <row r="964">
      <c r="A964" s="431"/>
      <c r="B964" s="431"/>
      <c r="C964" s="431"/>
      <c r="D964" s="431"/>
      <c r="E964" s="431"/>
      <c r="F964" s="431"/>
    </row>
    <row r="965">
      <c r="A965" s="431"/>
      <c r="B965" s="431"/>
      <c r="C965" s="431"/>
      <c r="D965" s="431"/>
      <c r="E965" s="431"/>
      <c r="F965" s="431"/>
    </row>
    <row r="966">
      <c r="A966" s="431"/>
      <c r="B966" s="431"/>
      <c r="C966" s="431"/>
      <c r="D966" s="431"/>
      <c r="E966" s="431"/>
      <c r="F966" s="431"/>
    </row>
    <row r="967">
      <c r="A967" s="431"/>
      <c r="B967" s="431"/>
      <c r="C967" s="431"/>
      <c r="D967" s="431"/>
      <c r="E967" s="431"/>
      <c r="F967" s="431"/>
    </row>
    <row r="968">
      <c r="A968" s="431"/>
      <c r="B968" s="431"/>
      <c r="C968" s="431"/>
      <c r="D968" s="431"/>
      <c r="E968" s="431"/>
      <c r="F968" s="431"/>
    </row>
    <row r="969">
      <c r="A969" s="431"/>
      <c r="B969" s="431"/>
      <c r="C969" s="431"/>
      <c r="D969" s="431"/>
      <c r="E969" s="431"/>
      <c r="F969" s="431"/>
    </row>
    <row r="970">
      <c r="A970" s="431"/>
      <c r="B970" s="431"/>
      <c r="C970" s="431"/>
      <c r="D970" s="431"/>
      <c r="E970" s="431"/>
      <c r="F970" s="431"/>
    </row>
    <row r="971">
      <c r="A971" s="431"/>
      <c r="B971" s="431"/>
      <c r="C971" s="431"/>
      <c r="D971" s="431"/>
      <c r="E971" s="431"/>
      <c r="F971" s="431"/>
    </row>
    <row r="972">
      <c r="A972" s="431"/>
      <c r="B972" s="431"/>
      <c r="C972" s="431"/>
      <c r="D972" s="431"/>
      <c r="E972" s="431"/>
      <c r="F972" s="431"/>
    </row>
    <row r="973">
      <c r="A973" s="431"/>
      <c r="B973" s="431"/>
      <c r="C973" s="431"/>
      <c r="D973" s="431"/>
      <c r="E973" s="431"/>
      <c r="F973" s="431"/>
    </row>
    <row r="974">
      <c r="A974" s="431"/>
      <c r="B974" s="431"/>
      <c r="C974" s="431"/>
      <c r="D974" s="431"/>
      <c r="E974" s="431"/>
      <c r="F974" s="431"/>
    </row>
    <row r="975">
      <c r="A975" s="431"/>
      <c r="B975" s="431"/>
      <c r="C975" s="431"/>
      <c r="D975" s="431"/>
      <c r="E975" s="431"/>
      <c r="F975" s="431"/>
    </row>
    <row r="976">
      <c r="A976" s="431"/>
      <c r="B976" s="431"/>
      <c r="C976" s="431"/>
      <c r="D976" s="431"/>
      <c r="E976" s="431"/>
      <c r="F976" s="431"/>
    </row>
    <row r="977">
      <c r="A977" s="431"/>
      <c r="B977" s="431"/>
      <c r="C977" s="431"/>
      <c r="D977" s="431"/>
      <c r="E977" s="431"/>
      <c r="F977" s="431"/>
    </row>
    <row r="978">
      <c r="A978" s="431"/>
      <c r="B978" s="431"/>
      <c r="C978" s="431"/>
      <c r="D978" s="431"/>
      <c r="E978" s="431"/>
      <c r="F978" s="431"/>
    </row>
    <row r="979">
      <c r="A979" s="431"/>
      <c r="B979" s="431"/>
      <c r="C979" s="431"/>
      <c r="D979" s="431"/>
      <c r="E979" s="431"/>
      <c r="F979" s="431"/>
    </row>
    <row r="980">
      <c r="A980" s="431"/>
      <c r="B980" s="431"/>
      <c r="C980" s="431"/>
      <c r="D980" s="431"/>
      <c r="E980" s="431"/>
      <c r="F980" s="431"/>
    </row>
    <row r="981">
      <c r="A981" s="431"/>
      <c r="B981" s="431"/>
      <c r="C981" s="431"/>
      <c r="D981" s="431"/>
      <c r="E981" s="431"/>
      <c r="F981" s="431"/>
    </row>
    <row r="982">
      <c r="A982" s="431"/>
      <c r="B982" s="431"/>
      <c r="C982" s="431"/>
      <c r="D982" s="431"/>
      <c r="E982" s="431"/>
      <c r="F982" s="431"/>
    </row>
    <row r="983">
      <c r="A983" s="431"/>
      <c r="B983" s="431"/>
      <c r="C983" s="431"/>
      <c r="D983" s="431"/>
      <c r="E983" s="431"/>
      <c r="F983" s="431"/>
    </row>
    <row r="984">
      <c r="A984" s="431"/>
      <c r="B984" s="431"/>
      <c r="C984" s="431"/>
      <c r="D984" s="431"/>
      <c r="E984" s="431"/>
      <c r="F984" s="431"/>
    </row>
    <row r="985">
      <c r="A985" s="431"/>
      <c r="B985" s="431"/>
      <c r="C985" s="431"/>
      <c r="D985" s="431"/>
      <c r="E985" s="431"/>
      <c r="F985" s="431"/>
    </row>
    <row r="986">
      <c r="A986" s="431"/>
      <c r="B986" s="431"/>
      <c r="C986" s="431"/>
      <c r="D986" s="431"/>
      <c r="E986" s="431"/>
      <c r="F986" s="431"/>
    </row>
    <row r="987">
      <c r="A987" s="431"/>
      <c r="B987" s="431"/>
      <c r="C987" s="431"/>
      <c r="D987" s="431"/>
      <c r="E987" s="431"/>
      <c r="F987" s="431"/>
    </row>
    <row r="988">
      <c r="A988" s="431"/>
      <c r="B988" s="431"/>
      <c r="C988" s="431"/>
      <c r="D988" s="431"/>
      <c r="E988" s="431"/>
      <c r="F988" s="431"/>
    </row>
    <row r="989">
      <c r="A989" s="431"/>
      <c r="B989" s="431"/>
      <c r="C989" s="431"/>
      <c r="D989" s="431"/>
      <c r="E989" s="431"/>
      <c r="F989" s="431"/>
    </row>
    <row r="990">
      <c r="A990" s="431"/>
      <c r="B990" s="431"/>
      <c r="C990" s="431"/>
      <c r="D990" s="431"/>
      <c r="E990" s="431"/>
      <c r="F990" s="431"/>
    </row>
    <row r="991">
      <c r="A991" s="431"/>
      <c r="B991" s="431"/>
      <c r="C991" s="431"/>
      <c r="D991" s="431"/>
      <c r="E991" s="431"/>
      <c r="F991" s="431"/>
    </row>
    <row r="992">
      <c r="A992" s="431"/>
      <c r="B992" s="431"/>
      <c r="C992" s="431"/>
      <c r="D992" s="431"/>
      <c r="E992" s="431"/>
      <c r="F992" s="431"/>
    </row>
    <row r="993">
      <c r="A993" s="431"/>
      <c r="B993" s="431"/>
      <c r="C993" s="431"/>
      <c r="D993" s="431"/>
      <c r="E993" s="431"/>
      <c r="F993" s="431"/>
    </row>
    <row r="994">
      <c r="A994" s="431"/>
      <c r="B994" s="431"/>
      <c r="C994" s="431"/>
      <c r="D994" s="431"/>
      <c r="E994" s="431"/>
      <c r="F994" s="431"/>
    </row>
    <row r="995">
      <c r="A995" s="431"/>
      <c r="B995" s="431"/>
      <c r="C995" s="431"/>
      <c r="D995" s="431"/>
      <c r="E995" s="431"/>
      <c r="F995" s="431"/>
    </row>
    <row r="996">
      <c r="A996" s="431"/>
      <c r="B996" s="431"/>
      <c r="C996" s="431"/>
      <c r="D996" s="431"/>
      <c r="E996" s="431"/>
      <c r="F996" s="431"/>
    </row>
    <row r="997">
      <c r="A997" s="431"/>
      <c r="B997" s="431"/>
      <c r="C997" s="431"/>
      <c r="D997" s="431"/>
      <c r="E997" s="431"/>
      <c r="F997" s="431"/>
    </row>
    <row r="998">
      <c r="A998" s="431"/>
      <c r="B998" s="431"/>
      <c r="C998" s="431"/>
      <c r="D998" s="431"/>
      <c r="E998" s="431"/>
      <c r="F998" s="431"/>
    </row>
    <row r="999">
      <c r="A999" s="431"/>
      <c r="B999" s="431"/>
      <c r="C999" s="431"/>
      <c r="D999" s="431"/>
      <c r="E999" s="431"/>
      <c r="F999" s="431"/>
    </row>
    <row r="1000">
      <c r="A1000" s="431"/>
      <c r="B1000" s="431"/>
      <c r="C1000" s="431"/>
      <c r="D1000" s="431"/>
      <c r="E1000" s="431"/>
      <c r="F1000" s="431"/>
    </row>
    <row r="1001">
      <c r="A1001" s="431"/>
      <c r="B1001" s="431"/>
      <c r="C1001" s="431"/>
      <c r="D1001" s="431"/>
      <c r="E1001" s="431"/>
      <c r="F1001" s="431"/>
    </row>
  </sheetData>
  <hyperlinks>
    <hyperlink r:id="rId2" ref="C2"/>
    <hyperlink r:id="rId3" ref="E2"/>
    <hyperlink r:id="rId4" ref="C3"/>
    <hyperlink r:id="rId5" ref="E3"/>
    <hyperlink r:id="rId6" ref="C4"/>
    <hyperlink r:id="rId7" ref="E4"/>
    <hyperlink r:id="rId8" ref="C5"/>
    <hyperlink r:id="rId9" ref="E5"/>
    <hyperlink r:id="rId10" ref="C6"/>
    <hyperlink r:id="rId11" ref="E6"/>
    <hyperlink r:id="rId12" ref="C7"/>
    <hyperlink r:id="rId13" ref="E7"/>
    <hyperlink r:id="rId14" ref="C8"/>
    <hyperlink r:id="rId15" ref="E8"/>
    <hyperlink r:id="rId16" ref="C9"/>
    <hyperlink r:id="rId17" ref="E9"/>
    <hyperlink r:id="rId18" ref="C10"/>
    <hyperlink r:id="rId19" ref="E10"/>
    <hyperlink r:id="rId20" ref="C11"/>
    <hyperlink r:id="rId21" ref="C12"/>
    <hyperlink r:id="rId22" ref="C13"/>
    <hyperlink r:id="rId23" ref="E13"/>
    <hyperlink r:id="rId24" ref="E17"/>
    <hyperlink r:id="rId25" ref="E18"/>
    <hyperlink r:id="rId26" ref="E19"/>
    <hyperlink r:id="rId27" ref="E20"/>
    <hyperlink r:id="rId28" ref="D21"/>
    <hyperlink r:id="rId29" ref="E21"/>
    <hyperlink r:id="rId30" ref="D22"/>
    <hyperlink r:id="rId31" ref="E22"/>
    <hyperlink r:id="rId32" ref="D23"/>
    <hyperlink r:id="rId33" ref="E23"/>
    <hyperlink r:id="rId34" ref="D24"/>
    <hyperlink r:id="rId35" ref="E24"/>
    <hyperlink r:id="rId36" ref="D25"/>
    <hyperlink r:id="rId37" ref="E25"/>
    <hyperlink r:id="rId38" ref="D26"/>
    <hyperlink r:id="rId39" ref="D29"/>
    <hyperlink r:id="rId40" ref="E29"/>
    <hyperlink r:id="rId41" ref="D30"/>
    <hyperlink r:id="rId42" ref="E30"/>
    <hyperlink r:id="rId43" ref="D31"/>
    <hyperlink r:id="rId44" ref="E31"/>
    <hyperlink r:id="rId45" ref="D32"/>
    <hyperlink r:id="rId46" ref="E32"/>
    <hyperlink r:id="rId47" ref="D33"/>
    <hyperlink r:id="rId48" ref="E33"/>
    <hyperlink r:id="rId49" ref="D34"/>
    <hyperlink r:id="rId50" ref="E34"/>
    <hyperlink r:id="rId51" ref="D35"/>
    <hyperlink r:id="rId52" ref="E35"/>
    <hyperlink r:id="rId53" ref="D36"/>
    <hyperlink r:id="rId54" ref="E36"/>
    <hyperlink r:id="rId55" ref="D37"/>
    <hyperlink r:id="rId56" ref="E37"/>
    <hyperlink r:id="rId57" ref="D38"/>
    <hyperlink r:id="rId58" ref="E38"/>
    <hyperlink r:id="rId59" ref="E41"/>
    <hyperlink r:id="rId60" ref="E42"/>
    <hyperlink r:id="rId61" ref="E43"/>
    <hyperlink r:id="rId62" ref="E44"/>
    <hyperlink r:id="rId63" ref="E45"/>
    <hyperlink r:id="rId64" ref="E46"/>
    <hyperlink r:id="rId65" ref="E47"/>
    <hyperlink r:id="rId66" ref="E48"/>
    <hyperlink r:id="rId67" ref="E49"/>
    <hyperlink r:id="rId68" ref="E52"/>
    <hyperlink r:id="rId69" ref="E53"/>
    <hyperlink r:id="rId70" ref="E54"/>
    <hyperlink r:id="rId71" ref="E55"/>
  </hyperlinks>
  <drawing r:id="rId72"/>
  <legacyDrawing r:id="rId73"/>
  <tableParts count="1">
    <tablePart r:id="rId7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8.88"/>
    <col customWidth="1" min="3" max="3" width="36.38"/>
    <col customWidth="1" min="4" max="4" width="25.88"/>
    <col customWidth="1" min="5" max="5" width="26.88"/>
    <col customWidth="1" min="6" max="6" width="51.5"/>
  </cols>
  <sheetData>
    <row r="1">
      <c r="A1" s="241" t="s">
        <v>2994</v>
      </c>
      <c r="B1" s="241" t="s">
        <v>3172</v>
      </c>
      <c r="C1" s="434" t="s">
        <v>2995</v>
      </c>
      <c r="D1" s="434" t="s">
        <v>2730</v>
      </c>
      <c r="E1" s="434" t="s">
        <v>2996</v>
      </c>
      <c r="F1" s="241" t="s">
        <v>4</v>
      </c>
      <c r="H1" s="435"/>
      <c r="I1" s="435"/>
      <c r="J1" s="436"/>
      <c r="K1" s="371"/>
      <c r="L1" s="371"/>
      <c r="M1" s="371"/>
      <c r="N1" s="371"/>
      <c r="O1" s="371"/>
      <c r="P1" s="371"/>
      <c r="Q1" s="371"/>
      <c r="R1" s="371"/>
    </row>
    <row r="2">
      <c r="A2" s="437" t="s">
        <v>3173</v>
      </c>
      <c r="B2" s="437"/>
      <c r="C2" s="438" t="s">
        <v>3174</v>
      </c>
      <c r="D2" s="439" t="s">
        <v>3175</v>
      </c>
      <c r="E2" s="438">
        <v>7.708601095E9</v>
      </c>
      <c r="F2" s="437" t="s">
        <v>3176</v>
      </c>
      <c r="G2" s="440"/>
      <c r="H2" s="441"/>
      <c r="I2" s="441"/>
      <c r="J2" s="441"/>
    </row>
    <row r="3">
      <c r="A3" s="364" t="s">
        <v>3177</v>
      </c>
      <c r="B3" s="364"/>
      <c r="C3" s="442" t="s">
        <v>3178</v>
      </c>
      <c r="D3" s="443"/>
      <c r="E3" s="442">
        <v>7.504554276E9</v>
      </c>
      <c r="F3" s="364" t="s">
        <v>3179</v>
      </c>
      <c r="G3" s="351"/>
      <c r="H3" s="444"/>
      <c r="I3" s="444"/>
      <c r="J3" s="444"/>
      <c r="K3" s="354"/>
      <c r="L3" s="354"/>
      <c r="M3" s="354"/>
      <c r="N3" s="354"/>
      <c r="O3" s="354"/>
      <c r="P3" s="354"/>
      <c r="Q3" s="354"/>
      <c r="R3" s="354"/>
      <c r="S3" s="354"/>
      <c r="T3" s="354"/>
      <c r="U3" s="354"/>
      <c r="V3" s="354"/>
      <c r="W3" s="354"/>
      <c r="X3" s="354"/>
      <c r="Y3" s="354"/>
      <c r="Z3" s="354"/>
      <c r="AA3" s="354"/>
    </row>
    <row r="4">
      <c r="A4" s="445" t="s">
        <v>3180</v>
      </c>
      <c r="B4" s="445"/>
      <c r="C4" s="446" t="s">
        <v>3181</v>
      </c>
      <c r="D4" s="447"/>
      <c r="E4" s="446" t="s">
        <v>3182</v>
      </c>
      <c r="F4" s="448"/>
      <c r="G4" s="449"/>
      <c r="H4" s="441"/>
      <c r="I4" s="441"/>
      <c r="J4" s="441"/>
    </row>
    <row r="5">
      <c r="A5" s="364" t="s">
        <v>3183</v>
      </c>
      <c r="B5" s="364"/>
      <c r="C5" s="442" t="s">
        <v>3184</v>
      </c>
      <c r="D5" s="450"/>
      <c r="E5" s="442" t="s">
        <v>3185</v>
      </c>
      <c r="F5" s="364" t="s">
        <v>3186</v>
      </c>
      <c r="G5" s="351"/>
      <c r="H5" s="444"/>
      <c r="I5" s="444"/>
      <c r="J5" s="444"/>
      <c r="K5" s="354"/>
      <c r="L5" s="354"/>
      <c r="M5" s="354"/>
      <c r="N5" s="354"/>
      <c r="O5" s="354"/>
      <c r="P5" s="354"/>
      <c r="Q5" s="354"/>
      <c r="R5" s="354"/>
      <c r="S5" s="354"/>
      <c r="T5" s="354"/>
      <c r="U5" s="354"/>
      <c r="V5" s="354"/>
      <c r="W5" s="354"/>
      <c r="X5" s="354"/>
      <c r="Y5" s="354"/>
      <c r="Z5" s="354"/>
      <c r="AA5" s="354"/>
    </row>
    <row r="6">
      <c r="A6" s="445" t="s">
        <v>3187</v>
      </c>
      <c r="B6" s="448"/>
      <c r="C6" s="451"/>
      <c r="D6" s="452" t="s">
        <v>3188</v>
      </c>
      <c r="E6" s="446">
        <v>7.503006688E9</v>
      </c>
      <c r="F6" s="445" t="s">
        <v>3189</v>
      </c>
      <c r="G6" s="449"/>
      <c r="H6" s="441"/>
      <c r="I6" s="441"/>
      <c r="J6" s="441"/>
    </row>
    <row r="7">
      <c r="A7" s="445" t="s">
        <v>3190</v>
      </c>
      <c r="B7" s="448"/>
      <c r="C7" s="451"/>
      <c r="D7" s="452" t="s">
        <v>3191</v>
      </c>
      <c r="E7" s="446" t="s">
        <v>3192</v>
      </c>
      <c r="F7" s="448"/>
      <c r="G7" s="449"/>
      <c r="H7" s="441"/>
      <c r="I7" s="441"/>
      <c r="J7" s="441"/>
    </row>
    <row r="8">
      <c r="A8" s="445" t="s">
        <v>3193</v>
      </c>
      <c r="B8" s="445"/>
      <c r="C8" s="446" t="s">
        <v>3194</v>
      </c>
      <c r="D8" s="447"/>
      <c r="E8" s="446" t="s">
        <v>3195</v>
      </c>
      <c r="F8" s="445" t="s">
        <v>3196</v>
      </c>
      <c r="G8" s="449"/>
      <c r="H8" s="441"/>
      <c r="I8" s="441"/>
      <c r="J8" s="441"/>
    </row>
    <row r="9">
      <c r="A9" s="445" t="s">
        <v>3197</v>
      </c>
      <c r="B9" s="445"/>
      <c r="C9" s="446" t="s">
        <v>3198</v>
      </c>
      <c r="D9" s="452" t="s">
        <v>3199</v>
      </c>
      <c r="E9" s="446" t="s">
        <v>3200</v>
      </c>
      <c r="F9" s="445" t="s">
        <v>3201</v>
      </c>
      <c r="G9" s="449"/>
      <c r="H9" s="441"/>
      <c r="I9" s="441"/>
      <c r="J9" s="441"/>
    </row>
    <row r="10">
      <c r="A10" s="445" t="s">
        <v>3202</v>
      </c>
      <c r="B10" s="445"/>
      <c r="C10" s="446" t="s">
        <v>3203</v>
      </c>
      <c r="D10" s="453" t="s">
        <v>3204</v>
      </c>
      <c r="E10" s="446" t="s">
        <v>3205</v>
      </c>
      <c r="F10" s="445" t="s">
        <v>3206</v>
      </c>
      <c r="G10" s="449"/>
      <c r="H10" s="441"/>
      <c r="I10" s="441"/>
      <c r="J10" s="441"/>
    </row>
    <row r="11">
      <c r="A11" s="445" t="s">
        <v>3207</v>
      </c>
      <c r="B11" s="448"/>
      <c r="C11" s="451"/>
      <c r="D11" s="452" t="s">
        <v>3208</v>
      </c>
      <c r="E11" s="446">
        <v>7.505140514E9</v>
      </c>
      <c r="F11" s="445" t="s">
        <v>3209</v>
      </c>
      <c r="G11" s="449"/>
      <c r="H11" s="441"/>
      <c r="I11" s="441"/>
      <c r="J11" s="441"/>
    </row>
    <row r="12">
      <c r="A12" s="445" t="s">
        <v>3210</v>
      </c>
      <c r="B12" s="448"/>
      <c r="C12" s="451"/>
      <c r="D12" s="452" t="s">
        <v>3211</v>
      </c>
      <c r="E12" s="446">
        <v>7.501000807E9</v>
      </c>
      <c r="F12" s="445" t="s">
        <v>3212</v>
      </c>
      <c r="G12" s="449"/>
      <c r="H12" s="441"/>
      <c r="I12" s="441"/>
      <c r="J12" s="441"/>
    </row>
    <row r="13">
      <c r="A13" s="445" t="s">
        <v>3213</v>
      </c>
      <c r="B13" s="448"/>
      <c r="C13" s="451"/>
      <c r="D13" s="447"/>
      <c r="E13" s="446">
        <v>7.505334747E9</v>
      </c>
      <c r="F13" s="445" t="s">
        <v>3214</v>
      </c>
      <c r="G13" s="449"/>
      <c r="H13" s="441"/>
      <c r="I13" s="441"/>
      <c r="J13" s="441"/>
    </row>
    <row r="14">
      <c r="A14" s="445" t="s">
        <v>3215</v>
      </c>
      <c r="B14" s="448"/>
      <c r="C14" s="451"/>
      <c r="D14" s="452" t="s">
        <v>3216</v>
      </c>
      <c r="E14" s="446">
        <v>7.847900171E9</v>
      </c>
      <c r="F14" s="445" t="s">
        <v>3217</v>
      </c>
      <c r="G14" s="449"/>
      <c r="H14" s="441"/>
      <c r="I14" s="441"/>
      <c r="J14" s="441"/>
    </row>
    <row r="15">
      <c r="A15" s="445" t="s">
        <v>3218</v>
      </c>
      <c r="B15" s="448"/>
      <c r="C15" s="451"/>
      <c r="D15" s="452" t="s">
        <v>3219</v>
      </c>
      <c r="E15" s="446">
        <v>7.504885763E9</v>
      </c>
      <c r="F15" s="445" t="s">
        <v>3220</v>
      </c>
      <c r="G15" s="449"/>
      <c r="H15" s="441"/>
      <c r="I15" s="441"/>
      <c r="J15" s="441"/>
    </row>
    <row r="16">
      <c r="A16" s="445" t="s">
        <v>3221</v>
      </c>
      <c r="B16" s="448"/>
      <c r="C16" s="451"/>
      <c r="D16" s="452" t="s">
        <v>3222</v>
      </c>
      <c r="E16" s="446">
        <v>7.501170777E9</v>
      </c>
      <c r="F16" s="445" t="s">
        <v>3223</v>
      </c>
      <c r="G16" s="449"/>
      <c r="H16" s="441"/>
      <c r="I16" s="441"/>
      <c r="J16" s="441"/>
    </row>
    <row r="17">
      <c r="A17" s="445" t="s">
        <v>3224</v>
      </c>
      <c r="B17" s="448"/>
      <c r="C17" s="451"/>
      <c r="D17" s="452" t="s">
        <v>3225</v>
      </c>
      <c r="E17" s="446">
        <v>7.508090002E9</v>
      </c>
      <c r="F17" s="445" t="s">
        <v>2467</v>
      </c>
      <c r="G17" s="449"/>
      <c r="H17" s="441"/>
      <c r="I17" s="441"/>
      <c r="J17" s="441"/>
    </row>
    <row r="18">
      <c r="A18" s="445" t="s">
        <v>3226</v>
      </c>
      <c r="B18" s="445"/>
      <c r="C18" s="446" t="s">
        <v>3227</v>
      </c>
      <c r="D18" s="452" t="s">
        <v>3228</v>
      </c>
      <c r="E18" s="446">
        <v>7.50189202E9</v>
      </c>
      <c r="F18" s="445" t="s">
        <v>3229</v>
      </c>
      <c r="G18" s="449"/>
      <c r="H18" s="441"/>
      <c r="I18" s="441"/>
      <c r="J18" s="441"/>
    </row>
    <row r="19">
      <c r="A19" s="445" t="s">
        <v>3230</v>
      </c>
      <c r="B19" s="445"/>
      <c r="C19" s="446" t="s">
        <v>3231</v>
      </c>
      <c r="D19" s="452" t="s">
        <v>3232</v>
      </c>
      <c r="E19" s="446" t="s">
        <v>3233</v>
      </c>
      <c r="F19" s="445" t="s">
        <v>3234</v>
      </c>
      <c r="G19" s="449"/>
      <c r="H19" s="441"/>
      <c r="I19" s="441"/>
      <c r="J19" s="441"/>
    </row>
    <row r="20">
      <c r="A20" s="445" t="s">
        <v>3235</v>
      </c>
      <c r="B20" s="448"/>
      <c r="C20" s="451"/>
      <c r="D20" s="452" t="s">
        <v>3236</v>
      </c>
      <c r="E20" s="446" t="s">
        <v>3237</v>
      </c>
      <c r="F20" s="445" t="s">
        <v>3238</v>
      </c>
      <c r="G20" s="449"/>
      <c r="H20" s="441"/>
      <c r="I20" s="441"/>
      <c r="J20" s="441"/>
    </row>
    <row r="21">
      <c r="A21" s="445" t="s">
        <v>3239</v>
      </c>
      <c r="B21" s="448"/>
      <c r="C21" s="451"/>
      <c r="D21" s="447"/>
      <c r="E21" s="446" t="s">
        <v>3240</v>
      </c>
      <c r="F21" s="445" t="s">
        <v>3241</v>
      </c>
      <c r="G21" s="449"/>
      <c r="H21" s="441"/>
      <c r="I21" s="441"/>
      <c r="J21" s="441"/>
    </row>
    <row r="22">
      <c r="A22" s="445" t="s">
        <v>3242</v>
      </c>
      <c r="B22" s="445"/>
      <c r="C22" s="446" t="s">
        <v>3243</v>
      </c>
      <c r="D22" s="447"/>
      <c r="E22" s="446">
        <v>7.504614629E9</v>
      </c>
      <c r="F22" s="445" t="s">
        <v>3244</v>
      </c>
      <c r="G22" s="449"/>
      <c r="H22" s="441"/>
      <c r="I22" s="441"/>
      <c r="J22" s="441"/>
    </row>
    <row r="23">
      <c r="A23" s="445" t="s">
        <v>3245</v>
      </c>
      <c r="B23" s="445"/>
      <c r="C23" s="446" t="s">
        <v>3246</v>
      </c>
      <c r="D23" s="447"/>
      <c r="E23" s="446" t="s">
        <v>3247</v>
      </c>
      <c r="F23" s="445" t="s">
        <v>3248</v>
      </c>
      <c r="G23" s="449"/>
      <c r="H23" s="441"/>
      <c r="I23" s="441"/>
      <c r="J23" s="441"/>
    </row>
    <row r="24">
      <c r="A24" s="445" t="s">
        <v>3249</v>
      </c>
      <c r="B24" s="448"/>
      <c r="C24" s="451"/>
      <c r="D24" s="447"/>
      <c r="E24" s="446" t="s">
        <v>3250</v>
      </c>
      <c r="F24" s="448"/>
      <c r="G24" s="449"/>
      <c r="H24" s="441"/>
      <c r="I24" s="441"/>
      <c r="J24" s="441"/>
    </row>
    <row r="25">
      <c r="A25" s="445" t="s">
        <v>3251</v>
      </c>
      <c r="B25" s="448"/>
      <c r="C25" s="451"/>
      <c r="D25" s="447"/>
      <c r="E25" s="446">
        <v>7.504905095E9</v>
      </c>
      <c r="F25" s="445" t="s">
        <v>3252</v>
      </c>
      <c r="G25" s="449"/>
      <c r="H25" s="441"/>
      <c r="I25" s="441"/>
      <c r="J25" s="441"/>
    </row>
    <row r="26">
      <c r="A26" s="445" t="s">
        <v>3253</v>
      </c>
      <c r="B26" s="448"/>
      <c r="C26" s="451"/>
      <c r="D26" s="452" t="s">
        <v>3254</v>
      </c>
      <c r="E26" s="446" t="s">
        <v>3255</v>
      </c>
      <c r="F26" s="448"/>
      <c r="G26" s="449"/>
      <c r="H26" s="441"/>
      <c r="I26" s="441"/>
      <c r="J26" s="441"/>
    </row>
    <row r="27">
      <c r="A27" s="445" t="s">
        <v>3256</v>
      </c>
      <c r="B27" s="448"/>
      <c r="C27" s="451"/>
      <c r="D27" s="447"/>
      <c r="E27" s="446" t="s">
        <v>3257</v>
      </c>
      <c r="F27" s="445" t="s">
        <v>3258</v>
      </c>
      <c r="G27" s="449"/>
      <c r="H27" s="441"/>
      <c r="I27" s="441"/>
      <c r="J27" s="441"/>
    </row>
    <row r="28">
      <c r="A28" s="445" t="s">
        <v>3259</v>
      </c>
      <c r="B28" s="445"/>
      <c r="C28" s="446" t="s">
        <v>3260</v>
      </c>
      <c r="D28" s="447"/>
      <c r="E28" s="446" t="s">
        <v>3261</v>
      </c>
      <c r="F28" s="448"/>
      <c r="G28" s="449"/>
      <c r="H28" s="441"/>
      <c r="I28" s="441"/>
      <c r="J28" s="441"/>
    </row>
    <row r="29">
      <c r="A29" s="445" t="s">
        <v>3262</v>
      </c>
      <c r="B29" s="448"/>
      <c r="C29" s="451"/>
      <c r="D29" s="447"/>
      <c r="E29" s="446" t="s">
        <v>3263</v>
      </c>
      <c r="F29" s="445" t="s">
        <v>3264</v>
      </c>
      <c r="G29" s="449"/>
      <c r="H29" s="441"/>
      <c r="I29" s="441"/>
      <c r="J29" s="441"/>
    </row>
    <row r="30">
      <c r="A30" s="445" t="s">
        <v>3265</v>
      </c>
      <c r="B30" s="448"/>
      <c r="C30" s="451"/>
      <c r="D30" s="447"/>
      <c r="E30" s="446">
        <v>7.766920092E9</v>
      </c>
      <c r="F30" s="445" t="s">
        <v>3266</v>
      </c>
      <c r="G30" s="449"/>
      <c r="H30" s="441"/>
      <c r="I30" s="441"/>
      <c r="J30" s="441"/>
    </row>
    <row r="31">
      <c r="A31" s="445" t="s">
        <v>3267</v>
      </c>
      <c r="B31" s="445"/>
      <c r="C31" s="446" t="s">
        <v>3268</v>
      </c>
      <c r="D31" s="447"/>
      <c r="E31" s="446" t="s">
        <v>3269</v>
      </c>
      <c r="F31" s="448"/>
      <c r="G31" s="449"/>
      <c r="H31" s="441"/>
      <c r="I31" s="441"/>
      <c r="J31" s="441"/>
    </row>
    <row r="32">
      <c r="A32" s="445" t="s">
        <v>3270</v>
      </c>
      <c r="B32" s="445"/>
      <c r="C32" s="446" t="s">
        <v>3271</v>
      </c>
      <c r="D32" s="453" t="s">
        <v>3272</v>
      </c>
      <c r="E32" s="446" t="s">
        <v>3273</v>
      </c>
      <c r="F32" s="445" t="s">
        <v>3274</v>
      </c>
      <c r="G32" s="449"/>
      <c r="H32" s="441"/>
      <c r="I32" s="441"/>
      <c r="J32" s="441"/>
    </row>
    <row r="33">
      <c r="A33" s="445" t="s">
        <v>3275</v>
      </c>
      <c r="B33" s="448"/>
      <c r="C33" s="451"/>
      <c r="D33" s="453"/>
      <c r="E33" s="446">
        <v>7.50744994E9</v>
      </c>
      <c r="F33" s="445" t="s">
        <v>3276</v>
      </c>
      <c r="G33" s="449"/>
      <c r="H33" s="441"/>
      <c r="I33" s="441"/>
      <c r="J33" s="441"/>
    </row>
    <row r="34">
      <c r="A34" s="445" t="s">
        <v>3277</v>
      </c>
      <c r="B34" s="445"/>
      <c r="C34" s="446" t="s">
        <v>3278</v>
      </c>
      <c r="D34" s="452" t="s">
        <v>3279</v>
      </c>
      <c r="E34" s="446">
        <v>7.509663031E9</v>
      </c>
      <c r="F34" s="445" t="s">
        <v>3280</v>
      </c>
      <c r="G34" s="449"/>
      <c r="H34" s="441"/>
      <c r="I34" s="441"/>
      <c r="J34" s="441"/>
    </row>
    <row r="35">
      <c r="A35" s="445" t="s">
        <v>3281</v>
      </c>
      <c r="B35" s="445"/>
      <c r="C35" s="446" t="s">
        <v>3282</v>
      </c>
      <c r="D35" s="447"/>
      <c r="E35" s="446">
        <v>7.504531397E9</v>
      </c>
      <c r="F35" s="448"/>
      <c r="G35" s="449"/>
      <c r="H35" s="441"/>
      <c r="I35" s="441"/>
      <c r="J35" s="441"/>
    </row>
    <row r="36">
      <c r="A36" s="445" t="s">
        <v>3283</v>
      </c>
      <c r="B36" s="445"/>
      <c r="C36" s="446" t="s">
        <v>3284</v>
      </c>
      <c r="D36" s="452" t="s">
        <v>3285</v>
      </c>
      <c r="E36" s="446" t="s">
        <v>3286</v>
      </c>
      <c r="F36" s="448"/>
      <c r="G36" s="449"/>
      <c r="H36" s="441"/>
      <c r="I36" s="441"/>
      <c r="J36" s="441"/>
    </row>
    <row r="37">
      <c r="A37" s="445" t="s">
        <v>3287</v>
      </c>
      <c r="B37" s="445"/>
      <c r="C37" s="446" t="s">
        <v>3288</v>
      </c>
      <c r="D37" s="447"/>
      <c r="E37" s="446" t="s">
        <v>3289</v>
      </c>
      <c r="F37" s="445" t="s">
        <v>3290</v>
      </c>
      <c r="G37" s="449"/>
      <c r="H37" s="441"/>
      <c r="I37" s="441"/>
      <c r="J37" s="441"/>
    </row>
    <row r="38">
      <c r="A38" s="445" t="s">
        <v>3291</v>
      </c>
      <c r="B38" s="445"/>
      <c r="C38" s="446" t="s">
        <v>3292</v>
      </c>
      <c r="D38" s="447"/>
      <c r="E38" s="446" t="s">
        <v>3293</v>
      </c>
      <c r="F38" s="445" t="s">
        <v>3294</v>
      </c>
      <c r="G38" s="449"/>
      <c r="H38" s="441"/>
      <c r="I38" s="441"/>
      <c r="J38" s="441"/>
    </row>
    <row r="39">
      <c r="A39" s="445" t="s">
        <v>3295</v>
      </c>
      <c r="B39" s="445"/>
      <c r="C39" s="446" t="s">
        <v>3296</v>
      </c>
      <c r="D39" s="452" t="s">
        <v>3297</v>
      </c>
      <c r="E39" s="446" t="s">
        <v>3298</v>
      </c>
      <c r="F39" s="445" t="s">
        <v>3299</v>
      </c>
      <c r="G39" s="449"/>
      <c r="H39" s="441"/>
      <c r="I39" s="441"/>
      <c r="J39" s="441"/>
    </row>
    <row r="40">
      <c r="A40" s="454" t="s">
        <v>3300</v>
      </c>
      <c r="B40" s="454"/>
      <c r="C40" s="455" t="s">
        <v>3301</v>
      </c>
      <c r="D40" s="456"/>
      <c r="E40" s="455" t="s">
        <v>3302</v>
      </c>
      <c r="F40" s="454" t="s">
        <v>3303</v>
      </c>
      <c r="G40" s="457"/>
      <c r="H40" s="441"/>
      <c r="I40" s="441"/>
      <c r="J40" s="441"/>
    </row>
    <row r="41">
      <c r="A41" s="454" t="s">
        <v>3304</v>
      </c>
      <c r="B41" s="454"/>
      <c r="C41" s="455" t="s">
        <v>3305</v>
      </c>
      <c r="D41" s="458" t="s">
        <v>3306</v>
      </c>
      <c r="E41" s="455">
        <v>9.71503395889E11</v>
      </c>
      <c r="F41" s="454" t="s">
        <v>3307</v>
      </c>
      <c r="G41" s="457"/>
      <c r="H41" s="441"/>
      <c r="I41" s="441"/>
      <c r="J41" s="441"/>
    </row>
    <row r="42">
      <c r="A42" s="459" t="s">
        <v>3308</v>
      </c>
      <c r="B42" s="460"/>
      <c r="C42" s="461"/>
      <c r="D42" s="462" t="s">
        <v>3309</v>
      </c>
      <c r="E42" s="461"/>
      <c r="F42" s="454" t="s">
        <v>3310</v>
      </c>
      <c r="G42" s="457"/>
      <c r="H42" s="441"/>
      <c r="I42" s="441"/>
      <c r="J42" s="441"/>
    </row>
    <row r="43">
      <c r="A43" s="413" t="s">
        <v>3311</v>
      </c>
      <c r="B43" s="413"/>
      <c r="C43" s="463" t="s">
        <v>3312</v>
      </c>
      <c r="D43" s="464" t="s">
        <v>3313</v>
      </c>
      <c r="E43" s="463" t="s">
        <v>3314</v>
      </c>
      <c r="F43" s="413" t="s">
        <v>3315</v>
      </c>
    </row>
    <row r="44">
      <c r="A44" s="413" t="s">
        <v>3316</v>
      </c>
      <c r="C44" s="465"/>
      <c r="D44" s="464" t="s">
        <v>3317</v>
      </c>
      <c r="E44" s="463" t="s">
        <v>3318</v>
      </c>
      <c r="F44" s="413" t="s">
        <v>3319</v>
      </c>
    </row>
    <row r="45">
      <c r="A45" s="413" t="s">
        <v>3320</v>
      </c>
      <c r="B45" s="413" t="s">
        <v>3321</v>
      </c>
      <c r="C45" s="463" t="s">
        <v>3322</v>
      </c>
      <c r="D45" s="463"/>
      <c r="E45" s="463" t="s">
        <v>3323</v>
      </c>
      <c r="F45" s="413" t="s">
        <v>3324</v>
      </c>
    </row>
    <row r="46">
      <c r="A46" s="413" t="s">
        <v>3325</v>
      </c>
      <c r="B46" s="413" t="s">
        <v>3326</v>
      </c>
      <c r="C46" s="463" t="s">
        <v>3327</v>
      </c>
      <c r="D46" s="464" t="s">
        <v>3328</v>
      </c>
      <c r="E46" s="463" t="s">
        <v>3329</v>
      </c>
      <c r="F46" s="413" t="s">
        <v>3330</v>
      </c>
    </row>
    <row r="47">
      <c r="A47" s="413" t="s">
        <v>3331</v>
      </c>
      <c r="B47" s="413" t="s">
        <v>3332</v>
      </c>
      <c r="C47" s="463" t="s">
        <v>3333</v>
      </c>
      <c r="D47" s="464" t="s">
        <v>3334</v>
      </c>
      <c r="E47" s="463" t="s">
        <v>3335</v>
      </c>
      <c r="F47" s="413" t="s">
        <v>3336</v>
      </c>
    </row>
    <row r="48">
      <c r="A48" s="413" t="s">
        <v>3337</v>
      </c>
      <c r="B48" s="413" t="s">
        <v>3338</v>
      </c>
      <c r="C48" s="463" t="s">
        <v>3339</v>
      </c>
      <c r="D48" s="464" t="s">
        <v>3340</v>
      </c>
      <c r="E48" s="463" t="s">
        <v>3341</v>
      </c>
      <c r="F48" s="413" t="s">
        <v>3342</v>
      </c>
    </row>
    <row r="49">
      <c r="A49" s="413" t="s">
        <v>3343</v>
      </c>
      <c r="B49" s="413" t="s">
        <v>3344</v>
      </c>
      <c r="C49" s="463" t="s">
        <v>3345</v>
      </c>
      <c r="D49" s="465"/>
      <c r="E49" s="463" t="s">
        <v>3346</v>
      </c>
      <c r="F49" s="413" t="s">
        <v>3347</v>
      </c>
    </row>
    <row r="50">
      <c r="A50" s="413" t="s">
        <v>3348</v>
      </c>
      <c r="B50" s="413" t="s">
        <v>3349</v>
      </c>
      <c r="C50" s="463" t="s">
        <v>3350</v>
      </c>
      <c r="D50" s="463" t="s">
        <v>3351</v>
      </c>
      <c r="E50" s="463">
        <v>9.6650413614E11</v>
      </c>
      <c r="F50" s="413" t="s">
        <v>3352</v>
      </c>
    </row>
    <row r="51">
      <c r="A51" s="413" t="s">
        <v>3353</v>
      </c>
      <c r="B51" s="413" t="s">
        <v>3354</v>
      </c>
      <c r="C51" s="463" t="s">
        <v>3355</v>
      </c>
      <c r="D51" s="464" t="s">
        <v>3356</v>
      </c>
      <c r="E51" s="463" t="s">
        <v>3357</v>
      </c>
      <c r="F51" s="413" t="s">
        <v>3358</v>
      </c>
    </row>
    <row r="52">
      <c r="A52" s="413" t="s">
        <v>3359</v>
      </c>
      <c r="B52" s="413" t="s">
        <v>3360</v>
      </c>
      <c r="C52" s="465"/>
      <c r="D52" s="465"/>
      <c r="E52" s="465"/>
    </row>
    <row r="53">
      <c r="A53" s="413" t="s">
        <v>3361</v>
      </c>
      <c r="B53" s="413" t="s">
        <v>3362</v>
      </c>
      <c r="C53" s="465"/>
      <c r="D53" s="464" t="s">
        <v>3363</v>
      </c>
      <c r="E53" s="463">
        <v>9.05338647117E11</v>
      </c>
      <c r="F53" s="413" t="s">
        <v>3364</v>
      </c>
    </row>
    <row r="54">
      <c r="A54" s="413" t="s">
        <v>3365</v>
      </c>
      <c r="B54" s="413" t="s">
        <v>3366</v>
      </c>
      <c r="C54" s="463" t="s">
        <v>3367</v>
      </c>
      <c r="D54" s="464" t="s">
        <v>3368</v>
      </c>
      <c r="E54" s="463" t="s">
        <v>3369</v>
      </c>
      <c r="F54" s="413" t="s">
        <v>3370</v>
      </c>
    </row>
    <row r="55">
      <c r="A55" s="413" t="s">
        <v>3371</v>
      </c>
      <c r="B55" s="413" t="s">
        <v>3372</v>
      </c>
      <c r="C55" s="463" t="s">
        <v>3373</v>
      </c>
      <c r="D55" s="464" t="s">
        <v>3374</v>
      </c>
      <c r="E55" s="463">
        <v>9.05437387073E11</v>
      </c>
      <c r="F55" s="413" t="s">
        <v>3375</v>
      </c>
    </row>
    <row r="56">
      <c r="A56" s="413" t="s">
        <v>3376</v>
      </c>
      <c r="B56" s="413" t="s">
        <v>3377</v>
      </c>
      <c r="C56" s="463" t="s">
        <v>3378</v>
      </c>
      <c r="D56" s="465"/>
      <c r="E56" s="463">
        <v>9.71508690458E11</v>
      </c>
      <c r="F56" s="413" t="s">
        <v>3379</v>
      </c>
    </row>
    <row r="57">
      <c r="A57" s="413" t="s">
        <v>3380</v>
      </c>
      <c r="B57" s="413" t="s">
        <v>3381</v>
      </c>
      <c r="C57" s="464" t="s">
        <v>3382</v>
      </c>
      <c r="D57" s="465"/>
      <c r="E57" s="463">
        <v>9.71542044198E11</v>
      </c>
      <c r="F57" s="413" t="s">
        <v>3383</v>
      </c>
    </row>
    <row r="58">
      <c r="A58" s="413" t="s">
        <v>3384</v>
      </c>
      <c r="B58" s="413" t="s">
        <v>3385</v>
      </c>
      <c r="C58" s="463" t="s">
        <v>3386</v>
      </c>
      <c r="D58" s="465"/>
      <c r="E58" s="463">
        <v>9.71523749615E11</v>
      </c>
      <c r="F58" s="413" t="s">
        <v>3387</v>
      </c>
    </row>
    <row r="59">
      <c r="A59" s="413" t="s">
        <v>3388</v>
      </c>
      <c r="B59" s="413" t="s">
        <v>3389</v>
      </c>
      <c r="C59" s="463" t="s">
        <v>3390</v>
      </c>
      <c r="D59" s="464" t="s">
        <v>3391</v>
      </c>
      <c r="E59" s="463">
        <v>9.7158539133E11</v>
      </c>
      <c r="F59" s="413" t="s">
        <v>3392</v>
      </c>
    </row>
    <row r="60">
      <c r="A60" s="413" t="s">
        <v>3393</v>
      </c>
      <c r="C60" s="463"/>
      <c r="D60" s="464" t="s">
        <v>3394</v>
      </c>
      <c r="E60" s="463">
        <v>9.71509890445E11</v>
      </c>
      <c r="F60" s="413" t="s">
        <v>3395</v>
      </c>
    </row>
    <row r="61">
      <c r="A61" s="413" t="s">
        <v>3396</v>
      </c>
      <c r="B61" s="413" t="s">
        <v>3397</v>
      </c>
      <c r="C61" s="463" t="s">
        <v>3398</v>
      </c>
      <c r="D61" s="464" t="s">
        <v>3399</v>
      </c>
      <c r="E61" s="463" t="s">
        <v>3400</v>
      </c>
      <c r="F61" s="413" t="s">
        <v>3401</v>
      </c>
    </row>
    <row r="62">
      <c r="A62" s="413" t="s">
        <v>3402</v>
      </c>
      <c r="B62" s="413" t="s">
        <v>3403</v>
      </c>
      <c r="C62" s="463" t="s">
        <v>3404</v>
      </c>
      <c r="D62" s="465"/>
      <c r="E62" s="463">
        <v>9.71552258183E11</v>
      </c>
      <c r="F62" s="413" t="s">
        <v>3405</v>
      </c>
    </row>
    <row r="63">
      <c r="A63" s="413" t="s">
        <v>3406</v>
      </c>
      <c r="B63" s="413" t="s">
        <v>3407</v>
      </c>
      <c r="C63" s="463" t="s">
        <v>3408</v>
      </c>
      <c r="D63" s="466"/>
      <c r="E63" s="463">
        <v>9.95577239997E11</v>
      </c>
      <c r="F63" s="413" t="s">
        <v>3409</v>
      </c>
    </row>
    <row r="64">
      <c r="A64" s="413" t="s">
        <v>3410</v>
      </c>
      <c r="B64" s="413" t="s">
        <v>3411</v>
      </c>
      <c r="C64" s="463" t="s">
        <v>3412</v>
      </c>
      <c r="D64" s="463" t="s">
        <v>3413</v>
      </c>
      <c r="E64" s="463">
        <v>1.5613343805E10</v>
      </c>
      <c r="F64" s="413" t="s">
        <v>3414</v>
      </c>
    </row>
    <row r="65">
      <c r="A65" s="413" t="s">
        <v>3415</v>
      </c>
      <c r="B65" s="413" t="s">
        <v>3416</v>
      </c>
      <c r="C65" s="463" t="s">
        <v>3417</v>
      </c>
      <c r="D65" s="465"/>
      <c r="E65" s="463">
        <v>2.3059448033E10</v>
      </c>
      <c r="F65" s="413" t="s">
        <v>3418</v>
      </c>
    </row>
    <row r="66">
      <c r="A66" s="413" t="s">
        <v>3419</v>
      </c>
      <c r="B66" s="413" t="s">
        <v>3420</v>
      </c>
      <c r="C66" s="465"/>
      <c r="D66" s="464" t="s">
        <v>3421</v>
      </c>
      <c r="E66" s="463" t="s">
        <v>3422</v>
      </c>
      <c r="F66" s="413" t="s">
        <v>3423</v>
      </c>
    </row>
    <row r="67">
      <c r="A67" s="413" t="s">
        <v>3424</v>
      </c>
      <c r="B67" s="413" t="s">
        <v>3425</v>
      </c>
      <c r="C67" s="465"/>
      <c r="D67" s="464" t="s">
        <v>3426</v>
      </c>
      <c r="E67" s="463">
        <v>9.71567195656E11</v>
      </c>
      <c r="F67" s="413" t="s">
        <v>3427</v>
      </c>
    </row>
    <row r="68">
      <c r="A68" s="413" t="s">
        <v>3428</v>
      </c>
      <c r="B68" s="413" t="s">
        <v>3429</v>
      </c>
      <c r="C68" s="463" t="s">
        <v>3430</v>
      </c>
      <c r="D68" s="464" t="s">
        <v>3431</v>
      </c>
      <c r="E68" s="463">
        <v>7.5044889381E10</v>
      </c>
      <c r="F68" s="413" t="s">
        <v>3432</v>
      </c>
    </row>
    <row r="69">
      <c r="A69" s="413" t="s">
        <v>3433</v>
      </c>
      <c r="B69" s="413" t="s">
        <v>3434</v>
      </c>
      <c r="C69" s="463" t="s">
        <v>3435</v>
      </c>
      <c r="D69" s="464" t="s">
        <v>3436</v>
      </c>
      <c r="E69" s="463" t="s">
        <v>3437</v>
      </c>
      <c r="F69" s="413" t="s">
        <v>3438</v>
      </c>
    </row>
    <row r="70">
      <c r="A70" s="413" t="s">
        <v>3439</v>
      </c>
      <c r="C70" s="463" t="s">
        <v>3440</v>
      </c>
      <c r="D70" s="465"/>
      <c r="E70" s="463" t="s">
        <v>3441</v>
      </c>
      <c r="F70" s="413" t="s">
        <v>3442</v>
      </c>
    </row>
    <row r="71">
      <c r="A71" s="413" t="s">
        <v>3443</v>
      </c>
      <c r="B71" s="413" t="s">
        <v>3444</v>
      </c>
      <c r="C71" s="463" t="s">
        <v>3445</v>
      </c>
      <c r="D71" s="465"/>
      <c r="E71" s="463">
        <v>7.51229909E9</v>
      </c>
    </row>
    <row r="72">
      <c r="A72" s="413" t="s">
        <v>3446</v>
      </c>
      <c r="B72" s="413" t="s">
        <v>3447</v>
      </c>
      <c r="C72" s="463" t="s">
        <v>3448</v>
      </c>
      <c r="D72" s="464" t="s">
        <v>3449</v>
      </c>
      <c r="E72" s="463" t="s">
        <v>3450</v>
      </c>
      <c r="F72" s="413" t="s">
        <v>3451</v>
      </c>
    </row>
    <row r="73">
      <c r="A73" s="413" t="s">
        <v>3452</v>
      </c>
      <c r="B73" s="413" t="s">
        <v>3453</v>
      </c>
      <c r="C73" s="463" t="s">
        <v>3454</v>
      </c>
      <c r="D73" s="465"/>
      <c r="E73" s="463">
        <v>7.504457647E9</v>
      </c>
      <c r="F73" s="413" t="s">
        <v>3455</v>
      </c>
    </row>
    <row r="74">
      <c r="A74" s="413" t="s">
        <v>3456</v>
      </c>
      <c r="B74" s="413" t="s">
        <v>3457</v>
      </c>
      <c r="C74" s="465"/>
      <c r="D74" s="464" t="s">
        <v>3458</v>
      </c>
      <c r="E74" s="463" t="s">
        <v>3459</v>
      </c>
      <c r="F74" s="413" t="s">
        <v>3460</v>
      </c>
    </row>
    <row r="75">
      <c r="A75" s="413" t="s">
        <v>3461</v>
      </c>
      <c r="B75" s="413" t="s">
        <v>3462</v>
      </c>
      <c r="C75" s="463" t="s">
        <v>3463</v>
      </c>
      <c r="D75" s="464" t="s">
        <v>3464</v>
      </c>
      <c r="E75" s="463" t="s">
        <v>3465</v>
      </c>
      <c r="F75" s="413" t="s">
        <v>3466</v>
      </c>
    </row>
    <row r="76">
      <c r="A76" s="413" t="s">
        <v>3467</v>
      </c>
      <c r="B76" s="413" t="s">
        <v>3468</v>
      </c>
      <c r="C76" s="463" t="s">
        <v>3469</v>
      </c>
      <c r="D76" s="464" t="s">
        <v>3470</v>
      </c>
      <c r="E76" s="463">
        <v>7.504749292E9</v>
      </c>
      <c r="F76" s="413" t="s">
        <v>3471</v>
      </c>
    </row>
    <row r="77">
      <c r="A77" s="413" t="s">
        <v>3472</v>
      </c>
      <c r="B77" s="413" t="s">
        <v>3473</v>
      </c>
      <c r="C77" s="463" t="s">
        <v>3474</v>
      </c>
      <c r="D77" s="465"/>
      <c r="E77" s="463">
        <v>7.502441152E9</v>
      </c>
    </row>
    <row r="78">
      <c r="A78" s="413" t="s">
        <v>3475</v>
      </c>
      <c r="B78" s="413" t="s">
        <v>3476</v>
      </c>
      <c r="C78" s="463" t="s">
        <v>3477</v>
      </c>
      <c r="D78" s="465"/>
      <c r="E78" s="463" t="s">
        <v>3478</v>
      </c>
    </row>
    <row r="79">
      <c r="A79" s="413" t="s">
        <v>3479</v>
      </c>
      <c r="B79" s="413" t="s">
        <v>3480</v>
      </c>
      <c r="C79" s="463" t="s">
        <v>3481</v>
      </c>
      <c r="D79" s="465"/>
      <c r="E79" s="463">
        <v>7.509933E9</v>
      </c>
      <c r="F79" s="413" t="s">
        <v>3482</v>
      </c>
    </row>
    <row r="80">
      <c r="A80" s="413" t="s">
        <v>3483</v>
      </c>
      <c r="B80" s="413" t="s">
        <v>3484</v>
      </c>
      <c r="C80" s="465"/>
      <c r="D80" s="465"/>
      <c r="E80" s="463">
        <v>9.689384699E10</v>
      </c>
      <c r="F80" s="413" t="s">
        <v>3485</v>
      </c>
    </row>
    <row r="81">
      <c r="A81" s="413" t="s">
        <v>3486</v>
      </c>
      <c r="B81" s="413" t="s">
        <v>3332</v>
      </c>
      <c r="C81" s="463" t="s">
        <v>3487</v>
      </c>
      <c r="D81" s="464" t="s">
        <v>3488</v>
      </c>
      <c r="E81" s="463" t="s">
        <v>3489</v>
      </c>
      <c r="F81" s="413" t="s">
        <v>3490</v>
      </c>
    </row>
    <row r="82">
      <c r="A82" s="413" t="s">
        <v>3491</v>
      </c>
      <c r="B82" s="413" t="s">
        <v>3492</v>
      </c>
      <c r="C82" s="463" t="s">
        <v>3493</v>
      </c>
      <c r="D82" s="464" t="s">
        <v>3494</v>
      </c>
      <c r="E82" s="463">
        <v>9.0551942456E11</v>
      </c>
      <c r="F82" s="413" t="s">
        <v>3495</v>
      </c>
    </row>
    <row r="83">
      <c r="A83" s="413" t="s">
        <v>3496</v>
      </c>
      <c r="B83" s="413" t="s">
        <v>3497</v>
      </c>
      <c r="C83" s="463" t="s">
        <v>3498</v>
      </c>
      <c r="D83" s="464" t="s">
        <v>3499</v>
      </c>
      <c r="E83" s="463">
        <v>3.4603686315E10</v>
      </c>
      <c r="F83" s="413" t="s">
        <v>3500</v>
      </c>
    </row>
    <row r="84">
      <c r="A84" s="413" t="s">
        <v>3501</v>
      </c>
      <c r="C84" s="463" t="s">
        <v>3502</v>
      </c>
      <c r="D84" s="466"/>
      <c r="E84" s="463">
        <v>7.504666688E9</v>
      </c>
    </row>
    <row r="85">
      <c r="A85" s="413" t="s">
        <v>3503</v>
      </c>
      <c r="B85" s="413" t="s">
        <v>3504</v>
      </c>
      <c r="C85" s="463" t="s">
        <v>3505</v>
      </c>
      <c r="D85" s="465"/>
      <c r="E85" s="463" t="s">
        <v>3506</v>
      </c>
      <c r="F85" s="413" t="s">
        <v>3507</v>
      </c>
    </row>
    <row r="86">
      <c r="A86" s="413" t="s">
        <v>3508</v>
      </c>
      <c r="C86" s="463" t="s">
        <v>3509</v>
      </c>
      <c r="D86" s="463" t="s">
        <v>3510</v>
      </c>
      <c r="E86" s="463" t="s">
        <v>3511</v>
      </c>
    </row>
    <row r="87">
      <c r="A87" s="413" t="s">
        <v>3512</v>
      </c>
      <c r="B87" s="413" t="s">
        <v>403</v>
      </c>
      <c r="C87" s="463" t="s">
        <v>3513</v>
      </c>
      <c r="D87" s="464" t="s">
        <v>3514</v>
      </c>
      <c r="E87" s="463" t="s">
        <v>3515</v>
      </c>
      <c r="F87" s="413" t="s">
        <v>3516</v>
      </c>
    </row>
    <row r="88">
      <c r="A88" s="413" t="s">
        <v>3517</v>
      </c>
      <c r="C88" s="463" t="s">
        <v>3518</v>
      </c>
      <c r="D88" s="465"/>
      <c r="E88" s="463" t="s">
        <v>3519</v>
      </c>
      <c r="F88" s="413" t="s">
        <v>3520</v>
      </c>
    </row>
    <row r="89">
      <c r="A89" s="413" t="s">
        <v>3521</v>
      </c>
      <c r="C89" s="463" t="s">
        <v>3522</v>
      </c>
      <c r="D89" s="465"/>
      <c r="E89" s="463">
        <v>7.707879777E9</v>
      </c>
      <c r="F89" s="413" t="s">
        <v>3520</v>
      </c>
    </row>
    <row r="90">
      <c r="A90" s="413" t="s">
        <v>3523</v>
      </c>
      <c r="B90" s="413" t="s">
        <v>3524</v>
      </c>
      <c r="C90" s="463" t="s">
        <v>3481</v>
      </c>
      <c r="D90" s="465"/>
      <c r="E90" s="463">
        <v>7.50449056E9</v>
      </c>
    </row>
    <row r="91">
      <c r="A91" s="413" t="s">
        <v>3525</v>
      </c>
      <c r="B91" s="413" t="s">
        <v>3526</v>
      </c>
      <c r="C91" s="465"/>
      <c r="D91" s="464" t="s">
        <v>3527</v>
      </c>
      <c r="E91" s="463" t="s">
        <v>3528</v>
      </c>
      <c r="F91" s="413" t="s">
        <v>3529</v>
      </c>
    </row>
    <row r="92">
      <c r="A92" s="413" t="s">
        <v>3530</v>
      </c>
      <c r="C92" s="463" t="s">
        <v>3531</v>
      </c>
      <c r="D92" s="464" t="s">
        <v>3532</v>
      </c>
      <c r="E92" s="463" t="s">
        <v>3533</v>
      </c>
      <c r="F92" s="413"/>
    </row>
    <row r="93">
      <c r="A93" s="413" t="s">
        <v>3534</v>
      </c>
      <c r="B93" s="413" t="s">
        <v>3535</v>
      </c>
      <c r="C93" s="465"/>
      <c r="D93" s="463" t="s">
        <v>3536</v>
      </c>
      <c r="E93" s="463" t="s">
        <v>3537</v>
      </c>
      <c r="F93" s="413" t="s">
        <v>3538</v>
      </c>
    </row>
    <row r="94">
      <c r="A94" s="413" t="s">
        <v>3539</v>
      </c>
      <c r="B94" s="413" t="s">
        <v>3540</v>
      </c>
      <c r="C94" s="465"/>
      <c r="D94" s="463" t="s">
        <v>3541</v>
      </c>
      <c r="E94" s="463" t="s">
        <v>3542</v>
      </c>
      <c r="F94" s="413" t="s">
        <v>3543</v>
      </c>
    </row>
    <row r="95">
      <c r="A95" s="413" t="s">
        <v>3544</v>
      </c>
      <c r="B95" s="413" t="s">
        <v>3545</v>
      </c>
      <c r="C95" s="463" t="s">
        <v>3546</v>
      </c>
      <c r="D95" s="464" t="s">
        <v>3547</v>
      </c>
      <c r="E95" s="463" t="s">
        <v>3548</v>
      </c>
      <c r="F95" s="413" t="s">
        <v>3549</v>
      </c>
    </row>
    <row r="96">
      <c r="A96" s="413" t="s">
        <v>3550</v>
      </c>
      <c r="B96" s="413" t="s">
        <v>3551</v>
      </c>
      <c r="C96" s="463" t="s">
        <v>3552</v>
      </c>
      <c r="D96" s="464" t="s">
        <v>3553</v>
      </c>
      <c r="E96" s="463">
        <v>8.619047952562E12</v>
      </c>
      <c r="F96" s="413" t="s">
        <v>3554</v>
      </c>
    </row>
    <row r="97">
      <c r="A97" s="413" t="s">
        <v>3555</v>
      </c>
      <c r="B97" s="413" t="s">
        <v>3556</v>
      </c>
      <c r="C97" s="463" t="s">
        <v>3557</v>
      </c>
      <c r="D97" s="464" t="s">
        <v>3558</v>
      </c>
      <c r="E97" s="463" t="s">
        <v>3559</v>
      </c>
      <c r="F97" s="413" t="s">
        <v>3560</v>
      </c>
    </row>
    <row r="98">
      <c r="A98" s="413" t="s">
        <v>3561</v>
      </c>
      <c r="B98" s="413" t="s">
        <v>3562</v>
      </c>
      <c r="C98" s="463" t="s">
        <v>3563</v>
      </c>
      <c r="D98" s="464" t="s">
        <v>3564</v>
      </c>
      <c r="E98" s="463">
        <v>8.617718157811E12</v>
      </c>
      <c r="F98" s="413" t="s">
        <v>3565</v>
      </c>
    </row>
    <row r="99">
      <c r="A99" s="413" t="s">
        <v>3566</v>
      </c>
      <c r="B99" s="413" t="s">
        <v>3567</v>
      </c>
      <c r="C99" s="463" t="s">
        <v>3568</v>
      </c>
      <c r="D99" s="464" t="s">
        <v>3569</v>
      </c>
      <c r="E99" s="463" t="s">
        <v>3570</v>
      </c>
      <c r="F99" s="413" t="s">
        <v>3571</v>
      </c>
    </row>
    <row r="100">
      <c r="A100" s="413" t="s">
        <v>3572</v>
      </c>
      <c r="B100" s="413" t="s">
        <v>3573</v>
      </c>
      <c r="C100" s="463" t="s">
        <v>3574</v>
      </c>
      <c r="D100" s="464" t="s">
        <v>3575</v>
      </c>
      <c r="E100" s="463">
        <v>8.618927789651E12</v>
      </c>
      <c r="F100" s="413" t="s">
        <v>3576</v>
      </c>
    </row>
    <row r="101">
      <c r="A101" s="467" t="s">
        <v>3577</v>
      </c>
      <c r="B101" s="413" t="s">
        <v>3578</v>
      </c>
      <c r="C101" s="465"/>
      <c r="D101" s="464" t="s">
        <v>3579</v>
      </c>
      <c r="E101" s="463" t="s">
        <v>3580</v>
      </c>
      <c r="F101" s="413" t="s">
        <v>3581</v>
      </c>
    </row>
    <row r="102">
      <c r="A102" s="413" t="s">
        <v>3582</v>
      </c>
      <c r="B102" s="413" t="s">
        <v>3583</v>
      </c>
      <c r="C102" s="463" t="s">
        <v>3584</v>
      </c>
      <c r="D102" s="464" t="s">
        <v>3585</v>
      </c>
      <c r="E102" s="463" t="s">
        <v>3586</v>
      </c>
      <c r="F102" s="413" t="s">
        <v>3587</v>
      </c>
    </row>
    <row r="103">
      <c r="A103" s="413" t="s">
        <v>3588</v>
      </c>
      <c r="B103" s="413" t="s">
        <v>3589</v>
      </c>
      <c r="C103" s="464" t="s">
        <v>3590</v>
      </c>
      <c r="D103" s="468" t="s">
        <v>3591</v>
      </c>
      <c r="E103" s="469">
        <v>9.14105519204106E26</v>
      </c>
      <c r="F103" s="413" t="s">
        <v>3592</v>
      </c>
    </row>
    <row r="104">
      <c r="A104" s="413" t="s">
        <v>3593</v>
      </c>
      <c r="B104" s="413" t="s">
        <v>3594</v>
      </c>
      <c r="C104" s="464" t="s">
        <v>3595</v>
      </c>
      <c r="D104" s="465"/>
      <c r="E104" s="463" t="s">
        <v>3596</v>
      </c>
      <c r="F104" s="413" t="s">
        <v>3597</v>
      </c>
    </row>
    <row r="105">
      <c r="A105" s="413" t="s">
        <v>3598</v>
      </c>
      <c r="B105" s="413" t="s">
        <v>3599</v>
      </c>
      <c r="C105" s="463" t="s">
        <v>3600</v>
      </c>
      <c r="D105" s="464" t="s">
        <v>3601</v>
      </c>
      <c r="E105" s="463" t="s">
        <v>3602</v>
      </c>
      <c r="F105" s="413" t="s">
        <v>3603</v>
      </c>
    </row>
    <row r="106">
      <c r="A106" s="413" t="s">
        <v>3604</v>
      </c>
      <c r="B106" s="413" t="s">
        <v>3605</v>
      </c>
      <c r="C106" s="463" t="s">
        <v>3606</v>
      </c>
      <c r="D106" s="464" t="s">
        <v>3607</v>
      </c>
      <c r="E106" s="463">
        <v>7.706894747E9</v>
      </c>
      <c r="F106" s="413" t="s">
        <v>3608</v>
      </c>
    </row>
    <row r="107">
      <c r="A107" s="413" t="s">
        <v>3609</v>
      </c>
      <c r="C107" s="463" t="s">
        <v>3610</v>
      </c>
      <c r="D107" s="464" t="s">
        <v>3611</v>
      </c>
      <c r="E107" s="463" t="s">
        <v>3612</v>
      </c>
    </row>
    <row r="108">
      <c r="A108" s="413" t="s">
        <v>3613</v>
      </c>
      <c r="C108" s="463" t="s">
        <v>3614</v>
      </c>
      <c r="D108" s="464" t="s">
        <v>3615</v>
      </c>
      <c r="E108" s="463" t="s">
        <v>3616</v>
      </c>
    </row>
    <row r="109">
      <c r="A109" s="413" t="s">
        <v>3617</v>
      </c>
      <c r="B109" s="413" t="s">
        <v>3618</v>
      </c>
      <c r="C109" s="465"/>
      <c r="D109" s="464" t="s">
        <v>3619</v>
      </c>
      <c r="E109" s="463">
        <v>9.1987901979E11</v>
      </c>
      <c r="F109" s="413" t="s">
        <v>3620</v>
      </c>
    </row>
    <row r="110">
      <c r="A110" s="413" t="s">
        <v>3621</v>
      </c>
      <c r="B110" s="413" t="s">
        <v>3622</v>
      </c>
      <c r="C110" s="463" t="s">
        <v>3623</v>
      </c>
      <c r="D110" s="464" t="s">
        <v>3624</v>
      </c>
      <c r="E110" s="463">
        <v>5.7687418678E10</v>
      </c>
      <c r="F110" s="413" t="s">
        <v>3625</v>
      </c>
    </row>
    <row r="111">
      <c r="A111" s="413" t="s">
        <v>3626</v>
      </c>
      <c r="B111" s="413" t="s">
        <v>3627</v>
      </c>
      <c r="C111" s="465"/>
      <c r="D111" s="464" t="s">
        <v>3628</v>
      </c>
      <c r="E111" s="463" t="s">
        <v>3629</v>
      </c>
      <c r="F111" s="413" t="s">
        <v>3630</v>
      </c>
    </row>
    <row r="112">
      <c r="A112" s="413" t="s">
        <v>3631</v>
      </c>
      <c r="B112" s="413" t="s">
        <v>3632</v>
      </c>
      <c r="C112" s="465"/>
      <c r="D112" s="464" t="s">
        <v>3633</v>
      </c>
      <c r="E112" s="463">
        <v>7.704635022E9</v>
      </c>
      <c r="F112" s="413" t="s">
        <v>3634</v>
      </c>
    </row>
    <row r="113">
      <c r="A113" s="413" t="s">
        <v>3635</v>
      </c>
      <c r="B113" s="413" t="s">
        <v>3636</v>
      </c>
      <c r="C113" s="465"/>
      <c r="D113" s="464" t="s">
        <v>3637</v>
      </c>
      <c r="E113" s="463">
        <v>8.613757692535E12</v>
      </c>
      <c r="F113" s="413" t="s">
        <v>3638</v>
      </c>
    </row>
    <row r="114">
      <c r="A114" s="413" t="s">
        <v>3639</v>
      </c>
      <c r="B114" s="413" t="s">
        <v>3640</v>
      </c>
      <c r="C114" s="463" t="s">
        <v>3641</v>
      </c>
      <c r="D114" s="464" t="s">
        <v>3642</v>
      </c>
      <c r="E114" s="463">
        <v>7.856663666E9</v>
      </c>
      <c r="F114" s="413" t="s">
        <v>3643</v>
      </c>
    </row>
    <row r="115">
      <c r="A115" s="413" t="s">
        <v>3644</v>
      </c>
      <c r="C115" s="465"/>
      <c r="D115" s="464" t="s">
        <v>3645</v>
      </c>
      <c r="E115" s="463">
        <v>7.712376509E9</v>
      </c>
      <c r="F115" s="413" t="s">
        <v>3646</v>
      </c>
    </row>
    <row r="116">
      <c r="A116" s="413" t="s">
        <v>3647</v>
      </c>
      <c r="B116" s="413" t="s">
        <v>3648</v>
      </c>
      <c r="C116" s="465"/>
      <c r="D116" s="464" t="s">
        <v>3649</v>
      </c>
      <c r="E116" s="463">
        <v>8.613395150727E12</v>
      </c>
      <c r="F116" s="413" t="s">
        <v>3650</v>
      </c>
    </row>
    <row r="117">
      <c r="A117" s="413" t="s">
        <v>3651</v>
      </c>
      <c r="B117" s="413" t="s">
        <v>3652</v>
      </c>
      <c r="C117" s="463" t="s">
        <v>3653</v>
      </c>
      <c r="D117" s="464" t="s">
        <v>3654</v>
      </c>
      <c r="E117" s="463">
        <v>8.618923147516E12</v>
      </c>
      <c r="F117" s="413" t="s">
        <v>3655</v>
      </c>
    </row>
    <row r="118">
      <c r="A118" s="413" t="s">
        <v>3656</v>
      </c>
      <c r="B118" s="413" t="s">
        <v>3657</v>
      </c>
      <c r="C118" s="463" t="s">
        <v>3658</v>
      </c>
      <c r="D118" s="464" t="s">
        <v>3659</v>
      </c>
      <c r="E118" s="463">
        <v>7.841055506E9</v>
      </c>
      <c r="F118" s="413" t="s">
        <v>3660</v>
      </c>
    </row>
    <row r="119">
      <c r="A119" s="413" t="s">
        <v>3661</v>
      </c>
      <c r="B119" s="413" t="s">
        <v>3662</v>
      </c>
      <c r="C119" s="463" t="s">
        <v>3663</v>
      </c>
      <c r="D119" s="464" t="s">
        <v>3664</v>
      </c>
      <c r="E119" s="463">
        <v>8.675523768132E12</v>
      </c>
      <c r="F119" s="413" t="s">
        <v>3665</v>
      </c>
    </row>
    <row r="120">
      <c r="A120" s="413" t="s">
        <v>3666</v>
      </c>
      <c r="C120" s="463" t="s">
        <v>3667</v>
      </c>
      <c r="D120" s="464" t="s">
        <v>3668</v>
      </c>
      <c r="E120" s="463" t="s">
        <v>3669</v>
      </c>
      <c r="F120" s="413" t="s">
        <v>3670</v>
      </c>
    </row>
    <row r="121">
      <c r="A121" s="413" t="s">
        <v>3671</v>
      </c>
      <c r="B121" s="413" t="s">
        <v>3672</v>
      </c>
      <c r="C121" s="465"/>
      <c r="D121" s="464" t="s">
        <v>3673</v>
      </c>
      <c r="E121" s="463">
        <v>9.02164995484E11</v>
      </c>
      <c r="F121" s="413" t="s">
        <v>3674</v>
      </c>
    </row>
    <row r="122">
      <c r="A122" s="413" t="s">
        <v>3675</v>
      </c>
      <c r="B122" s="413" t="s">
        <v>3676</v>
      </c>
      <c r="C122" s="463" t="s">
        <v>3677</v>
      </c>
      <c r="D122" s="464" t="s">
        <v>3678</v>
      </c>
      <c r="E122" s="463" t="s">
        <v>3679</v>
      </c>
      <c r="F122" s="413" t="s">
        <v>3680</v>
      </c>
    </row>
    <row r="123">
      <c r="A123" s="413" t="s">
        <v>3681</v>
      </c>
      <c r="B123" s="413" t="s">
        <v>3682</v>
      </c>
      <c r="C123" s="465"/>
      <c r="D123" s="464" t="s">
        <v>3683</v>
      </c>
      <c r="E123" s="463">
        <v>7.830203047E9</v>
      </c>
      <c r="F123" s="413" t="s">
        <v>3684</v>
      </c>
    </row>
    <row r="124">
      <c r="A124" s="413" t="s">
        <v>3685</v>
      </c>
      <c r="B124" s="413" t="s">
        <v>3686</v>
      </c>
      <c r="C124" s="463" t="s">
        <v>3687</v>
      </c>
      <c r="D124" s="464" t="s">
        <v>3688</v>
      </c>
      <c r="E124" s="463">
        <v>2.01095008455E11</v>
      </c>
      <c r="F124" s="413" t="s">
        <v>3689</v>
      </c>
    </row>
    <row r="125">
      <c r="A125" s="413" t="s">
        <v>3690</v>
      </c>
      <c r="B125" s="413" t="s">
        <v>3691</v>
      </c>
      <c r="C125" s="463" t="s">
        <v>3641</v>
      </c>
      <c r="D125" s="464" t="s">
        <v>3692</v>
      </c>
      <c r="E125" s="463">
        <v>7.861051022E9</v>
      </c>
      <c r="F125" s="413" t="s">
        <v>3693</v>
      </c>
    </row>
    <row r="126">
      <c r="A126" s="413" t="s">
        <v>3694</v>
      </c>
      <c r="B126" s="413" t="s">
        <v>3695</v>
      </c>
      <c r="C126" s="463" t="s">
        <v>3696</v>
      </c>
      <c r="D126" s="464" t="s">
        <v>3697</v>
      </c>
      <c r="E126" s="463">
        <v>9.717435048111E12</v>
      </c>
      <c r="F126" s="413" t="s">
        <v>3698</v>
      </c>
    </row>
    <row r="127">
      <c r="A127" s="413" t="s">
        <v>3699</v>
      </c>
      <c r="B127" s="413" t="s">
        <v>3700</v>
      </c>
      <c r="C127" s="463" t="s">
        <v>3701</v>
      </c>
      <c r="D127" s="464" t="s">
        <v>3702</v>
      </c>
      <c r="E127" s="463" t="s">
        <v>3703</v>
      </c>
      <c r="F127" s="413" t="s">
        <v>3704</v>
      </c>
    </row>
    <row r="128">
      <c r="A128" s="413" t="s">
        <v>3705</v>
      </c>
      <c r="B128" s="413" t="s">
        <v>3706</v>
      </c>
      <c r="C128" s="463" t="s">
        <v>3707</v>
      </c>
      <c r="D128" s="464" t="s">
        <v>3708</v>
      </c>
      <c r="E128" s="463">
        <v>8.615263643911E12</v>
      </c>
      <c r="F128" s="413" t="s">
        <v>3709</v>
      </c>
    </row>
    <row r="129">
      <c r="A129" s="413" t="s">
        <v>3398</v>
      </c>
      <c r="B129" s="413" t="s">
        <v>3710</v>
      </c>
      <c r="C129" s="413" t="s">
        <v>3711</v>
      </c>
      <c r="D129" s="464" t="s">
        <v>3712</v>
      </c>
      <c r="E129" s="463" t="s">
        <v>3713</v>
      </c>
    </row>
    <row r="130">
      <c r="A130" s="413" t="s">
        <v>3714</v>
      </c>
      <c r="B130" s="413" t="s">
        <v>3715</v>
      </c>
      <c r="C130" s="463" t="s">
        <v>3716</v>
      </c>
      <c r="D130" s="464" t="s">
        <v>3717</v>
      </c>
      <c r="E130" s="463">
        <v>7.504452203E9</v>
      </c>
      <c r="F130" s="413" t="s">
        <v>3718</v>
      </c>
    </row>
    <row r="131">
      <c r="A131" s="470" t="s">
        <v>3719</v>
      </c>
      <c r="B131" s="413" t="s">
        <v>3720</v>
      </c>
      <c r="C131" s="464" t="s">
        <v>3721</v>
      </c>
      <c r="D131" s="464" t="s">
        <v>3722</v>
      </c>
      <c r="E131" s="463">
        <v>8.618676565824E12</v>
      </c>
      <c r="F131" s="413" t="s">
        <v>3723</v>
      </c>
    </row>
    <row r="132">
      <c r="A132" s="471" t="s">
        <v>3724</v>
      </c>
      <c r="B132" s="413" t="s">
        <v>3725</v>
      </c>
      <c r="C132" s="463" t="s">
        <v>3726</v>
      </c>
      <c r="D132" s="464" t="s">
        <v>3727</v>
      </c>
      <c r="E132" s="463" t="s">
        <v>3728</v>
      </c>
      <c r="F132" s="413" t="s">
        <v>3729</v>
      </c>
    </row>
    <row r="133">
      <c r="A133" s="470" t="s">
        <v>3730</v>
      </c>
      <c r="B133" s="413" t="s">
        <v>3731</v>
      </c>
      <c r="C133" s="465"/>
      <c r="D133" s="464" t="s">
        <v>3732</v>
      </c>
      <c r="E133" s="463">
        <v>9.05302651397E11</v>
      </c>
      <c r="F133" s="413" t="s">
        <v>3733</v>
      </c>
    </row>
    <row r="134">
      <c r="A134" s="470" t="s">
        <v>3734</v>
      </c>
      <c r="B134" s="413" t="s">
        <v>3735</v>
      </c>
      <c r="C134" s="463" t="s">
        <v>3736</v>
      </c>
      <c r="D134" s="465"/>
      <c r="E134" s="463">
        <v>9.6525302931E10</v>
      </c>
      <c r="F134" s="413" t="s">
        <v>3737</v>
      </c>
    </row>
    <row r="135">
      <c r="A135" s="470" t="s">
        <v>3738</v>
      </c>
      <c r="B135" s="413" t="s">
        <v>3739</v>
      </c>
      <c r="C135" s="465"/>
      <c r="D135" s="464" t="s">
        <v>3740</v>
      </c>
      <c r="E135" s="463" t="s">
        <v>3741</v>
      </c>
      <c r="F135" s="413" t="s">
        <v>3742</v>
      </c>
    </row>
    <row r="136">
      <c r="A136" s="470" t="s">
        <v>3743</v>
      </c>
      <c r="B136" s="413" t="s">
        <v>3744</v>
      </c>
      <c r="C136" s="465"/>
      <c r="D136" s="464" t="s">
        <v>3745</v>
      </c>
      <c r="E136" s="463">
        <v>9.19408941116E11</v>
      </c>
      <c r="F136" s="413" t="s">
        <v>3746</v>
      </c>
    </row>
    <row r="137">
      <c r="A137" s="470" t="s">
        <v>3747</v>
      </c>
      <c r="B137" s="413" t="s">
        <v>3748</v>
      </c>
      <c r="C137" s="463" t="s">
        <v>3749</v>
      </c>
      <c r="D137" s="464" t="s">
        <v>3750</v>
      </c>
      <c r="E137" s="463">
        <v>9.0414369186663E13</v>
      </c>
      <c r="F137" s="413" t="s">
        <v>3751</v>
      </c>
    </row>
    <row r="138">
      <c r="A138" s="470" t="s">
        <v>3752</v>
      </c>
      <c r="B138" s="413" t="s">
        <v>3753</v>
      </c>
      <c r="C138" s="465"/>
      <c r="D138" s="464" t="s">
        <v>3754</v>
      </c>
      <c r="E138" s="463">
        <v>4.20585222178E11</v>
      </c>
      <c r="F138" s="413" t="s">
        <v>3755</v>
      </c>
    </row>
    <row r="139">
      <c r="A139" s="470" t="s">
        <v>3756</v>
      </c>
      <c r="B139" s="413" t="s">
        <v>3757</v>
      </c>
      <c r="C139" s="463" t="s">
        <v>3758</v>
      </c>
      <c r="D139" s="464" t="s">
        <v>3759</v>
      </c>
      <c r="E139" s="463" t="s">
        <v>3760</v>
      </c>
      <c r="F139" s="413" t="s">
        <v>3761</v>
      </c>
    </row>
    <row r="140">
      <c r="A140" s="470" t="s">
        <v>3762</v>
      </c>
      <c r="B140" s="413" t="s">
        <v>3763</v>
      </c>
      <c r="C140" s="463" t="s">
        <v>3764</v>
      </c>
      <c r="D140" s="464" t="s">
        <v>3765</v>
      </c>
      <c r="E140" s="463">
        <v>8.618951103611E12</v>
      </c>
      <c r="F140" s="413" t="s">
        <v>3766</v>
      </c>
    </row>
    <row r="141">
      <c r="A141" s="413" t="s">
        <v>3767</v>
      </c>
      <c r="C141" s="463" t="s">
        <v>3768</v>
      </c>
      <c r="D141" s="465"/>
      <c r="E141" s="463">
        <v>7.80003545E9</v>
      </c>
    </row>
    <row r="142">
      <c r="A142" s="413" t="s">
        <v>3769</v>
      </c>
      <c r="B142" s="413" t="s">
        <v>3770</v>
      </c>
      <c r="C142" s="463" t="s">
        <v>3768</v>
      </c>
      <c r="D142" s="464" t="s">
        <v>3771</v>
      </c>
      <c r="E142" s="463" t="s">
        <v>3772</v>
      </c>
      <c r="F142" s="413" t="s">
        <v>3650</v>
      </c>
    </row>
    <row r="143">
      <c r="A143" s="413" t="s">
        <v>3773</v>
      </c>
      <c r="B143" s="413" t="s">
        <v>3774</v>
      </c>
      <c r="C143" s="463" t="s">
        <v>3768</v>
      </c>
      <c r="D143" s="464" t="s">
        <v>3775</v>
      </c>
      <c r="E143" s="463">
        <v>7.507691281E9</v>
      </c>
      <c r="F143" s="413" t="s">
        <v>3776</v>
      </c>
    </row>
    <row r="144">
      <c r="A144" s="413" t="s">
        <v>3777</v>
      </c>
      <c r="B144" s="413" t="s">
        <v>3778</v>
      </c>
      <c r="C144" s="463" t="s">
        <v>3779</v>
      </c>
      <c r="D144" s="464" t="s">
        <v>3780</v>
      </c>
      <c r="E144" s="463">
        <v>7.704635022E9</v>
      </c>
    </row>
    <row r="145">
      <c r="A145" s="413" t="s">
        <v>3781</v>
      </c>
      <c r="B145" s="413" t="s">
        <v>3782</v>
      </c>
      <c r="C145" s="463" t="s">
        <v>3768</v>
      </c>
      <c r="D145" s="464" t="s">
        <v>3783</v>
      </c>
      <c r="E145" s="463" t="s">
        <v>3784</v>
      </c>
    </row>
    <row r="146">
      <c r="A146" s="472" t="s">
        <v>3785</v>
      </c>
      <c r="B146" s="472" t="s">
        <v>3786</v>
      </c>
      <c r="C146" s="463" t="s">
        <v>3768</v>
      </c>
      <c r="D146" s="466"/>
      <c r="E146" s="463">
        <v>7.729790068E9</v>
      </c>
    </row>
    <row r="147">
      <c r="A147" s="413" t="s">
        <v>3787</v>
      </c>
      <c r="B147" s="413" t="s">
        <v>3787</v>
      </c>
      <c r="C147" s="463" t="s">
        <v>3788</v>
      </c>
      <c r="D147" s="465"/>
      <c r="E147" s="463">
        <v>7.83602E9</v>
      </c>
      <c r="F147" s="413" t="s">
        <v>3789</v>
      </c>
    </row>
    <row r="148">
      <c r="A148" s="413" t="s">
        <v>3790</v>
      </c>
      <c r="C148" s="465"/>
      <c r="D148" s="464" t="s">
        <v>3791</v>
      </c>
      <c r="E148" s="463" t="s">
        <v>3792</v>
      </c>
      <c r="F148" s="413" t="s">
        <v>3793</v>
      </c>
    </row>
    <row r="149">
      <c r="A149" s="413" t="s">
        <v>3794</v>
      </c>
      <c r="C149" s="465"/>
      <c r="D149" s="464" t="s">
        <v>3795</v>
      </c>
      <c r="E149" s="463">
        <v>7.866995E9</v>
      </c>
      <c r="F149" s="413" t="s">
        <v>3796</v>
      </c>
    </row>
    <row r="150">
      <c r="A150" s="413" t="s">
        <v>3797</v>
      </c>
      <c r="C150" s="465"/>
      <c r="D150" s="464" t="s">
        <v>3798</v>
      </c>
      <c r="E150" s="463">
        <v>7.830203047E9</v>
      </c>
    </row>
    <row r="151">
      <c r="A151" s="413" t="s">
        <v>3799</v>
      </c>
      <c r="C151" s="465"/>
      <c r="D151" s="465"/>
      <c r="E151" s="463">
        <v>7.825930053E9</v>
      </c>
      <c r="F151" s="413" t="s">
        <v>3800</v>
      </c>
    </row>
    <row r="152">
      <c r="A152" s="413" t="s">
        <v>3801</v>
      </c>
      <c r="C152" s="465"/>
      <c r="D152" s="465"/>
      <c r="E152" s="463">
        <v>7.722989988E9</v>
      </c>
      <c r="F152" s="413" t="s">
        <v>3802</v>
      </c>
    </row>
    <row r="153">
      <c r="C153" s="465"/>
      <c r="D153" s="465"/>
      <c r="E153" s="465"/>
    </row>
    <row r="154">
      <c r="C154" s="465"/>
      <c r="D154" s="465"/>
      <c r="E154" s="465"/>
    </row>
    <row r="155">
      <c r="C155" s="465"/>
      <c r="D155" s="465"/>
      <c r="E155" s="465"/>
    </row>
    <row r="156">
      <c r="C156" s="465"/>
      <c r="D156" s="465"/>
      <c r="E156" s="465"/>
    </row>
    <row r="157">
      <c r="C157" s="465"/>
      <c r="D157" s="465"/>
      <c r="E157" s="465"/>
    </row>
    <row r="158">
      <c r="C158" s="465"/>
      <c r="D158" s="465"/>
      <c r="E158" s="465"/>
    </row>
    <row r="159">
      <c r="C159" s="465"/>
      <c r="D159" s="465"/>
      <c r="E159" s="465"/>
    </row>
    <row r="160">
      <c r="C160" s="465"/>
      <c r="D160" s="465"/>
      <c r="E160" s="465"/>
    </row>
    <row r="161">
      <c r="C161" s="465"/>
      <c r="D161" s="465"/>
      <c r="E161" s="465"/>
    </row>
    <row r="162">
      <c r="C162" s="465"/>
      <c r="D162" s="465"/>
      <c r="E162" s="465"/>
    </row>
    <row r="163">
      <c r="C163" s="465"/>
      <c r="D163" s="465"/>
      <c r="E163" s="465"/>
    </row>
    <row r="164">
      <c r="C164" s="465"/>
      <c r="D164" s="465"/>
      <c r="E164" s="465"/>
    </row>
    <row r="165">
      <c r="C165" s="465"/>
      <c r="D165" s="465"/>
      <c r="E165" s="465"/>
    </row>
    <row r="166">
      <c r="C166" s="465"/>
      <c r="D166" s="465"/>
      <c r="E166" s="465"/>
    </row>
    <row r="167">
      <c r="C167" s="465"/>
      <c r="D167" s="465"/>
      <c r="E167" s="465"/>
    </row>
    <row r="168">
      <c r="C168" s="465"/>
      <c r="D168" s="465"/>
      <c r="E168" s="465"/>
    </row>
    <row r="169">
      <c r="C169" s="465"/>
      <c r="D169" s="465"/>
      <c r="E169" s="465"/>
    </row>
    <row r="170">
      <c r="C170" s="465"/>
      <c r="D170" s="465"/>
      <c r="E170" s="465"/>
    </row>
    <row r="171">
      <c r="C171" s="465"/>
      <c r="D171" s="465"/>
      <c r="E171" s="465"/>
    </row>
    <row r="172">
      <c r="C172" s="465"/>
      <c r="D172" s="465"/>
      <c r="E172" s="465"/>
    </row>
    <row r="173">
      <c r="C173" s="465"/>
      <c r="D173" s="465"/>
      <c r="E173" s="465"/>
    </row>
    <row r="174">
      <c r="C174" s="465"/>
      <c r="D174" s="465"/>
      <c r="E174" s="465"/>
    </row>
    <row r="175">
      <c r="C175" s="465"/>
      <c r="D175" s="465"/>
      <c r="E175" s="465"/>
    </row>
    <row r="176">
      <c r="C176" s="465"/>
      <c r="D176" s="465"/>
      <c r="E176" s="465"/>
    </row>
    <row r="177">
      <c r="C177" s="465"/>
      <c r="D177" s="465"/>
      <c r="E177" s="465"/>
    </row>
    <row r="178">
      <c r="C178" s="465"/>
      <c r="D178" s="465"/>
      <c r="E178" s="465"/>
    </row>
    <row r="179">
      <c r="C179" s="465"/>
      <c r="D179" s="465"/>
      <c r="E179" s="465"/>
    </row>
    <row r="180">
      <c r="C180" s="465"/>
      <c r="D180" s="465"/>
      <c r="E180" s="465"/>
    </row>
    <row r="181">
      <c r="C181" s="465"/>
      <c r="D181" s="465"/>
      <c r="E181" s="465"/>
    </row>
    <row r="182">
      <c r="C182" s="465"/>
      <c r="D182" s="465"/>
      <c r="E182" s="465"/>
    </row>
    <row r="183">
      <c r="C183" s="465"/>
      <c r="D183" s="465"/>
      <c r="E183" s="465"/>
    </row>
    <row r="184">
      <c r="C184" s="465"/>
      <c r="D184" s="465"/>
      <c r="E184" s="465"/>
    </row>
    <row r="185">
      <c r="C185" s="465"/>
      <c r="D185" s="465"/>
      <c r="E185" s="465"/>
    </row>
    <row r="186">
      <c r="C186" s="465"/>
      <c r="D186" s="465"/>
      <c r="E186" s="465"/>
    </row>
    <row r="187">
      <c r="C187" s="465"/>
      <c r="D187" s="465"/>
      <c r="E187" s="465"/>
    </row>
    <row r="188">
      <c r="C188" s="465"/>
      <c r="D188" s="465"/>
      <c r="E188" s="465"/>
    </row>
    <row r="189">
      <c r="C189" s="465"/>
      <c r="D189" s="465"/>
      <c r="E189" s="465"/>
    </row>
    <row r="190">
      <c r="C190" s="465"/>
      <c r="D190" s="465"/>
      <c r="E190" s="465"/>
    </row>
    <row r="191">
      <c r="C191" s="465"/>
      <c r="D191" s="465"/>
      <c r="E191" s="465"/>
    </row>
    <row r="192">
      <c r="C192" s="465"/>
      <c r="D192" s="465"/>
      <c r="E192" s="465"/>
    </row>
    <row r="193">
      <c r="C193" s="465"/>
      <c r="D193" s="465"/>
      <c r="E193" s="465"/>
    </row>
    <row r="194">
      <c r="C194" s="465"/>
      <c r="D194" s="465"/>
      <c r="E194" s="465"/>
    </row>
    <row r="195">
      <c r="C195" s="465"/>
      <c r="D195" s="465"/>
      <c r="E195" s="465"/>
    </row>
    <row r="196">
      <c r="C196" s="465"/>
      <c r="D196" s="465"/>
      <c r="E196" s="465"/>
    </row>
    <row r="197">
      <c r="C197" s="465"/>
      <c r="D197" s="465"/>
      <c r="E197" s="465"/>
    </row>
    <row r="198">
      <c r="C198" s="465"/>
      <c r="D198" s="465"/>
      <c r="E198" s="465"/>
    </row>
    <row r="199">
      <c r="C199" s="465"/>
      <c r="D199" s="465"/>
      <c r="E199" s="465"/>
    </row>
    <row r="200">
      <c r="C200" s="465"/>
      <c r="D200" s="465"/>
      <c r="E200" s="465"/>
    </row>
    <row r="201">
      <c r="C201" s="465"/>
      <c r="D201" s="465"/>
      <c r="E201" s="465"/>
    </row>
    <row r="202">
      <c r="C202" s="465"/>
      <c r="D202" s="465"/>
      <c r="E202" s="465"/>
    </row>
    <row r="203">
      <c r="C203" s="465"/>
      <c r="D203" s="465"/>
      <c r="E203" s="465"/>
    </row>
    <row r="204">
      <c r="C204" s="465"/>
      <c r="D204" s="465"/>
      <c r="E204" s="465"/>
    </row>
    <row r="205">
      <c r="C205" s="465"/>
      <c r="D205" s="465"/>
      <c r="E205" s="465"/>
    </row>
    <row r="206">
      <c r="C206" s="465"/>
      <c r="D206" s="465"/>
      <c r="E206" s="465"/>
    </row>
    <row r="207">
      <c r="C207" s="465"/>
      <c r="D207" s="465"/>
      <c r="E207" s="465"/>
    </row>
    <row r="208">
      <c r="C208" s="465"/>
      <c r="D208" s="465"/>
      <c r="E208" s="465"/>
    </row>
    <row r="209">
      <c r="C209" s="465"/>
      <c r="D209" s="465"/>
      <c r="E209" s="465"/>
    </row>
    <row r="210">
      <c r="C210" s="465"/>
      <c r="D210" s="465"/>
      <c r="E210" s="465"/>
    </row>
    <row r="211">
      <c r="C211" s="465"/>
      <c r="D211" s="465"/>
      <c r="E211" s="465"/>
    </row>
    <row r="212">
      <c r="C212" s="465"/>
      <c r="D212" s="465"/>
      <c r="E212" s="465"/>
    </row>
    <row r="213">
      <c r="C213" s="465"/>
      <c r="D213" s="465"/>
      <c r="E213" s="465"/>
    </row>
    <row r="214">
      <c r="C214" s="465"/>
      <c r="D214" s="465"/>
      <c r="E214" s="465"/>
    </row>
    <row r="215">
      <c r="C215" s="465"/>
      <c r="D215" s="465"/>
      <c r="E215" s="465"/>
    </row>
    <row r="216">
      <c r="C216" s="465"/>
      <c r="D216" s="465"/>
      <c r="E216" s="465"/>
    </row>
    <row r="217">
      <c r="C217" s="465"/>
      <c r="D217" s="465"/>
      <c r="E217" s="465"/>
    </row>
    <row r="218">
      <c r="C218" s="465"/>
      <c r="D218" s="465"/>
      <c r="E218" s="465"/>
    </row>
    <row r="219">
      <c r="C219" s="465"/>
      <c r="D219" s="465"/>
      <c r="E219" s="465"/>
    </row>
    <row r="220">
      <c r="C220" s="465"/>
      <c r="D220" s="465"/>
      <c r="E220" s="465"/>
    </row>
    <row r="221">
      <c r="C221" s="465"/>
      <c r="D221" s="465"/>
      <c r="E221" s="465"/>
    </row>
    <row r="222">
      <c r="C222" s="465"/>
      <c r="D222" s="465"/>
      <c r="E222" s="465"/>
    </row>
    <row r="223">
      <c r="C223" s="465"/>
      <c r="D223" s="465"/>
      <c r="E223" s="465"/>
    </row>
    <row r="224">
      <c r="C224" s="465"/>
      <c r="D224" s="465"/>
      <c r="E224" s="465"/>
    </row>
    <row r="225">
      <c r="C225" s="465"/>
      <c r="D225" s="465"/>
      <c r="E225" s="465"/>
    </row>
    <row r="226">
      <c r="C226" s="465"/>
      <c r="D226" s="465"/>
      <c r="E226" s="465"/>
    </row>
    <row r="227">
      <c r="C227" s="465"/>
      <c r="D227" s="465"/>
      <c r="E227" s="465"/>
    </row>
    <row r="228">
      <c r="C228" s="465"/>
      <c r="D228" s="465"/>
      <c r="E228" s="465"/>
    </row>
    <row r="229">
      <c r="C229" s="465"/>
      <c r="D229" s="465"/>
      <c r="E229" s="465"/>
    </row>
    <row r="230">
      <c r="C230" s="465"/>
      <c r="D230" s="465"/>
      <c r="E230" s="465"/>
    </row>
    <row r="231">
      <c r="C231" s="465"/>
      <c r="D231" s="465"/>
      <c r="E231" s="465"/>
    </row>
    <row r="232">
      <c r="C232" s="465"/>
      <c r="D232" s="465"/>
      <c r="E232" s="465"/>
    </row>
    <row r="233">
      <c r="C233" s="465"/>
      <c r="D233" s="465"/>
      <c r="E233" s="465"/>
    </row>
    <row r="234">
      <c r="C234" s="465"/>
      <c r="D234" s="465"/>
      <c r="E234" s="465"/>
    </row>
    <row r="235">
      <c r="C235" s="465"/>
      <c r="D235" s="465"/>
      <c r="E235" s="465"/>
    </row>
    <row r="236">
      <c r="C236" s="465"/>
      <c r="D236" s="465"/>
      <c r="E236" s="465"/>
    </row>
    <row r="237">
      <c r="C237" s="465"/>
      <c r="D237" s="465"/>
      <c r="E237" s="465"/>
    </row>
    <row r="238">
      <c r="C238" s="465"/>
      <c r="D238" s="465"/>
      <c r="E238" s="465"/>
    </row>
    <row r="239">
      <c r="C239" s="465"/>
      <c r="D239" s="465"/>
      <c r="E239" s="465"/>
    </row>
    <row r="240">
      <c r="C240" s="465"/>
      <c r="D240" s="465"/>
      <c r="E240" s="465"/>
    </row>
    <row r="241">
      <c r="C241" s="465"/>
      <c r="D241" s="465"/>
      <c r="E241" s="465"/>
    </row>
    <row r="242">
      <c r="C242" s="465"/>
      <c r="D242" s="465"/>
      <c r="E242" s="465"/>
    </row>
    <row r="243">
      <c r="C243" s="465"/>
      <c r="D243" s="465"/>
      <c r="E243" s="465"/>
    </row>
    <row r="244">
      <c r="C244" s="465"/>
      <c r="D244" s="465"/>
      <c r="E244" s="465"/>
    </row>
    <row r="245">
      <c r="C245" s="465"/>
      <c r="D245" s="465"/>
      <c r="E245" s="465"/>
    </row>
    <row r="246">
      <c r="C246" s="465"/>
      <c r="D246" s="465"/>
      <c r="E246" s="465"/>
    </row>
    <row r="247">
      <c r="C247" s="465"/>
      <c r="D247" s="465"/>
      <c r="E247" s="465"/>
    </row>
    <row r="248">
      <c r="C248" s="465"/>
      <c r="D248" s="465"/>
      <c r="E248" s="465"/>
    </row>
    <row r="249">
      <c r="C249" s="465"/>
      <c r="D249" s="465"/>
      <c r="E249" s="465"/>
    </row>
    <row r="250">
      <c r="C250" s="465"/>
      <c r="D250" s="465"/>
      <c r="E250" s="465"/>
    </row>
    <row r="251">
      <c r="C251" s="465"/>
      <c r="D251" s="465"/>
      <c r="E251" s="465"/>
    </row>
    <row r="252">
      <c r="C252" s="465"/>
      <c r="D252" s="465"/>
      <c r="E252" s="465"/>
    </row>
    <row r="253">
      <c r="C253" s="465"/>
      <c r="D253" s="465"/>
      <c r="E253" s="465"/>
    </row>
    <row r="254">
      <c r="C254" s="465"/>
      <c r="D254" s="465"/>
      <c r="E254" s="465"/>
    </row>
    <row r="255">
      <c r="C255" s="465"/>
      <c r="D255" s="465"/>
      <c r="E255" s="465"/>
    </row>
    <row r="256">
      <c r="C256" s="465"/>
      <c r="D256" s="465"/>
      <c r="E256" s="465"/>
    </row>
    <row r="257">
      <c r="C257" s="465"/>
      <c r="D257" s="465"/>
      <c r="E257" s="465"/>
    </row>
    <row r="258">
      <c r="C258" s="465"/>
      <c r="D258" s="465"/>
      <c r="E258" s="465"/>
    </row>
    <row r="259">
      <c r="C259" s="465"/>
      <c r="D259" s="465"/>
      <c r="E259" s="465"/>
    </row>
    <row r="260">
      <c r="C260" s="465"/>
      <c r="D260" s="465"/>
      <c r="E260" s="465"/>
    </row>
    <row r="261">
      <c r="C261" s="465"/>
      <c r="D261" s="465"/>
      <c r="E261" s="465"/>
    </row>
    <row r="262">
      <c r="C262" s="465"/>
      <c r="D262" s="465"/>
      <c r="E262" s="465"/>
    </row>
    <row r="263">
      <c r="C263" s="465"/>
      <c r="D263" s="465"/>
      <c r="E263" s="465"/>
    </row>
    <row r="264">
      <c r="C264" s="465"/>
      <c r="D264" s="465"/>
      <c r="E264" s="465"/>
    </row>
    <row r="265">
      <c r="C265" s="465"/>
      <c r="D265" s="465"/>
      <c r="E265" s="465"/>
    </row>
    <row r="266">
      <c r="C266" s="465"/>
      <c r="D266" s="465"/>
      <c r="E266" s="465"/>
    </row>
    <row r="267">
      <c r="C267" s="465"/>
      <c r="D267" s="465"/>
      <c r="E267" s="465"/>
    </row>
    <row r="268">
      <c r="C268" s="465"/>
      <c r="D268" s="465"/>
      <c r="E268" s="465"/>
    </row>
    <row r="269">
      <c r="C269" s="465"/>
      <c r="D269" s="465"/>
      <c r="E269" s="465"/>
    </row>
    <row r="270">
      <c r="C270" s="465"/>
      <c r="D270" s="465"/>
      <c r="E270" s="465"/>
    </row>
    <row r="271">
      <c r="C271" s="465"/>
      <c r="D271" s="465"/>
      <c r="E271" s="465"/>
    </row>
    <row r="272">
      <c r="C272" s="465"/>
      <c r="D272" s="465"/>
      <c r="E272" s="465"/>
    </row>
    <row r="273">
      <c r="C273" s="465"/>
      <c r="D273" s="465"/>
      <c r="E273" s="465"/>
    </row>
    <row r="274">
      <c r="C274" s="465"/>
      <c r="D274" s="465"/>
      <c r="E274" s="465"/>
    </row>
    <row r="275">
      <c r="C275" s="465"/>
      <c r="D275" s="465"/>
      <c r="E275" s="465"/>
    </row>
    <row r="276">
      <c r="C276" s="465"/>
      <c r="D276" s="465"/>
      <c r="E276" s="465"/>
    </row>
    <row r="277">
      <c r="C277" s="465"/>
      <c r="D277" s="465"/>
      <c r="E277" s="465"/>
    </row>
    <row r="278">
      <c r="C278" s="465"/>
      <c r="D278" s="465"/>
      <c r="E278" s="465"/>
    </row>
    <row r="279">
      <c r="C279" s="465"/>
      <c r="D279" s="465"/>
      <c r="E279" s="465"/>
    </row>
    <row r="280">
      <c r="C280" s="465"/>
      <c r="D280" s="465"/>
      <c r="E280" s="465"/>
    </row>
    <row r="281">
      <c r="C281" s="465"/>
      <c r="D281" s="465"/>
      <c r="E281" s="465"/>
    </row>
    <row r="282">
      <c r="C282" s="465"/>
      <c r="D282" s="465"/>
      <c r="E282" s="465"/>
    </row>
    <row r="283">
      <c r="C283" s="465"/>
      <c r="D283" s="465"/>
      <c r="E283" s="465"/>
    </row>
    <row r="284">
      <c r="C284" s="465"/>
      <c r="D284" s="465"/>
      <c r="E284" s="465"/>
    </row>
    <row r="285">
      <c r="C285" s="465"/>
      <c r="D285" s="465"/>
      <c r="E285" s="465"/>
    </row>
    <row r="286">
      <c r="C286" s="465"/>
      <c r="D286" s="465"/>
      <c r="E286" s="465"/>
    </row>
    <row r="287">
      <c r="C287" s="465"/>
      <c r="D287" s="465"/>
      <c r="E287" s="465"/>
    </row>
    <row r="288">
      <c r="C288" s="465"/>
      <c r="D288" s="465"/>
      <c r="E288" s="465"/>
    </row>
    <row r="289">
      <c r="C289" s="465"/>
      <c r="D289" s="465"/>
      <c r="E289" s="465"/>
    </row>
    <row r="290">
      <c r="C290" s="465"/>
      <c r="D290" s="465"/>
      <c r="E290" s="465"/>
    </row>
    <row r="291">
      <c r="C291" s="465"/>
      <c r="D291" s="465"/>
      <c r="E291" s="465"/>
    </row>
    <row r="292">
      <c r="C292" s="465"/>
      <c r="D292" s="465"/>
      <c r="E292" s="465"/>
    </row>
    <row r="293">
      <c r="C293" s="465"/>
      <c r="D293" s="465"/>
      <c r="E293" s="465"/>
    </row>
    <row r="294">
      <c r="C294" s="465"/>
      <c r="D294" s="465"/>
      <c r="E294" s="465"/>
    </row>
    <row r="295">
      <c r="C295" s="465"/>
      <c r="D295" s="465"/>
      <c r="E295" s="465"/>
    </row>
    <row r="296">
      <c r="C296" s="465"/>
      <c r="D296" s="465"/>
      <c r="E296" s="465"/>
    </row>
    <row r="297">
      <c r="C297" s="465"/>
      <c r="D297" s="465"/>
      <c r="E297" s="465"/>
    </row>
    <row r="298">
      <c r="C298" s="465"/>
      <c r="D298" s="465"/>
      <c r="E298" s="465"/>
    </row>
    <row r="299">
      <c r="C299" s="465"/>
      <c r="D299" s="465"/>
      <c r="E299" s="465"/>
    </row>
    <row r="300">
      <c r="C300" s="465"/>
      <c r="D300" s="465"/>
      <c r="E300" s="465"/>
    </row>
    <row r="301">
      <c r="C301" s="465"/>
      <c r="D301" s="465"/>
      <c r="E301" s="465"/>
    </row>
    <row r="302">
      <c r="C302" s="465"/>
      <c r="D302" s="465"/>
      <c r="E302" s="465"/>
    </row>
    <row r="303">
      <c r="C303" s="465"/>
      <c r="D303" s="465"/>
      <c r="E303" s="465"/>
    </row>
    <row r="304">
      <c r="C304" s="465"/>
      <c r="D304" s="465"/>
      <c r="E304" s="465"/>
    </row>
    <row r="305">
      <c r="C305" s="465"/>
      <c r="D305" s="465"/>
      <c r="E305" s="465"/>
    </row>
    <row r="306">
      <c r="C306" s="465"/>
      <c r="D306" s="465"/>
      <c r="E306" s="465"/>
    </row>
    <row r="307">
      <c r="C307" s="465"/>
      <c r="D307" s="465"/>
      <c r="E307" s="465"/>
    </row>
    <row r="308">
      <c r="C308" s="465"/>
      <c r="D308" s="465"/>
      <c r="E308" s="465"/>
    </row>
    <row r="309">
      <c r="C309" s="465"/>
      <c r="D309" s="465"/>
      <c r="E309" s="465"/>
    </row>
    <row r="310">
      <c r="C310" s="465"/>
      <c r="D310" s="465"/>
      <c r="E310" s="465"/>
    </row>
    <row r="311">
      <c r="C311" s="465"/>
      <c r="D311" s="465"/>
      <c r="E311" s="465"/>
    </row>
    <row r="312">
      <c r="C312" s="465"/>
      <c r="D312" s="465"/>
      <c r="E312" s="465"/>
    </row>
    <row r="313">
      <c r="C313" s="465"/>
      <c r="D313" s="465"/>
      <c r="E313" s="465"/>
    </row>
    <row r="314">
      <c r="C314" s="465"/>
      <c r="D314" s="465"/>
      <c r="E314" s="465"/>
    </row>
    <row r="315">
      <c r="C315" s="465"/>
      <c r="D315" s="465"/>
      <c r="E315" s="465"/>
    </row>
    <row r="316">
      <c r="C316" s="465"/>
      <c r="D316" s="465"/>
      <c r="E316" s="465"/>
    </row>
    <row r="317">
      <c r="C317" s="465"/>
      <c r="D317" s="465"/>
      <c r="E317" s="465"/>
    </row>
    <row r="318">
      <c r="C318" s="465"/>
      <c r="D318" s="465"/>
      <c r="E318" s="465"/>
    </row>
    <row r="319">
      <c r="C319" s="465"/>
      <c r="D319" s="465"/>
      <c r="E319" s="465"/>
    </row>
    <row r="320">
      <c r="C320" s="465"/>
      <c r="D320" s="465"/>
      <c r="E320" s="465"/>
    </row>
    <row r="321">
      <c r="C321" s="465"/>
      <c r="D321" s="465"/>
      <c r="E321" s="465"/>
    </row>
    <row r="322">
      <c r="C322" s="465"/>
      <c r="D322" s="465"/>
      <c r="E322" s="465"/>
    </row>
    <row r="323">
      <c r="C323" s="465"/>
      <c r="D323" s="465"/>
      <c r="E323" s="465"/>
    </row>
    <row r="324">
      <c r="C324" s="465"/>
      <c r="D324" s="465"/>
      <c r="E324" s="465"/>
    </row>
    <row r="325">
      <c r="C325" s="465"/>
      <c r="D325" s="465"/>
      <c r="E325" s="465"/>
    </row>
    <row r="326">
      <c r="C326" s="465"/>
      <c r="D326" s="465"/>
      <c r="E326" s="465"/>
    </row>
    <row r="327">
      <c r="C327" s="465"/>
      <c r="D327" s="465"/>
      <c r="E327" s="465"/>
    </row>
    <row r="328">
      <c r="C328" s="465"/>
      <c r="D328" s="465"/>
      <c r="E328" s="465"/>
    </row>
    <row r="329">
      <c r="C329" s="465"/>
      <c r="D329" s="465"/>
      <c r="E329" s="465"/>
    </row>
    <row r="330">
      <c r="C330" s="465"/>
      <c r="D330" s="465"/>
      <c r="E330" s="465"/>
    </row>
    <row r="331">
      <c r="C331" s="465"/>
      <c r="D331" s="465"/>
      <c r="E331" s="465"/>
    </row>
    <row r="332">
      <c r="C332" s="465"/>
      <c r="D332" s="465"/>
      <c r="E332" s="465"/>
    </row>
    <row r="333">
      <c r="C333" s="465"/>
      <c r="D333" s="465"/>
      <c r="E333" s="465"/>
    </row>
    <row r="334">
      <c r="C334" s="465"/>
      <c r="D334" s="465"/>
      <c r="E334" s="465"/>
    </row>
    <row r="335">
      <c r="C335" s="465"/>
      <c r="D335" s="465"/>
      <c r="E335" s="465"/>
    </row>
    <row r="336">
      <c r="C336" s="465"/>
      <c r="D336" s="465"/>
      <c r="E336" s="465"/>
    </row>
    <row r="337">
      <c r="C337" s="465"/>
      <c r="D337" s="465"/>
      <c r="E337" s="465"/>
    </row>
    <row r="338">
      <c r="C338" s="465"/>
      <c r="D338" s="465"/>
      <c r="E338" s="465"/>
    </row>
    <row r="339">
      <c r="C339" s="465"/>
      <c r="D339" s="465"/>
      <c r="E339" s="465"/>
    </row>
    <row r="340">
      <c r="C340" s="465"/>
      <c r="D340" s="465"/>
      <c r="E340" s="465"/>
    </row>
    <row r="341">
      <c r="C341" s="465"/>
      <c r="D341" s="465"/>
      <c r="E341" s="465"/>
    </row>
    <row r="342">
      <c r="C342" s="465"/>
      <c r="D342" s="465"/>
      <c r="E342" s="465"/>
    </row>
    <row r="343">
      <c r="C343" s="465"/>
      <c r="D343" s="465"/>
      <c r="E343" s="465"/>
    </row>
    <row r="344">
      <c r="C344" s="465"/>
      <c r="D344" s="465"/>
      <c r="E344" s="465"/>
    </row>
    <row r="345">
      <c r="C345" s="465"/>
      <c r="D345" s="465"/>
      <c r="E345" s="465"/>
    </row>
    <row r="346">
      <c r="C346" s="465"/>
      <c r="D346" s="465"/>
      <c r="E346" s="465"/>
    </row>
    <row r="347">
      <c r="C347" s="465"/>
      <c r="D347" s="465"/>
      <c r="E347" s="465"/>
    </row>
    <row r="348">
      <c r="C348" s="465"/>
      <c r="D348" s="465"/>
      <c r="E348" s="465"/>
    </row>
    <row r="349">
      <c r="C349" s="465"/>
      <c r="D349" s="465"/>
      <c r="E349" s="465"/>
    </row>
    <row r="350">
      <c r="C350" s="465"/>
      <c r="D350" s="465"/>
      <c r="E350" s="465"/>
    </row>
    <row r="351">
      <c r="C351" s="465"/>
      <c r="D351" s="465"/>
      <c r="E351" s="465"/>
    </row>
    <row r="352">
      <c r="C352" s="465"/>
      <c r="D352" s="465"/>
      <c r="E352" s="465"/>
    </row>
    <row r="353">
      <c r="C353" s="465"/>
      <c r="D353" s="465"/>
      <c r="E353" s="465"/>
    </row>
    <row r="354">
      <c r="C354" s="465"/>
      <c r="D354" s="465"/>
      <c r="E354" s="465"/>
    </row>
    <row r="355">
      <c r="C355" s="465"/>
      <c r="D355" s="465"/>
      <c r="E355" s="465"/>
    </row>
    <row r="356">
      <c r="C356" s="465"/>
      <c r="D356" s="465"/>
      <c r="E356" s="465"/>
    </row>
    <row r="357">
      <c r="C357" s="465"/>
      <c r="D357" s="465"/>
      <c r="E357" s="465"/>
    </row>
    <row r="358">
      <c r="C358" s="465"/>
      <c r="D358" s="465"/>
      <c r="E358" s="465"/>
    </row>
    <row r="359">
      <c r="C359" s="465"/>
      <c r="D359" s="465"/>
      <c r="E359" s="465"/>
    </row>
    <row r="360">
      <c r="C360" s="465"/>
      <c r="D360" s="465"/>
      <c r="E360" s="465"/>
    </row>
    <row r="361">
      <c r="C361" s="465"/>
      <c r="D361" s="465"/>
      <c r="E361" s="465"/>
    </row>
    <row r="362">
      <c r="C362" s="465"/>
      <c r="D362" s="465"/>
      <c r="E362" s="465"/>
    </row>
    <row r="363">
      <c r="C363" s="465"/>
      <c r="D363" s="465"/>
      <c r="E363" s="465"/>
    </row>
    <row r="364">
      <c r="C364" s="465"/>
      <c r="D364" s="465"/>
      <c r="E364" s="465"/>
    </row>
    <row r="365">
      <c r="C365" s="465"/>
      <c r="D365" s="465"/>
      <c r="E365" s="465"/>
    </row>
    <row r="366">
      <c r="C366" s="465"/>
      <c r="D366" s="465"/>
      <c r="E366" s="465"/>
    </row>
    <row r="367">
      <c r="C367" s="465"/>
      <c r="D367" s="465"/>
      <c r="E367" s="465"/>
    </row>
    <row r="368">
      <c r="C368" s="465"/>
      <c r="D368" s="465"/>
      <c r="E368" s="465"/>
    </row>
    <row r="369">
      <c r="C369" s="465"/>
      <c r="D369" s="465"/>
      <c r="E369" s="465"/>
    </row>
    <row r="370">
      <c r="C370" s="465"/>
      <c r="D370" s="465"/>
      <c r="E370" s="465"/>
    </row>
    <row r="371">
      <c r="C371" s="465"/>
      <c r="D371" s="465"/>
      <c r="E371" s="465"/>
    </row>
    <row r="372">
      <c r="C372" s="465"/>
      <c r="D372" s="465"/>
      <c r="E372" s="465"/>
    </row>
    <row r="373">
      <c r="C373" s="465"/>
      <c r="D373" s="465"/>
      <c r="E373" s="465"/>
    </row>
    <row r="374">
      <c r="C374" s="465"/>
      <c r="D374" s="465"/>
      <c r="E374" s="465"/>
    </row>
    <row r="375">
      <c r="C375" s="465"/>
      <c r="D375" s="465"/>
      <c r="E375" s="465"/>
    </row>
    <row r="376">
      <c r="C376" s="465"/>
      <c r="D376" s="465"/>
      <c r="E376" s="465"/>
    </row>
    <row r="377">
      <c r="C377" s="465"/>
      <c r="D377" s="465"/>
      <c r="E377" s="465"/>
    </row>
    <row r="378">
      <c r="C378" s="465"/>
      <c r="D378" s="465"/>
      <c r="E378" s="465"/>
    </row>
    <row r="379">
      <c r="C379" s="465"/>
      <c r="D379" s="465"/>
      <c r="E379" s="465"/>
    </row>
    <row r="380">
      <c r="C380" s="465"/>
      <c r="D380" s="465"/>
      <c r="E380" s="465"/>
    </row>
    <row r="381">
      <c r="C381" s="465"/>
      <c r="D381" s="465"/>
      <c r="E381" s="465"/>
    </row>
    <row r="382">
      <c r="C382" s="465"/>
      <c r="D382" s="465"/>
      <c r="E382" s="465"/>
    </row>
    <row r="383">
      <c r="C383" s="465"/>
      <c r="D383" s="465"/>
      <c r="E383" s="465"/>
    </row>
    <row r="384">
      <c r="C384" s="465"/>
      <c r="D384" s="465"/>
      <c r="E384" s="465"/>
    </row>
    <row r="385">
      <c r="C385" s="465"/>
      <c r="D385" s="465"/>
      <c r="E385" s="465"/>
    </row>
    <row r="386">
      <c r="C386" s="465"/>
      <c r="D386" s="465"/>
      <c r="E386" s="465"/>
    </row>
    <row r="387">
      <c r="C387" s="465"/>
      <c r="D387" s="465"/>
      <c r="E387" s="465"/>
    </row>
    <row r="388">
      <c r="C388" s="465"/>
      <c r="D388" s="465"/>
      <c r="E388" s="465"/>
    </row>
    <row r="389">
      <c r="C389" s="465"/>
      <c r="D389" s="465"/>
      <c r="E389" s="465"/>
    </row>
    <row r="390">
      <c r="C390" s="465"/>
      <c r="D390" s="465"/>
      <c r="E390" s="465"/>
    </row>
    <row r="391">
      <c r="C391" s="465"/>
      <c r="D391" s="465"/>
      <c r="E391" s="465"/>
    </row>
    <row r="392">
      <c r="C392" s="465"/>
      <c r="D392" s="465"/>
      <c r="E392" s="465"/>
    </row>
    <row r="393">
      <c r="C393" s="465"/>
      <c r="D393" s="465"/>
      <c r="E393" s="465"/>
    </row>
    <row r="394">
      <c r="C394" s="465"/>
      <c r="D394" s="465"/>
      <c r="E394" s="465"/>
    </row>
    <row r="395">
      <c r="C395" s="465"/>
      <c r="D395" s="465"/>
      <c r="E395" s="465"/>
    </row>
    <row r="396">
      <c r="C396" s="465"/>
      <c r="D396" s="465"/>
      <c r="E396" s="465"/>
    </row>
    <row r="397">
      <c r="C397" s="465"/>
      <c r="D397" s="465"/>
      <c r="E397" s="465"/>
    </row>
    <row r="398">
      <c r="C398" s="465"/>
      <c r="D398" s="465"/>
      <c r="E398" s="465"/>
    </row>
    <row r="399">
      <c r="C399" s="465"/>
      <c r="D399" s="465"/>
      <c r="E399" s="465"/>
    </row>
    <row r="400">
      <c r="C400" s="465"/>
      <c r="D400" s="465"/>
      <c r="E400" s="465"/>
    </row>
    <row r="401">
      <c r="C401" s="465"/>
      <c r="D401" s="465"/>
      <c r="E401" s="465"/>
    </row>
    <row r="402">
      <c r="C402" s="465"/>
      <c r="D402" s="465"/>
      <c r="E402" s="465"/>
    </row>
    <row r="403">
      <c r="C403" s="465"/>
      <c r="D403" s="465"/>
      <c r="E403" s="465"/>
    </row>
    <row r="404">
      <c r="C404" s="465"/>
      <c r="D404" s="465"/>
      <c r="E404" s="465"/>
    </row>
    <row r="405">
      <c r="C405" s="465"/>
      <c r="D405" s="465"/>
      <c r="E405" s="465"/>
    </row>
    <row r="406">
      <c r="C406" s="465"/>
      <c r="D406" s="465"/>
      <c r="E406" s="465"/>
    </row>
    <row r="407">
      <c r="C407" s="465"/>
      <c r="D407" s="465"/>
      <c r="E407" s="465"/>
    </row>
    <row r="408">
      <c r="C408" s="465"/>
      <c r="D408" s="465"/>
      <c r="E408" s="465"/>
    </row>
    <row r="409">
      <c r="C409" s="465"/>
      <c r="D409" s="465"/>
      <c r="E409" s="465"/>
    </row>
    <row r="410">
      <c r="C410" s="465"/>
      <c r="D410" s="465"/>
      <c r="E410" s="465"/>
    </row>
    <row r="411">
      <c r="C411" s="465"/>
      <c r="D411" s="465"/>
      <c r="E411" s="465"/>
    </row>
    <row r="412">
      <c r="C412" s="465"/>
      <c r="D412" s="465"/>
      <c r="E412" s="465"/>
    </row>
    <row r="413">
      <c r="C413" s="465"/>
      <c r="D413" s="465"/>
      <c r="E413" s="465"/>
    </row>
    <row r="414">
      <c r="C414" s="465"/>
      <c r="D414" s="465"/>
      <c r="E414" s="465"/>
    </row>
    <row r="415">
      <c r="C415" s="465"/>
      <c r="D415" s="465"/>
      <c r="E415" s="465"/>
    </row>
    <row r="416">
      <c r="C416" s="465"/>
      <c r="D416" s="465"/>
      <c r="E416" s="465"/>
    </row>
    <row r="417">
      <c r="C417" s="465"/>
      <c r="D417" s="465"/>
      <c r="E417" s="465"/>
    </row>
    <row r="418">
      <c r="C418" s="465"/>
      <c r="D418" s="465"/>
      <c r="E418" s="465"/>
    </row>
    <row r="419">
      <c r="C419" s="465"/>
      <c r="D419" s="465"/>
      <c r="E419" s="465"/>
    </row>
    <row r="420">
      <c r="C420" s="465"/>
      <c r="D420" s="465"/>
      <c r="E420" s="465"/>
    </row>
    <row r="421">
      <c r="C421" s="465"/>
      <c r="D421" s="465"/>
      <c r="E421" s="465"/>
    </row>
    <row r="422">
      <c r="C422" s="465"/>
      <c r="D422" s="465"/>
      <c r="E422" s="465"/>
    </row>
    <row r="423">
      <c r="C423" s="465"/>
      <c r="D423" s="465"/>
      <c r="E423" s="465"/>
    </row>
    <row r="424">
      <c r="C424" s="465"/>
      <c r="D424" s="465"/>
      <c r="E424" s="465"/>
    </row>
    <row r="425">
      <c r="C425" s="465"/>
      <c r="D425" s="465"/>
      <c r="E425" s="465"/>
    </row>
    <row r="426">
      <c r="C426" s="465"/>
      <c r="D426" s="465"/>
      <c r="E426" s="465"/>
    </row>
    <row r="427">
      <c r="C427" s="465"/>
      <c r="D427" s="465"/>
      <c r="E427" s="465"/>
    </row>
    <row r="428">
      <c r="C428" s="465"/>
      <c r="D428" s="465"/>
      <c r="E428" s="465"/>
    </row>
    <row r="429">
      <c r="C429" s="465"/>
      <c r="D429" s="465"/>
      <c r="E429" s="465"/>
    </row>
    <row r="430">
      <c r="C430" s="465"/>
      <c r="D430" s="465"/>
      <c r="E430" s="465"/>
    </row>
    <row r="431">
      <c r="C431" s="465"/>
      <c r="D431" s="465"/>
      <c r="E431" s="465"/>
    </row>
    <row r="432">
      <c r="C432" s="465"/>
      <c r="D432" s="465"/>
      <c r="E432" s="465"/>
    </row>
    <row r="433">
      <c r="C433" s="465"/>
      <c r="D433" s="465"/>
      <c r="E433" s="465"/>
    </row>
    <row r="434">
      <c r="C434" s="465"/>
      <c r="D434" s="465"/>
      <c r="E434" s="465"/>
    </row>
    <row r="435">
      <c r="C435" s="465"/>
      <c r="D435" s="465"/>
      <c r="E435" s="465"/>
    </row>
    <row r="436">
      <c r="C436" s="465"/>
      <c r="D436" s="465"/>
      <c r="E436" s="465"/>
    </row>
    <row r="437">
      <c r="C437" s="465"/>
      <c r="D437" s="465"/>
      <c r="E437" s="465"/>
    </row>
    <row r="438">
      <c r="C438" s="465"/>
      <c r="D438" s="465"/>
      <c r="E438" s="465"/>
    </row>
    <row r="439">
      <c r="C439" s="465"/>
      <c r="D439" s="465"/>
      <c r="E439" s="465"/>
    </row>
    <row r="440">
      <c r="C440" s="465"/>
      <c r="D440" s="465"/>
      <c r="E440" s="465"/>
    </row>
    <row r="441">
      <c r="C441" s="465"/>
      <c r="D441" s="465"/>
      <c r="E441" s="465"/>
    </row>
    <row r="442">
      <c r="C442" s="465"/>
      <c r="D442" s="465"/>
      <c r="E442" s="465"/>
    </row>
    <row r="443">
      <c r="C443" s="465"/>
      <c r="D443" s="465"/>
      <c r="E443" s="465"/>
    </row>
    <row r="444">
      <c r="C444" s="465"/>
      <c r="D444" s="465"/>
      <c r="E444" s="465"/>
    </row>
    <row r="445">
      <c r="C445" s="465"/>
      <c r="D445" s="465"/>
      <c r="E445" s="465"/>
    </row>
    <row r="446">
      <c r="C446" s="465"/>
      <c r="D446" s="465"/>
      <c r="E446" s="465"/>
    </row>
    <row r="447">
      <c r="C447" s="465"/>
      <c r="D447" s="465"/>
      <c r="E447" s="465"/>
    </row>
    <row r="448">
      <c r="C448" s="465"/>
      <c r="D448" s="465"/>
      <c r="E448" s="465"/>
    </row>
    <row r="449">
      <c r="C449" s="465"/>
      <c r="D449" s="465"/>
      <c r="E449" s="465"/>
    </row>
    <row r="450">
      <c r="C450" s="465"/>
      <c r="D450" s="465"/>
      <c r="E450" s="465"/>
    </row>
    <row r="451">
      <c r="C451" s="465"/>
      <c r="D451" s="465"/>
      <c r="E451" s="465"/>
    </row>
    <row r="452">
      <c r="C452" s="465"/>
      <c r="D452" s="465"/>
      <c r="E452" s="465"/>
    </row>
    <row r="453">
      <c r="C453" s="465"/>
      <c r="D453" s="465"/>
      <c r="E453" s="465"/>
    </row>
    <row r="454">
      <c r="C454" s="465"/>
      <c r="D454" s="465"/>
      <c r="E454" s="465"/>
    </row>
    <row r="455">
      <c r="C455" s="465"/>
      <c r="D455" s="465"/>
      <c r="E455" s="465"/>
    </row>
    <row r="456">
      <c r="C456" s="465"/>
      <c r="D456" s="465"/>
      <c r="E456" s="465"/>
    </row>
    <row r="457">
      <c r="C457" s="465"/>
      <c r="D457" s="465"/>
      <c r="E457" s="465"/>
    </row>
    <row r="458">
      <c r="C458" s="465"/>
      <c r="D458" s="465"/>
      <c r="E458" s="465"/>
    </row>
    <row r="459">
      <c r="C459" s="465"/>
      <c r="D459" s="465"/>
      <c r="E459" s="465"/>
    </row>
    <row r="460">
      <c r="C460" s="465"/>
      <c r="D460" s="465"/>
      <c r="E460" s="465"/>
    </row>
    <row r="461">
      <c r="C461" s="465"/>
      <c r="D461" s="465"/>
      <c r="E461" s="465"/>
    </row>
    <row r="462">
      <c r="C462" s="465"/>
      <c r="D462" s="465"/>
      <c r="E462" s="465"/>
    </row>
    <row r="463">
      <c r="C463" s="465"/>
      <c r="D463" s="465"/>
      <c r="E463" s="465"/>
    </row>
    <row r="464">
      <c r="C464" s="465"/>
      <c r="D464" s="465"/>
      <c r="E464" s="465"/>
    </row>
    <row r="465">
      <c r="C465" s="465"/>
      <c r="D465" s="465"/>
      <c r="E465" s="465"/>
    </row>
    <row r="466">
      <c r="C466" s="465"/>
      <c r="D466" s="465"/>
      <c r="E466" s="465"/>
    </row>
    <row r="467">
      <c r="C467" s="465"/>
      <c r="D467" s="465"/>
      <c r="E467" s="465"/>
    </row>
    <row r="468">
      <c r="C468" s="465"/>
      <c r="D468" s="465"/>
      <c r="E468" s="465"/>
    </row>
    <row r="469">
      <c r="C469" s="465"/>
      <c r="D469" s="465"/>
      <c r="E469" s="465"/>
    </row>
    <row r="470">
      <c r="C470" s="465"/>
      <c r="D470" s="465"/>
      <c r="E470" s="465"/>
    </row>
    <row r="471">
      <c r="C471" s="465"/>
      <c r="D471" s="465"/>
      <c r="E471" s="465"/>
    </row>
    <row r="472">
      <c r="C472" s="465"/>
      <c r="D472" s="465"/>
      <c r="E472" s="465"/>
    </row>
    <row r="473">
      <c r="C473" s="465"/>
      <c r="D473" s="465"/>
      <c r="E473" s="465"/>
    </row>
    <row r="474">
      <c r="C474" s="465"/>
      <c r="D474" s="465"/>
      <c r="E474" s="465"/>
    </row>
    <row r="475">
      <c r="C475" s="465"/>
      <c r="D475" s="465"/>
      <c r="E475" s="465"/>
    </row>
    <row r="476">
      <c r="C476" s="465"/>
      <c r="D476" s="465"/>
      <c r="E476" s="465"/>
    </row>
    <row r="477">
      <c r="C477" s="465"/>
      <c r="D477" s="465"/>
      <c r="E477" s="465"/>
    </row>
    <row r="478">
      <c r="C478" s="465"/>
      <c r="D478" s="465"/>
      <c r="E478" s="465"/>
    </row>
    <row r="479">
      <c r="C479" s="465"/>
      <c r="D479" s="465"/>
      <c r="E479" s="465"/>
    </row>
    <row r="480">
      <c r="C480" s="465"/>
      <c r="D480" s="465"/>
      <c r="E480" s="465"/>
    </row>
    <row r="481">
      <c r="C481" s="465"/>
      <c r="D481" s="465"/>
      <c r="E481" s="465"/>
    </row>
    <row r="482">
      <c r="C482" s="465"/>
      <c r="D482" s="465"/>
      <c r="E482" s="465"/>
    </row>
    <row r="483">
      <c r="C483" s="465"/>
      <c r="D483" s="465"/>
      <c r="E483" s="465"/>
    </row>
    <row r="484">
      <c r="C484" s="465"/>
      <c r="D484" s="465"/>
      <c r="E484" s="465"/>
    </row>
    <row r="485">
      <c r="C485" s="465"/>
      <c r="D485" s="465"/>
      <c r="E485" s="465"/>
    </row>
    <row r="486">
      <c r="C486" s="465"/>
      <c r="D486" s="465"/>
      <c r="E486" s="465"/>
    </row>
    <row r="487">
      <c r="C487" s="465"/>
      <c r="D487" s="465"/>
      <c r="E487" s="465"/>
    </row>
    <row r="488">
      <c r="C488" s="465"/>
      <c r="D488" s="465"/>
      <c r="E488" s="465"/>
    </row>
    <row r="489">
      <c r="C489" s="465"/>
      <c r="D489" s="465"/>
      <c r="E489" s="465"/>
    </row>
    <row r="490">
      <c r="C490" s="465"/>
      <c r="D490" s="465"/>
      <c r="E490" s="465"/>
    </row>
    <row r="491">
      <c r="C491" s="465"/>
      <c r="D491" s="465"/>
      <c r="E491" s="465"/>
    </row>
    <row r="492">
      <c r="C492" s="465"/>
      <c r="D492" s="465"/>
      <c r="E492" s="465"/>
    </row>
    <row r="493">
      <c r="C493" s="465"/>
      <c r="D493" s="465"/>
      <c r="E493" s="465"/>
    </row>
    <row r="494">
      <c r="C494" s="465"/>
      <c r="D494" s="465"/>
      <c r="E494" s="465"/>
    </row>
    <row r="495">
      <c r="C495" s="465"/>
      <c r="D495" s="465"/>
      <c r="E495" s="465"/>
    </row>
    <row r="496">
      <c r="C496" s="465"/>
      <c r="D496" s="465"/>
      <c r="E496" s="465"/>
    </row>
    <row r="497">
      <c r="C497" s="465"/>
      <c r="D497" s="465"/>
      <c r="E497" s="465"/>
    </row>
    <row r="498">
      <c r="C498" s="465"/>
      <c r="D498" s="465"/>
      <c r="E498" s="465"/>
    </row>
    <row r="499">
      <c r="C499" s="465"/>
      <c r="D499" s="465"/>
      <c r="E499" s="465"/>
    </row>
    <row r="500">
      <c r="C500" s="465"/>
      <c r="D500" s="465"/>
      <c r="E500" s="465"/>
    </row>
    <row r="501">
      <c r="C501" s="465"/>
      <c r="D501" s="465"/>
      <c r="E501" s="465"/>
    </row>
    <row r="502">
      <c r="C502" s="465"/>
      <c r="D502" s="465"/>
      <c r="E502" s="465"/>
    </row>
    <row r="503">
      <c r="C503" s="465"/>
      <c r="D503" s="465"/>
      <c r="E503" s="465"/>
    </row>
    <row r="504">
      <c r="C504" s="465"/>
      <c r="D504" s="465"/>
      <c r="E504" s="465"/>
    </row>
    <row r="505">
      <c r="C505" s="465"/>
      <c r="D505" s="465"/>
      <c r="E505" s="465"/>
    </row>
    <row r="506">
      <c r="C506" s="465"/>
      <c r="D506" s="465"/>
      <c r="E506" s="465"/>
    </row>
    <row r="507">
      <c r="C507" s="465"/>
      <c r="D507" s="465"/>
      <c r="E507" s="465"/>
    </row>
    <row r="508">
      <c r="C508" s="465"/>
      <c r="D508" s="465"/>
      <c r="E508" s="465"/>
    </row>
    <row r="509">
      <c r="C509" s="465"/>
      <c r="D509" s="465"/>
      <c r="E509" s="465"/>
    </row>
    <row r="510">
      <c r="C510" s="465"/>
      <c r="D510" s="465"/>
      <c r="E510" s="465"/>
    </row>
    <row r="511">
      <c r="C511" s="465"/>
      <c r="D511" s="465"/>
      <c r="E511" s="465"/>
    </row>
    <row r="512">
      <c r="C512" s="465"/>
      <c r="D512" s="465"/>
      <c r="E512" s="465"/>
    </row>
    <row r="513">
      <c r="C513" s="465"/>
      <c r="D513" s="465"/>
      <c r="E513" s="465"/>
    </row>
    <row r="514">
      <c r="C514" s="465"/>
      <c r="D514" s="465"/>
      <c r="E514" s="465"/>
    </row>
    <row r="515">
      <c r="C515" s="465"/>
      <c r="D515" s="465"/>
      <c r="E515" s="465"/>
    </row>
    <row r="516">
      <c r="C516" s="465"/>
      <c r="D516" s="465"/>
      <c r="E516" s="465"/>
    </row>
    <row r="517">
      <c r="C517" s="465"/>
      <c r="D517" s="465"/>
      <c r="E517" s="465"/>
    </row>
    <row r="518">
      <c r="C518" s="465"/>
      <c r="D518" s="465"/>
      <c r="E518" s="465"/>
    </row>
    <row r="519">
      <c r="C519" s="465"/>
      <c r="D519" s="465"/>
      <c r="E519" s="465"/>
    </row>
    <row r="520">
      <c r="C520" s="465"/>
      <c r="D520" s="465"/>
      <c r="E520" s="465"/>
    </row>
    <row r="521">
      <c r="C521" s="465"/>
      <c r="D521" s="465"/>
      <c r="E521" s="465"/>
    </row>
    <row r="522">
      <c r="C522" s="465"/>
      <c r="D522" s="465"/>
      <c r="E522" s="465"/>
    </row>
    <row r="523">
      <c r="C523" s="465"/>
      <c r="D523" s="465"/>
      <c r="E523" s="465"/>
    </row>
    <row r="524">
      <c r="C524" s="465"/>
      <c r="D524" s="465"/>
      <c r="E524" s="465"/>
    </row>
    <row r="525">
      <c r="C525" s="465"/>
      <c r="D525" s="465"/>
      <c r="E525" s="465"/>
    </row>
    <row r="526">
      <c r="C526" s="465"/>
      <c r="D526" s="465"/>
      <c r="E526" s="465"/>
    </row>
    <row r="527">
      <c r="C527" s="465"/>
      <c r="D527" s="465"/>
      <c r="E527" s="465"/>
    </row>
    <row r="528">
      <c r="C528" s="465"/>
      <c r="D528" s="465"/>
      <c r="E528" s="465"/>
    </row>
    <row r="529">
      <c r="C529" s="465"/>
      <c r="D529" s="465"/>
      <c r="E529" s="465"/>
    </row>
    <row r="530">
      <c r="C530" s="465"/>
      <c r="D530" s="465"/>
      <c r="E530" s="465"/>
    </row>
    <row r="531">
      <c r="C531" s="465"/>
      <c r="D531" s="465"/>
      <c r="E531" s="465"/>
    </row>
    <row r="532">
      <c r="C532" s="465"/>
      <c r="D532" s="465"/>
      <c r="E532" s="465"/>
    </row>
    <row r="533">
      <c r="C533" s="465"/>
      <c r="D533" s="465"/>
      <c r="E533" s="465"/>
    </row>
    <row r="534">
      <c r="C534" s="465"/>
      <c r="D534" s="465"/>
      <c r="E534" s="465"/>
    </row>
    <row r="535">
      <c r="C535" s="465"/>
      <c r="D535" s="465"/>
      <c r="E535" s="465"/>
    </row>
    <row r="536">
      <c r="C536" s="465"/>
      <c r="D536" s="465"/>
      <c r="E536" s="465"/>
    </row>
    <row r="537">
      <c r="C537" s="465"/>
      <c r="D537" s="465"/>
      <c r="E537" s="465"/>
    </row>
    <row r="538">
      <c r="C538" s="465"/>
      <c r="D538" s="465"/>
      <c r="E538" s="465"/>
    </row>
    <row r="539">
      <c r="C539" s="465"/>
      <c r="D539" s="465"/>
      <c r="E539" s="465"/>
    </row>
    <row r="540">
      <c r="C540" s="465"/>
      <c r="D540" s="465"/>
      <c r="E540" s="465"/>
    </row>
    <row r="541">
      <c r="C541" s="465"/>
      <c r="D541" s="465"/>
      <c r="E541" s="465"/>
    </row>
    <row r="542">
      <c r="C542" s="465"/>
      <c r="D542" s="465"/>
      <c r="E542" s="465"/>
    </row>
    <row r="543">
      <c r="C543" s="465"/>
      <c r="D543" s="465"/>
      <c r="E543" s="465"/>
    </row>
    <row r="544">
      <c r="C544" s="465"/>
      <c r="D544" s="465"/>
      <c r="E544" s="465"/>
    </row>
    <row r="545">
      <c r="C545" s="465"/>
      <c r="D545" s="465"/>
      <c r="E545" s="465"/>
    </row>
    <row r="546">
      <c r="C546" s="465"/>
      <c r="D546" s="465"/>
      <c r="E546" s="465"/>
    </row>
    <row r="547">
      <c r="C547" s="465"/>
      <c r="D547" s="465"/>
      <c r="E547" s="465"/>
    </row>
    <row r="548">
      <c r="C548" s="465"/>
      <c r="D548" s="465"/>
      <c r="E548" s="465"/>
    </row>
    <row r="549">
      <c r="C549" s="465"/>
      <c r="D549" s="465"/>
      <c r="E549" s="465"/>
    </row>
    <row r="550">
      <c r="C550" s="465"/>
      <c r="D550" s="465"/>
      <c r="E550" s="465"/>
    </row>
    <row r="551">
      <c r="C551" s="465"/>
      <c r="D551" s="465"/>
      <c r="E551" s="465"/>
    </row>
    <row r="552">
      <c r="C552" s="465"/>
      <c r="D552" s="465"/>
      <c r="E552" s="465"/>
    </row>
    <row r="553">
      <c r="C553" s="465"/>
      <c r="D553" s="465"/>
      <c r="E553" s="465"/>
    </row>
    <row r="554">
      <c r="C554" s="465"/>
      <c r="D554" s="465"/>
      <c r="E554" s="465"/>
    </row>
    <row r="555">
      <c r="C555" s="465"/>
      <c r="D555" s="465"/>
      <c r="E555" s="465"/>
    </row>
    <row r="556">
      <c r="C556" s="465"/>
      <c r="D556" s="465"/>
      <c r="E556" s="465"/>
    </row>
    <row r="557">
      <c r="C557" s="465"/>
      <c r="D557" s="465"/>
      <c r="E557" s="465"/>
    </row>
    <row r="558">
      <c r="C558" s="465"/>
      <c r="D558" s="465"/>
      <c r="E558" s="465"/>
    </row>
    <row r="559">
      <c r="C559" s="465"/>
      <c r="D559" s="465"/>
      <c r="E559" s="465"/>
    </row>
    <row r="560">
      <c r="C560" s="465"/>
      <c r="D560" s="465"/>
      <c r="E560" s="465"/>
    </row>
    <row r="561">
      <c r="C561" s="465"/>
      <c r="D561" s="465"/>
      <c r="E561" s="465"/>
    </row>
    <row r="562">
      <c r="C562" s="465"/>
      <c r="D562" s="465"/>
      <c r="E562" s="465"/>
    </row>
    <row r="563">
      <c r="C563" s="465"/>
      <c r="D563" s="465"/>
      <c r="E563" s="465"/>
    </row>
    <row r="564">
      <c r="C564" s="465"/>
      <c r="D564" s="465"/>
      <c r="E564" s="465"/>
    </row>
    <row r="565">
      <c r="C565" s="465"/>
      <c r="D565" s="465"/>
      <c r="E565" s="465"/>
    </row>
    <row r="566">
      <c r="C566" s="465"/>
      <c r="D566" s="465"/>
      <c r="E566" s="465"/>
    </row>
    <row r="567">
      <c r="C567" s="465"/>
      <c r="D567" s="465"/>
      <c r="E567" s="465"/>
    </row>
    <row r="568">
      <c r="C568" s="465"/>
      <c r="D568" s="465"/>
      <c r="E568" s="465"/>
    </row>
    <row r="569">
      <c r="C569" s="465"/>
      <c r="D569" s="465"/>
      <c r="E569" s="465"/>
    </row>
    <row r="570">
      <c r="C570" s="465"/>
      <c r="D570" s="465"/>
      <c r="E570" s="465"/>
    </row>
    <row r="571">
      <c r="C571" s="465"/>
      <c r="D571" s="465"/>
      <c r="E571" s="465"/>
    </row>
    <row r="572">
      <c r="C572" s="465"/>
      <c r="D572" s="465"/>
      <c r="E572" s="465"/>
    </row>
    <row r="573">
      <c r="C573" s="465"/>
      <c r="D573" s="465"/>
      <c r="E573" s="465"/>
    </row>
    <row r="574">
      <c r="C574" s="465"/>
      <c r="D574" s="465"/>
      <c r="E574" s="465"/>
    </row>
    <row r="575">
      <c r="C575" s="465"/>
      <c r="D575" s="465"/>
      <c r="E575" s="465"/>
    </row>
    <row r="576">
      <c r="C576" s="465"/>
      <c r="D576" s="465"/>
      <c r="E576" s="465"/>
    </row>
    <row r="577">
      <c r="C577" s="465"/>
      <c r="D577" s="465"/>
      <c r="E577" s="465"/>
    </row>
    <row r="578">
      <c r="C578" s="465"/>
      <c r="D578" s="465"/>
      <c r="E578" s="465"/>
    </row>
    <row r="579">
      <c r="C579" s="465"/>
      <c r="D579" s="465"/>
      <c r="E579" s="465"/>
    </row>
    <row r="580">
      <c r="C580" s="465"/>
      <c r="D580" s="465"/>
      <c r="E580" s="465"/>
    </row>
    <row r="581">
      <c r="C581" s="465"/>
      <c r="D581" s="465"/>
      <c r="E581" s="465"/>
    </row>
    <row r="582">
      <c r="C582" s="465"/>
      <c r="D582" s="465"/>
      <c r="E582" s="465"/>
    </row>
    <row r="583">
      <c r="C583" s="465"/>
      <c r="D583" s="465"/>
      <c r="E583" s="465"/>
    </row>
    <row r="584">
      <c r="C584" s="465"/>
      <c r="D584" s="465"/>
      <c r="E584" s="465"/>
    </row>
    <row r="585">
      <c r="C585" s="465"/>
      <c r="D585" s="465"/>
      <c r="E585" s="465"/>
    </row>
    <row r="586">
      <c r="C586" s="465"/>
      <c r="D586" s="465"/>
      <c r="E586" s="465"/>
    </row>
    <row r="587">
      <c r="C587" s="465"/>
      <c r="D587" s="465"/>
      <c r="E587" s="465"/>
    </row>
    <row r="588">
      <c r="C588" s="465"/>
      <c r="D588" s="465"/>
      <c r="E588" s="465"/>
    </row>
    <row r="589">
      <c r="C589" s="465"/>
      <c r="D589" s="465"/>
      <c r="E589" s="465"/>
    </row>
    <row r="590">
      <c r="C590" s="465"/>
      <c r="D590" s="465"/>
      <c r="E590" s="465"/>
    </row>
    <row r="591">
      <c r="C591" s="465"/>
      <c r="D591" s="465"/>
      <c r="E591" s="465"/>
    </row>
    <row r="592">
      <c r="C592" s="465"/>
      <c r="D592" s="465"/>
      <c r="E592" s="465"/>
    </row>
    <row r="593">
      <c r="C593" s="465"/>
      <c r="D593" s="465"/>
      <c r="E593" s="465"/>
    </row>
    <row r="594">
      <c r="C594" s="465"/>
      <c r="D594" s="465"/>
      <c r="E594" s="465"/>
    </row>
    <row r="595">
      <c r="C595" s="465"/>
      <c r="D595" s="465"/>
      <c r="E595" s="465"/>
    </row>
    <row r="596">
      <c r="C596" s="465"/>
      <c r="D596" s="465"/>
      <c r="E596" s="465"/>
    </row>
    <row r="597">
      <c r="C597" s="465"/>
      <c r="D597" s="465"/>
      <c r="E597" s="465"/>
    </row>
    <row r="598">
      <c r="C598" s="465"/>
      <c r="D598" s="465"/>
      <c r="E598" s="465"/>
    </row>
    <row r="599">
      <c r="C599" s="465"/>
      <c r="D599" s="465"/>
      <c r="E599" s="465"/>
    </row>
    <row r="600">
      <c r="C600" s="465"/>
      <c r="D600" s="465"/>
      <c r="E600" s="465"/>
    </row>
    <row r="601">
      <c r="C601" s="465"/>
      <c r="D601" s="465"/>
      <c r="E601" s="465"/>
    </row>
    <row r="602">
      <c r="C602" s="465"/>
      <c r="D602" s="465"/>
      <c r="E602" s="465"/>
    </row>
    <row r="603">
      <c r="C603" s="465"/>
      <c r="D603" s="465"/>
      <c r="E603" s="465"/>
    </row>
    <row r="604">
      <c r="C604" s="465"/>
      <c r="D604" s="465"/>
      <c r="E604" s="465"/>
    </row>
    <row r="605">
      <c r="C605" s="465"/>
      <c r="D605" s="465"/>
      <c r="E605" s="465"/>
    </row>
    <row r="606">
      <c r="C606" s="465"/>
      <c r="D606" s="465"/>
      <c r="E606" s="465"/>
    </row>
    <row r="607">
      <c r="C607" s="465"/>
      <c r="D607" s="465"/>
      <c r="E607" s="465"/>
    </row>
    <row r="608">
      <c r="C608" s="465"/>
      <c r="D608" s="465"/>
      <c r="E608" s="465"/>
    </row>
    <row r="609">
      <c r="C609" s="465"/>
      <c r="D609" s="465"/>
      <c r="E609" s="465"/>
    </row>
    <row r="610">
      <c r="C610" s="465"/>
      <c r="D610" s="465"/>
      <c r="E610" s="465"/>
    </row>
    <row r="611">
      <c r="C611" s="465"/>
      <c r="D611" s="465"/>
      <c r="E611" s="465"/>
    </row>
    <row r="612">
      <c r="C612" s="465"/>
      <c r="D612" s="465"/>
      <c r="E612" s="465"/>
    </row>
    <row r="613">
      <c r="C613" s="465"/>
      <c r="D613" s="465"/>
      <c r="E613" s="465"/>
    </row>
    <row r="614">
      <c r="C614" s="465"/>
      <c r="D614" s="465"/>
      <c r="E614" s="465"/>
    </row>
    <row r="615">
      <c r="C615" s="465"/>
      <c r="D615" s="465"/>
      <c r="E615" s="465"/>
    </row>
    <row r="616">
      <c r="C616" s="465"/>
      <c r="D616" s="465"/>
      <c r="E616" s="465"/>
    </row>
    <row r="617">
      <c r="C617" s="465"/>
      <c r="D617" s="465"/>
      <c r="E617" s="465"/>
    </row>
    <row r="618">
      <c r="C618" s="465"/>
      <c r="D618" s="465"/>
      <c r="E618" s="465"/>
    </row>
    <row r="619">
      <c r="C619" s="465"/>
      <c r="D619" s="465"/>
      <c r="E619" s="465"/>
    </row>
    <row r="620">
      <c r="C620" s="465"/>
      <c r="D620" s="465"/>
      <c r="E620" s="465"/>
    </row>
    <row r="621">
      <c r="C621" s="465"/>
      <c r="D621" s="465"/>
      <c r="E621" s="465"/>
    </row>
    <row r="622">
      <c r="C622" s="465"/>
      <c r="D622" s="465"/>
      <c r="E622" s="465"/>
    </row>
    <row r="623">
      <c r="C623" s="465"/>
      <c r="D623" s="465"/>
      <c r="E623" s="465"/>
    </row>
    <row r="624">
      <c r="C624" s="465"/>
      <c r="D624" s="465"/>
      <c r="E624" s="465"/>
    </row>
    <row r="625">
      <c r="C625" s="465"/>
      <c r="D625" s="465"/>
      <c r="E625" s="465"/>
    </row>
    <row r="626">
      <c r="C626" s="465"/>
      <c r="D626" s="465"/>
      <c r="E626" s="465"/>
    </row>
    <row r="627">
      <c r="C627" s="465"/>
      <c r="D627" s="465"/>
      <c r="E627" s="465"/>
    </row>
    <row r="628">
      <c r="C628" s="465"/>
      <c r="D628" s="465"/>
      <c r="E628" s="465"/>
    </row>
    <row r="629">
      <c r="C629" s="465"/>
      <c r="D629" s="465"/>
      <c r="E629" s="465"/>
    </row>
    <row r="630">
      <c r="C630" s="465"/>
      <c r="D630" s="465"/>
      <c r="E630" s="465"/>
    </row>
    <row r="631">
      <c r="C631" s="465"/>
      <c r="D631" s="465"/>
      <c r="E631" s="465"/>
    </row>
    <row r="632">
      <c r="C632" s="465"/>
      <c r="D632" s="465"/>
      <c r="E632" s="465"/>
    </row>
    <row r="633">
      <c r="C633" s="465"/>
      <c r="D633" s="465"/>
      <c r="E633" s="465"/>
    </row>
    <row r="634">
      <c r="C634" s="465"/>
      <c r="D634" s="465"/>
      <c r="E634" s="465"/>
    </row>
    <row r="635">
      <c r="C635" s="465"/>
      <c r="D635" s="465"/>
      <c r="E635" s="465"/>
    </row>
    <row r="636">
      <c r="C636" s="465"/>
      <c r="D636" s="465"/>
      <c r="E636" s="465"/>
    </row>
    <row r="637">
      <c r="C637" s="465"/>
      <c r="D637" s="465"/>
      <c r="E637" s="465"/>
    </row>
    <row r="638">
      <c r="C638" s="465"/>
      <c r="D638" s="465"/>
      <c r="E638" s="465"/>
    </row>
    <row r="639">
      <c r="C639" s="465"/>
      <c r="D639" s="465"/>
      <c r="E639" s="465"/>
    </row>
    <row r="640">
      <c r="C640" s="465"/>
      <c r="D640" s="465"/>
      <c r="E640" s="465"/>
    </row>
    <row r="641">
      <c r="C641" s="465"/>
      <c r="D641" s="465"/>
      <c r="E641" s="465"/>
    </row>
    <row r="642">
      <c r="C642" s="465"/>
      <c r="D642" s="465"/>
      <c r="E642" s="465"/>
    </row>
    <row r="643">
      <c r="C643" s="465"/>
      <c r="D643" s="465"/>
      <c r="E643" s="465"/>
    </row>
    <row r="644">
      <c r="C644" s="465"/>
      <c r="D644" s="465"/>
      <c r="E644" s="465"/>
    </row>
    <row r="645">
      <c r="C645" s="465"/>
      <c r="D645" s="465"/>
      <c r="E645" s="465"/>
    </row>
    <row r="646">
      <c r="C646" s="465"/>
      <c r="D646" s="465"/>
      <c r="E646" s="465"/>
    </row>
    <row r="647">
      <c r="C647" s="465"/>
      <c r="D647" s="465"/>
      <c r="E647" s="465"/>
    </row>
    <row r="648">
      <c r="C648" s="465"/>
      <c r="D648" s="465"/>
      <c r="E648" s="465"/>
    </row>
    <row r="649">
      <c r="C649" s="465"/>
      <c r="D649" s="465"/>
      <c r="E649" s="465"/>
    </row>
    <row r="650">
      <c r="C650" s="465"/>
      <c r="D650" s="465"/>
      <c r="E650" s="465"/>
    </row>
    <row r="651">
      <c r="C651" s="465"/>
      <c r="D651" s="465"/>
      <c r="E651" s="465"/>
    </row>
    <row r="652">
      <c r="C652" s="465"/>
      <c r="D652" s="465"/>
      <c r="E652" s="465"/>
    </row>
    <row r="653">
      <c r="C653" s="465"/>
      <c r="D653" s="465"/>
      <c r="E653" s="465"/>
    </row>
    <row r="654">
      <c r="C654" s="465"/>
      <c r="D654" s="465"/>
      <c r="E654" s="465"/>
    </row>
    <row r="655">
      <c r="C655" s="465"/>
      <c r="D655" s="465"/>
      <c r="E655" s="465"/>
    </row>
    <row r="656">
      <c r="C656" s="465"/>
      <c r="D656" s="465"/>
      <c r="E656" s="465"/>
    </row>
    <row r="657">
      <c r="C657" s="465"/>
      <c r="D657" s="465"/>
      <c r="E657" s="465"/>
    </row>
    <row r="658">
      <c r="C658" s="465"/>
      <c r="D658" s="465"/>
      <c r="E658" s="465"/>
    </row>
    <row r="659">
      <c r="C659" s="465"/>
      <c r="D659" s="465"/>
      <c r="E659" s="465"/>
    </row>
    <row r="660">
      <c r="C660" s="465"/>
      <c r="D660" s="465"/>
      <c r="E660" s="465"/>
    </row>
    <row r="661">
      <c r="C661" s="465"/>
      <c r="D661" s="465"/>
      <c r="E661" s="465"/>
    </row>
    <row r="662">
      <c r="C662" s="465"/>
      <c r="D662" s="465"/>
      <c r="E662" s="465"/>
    </row>
    <row r="663">
      <c r="C663" s="465"/>
      <c r="D663" s="465"/>
      <c r="E663" s="465"/>
    </row>
    <row r="664">
      <c r="C664" s="465"/>
      <c r="D664" s="465"/>
      <c r="E664" s="465"/>
    </row>
    <row r="665">
      <c r="C665" s="465"/>
      <c r="D665" s="465"/>
      <c r="E665" s="465"/>
    </row>
    <row r="666">
      <c r="C666" s="465"/>
      <c r="D666" s="465"/>
      <c r="E666" s="465"/>
    </row>
    <row r="667">
      <c r="C667" s="465"/>
      <c r="D667" s="465"/>
      <c r="E667" s="465"/>
    </row>
    <row r="668">
      <c r="C668" s="465"/>
      <c r="D668" s="465"/>
      <c r="E668" s="465"/>
    </row>
    <row r="669">
      <c r="C669" s="465"/>
      <c r="D669" s="465"/>
      <c r="E669" s="465"/>
    </row>
    <row r="670">
      <c r="C670" s="465"/>
      <c r="D670" s="465"/>
      <c r="E670" s="465"/>
    </row>
    <row r="671">
      <c r="C671" s="465"/>
      <c r="D671" s="465"/>
      <c r="E671" s="465"/>
    </row>
    <row r="672">
      <c r="C672" s="465"/>
      <c r="D672" s="465"/>
      <c r="E672" s="465"/>
    </row>
    <row r="673">
      <c r="C673" s="465"/>
      <c r="D673" s="465"/>
      <c r="E673" s="465"/>
    </row>
    <row r="674">
      <c r="C674" s="465"/>
      <c r="D674" s="465"/>
      <c r="E674" s="465"/>
    </row>
    <row r="675">
      <c r="C675" s="465"/>
      <c r="D675" s="465"/>
      <c r="E675" s="465"/>
    </row>
    <row r="676">
      <c r="C676" s="465"/>
      <c r="D676" s="465"/>
      <c r="E676" s="465"/>
    </row>
    <row r="677">
      <c r="C677" s="465"/>
      <c r="D677" s="465"/>
      <c r="E677" s="465"/>
    </row>
    <row r="678">
      <c r="C678" s="465"/>
      <c r="D678" s="465"/>
      <c r="E678" s="465"/>
    </row>
    <row r="679">
      <c r="C679" s="465"/>
      <c r="D679" s="465"/>
      <c r="E679" s="465"/>
    </row>
    <row r="680">
      <c r="C680" s="465"/>
      <c r="D680" s="465"/>
      <c r="E680" s="465"/>
    </row>
    <row r="681">
      <c r="C681" s="465"/>
      <c r="D681" s="465"/>
      <c r="E681" s="465"/>
    </row>
    <row r="682">
      <c r="C682" s="465"/>
      <c r="D682" s="465"/>
      <c r="E682" s="465"/>
    </row>
    <row r="683">
      <c r="C683" s="465"/>
      <c r="D683" s="465"/>
      <c r="E683" s="465"/>
    </row>
    <row r="684">
      <c r="C684" s="465"/>
      <c r="D684" s="465"/>
      <c r="E684" s="465"/>
    </row>
    <row r="685">
      <c r="C685" s="465"/>
      <c r="D685" s="465"/>
      <c r="E685" s="465"/>
    </row>
    <row r="686">
      <c r="C686" s="465"/>
      <c r="D686" s="465"/>
      <c r="E686" s="465"/>
    </row>
    <row r="687">
      <c r="C687" s="465"/>
      <c r="D687" s="465"/>
      <c r="E687" s="465"/>
    </row>
    <row r="688">
      <c r="C688" s="465"/>
      <c r="D688" s="465"/>
      <c r="E688" s="465"/>
    </row>
    <row r="689">
      <c r="C689" s="465"/>
      <c r="D689" s="465"/>
      <c r="E689" s="465"/>
    </row>
    <row r="690">
      <c r="C690" s="465"/>
      <c r="D690" s="465"/>
      <c r="E690" s="465"/>
    </row>
    <row r="691">
      <c r="C691" s="465"/>
      <c r="D691" s="465"/>
      <c r="E691" s="465"/>
    </row>
    <row r="692">
      <c r="C692" s="465"/>
      <c r="D692" s="465"/>
      <c r="E692" s="465"/>
    </row>
    <row r="693">
      <c r="C693" s="465"/>
      <c r="D693" s="465"/>
      <c r="E693" s="465"/>
    </row>
    <row r="694">
      <c r="C694" s="465"/>
      <c r="D694" s="465"/>
      <c r="E694" s="465"/>
    </row>
    <row r="695">
      <c r="C695" s="465"/>
      <c r="D695" s="465"/>
      <c r="E695" s="465"/>
    </row>
    <row r="696">
      <c r="C696" s="465"/>
      <c r="D696" s="465"/>
      <c r="E696" s="465"/>
    </row>
    <row r="697">
      <c r="C697" s="465"/>
      <c r="D697" s="465"/>
      <c r="E697" s="465"/>
    </row>
    <row r="698">
      <c r="C698" s="465"/>
      <c r="D698" s="465"/>
      <c r="E698" s="465"/>
    </row>
    <row r="699">
      <c r="C699" s="465"/>
      <c r="D699" s="465"/>
      <c r="E699" s="465"/>
    </row>
    <row r="700">
      <c r="C700" s="465"/>
      <c r="D700" s="465"/>
      <c r="E700" s="465"/>
    </row>
    <row r="701">
      <c r="C701" s="465"/>
      <c r="D701" s="465"/>
      <c r="E701" s="465"/>
    </row>
    <row r="702">
      <c r="C702" s="465"/>
      <c r="D702" s="465"/>
      <c r="E702" s="465"/>
    </row>
    <row r="703">
      <c r="C703" s="465"/>
      <c r="D703" s="465"/>
      <c r="E703" s="465"/>
    </row>
    <row r="704">
      <c r="C704" s="465"/>
      <c r="D704" s="465"/>
      <c r="E704" s="465"/>
    </row>
    <row r="705">
      <c r="C705" s="465"/>
      <c r="D705" s="465"/>
      <c r="E705" s="465"/>
    </row>
    <row r="706">
      <c r="C706" s="465"/>
      <c r="D706" s="465"/>
      <c r="E706" s="465"/>
    </row>
    <row r="707">
      <c r="C707" s="465"/>
      <c r="D707" s="465"/>
      <c r="E707" s="465"/>
    </row>
    <row r="708">
      <c r="C708" s="465"/>
      <c r="D708" s="465"/>
      <c r="E708" s="465"/>
    </row>
    <row r="709">
      <c r="C709" s="465"/>
      <c r="D709" s="465"/>
      <c r="E709" s="465"/>
    </row>
    <row r="710">
      <c r="C710" s="465"/>
      <c r="D710" s="465"/>
      <c r="E710" s="465"/>
    </row>
    <row r="711">
      <c r="C711" s="465"/>
      <c r="D711" s="465"/>
      <c r="E711" s="465"/>
    </row>
    <row r="712">
      <c r="C712" s="465"/>
      <c r="D712" s="465"/>
      <c r="E712" s="465"/>
    </row>
    <row r="713">
      <c r="C713" s="465"/>
      <c r="D713" s="465"/>
      <c r="E713" s="465"/>
    </row>
    <row r="714">
      <c r="C714" s="465"/>
      <c r="D714" s="465"/>
      <c r="E714" s="465"/>
    </row>
    <row r="715">
      <c r="C715" s="465"/>
      <c r="D715" s="465"/>
      <c r="E715" s="465"/>
    </row>
    <row r="716">
      <c r="C716" s="465"/>
      <c r="D716" s="465"/>
      <c r="E716" s="465"/>
    </row>
    <row r="717">
      <c r="C717" s="465"/>
      <c r="D717" s="465"/>
      <c r="E717" s="465"/>
    </row>
    <row r="718">
      <c r="C718" s="465"/>
      <c r="D718" s="465"/>
      <c r="E718" s="465"/>
    </row>
    <row r="719">
      <c r="C719" s="465"/>
      <c r="D719" s="465"/>
      <c r="E719" s="465"/>
    </row>
    <row r="720">
      <c r="C720" s="465"/>
      <c r="D720" s="465"/>
      <c r="E720" s="465"/>
    </row>
    <row r="721">
      <c r="C721" s="465"/>
      <c r="D721" s="465"/>
      <c r="E721" s="465"/>
    </row>
    <row r="722">
      <c r="C722" s="465"/>
      <c r="D722" s="465"/>
      <c r="E722" s="465"/>
    </row>
    <row r="723">
      <c r="C723" s="465"/>
      <c r="D723" s="465"/>
      <c r="E723" s="465"/>
    </row>
    <row r="724">
      <c r="C724" s="465"/>
      <c r="D724" s="465"/>
      <c r="E724" s="465"/>
    </row>
    <row r="725">
      <c r="C725" s="465"/>
      <c r="D725" s="465"/>
      <c r="E725" s="465"/>
    </row>
    <row r="726">
      <c r="C726" s="465"/>
      <c r="D726" s="465"/>
      <c r="E726" s="465"/>
    </row>
    <row r="727">
      <c r="C727" s="465"/>
      <c r="D727" s="465"/>
      <c r="E727" s="465"/>
    </row>
    <row r="728">
      <c r="C728" s="465"/>
      <c r="D728" s="465"/>
      <c r="E728" s="465"/>
    </row>
    <row r="729">
      <c r="C729" s="465"/>
      <c r="D729" s="465"/>
      <c r="E729" s="465"/>
    </row>
    <row r="730">
      <c r="C730" s="465"/>
      <c r="D730" s="465"/>
      <c r="E730" s="465"/>
    </row>
    <row r="731">
      <c r="C731" s="465"/>
      <c r="D731" s="465"/>
      <c r="E731" s="465"/>
    </row>
    <row r="732">
      <c r="C732" s="465"/>
      <c r="D732" s="465"/>
      <c r="E732" s="465"/>
    </row>
    <row r="733">
      <c r="C733" s="465"/>
      <c r="D733" s="465"/>
      <c r="E733" s="465"/>
    </row>
    <row r="734">
      <c r="C734" s="465"/>
      <c r="D734" s="465"/>
      <c r="E734" s="465"/>
    </row>
    <row r="735">
      <c r="C735" s="465"/>
      <c r="D735" s="465"/>
      <c r="E735" s="465"/>
    </row>
    <row r="736">
      <c r="C736" s="465"/>
      <c r="D736" s="465"/>
      <c r="E736" s="465"/>
    </row>
    <row r="737">
      <c r="C737" s="465"/>
      <c r="D737" s="465"/>
      <c r="E737" s="465"/>
    </row>
    <row r="738">
      <c r="C738" s="465"/>
      <c r="D738" s="465"/>
      <c r="E738" s="465"/>
    </row>
    <row r="739">
      <c r="C739" s="465"/>
      <c r="D739" s="465"/>
      <c r="E739" s="465"/>
    </row>
    <row r="740">
      <c r="C740" s="465"/>
      <c r="D740" s="465"/>
      <c r="E740" s="465"/>
    </row>
    <row r="741">
      <c r="C741" s="465"/>
      <c r="D741" s="465"/>
      <c r="E741" s="465"/>
    </row>
    <row r="742">
      <c r="C742" s="465"/>
      <c r="D742" s="465"/>
      <c r="E742" s="465"/>
    </row>
    <row r="743">
      <c r="C743" s="465"/>
      <c r="D743" s="465"/>
      <c r="E743" s="465"/>
    </row>
    <row r="744">
      <c r="C744" s="465"/>
      <c r="D744" s="465"/>
      <c r="E744" s="465"/>
    </row>
    <row r="745">
      <c r="C745" s="465"/>
      <c r="D745" s="465"/>
      <c r="E745" s="465"/>
    </row>
    <row r="746">
      <c r="C746" s="465"/>
      <c r="D746" s="465"/>
      <c r="E746" s="465"/>
    </row>
    <row r="747">
      <c r="C747" s="465"/>
      <c r="D747" s="465"/>
      <c r="E747" s="465"/>
    </row>
    <row r="748">
      <c r="C748" s="465"/>
      <c r="D748" s="465"/>
      <c r="E748" s="465"/>
    </row>
    <row r="749">
      <c r="C749" s="465"/>
      <c r="D749" s="465"/>
      <c r="E749" s="465"/>
    </row>
    <row r="750">
      <c r="C750" s="465"/>
      <c r="D750" s="465"/>
      <c r="E750" s="465"/>
    </row>
    <row r="751">
      <c r="C751" s="465"/>
      <c r="D751" s="465"/>
      <c r="E751" s="465"/>
    </row>
    <row r="752">
      <c r="C752" s="465"/>
      <c r="D752" s="465"/>
      <c r="E752" s="465"/>
    </row>
    <row r="753">
      <c r="C753" s="465"/>
      <c r="D753" s="465"/>
      <c r="E753" s="465"/>
    </row>
    <row r="754">
      <c r="C754" s="465"/>
      <c r="D754" s="465"/>
      <c r="E754" s="465"/>
    </row>
    <row r="755">
      <c r="C755" s="465"/>
      <c r="D755" s="465"/>
      <c r="E755" s="465"/>
    </row>
    <row r="756">
      <c r="C756" s="465"/>
      <c r="D756" s="465"/>
      <c r="E756" s="465"/>
    </row>
    <row r="757">
      <c r="C757" s="465"/>
      <c r="D757" s="465"/>
      <c r="E757" s="465"/>
    </row>
    <row r="758">
      <c r="C758" s="465"/>
      <c r="D758" s="465"/>
      <c r="E758" s="465"/>
    </row>
    <row r="759">
      <c r="C759" s="465"/>
      <c r="D759" s="465"/>
      <c r="E759" s="465"/>
    </row>
    <row r="760">
      <c r="C760" s="465"/>
      <c r="D760" s="465"/>
      <c r="E760" s="465"/>
    </row>
    <row r="761">
      <c r="C761" s="465"/>
      <c r="D761" s="465"/>
      <c r="E761" s="465"/>
    </row>
    <row r="762">
      <c r="C762" s="465"/>
      <c r="D762" s="465"/>
      <c r="E762" s="465"/>
    </row>
    <row r="763">
      <c r="C763" s="465"/>
      <c r="D763" s="465"/>
      <c r="E763" s="465"/>
    </row>
    <row r="764">
      <c r="C764" s="465"/>
      <c r="D764" s="465"/>
      <c r="E764" s="465"/>
    </row>
    <row r="765">
      <c r="C765" s="465"/>
      <c r="D765" s="465"/>
      <c r="E765" s="465"/>
    </row>
    <row r="766">
      <c r="C766" s="465"/>
      <c r="D766" s="465"/>
      <c r="E766" s="465"/>
    </row>
    <row r="767">
      <c r="C767" s="465"/>
      <c r="D767" s="465"/>
      <c r="E767" s="465"/>
    </row>
    <row r="768">
      <c r="C768" s="465"/>
      <c r="D768" s="465"/>
      <c r="E768" s="465"/>
    </row>
    <row r="769">
      <c r="C769" s="465"/>
      <c r="D769" s="465"/>
      <c r="E769" s="465"/>
    </row>
    <row r="770">
      <c r="C770" s="465"/>
      <c r="D770" s="465"/>
      <c r="E770" s="465"/>
    </row>
    <row r="771">
      <c r="C771" s="465"/>
      <c r="D771" s="465"/>
      <c r="E771" s="465"/>
    </row>
    <row r="772">
      <c r="C772" s="465"/>
      <c r="D772" s="465"/>
      <c r="E772" s="465"/>
    </row>
    <row r="773">
      <c r="C773" s="465"/>
      <c r="D773" s="465"/>
      <c r="E773" s="465"/>
    </row>
    <row r="774">
      <c r="C774" s="465"/>
      <c r="D774" s="465"/>
      <c r="E774" s="465"/>
    </row>
    <row r="775">
      <c r="C775" s="465"/>
      <c r="D775" s="465"/>
      <c r="E775" s="465"/>
    </row>
    <row r="776">
      <c r="C776" s="465"/>
      <c r="D776" s="465"/>
      <c r="E776" s="465"/>
    </row>
    <row r="777">
      <c r="C777" s="465"/>
      <c r="D777" s="465"/>
      <c r="E777" s="465"/>
    </row>
    <row r="778">
      <c r="C778" s="465"/>
      <c r="D778" s="465"/>
      <c r="E778" s="465"/>
    </row>
    <row r="779">
      <c r="C779" s="465"/>
      <c r="D779" s="465"/>
      <c r="E779" s="465"/>
    </row>
    <row r="780">
      <c r="C780" s="465"/>
      <c r="D780" s="465"/>
      <c r="E780" s="465"/>
    </row>
    <row r="781">
      <c r="C781" s="465"/>
      <c r="D781" s="465"/>
      <c r="E781" s="465"/>
    </row>
    <row r="782">
      <c r="C782" s="465"/>
      <c r="D782" s="465"/>
      <c r="E782" s="465"/>
    </row>
    <row r="783">
      <c r="C783" s="465"/>
      <c r="D783" s="465"/>
      <c r="E783" s="465"/>
    </row>
    <row r="784">
      <c r="C784" s="465"/>
      <c r="D784" s="465"/>
      <c r="E784" s="465"/>
    </row>
    <row r="785">
      <c r="C785" s="465"/>
      <c r="D785" s="465"/>
      <c r="E785" s="465"/>
    </row>
    <row r="786">
      <c r="C786" s="465"/>
      <c r="D786" s="465"/>
      <c r="E786" s="465"/>
    </row>
    <row r="787">
      <c r="C787" s="465"/>
      <c r="D787" s="465"/>
      <c r="E787" s="465"/>
    </row>
    <row r="788">
      <c r="C788" s="465"/>
      <c r="D788" s="465"/>
      <c r="E788" s="465"/>
    </row>
    <row r="789">
      <c r="C789" s="465"/>
      <c r="D789" s="465"/>
      <c r="E789" s="465"/>
    </row>
    <row r="790">
      <c r="C790" s="465"/>
      <c r="D790" s="465"/>
      <c r="E790" s="465"/>
    </row>
    <row r="791">
      <c r="C791" s="465"/>
      <c r="D791" s="465"/>
      <c r="E791" s="465"/>
    </row>
    <row r="792">
      <c r="C792" s="465"/>
      <c r="D792" s="465"/>
      <c r="E792" s="465"/>
    </row>
    <row r="793">
      <c r="C793" s="465"/>
      <c r="D793" s="465"/>
      <c r="E793" s="465"/>
    </row>
    <row r="794">
      <c r="C794" s="465"/>
      <c r="D794" s="465"/>
      <c r="E794" s="465"/>
    </row>
    <row r="795">
      <c r="C795" s="465"/>
      <c r="D795" s="465"/>
      <c r="E795" s="465"/>
    </row>
    <row r="796">
      <c r="C796" s="465"/>
      <c r="D796" s="465"/>
      <c r="E796" s="465"/>
    </row>
    <row r="797">
      <c r="C797" s="465"/>
      <c r="D797" s="465"/>
      <c r="E797" s="465"/>
    </row>
    <row r="798">
      <c r="C798" s="465"/>
      <c r="D798" s="465"/>
      <c r="E798" s="465"/>
    </row>
    <row r="799">
      <c r="C799" s="465"/>
      <c r="D799" s="465"/>
      <c r="E799" s="465"/>
    </row>
    <row r="800">
      <c r="C800" s="465"/>
      <c r="D800" s="465"/>
      <c r="E800" s="465"/>
    </row>
    <row r="801">
      <c r="C801" s="465"/>
      <c r="D801" s="465"/>
      <c r="E801" s="465"/>
    </row>
    <row r="802">
      <c r="C802" s="465"/>
      <c r="D802" s="465"/>
      <c r="E802" s="465"/>
    </row>
    <row r="803">
      <c r="C803" s="465"/>
      <c r="D803" s="465"/>
      <c r="E803" s="465"/>
    </row>
    <row r="804">
      <c r="C804" s="465"/>
      <c r="D804" s="465"/>
      <c r="E804" s="465"/>
    </row>
    <row r="805">
      <c r="C805" s="465"/>
      <c r="D805" s="465"/>
      <c r="E805" s="465"/>
    </row>
    <row r="806">
      <c r="C806" s="465"/>
      <c r="D806" s="465"/>
      <c r="E806" s="465"/>
    </row>
    <row r="807">
      <c r="C807" s="465"/>
      <c r="D807" s="465"/>
      <c r="E807" s="465"/>
    </row>
    <row r="808">
      <c r="C808" s="465"/>
      <c r="D808" s="465"/>
      <c r="E808" s="465"/>
    </row>
    <row r="809">
      <c r="C809" s="465"/>
      <c r="D809" s="465"/>
      <c r="E809" s="465"/>
    </row>
    <row r="810">
      <c r="C810" s="465"/>
      <c r="D810" s="465"/>
      <c r="E810" s="465"/>
    </row>
    <row r="811">
      <c r="C811" s="465"/>
      <c r="D811" s="465"/>
      <c r="E811" s="465"/>
    </row>
    <row r="812">
      <c r="C812" s="465"/>
      <c r="D812" s="465"/>
      <c r="E812" s="465"/>
    </row>
    <row r="813">
      <c r="C813" s="465"/>
      <c r="D813" s="465"/>
      <c r="E813" s="465"/>
    </row>
    <row r="814">
      <c r="C814" s="465"/>
      <c r="D814" s="465"/>
      <c r="E814" s="465"/>
    </row>
    <row r="815">
      <c r="C815" s="465"/>
      <c r="D815" s="465"/>
      <c r="E815" s="465"/>
    </row>
    <row r="816">
      <c r="C816" s="465"/>
      <c r="D816" s="465"/>
      <c r="E816" s="465"/>
    </row>
    <row r="817">
      <c r="C817" s="465"/>
      <c r="D817" s="465"/>
      <c r="E817" s="465"/>
    </row>
    <row r="818">
      <c r="C818" s="465"/>
      <c r="D818" s="465"/>
      <c r="E818" s="465"/>
    </row>
    <row r="819">
      <c r="C819" s="465"/>
      <c r="D819" s="465"/>
      <c r="E819" s="465"/>
    </row>
    <row r="820">
      <c r="C820" s="465"/>
      <c r="D820" s="465"/>
      <c r="E820" s="465"/>
    </row>
    <row r="821">
      <c r="C821" s="465"/>
      <c r="D821" s="465"/>
      <c r="E821" s="465"/>
    </row>
    <row r="822">
      <c r="C822" s="465"/>
      <c r="D822" s="465"/>
      <c r="E822" s="465"/>
    </row>
    <row r="823">
      <c r="C823" s="465"/>
      <c r="D823" s="465"/>
      <c r="E823" s="465"/>
    </row>
    <row r="824">
      <c r="C824" s="465"/>
      <c r="D824" s="465"/>
      <c r="E824" s="465"/>
    </row>
    <row r="825">
      <c r="C825" s="465"/>
      <c r="D825" s="465"/>
      <c r="E825" s="465"/>
    </row>
    <row r="826">
      <c r="C826" s="465"/>
      <c r="D826" s="465"/>
      <c r="E826" s="465"/>
    </row>
    <row r="827">
      <c r="C827" s="465"/>
      <c r="D827" s="465"/>
      <c r="E827" s="465"/>
    </row>
    <row r="828">
      <c r="C828" s="465"/>
      <c r="D828" s="465"/>
      <c r="E828" s="465"/>
    </row>
    <row r="829">
      <c r="C829" s="465"/>
      <c r="D829" s="465"/>
      <c r="E829" s="465"/>
    </row>
    <row r="830">
      <c r="C830" s="465"/>
      <c r="D830" s="465"/>
      <c r="E830" s="465"/>
    </row>
    <row r="831">
      <c r="C831" s="465"/>
      <c r="D831" s="465"/>
      <c r="E831" s="465"/>
    </row>
    <row r="832">
      <c r="C832" s="465"/>
      <c r="D832" s="465"/>
      <c r="E832" s="465"/>
    </row>
    <row r="833">
      <c r="C833" s="465"/>
      <c r="D833" s="465"/>
      <c r="E833" s="465"/>
    </row>
    <row r="834">
      <c r="C834" s="465"/>
      <c r="D834" s="465"/>
      <c r="E834" s="465"/>
    </row>
    <row r="835">
      <c r="C835" s="465"/>
      <c r="D835" s="465"/>
      <c r="E835" s="465"/>
    </row>
    <row r="836">
      <c r="C836" s="465"/>
      <c r="D836" s="465"/>
      <c r="E836" s="465"/>
    </row>
    <row r="837">
      <c r="C837" s="465"/>
      <c r="D837" s="465"/>
      <c r="E837" s="465"/>
    </row>
    <row r="838">
      <c r="C838" s="465"/>
      <c r="D838" s="465"/>
      <c r="E838" s="465"/>
    </row>
    <row r="839">
      <c r="C839" s="465"/>
      <c r="D839" s="465"/>
      <c r="E839" s="465"/>
    </row>
    <row r="840">
      <c r="C840" s="465"/>
      <c r="D840" s="465"/>
      <c r="E840" s="465"/>
    </row>
    <row r="841">
      <c r="C841" s="465"/>
      <c r="D841" s="465"/>
      <c r="E841" s="465"/>
    </row>
    <row r="842">
      <c r="C842" s="465"/>
      <c r="D842" s="465"/>
      <c r="E842" s="465"/>
    </row>
    <row r="843">
      <c r="C843" s="465"/>
      <c r="D843" s="465"/>
      <c r="E843" s="465"/>
    </row>
    <row r="844">
      <c r="C844" s="465"/>
      <c r="D844" s="465"/>
      <c r="E844" s="465"/>
    </row>
    <row r="845">
      <c r="C845" s="465"/>
      <c r="D845" s="465"/>
      <c r="E845" s="465"/>
    </row>
    <row r="846">
      <c r="C846" s="465"/>
      <c r="D846" s="465"/>
      <c r="E846" s="465"/>
    </row>
    <row r="847">
      <c r="C847" s="465"/>
      <c r="D847" s="465"/>
      <c r="E847" s="465"/>
    </row>
    <row r="848">
      <c r="C848" s="465"/>
      <c r="D848" s="465"/>
      <c r="E848" s="465"/>
    </row>
    <row r="849">
      <c r="C849" s="465"/>
      <c r="D849" s="465"/>
      <c r="E849" s="465"/>
    </row>
    <row r="850">
      <c r="C850" s="465"/>
      <c r="D850" s="465"/>
      <c r="E850" s="465"/>
    </row>
    <row r="851">
      <c r="C851" s="465"/>
      <c r="D851" s="465"/>
      <c r="E851" s="465"/>
    </row>
    <row r="852">
      <c r="C852" s="465"/>
      <c r="D852" s="465"/>
      <c r="E852" s="465"/>
    </row>
    <row r="853">
      <c r="C853" s="465"/>
      <c r="D853" s="465"/>
      <c r="E853" s="465"/>
    </row>
    <row r="854">
      <c r="C854" s="465"/>
      <c r="D854" s="465"/>
      <c r="E854" s="465"/>
    </row>
    <row r="855">
      <c r="C855" s="465"/>
      <c r="D855" s="465"/>
      <c r="E855" s="465"/>
    </row>
    <row r="856">
      <c r="C856" s="465"/>
      <c r="D856" s="465"/>
      <c r="E856" s="465"/>
    </row>
    <row r="857">
      <c r="C857" s="465"/>
      <c r="D857" s="465"/>
      <c r="E857" s="465"/>
    </row>
    <row r="858">
      <c r="C858" s="465"/>
      <c r="D858" s="465"/>
      <c r="E858" s="465"/>
    </row>
    <row r="859">
      <c r="C859" s="465"/>
      <c r="D859" s="465"/>
      <c r="E859" s="465"/>
    </row>
    <row r="860">
      <c r="C860" s="465"/>
      <c r="D860" s="465"/>
      <c r="E860" s="465"/>
    </row>
    <row r="861">
      <c r="C861" s="465"/>
      <c r="D861" s="465"/>
      <c r="E861" s="465"/>
    </row>
    <row r="862">
      <c r="C862" s="465"/>
      <c r="D862" s="465"/>
      <c r="E862" s="465"/>
    </row>
    <row r="863">
      <c r="C863" s="465"/>
      <c r="D863" s="465"/>
      <c r="E863" s="465"/>
    </row>
    <row r="864">
      <c r="C864" s="465"/>
      <c r="D864" s="465"/>
      <c r="E864" s="465"/>
    </row>
    <row r="865">
      <c r="C865" s="465"/>
      <c r="D865" s="465"/>
      <c r="E865" s="465"/>
    </row>
    <row r="866">
      <c r="C866" s="465"/>
      <c r="D866" s="465"/>
      <c r="E866" s="465"/>
    </row>
    <row r="867">
      <c r="C867" s="465"/>
      <c r="D867" s="465"/>
      <c r="E867" s="465"/>
    </row>
    <row r="868">
      <c r="C868" s="465"/>
      <c r="D868" s="465"/>
      <c r="E868" s="465"/>
    </row>
    <row r="869">
      <c r="C869" s="465"/>
      <c r="D869" s="465"/>
      <c r="E869" s="465"/>
    </row>
    <row r="870">
      <c r="C870" s="465"/>
      <c r="D870" s="465"/>
      <c r="E870" s="465"/>
    </row>
    <row r="871">
      <c r="C871" s="465"/>
      <c r="D871" s="465"/>
      <c r="E871" s="465"/>
    </row>
    <row r="872">
      <c r="C872" s="465"/>
      <c r="D872" s="465"/>
      <c r="E872" s="465"/>
    </row>
    <row r="873">
      <c r="C873" s="465"/>
      <c r="D873" s="465"/>
      <c r="E873" s="465"/>
    </row>
    <row r="874">
      <c r="C874" s="465"/>
      <c r="D874" s="465"/>
      <c r="E874" s="465"/>
    </row>
    <row r="875">
      <c r="C875" s="465"/>
      <c r="D875" s="465"/>
      <c r="E875" s="465"/>
    </row>
    <row r="876">
      <c r="C876" s="465"/>
      <c r="D876" s="465"/>
      <c r="E876" s="465"/>
    </row>
    <row r="877">
      <c r="C877" s="465"/>
      <c r="D877" s="465"/>
      <c r="E877" s="465"/>
    </row>
    <row r="878">
      <c r="C878" s="465"/>
      <c r="D878" s="465"/>
      <c r="E878" s="465"/>
    </row>
    <row r="879">
      <c r="C879" s="465"/>
      <c r="D879" s="465"/>
      <c r="E879" s="465"/>
    </row>
    <row r="880">
      <c r="C880" s="465"/>
      <c r="D880" s="465"/>
      <c r="E880" s="465"/>
    </row>
    <row r="881">
      <c r="C881" s="465"/>
      <c r="D881" s="465"/>
      <c r="E881" s="465"/>
    </row>
    <row r="882">
      <c r="C882" s="465"/>
      <c r="D882" s="465"/>
      <c r="E882" s="465"/>
    </row>
    <row r="883">
      <c r="C883" s="465"/>
      <c r="D883" s="465"/>
      <c r="E883" s="465"/>
    </row>
    <row r="884">
      <c r="C884" s="465"/>
      <c r="D884" s="465"/>
      <c r="E884" s="465"/>
    </row>
    <row r="885">
      <c r="C885" s="465"/>
      <c r="D885" s="465"/>
      <c r="E885" s="465"/>
    </row>
    <row r="886">
      <c r="C886" s="465"/>
      <c r="D886" s="465"/>
      <c r="E886" s="465"/>
    </row>
    <row r="887">
      <c r="C887" s="465"/>
      <c r="D887" s="465"/>
      <c r="E887" s="465"/>
    </row>
    <row r="888">
      <c r="C888" s="465"/>
      <c r="D888" s="465"/>
      <c r="E888" s="465"/>
    </row>
    <row r="889">
      <c r="C889" s="465"/>
      <c r="D889" s="465"/>
      <c r="E889" s="465"/>
    </row>
    <row r="890">
      <c r="C890" s="465"/>
      <c r="D890" s="465"/>
      <c r="E890" s="465"/>
    </row>
    <row r="891">
      <c r="C891" s="465"/>
      <c r="D891" s="465"/>
      <c r="E891" s="465"/>
    </row>
    <row r="892">
      <c r="C892" s="465"/>
      <c r="D892" s="465"/>
      <c r="E892" s="465"/>
    </row>
    <row r="893">
      <c r="C893" s="465"/>
      <c r="D893" s="465"/>
      <c r="E893" s="465"/>
    </row>
    <row r="894">
      <c r="C894" s="465"/>
      <c r="D894" s="465"/>
      <c r="E894" s="465"/>
    </row>
    <row r="895">
      <c r="C895" s="465"/>
      <c r="D895" s="465"/>
      <c r="E895" s="465"/>
    </row>
    <row r="896">
      <c r="C896" s="465"/>
      <c r="D896" s="465"/>
      <c r="E896" s="465"/>
    </row>
    <row r="897">
      <c r="C897" s="465"/>
      <c r="D897" s="465"/>
      <c r="E897" s="465"/>
    </row>
    <row r="898">
      <c r="C898" s="465"/>
      <c r="D898" s="465"/>
      <c r="E898" s="465"/>
    </row>
    <row r="899">
      <c r="C899" s="465"/>
      <c r="D899" s="465"/>
      <c r="E899" s="465"/>
    </row>
    <row r="900">
      <c r="C900" s="465"/>
      <c r="D900" s="465"/>
      <c r="E900" s="465"/>
    </row>
    <row r="901">
      <c r="C901" s="465"/>
      <c r="D901" s="465"/>
      <c r="E901" s="465"/>
    </row>
    <row r="902">
      <c r="C902" s="465"/>
      <c r="D902" s="465"/>
      <c r="E902" s="465"/>
    </row>
    <row r="903">
      <c r="C903" s="465"/>
      <c r="D903" s="465"/>
      <c r="E903" s="465"/>
    </row>
    <row r="904">
      <c r="C904" s="465"/>
      <c r="D904" s="465"/>
      <c r="E904" s="465"/>
    </row>
    <row r="905">
      <c r="C905" s="465"/>
      <c r="D905" s="465"/>
      <c r="E905" s="465"/>
    </row>
    <row r="906">
      <c r="C906" s="465"/>
      <c r="D906" s="465"/>
      <c r="E906" s="465"/>
    </row>
    <row r="907">
      <c r="C907" s="465"/>
      <c r="D907" s="465"/>
      <c r="E907" s="465"/>
    </row>
    <row r="908">
      <c r="C908" s="465"/>
      <c r="D908" s="465"/>
      <c r="E908" s="465"/>
    </row>
    <row r="909">
      <c r="C909" s="465"/>
      <c r="D909" s="465"/>
      <c r="E909" s="465"/>
    </row>
    <row r="910">
      <c r="C910" s="465"/>
      <c r="D910" s="465"/>
      <c r="E910" s="465"/>
    </row>
    <row r="911">
      <c r="C911" s="465"/>
      <c r="D911" s="465"/>
      <c r="E911" s="465"/>
    </row>
    <row r="912">
      <c r="C912" s="465"/>
      <c r="D912" s="465"/>
      <c r="E912" s="465"/>
    </row>
    <row r="913">
      <c r="C913" s="465"/>
      <c r="D913" s="465"/>
      <c r="E913" s="465"/>
    </row>
    <row r="914">
      <c r="C914" s="465"/>
      <c r="D914" s="465"/>
      <c r="E914" s="465"/>
    </row>
    <row r="915">
      <c r="C915" s="465"/>
      <c r="D915" s="465"/>
      <c r="E915" s="465"/>
    </row>
    <row r="916">
      <c r="C916" s="465"/>
      <c r="D916" s="465"/>
      <c r="E916" s="465"/>
    </row>
    <row r="917">
      <c r="C917" s="465"/>
      <c r="D917" s="465"/>
      <c r="E917" s="465"/>
    </row>
    <row r="918">
      <c r="C918" s="465"/>
      <c r="D918" s="465"/>
      <c r="E918" s="465"/>
    </row>
    <row r="919">
      <c r="C919" s="465"/>
      <c r="D919" s="465"/>
      <c r="E919" s="465"/>
    </row>
    <row r="920">
      <c r="C920" s="465"/>
      <c r="D920" s="465"/>
      <c r="E920" s="465"/>
    </row>
    <row r="921">
      <c r="C921" s="465"/>
      <c r="D921" s="465"/>
      <c r="E921" s="465"/>
    </row>
    <row r="922">
      <c r="C922" s="465"/>
      <c r="D922" s="465"/>
      <c r="E922" s="465"/>
    </row>
    <row r="923">
      <c r="C923" s="465"/>
      <c r="D923" s="465"/>
      <c r="E923" s="465"/>
    </row>
    <row r="924">
      <c r="C924" s="465"/>
      <c r="D924" s="465"/>
      <c r="E924" s="465"/>
    </row>
    <row r="925">
      <c r="C925" s="465"/>
      <c r="D925" s="465"/>
      <c r="E925" s="465"/>
    </row>
    <row r="926">
      <c r="C926" s="465"/>
      <c r="D926" s="465"/>
      <c r="E926" s="465"/>
    </row>
    <row r="927">
      <c r="C927" s="465"/>
      <c r="D927" s="465"/>
      <c r="E927" s="465"/>
    </row>
    <row r="928">
      <c r="C928" s="465"/>
      <c r="D928" s="465"/>
      <c r="E928" s="465"/>
    </row>
    <row r="929">
      <c r="C929" s="465"/>
      <c r="D929" s="465"/>
      <c r="E929" s="465"/>
    </row>
    <row r="930">
      <c r="C930" s="465"/>
      <c r="D930" s="465"/>
      <c r="E930" s="465"/>
    </row>
    <row r="931">
      <c r="C931" s="465"/>
      <c r="D931" s="465"/>
      <c r="E931" s="465"/>
    </row>
    <row r="932">
      <c r="C932" s="465"/>
      <c r="D932" s="465"/>
      <c r="E932" s="465"/>
    </row>
    <row r="933">
      <c r="C933" s="465"/>
      <c r="D933" s="465"/>
      <c r="E933" s="465"/>
    </row>
    <row r="934">
      <c r="C934" s="465"/>
      <c r="D934" s="465"/>
      <c r="E934" s="465"/>
    </row>
    <row r="935">
      <c r="C935" s="465"/>
      <c r="D935" s="465"/>
      <c r="E935" s="465"/>
    </row>
    <row r="936">
      <c r="C936" s="465"/>
      <c r="D936" s="465"/>
      <c r="E936" s="465"/>
    </row>
    <row r="937">
      <c r="C937" s="465"/>
      <c r="D937" s="465"/>
      <c r="E937" s="465"/>
    </row>
    <row r="938">
      <c r="C938" s="465"/>
      <c r="D938" s="465"/>
      <c r="E938" s="465"/>
    </row>
    <row r="939">
      <c r="C939" s="465"/>
      <c r="D939" s="465"/>
      <c r="E939" s="465"/>
    </row>
    <row r="940">
      <c r="C940" s="465"/>
      <c r="D940" s="465"/>
      <c r="E940" s="465"/>
    </row>
    <row r="941">
      <c r="C941" s="465"/>
      <c r="D941" s="465"/>
      <c r="E941" s="465"/>
    </row>
    <row r="942">
      <c r="C942" s="465"/>
      <c r="D942" s="465"/>
      <c r="E942" s="465"/>
    </row>
    <row r="943">
      <c r="C943" s="465"/>
      <c r="D943" s="465"/>
      <c r="E943" s="465"/>
    </row>
    <row r="944">
      <c r="C944" s="465"/>
      <c r="D944" s="465"/>
      <c r="E944" s="465"/>
    </row>
    <row r="945">
      <c r="C945" s="465"/>
      <c r="D945" s="465"/>
      <c r="E945" s="465"/>
    </row>
    <row r="946">
      <c r="C946" s="465"/>
      <c r="D946" s="465"/>
      <c r="E946" s="465"/>
    </row>
    <row r="947">
      <c r="C947" s="465"/>
      <c r="D947" s="465"/>
      <c r="E947" s="465"/>
    </row>
    <row r="948">
      <c r="C948" s="465"/>
      <c r="D948" s="465"/>
      <c r="E948" s="465"/>
    </row>
    <row r="949">
      <c r="C949" s="465"/>
      <c r="D949" s="465"/>
      <c r="E949" s="465"/>
    </row>
    <row r="950">
      <c r="C950" s="465"/>
      <c r="D950" s="465"/>
      <c r="E950" s="465"/>
    </row>
    <row r="951">
      <c r="C951" s="465"/>
      <c r="D951" s="465"/>
      <c r="E951" s="465"/>
    </row>
    <row r="952">
      <c r="C952" s="465"/>
      <c r="D952" s="465"/>
      <c r="E952" s="465"/>
    </row>
    <row r="953">
      <c r="C953" s="465"/>
      <c r="D953" s="465"/>
      <c r="E953" s="465"/>
    </row>
    <row r="954">
      <c r="C954" s="465"/>
      <c r="D954" s="465"/>
      <c r="E954" s="465"/>
    </row>
    <row r="955">
      <c r="C955" s="465"/>
      <c r="D955" s="465"/>
      <c r="E955" s="465"/>
    </row>
    <row r="956">
      <c r="C956" s="465"/>
      <c r="D956" s="465"/>
      <c r="E956" s="465"/>
    </row>
    <row r="957">
      <c r="C957" s="465"/>
      <c r="D957" s="465"/>
      <c r="E957" s="465"/>
    </row>
    <row r="958">
      <c r="C958" s="465"/>
      <c r="D958" s="465"/>
      <c r="E958" s="465"/>
    </row>
    <row r="959">
      <c r="C959" s="465"/>
      <c r="D959" s="465"/>
      <c r="E959" s="465"/>
    </row>
    <row r="960">
      <c r="C960" s="465"/>
      <c r="D960" s="465"/>
      <c r="E960" s="465"/>
    </row>
    <row r="961">
      <c r="C961" s="465"/>
      <c r="D961" s="465"/>
      <c r="E961" s="465"/>
    </row>
    <row r="962">
      <c r="C962" s="465"/>
      <c r="D962" s="465"/>
      <c r="E962" s="465"/>
    </row>
    <row r="963">
      <c r="C963" s="465"/>
      <c r="D963" s="465"/>
      <c r="E963" s="465"/>
    </row>
    <row r="964">
      <c r="C964" s="465"/>
      <c r="D964" s="465"/>
      <c r="E964" s="465"/>
    </row>
    <row r="965">
      <c r="C965" s="465"/>
      <c r="D965" s="465"/>
      <c r="E965" s="465"/>
    </row>
    <row r="966">
      <c r="C966" s="465"/>
      <c r="D966" s="465"/>
      <c r="E966" s="465"/>
    </row>
    <row r="967">
      <c r="C967" s="465"/>
      <c r="D967" s="465"/>
      <c r="E967" s="465"/>
    </row>
    <row r="968">
      <c r="C968" s="465"/>
      <c r="D968" s="465"/>
      <c r="E968" s="465"/>
    </row>
    <row r="969">
      <c r="C969" s="465"/>
      <c r="D969" s="465"/>
      <c r="E969" s="465"/>
    </row>
    <row r="970">
      <c r="C970" s="465"/>
      <c r="D970" s="465"/>
      <c r="E970" s="465"/>
    </row>
    <row r="971">
      <c r="C971" s="465"/>
      <c r="D971" s="465"/>
      <c r="E971" s="465"/>
    </row>
    <row r="972">
      <c r="C972" s="465"/>
      <c r="D972" s="465"/>
      <c r="E972" s="465"/>
    </row>
    <row r="973">
      <c r="C973" s="465"/>
      <c r="D973" s="465"/>
      <c r="E973" s="465"/>
    </row>
    <row r="974">
      <c r="C974" s="465"/>
      <c r="D974" s="465"/>
      <c r="E974" s="465"/>
    </row>
    <row r="975">
      <c r="C975" s="465"/>
      <c r="D975" s="465"/>
      <c r="E975" s="465"/>
    </row>
    <row r="976">
      <c r="C976" s="465"/>
      <c r="D976" s="465"/>
      <c r="E976" s="465"/>
    </row>
    <row r="977">
      <c r="C977" s="465"/>
      <c r="D977" s="465"/>
      <c r="E977" s="465"/>
    </row>
    <row r="978">
      <c r="C978" s="465"/>
      <c r="D978" s="465"/>
      <c r="E978" s="465"/>
    </row>
    <row r="979">
      <c r="C979" s="465"/>
      <c r="D979" s="465"/>
      <c r="E979" s="465"/>
    </row>
    <row r="980">
      <c r="C980" s="465"/>
      <c r="D980" s="465"/>
      <c r="E980" s="465"/>
    </row>
    <row r="981">
      <c r="C981" s="465"/>
      <c r="D981" s="465"/>
      <c r="E981" s="465"/>
    </row>
    <row r="982">
      <c r="C982" s="465"/>
      <c r="D982" s="465"/>
      <c r="E982" s="465"/>
    </row>
    <row r="983">
      <c r="C983" s="465"/>
      <c r="D983" s="465"/>
      <c r="E983" s="465"/>
    </row>
    <row r="984">
      <c r="C984" s="465"/>
      <c r="D984" s="465"/>
      <c r="E984" s="465"/>
    </row>
    <row r="985">
      <c r="C985" s="465"/>
      <c r="D985" s="465"/>
      <c r="E985" s="465"/>
    </row>
    <row r="986">
      <c r="C986" s="465"/>
      <c r="D986" s="465"/>
      <c r="E986" s="465"/>
    </row>
    <row r="987">
      <c r="C987" s="465"/>
      <c r="D987" s="465"/>
      <c r="E987" s="465"/>
    </row>
    <row r="988">
      <c r="C988" s="465"/>
      <c r="D988" s="465"/>
      <c r="E988" s="465"/>
    </row>
    <row r="989">
      <c r="C989" s="465"/>
      <c r="D989" s="465"/>
      <c r="E989" s="465"/>
    </row>
    <row r="990">
      <c r="C990" s="465"/>
      <c r="D990" s="465"/>
      <c r="E990" s="465"/>
    </row>
    <row r="991">
      <c r="C991" s="465"/>
      <c r="D991" s="465"/>
      <c r="E991" s="465"/>
    </row>
    <row r="992">
      <c r="C992" s="465"/>
      <c r="D992" s="465"/>
      <c r="E992" s="465"/>
    </row>
    <row r="993">
      <c r="C993" s="465"/>
      <c r="D993" s="465"/>
      <c r="E993" s="465"/>
    </row>
    <row r="994">
      <c r="C994" s="465"/>
      <c r="D994" s="465"/>
      <c r="E994" s="465"/>
    </row>
    <row r="995">
      <c r="C995" s="465"/>
      <c r="D995" s="465"/>
      <c r="E995" s="465"/>
    </row>
    <row r="996">
      <c r="C996" s="465"/>
      <c r="D996" s="465"/>
      <c r="E996" s="465"/>
    </row>
    <row r="997">
      <c r="C997" s="465"/>
      <c r="D997" s="465"/>
      <c r="E997" s="465"/>
    </row>
    <row r="998">
      <c r="C998" s="465"/>
      <c r="D998" s="465"/>
      <c r="E998" s="465"/>
    </row>
    <row r="999">
      <c r="C999" s="465"/>
      <c r="D999" s="465"/>
      <c r="E999" s="465"/>
    </row>
    <row r="1000">
      <c r="C1000" s="465"/>
      <c r="D1000" s="465"/>
      <c r="E1000" s="465"/>
    </row>
  </sheetData>
  <hyperlinks>
    <hyperlink r:id="rId2" ref="D2"/>
    <hyperlink r:id="rId3" ref="D6"/>
    <hyperlink r:id="rId4" ref="D7"/>
    <hyperlink r:id="rId5" ref="D9"/>
    <hyperlink r:id="rId6" ref="D11"/>
    <hyperlink r:id="rId7" ref="D12"/>
    <hyperlink r:id="rId8" ref="D14"/>
    <hyperlink r:id="rId9" ref="D15"/>
    <hyperlink r:id="rId10" ref="D16"/>
    <hyperlink r:id="rId11" ref="D17"/>
    <hyperlink r:id="rId12" ref="D18"/>
    <hyperlink r:id="rId13" ref="D19"/>
    <hyperlink r:id="rId14" ref="D20"/>
    <hyperlink r:id="rId15" ref="D26"/>
    <hyperlink r:id="rId16" ref="D34"/>
    <hyperlink r:id="rId17" ref="D36"/>
    <hyperlink r:id="rId18" ref="D39"/>
    <hyperlink r:id="rId19" ref="D41"/>
    <hyperlink r:id="rId20" ref="D43"/>
    <hyperlink r:id="rId21" ref="D44"/>
    <hyperlink r:id="rId22" ref="D46"/>
    <hyperlink r:id="rId23" ref="D47"/>
    <hyperlink r:id="rId24" ref="D48"/>
    <hyperlink r:id="rId25" ref="D51"/>
    <hyperlink r:id="rId26" ref="D53"/>
    <hyperlink r:id="rId27" ref="D54"/>
    <hyperlink r:id="rId28" ref="D55"/>
    <hyperlink r:id="rId29" ref="C57"/>
    <hyperlink r:id="rId30" ref="D59"/>
    <hyperlink r:id="rId31" ref="D60"/>
    <hyperlink r:id="rId32" ref="D61"/>
    <hyperlink r:id="rId33" ref="D66"/>
    <hyperlink r:id="rId34" ref="D67"/>
    <hyperlink r:id="rId35" ref="D68"/>
    <hyperlink r:id="rId36" ref="D69"/>
    <hyperlink r:id="rId37" ref="D72"/>
    <hyperlink r:id="rId38" ref="D74"/>
    <hyperlink r:id="rId39" ref="D75"/>
    <hyperlink r:id="rId40" ref="D76"/>
    <hyperlink r:id="rId41" ref="D81"/>
    <hyperlink r:id="rId42" ref="D82"/>
    <hyperlink r:id="rId43" ref="D83"/>
    <hyperlink r:id="rId44" ref="D87"/>
    <hyperlink r:id="rId45" ref="D91"/>
    <hyperlink r:id="rId46" ref="D92"/>
    <hyperlink r:id="rId47" ref="D95"/>
    <hyperlink r:id="rId48" ref="D96"/>
    <hyperlink r:id="rId49" ref="D97"/>
    <hyperlink r:id="rId50" ref="D98"/>
    <hyperlink r:id="rId51" ref="D99"/>
    <hyperlink r:id="rId52" ref="D100"/>
    <hyperlink r:id="rId53" ref="A101"/>
    <hyperlink r:id="rId54" ref="D101"/>
    <hyperlink r:id="rId55" ref="D102"/>
    <hyperlink r:id="rId56" ref="C103"/>
    <hyperlink r:id="rId57" ref="D103"/>
    <hyperlink r:id="rId58" ref="C104"/>
    <hyperlink r:id="rId59" ref="D105"/>
    <hyperlink r:id="rId60" ref="D106"/>
    <hyperlink r:id="rId61" ref="D107"/>
    <hyperlink r:id="rId62" ref="D108"/>
    <hyperlink r:id="rId63" ref="D109"/>
    <hyperlink r:id="rId64" ref="D110"/>
    <hyperlink r:id="rId65" ref="D111"/>
    <hyperlink r:id="rId66" ref="D112"/>
    <hyperlink r:id="rId67" ref="D113"/>
    <hyperlink r:id="rId68" ref="D114"/>
    <hyperlink r:id="rId69" ref="D115"/>
    <hyperlink r:id="rId70" ref="D116"/>
    <hyperlink r:id="rId71" ref="D117"/>
    <hyperlink r:id="rId72" ref="D118"/>
    <hyperlink r:id="rId73" ref="D119"/>
    <hyperlink r:id="rId74" ref="D120"/>
    <hyperlink r:id="rId75" ref="D121"/>
    <hyperlink r:id="rId76" ref="D122"/>
    <hyperlink r:id="rId77" ref="D123"/>
    <hyperlink r:id="rId78" ref="D124"/>
    <hyperlink r:id="rId79" ref="D125"/>
    <hyperlink r:id="rId80" ref="D126"/>
    <hyperlink r:id="rId81" ref="D127"/>
    <hyperlink r:id="rId82" ref="D128"/>
    <hyperlink r:id="rId83" ref="D129"/>
    <hyperlink r:id="rId84" ref="D130"/>
    <hyperlink r:id="rId85" ref="C131"/>
    <hyperlink r:id="rId86" ref="D131"/>
    <hyperlink r:id="rId87" ref="D132"/>
    <hyperlink r:id="rId88" ref="D133"/>
    <hyperlink r:id="rId89" ref="D135"/>
    <hyperlink r:id="rId90" ref="D136"/>
    <hyperlink r:id="rId91" ref="D137"/>
    <hyperlink r:id="rId92" ref="D138"/>
    <hyperlink r:id="rId93" ref="D139"/>
    <hyperlink r:id="rId94" ref="D140"/>
    <hyperlink r:id="rId95" ref="D142"/>
    <hyperlink r:id="rId96" ref="D143"/>
    <hyperlink r:id="rId97" ref="D144"/>
    <hyperlink r:id="rId98" ref="D145"/>
    <hyperlink r:id="rId99" ref="D148"/>
    <hyperlink r:id="rId100" ref="D149"/>
    <hyperlink r:id="rId101" ref="D150"/>
  </hyperlinks>
  <drawing r:id="rId102"/>
  <legacyDrawing r:id="rId103"/>
  <tableParts count="1">
    <tablePart r:id="rId10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5.0"/>
    <col customWidth="1" min="4" max="4" width="16.88"/>
    <col customWidth="1" min="5" max="5" width="26.88"/>
  </cols>
  <sheetData>
    <row r="1" ht="22.5" customHeight="1">
      <c r="A1" s="473" t="s">
        <v>2995</v>
      </c>
      <c r="B1" s="473" t="s">
        <v>3803</v>
      </c>
      <c r="C1" s="473" t="s">
        <v>1</v>
      </c>
      <c r="D1" s="473" t="s">
        <v>3172</v>
      </c>
      <c r="E1" s="473" t="s">
        <v>4</v>
      </c>
      <c r="F1" s="473" t="s">
        <v>2996</v>
      </c>
      <c r="G1" s="473" t="s">
        <v>2730</v>
      </c>
      <c r="H1" s="473" t="s">
        <v>3804</v>
      </c>
      <c r="I1" s="473" t="s">
        <v>3805</v>
      </c>
      <c r="J1" s="473" t="s">
        <v>3806</v>
      </c>
      <c r="K1" s="474" t="s">
        <v>3807</v>
      </c>
      <c r="L1" s="474" t="s">
        <v>3808</v>
      </c>
      <c r="M1" s="474" t="s">
        <v>3809</v>
      </c>
    </row>
    <row r="2" ht="22.5" customHeight="1">
      <c r="A2" s="475" t="s">
        <v>3810</v>
      </c>
      <c r="B2" s="475" t="s">
        <v>3811</v>
      </c>
      <c r="C2" s="475" t="s">
        <v>3812</v>
      </c>
      <c r="D2" s="476"/>
      <c r="E2" s="477" t="s">
        <v>3813</v>
      </c>
      <c r="F2" s="478"/>
      <c r="G2" s="478"/>
      <c r="H2" s="478"/>
      <c r="I2" s="478"/>
      <c r="J2" s="478"/>
      <c r="K2" s="479"/>
      <c r="L2" s="479"/>
      <c r="M2" s="479"/>
    </row>
    <row r="3" ht="22.5" customHeight="1">
      <c r="A3" s="475" t="s">
        <v>3810</v>
      </c>
      <c r="B3" s="475" t="s">
        <v>3814</v>
      </c>
      <c r="C3" s="475" t="s">
        <v>3815</v>
      </c>
      <c r="D3" s="476"/>
      <c r="E3" s="477" t="s">
        <v>3813</v>
      </c>
      <c r="F3" s="478" t="s">
        <v>3816</v>
      </c>
      <c r="G3" s="480" t="s">
        <v>3817</v>
      </c>
      <c r="H3" s="478" t="s">
        <v>2329</v>
      </c>
      <c r="I3" s="478"/>
      <c r="J3" s="478"/>
      <c r="K3" s="479"/>
      <c r="L3" s="479"/>
      <c r="M3" s="479"/>
    </row>
    <row r="4" ht="22.5" customHeight="1">
      <c r="A4" s="475" t="s">
        <v>3818</v>
      </c>
      <c r="B4" s="475" t="s">
        <v>3819</v>
      </c>
      <c r="C4" s="475" t="s">
        <v>3820</v>
      </c>
      <c r="D4" s="481" t="s">
        <v>3821</v>
      </c>
      <c r="E4" s="475" t="s">
        <v>3822</v>
      </c>
      <c r="F4" s="478" t="s">
        <v>3823</v>
      </c>
      <c r="G4" s="477" t="s">
        <v>3824</v>
      </c>
      <c r="H4" s="475" t="s">
        <v>2125</v>
      </c>
      <c r="I4" s="478"/>
      <c r="J4" s="475" t="s">
        <v>3825</v>
      </c>
      <c r="K4" s="482"/>
      <c r="L4" s="482"/>
      <c r="M4" s="482"/>
    </row>
    <row r="5" ht="22.5" customHeight="1">
      <c r="A5" s="475" t="s">
        <v>3810</v>
      </c>
      <c r="B5" s="475" t="s">
        <v>3826</v>
      </c>
      <c r="C5" s="478" t="s">
        <v>3827</v>
      </c>
      <c r="D5" s="481" t="s">
        <v>3828</v>
      </c>
      <c r="E5" s="477" t="s">
        <v>3829</v>
      </c>
      <c r="F5" s="478"/>
      <c r="G5" s="478"/>
      <c r="H5" s="478"/>
      <c r="I5" s="478"/>
      <c r="J5" s="478"/>
      <c r="K5" s="479"/>
      <c r="L5" s="479"/>
      <c r="M5" s="479"/>
    </row>
    <row r="6" ht="22.5" customHeight="1">
      <c r="A6" s="475" t="s">
        <v>3810</v>
      </c>
      <c r="B6" s="475" t="s">
        <v>3830</v>
      </c>
      <c r="C6" s="478" t="s">
        <v>3831</v>
      </c>
      <c r="D6" s="483" t="s">
        <v>3832</v>
      </c>
      <c r="E6" s="475" t="s">
        <v>3833</v>
      </c>
      <c r="F6" s="478"/>
      <c r="G6" s="477" t="s">
        <v>3834</v>
      </c>
      <c r="H6" s="475" t="s">
        <v>2329</v>
      </c>
      <c r="I6" s="478"/>
      <c r="J6" s="478"/>
      <c r="K6" s="479"/>
      <c r="L6" s="479"/>
      <c r="M6" s="479"/>
    </row>
    <row r="7" ht="22.5" customHeight="1">
      <c r="A7" s="475" t="s">
        <v>3810</v>
      </c>
      <c r="B7" s="475" t="s">
        <v>3835</v>
      </c>
      <c r="C7" s="478" t="s">
        <v>3836</v>
      </c>
      <c r="D7" s="481" t="s">
        <v>3837</v>
      </c>
      <c r="E7" s="475" t="s">
        <v>3838</v>
      </c>
      <c r="F7" s="478"/>
      <c r="G7" s="477" t="s">
        <v>3839</v>
      </c>
      <c r="H7" s="475" t="s">
        <v>2329</v>
      </c>
      <c r="I7" s="478"/>
      <c r="J7" s="478"/>
      <c r="K7" s="479"/>
      <c r="L7" s="479"/>
      <c r="M7" s="479"/>
    </row>
    <row r="8" ht="22.5" customHeight="1">
      <c r="A8" s="475" t="s">
        <v>3810</v>
      </c>
      <c r="B8" s="475" t="s">
        <v>3840</v>
      </c>
      <c r="C8" s="478" t="s">
        <v>3831</v>
      </c>
      <c r="D8" s="476"/>
      <c r="E8" s="475" t="s">
        <v>3841</v>
      </c>
      <c r="F8" s="478"/>
      <c r="G8" s="477" t="s">
        <v>3842</v>
      </c>
      <c r="H8" s="475" t="s">
        <v>3831</v>
      </c>
      <c r="I8" s="478"/>
      <c r="J8" s="478"/>
      <c r="K8" s="479"/>
      <c r="L8" s="479"/>
      <c r="M8" s="479"/>
    </row>
    <row r="9" ht="22.5" customHeight="1">
      <c r="A9" s="475" t="s">
        <v>3810</v>
      </c>
      <c r="B9" s="475" t="s">
        <v>3843</v>
      </c>
      <c r="C9" s="478" t="s">
        <v>3831</v>
      </c>
      <c r="D9" s="476"/>
      <c r="E9" s="478"/>
      <c r="F9" s="478"/>
      <c r="G9" s="478"/>
      <c r="H9" s="478"/>
      <c r="I9" s="478"/>
      <c r="J9" s="478"/>
      <c r="K9" s="479"/>
      <c r="L9" s="479"/>
      <c r="M9" s="479"/>
    </row>
    <row r="10" ht="22.5" customHeight="1">
      <c r="A10" s="475" t="s">
        <v>3810</v>
      </c>
      <c r="B10" s="475" t="s">
        <v>3844</v>
      </c>
      <c r="C10" s="475" t="s">
        <v>3845</v>
      </c>
      <c r="D10" s="484" t="s">
        <v>3846</v>
      </c>
      <c r="E10" s="475" t="s">
        <v>3847</v>
      </c>
      <c r="F10" s="478"/>
      <c r="G10" s="478"/>
      <c r="H10" s="478"/>
      <c r="I10" s="478"/>
      <c r="J10" s="478"/>
      <c r="K10" s="479"/>
      <c r="L10" s="479"/>
      <c r="M10" s="479"/>
    </row>
    <row r="11" ht="22.5" customHeight="1">
      <c r="A11" s="475" t="s">
        <v>3810</v>
      </c>
      <c r="B11" s="475" t="s">
        <v>3848</v>
      </c>
      <c r="C11" s="475" t="s">
        <v>3849</v>
      </c>
      <c r="D11" s="485">
        <f>966122339200</f>
        <v>966122339200</v>
      </c>
      <c r="E11" s="475" t="s">
        <v>3850</v>
      </c>
      <c r="F11" s="478"/>
      <c r="G11" s="477" t="s">
        <v>3851</v>
      </c>
      <c r="H11" s="478"/>
      <c r="I11" s="478"/>
      <c r="J11" s="478"/>
      <c r="K11" s="479"/>
      <c r="L11" s="479"/>
      <c r="M11" s="479"/>
    </row>
    <row r="12" ht="22.5" customHeight="1">
      <c r="A12" s="475" t="s">
        <v>3810</v>
      </c>
      <c r="B12" s="475" t="s">
        <v>3852</v>
      </c>
      <c r="C12" s="475" t="s">
        <v>3853</v>
      </c>
      <c r="D12" s="481" t="s">
        <v>3854</v>
      </c>
      <c r="E12" s="475" t="s">
        <v>3855</v>
      </c>
      <c r="F12" s="478"/>
      <c r="G12" s="477" t="s">
        <v>3856</v>
      </c>
      <c r="H12" s="478"/>
      <c r="I12" s="478"/>
      <c r="J12" s="478"/>
      <c r="K12" s="479"/>
      <c r="L12" s="479"/>
      <c r="M12" s="479"/>
    </row>
    <row r="13" ht="22.5" customHeight="1">
      <c r="A13" s="475" t="s">
        <v>3810</v>
      </c>
      <c r="B13" s="475" t="s">
        <v>3857</v>
      </c>
      <c r="C13" s="475" t="s">
        <v>3858</v>
      </c>
      <c r="D13" s="485">
        <v>9.20024033E8</v>
      </c>
      <c r="E13" s="475" t="s">
        <v>3859</v>
      </c>
      <c r="F13" s="478"/>
      <c r="G13" s="477" t="s">
        <v>3860</v>
      </c>
      <c r="H13" s="478"/>
      <c r="I13" s="478"/>
      <c r="J13" s="478"/>
      <c r="K13" s="479"/>
      <c r="L13" s="479"/>
      <c r="M13" s="479"/>
    </row>
    <row r="14" ht="22.5" customHeight="1">
      <c r="A14" s="475" t="s">
        <v>3810</v>
      </c>
      <c r="B14" s="475" t="s">
        <v>3861</v>
      </c>
      <c r="C14" s="478"/>
      <c r="D14" s="485">
        <v>9.20015564E8</v>
      </c>
      <c r="E14" s="475" t="s">
        <v>3862</v>
      </c>
      <c r="F14" s="478"/>
      <c r="G14" s="477" t="s">
        <v>3863</v>
      </c>
      <c r="H14" s="478"/>
      <c r="I14" s="478"/>
      <c r="J14" s="478"/>
      <c r="K14" s="479"/>
      <c r="L14" s="479"/>
      <c r="M14" s="479"/>
    </row>
    <row r="15" ht="22.5" customHeight="1">
      <c r="A15" s="475" t="s">
        <v>3810</v>
      </c>
      <c r="B15" s="475" t="s">
        <v>3864</v>
      </c>
      <c r="C15" s="475" t="s">
        <v>3865</v>
      </c>
      <c r="D15" s="485">
        <v>9.647744000088E12</v>
      </c>
      <c r="E15" s="478" t="s">
        <v>3866</v>
      </c>
      <c r="F15" s="478"/>
      <c r="G15" s="477" t="s">
        <v>3867</v>
      </c>
      <c r="H15" s="478"/>
      <c r="I15" s="478"/>
      <c r="J15" s="478"/>
      <c r="K15" s="479"/>
      <c r="L15" s="479"/>
      <c r="M15" s="479"/>
    </row>
    <row r="16" ht="22.5" customHeight="1">
      <c r="A16" s="475" t="s">
        <v>3868</v>
      </c>
      <c r="B16" s="478" t="s">
        <v>3869</v>
      </c>
      <c r="C16" s="478" t="s">
        <v>3870</v>
      </c>
      <c r="D16" s="476" t="s">
        <v>3871</v>
      </c>
      <c r="E16" s="480" t="s">
        <v>3872</v>
      </c>
      <c r="F16" s="478"/>
      <c r="G16" s="478"/>
      <c r="H16" s="478"/>
      <c r="I16" s="478"/>
      <c r="J16" s="478"/>
      <c r="K16" s="479"/>
      <c r="L16" s="479"/>
      <c r="M16" s="479"/>
    </row>
    <row r="17" ht="22.5" customHeight="1">
      <c r="A17" s="475" t="s">
        <v>3868</v>
      </c>
      <c r="B17" s="478" t="s">
        <v>3873</v>
      </c>
      <c r="C17" s="478" t="s">
        <v>3870</v>
      </c>
      <c r="D17" s="476" t="s">
        <v>3874</v>
      </c>
      <c r="E17" s="480" t="s">
        <v>3875</v>
      </c>
      <c r="F17" s="478"/>
      <c r="G17" s="478"/>
      <c r="H17" s="478"/>
      <c r="I17" s="478"/>
      <c r="J17" s="478"/>
      <c r="K17" s="479"/>
      <c r="L17" s="479"/>
      <c r="M17" s="479"/>
    </row>
    <row r="18" ht="22.5" customHeight="1">
      <c r="A18" s="475" t="s">
        <v>3868</v>
      </c>
      <c r="B18" s="478" t="s">
        <v>3876</v>
      </c>
      <c r="C18" s="478" t="s">
        <v>3870</v>
      </c>
      <c r="D18" s="476" t="s">
        <v>3877</v>
      </c>
      <c r="E18" s="478" t="s">
        <v>3878</v>
      </c>
      <c r="F18" s="478"/>
      <c r="G18" s="478"/>
      <c r="H18" s="478"/>
      <c r="I18" s="478"/>
      <c r="J18" s="478"/>
      <c r="K18" s="479"/>
      <c r="L18" s="479"/>
      <c r="M18" s="479"/>
    </row>
    <row r="19" ht="22.5" customHeight="1">
      <c r="A19" s="475" t="s">
        <v>3868</v>
      </c>
      <c r="B19" s="478" t="s">
        <v>3879</v>
      </c>
      <c r="C19" s="478" t="s">
        <v>3870</v>
      </c>
      <c r="D19" s="476" t="s">
        <v>3880</v>
      </c>
      <c r="E19" s="478" t="s">
        <v>3881</v>
      </c>
      <c r="F19" s="478"/>
      <c r="G19" s="478"/>
      <c r="H19" s="478"/>
      <c r="I19" s="478"/>
      <c r="J19" s="478"/>
      <c r="K19" s="479"/>
      <c r="L19" s="479"/>
      <c r="M19" s="479"/>
    </row>
    <row r="20" ht="22.5" customHeight="1">
      <c r="A20" s="475" t="s">
        <v>3868</v>
      </c>
      <c r="B20" s="478" t="s">
        <v>3882</v>
      </c>
      <c r="C20" s="478" t="s">
        <v>3870</v>
      </c>
      <c r="D20" s="476" t="s">
        <v>3883</v>
      </c>
      <c r="E20" s="478" t="s">
        <v>3884</v>
      </c>
      <c r="F20" s="478"/>
      <c r="G20" s="478"/>
      <c r="H20" s="478"/>
      <c r="I20" s="478"/>
      <c r="J20" s="478"/>
      <c r="K20" s="479"/>
      <c r="L20" s="479"/>
      <c r="M20" s="479"/>
    </row>
    <row r="21" ht="22.5" customHeight="1">
      <c r="A21" s="475" t="s">
        <v>3868</v>
      </c>
      <c r="B21" s="478" t="s">
        <v>3885</v>
      </c>
      <c r="C21" s="478" t="s">
        <v>3870</v>
      </c>
      <c r="D21" s="486" t="s">
        <v>3886</v>
      </c>
      <c r="E21" s="478" t="s">
        <v>3887</v>
      </c>
      <c r="F21" s="478"/>
      <c r="G21" s="478"/>
      <c r="H21" s="478"/>
      <c r="I21" s="478"/>
      <c r="J21" s="478"/>
      <c r="K21" s="479"/>
      <c r="L21" s="479"/>
      <c r="M21" s="479"/>
    </row>
    <row r="22" ht="22.5" customHeight="1">
      <c r="A22" s="475" t="s">
        <v>3868</v>
      </c>
      <c r="B22" s="478" t="s">
        <v>3888</v>
      </c>
      <c r="C22" s="478" t="s">
        <v>3870</v>
      </c>
      <c r="D22" s="486" t="s">
        <v>3889</v>
      </c>
      <c r="E22" s="478" t="s">
        <v>3890</v>
      </c>
      <c r="F22" s="478"/>
      <c r="G22" s="478"/>
      <c r="H22" s="478"/>
      <c r="I22" s="478"/>
      <c r="J22" s="478"/>
      <c r="K22" s="479"/>
      <c r="L22" s="479"/>
      <c r="M22" s="479"/>
    </row>
    <row r="23" ht="22.5" customHeight="1">
      <c r="A23" s="475" t="s">
        <v>3868</v>
      </c>
      <c r="B23" s="478" t="s">
        <v>3891</v>
      </c>
      <c r="C23" s="478" t="s">
        <v>3870</v>
      </c>
      <c r="D23" s="486" t="s">
        <v>3892</v>
      </c>
      <c r="E23" s="478" t="s">
        <v>3893</v>
      </c>
      <c r="F23" s="478"/>
      <c r="G23" s="478"/>
      <c r="H23" s="478"/>
      <c r="I23" s="478"/>
      <c r="J23" s="478"/>
      <c r="K23" s="479"/>
      <c r="L23" s="479"/>
      <c r="M23" s="479"/>
    </row>
    <row r="24" ht="22.5" customHeight="1">
      <c r="A24" s="475" t="s">
        <v>3868</v>
      </c>
      <c r="B24" s="478" t="s">
        <v>3894</v>
      </c>
      <c r="C24" s="478" t="s">
        <v>3870</v>
      </c>
      <c r="D24" s="476" t="s">
        <v>3895</v>
      </c>
      <c r="E24" s="478" t="s">
        <v>3896</v>
      </c>
      <c r="F24" s="478"/>
      <c r="G24" s="478"/>
      <c r="H24" s="478"/>
      <c r="I24" s="478"/>
      <c r="J24" s="478"/>
      <c r="K24" s="479"/>
      <c r="L24" s="479"/>
      <c r="M24" s="479"/>
    </row>
    <row r="25" ht="22.5" customHeight="1">
      <c r="A25" s="475" t="s">
        <v>3868</v>
      </c>
      <c r="B25" s="478" t="s">
        <v>3897</v>
      </c>
      <c r="C25" s="478" t="s">
        <v>3870</v>
      </c>
      <c r="D25" s="486" t="s">
        <v>3898</v>
      </c>
      <c r="E25" s="478" t="s">
        <v>3899</v>
      </c>
      <c r="F25" s="478"/>
      <c r="G25" s="478"/>
      <c r="H25" s="478"/>
      <c r="I25" s="478"/>
      <c r="J25" s="478"/>
      <c r="K25" s="479"/>
      <c r="L25" s="479"/>
      <c r="M25" s="479"/>
    </row>
    <row r="26" ht="22.5" customHeight="1">
      <c r="A26" s="475" t="s">
        <v>3868</v>
      </c>
      <c r="B26" s="478" t="s">
        <v>3900</v>
      </c>
      <c r="C26" s="478" t="s">
        <v>3870</v>
      </c>
      <c r="D26" s="476" t="s">
        <v>3901</v>
      </c>
      <c r="E26" s="478" t="s">
        <v>3902</v>
      </c>
      <c r="F26" s="478"/>
      <c r="G26" s="478"/>
      <c r="H26" s="478"/>
      <c r="I26" s="478"/>
      <c r="J26" s="478"/>
      <c r="K26" s="479"/>
      <c r="L26" s="479"/>
      <c r="M26" s="479"/>
    </row>
    <row r="27" ht="22.5" customHeight="1">
      <c r="A27" s="475" t="s">
        <v>3868</v>
      </c>
      <c r="B27" s="478" t="s">
        <v>3903</v>
      </c>
      <c r="C27" s="478" t="s">
        <v>3870</v>
      </c>
      <c r="D27" s="476" t="s">
        <v>3904</v>
      </c>
      <c r="E27" s="478" t="s">
        <v>3905</v>
      </c>
      <c r="F27" s="478"/>
      <c r="G27" s="478"/>
      <c r="H27" s="478"/>
      <c r="I27" s="478"/>
      <c r="J27" s="478"/>
      <c r="K27" s="479"/>
      <c r="L27" s="479"/>
      <c r="M27" s="479"/>
    </row>
    <row r="28" ht="22.5" customHeight="1">
      <c r="A28" s="475" t="s">
        <v>3868</v>
      </c>
      <c r="B28" s="478" t="s">
        <v>3906</v>
      </c>
      <c r="C28" s="478" t="s">
        <v>3870</v>
      </c>
      <c r="D28" s="476" t="s">
        <v>3907</v>
      </c>
      <c r="E28" s="478" t="s">
        <v>3908</v>
      </c>
      <c r="F28" s="478"/>
      <c r="G28" s="478"/>
      <c r="H28" s="478"/>
      <c r="I28" s="478"/>
      <c r="J28" s="478"/>
      <c r="K28" s="479"/>
      <c r="L28" s="479"/>
      <c r="M28" s="479"/>
    </row>
    <row r="29" ht="22.5" customHeight="1">
      <c r="A29" s="475" t="s">
        <v>3868</v>
      </c>
      <c r="B29" s="478" t="s">
        <v>3909</v>
      </c>
      <c r="C29" s="478" t="s">
        <v>3870</v>
      </c>
      <c r="D29" s="476" t="s">
        <v>3910</v>
      </c>
      <c r="E29" s="478" t="s">
        <v>3911</v>
      </c>
      <c r="F29" s="478"/>
      <c r="G29" s="478"/>
      <c r="H29" s="478"/>
      <c r="I29" s="478"/>
      <c r="J29" s="478"/>
      <c r="K29" s="479"/>
      <c r="L29" s="479"/>
      <c r="M29" s="479"/>
    </row>
    <row r="30" ht="22.5" customHeight="1">
      <c r="A30" s="475" t="s">
        <v>3868</v>
      </c>
      <c r="B30" s="478" t="s">
        <v>3912</v>
      </c>
      <c r="C30" s="478" t="s">
        <v>3870</v>
      </c>
      <c r="D30" s="476" t="s">
        <v>3913</v>
      </c>
      <c r="E30" s="478" t="s">
        <v>3914</v>
      </c>
      <c r="F30" s="478"/>
      <c r="G30" s="478"/>
      <c r="H30" s="478"/>
      <c r="I30" s="478"/>
      <c r="J30" s="478"/>
      <c r="K30" s="479"/>
      <c r="L30" s="479"/>
      <c r="M30" s="479"/>
    </row>
    <row r="31" ht="22.5" customHeight="1">
      <c r="A31" s="475" t="s">
        <v>3868</v>
      </c>
      <c r="B31" s="478" t="s">
        <v>3915</v>
      </c>
      <c r="C31" s="478" t="s">
        <v>3870</v>
      </c>
      <c r="D31" s="476" t="s">
        <v>3916</v>
      </c>
      <c r="E31" s="478" t="s">
        <v>3917</v>
      </c>
      <c r="F31" s="478"/>
      <c r="G31" s="478"/>
      <c r="H31" s="478"/>
      <c r="I31" s="478"/>
      <c r="J31" s="478"/>
      <c r="K31" s="479"/>
      <c r="L31" s="479"/>
      <c r="M31" s="479"/>
    </row>
    <row r="32" ht="22.5" customHeight="1">
      <c r="A32" s="475" t="s">
        <v>3868</v>
      </c>
      <c r="B32" s="478" t="s">
        <v>3918</v>
      </c>
      <c r="C32" s="478" t="s">
        <v>3870</v>
      </c>
      <c r="D32" s="476" t="s">
        <v>3919</v>
      </c>
      <c r="E32" s="478" t="s">
        <v>3920</v>
      </c>
      <c r="F32" s="478"/>
      <c r="G32" s="478"/>
      <c r="H32" s="478"/>
      <c r="I32" s="478"/>
      <c r="J32" s="478"/>
      <c r="K32" s="479"/>
      <c r="L32" s="479"/>
      <c r="M32" s="479"/>
    </row>
    <row r="33" ht="22.5" customHeight="1">
      <c r="A33" s="475" t="s">
        <v>3868</v>
      </c>
      <c r="B33" s="478" t="s">
        <v>3921</v>
      </c>
      <c r="C33" s="478" t="s">
        <v>3870</v>
      </c>
      <c r="D33" s="476" t="s">
        <v>3922</v>
      </c>
      <c r="E33" s="478" t="s">
        <v>3923</v>
      </c>
      <c r="F33" s="478"/>
      <c r="G33" s="478"/>
      <c r="H33" s="478"/>
      <c r="I33" s="478"/>
      <c r="J33" s="478"/>
      <c r="K33" s="479"/>
      <c r="L33" s="479"/>
      <c r="M33" s="479"/>
    </row>
    <row r="34" ht="22.5" customHeight="1">
      <c r="A34" s="475" t="s">
        <v>3868</v>
      </c>
      <c r="B34" s="478" t="s">
        <v>3924</v>
      </c>
      <c r="C34" s="478" t="s">
        <v>3870</v>
      </c>
      <c r="D34" s="486" t="s">
        <v>3925</v>
      </c>
      <c r="E34" s="478" t="s">
        <v>3926</v>
      </c>
      <c r="F34" s="478"/>
      <c r="G34" s="478"/>
      <c r="H34" s="478"/>
      <c r="I34" s="478"/>
      <c r="J34" s="478"/>
      <c r="K34" s="479"/>
      <c r="L34" s="479"/>
      <c r="M34" s="479"/>
    </row>
    <row r="35" ht="22.5" customHeight="1">
      <c r="A35" s="475" t="s">
        <v>3868</v>
      </c>
      <c r="B35" s="478" t="s">
        <v>3927</v>
      </c>
      <c r="C35" s="478" t="s">
        <v>3870</v>
      </c>
      <c r="D35" s="476" t="s">
        <v>3928</v>
      </c>
      <c r="E35" s="478" t="s">
        <v>3929</v>
      </c>
      <c r="F35" s="478"/>
      <c r="G35" s="478"/>
      <c r="H35" s="478"/>
      <c r="I35" s="478"/>
      <c r="J35" s="478"/>
      <c r="K35" s="479"/>
      <c r="L35" s="479"/>
      <c r="M35" s="479"/>
    </row>
    <row r="36" ht="22.5" customHeight="1">
      <c r="A36" s="475" t="s">
        <v>3930</v>
      </c>
      <c r="B36" s="478" t="s">
        <v>429</v>
      </c>
      <c r="C36" s="475" t="s">
        <v>2125</v>
      </c>
      <c r="D36" s="485" t="s">
        <v>3931</v>
      </c>
      <c r="E36" s="478" t="s">
        <v>3932</v>
      </c>
      <c r="F36" s="478"/>
      <c r="G36" s="478"/>
      <c r="H36" s="478"/>
      <c r="I36" s="478"/>
      <c r="J36" s="478"/>
      <c r="K36" s="479"/>
      <c r="L36" s="479"/>
      <c r="M36" s="479"/>
    </row>
    <row r="37" ht="22.5" customHeight="1">
      <c r="A37" s="475" t="s">
        <v>3930</v>
      </c>
      <c r="B37" s="478" t="s">
        <v>3933</v>
      </c>
      <c r="C37" s="475" t="s">
        <v>2125</v>
      </c>
      <c r="D37" s="476"/>
      <c r="E37" s="478" t="s">
        <v>3934</v>
      </c>
      <c r="F37" s="478"/>
      <c r="G37" s="478"/>
      <c r="H37" s="478"/>
      <c r="I37" s="478"/>
      <c r="J37" s="478"/>
      <c r="K37" s="479"/>
      <c r="L37" s="479"/>
      <c r="M37" s="479"/>
    </row>
    <row r="38" ht="22.5" customHeight="1">
      <c r="A38" s="475" t="s">
        <v>3930</v>
      </c>
      <c r="B38" s="478" t="s">
        <v>3935</v>
      </c>
      <c r="C38" s="475" t="s">
        <v>2125</v>
      </c>
      <c r="D38" s="476"/>
      <c r="E38" s="478" t="s">
        <v>3936</v>
      </c>
      <c r="F38" s="478"/>
      <c r="G38" s="478"/>
      <c r="H38" s="478"/>
      <c r="I38" s="478"/>
      <c r="J38" s="478"/>
      <c r="K38" s="479"/>
      <c r="L38" s="479"/>
      <c r="M38" s="479"/>
    </row>
    <row r="39" ht="22.5" customHeight="1">
      <c r="A39" s="475" t="s">
        <v>3930</v>
      </c>
      <c r="B39" s="478" t="s">
        <v>3937</v>
      </c>
      <c r="C39" s="475" t="s">
        <v>2125</v>
      </c>
      <c r="D39" s="476"/>
      <c r="E39" s="480" t="s">
        <v>3938</v>
      </c>
      <c r="F39" s="478"/>
      <c r="G39" s="478"/>
      <c r="H39" s="478"/>
      <c r="I39" s="478"/>
      <c r="J39" s="478"/>
      <c r="K39" s="479"/>
      <c r="L39" s="479"/>
      <c r="M39" s="479"/>
    </row>
    <row r="40" ht="22.5" customHeight="1">
      <c r="A40" s="475" t="s">
        <v>3930</v>
      </c>
      <c r="B40" s="478" t="s">
        <v>3939</v>
      </c>
      <c r="C40" s="475" t="s">
        <v>2125</v>
      </c>
      <c r="D40" s="476"/>
      <c r="E40" s="480" t="s">
        <v>3940</v>
      </c>
      <c r="F40" s="478"/>
      <c r="G40" s="478"/>
      <c r="H40" s="478"/>
      <c r="I40" s="478"/>
      <c r="J40" s="478"/>
      <c r="K40" s="479"/>
      <c r="L40" s="479"/>
      <c r="M40" s="479"/>
    </row>
    <row r="41" ht="22.5" customHeight="1">
      <c r="A41" s="475" t="s">
        <v>3930</v>
      </c>
      <c r="B41" s="478" t="s">
        <v>3941</v>
      </c>
      <c r="C41" s="475" t="s">
        <v>2125</v>
      </c>
      <c r="D41" s="476"/>
      <c r="E41" s="478" t="s">
        <v>3942</v>
      </c>
      <c r="F41" s="478"/>
      <c r="G41" s="478"/>
      <c r="H41" s="478"/>
      <c r="I41" s="478"/>
      <c r="J41" s="478"/>
      <c r="K41" s="479"/>
      <c r="L41" s="479"/>
      <c r="M41" s="479"/>
    </row>
    <row r="42" ht="22.5" customHeight="1">
      <c r="A42" s="475" t="s">
        <v>3930</v>
      </c>
      <c r="B42" s="478" t="s">
        <v>3943</v>
      </c>
      <c r="C42" s="475" t="s">
        <v>2125</v>
      </c>
      <c r="D42" s="476"/>
      <c r="E42" s="478" t="s">
        <v>3944</v>
      </c>
      <c r="F42" s="478"/>
      <c r="G42" s="478"/>
      <c r="H42" s="478"/>
      <c r="I42" s="478"/>
      <c r="J42" s="478"/>
      <c r="K42" s="479"/>
      <c r="L42" s="479"/>
      <c r="M42" s="479"/>
    </row>
    <row r="43" ht="22.5" customHeight="1">
      <c r="A43" s="475" t="s">
        <v>3930</v>
      </c>
      <c r="B43" s="478" t="s">
        <v>3945</v>
      </c>
      <c r="C43" s="475" t="s">
        <v>2125</v>
      </c>
      <c r="D43" s="476"/>
      <c r="E43" s="480" t="s">
        <v>3946</v>
      </c>
      <c r="F43" s="478"/>
      <c r="G43" s="478"/>
      <c r="H43" s="478"/>
      <c r="I43" s="478"/>
      <c r="J43" s="478"/>
      <c r="K43" s="479"/>
      <c r="L43" s="479"/>
      <c r="M43" s="479"/>
    </row>
    <row r="44" ht="22.5" customHeight="1">
      <c r="A44" s="475" t="s">
        <v>3930</v>
      </c>
      <c r="B44" s="478" t="s">
        <v>3947</v>
      </c>
      <c r="C44" s="475" t="s">
        <v>2125</v>
      </c>
      <c r="D44" s="476"/>
      <c r="E44" s="480" t="s">
        <v>3948</v>
      </c>
      <c r="F44" s="478"/>
      <c r="G44" s="478"/>
      <c r="H44" s="478"/>
      <c r="I44" s="478"/>
      <c r="J44" s="478"/>
      <c r="K44" s="479"/>
      <c r="L44" s="479"/>
      <c r="M44" s="479"/>
    </row>
    <row r="45" ht="22.5" customHeight="1">
      <c r="A45" s="475" t="s">
        <v>3930</v>
      </c>
      <c r="B45" s="478" t="s">
        <v>3949</v>
      </c>
      <c r="C45" s="475" t="s">
        <v>2125</v>
      </c>
      <c r="D45" s="476"/>
      <c r="E45" s="480" t="s">
        <v>3950</v>
      </c>
      <c r="F45" s="478"/>
      <c r="G45" s="478"/>
      <c r="H45" s="478"/>
      <c r="I45" s="478"/>
      <c r="J45" s="478"/>
      <c r="K45" s="479"/>
      <c r="L45" s="479"/>
      <c r="M45" s="479"/>
    </row>
    <row r="46" ht="22.5" customHeight="1">
      <c r="A46" s="475" t="s">
        <v>3930</v>
      </c>
      <c r="B46" s="478" t="s">
        <v>3951</v>
      </c>
      <c r="C46" s="475" t="s">
        <v>2125</v>
      </c>
      <c r="D46" s="476"/>
      <c r="E46" s="480" t="s">
        <v>3952</v>
      </c>
      <c r="F46" s="478"/>
      <c r="G46" s="478"/>
      <c r="H46" s="478"/>
      <c r="I46" s="478"/>
      <c r="J46" s="478"/>
      <c r="K46" s="479"/>
      <c r="L46" s="479"/>
      <c r="M46" s="479"/>
    </row>
    <row r="47" ht="22.5" customHeight="1">
      <c r="A47" s="475" t="s">
        <v>3930</v>
      </c>
      <c r="B47" s="475" t="s">
        <v>3953</v>
      </c>
      <c r="C47" s="478"/>
      <c r="D47" s="485" t="s">
        <v>3954</v>
      </c>
      <c r="E47" s="478" t="s">
        <v>3955</v>
      </c>
      <c r="F47" s="478"/>
      <c r="G47" s="478"/>
      <c r="H47" s="478"/>
      <c r="I47" s="478"/>
      <c r="J47" s="478"/>
      <c r="K47" s="479"/>
      <c r="L47" s="479"/>
      <c r="M47" s="479"/>
    </row>
    <row r="48" ht="22.5" customHeight="1">
      <c r="A48" s="475" t="s">
        <v>3930</v>
      </c>
      <c r="B48" s="475" t="s">
        <v>429</v>
      </c>
      <c r="C48" s="475" t="s">
        <v>3956</v>
      </c>
      <c r="D48" s="476"/>
      <c r="E48" s="480" t="s">
        <v>3957</v>
      </c>
      <c r="F48" s="478"/>
      <c r="G48" s="477" t="s">
        <v>3958</v>
      </c>
      <c r="H48" s="478"/>
      <c r="I48" s="478"/>
      <c r="J48" s="478"/>
      <c r="K48" s="479"/>
      <c r="L48" s="479"/>
      <c r="M48" s="479"/>
    </row>
    <row r="49" ht="22.5" customHeight="1">
      <c r="A49" s="475" t="s">
        <v>3959</v>
      </c>
      <c r="B49" s="475" t="s">
        <v>3960</v>
      </c>
      <c r="C49" s="475" t="s">
        <v>2125</v>
      </c>
      <c r="D49" s="485" t="s">
        <v>3961</v>
      </c>
      <c r="E49" s="478" t="s">
        <v>3962</v>
      </c>
      <c r="F49" s="478"/>
      <c r="G49" s="478"/>
      <c r="H49" s="478"/>
      <c r="I49" s="478"/>
      <c r="J49" s="478"/>
      <c r="K49" s="479"/>
      <c r="L49" s="479"/>
      <c r="M49" s="479"/>
    </row>
    <row r="50" ht="22.5" customHeight="1">
      <c r="A50" s="475" t="s">
        <v>3959</v>
      </c>
      <c r="B50" s="475" t="s">
        <v>3963</v>
      </c>
      <c r="C50" s="475" t="s">
        <v>2125</v>
      </c>
      <c r="D50" s="485" t="s">
        <v>3964</v>
      </c>
      <c r="E50" s="478" t="s">
        <v>3965</v>
      </c>
      <c r="F50" s="478"/>
      <c r="G50" s="478"/>
      <c r="H50" s="478"/>
      <c r="I50" s="478"/>
      <c r="J50" s="478"/>
      <c r="K50" s="479"/>
      <c r="L50" s="479"/>
      <c r="M50" s="479"/>
    </row>
    <row r="51" ht="22.5" customHeight="1">
      <c r="A51" s="475" t="s">
        <v>3959</v>
      </c>
      <c r="B51" s="475" t="s">
        <v>3966</v>
      </c>
      <c r="C51" s="475" t="s">
        <v>2125</v>
      </c>
      <c r="D51" s="485" t="s">
        <v>3967</v>
      </c>
      <c r="E51" s="478" t="s">
        <v>3968</v>
      </c>
      <c r="F51" s="478"/>
      <c r="G51" s="478"/>
      <c r="H51" s="478"/>
      <c r="I51" s="478"/>
      <c r="J51" s="478"/>
      <c r="K51" s="479"/>
      <c r="L51" s="479"/>
      <c r="M51" s="479"/>
    </row>
    <row r="52" ht="22.5" customHeight="1">
      <c r="A52" s="475" t="s">
        <v>3959</v>
      </c>
      <c r="B52" s="475" t="s">
        <v>3969</v>
      </c>
      <c r="C52" s="475" t="s">
        <v>2125</v>
      </c>
      <c r="D52" s="476"/>
      <c r="E52" s="478" t="s">
        <v>3970</v>
      </c>
      <c r="F52" s="478"/>
      <c r="G52" s="478"/>
      <c r="H52" s="478"/>
      <c r="I52" s="478"/>
      <c r="J52" s="478"/>
      <c r="K52" s="479"/>
      <c r="L52" s="479"/>
      <c r="M52" s="479"/>
    </row>
    <row r="53" ht="22.5" customHeight="1">
      <c r="A53" s="475" t="s">
        <v>3959</v>
      </c>
      <c r="B53" s="475" t="s">
        <v>3971</v>
      </c>
      <c r="C53" s="475" t="s">
        <v>2125</v>
      </c>
      <c r="D53" s="485" t="s">
        <v>3972</v>
      </c>
      <c r="E53" s="478" t="s">
        <v>3973</v>
      </c>
      <c r="F53" s="478"/>
      <c r="G53" s="478"/>
      <c r="H53" s="478"/>
      <c r="I53" s="478"/>
      <c r="J53" s="478"/>
      <c r="K53" s="479"/>
      <c r="L53" s="479"/>
      <c r="M53" s="479"/>
    </row>
    <row r="54" ht="22.5" customHeight="1">
      <c r="A54" s="475" t="s">
        <v>3959</v>
      </c>
      <c r="B54" s="475" t="s">
        <v>3974</v>
      </c>
      <c r="C54" s="475" t="s">
        <v>2125</v>
      </c>
      <c r="D54" s="485" t="s">
        <v>3975</v>
      </c>
      <c r="E54" s="478" t="s">
        <v>3976</v>
      </c>
      <c r="F54" s="478"/>
      <c r="G54" s="478"/>
      <c r="H54" s="478"/>
      <c r="I54" s="478"/>
      <c r="J54" s="478"/>
      <c r="K54" s="479"/>
      <c r="L54" s="479"/>
      <c r="M54" s="479"/>
    </row>
    <row r="55" ht="22.5" customHeight="1">
      <c r="A55" s="475" t="s">
        <v>3959</v>
      </c>
      <c r="B55" s="475" t="s">
        <v>3977</v>
      </c>
      <c r="C55" s="475" t="s">
        <v>2125</v>
      </c>
      <c r="D55" s="485" t="s">
        <v>3978</v>
      </c>
      <c r="E55" s="478" t="s">
        <v>3979</v>
      </c>
      <c r="F55" s="478"/>
      <c r="G55" s="478"/>
      <c r="H55" s="478"/>
      <c r="I55" s="478"/>
      <c r="J55" s="478"/>
      <c r="K55" s="479"/>
      <c r="L55" s="479"/>
      <c r="M55" s="479"/>
    </row>
    <row r="56" ht="22.5" customHeight="1">
      <c r="A56" s="475" t="s">
        <v>3959</v>
      </c>
      <c r="B56" s="475" t="s">
        <v>3980</v>
      </c>
      <c r="C56" s="475" t="s">
        <v>2125</v>
      </c>
      <c r="D56" s="485" t="s">
        <v>3981</v>
      </c>
      <c r="E56" s="478" t="s">
        <v>3982</v>
      </c>
      <c r="F56" s="478"/>
      <c r="G56" s="478"/>
      <c r="H56" s="478"/>
      <c r="I56" s="478"/>
      <c r="J56" s="478"/>
      <c r="K56" s="479"/>
      <c r="L56" s="479"/>
      <c r="M56" s="479"/>
    </row>
    <row r="57" ht="22.5" customHeight="1">
      <c r="A57" s="475" t="s">
        <v>3959</v>
      </c>
      <c r="B57" s="475" t="s">
        <v>3983</v>
      </c>
      <c r="C57" s="475" t="s">
        <v>2125</v>
      </c>
      <c r="D57" s="485" t="s">
        <v>3984</v>
      </c>
      <c r="E57" s="478" t="s">
        <v>3985</v>
      </c>
      <c r="F57" s="478"/>
      <c r="G57" s="478"/>
      <c r="H57" s="478"/>
      <c r="I57" s="478"/>
      <c r="J57" s="478"/>
      <c r="K57" s="479"/>
      <c r="L57" s="479"/>
      <c r="M57" s="479"/>
    </row>
    <row r="58" ht="22.5" customHeight="1">
      <c r="A58" s="475" t="s">
        <v>3959</v>
      </c>
      <c r="B58" s="475" t="s">
        <v>3986</v>
      </c>
      <c r="C58" s="475" t="s">
        <v>2125</v>
      </c>
      <c r="D58" s="485" t="s">
        <v>3987</v>
      </c>
      <c r="E58" s="478" t="s">
        <v>3988</v>
      </c>
      <c r="F58" s="478"/>
      <c r="G58" s="478"/>
      <c r="H58" s="478"/>
      <c r="I58" s="478"/>
      <c r="J58" s="478"/>
      <c r="K58" s="479"/>
      <c r="L58" s="479"/>
      <c r="M58" s="479"/>
    </row>
    <row r="59" ht="22.5" customHeight="1">
      <c r="A59" s="475" t="s">
        <v>3959</v>
      </c>
      <c r="B59" s="475" t="s">
        <v>3989</v>
      </c>
      <c r="C59" s="475" t="s">
        <v>2125</v>
      </c>
      <c r="D59" s="485" t="s">
        <v>3990</v>
      </c>
      <c r="E59" s="478" t="s">
        <v>3991</v>
      </c>
      <c r="F59" s="478"/>
      <c r="G59" s="478"/>
      <c r="H59" s="478"/>
      <c r="I59" s="478"/>
      <c r="J59" s="478"/>
      <c r="K59" s="479"/>
      <c r="L59" s="479"/>
      <c r="M59" s="479"/>
    </row>
    <row r="60" ht="22.5" customHeight="1">
      <c r="A60" s="475" t="s">
        <v>3959</v>
      </c>
      <c r="B60" s="475" t="s">
        <v>3992</v>
      </c>
      <c r="C60" s="475" t="s">
        <v>2125</v>
      </c>
      <c r="D60" s="485" t="s">
        <v>3993</v>
      </c>
      <c r="E60" s="478" t="s">
        <v>3994</v>
      </c>
      <c r="F60" s="478"/>
      <c r="G60" s="478"/>
      <c r="H60" s="478"/>
      <c r="I60" s="478"/>
      <c r="J60" s="478"/>
      <c r="K60" s="479"/>
      <c r="L60" s="479"/>
      <c r="M60" s="479"/>
    </row>
    <row r="61" ht="22.5" customHeight="1">
      <c r="A61" s="475" t="s">
        <v>3959</v>
      </c>
      <c r="B61" s="475" t="s">
        <v>3995</v>
      </c>
      <c r="C61" s="475" t="s">
        <v>2125</v>
      </c>
      <c r="D61" s="485" t="s">
        <v>3996</v>
      </c>
      <c r="E61" s="478" t="s">
        <v>3997</v>
      </c>
      <c r="F61" s="478"/>
      <c r="G61" s="478"/>
      <c r="H61" s="478"/>
      <c r="I61" s="478"/>
      <c r="J61" s="478"/>
      <c r="K61" s="479"/>
      <c r="L61" s="479"/>
      <c r="M61" s="479"/>
    </row>
    <row r="62" ht="22.5" customHeight="1">
      <c r="A62" s="475" t="s">
        <v>3959</v>
      </c>
      <c r="B62" s="475" t="s">
        <v>3998</v>
      </c>
      <c r="C62" s="475" t="s">
        <v>2125</v>
      </c>
      <c r="D62" s="485" t="s">
        <v>3999</v>
      </c>
      <c r="E62" s="478" t="s">
        <v>4000</v>
      </c>
      <c r="F62" s="478"/>
      <c r="G62" s="478"/>
      <c r="H62" s="478"/>
      <c r="I62" s="478"/>
      <c r="J62" s="478"/>
      <c r="K62" s="479"/>
      <c r="L62" s="479"/>
      <c r="M62" s="479"/>
    </row>
    <row r="63" ht="22.5" customHeight="1">
      <c r="A63" s="475" t="s">
        <v>3959</v>
      </c>
      <c r="B63" s="475" t="s">
        <v>4001</v>
      </c>
      <c r="C63" s="475" t="s">
        <v>2125</v>
      </c>
      <c r="D63" s="485" t="s">
        <v>4002</v>
      </c>
      <c r="E63" s="478" t="s">
        <v>4003</v>
      </c>
      <c r="F63" s="478"/>
      <c r="G63" s="478"/>
      <c r="H63" s="478"/>
      <c r="I63" s="478"/>
      <c r="J63" s="478"/>
      <c r="K63" s="479"/>
      <c r="L63" s="479"/>
      <c r="M63" s="479"/>
    </row>
    <row r="64" ht="22.5" customHeight="1">
      <c r="A64" s="475" t="s">
        <v>3959</v>
      </c>
      <c r="B64" s="475" t="s">
        <v>4004</v>
      </c>
      <c r="C64" s="475" t="s">
        <v>2125</v>
      </c>
      <c r="D64" s="485" t="s">
        <v>4005</v>
      </c>
      <c r="E64" s="477" t="s">
        <v>3813</v>
      </c>
      <c r="F64" s="478"/>
      <c r="G64" s="478"/>
      <c r="H64" s="478"/>
      <c r="I64" s="478"/>
      <c r="J64" s="478"/>
      <c r="K64" s="479"/>
      <c r="L64" s="479"/>
      <c r="M64" s="479"/>
    </row>
    <row r="65" ht="22.5" customHeight="1">
      <c r="A65" s="475" t="s">
        <v>3959</v>
      </c>
      <c r="B65" s="475" t="s">
        <v>4006</v>
      </c>
      <c r="C65" s="475" t="s">
        <v>2125</v>
      </c>
      <c r="D65" s="485" t="s">
        <v>4007</v>
      </c>
      <c r="E65" s="477" t="s">
        <v>3813</v>
      </c>
      <c r="F65" s="478"/>
      <c r="G65" s="478"/>
      <c r="H65" s="478"/>
      <c r="I65" s="478"/>
      <c r="J65" s="478"/>
      <c r="K65" s="479"/>
      <c r="L65" s="479"/>
      <c r="M65" s="479"/>
    </row>
    <row r="66" ht="22.5" customHeight="1">
      <c r="A66" s="475" t="s">
        <v>3959</v>
      </c>
      <c r="B66" s="475" t="s">
        <v>4008</v>
      </c>
      <c r="C66" s="475" t="s">
        <v>2125</v>
      </c>
      <c r="D66" s="485" t="s">
        <v>4009</v>
      </c>
      <c r="E66" s="475" t="s">
        <v>3822</v>
      </c>
      <c r="F66" s="478"/>
      <c r="G66" s="478"/>
      <c r="H66" s="478"/>
      <c r="I66" s="478"/>
      <c r="J66" s="478"/>
      <c r="K66" s="479"/>
      <c r="L66" s="479"/>
      <c r="M66" s="479"/>
    </row>
    <row r="67" ht="22.5" customHeight="1">
      <c r="A67" s="475" t="s">
        <v>3959</v>
      </c>
      <c r="B67" s="475" t="s">
        <v>4010</v>
      </c>
      <c r="C67" s="475" t="s">
        <v>2125</v>
      </c>
      <c r="D67" s="485" t="s">
        <v>4011</v>
      </c>
      <c r="E67" s="477" t="s">
        <v>3829</v>
      </c>
      <c r="F67" s="478"/>
      <c r="G67" s="478"/>
      <c r="H67" s="478"/>
      <c r="I67" s="478"/>
      <c r="J67" s="478"/>
      <c r="K67" s="479"/>
      <c r="L67" s="479"/>
      <c r="M67" s="479"/>
    </row>
    <row r="68" ht="22.5" customHeight="1">
      <c r="A68" s="475" t="s">
        <v>3959</v>
      </c>
      <c r="B68" s="475" t="s">
        <v>4012</v>
      </c>
      <c r="C68" s="475" t="s">
        <v>4013</v>
      </c>
      <c r="D68" s="485" t="s">
        <v>4014</v>
      </c>
      <c r="E68" s="475" t="s">
        <v>3833</v>
      </c>
      <c r="F68" s="478"/>
      <c r="G68" s="478"/>
      <c r="H68" s="478"/>
      <c r="I68" s="478"/>
      <c r="J68" s="478"/>
      <c r="K68" s="479"/>
      <c r="L68" s="479"/>
      <c r="M68" s="479"/>
    </row>
    <row r="69" ht="22.5" customHeight="1">
      <c r="A69" s="475" t="s">
        <v>3959</v>
      </c>
      <c r="B69" s="475" t="s">
        <v>4015</v>
      </c>
      <c r="C69" s="475" t="s">
        <v>2125</v>
      </c>
      <c r="D69" s="485" t="s">
        <v>4016</v>
      </c>
      <c r="E69" s="475" t="s">
        <v>3838</v>
      </c>
      <c r="F69" s="478"/>
      <c r="G69" s="478"/>
      <c r="H69" s="478"/>
      <c r="I69" s="478"/>
      <c r="J69" s="478"/>
      <c r="K69" s="479"/>
      <c r="L69" s="479"/>
      <c r="M69" s="479"/>
    </row>
    <row r="70" ht="22.5" customHeight="1">
      <c r="A70" s="475" t="s">
        <v>3959</v>
      </c>
      <c r="B70" s="475" t="s">
        <v>4017</v>
      </c>
      <c r="C70" s="475" t="s">
        <v>2125</v>
      </c>
      <c r="D70" s="485" t="s">
        <v>4018</v>
      </c>
      <c r="E70" s="475" t="s">
        <v>3841</v>
      </c>
      <c r="F70" s="478"/>
      <c r="G70" s="478"/>
      <c r="H70" s="478"/>
      <c r="I70" s="478"/>
      <c r="J70" s="478"/>
      <c r="K70" s="479"/>
      <c r="L70" s="479"/>
      <c r="M70" s="479"/>
    </row>
    <row r="71" ht="22.5" customHeight="1">
      <c r="A71" s="475" t="s">
        <v>3959</v>
      </c>
      <c r="B71" s="475" t="s">
        <v>4019</v>
      </c>
      <c r="C71" s="475" t="s">
        <v>2125</v>
      </c>
      <c r="D71" s="485" t="s">
        <v>4020</v>
      </c>
      <c r="E71" s="478"/>
      <c r="F71" s="478"/>
      <c r="G71" s="478"/>
      <c r="H71" s="478"/>
      <c r="I71" s="478"/>
      <c r="J71" s="478"/>
      <c r="K71" s="479"/>
      <c r="L71" s="479"/>
      <c r="M71" s="479"/>
    </row>
    <row r="72" ht="22.5" customHeight="1">
      <c r="A72" s="475" t="s">
        <v>3959</v>
      </c>
      <c r="B72" s="475" t="s">
        <v>4021</v>
      </c>
      <c r="C72" s="475" t="s">
        <v>2125</v>
      </c>
      <c r="D72" s="485" t="s">
        <v>4022</v>
      </c>
      <c r="E72" s="475" t="s">
        <v>3847</v>
      </c>
      <c r="F72" s="478"/>
      <c r="G72" s="478"/>
      <c r="H72" s="478"/>
      <c r="I72" s="478"/>
      <c r="J72" s="478"/>
      <c r="K72" s="479"/>
      <c r="L72" s="479"/>
      <c r="M72" s="479"/>
    </row>
    <row r="73" ht="22.5" customHeight="1">
      <c r="A73" s="475" t="s">
        <v>3959</v>
      </c>
      <c r="B73" s="475" t="s">
        <v>4023</v>
      </c>
      <c r="C73" s="475" t="s">
        <v>2125</v>
      </c>
      <c r="D73" s="485" t="s">
        <v>4024</v>
      </c>
      <c r="E73" s="475" t="s">
        <v>3850</v>
      </c>
      <c r="F73" s="478"/>
      <c r="G73" s="478"/>
      <c r="H73" s="478"/>
      <c r="I73" s="478"/>
      <c r="J73" s="478"/>
      <c r="K73" s="479"/>
      <c r="L73" s="479"/>
      <c r="M73" s="479"/>
    </row>
    <row r="74" ht="22.5" customHeight="1">
      <c r="A74" s="475" t="s">
        <v>3959</v>
      </c>
      <c r="B74" s="475" t="s">
        <v>4025</v>
      </c>
      <c r="C74" s="475" t="s">
        <v>2125</v>
      </c>
      <c r="D74" s="476"/>
      <c r="E74" s="475" t="s">
        <v>3855</v>
      </c>
      <c r="F74" s="478"/>
      <c r="G74" s="478"/>
      <c r="H74" s="478"/>
      <c r="I74" s="478"/>
      <c r="J74" s="478"/>
      <c r="K74" s="479"/>
      <c r="L74" s="479"/>
      <c r="M74" s="479"/>
    </row>
    <row r="75" ht="22.5" customHeight="1">
      <c r="A75" s="475" t="s">
        <v>3959</v>
      </c>
      <c r="B75" s="475" t="s">
        <v>4026</v>
      </c>
      <c r="C75" s="475" t="s">
        <v>2125</v>
      </c>
      <c r="D75" s="485" t="s">
        <v>4027</v>
      </c>
      <c r="E75" s="475" t="s">
        <v>3859</v>
      </c>
      <c r="F75" s="478"/>
      <c r="G75" s="478"/>
      <c r="H75" s="478"/>
      <c r="I75" s="478"/>
      <c r="J75" s="478"/>
      <c r="K75" s="479"/>
      <c r="L75" s="479"/>
      <c r="M75" s="479"/>
    </row>
    <row r="76" ht="22.5" customHeight="1">
      <c r="A76" s="475" t="s">
        <v>3959</v>
      </c>
      <c r="B76" s="475" t="s">
        <v>4028</v>
      </c>
      <c r="C76" s="475" t="s">
        <v>2125</v>
      </c>
      <c r="D76" s="485" t="s">
        <v>4029</v>
      </c>
      <c r="E76" s="475" t="s">
        <v>3862</v>
      </c>
      <c r="F76" s="478"/>
      <c r="G76" s="478"/>
      <c r="H76" s="478"/>
      <c r="I76" s="478"/>
      <c r="J76" s="478"/>
      <c r="K76" s="479"/>
      <c r="L76" s="479"/>
      <c r="M76" s="479"/>
    </row>
    <row r="77" ht="22.5" customHeight="1">
      <c r="A77" s="475" t="s">
        <v>3959</v>
      </c>
      <c r="B77" s="475" t="s">
        <v>4030</v>
      </c>
      <c r="C77" s="475" t="s">
        <v>674</v>
      </c>
      <c r="D77" s="485" t="s">
        <v>4031</v>
      </c>
      <c r="E77" s="478" t="s">
        <v>3866</v>
      </c>
      <c r="F77" s="478"/>
      <c r="G77" s="478"/>
      <c r="H77" s="478"/>
      <c r="I77" s="478"/>
      <c r="J77" s="478"/>
      <c r="K77" s="479"/>
      <c r="L77" s="479"/>
      <c r="M77" s="479"/>
    </row>
    <row r="78" ht="22.5" customHeight="1">
      <c r="A78" s="475" t="s">
        <v>3959</v>
      </c>
      <c r="B78" s="475" t="s">
        <v>4032</v>
      </c>
      <c r="C78" s="475" t="s">
        <v>674</v>
      </c>
      <c r="D78" s="485" t="s">
        <v>4033</v>
      </c>
      <c r="E78" s="480" t="s">
        <v>3872</v>
      </c>
      <c r="F78" s="478"/>
      <c r="G78" s="478"/>
      <c r="H78" s="478"/>
      <c r="I78" s="478"/>
      <c r="J78" s="478"/>
      <c r="K78" s="479"/>
      <c r="L78" s="479"/>
      <c r="M78" s="479"/>
    </row>
    <row r="79" ht="22.5" customHeight="1">
      <c r="A79" s="475" t="s">
        <v>3959</v>
      </c>
      <c r="B79" s="475" t="s">
        <v>4034</v>
      </c>
      <c r="C79" s="475" t="s">
        <v>3956</v>
      </c>
      <c r="D79" s="485" t="s">
        <v>4035</v>
      </c>
      <c r="E79" s="480" t="s">
        <v>4036</v>
      </c>
      <c r="F79" s="478"/>
      <c r="G79" s="478"/>
      <c r="H79" s="478"/>
      <c r="I79" s="478"/>
      <c r="J79" s="478"/>
      <c r="K79" s="479"/>
      <c r="L79" s="479"/>
      <c r="M79" s="479"/>
    </row>
    <row r="80" ht="22.5" customHeight="1">
      <c r="A80" s="475" t="s">
        <v>3959</v>
      </c>
      <c r="B80" s="475" t="s">
        <v>4037</v>
      </c>
      <c r="C80" s="475" t="s">
        <v>754</v>
      </c>
      <c r="D80" s="485" t="s">
        <v>4038</v>
      </c>
      <c r="E80" s="478" t="s">
        <v>3878</v>
      </c>
      <c r="F80" s="478"/>
      <c r="G80" s="478"/>
      <c r="H80" s="478"/>
      <c r="I80" s="478"/>
      <c r="J80" s="478"/>
      <c r="K80" s="479"/>
      <c r="L80" s="479"/>
      <c r="M80" s="479"/>
    </row>
    <row r="81" ht="22.5" customHeight="1">
      <c r="A81" s="475" t="s">
        <v>3959</v>
      </c>
      <c r="B81" s="475" t="s">
        <v>4039</v>
      </c>
      <c r="C81" s="475" t="s">
        <v>2125</v>
      </c>
      <c r="D81" s="485" t="s">
        <v>4040</v>
      </c>
      <c r="E81" s="478" t="s">
        <v>3881</v>
      </c>
      <c r="F81" s="478"/>
      <c r="G81" s="478"/>
      <c r="H81" s="478"/>
      <c r="I81" s="478"/>
      <c r="J81" s="478"/>
      <c r="K81" s="479"/>
      <c r="L81" s="479"/>
      <c r="M81" s="479"/>
    </row>
    <row r="82" ht="22.5" customHeight="1">
      <c r="A82" s="475" t="s">
        <v>3959</v>
      </c>
      <c r="B82" s="475" t="s">
        <v>4041</v>
      </c>
      <c r="C82" s="475" t="s">
        <v>2125</v>
      </c>
      <c r="D82" s="485" t="s">
        <v>4042</v>
      </c>
      <c r="E82" s="478" t="s">
        <v>3884</v>
      </c>
      <c r="F82" s="478"/>
      <c r="G82" s="478"/>
      <c r="H82" s="478"/>
      <c r="I82" s="478"/>
      <c r="J82" s="478"/>
      <c r="K82" s="479"/>
      <c r="L82" s="479"/>
      <c r="M82" s="479"/>
    </row>
    <row r="83" ht="22.5" customHeight="1">
      <c r="A83" s="475" t="s">
        <v>3959</v>
      </c>
      <c r="B83" s="475" t="s">
        <v>4043</v>
      </c>
      <c r="C83" s="475" t="s">
        <v>2125</v>
      </c>
      <c r="D83" s="485" t="s">
        <v>4044</v>
      </c>
      <c r="E83" s="478" t="s">
        <v>3887</v>
      </c>
      <c r="F83" s="478"/>
      <c r="G83" s="478"/>
      <c r="H83" s="478"/>
      <c r="I83" s="478"/>
      <c r="J83" s="478"/>
      <c r="K83" s="479"/>
      <c r="L83" s="479"/>
      <c r="M83" s="479"/>
    </row>
    <row r="84" ht="22.5" customHeight="1">
      <c r="A84" s="475" t="s">
        <v>3959</v>
      </c>
      <c r="B84" s="475" t="s">
        <v>4045</v>
      </c>
      <c r="C84" s="475" t="s">
        <v>717</v>
      </c>
      <c r="D84" s="485" t="s">
        <v>4046</v>
      </c>
      <c r="E84" s="478" t="s">
        <v>3890</v>
      </c>
      <c r="F84" s="478"/>
      <c r="G84" s="478"/>
      <c r="H84" s="478"/>
      <c r="I84" s="478"/>
      <c r="J84" s="478"/>
      <c r="K84" s="479"/>
      <c r="L84" s="479"/>
      <c r="M84" s="479"/>
    </row>
    <row r="85" ht="22.5" customHeight="1">
      <c r="A85" s="475" t="s">
        <v>3959</v>
      </c>
      <c r="B85" s="475" t="s">
        <v>4047</v>
      </c>
      <c r="C85" s="475" t="s">
        <v>2125</v>
      </c>
      <c r="D85" s="485" t="s">
        <v>4048</v>
      </c>
      <c r="E85" s="478" t="s">
        <v>3893</v>
      </c>
      <c r="F85" s="478"/>
      <c r="G85" s="478"/>
      <c r="H85" s="478"/>
      <c r="I85" s="478"/>
      <c r="J85" s="478"/>
      <c r="K85" s="479"/>
      <c r="L85" s="479"/>
      <c r="M85" s="479"/>
    </row>
    <row r="86" ht="22.5" customHeight="1">
      <c r="A86" s="475" t="s">
        <v>3959</v>
      </c>
      <c r="B86" s="475" t="s">
        <v>4049</v>
      </c>
      <c r="C86" s="475" t="s">
        <v>2125</v>
      </c>
      <c r="D86" s="485" t="s">
        <v>4050</v>
      </c>
      <c r="E86" s="478" t="s">
        <v>3896</v>
      </c>
      <c r="F86" s="478"/>
      <c r="G86" s="478"/>
      <c r="H86" s="478"/>
      <c r="I86" s="478"/>
      <c r="J86" s="478"/>
      <c r="K86" s="479"/>
      <c r="L86" s="479"/>
      <c r="M86" s="479"/>
    </row>
    <row r="87" ht="22.5" customHeight="1">
      <c r="A87" s="475" t="s">
        <v>3959</v>
      </c>
      <c r="B87" s="475" t="s">
        <v>4051</v>
      </c>
      <c r="C87" s="475" t="s">
        <v>2125</v>
      </c>
      <c r="D87" s="485" t="s">
        <v>4052</v>
      </c>
      <c r="E87" s="478" t="s">
        <v>3899</v>
      </c>
      <c r="F87" s="478"/>
      <c r="G87" s="478"/>
      <c r="H87" s="478"/>
      <c r="I87" s="478"/>
      <c r="J87" s="478"/>
      <c r="K87" s="479"/>
      <c r="L87" s="479"/>
      <c r="M87" s="479"/>
    </row>
    <row r="88" ht="22.5" customHeight="1">
      <c r="A88" s="475" t="s">
        <v>4053</v>
      </c>
      <c r="B88" s="475" t="s">
        <v>4054</v>
      </c>
      <c r="C88" s="475" t="s">
        <v>674</v>
      </c>
      <c r="D88" s="485" t="s">
        <v>4055</v>
      </c>
      <c r="E88" s="478" t="s">
        <v>3902</v>
      </c>
      <c r="F88" s="478"/>
      <c r="G88" s="478"/>
      <c r="H88" s="478"/>
      <c r="I88" s="478"/>
      <c r="J88" s="478"/>
      <c r="K88" s="479"/>
      <c r="L88" s="479"/>
      <c r="M88" s="479"/>
    </row>
    <row r="89" ht="22.5" customHeight="1">
      <c r="A89" s="475" t="s">
        <v>4056</v>
      </c>
      <c r="B89" s="475" t="s">
        <v>4057</v>
      </c>
      <c r="C89" s="475" t="s">
        <v>2843</v>
      </c>
      <c r="D89" s="481" t="s">
        <v>4058</v>
      </c>
      <c r="E89" s="478" t="s">
        <v>3905</v>
      </c>
      <c r="F89" s="478"/>
      <c r="G89" s="477" t="s">
        <v>4059</v>
      </c>
      <c r="H89" s="478"/>
      <c r="I89" s="478"/>
      <c r="J89" s="478"/>
      <c r="K89" s="479"/>
      <c r="L89" s="479"/>
      <c r="M89" s="479"/>
    </row>
    <row r="90" ht="22.5" customHeight="1">
      <c r="A90" s="475" t="s">
        <v>3930</v>
      </c>
      <c r="B90" s="475" t="s">
        <v>4060</v>
      </c>
      <c r="C90" s="475" t="s">
        <v>4061</v>
      </c>
      <c r="D90" s="485" t="s">
        <v>4062</v>
      </c>
      <c r="E90" s="478" t="s">
        <v>3908</v>
      </c>
      <c r="F90" s="478"/>
      <c r="G90" s="477" t="s">
        <v>4063</v>
      </c>
      <c r="H90" s="478"/>
      <c r="I90" s="478"/>
      <c r="J90" s="478"/>
      <c r="K90" s="479"/>
      <c r="L90" s="479"/>
      <c r="M90" s="479"/>
    </row>
    <row r="91" ht="22.5" customHeight="1">
      <c r="A91" s="478"/>
      <c r="B91" s="478"/>
      <c r="C91" s="478"/>
      <c r="D91" s="476"/>
      <c r="E91" s="478" t="s">
        <v>3911</v>
      </c>
      <c r="F91" s="478"/>
      <c r="G91" s="478"/>
      <c r="H91" s="478"/>
      <c r="I91" s="478"/>
      <c r="J91" s="478"/>
      <c r="K91" s="479"/>
      <c r="L91" s="479"/>
      <c r="M91" s="479"/>
    </row>
    <row r="92" ht="22.5" customHeight="1">
      <c r="A92" s="475" t="s">
        <v>4064</v>
      </c>
      <c r="B92" s="475" t="s">
        <v>4065</v>
      </c>
      <c r="C92" s="475" t="s">
        <v>2455</v>
      </c>
      <c r="D92" s="485" t="s">
        <v>4066</v>
      </c>
      <c r="E92" s="478" t="s">
        <v>3914</v>
      </c>
      <c r="F92" s="478"/>
      <c r="G92" s="478"/>
      <c r="H92" s="478"/>
      <c r="I92" s="478"/>
      <c r="J92" s="478"/>
      <c r="K92" s="479"/>
      <c r="L92" s="479"/>
      <c r="M92" s="479"/>
    </row>
    <row r="93" ht="22.5" customHeight="1">
      <c r="A93" s="475" t="s">
        <v>4067</v>
      </c>
      <c r="B93" s="475" t="s">
        <v>4068</v>
      </c>
      <c r="C93" s="475" t="s">
        <v>4069</v>
      </c>
      <c r="D93" s="485" t="s">
        <v>4070</v>
      </c>
      <c r="E93" s="478" t="s">
        <v>3917</v>
      </c>
      <c r="F93" s="478"/>
      <c r="G93" s="477" t="s">
        <v>4071</v>
      </c>
      <c r="H93" s="478"/>
      <c r="I93" s="478"/>
      <c r="J93" s="478"/>
      <c r="K93" s="479"/>
      <c r="L93" s="479"/>
      <c r="M93" s="479"/>
    </row>
    <row r="94" ht="22.5" customHeight="1">
      <c r="A94" s="475" t="s">
        <v>4067</v>
      </c>
      <c r="B94" s="475" t="s">
        <v>4072</v>
      </c>
      <c r="C94" s="475" t="s">
        <v>4073</v>
      </c>
      <c r="D94" s="485" t="s">
        <v>4074</v>
      </c>
      <c r="E94" s="478" t="s">
        <v>3920</v>
      </c>
      <c r="F94" s="478"/>
      <c r="G94" s="477" t="s">
        <v>4075</v>
      </c>
      <c r="H94" s="478"/>
      <c r="I94" s="478"/>
      <c r="J94" s="478"/>
      <c r="K94" s="479"/>
      <c r="L94" s="479"/>
      <c r="M94" s="479"/>
    </row>
    <row r="95" ht="22.5" customHeight="1">
      <c r="A95" s="475" t="s">
        <v>4067</v>
      </c>
      <c r="B95" s="475" t="s">
        <v>4076</v>
      </c>
      <c r="C95" s="475" t="s">
        <v>4069</v>
      </c>
      <c r="D95" s="476"/>
      <c r="E95" s="478" t="s">
        <v>3923</v>
      </c>
      <c r="F95" s="478"/>
      <c r="G95" s="477" t="s">
        <v>4077</v>
      </c>
      <c r="H95" s="478"/>
      <c r="I95" s="478"/>
      <c r="J95" s="478"/>
      <c r="K95" s="479"/>
      <c r="L95" s="479"/>
      <c r="M95" s="479"/>
    </row>
    <row r="96" ht="22.5" customHeight="1">
      <c r="A96" s="475" t="s">
        <v>4067</v>
      </c>
      <c r="B96" s="475" t="s">
        <v>4078</v>
      </c>
      <c r="C96" s="475" t="s">
        <v>4079</v>
      </c>
      <c r="D96" s="476"/>
      <c r="E96" s="478" t="s">
        <v>3926</v>
      </c>
      <c r="F96" s="478"/>
      <c r="G96" s="478"/>
      <c r="H96" s="478"/>
      <c r="I96" s="478"/>
      <c r="J96" s="478"/>
      <c r="K96" s="479"/>
      <c r="L96" s="479"/>
      <c r="M96" s="479"/>
    </row>
    <row r="97" ht="22.5" customHeight="1">
      <c r="A97" s="475" t="s">
        <v>4067</v>
      </c>
      <c r="B97" s="475" t="s">
        <v>4080</v>
      </c>
      <c r="C97" s="475" t="s">
        <v>4069</v>
      </c>
      <c r="D97" s="485" t="s">
        <v>4081</v>
      </c>
      <c r="E97" s="478" t="s">
        <v>3929</v>
      </c>
      <c r="F97" s="478"/>
      <c r="G97" s="477" t="s">
        <v>4082</v>
      </c>
      <c r="H97" s="478"/>
      <c r="I97" s="478"/>
      <c r="J97" s="478"/>
      <c r="K97" s="479"/>
      <c r="L97" s="479"/>
      <c r="M97" s="479"/>
    </row>
    <row r="98" ht="22.5" customHeight="1">
      <c r="A98" s="475" t="s">
        <v>4067</v>
      </c>
      <c r="B98" s="475" t="s">
        <v>4083</v>
      </c>
      <c r="C98" s="475" t="s">
        <v>4069</v>
      </c>
      <c r="D98" s="485" t="s">
        <v>4084</v>
      </c>
      <c r="E98" s="478" t="s">
        <v>3932</v>
      </c>
      <c r="F98" s="478"/>
      <c r="G98" s="477" t="s">
        <v>4085</v>
      </c>
      <c r="H98" s="478"/>
      <c r="I98" s="478"/>
      <c r="J98" s="478"/>
      <c r="K98" s="479"/>
      <c r="L98" s="479"/>
      <c r="M98" s="479"/>
    </row>
    <row r="99" ht="22.5" customHeight="1">
      <c r="A99" s="475" t="s">
        <v>4067</v>
      </c>
      <c r="B99" s="475" t="s">
        <v>4086</v>
      </c>
      <c r="C99" s="475" t="s">
        <v>4069</v>
      </c>
      <c r="D99" s="476"/>
      <c r="E99" s="478" t="s">
        <v>3934</v>
      </c>
      <c r="F99" s="478"/>
      <c r="G99" s="477" t="s">
        <v>4087</v>
      </c>
      <c r="H99" s="478"/>
      <c r="I99" s="478"/>
      <c r="J99" s="478"/>
      <c r="K99" s="479"/>
      <c r="L99" s="479"/>
      <c r="M99" s="479"/>
    </row>
    <row r="100" ht="22.5" customHeight="1">
      <c r="A100" s="475" t="s">
        <v>4067</v>
      </c>
      <c r="B100" s="475" t="s">
        <v>4088</v>
      </c>
      <c r="C100" s="475" t="s">
        <v>4069</v>
      </c>
      <c r="D100" s="476" t="s">
        <v>4089</v>
      </c>
      <c r="E100" s="478" t="s">
        <v>3936</v>
      </c>
      <c r="F100" s="478"/>
      <c r="G100" s="477" t="s">
        <v>4090</v>
      </c>
      <c r="H100" s="478"/>
      <c r="I100" s="478"/>
      <c r="J100" s="478"/>
      <c r="K100" s="479"/>
      <c r="L100" s="479"/>
      <c r="M100" s="479"/>
    </row>
    <row r="101" ht="22.5" customHeight="1">
      <c r="A101" s="475" t="s">
        <v>4091</v>
      </c>
      <c r="B101" s="475" t="s">
        <v>4092</v>
      </c>
      <c r="C101" s="475" t="s">
        <v>4093</v>
      </c>
      <c r="D101" s="481" t="s">
        <v>4094</v>
      </c>
      <c r="E101" s="480" t="s">
        <v>4095</v>
      </c>
      <c r="F101" s="478"/>
      <c r="G101" s="477" t="s">
        <v>4096</v>
      </c>
      <c r="H101" s="478"/>
      <c r="I101" s="478"/>
      <c r="J101" s="478"/>
      <c r="K101" s="479"/>
      <c r="L101" s="479"/>
      <c r="M101" s="479"/>
    </row>
    <row r="102" ht="22.5" customHeight="1">
      <c r="A102" s="475" t="s">
        <v>4091</v>
      </c>
      <c r="B102" s="475" t="s">
        <v>4097</v>
      </c>
      <c r="C102" s="475" t="s">
        <v>4098</v>
      </c>
      <c r="D102" s="485" t="s">
        <v>4099</v>
      </c>
      <c r="E102" s="480" t="s">
        <v>4100</v>
      </c>
      <c r="F102" s="478"/>
      <c r="G102" s="477" t="s">
        <v>4101</v>
      </c>
      <c r="H102" s="478"/>
      <c r="I102" s="478"/>
      <c r="J102" s="478"/>
      <c r="K102" s="479"/>
      <c r="L102" s="479"/>
      <c r="M102" s="479"/>
    </row>
    <row r="103" ht="22.5" customHeight="1">
      <c r="A103" s="475" t="s">
        <v>4102</v>
      </c>
      <c r="B103" s="475" t="s">
        <v>4103</v>
      </c>
      <c r="C103" s="478"/>
      <c r="D103" s="476"/>
      <c r="E103" s="478" t="s">
        <v>3942</v>
      </c>
      <c r="F103" s="478"/>
      <c r="G103" s="478"/>
      <c r="H103" s="478"/>
      <c r="I103" s="478"/>
      <c r="J103" s="478"/>
      <c r="K103" s="479"/>
      <c r="L103" s="479"/>
      <c r="M103" s="479"/>
    </row>
    <row r="104" ht="22.5" customHeight="1">
      <c r="A104" s="475" t="s">
        <v>4102</v>
      </c>
      <c r="B104" s="475" t="s">
        <v>4104</v>
      </c>
      <c r="C104" s="478"/>
      <c r="D104" s="485" t="s">
        <v>4105</v>
      </c>
      <c r="E104" s="478" t="s">
        <v>3944</v>
      </c>
      <c r="F104" s="478"/>
      <c r="G104" s="477" t="s">
        <v>4106</v>
      </c>
      <c r="H104" s="478"/>
      <c r="I104" s="478"/>
      <c r="J104" s="478"/>
      <c r="K104" s="479"/>
      <c r="L104" s="479"/>
      <c r="M104" s="479"/>
    </row>
    <row r="105" ht="22.5" customHeight="1">
      <c r="A105" s="475" t="s">
        <v>4107</v>
      </c>
      <c r="B105" s="475" t="s">
        <v>4108</v>
      </c>
      <c r="C105" s="475" t="s">
        <v>4109</v>
      </c>
      <c r="D105" s="485" t="s">
        <v>4110</v>
      </c>
      <c r="E105" s="480" t="s">
        <v>4111</v>
      </c>
      <c r="F105" s="478"/>
      <c r="G105" s="477" t="s">
        <v>4112</v>
      </c>
      <c r="H105" s="478"/>
      <c r="I105" s="478"/>
      <c r="J105" s="478"/>
      <c r="K105" s="479"/>
      <c r="L105" s="479"/>
      <c r="M105" s="479"/>
    </row>
    <row r="106" ht="22.5" customHeight="1">
      <c r="A106" s="475" t="s">
        <v>4107</v>
      </c>
      <c r="B106" s="475" t="s">
        <v>4113</v>
      </c>
      <c r="C106" s="475" t="s">
        <v>4109</v>
      </c>
      <c r="D106" s="485">
        <v>9.747731455E10</v>
      </c>
      <c r="E106" s="480" t="s">
        <v>4114</v>
      </c>
      <c r="F106" s="478"/>
      <c r="G106" s="477" t="s">
        <v>4115</v>
      </c>
      <c r="H106" s="478"/>
      <c r="I106" s="478"/>
      <c r="J106" s="478"/>
      <c r="K106" s="479"/>
      <c r="L106" s="479"/>
      <c r="M106" s="479"/>
    </row>
    <row r="107" ht="22.5" customHeight="1">
      <c r="A107" s="475" t="s">
        <v>4091</v>
      </c>
      <c r="B107" s="475" t="s">
        <v>4116</v>
      </c>
      <c r="C107" s="475" t="s">
        <v>4109</v>
      </c>
      <c r="D107" s="485">
        <v>9.71605444E11</v>
      </c>
      <c r="E107" s="480" t="s">
        <v>4117</v>
      </c>
      <c r="F107" s="478"/>
      <c r="G107" s="477" t="s">
        <v>4118</v>
      </c>
      <c r="H107" s="478"/>
      <c r="I107" s="478"/>
      <c r="J107" s="478"/>
      <c r="K107" s="479"/>
      <c r="L107" s="479"/>
      <c r="M107" s="479"/>
    </row>
    <row r="108" ht="22.5" customHeight="1">
      <c r="A108" s="475" t="s">
        <v>4107</v>
      </c>
      <c r="B108" s="475" t="s">
        <v>4119</v>
      </c>
      <c r="C108" s="475" t="s">
        <v>4120</v>
      </c>
      <c r="D108" s="485" t="s">
        <v>4121</v>
      </c>
      <c r="E108" s="480" t="s">
        <v>4122</v>
      </c>
      <c r="F108" s="478"/>
      <c r="G108" s="477" t="s">
        <v>4123</v>
      </c>
      <c r="H108" s="478"/>
      <c r="I108" s="478"/>
      <c r="J108" s="478"/>
      <c r="K108" s="479"/>
      <c r="L108" s="479"/>
      <c r="M108" s="479"/>
    </row>
    <row r="109" ht="22.5" customHeight="1">
      <c r="A109" s="475" t="s">
        <v>4107</v>
      </c>
      <c r="B109" s="475" t="s">
        <v>4124</v>
      </c>
      <c r="C109" s="475" t="s">
        <v>2125</v>
      </c>
      <c r="D109" s="485" t="s">
        <v>4125</v>
      </c>
      <c r="E109" s="478" t="s">
        <v>3955</v>
      </c>
      <c r="F109" s="478"/>
      <c r="G109" s="477" t="s">
        <v>4126</v>
      </c>
      <c r="H109" s="478"/>
      <c r="I109" s="478"/>
      <c r="J109" s="478"/>
      <c r="K109" s="479"/>
      <c r="L109" s="479"/>
      <c r="M109" s="479"/>
    </row>
    <row r="110" ht="22.5" customHeight="1">
      <c r="A110" s="475" t="s">
        <v>4107</v>
      </c>
      <c r="B110" s="475" t="s">
        <v>4127</v>
      </c>
      <c r="C110" s="475" t="s">
        <v>4128</v>
      </c>
      <c r="D110" s="476"/>
      <c r="E110" s="480" t="s">
        <v>4129</v>
      </c>
      <c r="F110" s="478"/>
      <c r="G110" s="477" t="s">
        <v>4130</v>
      </c>
      <c r="H110" s="478"/>
      <c r="I110" s="478"/>
      <c r="J110" s="478"/>
      <c r="K110" s="479"/>
      <c r="L110" s="479"/>
      <c r="M110" s="479"/>
    </row>
    <row r="111" ht="22.5" customHeight="1">
      <c r="A111" s="475" t="s">
        <v>4131</v>
      </c>
      <c r="B111" s="475" t="s">
        <v>4132</v>
      </c>
      <c r="C111" s="475" t="s">
        <v>4069</v>
      </c>
      <c r="D111" s="476"/>
      <c r="E111" s="478" t="s">
        <v>3962</v>
      </c>
      <c r="F111" s="478"/>
      <c r="G111" s="477" t="s">
        <v>4133</v>
      </c>
      <c r="H111" s="478"/>
      <c r="I111" s="478"/>
      <c r="J111" s="478"/>
      <c r="K111" s="479"/>
      <c r="L111" s="479"/>
      <c r="M111" s="479"/>
    </row>
    <row r="112" ht="22.5" customHeight="1">
      <c r="A112" s="475" t="s">
        <v>4134</v>
      </c>
      <c r="B112" s="475" t="s">
        <v>4135</v>
      </c>
      <c r="C112" s="475" t="s">
        <v>4136</v>
      </c>
      <c r="D112" s="485">
        <v>9.05338353003E11</v>
      </c>
      <c r="E112" s="478" t="s">
        <v>3965</v>
      </c>
      <c r="F112" s="478"/>
      <c r="G112" s="477" t="s">
        <v>4137</v>
      </c>
      <c r="H112" s="478"/>
      <c r="I112" s="478"/>
      <c r="J112" s="478"/>
      <c r="K112" s="479"/>
      <c r="L112" s="479"/>
      <c r="M112" s="479"/>
    </row>
    <row r="113" ht="22.5" customHeight="1">
      <c r="A113" s="475" t="s">
        <v>4138</v>
      </c>
      <c r="B113" s="478"/>
      <c r="C113" s="478"/>
      <c r="D113" s="476"/>
      <c r="E113" s="478" t="s">
        <v>3968</v>
      </c>
      <c r="F113" s="478"/>
      <c r="G113" s="478"/>
      <c r="H113" s="478"/>
      <c r="I113" s="478"/>
      <c r="J113" s="478"/>
      <c r="K113" s="479"/>
      <c r="L113" s="479"/>
      <c r="M113" s="479"/>
    </row>
    <row r="114" ht="22.5" customHeight="1">
      <c r="A114" s="478" t="s">
        <v>4139</v>
      </c>
      <c r="B114" s="478"/>
      <c r="C114" s="478"/>
      <c r="D114" s="476"/>
      <c r="E114" s="478" t="s">
        <v>3970</v>
      </c>
      <c r="F114" s="478"/>
      <c r="G114" s="478"/>
      <c r="H114" s="478"/>
      <c r="I114" s="478"/>
      <c r="J114" s="478"/>
      <c r="K114" s="479"/>
      <c r="L114" s="479"/>
      <c r="M114" s="479"/>
    </row>
    <row r="115" ht="22.5" customHeight="1">
      <c r="A115" s="478"/>
      <c r="B115" s="478"/>
      <c r="C115" s="478"/>
      <c r="D115" s="476"/>
      <c r="E115" s="478" t="s">
        <v>3973</v>
      </c>
      <c r="F115" s="478"/>
      <c r="G115" s="478"/>
      <c r="H115" s="478"/>
      <c r="I115" s="478"/>
      <c r="J115" s="478"/>
      <c r="K115" s="479"/>
      <c r="L115" s="479"/>
      <c r="M115" s="479"/>
    </row>
    <row r="116" ht="22.5" customHeight="1">
      <c r="A116" s="478"/>
      <c r="B116" s="478"/>
      <c r="C116" s="478"/>
      <c r="D116" s="476"/>
      <c r="E116" s="478" t="s">
        <v>3976</v>
      </c>
      <c r="F116" s="478"/>
      <c r="G116" s="478"/>
      <c r="H116" s="478"/>
      <c r="I116" s="478"/>
      <c r="J116" s="478"/>
      <c r="K116" s="479"/>
      <c r="L116" s="479"/>
      <c r="M116" s="479"/>
    </row>
    <row r="117" ht="22.5" customHeight="1">
      <c r="A117" s="478"/>
      <c r="B117" s="478"/>
      <c r="C117" s="478"/>
      <c r="D117" s="476"/>
      <c r="E117" s="478" t="s">
        <v>3979</v>
      </c>
      <c r="F117" s="478"/>
      <c r="G117" s="478"/>
      <c r="H117" s="478"/>
      <c r="I117" s="478"/>
      <c r="J117" s="478"/>
      <c r="K117" s="479"/>
      <c r="L117" s="479"/>
      <c r="M117" s="479"/>
    </row>
    <row r="118" ht="22.5" customHeight="1">
      <c r="A118" s="478"/>
      <c r="B118" s="478"/>
      <c r="C118" s="478"/>
      <c r="D118" s="476"/>
      <c r="E118" s="478" t="s">
        <v>3982</v>
      </c>
      <c r="F118" s="478"/>
      <c r="G118" s="478"/>
      <c r="H118" s="478"/>
      <c r="I118" s="478"/>
      <c r="J118" s="478"/>
      <c r="K118" s="479"/>
      <c r="L118" s="479"/>
      <c r="M118" s="479"/>
    </row>
    <row r="119" ht="22.5" customHeight="1">
      <c r="A119" s="478"/>
      <c r="B119" s="478"/>
      <c r="C119" s="478"/>
      <c r="D119" s="476"/>
      <c r="E119" s="478" t="s">
        <v>3985</v>
      </c>
      <c r="F119" s="478"/>
      <c r="G119" s="478"/>
      <c r="H119" s="478"/>
      <c r="I119" s="478"/>
      <c r="J119" s="478"/>
      <c r="K119" s="479"/>
      <c r="L119" s="479"/>
      <c r="M119" s="479"/>
    </row>
    <row r="120" ht="22.5" customHeight="1">
      <c r="A120" s="478"/>
      <c r="B120" s="478"/>
      <c r="C120" s="478"/>
      <c r="D120" s="476"/>
      <c r="E120" s="478" t="s">
        <v>3988</v>
      </c>
      <c r="F120" s="478"/>
      <c r="G120" s="478"/>
      <c r="H120" s="478"/>
      <c r="I120" s="478"/>
      <c r="J120" s="478"/>
      <c r="K120" s="479"/>
      <c r="L120" s="479"/>
      <c r="M120" s="479"/>
    </row>
    <row r="121" ht="22.5" customHeight="1">
      <c r="A121" s="478"/>
      <c r="B121" s="478"/>
      <c r="C121" s="478"/>
      <c r="D121" s="476"/>
      <c r="E121" s="478" t="s">
        <v>3991</v>
      </c>
      <c r="F121" s="478"/>
      <c r="G121" s="478"/>
      <c r="H121" s="478"/>
      <c r="I121" s="478"/>
      <c r="J121" s="478"/>
      <c r="K121" s="479"/>
      <c r="L121" s="479"/>
      <c r="M121" s="479"/>
    </row>
    <row r="122" ht="22.5" customHeight="1">
      <c r="A122" s="478"/>
      <c r="B122" s="478"/>
      <c r="C122" s="478"/>
      <c r="D122" s="476"/>
      <c r="E122" s="478" t="s">
        <v>3994</v>
      </c>
      <c r="F122" s="478"/>
      <c r="G122" s="478"/>
      <c r="H122" s="478"/>
      <c r="I122" s="478"/>
      <c r="J122" s="478"/>
      <c r="K122" s="479"/>
      <c r="L122" s="479"/>
      <c r="M122" s="479"/>
    </row>
    <row r="123" ht="22.5" customHeight="1">
      <c r="A123" s="478"/>
      <c r="B123" s="478"/>
      <c r="C123" s="478"/>
      <c r="D123" s="476"/>
      <c r="E123" s="478" t="s">
        <v>3997</v>
      </c>
      <c r="F123" s="478"/>
      <c r="G123" s="478"/>
      <c r="H123" s="478"/>
      <c r="I123" s="478"/>
      <c r="J123" s="478"/>
      <c r="K123" s="479"/>
      <c r="L123" s="479"/>
      <c r="M123" s="479"/>
    </row>
    <row r="124" ht="22.5" customHeight="1">
      <c r="A124" s="478"/>
      <c r="B124" s="478"/>
      <c r="C124" s="478"/>
      <c r="D124" s="476"/>
      <c r="E124" s="478" t="s">
        <v>4000</v>
      </c>
      <c r="F124" s="478"/>
      <c r="G124" s="478"/>
      <c r="H124" s="478"/>
      <c r="I124" s="478"/>
      <c r="J124" s="478"/>
      <c r="K124" s="479"/>
      <c r="L124" s="479"/>
      <c r="M124" s="479"/>
    </row>
    <row r="125" ht="22.5" customHeight="1">
      <c r="A125" s="478"/>
      <c r="B125" s="478"/>
      <c r="C125" s="478"/>
      <c r="D125" s="476"/>
      <c r="E125" s="478" t="s">
        <v>4003</v>
      </c>
      <c r="F125" s="478"/>
      <c r="G125" s="478"/>
      <c r="H125" s="478"/>
      <c r="I125" s="478"/>
      <c r="J125" s="478"/>
      <c r="K125" s="479"/>
      <c r="L125" s="479"/>
      <c r="M125" s="479"/>
    </row>
    <row r="126" ht="22.5" customHeight="1">
      <c r="A126" s="478"/>
      <c r="B126" s="478"/>
      <c r="C126" s="478"/>
      <c r="D126" s="487"/>
      <c r="E126" s="478" t="s">
        <v>4140</v>
      </c>
      <c r="F126" s="488"/>
      <c r="G126" s="476"/>
      <c r="H126" s="488"/>
      <c r="I126" s="488"/>
      <c r="J126" s="478"/>
      <c r="K126" s="488"/>
      <c r="L126" s="478"/>
      <c r="M126" s="478"/>
    </row>
    <row r="127" ht="22.5" customHeight="1">
      <c r="A127" s="478"/>
      <c r="B127" s="478"/>
      <c r="C127" s="478"/>
      <c r="D127" s="487"/>
      <c r="E127" s="478" t="s">
        <v>4141</v>
      </c>
      <c r="F127" s="488"/>
      <c r="G127" s="476"/>
      <c r="H127" s="488"/>
      <c r="I127" s="488"/>
      <c r="J127" s="478"/>
      <c r="K127" s="488"/>
      <c r="L127" s="478"/>
      <c r="M127" s="478"/>
    </row>
    <row r="128" ht="22.5" customHeight="1">
      <c r="A128" s="478"/>
      <c r="B128" s="478"/>
      <c r="C128" s="478"/>
      <c r="D128" s="487"/>
      <c r="E128" s="478" t="s">
        <v>4142</v>
      </c>
      <c r="F128" s="488"/>
      <c r="G128" s="476"/>
      <c r="H128" s="488"/>
      <c r="I128" s="488"/>
      <c r="J128" s="478"/>
      <c r="K128" s="488"/>
      <c r="L128" s="478"/>
      <c r="M128" s="478"/>
    </row>
    <row r="129" ht="22.5" customHeight="1">
      <c r="A129" s="478"/>
      <c r="B129" s="478"/>
      <c r="C129" s="478"/>
      <c r="D129" s="487"/>
      <c r="E129" s="478" t="s">
        <v>4143</v>
      </c>
      <c r="F129" s="488"/>
      <c r="G129" s="476"/>
      <c r="H129" s="488"/>
      <c r="I129" s="488"/>
      <c r="J129" s="478"/>
      <c r="K129" s="488"/>
      <c r="L129" s="478"/>
      <c r="M129" s="478"/>
    </row>
    <row r="130" ht="22.5" customHeight="1">
      <c r="A130" s="478"/>
      <c r="B130" s="478"/>
      <c r="C130" s="478"/>
      <c r="D130" s="487"/>
      <c r="E130" s="478" t="s">
        <v>4144</v>
      </c>
      <c r="F130" s="488"/>
      <c r="G130" s="476"/>
      <c r="H130" s="488"/>
      <c r="I130" s="488"/>
      <c r="J130" s="478"/>
      <c r="K130" s="488"/>
      <c r="L130" s="478"/>
      <c r="M130" s="478"/>
    </row>
    <row r="131" ht="22.5" customHeight="1">
      <c r="A131" s="478"/>
      <c r="B131" s="478"/>
      <c r="C131" s="478"/>
      <c r="D131" s="487"/>
      <c r="E131" s="478"/>
      <c r="F131" s="488"/>
      <c r="G131" s="476"/>
      <c r="H131" s="488"/>
      <c r="I131" s="488"/>
      <c r="J131" s="478"/>
      <c r="K131" s="488"/>
      <c r="L131" s="478"/>
      <c r="M131" s="478"/>
    </row>
    <row r="132" ht="22.5" customHeight="1">
      <c r="A132" s="478"/>
      <c r="B132" s="478"/>
      <c r="C132" s="478"/>
      <c r="D132" s="476"/>
      <c r="E132" s="478" t="s">
        <v>4145</v>
      </c>
      <c r="F132" s="478"/>
      <c r="G132" s="478"/>
      <c r="H132" s="478"/>
      <c r="I132" s="478"/>
      <c r="J132" s="478"/>
      <c r="K132" s="479"/>
      <c r="L132" s="479"/>
      <c r="M132" s="479"/>
    </row>
    <row r="133" ht="22.5" customHeight="1">
      <c r="A133" s="489" t="s">
        <v>3810</v>
      </c>
      <c r="B133" s="490"/>
      <c r="C133" s="489" t="s">
        <v>4146</v>
      </c>
      <c r="D133" s="491"/>
      <c r="E133" s="489" t="s">
        <v>4147</v>
      </c>
      <c r="F133" s="489">
        <v>9.689338981E10</v>
      </c>
      <c r="G133" s="490"/>
      <c r="H133" s="489" t="s">
        <v>4148</v>
      </c>
      <c r="I133" s="490"/>
      <c r="J133" s="490"/>
      <c r="K133" s="479"/>
      <c r="L133" s="479"/>
      <c r="M133" s="479"/>
    </row>
    <row r="134" ht="22.5" customHeight="1">
      <c r="A134" s="489" t="s">
        <v>3810</v>
      </c>
      <c r="B134" s="490"/>
      <c r="C134" s="489" t="s">
        <v>4149</v>
      </c>
      <c r="D134" s="491"/>
      <c r="E134" s="489" t="s">
        <v>4150</v>
      </c>
      <c r="F134" s="489">
        <v>9.6892155559E10</v>
      </c>
      <c r="G134" s="490"/>
      <c r="H134" s="489" t="s">
        <v>4148</v>
      </c>
      <c r="I134" s="490"/>
      <c r="J134" s="490"/>
      <c r="K134" s="479"/>
      <c r="L134" s="479"/>
      <c r="M134" s="479"/>
    </row>
    <row r="135" ht="22.5" customHeight="1">
      <c r="A135" s="489" t="s">
        <v>3810</v>
      </c>
      <c r="B135" s="490"/>
      <c r="C135" s="489" t="s">
        <v>4151</v>
      </c>
      <c r="D135" s="491"/>
      <c r="E135" s="489" t="s">
        <v>4152</v>
      </c>
      <c r="F135" s="489">
        <v>9.6894176007E10</v>
      </c>
      <c r="G135" s="490"/>
      <c r="H135" s="489" t="s">
        <v>4148</v>
      </c>
      <c r="I135" s="490"/>
      <c r="J135" s="490"/>
      <c r="K135" s="479"/>
      <c r="L135" s="479"/>
      <c r="M135" s="479"/>
    </row>
    <row r="136" ht="22.5" customHeight="1">
      <c r="A136" s="489" t="s">
        <v>3810</v>
      </c>
      <c r="B136" s="490"/>
      <c r="C136" s="489" t="s">
        <v>4153</v>
      </c>
      <c r="D136" s="491"/>
      <c r="E136" s="489" t="s">
        <v>4154</v>
      </c>
      <c r="F136" s="489">
        <v>9.682207777E10</v>
      </c>
      <c r="G136" s="490"/>
      <c r="H136" s="489" t="s">
        <v>4148</v>
      </c>
      <c r="I136" s="490"/>
      <c r="J136" s="490"/>
      <c r="K136" s="479"/>
      <c r="L136" s="479"/>
      <c r="M136" s="479"/>
    </row>
    <row r="137" ht="22.5" customHeight="1">
      <c r="A137" s="489" t="s">
        <v>3810</v>
      </c>
      <c r="B137" s="490"/>
      <c r="C137" s="489" t="s">
        <v>4155</v>
      </c>
      <c r="D137" s="491"/>
      <c r="E137" s="489" t="s">
        <v>4156</v>
      </c>
      <c r="F137" s="489">
        <v>9.6891145911E10</v>
      </c>
      <c r="G137" s="490"/>
      <c r="H137" s="489" t="s">
        <v>4148</v>
      </c>
      <c r="I137" s="490"/>
      <c r="J137" s="490"/>
      <c r="K137" s="479"/>
      <c r="L137" s="479"/>
      <c r="M137" s="479"/>
    </row>
    <row r="138" ht="22.5" customHeight="1">
      <c r="A138" s="489" t="s">
        <v>3810</v>
      </c>
      <c r="B138" s="490"/>
      <c r="C138" s="489" t="s">
        <v>4157</v>
      </c>
      <c r="D138" s="491"/>
      <c r="E138" s="489"/>
      <c r="F138" s="489">
        <v>9.6895064803E10</v>
      </c>
      <c r="G138" s="490"/>
      <c r="H138" s="489" t="s">
        <v>4148</v>
      </c>
      <c r="I138" s="490"/>
      <c r="J138" s="490"/>
      <c r="K138" s="479"/>
      <c r="L138" s="479"/>
      <c r="M138" s="479"/>
    </row>
    <row r="139" ht="22.5" customHeight="1">
      <c r="A139" s="489" t="s">
        <v>3810</v>
      </c>
      <c r="B139" s="492"/>
      <c r="C139" s="493" t="s">
        <v>4158</v>
      </c>
      <c r="D139" s="494"/>
      <c r="E139" s="493"/>
      <c r="F139" s="495" t="s">
        <v>4159</v>
      </c>
      <c r="G139" s="492"/>
      <c r="H139" s="489" t="s">
        <v>4148</v>
      </c>
      <c r="I139" s="489"/>
      <c r="J139" s="492"/>
      <c r="K139" s="479"/>
      <c r="L139" s="479"/>
      <c r="M139" s="479"/>
    </row>
    <row r="140" ht="22.5" customHeight="1">
      <c r="A140" s="489" t="s">
        <v>3810</v>
      </c>
      <c r="B140" s="492"/>
      <c r="C140" s="493" t="s">
        <v>4160</v>
      </c>
      <c r="D140" s="494"/>
      <c r="E140" s="493"/>
      <c r="F140" s="496" t="s">
        <v>4161</v>
      </c>
      <c r="G140" s="492"/>
      <c r="H140" s="489" t="s">
        <v>4148</v>
      </c>
      <c r="I140" s="489"/>
      <c r="J140" s="492"/>
      <c r="K140" s="479"/>
      <c r="L140" s="479"/>
      <c r="M140" s="479"/>
    </row>
    <row r="141" ht="22.5" customHeight="1">
      <c r="A141" s="493"/>
      <c r="B141" s="492"/>
      <c r="C141" s="493"/>
      <c r="D141" s="494"/>
      <c r="E141" s="493"/>
      <c r="F141" s="497"/>
      <c r="G141" s="492"/>
      <c r="H141" s="493"/>
      <c r="I141" s="493"/>
      <c r="J141" s="492"/>
      <c r="K141" s="479"/>
      <c r="L141" s="479"/>
      <c r="M141" s="479"/>
    </row>
    <row r="142" ht="22.5" customHeight="1">
      <c r="A142" s="493"/>
      <c r="B142" s="492"/>
      <c r="C142" s="493"/>
      <c r="D142" s="494"/>
      <c r="E142" s="493"/>
      <c r="F142" s="497"/>
      <c r="G142" s="492"/>
      <c r="H142" s="493"/>
      <c r="I142" s="493"/>
      <c r="J142" s="492"/>
      <c r="K142" s="479"/>
      <c r="L142" s="479"/>
      <c r="M142" s="479"/>
    </row>
    <row r="143" ht="22.5" customHeight="1">
      <c r="A143" s="493"/>
      <c r="B143" s="492"/>
      <c r="C143" s="493"/>
      <c r="D143" s="494"/>
      <c r="E143" s="493"/>
      <c r="F143" s="497"/>
      <c r="G143" s="492"/>
      <c r="H143" s="493"/>
      <c r="I143" s="493"/>
      <c r="J143" s="492"/>
      <c r="K143" s="479"/>
      <c r="L143" s="479"/>
      <c r="M143" s="479"/>
    </row>
    <row r="144" ht="22.5" customHeight="1">
      <c r="A144" s="493"/>
      <c r="B144" s="492"/>
      <c r="C144" s="493"/>
      <c r="D144" s="494"/>
      <c r="E144" s="493"/>
      <c r="F144" s="497"/>
      <c r="G144" s="492"/>
      <c r="H144" s="493"/>
      <c r="I144" s="493"/>
      <c r="J144" s="492"/>
      <c r="K144" s="479"/>
      <c r="L144" s="479"/>
      <c r="M144" s="479"/>
    </row>
    <row r="145" ht="22.5" customHeight="1">
      <c r="A145" s="493"/>
      <c r="B145" s="492"/>
      <c r="C145" s="493"/>
      <c r="D145" s="494"/>
      <c r="E145" s="493"/>
      <c r="F145" s="497"/>
      <c r="G145" s="492"/>
      <c r="H145" s="493"/>
      <c r="I145" s="493"/>
      <c r="J145" s="492"/>
      <c r="K145" s="479"/>
      <c r="L145" s="479"/>
      <c r="M145" s="479"/>
    </row>
    <row r="146" ht="22.5" customHeight="1">
      <c r="A146" s="493"/>
      <c r="B146" s="492"/>
      <c r="C146" s="493"/>
      <c r="D146" s="494"/>
      <c r="E146" s="493"/>
      <c r="F146" s="497"/>
      <c r="G146" s="492"/>
      <c r="H146" s="493"/>
      <c r="I146" s="493"/>
      <c r="J146" s="492"/>
      <c r="K146" s="479"/>
      <c r="L146" s="479"/>
      <c r="M146" s="479"/>
    </row>
  </sheetData>
  <dataValidations>
    <dataValidation type="custom" allowBlank="1" showDropDown="1" sqref="D2:D146">
      <formula1>AND(ISNUMBER(D2),(NOT(OR(NOT(ISERROR(DATEVALUE(D2))), AND(ISNUMBER(D2), LEFT(CELL("format", D2))="D")))))</formula1>
    </dataValidation>
  </dataValidations>
  <hyperlinks>
    <hyperlink r:id="rId1" ref="E2"/>
    <hyperlink r:id="rId2" ref="E3"/>
    <hyperlink r:id="rId3" ref="G3"/>
    <hyperlink r:id="rId4" ref="G4"/>
    <hyperlink r:id="rId5" ref="E5"/>
    <hyperlink r:id="rId6" ref="G6"/>
    <hyperlink r:id="rId7" ref="G7"/>
    <hyperlink r:id="rId8" ref="G8"/>
    <hyperlink r:id="rId9" ref="G11"/>
    <hyperlink r:id="rId10" ref="G12"/>
    <hyperlink r:id="rId11" ref="G13"/>
    <hyperlink r:id="rId12" ref="G14"/>
    <hyperlink r:id="rId13" ref="G15"/>
    <hyperlink r:id="rId14" ref="E16"/>
    <hyperlink r:id="rId15" ref="E17"/>
    <hyperlink r:id="rId16" ref="E39"/>
    <hyperlink r:id="rId17" ref="E40"/>
    <hyperlink r:id="rId18" ref="E43"/>
    <hyperlink r:id="rId19" ref="E44"/>
    <hyperlink r:id="rId20" ref="E45"/>
    <hyperlink r:id="rId21" ref="E46"/>
    <hyperlink r:id="rId22" ref="E48"/>
    <hyperlink r:id="rId23" ref="G48"/>
    <hyperlink r:id="rId24" ref="E64"/>
    <hyperlink r:id="rId25" ref="E65"/>
    <hyperlink r:id="rId26" ref="E67"/>
    <hyperlink r:id="rId27" ref="E78"/>
    <hyperlink r:id="rId28" ref="E79"/>
    <hyperlink r:id="rId29" ref="G89"/>
    <hyperlink r:id="rId30" ref="G90"/>
    <hyperlink r:id="rId31" ref="G93"/>
    <hyperlink r:id="rId32" ref="G94"/>
    <hyperlink r:id="rId33" ref="G95"/>
    <hyperlink r:id="rId34" ref="G97"/>
    <hyperlink r:id="rId35" ref="G98"/>
    <hyperlink r:id="rId36" ref="G99"/>
    <hyperlink r:id="rId37" ref="G100"/>
    <hyperlink r:id="rId38" ref="E101"/>
    <hyperlink r:id="rId39" ref="G101"/>
    <hyperlink r:id="rId40" ref="E102"/>
    <hyperlink r:id="rId41" ref="G102"/>
    <hyperlink r:id="rId42" ref="G104"/>
    <hyperlink r:id="rId43" ref="E105"/>
    <hyperlink r:id="rId44" ref="G105"/>
    <hyperlink r:id="rId45" ref="E106"/>
    <hyperlink r:id="rId46" ref="G106"/>
    <hyperlink r:id="rId47" ref="E107"/>
    <hyperlink r:id="rId48" ref="G107"/>
    <hyperlink r:id="rId49" ref="E108"/>
    <hyperlink r:id="rId50" ref="G108"/>
    <hyperlink r:id="rId51" ref="G109"/>
    <hyperlink r:id="rId52" ref="E110"/>
    <hyperlink r:id="rId53" ref="G110"/>
    <hyperlink r:id="rId54" ref="G111"/>
    <hyperlink r:id="rId55" ref="G112"/>
    <hyperlink r:id="rId56" ref="F139"/>
  </hyperlinks>
  <drawing r:id="rId57"/>
  <tableParts count="1">
    <tablePart r:id="rId59"/>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5"/>
    <col customWidth="1" min="2" max="2" width="34.0"/>
    <col customWidth="1" min="3" max="3" width="17.25"/>
    <col customWidth="1" min="4" max="4" width="37.0"/>
    <col customWidth="1" min="5" max="5" width="25.88"/>
  </cols>
  <sheetData>
    <row r="1" ht="30.75" customHeight="1">
      <c r="A1" s="498" t="s">
        <v>4162</v>
      </c>
    </row>
    <row r="2">
      <c r="A2" s="499" t="s">
        <v>1005</v>
      </c>
      <c r="B2" s="499" t="s">
        <v>1</v>
      </c>
      <c r="C2" s="499" t="s">
        <v>669</v>
      </c>
      <c r="D2" s="499" t="s">
        <v>4</v>
      </c>
      <c r="E2" s="499" t="s">
        <v>4163</v>
      </c>
    </row>
    <row r="3">
      <c r="A3" s="500">
        <v>1.0</v>
      </c>
      <c r="B3" s="500" t="s">
        <v>4164</v>
      </c>
      <c r="C3" s="500" t="s">
        <v>4165</v>
      </c>
      <c r="D3" s="501" t="s">
        <v>4166</v>
      </c>
      <c r="E3" s="500" t="s">
        <v>4167</v>
      </c>
    </row>
    <row r="4">
      <c r="A4" s="500">
        <v>2.0</v>
      </c>
      <c r="B4" s="500" t="s">
        <v>4168</v>
      </c>
      <c r="C4" s="500" t="s">
        <v>4165</v>
      </c>
      <c r="D4" s="501" t="s">
        <v>4169</v>
      </c>
      <c r="E4" s="500" t="s">
        <v>4170</v>
      </c>
    </row>
    <row r="5">
      <c r="A5" s="500">
        <v>3.0</v>
      </c>
      <c r="B5" s="500" t="s">
        <v>4171</v>
      </c>
      <c r="C5" s="500" t="s">
        <v>4172</v>
      </c>
      <c r="D5" s="501" t="s">
        <v>4173</v>
      </c>
      <c r="E5" s="500" t="s">
        <v>4174</v>
      </c>
    </row>
    <row r="6">
      <c r="A6" s="500">
        <v>4.0</v>
      </c>
      <c r="B6" s="500" t="s">
        <v>4175</v>
      </c>
      <c r="C6" s="500" t="s">
        <v>4176</v>
      </c>
      <c r="D6" s="501" t="s">
        <v>4177</v>
      </c>
      <c r="E6" s="500" t="s">
        <v>4178</v>
      </c>
    </row>
    <row r="7">
      <c r="A7" s="500">
        <v>5.0</v>
      </c>
      <c r="B7" s="500" t="s">
        <v>4179</v>
      </c>
      <c r="C7" s="500" t="s">
        <v>4165</v>
      </c>
      <c r="D7" s="501" t="s">
        <v>4180</v>
      </c>
      <c r="E7" s="500" t="s">
        <v>4181</v>
      </c>
    </row>
    <row r="8">
      <c r="A8" s="500">
        <v>6.0</v>
      </c>
      <c r="B8" s="500" t="s">
        <v>4182</v>
      </c>
      <c r="C8" s="500" t="s">
        <v>4165</v>
      </c>
      <c r="D8" s="501" t="s">
        <v>4183</v>
      </c>
      <c r="E8" s="500" t="s">
        <v>4184</v>
      </c>
    </row>
    <row r="9">
      <c r="A9" s="500">
        <v>7.0</v>
      </c>
      <c r="B9" s="500" t="s">
        <v>4185</v>
      </c>
      <c r="C9" s="500" t="s">
        <v>4165</v>
      </c>
      <c r="D9" s="501" t="s">
        <v>4186</v>
      </c>
      <c r="E9" s="500" t="s">
        <v>4187</v>
      </c>
    </row>
    <row r="10">
      <c r="A10" s="500">
        <v>8.0</v>
      </c>
      <c r="B10" s="500" t="s">
        <v>4188</v>
      </c>
      <c r="C10" s="500" t="s">
        <v>4172</v>
      </c>
      <c r="D10" s="501" t="s">
        <v>4189</v>
      </c>
      <c r="E10" s="500" t="s">
        <v>4190</v>
      </c>
    </row>
    <row r="11">
      <c r="A11" s="500">
        <v>9.0</v>
      </c>
      <c r="B11" s="500" t="s">
        <v>4191</v>
      </c>
      <c r="C11" s="500" t="s">
        <v>4165</v>
      </c>
      <c r="D11" s="501" t="s">
        <v>4192</v>
      </c>
      <c r="E11" s="500" t="s">
        <v>4193</v>
      </c>
    </row>
    <row r="12">
      <c r="A12" s="500">
        <v>10.0</v>
      </c>
      <c r="B12" s="500" t="s">
        <v>4194</v>
      </c>
      <c r="C12" s="500" t="s">
        <v>4165</v>
      </c>
      <c r="D12" s="501" t="s">
        <v>4195</v>
      </c>
      <c r="E12" s="500" t="s">
        <v>4196</v>
      </c>
    </row>
    <row r="13">
      <c r="A13" s="500">
        <v>11.0</v>
      </c>
      <c r="B13" s="500" t="s">
        <v>4197</v>
      </c>
      <c r="C13" s="500" t="s">
        <v>4172</v>
      </c>
      <c r="D13" s="501" t="s">
        <v>4198</v>
      </c>
      <c r="E13" s="500" t="s">
        <v>4199</v>
      </c>
    </row>
    <row r="14">
      <c r="A14" s="500">
        <v>12.0</v>
      </c>
      <c r="B14" s="500" t="s">
        <v>4200</v>
      </c>
      <c r="C14" s="500" t="s">
        <v>4172</v>
      </c>
      <c r="D14" s="501" t="s">
        <v>4201</v>
      </c>
      <c r="E14" s="500" t="s">
        <v>4202</v>
      </c>
    </row>
    <row r="15">
      <c r="A15" s="500">
        <v>13.0</v>
      </c>
      <c r="B15" s="500" t="s">
        <v>4203</v>
      </c>
      <c r="C15" s="500" t="s">
        <v>4172</v>
      </c>
      <c r="D15" s="501" t="s">
        <v>4204</v>
      </c>
      <c r="E15" s="500" t="s">
        <v>4205</v>
      </c>
    </row>
    <row r="16">
      <c r="A16" s="500">
        <v>14.0</v>
      </c>
      <c r="B16" s="500" t="s">
        <v>4206</v>
      </c>
      <c r="C16" s="500" t="s">
        <v>4165</v>
      </c>
      <c r="D16" s="501" t="s">
        <v>4207</v>
      </c>
      <c r="E16" s="500" t="s">
        <v>4208</v>
      </c>
    </row>
    <row r="17">
      <c r="A17" s="500">
        <v>15.0</v>
      </c>
      <c r="B17" s="500" t="s">
        <v>4209</v>
      </c>
      <c r="C17" s="500" t="s">
        <v>4165</v>
      </c>
      <c r="D17" s="501" t="s">
        <v>4210</v>
      </c>
      <c r="E17" s="500" t="s">
        <v>4211</v>
      </c>
    </row>
    <row r="18">
      <c r="A18" s="500">
        <v>16.0</v>
      </c>
      <c r="B18" s="500" t="s">
        <v>4212</v>
      </c>
      <c r="C18" s="500" t="s">
        <v>4165</v>
      </c>
      <c r="D18" s="501" t="s">
        <v>4213</v>
      </c>
      <c r="E18" s="500" t="s">
        <v>4214</v>
      </c>
    </row>
    <row r="19">
      <c r="A19" s="500">
        <v>17.0</v>
      </c>
      <c r="B19" s="500" t="s">
        <v>4215</v>
      </c>
      <c r="C19" s="500" t="s">
        <v>4165</v>
      </c>
      <c r="D19" s="501" t="s">
        <v>4216</v>
      </c>
      <c r="E19" s="500" t="s">
        <v>4217</v>
      </c>
    </row>
    <row r="20">
      <c r="A20" s="500">
        <v>18.0</v>
      </c>
      <c r="B20" s="500" t="s">
        <v>4218</v>
      </c>
      <c r="C20" s="500" t="s">
        <v>4176</v>
      </c>
      <c r="D20" s="501" t="s">
        <v>4219</v>
      </c>
      <c r="E20" s="500" t="s">
        <v>4220</v>
      </c>
    </row>
    <row r="21">
      <c r="A21" s="500">
        <v>19.0</v>
      </c>
      <c r="B21" s="500" t="s">
        <v>4221</v>
      </c>
      <c r="C21" s="500" t="s">
        <v>4172</v>
      </c>
      <c r="D21" s="501" t="s">
        <v>4222</v>
      </c>
      <c r="E21" s="500" t="s">
        <v>4223</v>
      </c>
    </row>
    <row r="22">
      <c r="A22" s="500">
        <v>20.0</v>
      </c>
      <c r="B22" s="500" t="s">
        <v>4224</v>
      </c>
      <c r="C22" s="500" t="s">
        <v>4165</v>
      </c>
      <c r="D22" s="501" t="s">
        <v>4225</v>
      </c>
      <c r="E22" s="500" t="s">
        <v>4226</v>
      </c>
    </row>
    <row r="23">
      <c r="A23" s="500">
        <v>21.0</v>
      </c>
      <c r="B23" s="500" t="s">
        <v>4227</v>
      </c>
      <c r="C23" s="500" t="s">
        <v>4165</v>
      </c>
      <c r="D23" s="501" t="s">
        <v>4228</v>
      </c>
      <c r="E23" s="502" t="str">
        <f>+357 25 580030</f>
        <v>#ERROR!</v>
      </c>
    </row>
    <row r="24">
      <c r="A24" s="500">
        <v>22.0</v>
      </c>
      <c r="B24" s="500" t="s">
        <v>4229</v>
      </c>
      <c r="C24" s="500" t="s">
        <v>4165</v>
      </c>
      <c r="D24" s="501" t="s">
        <v>4230</v>
      </c>
      <c r="E24" s="502" t="str">
        <f>+357 25 123456</f>
        <v>#ERROR!</v>
      </c>
    </row>
    <row r="25">
      <c r="A25" s="500">
        <v>23.0</v>
      </c>
      <c r="B25" s="500" t="s">
        <v>4231</v>
      </c>
      <c r="C25" s="500" t="s">
        <v>4172</v>
      </c>
      <c r="D25" s="501" t="s">
        <v>4232</v>
      </c>
      <c r="E25" s="502" t="str">
        <f>+90 539 1175628</f>
        <v>#ERROR!</v>
      </c>
    </row>
    <row r="26">
      <c r="A26" s="500">
        <v>24.0</v>
      </c>
      <c r="B26" s="500" t="s">
        <v>4233</v>
      </c>
      <c r="C26" s="500" t="s">
        <v>4172</v>
      </c>
      <c r="D26" s="501" t="s">
        <v>4234</v>
      </c>
      <c r="E26" s="502" t="str">
        <f>+357 22 123456</f>
        <v>#ERROR!</v>
      </c>
    </row>
    <row r="27">
      <c r="A27" s="500">
        <v>25.0</v>
      </c>
      <c r="B27" s="500" t="s">
        <v>4235</v>
      </c>
      <c r="C27" s="500" t="s">
        <v>4165</v>
      </c>
      <c r="D27" s="501" t="s">
        <v>4236</v>
      </c>
      <c r="E27" s="502" t="str">
        <f>+357 25 123456</f>
        <v>#ERROR!</v>
      </c>
    </row>
    <row r="28">
      <c r="A28" s="500">
        <v>26.0</v>
      </c>
      <c r="B28" s="500" t="s">
        <v>4237</v>
      </c>
      <c r="C28" s="500" t="s">
        <v>4176</v>
      </c>
      <c r="D28" s="501" t="s">
        <v>4238</v>
      </c>
      <c r="E28" s="502" t="str">
        <f>+357 26 123456</f>
        <v>#ERROR!</v>
      </c>
    </row>
    <row r="29">
      <c r="A29" s="500">
        <v>27.0</v>
      </c>
      <c r="B29" s="500" t="s">
        <v>4239</v>
      </c>
      <c r="C29" s="500" t="s">
        <v>4176</v>
      </c>
      <c r="D29" s="501" t="s">
        <v>4240</v>
      </c>
      <c r="E29" s="502" t="str">
        <f>+357 26 123456</f>
        <v>#ERROR!</v>
      </c>
    </row>
    <row r="30">
      <c r="A30" s="500">
        <v>28.0</v>
      </c>
      <c r="B30" s="500" t="s">
        <v>4241</v>
      </c>
      <c r="C30" s="500" t="s">
        <v>4165</v>
      </c>
      <c r="D30" s="501" t="s">
        <v>4242</v>
      </c>
      <c r="E30" s="502" t="str">
        <f>+357 25 123456</f>
        <v>#ERROR!</v>
      </c>
    </row>
    <row r="31">
      <c r="A31" s="500">
        <v>29.0</v>
      </c>
      <c r="B31" s="500" t="s">
        <v>4243</v>
      </c>
      <c r="C31" s="500" t="s">
        <v>4172</v>
      </c>
      <c r="D31" s="501" t="s">
        <v>4244</v>
      </c>
      <c r="E31" s="502" t="str">
        <f>+357 22 123456</f>
        <v>#ERROR!</v>
      </c>
    </row>
    <row r="32">
      <c r="A32" s="500">
        <v>30.0</v>
      </c>
      <c r="B32" s="500" t="s">
        <v>4245</v>
      </c>
      <c r="C32" s="500" t="s">
        <v>4165</v>
      </c>
      <c r="D32" s="501" t="s">
        <v>4246</v>
      </c>
      <c r="E32" s="502" t="str">
        <f>+357 25 123456</f>
        <v>#ERROR!</v>
      </c>
    </row>
    <row r="33">
      <c r="A33" s="500">
        <v>31.0</v>
      </c>
      <c r="B33" s="500" t="s">
        <v>4247</v>
      </c>
      <c r="C33" s="500" t="s">
        <v>4165</v>
      </c>
      <c r="D33" s="501" t="s">
        <v>4248</v>
      </c>
      <c r="E33" s="502" t="str">
        <f>+357 25 123456</f>
        <v>#ERROR!</v>
      </c>
    </row>
    <row r="34">
      <c r="A34" s="500">
        <v>32.0</v>
      </c>
      <c r="B34" s="500" t="s">
        <v>4249</v>
      </c>
      <c r="C34" s="500" t="s">
        <v>4165</v>
      </c>
      <c r="D34" s="501" t="s">
        <v>4250</v>
      </c>
      <c r="E34" s="502" t="str">
        <f>+357 25 123456</f>
        <v>#ERROR!</v>
      </c>
    </row>
    <row r="35">
      <c r="A35" s="500">
        <v>33.0</v>
      </c>
      <c r="B35" s="500" t="s">
        <v>4251</v>
      </c>
      <c r="C35" s="500" t="s">
        <v>4252</v>
      </c>
      <c r="D35" s="501" t="s">
        <v>4253</v>
      </c>
      <c r="E35" s="502" t="str">
        <f>+357 23 123456</f>
        <v>#ERROR!</v>
      </c>
    </row>
    <row r="36">
      <c r="A36" s="500">
        <v>34.0</v>
      </c>
      <c r="B36" s="500" t="s">
        <v>4254</v>
      </c>
      <c r="C36" s="500" t="s">
        <v>4176</v>
      </c>
      <c r="D36" s="501" t="s">
        <v>4255</v>
      </c>
      <c r="E36" s="502" t="str">
        <f>+357 26 123456</f>
        <v>#ERROR!</v>
      </c>
    </row>
    <row r="37">
      <c r="A37" s="500">
        <v>35.0</v>
      </c>
      <c r="B37" s="500" t="s">
        <v>4256</v>
      </c>
      <c r="C37" s="500" t="s">
        <v>4172</v>
      </c>
      <c r="D37" s="501" t="s">
        <v>4257</v>
      </c>
      <c r="E37" s="502" t="str">
        <f>+357 22 123456</f>
        <v>#ERROR!</v>
      </c>
    </row>
    <row r="38">
      <c r="A38" s="500">
        <v>36.0</v>
      </c>
      <c r="B38" s="500" t="s">
        <v>4258</v>
      </c>
      <c r="C38" s="500" t="s">
        <v>4165</v>
      </c>
      <c r="D38" s="501" t="s">
        <v>4259</v>
      </c>
      <c r="E38" s="502" t="str">
        <f>+357 25 123456</f>
        <v>#ERROR!</v>
      </c>
    </row>
    <row r="39">
      <c r="A39" s="500">
        <v>37.0</v>
      </c>
      <c r="B39" s="500" t="s">
        <v>142</v>
      </c>
      <c r="C39" s="500" t="s">
        <v>4176</v>
      </c>
      <c r="D39" s="501" t="s">
        <v>4260</v>
      </c>
      <c r="E39" s="502" t="str">
        <f>+357 26 123456</f>
        <v>#ERROR!</v>
      </c>
    </row>
    <row r="40">
      <c r="A40" s="500">
        <v>38.0</v>
      </c>
      <c r="B40" s="500" t="s">
        <v>4261</v>
      </c>
      <c r="C40" s="500" t="s">
        <v>4165</v>
      </c>
      <c r="D40" s="501" t="s">
        <v>4262</v>
      </c>
      <c r="E40" s="502" t="str">
        <f>+357 25 123456</f>
        <v>#ERROR!</v>
      </c>
    </row>
    <row r="41">
      <c r="A41" s="500">
        <v>39.0</v>
      </c>
      <c r="B41" s="500" t="s">
        <v>4263</v>
      </c>
      <c r="C41" s="500" t="s">
        <v>4172</v>
      </c>
      <c r="D41" s="501" t="s">
        <v>4264</v>
      </c>
      <c r="E41" s="502" t="str">
        <f>+357 22 123456</f>
        <v>#ERROR!</v>
      </c>
    </row>
    <row r="42">
      <c r="A42" s="500">
        <v>40.0</v>
      </c>
      <c r="B42" s="500" t="s">
        <v>4265</v>
      </c>
      <c r="C42" s="500" t="s">
        <v>4165</v>
      </c>
      <c r="D42" s="501" t="s">
        <v>4266</v>
      </c>
      <c r="E42" s="502" t="str">
        <f>+357 25 123456</f>
        <v>#ERROR!</v>
      </c>
    </row>
    <row r="43">
      <c r="A43" s="500">
        <v>41.0</v>
      </c>
      <c r="B43" s="500" t="s">
        <v>4164</v>
      </c>
      <c r="C43" s="500" t="s">
        <v>4165</v>
      </c>
      <c r="D43" s="501" t="s">
        <v>4267</v>
      </c>
      <c r="E43" s="502" t="str">
        <f>+357 25 123456</f>
        <v>#ERROR!</v>
      </c>
    </row>
    <row r="44">
      <c r="A44" s="500">
        <v>42.0</v>
      </c>
      <c r="B44" s="500" t="s">
        <v>4168</v>
      </c>
      <c r="C44" s="500" t="s">
        <v>4165</v>
      </c>
      <c r="D44" s="501" t="s">
        <v>4268</v>
      </c>
      <c r="E44" s="502" t="str">
        <f>+357 25 654321</f>
        <v>#ERROR!</v>
      </c>
    </row>
    <row r="45">
      <c r="A45" s="500">
        <v>43.0</v>
      </c>
      <c r="B45" s="500" t="s">
        <v>4171</v>
      </c>
      <c r="C45" s="500" t="s">
        <v>4172</v>
      </c>
      <c r="D45" s="501" t="s">
        <v>4269</v>
      </c>
      <c r="E45" s="502" t="str">
        <f>+357 22 265000</f>
        <v>#ERROR!</v>
      </c>
    </row>
    <row r="46">
      <c r="A46" s="500">
        <v>44.0</v>
      </c>
      <c r="B46" s="500" t="s">
        <v>4175</v>
      </c>
      <c r="C46" s="500" t="s">
        <v>4176</v>
      </c>
      <c r="D46" s="501" t="s">
        <v>4270</v>
      </c>
      <c r="E46" s="502" t="str">
        <f>+357 26 930940</f>
        <v>#ERROR!</v>
      </c>
    </row>
    <row r="47">
      <c r="A47" s="500">
        <v>45.0</v>
      </c>
      <c r="B47" s="500" t="s">
        <v>4179</v>
      </c>
      <c r="C47" s="500" t="s">
        <v>4165</v>
      </c>
      <c r="D47" s="501" t="s">
        <v>4271</v>
      </c>
      <c r="E47" s="502" t="str">
        <f>+357 25 789012</f>
        <v>#ERROR!</v>
      </c>
    </row>
    <row r="48">
      <c r="A48" s="500">
        <v>46.0</v>
      </c>
      <c r="B48" s="500" t="s">
        <v>4182</v>
      </c>
      <c r="C48" s="500" t="s">
        <v>4165</v>
      </c>
      <c r="D48" s="501" t="s">
        <v>4272</v>
      </c>
      <c r="E48" s="502" t="str">
        <f>+357 25 345678</f>
        <v>#ERROR!</v>
      </c>
    </row>
    <row r="49">
      <c r="A49" s="500">
        <v>47.0</v>
      </c>
      <c r="B49" s="500" t="s">
        <v>4185</v>
      </c>
      <c r="C49" s="500" t="s">
        <v>4165</v>
      </c>
      <c r="D49" s="501" t="s">
        <v>4273</v>
      </c>
      <c r="E49" s="502" t="str">
        <f>+357 25 987654</f>
        <v>#ERROR!</v>
      </c>
    </row>
    <row r="50">
      <c r="A50" s="500">
        <v>48.0</v>
      </c>
      <c r="B50" s="500" t="s">
        <v>4188</v>
      </c>
      <c r="C50" s="500" t="s">
        <v>4172</v>
      </c>
      <c r="D50" s="501" t="s">
        <v>4274</v>
      </c>
      <c r="E50" s="502" t="str">
        <f>+357 22 330084</f>
        <v>#ERROR!</v>
      </c>
    </row>
    <row r="51">
      <c r="A51" s="500">
        <v>49.0</v>
      </c>
      <c r="B51" s="500" t="s">
        <v>4191</v>
      </c>
      <c r="C51" s="500" t="s">
        <v>4165</v>
      </c>
      <c r="D51" s="501" t="s">
        <v>4275</v>
      </c>
      <c r="E51" s="502" t="str">
        <f>+357 25 112233</f>
        <v>#ERROR!</v>
      </c>
    </row>
    <row r="52">
      <c r="A52" s="500">
        <v>50.0</v>
      </c>
      <c r="B52" s="500" t="s">
        <v>4194</v>
      </c>
      <c r="C52" s="500" t="s">
        <v>4165</v>
      </c>
      <c r="D52" s="501" t="s">
        <v>4276</v>
      </c>
      <c r="E52" s="502" t="str">
        <f>+357 25 445566</f>
        <v>#ERROR!</v>
      </c>
    </row>
    <row r="53">
      <c r="A53" s="500">
        <v>51.0</v>
      </c>
      <c r="B53" s="500" t="s">
        <v>4197</v>
      </c>
      <c r="C53" s="500" t="s">
        <v>4172</v>
      </c>
      <c r="D53" s="501" t="s">
        <v>4277</v>
      </c>
      <c r="E53" s="502" t="str">
        <f>+357 22 123456</f>
        <v>#ERROR!</v>
      </c>
    </row>
    <row r="54">
      <c r="A54" s="500">
        <v>52.0</v>
      </c>
      <c r="B54" s="500" t="s">
        <v>4200</v>
      </c>
      <c r="C54" s="500" t="s">
        <v>4172</v>
      </c>
      <c r="D54" s="501" t="s">
        <v>4278</v>
      </c>
      <c r="E54" s="502" t="str">
        <f>+357 22 654321</f>
        <v>#ERROR!</v>
      </c>
    </row>
    <row r="55">
      <c r="A55" s="500">
        <v>53.0</v>
      </c>
      <c r="B55" s="500" t="s">
        <v>4279</v>
      </c>
      <c r="C55" s="500" t="s">
        <v>4172</v>
      </c>
      <c r="D55" s="501" t="s">
        <v>4280</v>
      </c>
      <c r="E55" s="502" t="str">
        <f>+357 22 374816</f>
        <v>#ERROR!</v>
      </c>
    </row>
    <row r="56">
      <c r="A56" s="500">
        <v>54.0</v>
      </c>
      <c r="B56" s="500" t="s">
        <v>4206</v>
      </c>
      <c r="C56" s="500" t="s">
        <v>4165</v>
      </c>
      <c r="D56" s="501" t="s">
        <v>4281</v>
      </c>
      <c r="E56" s="502" t="str">
        <f>+357 25 789123</f>
        <v>#ERROR!</v>
      </c>
    </row>
    <row r="57">
      <c r="A57" s="500">
        <v>55.0</v>
      </c>
      <c r="B57" s="500" t="s">
        <v>4209</v>
      </c>
      <c r="C57" s="500" t="s">
        <v>4165</v>
      </c>
      <c r="D57" s="501" t="s">
        <v>4282</v>
      </c>
      <c r="E57" s="502" t="str">
        <f>+357 25 456789</f>
        <v>#ERROR!</v>
      </c>
    </row>
    <row r="58">
      <c r="A58" s="500">
        <v>56.0</v>
      </c>
      <c r="B58" s="500" t="s">
        <v>4212</v>
      </c>
      <c r="C58" s="500" t="s">
        <v>4165</v>
      </c>
      <c r="D58" s="501" t="s">
        <v>4283</v>
      </c>
      <c r="E58" s="502" t="str">
        <f>+357 25 987321</f>
        <v>#ERROR!</v>
      </c>
    </row>
    <row r="59">
      <c r="A59" s="500">
        <v>57.0</v>
      </c>
      <c r="B59" s="500" t="s">
        <v>4215</v>
      </c>
      <c r="C59" s="500" t="s">
        <v>4165</v>
      </c>
      <c r="D59" s="501" t="s">
        <v>4284</v>
      </c>
      <c r="E59" s="502" t="str">
        <f>+357 25 654987</f>
        <v>#ERROR!</v>
      </c>
    </row>
    <row r="60">
      <c r="A60" s="500">
        <v>58.0</v>
      </c>
      <c r="B60" s="500" t="s">
        <v>4218</v>
      </c>
      <c r="C60" s="500" t="s">
        <v>4176</v>
      </c>
      <c r="D60" s="501" t="s">
        <v>4285</v>
      </c>
      <c r="E60" s="502" t="str">
        <f>+357 26 123789</f>
        <v>#ERROR!</v>
      </c>
    </row>
    <row r="61">
      <c r="A61" s="500">
        <v>59.0</v>
      </c>
      <c r="B61" s="500" t="s">
        <v>4221</v>
      </c>
      <c r="C61" s="500" t="s">
        <v>4172</v>
      </c>
      <c r="D61" s="501" t="s">
        <v>4286</v>
      </c>
      <c r="E61" s="502" t="str">
        <f>+357 22 251108</f>
        <v>#ERROR!</v>
      </c>
    </row>
    <row r="62">
      <c r="A62" s="500">
        <v>60.0</v>
      </c>
      <c r="B62" s="500" t="s">
        <v>4224</v>
      </c>
      <c r="C62" s="500" t="s">
        <v>4165</v>
      </c>
      <c r="D62" s="501" t="s">
        <v>4287</v>
      </c>
      <c r="E62" s="502" t="str">
        <f>+357 99 511145</f>
        <v>#ERROR!</v>
      </c>
    </row>
    <row r="63">
      <c r="A63" s="503"/>
    </row>
    <row r="64">
      <c r="A64" s="498" t="s">
        <v>4288</v>
      </c>
    </row>
    <row r="65">
      <c r="A65" s="504" t="s">
        <v>1005</v>
      </c>
      <c r="B65" s="504" t="s">
        <v>1</v>
      </c>
      <c r="C65" s="504" t="s">
        <v>669</v>
      </c>
      <c r="D65" s="504" t="s">
        <v>2730</v>
      </c>
      <c r="E65" s="504" t="s">
        <v>4</v>
      </c>
      <c r="F65" s="504" t="s">
        <v>4289</v>
      </c>
    </row>
    <row r="66">
      <c r="A66" s="498">
        <v>1.0</v>
      </c>
      <c r="B66" s="498" t="s">
        <v>4290</v>
      </c>
      <c r="C66" s="498" t="s">
        <v>4291</v>
      </c>
      <c r="D66" s="505" t="s">
        <v>4292</v>
      </c>
      <c r="E66" s="505" t="s">
        <v>4293</v>
      </c>
      <c r="F66" s="498" t="s">
        <v>4294</v>
      </c>
    </row>
    <row r="67">
      <c r="A67" s="498">
        <v>2.0</v>
      </c>
      <c r="B67" s="498" t="s">
        <v>4295</v>
      </c>
      <c r="C67" s="498" t="s">
        <v>4291</v>
      </c>
      <c r="D67" s="505" t="s">
        <v>4296</v>
      </c>
      <c r="E67" s="505" t="s">
        <v>4297</v>
      </c>
      <c r="F67" s="498" t="s">
        <v>4298</v>
      </c>
    </row>
    <row r="68">
      <c r="A68" s="498">
        <v>3.0</v>
      </c>
      <c r="B68" s="498" t="s">
        <v>4299</v>
      </c>
      <c r="C68" s="498" t="s">
        <v>4291</v>
      </c>
      <c r="D68" s="505" t="s">
        <v>4300</v>
      </c>
      <c r="E68" s="505" t="s">
        <v>4301</v>
      </c>
      <c r="F68" s="498" t="s">
        <v>4302</v>
      </c>
    </row>
    <row r="69">
      <c r="A69" s="498">
        <v>4.0</v>
      </c>
      <c r="B69" s="498" t="s">
        <v>4303</v>
      </c>
      <c r="C69" s="498" t="s">
        <v>4291</v>
      </c>
      <c r="D69" s="505" t="s">
        <v>4304</v>
      </c>
      <c r="E69" s="505" t="s">
        <v>4305</v>
      </c>
      <c r="F69" s="498" t="s">
        <v>4306</v>
      </c>
    </row>
    <row r="70">
      <c r="A70" s="498">
        <v>5.0</v>
      </c>
      <c r="B70" s="498" t="s">
        <v>4307</v>
      </c>
      <c r="C70" s="498" t="s">
        <v>4291</v>
      </c>
      <c r="D70" s="505" t="s">
        <v>4308</v>
      </c>
      <c r="E70" s="505" t="s">
        <v>4309</v>
      </c>
      <c r="F70" s="498" t="s">
        <v>4310</v>
      </c>
    </row>
    <row r="71">
      <c r="A71" s="498">
        <v>6.0</v>
      </c>
      <c r="B71" s="498" t="s">
        <v>4311</v>
      </c>
      <c r="C71" s="498" t="s">
        <v>4291</v>
      </c>
      <c r="D71" s="505" t="s">
        <v>4312</v>
      </c>
      <c r="E71" s="505" t="s">
        <v>4313</v>
      </c>
      <c r="F71" s="498" t="s">
        <v>4314</v>
      </c>
    </row>
    <row r="72">
      <c r="A72" s="498">
        <v>7.0</v>
      </c>
      <c r="B72" s="498" t="s">
        <v>4315</v>
      </c>
      <c r="C72" s="498" t="s">
        <v>4291</v>
      </c>
      <c r="D72" s="505" t="s">
        <v>4316</v>
      </c>
      <c r="E72" s="505" t="s">
        <v>4317</v>
      </c>
      <c r="F72" s="498" t="s">
        <v>4318</v>
      </c>
    </row>
    <row r="73">
      <c r="A73" s="498">
        <v>8.0</v>
      </c>
      <c r="B73" s="498" t="s">
        <v>4319</v>
      </c>
      <c r="C73" s="498" t="s">
        <v>4291</v>
      </c>
      <c r="D73" s="505" t="s">
        <v>4320</v>
      </c>
      <c r="E73" s="505" t="s">
        <v>4321</v>
      </c>
      <c r="F73" s="498" t="s">
        <v>4322</v>
      </c>
    </row>
    <row r="74">
      <c r="A74" s="498">
        <v>9.0</v>
      </c>
      <c r="B74" s="498" t="s">
        <v>4323</v>
      </c>
      <c r="C74" s="498" t="s">
        <v>4291</v>
      </c>
      <c r="D74" s="505" t="s">
        <v>4324</v>
      </c>
      <c r="E74" s="505" t="s">
        <v>4325</v>
      </c>
      <c r="F74" s="498" t="s">
        <v>4326</v>
      </c>
    </row>
    <row r="75">
      <c r="A75" s="498">
        <v>10.0</v>
      </c>
      <c r="B75" s="498" t="s">
        <v>4327</v>
      </c>
      <c r="C75" s="498" t="s">
        <v>4291</v>
      </c>
      <c r="D75" s="505" t="s">
        <v>4328</v>
      </c>
      <c r="E75" s="505" t="s">
        <v>4329</v>
      </c>
      <c r="F75" s="498" t="s">
        <v>4330</v>
      </c>
    </row>
    <row r="76">
      <c r="A76" s="498">
        <v>11.0</v>
      </c>
      <c r="B76" s="498" t="s">
        <v>4331</v>
      </c>
      <c r="C76" s="498" t="s">
        <v>4291</v>
      </c>
      <c r="D76" s="505" t="s">
        <v>4332</v>
      </c>
      <c r="E76" s="505" t="s">
        <v>4333</v>
      </c>
      <c r="F76" s="498" t="s">
        <v>4334</v>
      </c>
    </row>
    <row r="77">
      <c r="A77" s="498">
        <v>12.0</v>
      </c>
      <c r="B77" s="498" t="s">
        <v>4335</v>
      </c>
      <c r="C77" s="498" t="s">
        <v>4291</v>
      </c>
      <c r="D77" s="505" t="s">
        <v>4336</v>
      </c>
      <c r="E77" s="505" t="s">
        <v>4337</v>
      </c>
      <c r="F77" s="498" t="s">
        <v>4338</v>
      </c>
    </row>
    <row r="78">
      <c r="A78" s="498">
        <v>13.0</v>
      </c>
      <c r="B78" s="498" t="s">
        <v>4339</v>
      </c>
      <c r="C78" s="498" t="s">
        <v>4291</v>
      </c>
      <c r="D78" s="505" t="s">
        <v>4340</v>
      </c>
      <c r="E78" s="505" t="s">
        <v>4341</v>
      </c>
      <c r="F78" s="498" t="s">
        <v>4342</v>
      </c>
    </row>
    <row r="79">
      <c r="A79" s="498">
        <v>14.0</v>
      </c>
      <c r="B79" s="498" t="s">
        <v>4343</v>
      </c>
      <c r="C79" s="498" t="s">
        <v>4291</v>
      </c>
      <c r="D79" s="505" t="s">
        <v>4344</v>
      </c>
      <c r="E79" s="505" t="s">
        <v>4345</v>
      </c>
      <c r="F79" s="498" t="s">
        <v>4346</v>
      </c>
    </row>
    <row r="80">
      <c r="A80" s="498">
        <v>15.0</v>
      </c>
      <c r="B80" s="498" t="s">
        <v>4347</v>
      </c>
      <c r="C80" s="498" t="s">
        <v>4291</v>
      </c>
      <c r="D80" s="505" t="s">
        <v>4348</v>
      </c>
      <c r="E80" s="505" t="s">
        <v>4349</v>
      </c>
      <c r="F80" s="498" t="s">
        <v>4350</v>
      </c>
    </row>
    <row r="81">
      <c r="A81" s="498">
        <v>16.0</v>
      </c>
      <c r="B81" s="498" t="s">
        <v>4351</v>
      </c>
      <c r="C81" s="498" t="s">
        <v>4291</v>
      </c>
      <c r="D81" s="505" t="s">
        <v>4352</v>
      </c>
      <c r="E81" s="505" t="s">
        <v>4353</v>
      </c>
      <c r="F81" s="498" t="s">
        <v>4354</v>
      </c>
    </row>
    <row r="82">
      <c r="A82" s="498">
        <v>17.0</v>
      </c>
      <c r="B82" s="498" t="s">
        <v>4355</v>
      </c>
      <c r="C82" s="498" t="s">
        <v>4291</v>
      </c>
      <c r="D82" s="505" t="s">
        <v>4356</v>
      </c>
      <c r="E82" s="505" t="s">
        <v>4357</v>
      </c>
      <c r="F82" s="498" t="s">
        <v>4338</v>
      </c>
    </row>
    <row r="83">
      <c r="A83" s="498">
        <v>18.0</v>
      </c>
      <c r="B83" s="498" t="s">
        <v>4358</v>
      </c>
      <c r="C83" s="498" t="s">
        <v>4291</v>
      </c>
      <c r="D83" s="505" t="s">
        <v>4359</v>
      </c>
      <c r="E83" s="505" t="s">
        <v>4360</v>
      </c>
      <c r="F83" s="498" t="s">
        <v>4361</v>
      </c>
    </row>
    <row r="84">
      <c r="A84" s="498">
        <v>19.0</v>
      </c>
      <c r="B84" s="498" t="s">
        <v>4362</v>
      </c>
      <c r="C84" s="498" t="s">
        <v>4291</v>
      </c>
      <c r="D84" s="505" t="s">
        <v>4363</v>
      </c>
      <c r="E84" s="505" t="s">
        <v>4364</v>
      </c>
      <c r="F84" s="498" t="s">
        <v>4365</v>
      </c>
    </row>
    <row r="85">
      <c r="A85" s="498">
        <v>20.0</v>
      </c>
      <c r="B85" s="498" t="s">
        <v>4366</v>
      </c>
      <c r="C85" s="498" t="s">
        <v>4291</v>
      </c>
      <c r="D85" s="505" t="s">
        <v>4367</v>
      </c>
      <c r="E85" s="505" t="s">
        <v>4368</v>
      </c>
      <c r="F85" s="498" t="s">
        <v>4369</v>
      </c>
    </row>
    <row r="86">
      <c r="A86" s="498">
        <v>21.0</v>
      </c>
      <c r="B86" s="506" t="s">
        <v>4370</v>
      </c>
      <c r="C86" s="498" t="s">
        <v>4371</v>
      </c>
      <c r="D86" s="505" t="s">
        <v>4372</v>
      </c>
      <c r="E86" s="505" t="s">
        <v>4373</v>
      </c>
      <c r="F86" s="498" t="s">
        <v>4374</v>
      </c>
    </row>
    <row r="87">
      <c r="A87" s="498">
        <v>22.0</v>
      </c>
      <c r="B87" s="498" t="s">
        <v>4375</v>
      </c>
      <c r="C87" s="498" t="s">
        <v>4291</v>
      </c>
      <c r="D87" s="505" t="s">
        <v>4376</v>
      </c>
      <c r="E87" s="505" t="s">
        <v>4377</v>
      </c>
      <c r="F87" s="498" t="s">
        <v>4378</v>
      </c>
    </row>
    <row r="88">
      <c r="A88" s="498">
        <v>23.0</v>
      </c>
      <c r="B88" s="498" t="s">
        <v>4379</v>
      </c>
      <c r="C88" s="498" t="s">
        <v>4291</v>
      </c>
      <c r="D88" s="505" t="s">
        <v>4380</v>
      </c>
      <c r="E88" s="505" t="s">
        <v>4381</v>
      </c>
      <c r="F88" s="498" t="s">
        <v>4382</v>
      </c>
    </row>
    <row r="89">
      <c r="A89" s="498">
        <v>24.0</v>
      </c>
      <c r="B89" s="498" t="s">
        <v>4383</v>
      </c>
      <c r="C89" s="498" t="s">
        <v>4291</v>
      </c>
      <c r="D89" s="505" t="s">
        <v>4384</v>
      </c>
      <c r="E89" s="505" t="s">
        <v>4385</v>
      </c>
      <c r="F89" s="498" t="s">
        <v>4386</v>
      </c>
    </row>
    <row r="90">
      <c r="A90" s="498">
        <v>25.0</v>
      </c>
      <c r="B90" s="498" t="s">
        <v>4387</v>
      </c>
      <c r="C90" s="498" t="s">
        <v>4291</v>
      </c>
      <c r="D90" s="505" t="s">
        <v>4388</v>
      </c>
      <c r="E90" s="505" t="s">
        <v>4389</v>
      </c>
      <c r="F90" s="498" t="s">
        <v>4390</v>
      </c>
    </row>
    <row r="91">
      <c r="A91" s="498">
        <v>26.0</v>
      </c>
      <c r="B91" s="498" t="s">
        <v>4391</v>
      </c>
      <c r="C91" s="498" t="s">
        <v>4291</v>
      </c>
      <c r="D91" s="505" t="s">
        <v>4392</v>
      </c>
      <c r="E91" s="505" t="s">
        <v>4393</v>
      </c>
      <c r="F91" s="498" t="s">
        <v>4394</v>
      </c>
    </row>
    <row r="92">
      <c r="A92" s="498">
        <v>27.0</v>
      </c>
      <c r="B92" s="498" t="s">
        <v>4395</v>
      </c>
      <c r="C92" s="498" t="s">
        <v>4291</v>
      </c>
      <c r="D92" s="505" t="s">
        <v>4396</v>
      </c>
      <c r="E92" s="505" t="s">
        <v>4397</v>
      </c>
      <c r="F92" s="498" t="s">
        <v>4398</v>
      </c>
    </row>
    <row r="93">
      <c r="A93" s="498">
        <v>28.0</v>
      </c>
      <c r="B93" s="498" t="s">
        <v>4399</v>
      </c>
      <c r="C93" s="498" t="s">
        <v>4291</v>
      </c>
      <c r="D93" s="505" t="s">
        <v>4400</v>
      </c>
      <c r="E93" s="505" t="s">
        <v>4401</v>
      </c>
      <c r="F93" s="498" t="s">
        <v>4402</v>
      </c>
    </row>
    <row r="94">
      <c r="A94" s="498">
        <v>29.0</v>
      </c>
      <c r="B94" s="498" t="s">
        <v>4403</v>
      </c>
      <c r="C94" s="498" t="s">
        <v>4291</v>
      </c>
      <c r="D94" s="505" t="s">
        <v>4404</v>
      </c>
      <c r="E94" s="505" t="s">
        <v>4405</v>
      </c>
      <c r="F94" s="498" t="s">
        <v>4406</v>
      </c>
    </row>
    <row r="95">
      <c r="A95" s="498">
        <v>30.0</v>
      </c>
      <c r="B95" s="498" t="s">
        <v>4407</v>
      </c>
      <c r="C95" s="498" t="s">
        <v>4291</v>
      </c>
      <c r="D95" s="505" t="s">
        <v>4408</v>
      </c>
      <c r="E95" s="505" t="s">
        <v>4409</v>
      </c>
      <c r="F95" s="498" t="s">
        <v>4410</v>
      </c>
    </row>
    <row r="96">
      <c r="A96" s="498">
        <v>31.0</v>
      </c>
      <c r="B96" s="498" t="s">
        <v>4411</v>
      </c>
      <c r="C96" s="498" t="s">
        <v>4291</v>
      </c>
      <c r="D96" s="505" t="s">
        <v>4412</v>
      </c>
      <c r="E96" s="505" t="s">
        <v>4413</v>
      </c>
      <c r="F96" s="498" t="s">
        <v>4414</v>
      </c>
    </row>
    <row r="97">
      <c r="A97" s="498">
        <v>32.0</v>
      </c>
      <c r="B97" s="498" t="s">
        <v>4415</v>
      </c>
      <c r="C97" s="498" t="s">
        <v>4291</v>
      </c>
      <c r="D97" s="505" t="s">
        <v>4416</v>
      </c>
      <c r="E97" s="505" t="s">
        <v>4417</v>
      </c>
      <c r="F97" s="498" t="s">
        <v>4418</v>
      </c>
    </row>
    <row r="98">
      <c r="A98" s="498">
        <v>33.0</v>
      </c>
      <c r="B98" s="498" t="s">
        <v>4419</v>
      </c>
      <c r="C98" s="498" t="s">
        <v>4291</v>
      </c>
      <c r="D98" s="505" t="s">
        <v>4420</v>
      </c>
      <c r="E98" s="505" t="s">
        <v>4421</v>
      </c>
      <c r="F98" s="498" t="s">
        <v>4422</v>
      </c>
    </row>
    <row r="99">
      <c r="A99" s="498">
        <v>34.0</v>
      </c>
      <c r="B99" s="498" t="s">
        <v>4423</v>
      </c>
      <c r="C99" s="498" t="s">
        <v>4291</v>
      </c>
      <c r="D99" s="505" t="s">
        <v>4424</v>
      </c>
      <c r="E99" s="505" t="s">
        <v>4425</v>
      </c>
      <c r="F99" s="498" t="s">
        <v>4426</v>
      </c>
    </row>
    <row r="100">
      <c r="A100" s="498">
        <v>35.0</v>
      </c>
      <c r="B100" s="498" t="s">
        <v>4427</v>
      </c>
      <c r="C100" s="498" t="s">
        <v>4291</v>
      </c>
      <c r="D100" s="505" t="s">
        <v>4428</v>
      </c>
      <c r="E100" s="505" t="s">
        <v>4429</v>
      </c>
      <c r="F100" s="498" t="s">
        <v>4430</v>
      </c>
    </row>
    <row r="101">
      <c r="A101" s="498">
        <v>36.0</v>
      </c>
      <c r="B101" s="498" t="s">
        <v>4431</v>
      </c>
      <c r="C101" s="498" t="s">
        <v>4291</v>
      </c>
      <c r="D101" s="505" t="s">
        <v>4432</v>
      </c>
      <c r="E101" s="505" t="s">
        <v>4433</v>
      </c>
      <c r="F101" s="498" t="s">
        <v>4434</v>
      </c>
    </row>
    <row r="102">
      <c r="A102" s="498">
        <v>37.0</v>
      </c>
      <c r="B102" s="498" t="s">
        <v>4435</v>
      </c>
      <c r="C102" s="498" t="s">
        <v>4291</v>
      </c>
      <c r="D102" s="505" t="s">
        <v>4436</v>
      </c>
      <c r="E102" s="505" t="s">
        <v>4437</v>
      </c>
      <c r="F102" s="498" t="s">
        <v>4438</v>
      </c>
    </row>
    <row r="103">
      <c r="A103" s="498">
        <v>38.0</v>
      </c>
      <c r="B103" s="498" t="s">
        <v>4439</v>
      </c>
      <c r="C103" s="498" t="s">
        <v>4291</v>
      </c>
      <c r="D103" s="505" t="s">
        <v>4440</v>
      </c>
      <c r="E103" s="505" t="s">
        <v>4441</v>
      </c>
      <c r="F103" s="498" t="s">
        <v>4442</v>
      </c>
    </row>
    <row r="104">
      <c r="A104" s="498">
        <v>39.0</v>
      </c>
      <c r="B104" s="498" t="s">
        <v>4443</v>
      </c>
      <c r="C104" s="498" t="s">
        <v>4291</v>
      </c>
      <c r="D104" s="505" t="s">
        <v>4444</v>
      </c>
      <c r="E104" s="505" t="s">
        <v>4445</v>
      </c>
      <c r="F104" s="498" t="s">
        <v>4446</v>
      </c>
    </row>
    <row r="105">
      <c r="A105" s="498">
        <v>40.0</v>
      </c>
      <c r="B105" s="498" t="s">
        <v>4447</v>
      </c>
      <c r="C105" s="498" t="s">
        <v>4291</v>
      </c>
      <c r="D105" s="505" t="s">
        <v>4448</v>
      </c>
      <c r="E105" s="505" t="s">
        <v>4449</v>
      </c>
      <c r="F105" s="498" t="s">
        <v>4450</v>
      </c>
    </row>
    <row r="106">
      <c r="A106" s="503"/>
    </row>
    <row r="107">
      <c r="A107" s="498"/>
    </row>
    <row r="108">
      <c r="A108" s="503"/>
    </row>
    <row r="109">
      <c r="A109" s="498"/>
    </row>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 r:id="rId36" ref="D38"/>
    <hyperlink r:id="rId37" ref="D39"/>
    <hyperlink r:id="rId38" ref="D40"/>
    <hyperlink r:id="rId39" ref="D41"/>
    <hyperlink r:id="rId40" ref="D42"/>
    <hyperlink r:id="rId41" ref="D43"/>
    <hyperlink r:id="rId42" ref="D44"/>
    <hyperlink r:id="rId43" ref="D45"/>
    <hyperlink r:id="rId44" ref="D46"/>
    <hyperlink r:id="rId45" ref="D47"/>
    <hyperlink r:id="rId46" ref="D48"/>
    <hyperlink r:id="rId47" ref="D49"/>
    <hyperlink r:id="rId48" ref="D50"/>
    <hyperlink r:id="rId49" ref="D51"/>
    <hyperlink r:id="rId50" ref="D52"/>
    <hyperlink r:id="rId51" ref="D53"/>
    <hyperlink r:id="rId52" ref="D54"/>
    <hyperlink r:id="rId53" ref="D55"/>
    <hyperlink r:id="rId54" ref="D56"/>
    <hyperlink r:id="rId55" ref="D57"/>
    <hyperlink r:id="rId56" ref="D58"/>
    <hyperlink r:id="rId57" ref="D59"/>
    <hyperlink r:id="rId58" ref="D60"/>
    <hyperlink r:id="rId59" ref="D61"/>
    <hyperlink r:id="rId60" ref="D62"/>
    <hyperlink r:id="rId61" ref="D66"/>
    <hyperlink r:id="rId62" ref="E66"/>
    <hyperlink r:id="rId63" ref="D67"/>
    <hyperlink r:id="rId64" ref="E67"/>
    <hyperlink r:id="rId65" ref="D68"/>
    <hyperlink r:id="rId66" ref="E68"/>
    <hyperlink r:id="rId67" ref="D69"/>
    <hyperlink r:id="rId68" ref="E69"/>
    <hyperlink r:id="rId69" ref="D70"/>
    <hyperlink r:id="rId70" ref="E70"/>
    <hyperlink r:id="rId71" ref="D71"/>
    <hyperlink r:id="rId72" ref="E71"/>
    <hyperlink r:id="rId73" ref="D72"/>
    <hyperlink r:id="rId74" ref="E72"/>
    <hyperlink r:id="rId75" ref="D73"/>
    <hyperlink r:id="rId76" ref="E73"/>
    <hyperlink r:id="rId77" ref="D74"/>
    <hyperlink r:id="rId78" ref="E74"/>
    <hyperlink r:id="rId79" ref="D75"/>
    <hyperlink r:id="rId80" ref="E75"/>
    <hyperlink r:id="rId81" ref="D76"/>
    <hyperlink r:id="rId82" ref="E76"/>
    <hyperlink r:id="rId83" ref="D77"/>
    <hyperlink r:id="rId84" ref="E77"/>
    <hyperlink r:id="rId85" ref="D78"/>
    <hyperlink r:id="rId86" ref="E78"/>
    <hyperlink r:id="rId87" ref="D79"/>
    <hyperlink r:id="rId88" ref="E79"/>
    <hyperlink r:id="rId89" ref="D80"/>
    <hyperlink r:id="rId90" ref="E80"/>
    <hyperlink r:id="rId91" ref="D81"/>
    <hyperlink r:id="rId92" ref="E81"/>
    <hyperlink r:id="rId93" ref="D82"/>
    <hyperlink r:id="rId94" ref="E82"/>
    <hyperlink r:id="rId95" ref="D83"/>
    <hyperlink r:id="rId96" ref="E83"/>
    <hyperlink r:id="rId97" ref="D84"/>
    <hyperlink r:id="rId98" ref="E84"/>
    <hyperlink r:id="rId99" ref="D85"/>
    <hyperlink r:id="rId100" ref="E85"/>
    <hyperlink r:id="rId101" ref="D86"/>
    <hyperlink r:id="rId102" ref="E86"/>
    <hyperlink r:id="rId103" ref="D87"/>
    <hyperlink r:id="rId104" ref="E87"/>
    <hyperlink r:id="rId105" ref="D88"/>
    <hyperlink r:id="rId106" ref="E88"/>
    <hyperlink r:id="rId107" ref="D89"/>
    <hyperlink r:id="rId108" ref="E89"/>
    <hyperlink r:id="rId109" ref="D90"/>
    <hyperlink r:id="rId110" ref="E90"/>
    <hyperlink r:id="rId111" ref="D91"/>
    <hyperlink r:id="rId112" ref="E91"/>
    <hyperlink r:id="rId113" ref="D92"/>
    <hyperlink r:id="rId114" ref="E92"/>
    <hyperlink r:id="rId115" ref="D93"/>
    <hyperlink r:id="rId116" ref="E93"/>
    <hyperlink r:id="rId117" ref="D94"/>
    <hyperlink r:id="rId118" ref="E94"/>
    <hyperlink r:id="rId119" ref="D95"/>
    <hyperlink r:id="rId120" ref="E95"/>
    <hyperlink r:id="rId121" ref="D96"/>
    <hyperlink r:id="rId122" ref="E96"/>
    <hyperlink r:id="rId123" ref="D97"/>
    <hyperlink r:id="rId124" ref="E97"/>
    <hyperlink r:id="rId125" ref="D98"/>
    <hyperlink r:id="rId126" ref="E98"/>
    <hyperlink r:id="rId127" ref="D99"/>
    <hyperlink r:id="rId128" ref="E99"/>
    <hyperlink r:id="rId129" ref="D100"/>
    <hyperlink r:id="rId130" ref="E100"/>
    <hyperlink r:id="rId131" ref="D101"/>
    <hyperlink r:id="rId132" ref="E101"/>
    <hyperlink r:id="rId133" ref="D102"/>
    <hyperlink r:id="rId134" ref="E102"/>
    <hyperlink r:id="rId135" ref="D103"/>
    <hyperlink r:id="rId136" ref="E103"/>
    <hyperlink r:id="rId137" ref="D104"/>
    <hyperlink r:id="rId138" ref="E104"/>
    <hyperlink r:id="rId139" ref="D105"/>
    <hyperlink r:id="rId140" ref="E105"/>
  </hyperlinks>
  <drawing r:id="rId14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1.88"/>
    <col customWidth="1" min="3" max="3" width="14.88"/>
    <col customWidth="1" min="4" max="4" width="15.63"/>
    <col customWidth="1" min="5" max="5" width="16.38"/>
    <col customWidth="1" min="6" max="6" width="22.63"/>
  </cols>
  <sheetData>
    <row r="1">
      <c r="A1" s="507" t="s">
        <v>4451</v>
      </c>
      <c r="B1" s="507" t="s">
        <v>4452</v>
      </c>
      <c r="C1" s="507" t="s">
        <v>669</v>
      </c>
      <c r="D1" s="507" t="s">
        <v>4453</v>
      </c>
      <c r="E1" s="507" t="s">
        <v>3172</v>
      </c>
      <c r="F1" s="507" t="s">
        <v>4</v>
      </c>
      <c r="G1" s="507" t="s">
        <v>2996</v>
      </c>
      <c r="H1" s="507" t="s">
        <v>2730</v>
      </c>
      <c r="I1" s="507" t="s">
        <v>3804</v>
      </c>
      <c r="J1" s="507" t="s">
        <v>3806</v>
      </c>
    </row>
    <row r="2">
      <c r="A2" s="508"/>
      <c r="B2" s="509" t="s">
        <v>4454</v>
      </c>
      <c r="C2" s="508"/>
      <c r="D2" s="508"/>
      <c r="E2" s="509" t="s">
        <v>4455</v>
      </c>
      <c r="F2" s="509" t="s">
        <v>4456</v>
      </c>
      <c r="G2" s="509" t="s">
        <v>4457</v>
      </c>
      <c r="H2" s="510" t="s">
        <v>4458</v>
      </c>
      <c r="I2" s="509" t="s">
        <v>797</v>
      </c>
      <c r="J2" s="508"/>
    </row>
    <row r="3">
      <c r="A3" s="508"/>
      <c r="B3" s="508"/>
      <c r="C3" s="508"/>
      <c r="D3" s="508"/>
      <c r="E3" s="508"/>
      <c r="F3" s="508"/>
      <c r="G3" s="508"/>
      <c r="H3" s="510" t="s">
        <v>4459</v>
      </c>
      <c r="I3" s="508"/>
      <c r="J3" s="508"/>
    </row>
    <row r="4">
      <c r="A4" s="508"/>
      <c r="B4" s="509" t="s">
        <v>4460</v>
      </c>
      <c r="C4" s="509" t="s">
        <v>4461</v>
      </c>
      <c r="D4" s="509" t="s">
        <v>4462</v>
      </c>
      <c r="E4" s="508"/>
      <c r="F4" s="509" t="s">
        <v>4463</v>
      </c>
      <c r="G4" s="511">
        <f>966580080464</f>
        <v>966580080464</v>
      </c>
      <c r="H4" s="510" t="s">
        <v>4464</v>
      </c>
      <c r="I4" s="509" t="s">
        <v>4465</v>
      </c>
      <c r="J4" s="508"/>
    </row>
    <row r="5">
      <c r="A5" s="508"/>
      <c r="B5" s="509" t="s">
        <v>4466</v>
      </c>
      <c r="C5" s="508"/>
      <c r="D5" s="508"/>
      <c r="E5" s="508"/>
      <c r="F5" s="509" t="s">
        <v>4467</v>
      </c>
      <c r="G5" s="508"/>
      <c r="H5" s="510" t="s">
        <v>4468</v>
      </c>
      <c r="I5" s="508"/>
      <c r="J5" s="508"/>
    </row>
    <row r="6">
      <c r="A6" s="509" t="s">
        <v>4469</v>
      </c>
      <c r="B6" s="509" t="s">
        <v>4470</v>
      </c>
      <c r="C6" s="509" t="s">
        <v>3870</v>
      </c>
      <c r="D6" s="508"/>
      <c r="E6" s="508"/>
      <c r="F6" s="509" t="s">
        <v>4471</v>
      </c>
      <c r="G6" s="509" t="s">
        <v>4472</v>
      </c>
      <c r="H6" s="510" t="s">
        <v>4473</v>
      </c>
      <c r="I6" s="508"/>
      <c r="J6" s="508"/>
    </row>
    <row r="7">
      <c r="A7" s="509" t="s">
        <v>4474</v>
      </c>
      <c r="B7" s="509" t="s">
        <v>4475</v>
      </c>
      <c r="C7" s="509" t="s">
        <v>3870</v>
      </c>
      <c r="D7" s="508"/>
      <c r="E7" s="512" t="s">
        <v>4476</v>
      </c>
      <c r="F7" s="509" t="s">
        <v>4477</v>
      </c>
      <c r="G7" s="509" t="s">
        <v>4478</v>
      </c>
      <c r="H7" s="510" t="s">
        <v>4479</v>
      </c>
      <c r="I7" s="508"/>
      <c r="J7" s="508"/>
    </row>
    <row r="8">
      <c r="A8" s="509" t="s">
        <v>4480</v>
      </c>
      <c r="B8" s="509" t="s">
        <v>4481</v>
      </c>
      <c r="C8" s="509" t="s">
        <v>3870</v>
      </c>
      <c r="D8" s="509" t="s">
        <v>3810</v>
      </c>
      <c r="E8" s="509" t="s">
        <v>4482</v>
      </c>
      <c r="F8" s="512" t="s">
        <v>4483</v>
      </c>
      <c r="G8" s="509" t="s">
        <v>4484</v>
      </c>
      <c r="H8" s="510" t="s">
        <v>4485</v>
      </c>
      <c r="I8" s="508"/>
      <c r="J8" s="508"/>
    </row>
    <row r="9">
      <c r="A9" s="508"/>
      <c r="B9" s="508"/>
      <c r="C9" s="508"/>
      <c r="D9" s="508"/>
      <c r="E9" s="508"/>
      <c r="F9" s="508"/>
      <c r="G9" s="508"/>
      <c r="H9" s="508"/>
      <c r="I9" s="508"/>
      <c r="J9" s="508"/>
    </row>
  </sheetData>
  <hyperlinks>
    <hyperlink r:id="rId1" ref="H2"/>
    <hyperlink r:id="rId2" ref="H3"/>
    <hyperlink r:id="rId3" ref="H4"/>
    <hyperlink r:id="rId4" ref="H5"/>
    <hyperlink r:id="rId5" ref="H6"/>
    <hyperlink r:id="rId6" ref="H7"/>
    <hyperlink r:id="rId7" ref="H8"/>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17.88"/>
    <col customWidth="1" min="3" max="3" width="23.25"/>
    <col customWidth="1" min="5" max="5" width="28.25"/>
    <col customWidth="1" min="6" max="6" width="27.25"/>
    <col customWidth="1" min="7" max="7" width="34.63"/>
    <col customWidth="1" min="8" max="8" width="37.13"/>
  </cols>
  <sheetData>
    <row r="1">
      <c r="A1" s="509" t="s">
        <v>4486</v>
      </c>
      <c r="B1" s="508"/>
      <c r="C1" s="508"/>
      <c r="D1" s="508"/>
      <c r="E1" s="508"/>
      <c r="F1" s="508"/>
      <c r="G1" s="508"/>
      <c r="H1" s="508"/>
    </row>
    <row r="2">
      <c r="A2" s="513" t="s">
        <v>4487</v>
      </c>
      <c r="B2" s="513" t="s">
        <v>3804</v>
      </c>
      <c r="C2" s="513" t="s">
        <v>4488</v>
      </c>
      <c r="D2" s="513" t="s">
        <v>3172</v>
      </c>
      <c r="E2" s="513" t="s">
        <v>4</v>
      </c>
      <c r="F2" s="514" t="s">
        <v>2996</v>
      </c>
      <c r="G2" s="513" t="s">
        <v>2730</v>
      </c>
      <c r="H2" s="513" t="s">
        <v>3806</v>
      </c>
    </row>
    <row r="3">
      <c r="A3" s="515" t="s">
        <v>4489</v>
      </c>
      <c r="B3" s="515" t="s">
        <v>4490</v>
      </c>
      <c r="C3" s="515" t="s">
        <v>4491</v>
      </c>
      <c r="D3" s="516"/>
      <c r="E3" s="515" t="s">
        <v>4492</v>
      </c>
      <c r="F3" s="515" t="s">
        <v>4493</v>
      </c>
      <c r="G3" s="517" t="s">
        <v>4494</v>
      </c>
      <c r="H3" s="515" t="s">
        <v>4495</v>
      </c>
    </row>
    <row r="4">
      <c r="A4" s="515" t="s">
        <v>4496</v>
      </c>
      <c r="B4" s="515" t="s">
        <v>4497</v>
      </c>
      <c r="C4" s="515" t="s">
        <v>4498</v>
      </c>
      <c r="D4" s="516"/>
      <c r="E4" s="515" t="s">
        <v>4499</v>
      </c>
      <c r="F4" s="515" t="s">
        <v>4500</v>
      </c>
      <c r="G4" s="517" t="s">
        <v>4501</v>
      </c>
      <c r="H4" s="516"/>
    </row>
    <row r="5">
      <c r="A5" s="515" t="s">
        <v>4502</v>
      </c>
      <c r="B5" s="515" t="s">
        <v>4497</v>
      </c>
      <c r="C5" s="515" t="s">
        <v>4503</v>
      </c>
      <c r="D5" s="516"/>
      <c r="E5" s="515" t="s">
        <v>4504</v>
      </c>
      <c r="F5" s="515" t="s">
        <v>4505</v>
      </c>
      <c r="G5" s="517" t="s">
        <v>4506</v>
      </c>
      <c r="H5" s="516"/>
    </row>
    <row r="6">
      <c r="A6" s="515" t="s">
        <v>4507</v>
      </c>
      <c r="B6" s="515" t="s">
        <v>4497</v>
      </c>
      <c r="C6" s="515" t="s">
        <v>3312</v>
      </c>
      <c r="D6" s="516"/>
      <c r="E6" s="515" t="s">
        <v>4508</v>
      </c>
      <c r="F6" s="515" t="s">
        <v>4509</v>
      </c>
      <c r="G6" s="516"/>
      <c r="H6" s="515" t="s">
        <v>4510</v>
      </c>
    </row>
    <row r="7">
      <c r="A7" s="515" t="s">
        <v>4511</v>
      </c>
      <c r="B7" s="515" t="s">
        <v>4497</v>
      </c>
      <c r="C7" s="515" t="s">
        <v>4512</v>
      </c>
      <c r="D7" s="516"/>
      <c r="E7" s="515" t="s">
        <v>4513</v>
      </c>
      <c r="F7" s="518">
        <v>7.7777177E7</v>
      </c>
      <c r="G7" s="517" t="s">
        <v>4514</v>
      </c>
      <c r="H7" s="516"/>
    </row>
    <row r="8">
      <c r="A8" s="519" t="s">
        <v>4515</v>
      </c>
      <c r="B8" s="515" t="s">
        <v>4497</v>
      </c>
      <c r="C8" s="515" t="s">
        <v>3810</v>
      </c>
      <c r="D8" s="516"/>
      <c r="E8" s="515" t="s">
        <v>4516</v>
      </c>
      <c r="F8" s="515" t="s">
        <v>4517</v>
      </c>
      <c r="G8" s="517" t="s">
        <v>4518</v>
      </c>
      <c r="H8" s="516"/>
    </row>
    <row r="9">
      <c r="A9" s="515" t="s">
        <v>4519</v>
      </c>
      <c r="B9" s="515" t="s">
        <v>4497</v>
      </c>
      <c r="C9" s="515" t="s">
        <v>3810</v>
      </c>
      <c r="D9" s="516"/>
      <c r="E9" s="515" t="s">
        <v>4520</v>
      </c>
      <c r="F9" s="515" t="s">
        <v>4521</v>
      </c>
      <c r="G9" s="517" t="s">
        <v>4522</v>
      </c>
      <c r="H9" s="516"/>
    </row>
    <row r="10">
      <c r="A10" s="515" t="s">
        <v>4523</v>
      </c>
      <c r="B10" s="515" t="s">
        <v>4497</v>
      </c>
      <c r="C10" s="515" t="s">
        <v>4498</v>
      </c>
      <c r="D10" s="516"/>
      <c r="E10" s="515" t="s">
        <v>4524</v>
      </c>
      <c r="F10" s="515" t="s">
        <v>4525</v>
      </c>
      <c r="G10" s="517" t="s">
        <v>4526</v>
      </c>
      <c r="H10" s="516"/>
    </row>
    <row r="11">
      <c r="A11" s="515" t="s">
        <v>4527</v>
      </c>
      <c r="B11" s="515" t="s">
        <v>4497</v>
      </c>
      <c r="C11" s="515" t="s">
        <v>4498</v>
      </c>
      <c r="D11" s="516"/>
      <c r="E11" s="515" t="s">
        <v>4528</v>
      </c>
      <c r="F11" s="516"/>
      <c r="G11" s="517" t="s">
        <v>4529</v>
      </c>
      <c r="H11" s="516"/>
    </row>
    <row r="12">
      <c r="A12" s="515" t="s">
        <v>4530</v>
      </c>
      <c r="B12" s="515" t="s">
        <v>4497</v>
      </c>
      <c r="C12" s="515" t="s">
        <v>4531</v>
      </c>
      <c r="D12" s="516"/>
      <c r="E12" s="516"/>
      <c r="F12" s="516"/>
      <c r="G12" s="517" t="s">
        <v>4532</v>
      </c>
      <c r="H12" s="516"/>
    </row>
    <row r="13">
      <c r="A13" s="515" t="s">
        <v>4533</v>
      </c>
      <c r="B13" s="515" t="s">
        <v>4497</v>
      </c>
      <c r="C13" s="518" t="s">
        <v>4534</v>
      </c>
      <c r="D13" s="516"/>
      <c r="E13" s="515" t="s">
        <v>4535</v>
      </c>
      <c r="F13" s="515" t="s">
        <v>4536</v>
      </c>
      <c r="G13" s="517" t="s">
        <v>4537</v>
      </c>
      <c r="H13" s="516"/>
    </row>
    <row r="14">
      <c r="A14" s="519" t="s">
        <v>4538</v>
      </c>
      <c r="B14" s="515" t="s">
        <v>4497</v>
      </c>
      <c r="C14" s="515" t="s">
        <v>4539</v>
      </c>
      <c r="D14" s="516"/>
      <c r="E14" s="516"/>
      <c r="F14" s="516"/>
      <c r="G14" s="516"/>
      <c r="H14" s="516"/>
    </row>
    <row r="15">
      <c r="A15" s="520" t="s">
        <v>4540</v>
      </c>
      <c r="B15" s="520" t="s">
        <v>4541</v>
      </c>
      <c r="C15" s="520" t="s">
        <v>3819</v>
      </c>
      <c r="D15" s="521"/>
      <c r="E15" s="520" t="s">
        <v>4542</v>
      </c>
      <c r="F15" s="520" t="s">
        <v>4543</v>
      </c>
      <c r="G15" s="522" t="s">
        <v>4544</v>
      </c>
      <c r="H15" s="521"/>
    </row>
    <row r="16">
      <c r="A16" s="515" t="s">
        <v>4545</v>
      </c>
      <c r="B16" s="515" t="s">
        <v>4546</v>
      </c>
      <c r="C16" s="515" t="s">
        <v>4547</v>
      </c>
      <c r="D16" s="516"/>
      <c r="E16" s="515" t="s">
        <v>4548</v>
      </c>
      <c r="F16" s="516"/>
      <c r="G16" s="517" t="s">
        <v>4549</v>
      </c>
      <c r="H16" s="516"/>
    </row>
    <row r="17">
      <c r="A17" s="515" t="s">
        <v>4550</v>
      </c>
      <c r="B17" s="515" t="s">
        <v>4551</v>
      </c>
      <c r="C17" s="515" t="s">
        <v>4552</v>
      </c>
      <c r="D17" s="516"/>
      <c r="E17" s="515" t="s">
        <v>4553</v>
      </c>
      <c r="F17" s="515" t="s">
        <v>4554</v>
      </c>
      <c r="G17" s="517" t="s">
        <v>4555</v>
      </c>
      <c r="H17" s="516"/>
    </row>
    <row r="18">
      <c r="A18" s="523" t="s">
        <v>4556</v>
      </c>
      <c r="B18" s="515" t="s">
        <v>4551</v>
      </c>
      <c r="C18" s="515" t="s">
        <v>4552</v>
      </c>
      <c r="D18" s="516"/>
      <c r="E18" s="524" t="s">
        <v>4557</v>
      </c>
      <c r="F18" s="524" t="s">
        <v>4558</v>
      </c>
      <c r="G18" s="525" t="s">
        <v>4559</v>
      </c>
      <c r="H18" s="516"/>
    </row>
    <row r="19">
      <c r="A19" s="515" t="s">
        <v>4560</v>
      </c>
      <c r="B19" s="515" t="s">
        <v>4551</v>
      </c>
      <c r="C19" s="515" t="s">
        <v>3814</v>
      </c>
      <c r="D19" s="516"/>
      <c r="E19" s="515" t="s">
        <v>4561</v>
      </c>
      <c r="F19" s="515" t="s">
        <v>4562</v>
      </c>
      <c r="G19" s="517" t="s">
        <v>4563</v>
      </c>
      <c r="H19" s="516"/>
    </row>
    <row r="20">
      <c r="A20" s="515" t="s">
        <v>4564</v>
      </c>
      <c r="B20" s="515" t="s">
        <v>4551</v>
      </c>
      <c r="C20" s="515" t="s">
        <v>4565</v>
      </c>
      <c r="D20" s="516"/>
      <c r="E20" s="516" t="s">
        <v>4566</v>
      </c>
      <c r="F20" s="515" t="s">
        <v>4567</v>
      </c>
      <c r="G20" s="517" t="s">
        <v>4568</v>
      </c>
      <c r="H20" s="516"/>
    </row>
    <row r="21">
      <c r="A21" s="515" t="s">
        <v>4569</v>
      </c>
      <c r="B21" s="515" t="s">
        <v>4551</v>
      </c>
      <c r="C21" s="526" t="s">
        <v>4570</v>
      </c>
      <c r="D21" s="516"/>
      <c r="E21" s="515" t="s">
        <v>4571</v>
      </c>
      <c r="F21" s="515" t="s">
        <v>4572</v>
      </c>
      <c r="G21" s="517" t="s">
        <v>4573</v>
      </c>
      <c r="H21" s="516"/>
    </row>
    <row r="22">
      <c r="A22" s="515" t="s">
        <v>4574</v>
      </c>
      <c r="B22" s="515" t="s">
        <v>4551</v>
      </c>
      <c r="C22" s="515" t="s">
        <v>4575</v>
      </c>
      <c r="D22" s="516"/>
      <c r="E22" s="515" t="s">
        <v>4576</v>
      </c>
      <c r="F22" s="515" t="s">
        <v>4577</v>
      </c>
      <c r="G22" s="517" t="s">
        <v>4578</v>
      </c>
      <c r="H22" s="516"/>
    </row>
    <row r="23">
      <c r="A23" s="515" t="s">
        <v>4579</v>
      </c>
      <c r="B23" s="515" t="s">
        <v>4551</v>
      </c>
      <c r="C23" s="527" t="s">
        <v>4580</v>
      </c>
      <c r="D23" s="516"/>
      <c r="E23" s="516"/>
      <c r="F23" s="516"/>
      <c r="G23" s="516"/>
      <c r="H23" s="516"/>
    </row>
    <row r="24">
      <c r="A24" s="528" t="s">
        <v>4581</v>
      </c>
      <c r="B24" s="528" t="s">
        <v>4582</v>
      </c>
      <c r="C24" s="529" t="s">
        <v>3819</v>
      </c>
      <c r="D24" s="530"/>
      <c r="E24" s="531" t="s">
        <v>4583</v>
      </c>
      <c r="F24" s="531" t="s">
        <v>4584</v>
      </c>
      <c r="G24" s="532" t="s">
        <v>4585</v>
      </c>
      <c r="H24" s="530"/>
    </row>
    <row r="25">
      <c r="A25" s="515" t="s">
        <v>4586</v>
      </c>
      <c r="B25" s="515" t="s">
        <v>4551</v>
      </c>
      <c r="C25" s="515" t="s">
        <v>3819</v>
      </c>
      <c r="D25" s="516"/>
      <c r="E25" s="515" t="s">
        <v>4587</v>
      </c>
      <c r="F25" s="515" t="s">
        <v>4588</v>
      </c>
      <c r="G25" s="517" t="s">
        <v>4589</v>
      </c>
      <c r="H25" s="516"/>
    </row>
    <row r="26">
      <c r="A26" s="515" t="s">
        <v>4590</v>
      </c>
      <c r="B26" s="515" t="s">
        <v>4551</v>
      </c>
      <c r="C26" s="515" t="s">
        <v>4591</v>
      </c>
      <c r="D26" s="516"/>
      <c r="E26" s="515" t="s">
        <v>4592</v>
      </c>
      <c r="F26" s="516"/>
      <c r="G26" s="517" t="s">
        <v>4593</v>
      </c>
      <c r="H26" s="516"/>
    </row>
    <row r="27">
      <c r="A27" s="519" t="s">
        <v>4594</v>
      </c>
      <c r="B27" s="515" t="s">
        <v>4551</v>
      </c>
      <c r="C27" s="533" t="s">
        <v>3826</v>
      </c>
      <c r="D27" s="516"/>
      <c r="E27" s="515" t="s">
        <v>4595</v>
      </c>
      <c r="F27" s="515" t="s">
        <v>4596</v>
      </c>
      <c r="G27" s="517" t="s">
        <v>4597</v>
      </c>
      <c r="H27" s="516"/>
    </row>
    <row r="28">
      <c r="A28" s="515" t="s">
        <v>4598</v>
      </c>
      <c r="B28" s="515" t="s">
        <v>4551</v>
      </c>
      <c r="C28" s="515" t="s">
        <v>3819</v>
      </c>
      <c r="D28" s="516"/>
      <c r="E28" s="534" t="s">
        <v>4599</v>
      </c>
      <c r="F28" s="515" t="s">
        <v>4600</v>
      </c>
      <c r="G28" s="517" t="s">
        <v>4601</v>
      </c>
      <c r="H28" s="516"/>
    </row>
    <row r="29">
      <c r="A29" s="515" t="s">
        <v>4602</v>
      </c>
      <c r="B29" s="515" t="s">
        <v>4551</v>
      </c>
      <c r="C29" s="515" t="s">
        <v>4552</v>
      </c>
      <c r="D29" s="516"/>
      <c r="E29" s="515" t="s">
        <v>4603</v>
      </c>
      <c r="F29" s="515" t="s">
        <v>4604</v>
      </c>
      <c r="G29" s="517" t="s">
        <v>4605</v>
      </c>
      <c r="H29" s="516"/>
    </row>
    <row r="30">
      <c r="A30" s="515" t="s">
        <v>4606</v>
      </c>
      <c r="B30" s="515" t="s">
        <v>4607</v>
      </c>
      <c r="C30" s="515" t="s">
        <v>4608</v>
      </c>
      <c r="D30" s="516"/>
      <c r="E30" s="515" t="s">
        <v>4609</v>
      </c>
      <c r="F30" s="515" t="s">
        <v>4610</v>
      </c>
      <c r="G30" s="517" t="s">
        <v>4611</v>
      </c>
      <c r="H30" s="516"/>
    </row>
    <row r="31">
      <c r="A31" s="535" t="s">
        <v>4612</v>
      </c>
      <c r="B31" s="535" t="s">
        <v>3870</v>
      </c>
      <c r="C31" s="535" t="s">
        <v>4613</v>
      </c>
      <c r="D31" s="536"/>
      <c r="E31" s="535" t="s">
        <v>4614</v>
      </c>
      <c r="F31" s="535" t="s">
        <v>4615</v>
      </c>
      <c r="G31" s="537" t="s">
        <v>4616</v>
      </c>
      <c r="H31" s="536"/>
    </row>
    <row r="32">
      <c r="A32" s="535" t="s">
        <v>4617</v>
      </c>
      <c r="B32" s="535" t="s">
        <v>3870</v>
      </c>
      <c r="C32" s="535" t="s">
        <v>4618</v>
      </c>
      <c r="D32" s="536"/>
      <c r="E32" s="535" t="s">
        <v>4619</v>
      </c>
      <c r="F32" s="535" t="s">
        <v>4620</v>
      </c>
      <c r="G32" s="537" t="s">
        <v>4621</v>
      </c>
      <c r="H32" s="536"/>
    </row>
    <row r="33">
      <c r="A33" s="535" t="s">
        <v>4622</v>
      </c>
      <c r="B33" s="535" t="s">
        <v>3870</v>
      </c>
      <c r="C33" s="535" t="s">
        <v>4623</v>
      </c>
      <c r="D33" s="536"/>
      <c r="E33" s="535" t="s">
        <v>4624</v>
      </c>
      <c r="F33" s="535" t="s">
        <v>4625</v>
      </c>
      <c r="G33" s="536"/>
      <c r="H33" s="536"/>
    </row>
    <row r="34">
      <c r="A34" s="535" t="s">
        <v>4626</v>
      </c>
      <c r="B34" s="535" t="s">
        <v>3870</v>
      </c>
      <c r="C34" s="535" t="s">
        <v>3810</v>
      </c>
      <c r="D34" s="536"/>
      <c r="E34" s="535" t="s">
        <v>4627</v>
      </c>
      <c r="F34" s="538">
        <v>9.7444088888E12</v>
      </c>
      <c r="G34" s="537" t="s">
        <v>4628</v>
      </c>
      <c r="H34" s="536"/>
    </row>
  </sheetData>
  <hyperlinks>
    <hyperlink r:id="rId1" ref="G3"/>
    <hyperlink r:id="rId2" ref="G4"/>
    <hyperlink r:id="rId3" ref="G5"/>
    <hyperlink r:id="rId4" ref="G7"/>
    <hyperlink r:id="rId5" ref="G8"/>
    <hyperlink r:id="rId6" ref="G9"/>
    <hyperlink r:id="rId7" ref="G10"/>
    <hyperlink r:id="rId8" ref="G11"/>
    <hyperlink r:id="rId9" ref="G12"/>
    <hyperlink r:id="rId10" ref="G13"/>
    <hyperlink r:id="rId11" ref="G15"/>
    <hyperlink r:id="rId12" ref="G16"/>
    <hyperlink r:id="rId13" ref="G17"/>
    <hyperlink r:id="rId14" ref="G18"/>
    <hyperlink r:id="rId15" ref="G19"/>
    <hyperlink r:id="rId16" ref="G20"/>
    <hyperlink r:id="rId17" ref="G21"/>
    <hyperlink r:id="rId18" ref="G22"/>
    <hyperlink r:id="rId19" ref="G24"/>
    <hyperlink r:id="rId20" ref="G25"/>
    <hyperlink r:id="rId21" ref="G26"/>
    <hyperlink r:id="rId22" ref="G27"/>
    <hyperlink r:id="rId23" ref="G28"/>
    <hyperlink r:id="rId24" ref="G29"/>
    <hyperlink r:id="rId25" ref="G30"/>
    <hyperlink r:id="rId26" ref="G31"/>
    <hyperlink r:id="rId27" ref="G32"/>
    <hyperlink r:id="rId28" ref="G34"/>
  </hyperlinks>
  <drawing r:id="rId2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32.38"/>
    <col customWidth="1" min="3" max="3" width="24.5"/>
    <col customWidth="1" min="4" max="4" width="16.13"/>
    <col customWidth="1" min="6" max="6" width="7.5"/>
    <col customWidth="1" min="10" max="10" width="15.63"/>
    <col customWidth="1" min="11" max="11" width="15.13"/>
  </cols>
  <sheetData>
    <row r="1">
      <c r="A1" s="241"/>
      <c r="B1" s="241" t="s">
        <v>4629</v>
      </c>
      <c r="C1" s="241"/>
      <c r="D1" s="241"/>
      <c r="E1" s="411"/>
      <c r="F1" s="431"/>
      <c r="G1" s="404"/>
      <c r="H1" s="404"/>
      <c r="I1" s="404"/>
      <c r="J1" s="404"/>
      <c r="K1" s="404"/>
      <c r="L1" s="404"/>
      <c r="M1" s="404"/>
      <c r="N1" s="404"/>
      <c r="O1" s="404"/>
      <c r="P1" s="404"/>
      <c r="Q1" s="404"/>
      <c r="R1" s="404"/>
      <c r="S1" s="404"/>
      <c r="T1" s="404"/>
      <c r="U1" s="404"/>
      <c r="V1" s="404"/>
      <c r="W1" s="404"/>
      <c r="X1" s="404"/>
      <c r="Y1" s="404"/>
      <c r="Z1" s="404"/>
    </row>
    <row r="2">
      <c r="A2" s="296" t="s">
        <v>1</v>
      </c>
      <c r="B2" s="296" t="s">
        <v>4630</v>
      </c>
      <c r="C2" s="296" t="s">
        <v>4</v>
      </c>
      <c r="D2" s="296" t="s">
        <v>2996</v>
      </c>
      <c r="E2" s="539" t="s">
        <v>669</v>
      </c>
      <c r="F2" s="540" t="s">
        <v>3002</v>
      </c>
      <c r="G2" s="541" t="s">
        <v>4631</v>
      </c>
      <c r="H2" s="541" t="s">
        <v>3172</v>
      </c>
      <c r="I2" s="541" t="s">
        <v>4</v>
      </c>
      <c r="J2" s="541" t="s">
        <v>2996</v>
      </c>
      <c r="K2" s="541" t="s">
        <v>3002</v>
      </c>
      <c r="L2" s="404"/>
      <c r="M2" s="404"/>
      <c r="N2" s="404"/>
      <c r="O2" s="404"/>
      <c r="P2" s="404"/>
      <c r="Q2" s="404"/>
      <c r="R2" s="404"/>
      <c r="S2" s="404"/>
      <c r="T2" s="404"/>
      <c r="U2" s="404"/>
      <c r="V2" s="404"/>
      <c r="W2" s="404"/>
      <c r="X2" s="404"/>
      <c r="Y2" s="404"/>
      <c r="Z2" s="404"/>
    </row>
    <row r="3">
      <c r="A3" s="539" t="s">
        <v>4632</v>
      </c>
      <c r="B3" s="542" t="s">
        <v>4633</v>
      </c>
      <c r="C3" s="539" t="s">
        <v>4634</v>
      </c>
      <c r="D3" s="539" t="s">
        <v>4635</v>
      </c>
      <c r="E3" s="539" t="s">
        <v>4636</v>
      </c>
      <c r="F3" s="540" t="b">
        <v>1</v>
      </c>
      <c r="G3" s="541" t="s">
        <v>4637</v>
      </c>
      <c r="H3" s="541" t="s">
        <v>4638</v>
      </c>
      <c r="I3" s="543" t="s">
        <v>4639</v>
      </c>
      <c r="J3" s="541" t="s">
        <v>4640</v>
      </c>
      <c r="K3" s="541" t="b">
        <v>1</v>
      </c>
      <c r="L3" s="404"/>
      <c r="M3" s="404"/>
      <c r="N3" s="404"/>
      <c r="O3" s="404"/>
      <c r="P3" s="404"/>
      <c r="Q3" s="404"/>
      <c r="R3" s="404"/>
      <c r="S3" s="404"/>
      <c r="T3" s="404"/>
      <c r="U3" s="404"/>
      <c r="V3" s="404"/>
      <c r="W3" s="404"/>
      <c r="X3" s="404"/>
      <c r="Y3" s="404"/>
      <c r="Z3" s="404"/>
    </row>
    <row r="4">
      <c r="A4" s="539" t="s">
        <v>4641</v>
      </c>
      <c r="B4" s="542" t="s">
        <v>4642</v>
      </c>
      <c r="C4" s="539" t="s">
        <v>4643</v>
      </c>
      <c r="D4" s="539" t="s">
        <v>4644</v>
      </c>
      <c r="E4" s="539" t="s">
        <v>4636</v>
      </c>
      <c r="F4" s="540" t="b">
        <v>1</v>
      </c>
      <c r="G4" s="541" t="s">
        <v>4645</v>
      </c>
      <c r="H4" s="541" t="s">
        <v>4646</v>
      </c>
      <c r="I4" s="543" t="s">
        <v>4647</v>
      </c>
      <c r="J4" s="541" t="s">
        <v>4648</v>
      </c>
      <c r="K4" s="541" t="b">
        <v>1</v>
      </c>
      <c r="L4" s="404"/>
      <c r="M4" s="404"/>
      <c r="N4" s="404"/>
      <c r="O4" s="404"/>
      <c r="P4" s="404"/>
      <c r="Q4" s="404"/>
      <c r="R4" s="404"/>
      <c r="S4" s="404"/>
      <c r="T4" s="404"/>
      <c r="U4" s="404"/>
      <c r="V4" s="404"/>
      <c r="W4" s="404"/>
      <c r="X4" s="404"/>
      <c r="Y4" s="404"/>
      <c r="Z4" s="404"/>
    </row>
    <row r="5">
      <c r="A5" s="539" t="s">
        <v>4649</v>
      </c>
      <c r="B5" s="542" t="s">
        <v>4650</v>
      </c>
      <c r="C5" s="539" t="s">
        <v>4651</v>
      </c>
      <c r="D5" s="539" t="s">
        <v>4652</v>
      </c>
      <c r="E5" s="539" t="s">
        <v>4636</v>
      </c>
      <c r="F5" s="540" t="b">
        <v>1</v>
      </c>
      <c r="G5" s="541" t="s">
        <v>4653</v>
      </c>
      <c r="H5" s="541" t="s">
        <v>4654</v>
      </c>
      <c r="I5" s="543" t="s">
        <v>4655</v>
      </c>
      <c r="J5" s="541" t="s">
        <v>4656</v>
      </c>
      <c r="K5" s="541" t="b">
        <v>1</v>
      </c>
      <c r="L5" s="404"/>
      <c r="M5" s="404"/>
      <c r="N5" s="404"/>
      <c r="O5" s="404"/>
      <c r="P5" s="404"/>
      <c r="Q5" s="404"/>
      <c r="R5" s="404"/>
      <c r="S5" s="404"/>
      <c r="T5" s="404"/>
      <c r="U5" s="404"/>
      <c r="V5" s="404"/>
      <c r="W5" s="404"/>
      <c r="X5" s="404"/>
      <c r="Y5" s="404"/>
      <c r="Z5" s="404"/>
    </row>
    <row r="6">
      <c r="A6" s="539" t="s">
        <v>4657</v>
      </c>
      <c r="B6" s="542" t="s">
        <v>4658</v>
      </c>
      <c r="C6" s="539" t="s">
        <v>4659</v>
      </c>
      <c r="D6" s="539" t="s">
        <v>4660</v>
      </c>
      <c r="E6" s="539" t="s">
        <v>4636</v>
      </c>
      <c r="F6" s="540" t="b">
        <v>1</v>
      </c>
      <c r="G6" s="541" t="s">
        <v>4661</v>
      </c>
      <c r="H6" s="541" t="s">
        <v>4662</v>
      </c>
      <c r="I6" s="543" t="s">
        <v>4663</v>
      </c>
      <c r="J6" s="541" t="s">
        <v>4664</v>
      </c>
      <c r="K6" s="541" t="b">
        <v>1</v>
      </c>
      <c r="L6" s="404"/>
      <c r="M6" s="404"/>
      <c r="N6" s="404"/>
      <c r="O6" s="404"/>
      <c r="P6" s="404"/>
      <c r="Q6" s="404"/>
      <c r="R6" s="404"/>
      <c r="S6" s="404"/>
      <c r="T6" s="404"/>
      <c r="U6" s="404"/>
      <c r="V6" s="404"/>
      <c r="W6" s="404"/>
      <c r="X6" s="404"/>
      <c r="Y6" s="404"/>
      <c r="Z6" s="404"/>
    </row>
    <row r="7">
      <c r="A7" s="539" t="s">
        <v>4665</v>
      </c>
      <c r="B7" s="542" t="s">
        <v>4666</v>
      </c>
      <c r="C7" s="539" t="s">
        <v>4667</v>
      </c>
      <c r="D7" s="539" t="s">
        <v>4668</v>
      </c>
      <c r="E7" s="539" t="s">
        <v>4636</v>
      </c>
      <c r="F7" s="540" t="b">
        <v>1</v>
      </c>
      <c r="G7" s="541" t="s">
        <v>4669</v>
      </c>
      <c r="H7" s="541" t="s">
        <v>4670</v>
      </c>
      <c r="I7" s="543" t="s">
        <v>4671</v>
      </c>
      <c r="J7" s="541" t="s">
        <v>4672</v>
      </c>
      <c r="K7" s="541" t="b">
        <v>1</v>
      </c>
      <c r="L7" s="404"/>
      <c r="M7" s="404"/>
      <c r="N7" s="404"/>
      <c r="O7" s="404"/>
      <c r="P7" s="404"/>
      <c r="Q7" s="404"/>
      <c r="R7" s="404"/>
      <c r="S7" s="404"/>
      <c r="T7" s="404"/>
      <c r="U7" s="404"/>
      <c r="V7" s="404"/>
      <c r="W7" s="404"/>
      <c r="X7" s="404"/>
      <c r="Y7" s="404"/>
      <c r="Z7" s="404"/>
    </row>
    <row r="8">
      <c r="A8" s="539" t="s">
        <v>4673</v>
      </c>
      <c r="B8" s="542" t="s">
        <v>4674</v>
      </c>
      <c r="C8" s="539" t="s">
        <v>4675</v>
      </c>
      <c r="D8" s="539" t="s">
        <v>4676</v>
      </c>
      <c r="E8" s="539" t="s">
        <v>4636</v>
      </c>
      <c r="F8" s="540" t="b">
        <v>1</v>
      </c>
      <c r="G8" s="412" t="s">
        <v>4677</v>
      </c>
      <c r="H8" s="431"/>
      <c r="I8" s="431"/>
      <c r="J8" s="431"/>
      <c r="K8" s="431"/>
      <c r="L8" s="431"/>
      <c r="M8" s="431"/>
      <c r="N8" s="431"/>
      <c r="O8" s="431"/>
      <c r="P8" s="431"/>
      <c r="Q8" s="404"/>
      <c r="R8" s="404"/>
      <c r="S8" s="404"/>
      <c r="T8" s="404"/>
      <c r="U8" s="404"/>
      <c r="V8" s="404"/>
      <c r="W8" s="404"/>
      <c r="X8" s="404"/>
      <c r="Y8" s="404"/>
      <c r="Z8" s="404"/>
    </row>
    <row r="9">
      <c r="A9" s="539" t="s">
        <v>4678</v>
      </c>
      <c r="B9" s="542" t="s">
        <v>4679</v>
      </c>
      <c r="C9" s="539" t="s">
        <v>4680</v>
      </c>
      <c r="D9" s="539" t="s">
        <v>4681</v>
      </c>
      <c r="E9" s="539" t="s">
        <v>4636</v>
      </c>
      <c r="F9" s="540" t="b">
        <v>1</v>
      </c>
      <c r="G9" s="431"/>
      <c r="H9" s="431"/>
      <c r="I9" s="431"/>
      <c r="J9" s="431"/>
      <c r="K9" s="431"/>
      <c r="L9" s="431"/>
      <c r="M9" s="431"/>
      <c r="N9" s="431"/>
      <c r="O9" s="431"/>
      <c r="P9" s="431"/>
      <c r="Q9" s="404"/>
      <c r="R9" s="404"/>
      <c r="S9" s="404"/>
      <c r="T9" s="404"/>
      <c r="U9" s="404"/>
      <c r="V9" s="404"/>
      <c r="W9" s="404"/>
      <c r="X9" s="404"/>
      <c r="Y9" s="404"/>
      <c r="Z9" s="404"/>
    </row>
    <row r="10">
      <c r="A10" s="539" t="s">
        <v>4682</v>
      </c>
      <c r="B10" s="542" t="s">
        <v>4683</v>
      </c>
      <c r="C10" s="539" t="s">
        <v>4684</v>
      </c>
      <c r="D10" s="539" t="s">
        <v>4685</v>
      </c>
      <c r="E10" s="539" t="s">
        <v>4636</v>
      </c>
      <c r="F10" s="540" t="b">
        <v>1</v>
      </c>
      <c r="G10" s="412" t="s">
        <v>4686</v>
      </c>
      <c r="H10" s="431"/>
      <c r="I10" s="431"/>
      <c r="J10" s="431"/>
      <c r="K10" s="431"/>
      <c r="L10" s="431"/>
      <c r="M10" s="431"/>
      <c r="N10" s="431"/>
      <c r="O10" s="431"/>
      <c r="P10" s="431"/>
      <c r="Q10" s="404"/>
      <c r="R10" s="404"/>
      <c r="S10" s="404"/>
      <c r="T10" s="404"/>
      <c r="U10" s="404"/>
      <c r="V10" s="404"/>
      <c r="W10" s="404"/>
      <c r="X10" s="404"/>
      <c r="Y10" s="404"/>
      <c r="Z10" s="404"/>
    </row>
    <row r="11">
      <c r="A11" s="539" t="s">
        <v>4687</v>
      </c>
      <c r="B11" s="542" t="s">
        <v>4688</v>
      </c>
      <c r="C11" s="539" t="s">
        <v>4689</v>
      </c>
      <c r="D11" s="539" t="s">
        <v>4690</v>
      </c>
      <c r="E11" s="539" t="s">
        <v>4636</v>
      </c>
      <c r="F11" s="540" t="b">
        <v>1</v>
      </c>
      <c r="G11" s="431"/>
      <c r="H11" s="431"/>
      <c r="I11" s="431"/>
      <c r="J11" s="431"/>
      <c r="K11" s="431"/>
      <c r="L11" s="431"/>
      <c r="M11" s="431"/>
      <c r="N11" s="431"/>
      <c r="O11" s="431"/>
      <c r="P11" s="431"/>
      <c r="Q11" s="404"/>
      <c r="R11" s="404"/>
      <c r="S11" s="404"/>
      <c r="T11" s="404"/>
      <c r="U11" s="404"/>
      <c r="V11" s="404"/>
      <c r="W11" s="404"/>
      <c r="X11" s="404"/>
      <c r="Y11" s="404"/>
      <c r="Z11" s="404"/>
    </row>
    <row r="12">
      <c r="A12" s="539" t="s">
        <v>4691</v>
      </c>
      <c r="B12" s="542" t="s">
        <v>4692</v>
      </c>
      <c r="C12" s="539" t="s">
        <v>4693</v>
      </c>
      <c r="D12" s="539" t="s">
        <v>4694</v>
      </c>
      <c r="E12" s="539" t="s">
        <v>4636</v>
      </c>
      <c r="F12" s="540" t="b">
        <v>1</v>
      </c>
      <c r="G12" s="411" t="s">
        <v>4695</v>
      </c>
      <c r="H12" s="431"/>
      <c r="I12" s="431"/>
      <c r="J12" s="431"/>
      <c r="K12" s="431"/>
      <c r="L12" s="431"/>
      <c r="M12" s="431"/>
      <c r="N12" s="431"/>
      <c r="O12" s="431"/>
      <c r="P12" s="431"/>
      <c r="Q12" s="404"/>
      <c r="R12" s="404"/>
      <c r="S12" s="404"/>
      <c r="T12" s="404"/>
      <c r="U12" s="404"/>
      <c r="V12" s="404"/>
      <c r="W12" s="404"/>
      <c r="X12" s="404"/>
      <c r="Y12" s="404"/>
      <c r="Z12" s="404"/>
    </row>
    <row r="13">
      <c r="A13" s="539" t="s">
        <v>4696</v>
      </c>
      <c r="B13" s="542" t="s">
        <v>4697</v>
      </c>
      <c r="C13" s="542" t="s">
        <v>4698</v>
      </c>
      <c r="D13" s="539" t="s">
        <v>4699</v>
      </c>
      <c r="E13" s="539" t="s">
        <v>4291</v>
      </c>
      <c r="F13" s="540" t="b">
        <v>1</v>
      </c>
      <c r="G13" s="544" t="s">
        <v>4700</v>
      </c>
      <c r="M13" s="404"/>
      <c r="N13" s="404"/>
      <c r="O13" s="404"/>
      <c r="P13" s="404"/>
      <c r="Q13" s="404"/>
      <c r="R13" s="404"/>
      <c r="S13" s="404"/>
      <c r="T13" s="404"/>
      <c r="U13" s="404"/>
      <c r="V13" s="404"/>
      <c r="W13" s="404"/>
      <c r="X13" s="404"/>
      <c r="Y13" s="404"/>
      <c r="Z13" s="404"/>
    </row>
    <row r="14">
      <c r="A14" s="539" t="s">
        <v>4701</v>
      </c>
      <c r="B14" s="542" t="s">
        <v>4702</v>
      </c>
      <c r="C14" s="542" t="s">
        <v>4703</v>
      </c>
      <c r="D14" s="539" t="s">
        <v>4704</v>
      </c>
      <c r="E14" s="539" t="s">
        <v>4291</v>
      </c>
      <c r="F14" s="545" t="b">
        <v>1</v>
      </c>
      <c r="G14" s="546" t="s">
        <v>1</v>
      </c>
      <c r="H14" s="546" t="s">
        <v>669</v>
      </c>
      <c r="I14" s="546" t="s">
        <v>2730</v>
      </c>
      <c r="J14" s="546" t="s">
        <v>4</v>
      </c>
      <c r="K14" s="546" t="s">
        <v>2996</v>
      </c>
      <c r="L14" s="546" t="s">
        <v>4705</v>
      </c>
      <c r="M14" s="547"/>
      <c r="N14" s="547"/>
      <c r="O14" s="547"/>
      <c r="P14" s="547"/>
      <c r="Q14" s="547"/>
      <c r="R14" s="547"/>
      <c r="S14" s="547"/>
      <c r="T14" s="547"/>
      <c r="U14" s="404"/>
      <c r="V14" s="404"/>
      <c r="W14" s="404"/>
      <c r="X14" s="404"/>
      <c r="Y14" s="404"/>
      <c r="Z14" s="404"/>
    </row>
    <row r="15">
      <c r="A15" s="539" t="s">
        <v>4706</v>
      </c>
      <c r="B15" s="542" t="s">
        <v>4707</v>
      </c>
      <c r="C15" s="539"/>
      <c r="D15" s="539" t="s">
        <v>4708</v>
      </c>
      <c r="E15" s="539" t="s">
        <v>4291</v>
      </c>
      <c r="F15" s="545" t="b">
        <v>1</v>
      </c>
      <c r="G15" s="548" t="s">
        <v>4709</v>
      </c>
      <c r="H15" s="548" t="s">
        <v>2316</v>
      </c>
      <c r="I15" s="549" t="s">
        <v>4710</v>
      </c>
      <c r="J15" s="548" t="s">
        <v>4711</v>
      </c>
      <c r="K15" s="548" t="s">
        <v>4712</v>
      </c>
      <c r="L15" s="550" t="s">
        <v>4713</v>
      </c>
      <c r="M15" s="53"/>
      <c r="N15" s="53"/>
      <c r="O15" s="53"/>
      <c r="P15" s="53"/>
      <c r="Q15" s="53"/>
      <c r="R15" s="202"/>
      <c r="S15" s="547"/>
      <c r="T15" s="547"/>
      <c r="U15" s="404"/>
      <c r="V15" s="404"/>
      <c r="W15" s="404"/>
      <c r="X15" s="404"/>
      <c r="Y15" s="404"/>
      <c r="Z15" s="404"/>
    </row>
    <row r="16">
      <c r="A16" s="539" t="s">
        <v>4714</v>
      </c>
      <c r="B16" s="542" t="s">
        <v>4715</v>
      </c>
      <c r="C16" s="542" t="s">
        <v>4716</v>
      </c>
      <c r="D16" s="539" t="s">
        <v>4717</v>
      </c>
      <c r="E16" s="539" t="s">
        <v>4291</v>
      </c>
      <c r="F16" s="545" t="b">
        <v>1</v>
      </c>
      <c r="G16" s="548" t="s">
        <v>4718</v>
      </c>
      <c r="H16" s="548" t="s">
        <v>2776</v>
      </c>
      <c r="I16" s="549" t="s">
        <v>4719</v>
      </c>
      <c r="J16" s="548" t="s">
        <v>4720</v>
      </c>
      <c r="K16" s="548" t="s">
        <v>4721</v>
      </c>
      <c r="L16" s="550" t="s">
        <v>4722</v>
      </c>
      <c r="M16" s="53"/>
      <c r="N16" s="53"/>
      <c r="O16" s="53"/>
      <c r="P16" s="53"/>
      <c r="Q16" s="53"/>
      <c r="R16" s="53"/>
      <c r="S16" s="53"/>
      <c r="T16" s="202"/>
      <c r="U16" s="404"/>
      <c r="V16" s="404"/>
      <c r="W16" s="404"/>
      <c r="X16" s="404"/>
      <c r="Y16" s="404"/>
      <c r="Z16" s="404"/>
    </row>
    <row r="17">
      <c r="A17" s="539" t="s">
        <v>4723</v>
      </c>
      <c r="B17" s="542" t="s">
        <v>4724</v>
      </c>
      <c r="C17" s="539"/>
      <c r="D17" s="539" t="s">
        <v>4725</v>
      </c>
      <c r="E17" s="539" t="s">
        <v>4291</v>
      </c>
      <c r="F17" s="545" t="b">
        <v>1</v>
      </c>
      <c r="G17" s="548" t="s">
        <v>4726</v>
      </c>
      <c r="H17" s="548" t="s">
        <v>2776</v>
      </c>
      <c r="I17" s="549" t="s">
        <v>4727</v>
      </c>
      <c r="J17" s="548" t="s">
        <v>4728</v>
      </c>
      <c r="K17" s="548" t="s">
        <v>4729</v>
      </c>
      <c r="L17" s="550" t="s">
        <v>4730</v>
      </c>
      <c r="M17" s="53"/>
      <c r="N17" s="53"/>
      <c r="O17" s="53"/>
      <c r="P17" s="53"/>
      <c r="Q17" s="53"/>
      <c r="R17" s="202"/>
      <c r="S17" s="547"/>
      <c r="T17" s="547"/>
      <c r="U17" s="404"/>
      <c r="V17" s="404"/>
      <c r="W17" s="404"/>
      <c r="X17" s="404"/>
      <c r="Y17" s="404"/>
      <c r="Z17" s="404"/>
    </row>
    <row r="18">
      <c r="A18" s="539" t="s">
        <v>4731</v>
      </c>
      <c r="B18" s="542" t="s">
        <v>4732</v>
      </c>
      <c r="C18" s="542" t="s">
        <v>4733</v>
      </c>
      <c r="D18" s="539" t="s">
        <v>4734</v>
      </c>
      <c r="E18" s="539" t="s">
        <v>4291</v>
      </c>
      <c r="F18" s="545" t="b">
        <v>1</v>
      </c>
      <c r="G18" s="548" t="s">
        <v>4735</v>
      </c>
      <c r="H18" s="548" t="s">
        <v>4736</v>
      </c>
      <c r="I18" s="549" t="s">
        <v>4737</v>
      </c>
      <c r="J18" s="548" t="s">
        <v>4738</v>
      </c>
      <c r="K18" s="548" t="s">
        <v>4712</v>
      </c>
      <c r="L18" s="550" t="s">
        <v>4739</v>
      </c>
      <c r="M18" s="53"/>
      <c r="N18" s="53"/>
      <c r="O18" s="53"/>
      <c r="P18" s="53"/>
      <c r="Q18" s="53"/>
      <c r="R18" s="53"/>
      <c r="S18" s="53"/>
      <c r="T18" s="202"/>
      <c r="U18" s="404"/>
      <c r="V18" s="404"/>
      <c r="W18" s="404"/>
      <c r="X18" s="404"/>
      <c r="Y18" s="404"/>
      <c r="Z18" s="404"/>
    </row>
    <row r="19">
      <c r="A19" s="539" t="s">
        <v>4740</v>
      </c>
      <c r="B19" s="542" t="s">
        <v>4741</v>
      </c>
      <c r="C19" s="539"/>
      <c r="D19" s="539" t="s">
        <v>4742</v>
      </c>
      <c r="E19" s="539" t="s">
        <v>4291</v>
      </c>
      <c r="F19" s="545" t="b">
        <v>1</v>
      </c>
      <c r="G19" s="548" t="s">
        <v>1998</v>
      </c>
      <c r="H19" s="548" t="s">
        <v>2776</v>
      </c>
      <c r="I19" s="549" t="s">
        <v>4743</v>
      </c>
      <c r="J19" s="548" t="s">
        <v>2000</v>
      </c>
      <c r="K19" s="548" t="s">
        <v>4744</v>
      </c>
      <c r="L19" s="550" t="s">
        <v>4745</v>
      </c>
      <c r="M19" s="53"/>
      <c r="N19" s="53"/>
      <c r="O19" s="53"/>
      <c r="P19" s="202"/>
      <c r="Q19" s="547"/>
      <c r="R19" s="547"/>
      <c r="S19" s="547"/>
      <c r="T19" s="547"/>
      <c r="U19" s="404"/>
      <c r="V19" s="404"/>
      <c r="W19" s="404"/>
      <c r="X19" s="404"/>
      <c r="Y19" s="404"/>
      <c r="Z19" s="404"/>
    </row>
    <row r="20">
      <c r="A20" s="539" t="s">
        <v>4746</v>
      </c>
      <c r="B20" s="542" t="s">
        <v>4747</v>
      </c>
      <c r="C20" s="539"/>
      <c r="D20" s="539" t="s">
        <v>4725</v>
      </c>
      <c r="E20" s="539" t="s">
        <v>4291</v>
      </c>
      <c r="F20" s="545" t="b">
        <v>1</v>
      </c>
      <c r="G20" s="548" t="s">
        <v>4748</v>
      </c>
      <c r="H20" s="548" t="s">
        <v>2776</v>
      </c>
      <c r="I20" s="549" t="s">
        <v>4749</v>
      </c>
      <c r="J20" s="548" t="s">
        <v>4750</v>
      </c>
      <c r="K20" s="548" t="s">
        <v>4721</v>
      </c>
      <c r="L20" s="550" t="s">
        <v>4751</v>
      </c>
      <c r="M20" s="53"/>
      <c r="N20" s="53"/>
      <c r="O20" s="53"/>
      <c r="P20" s="53"/>
      <c r="Q20" s="53"/>
      <c r="R20" s="202"/>
      <c r="S20" s="547"/>
      <c r="T20" s="547"/>
      <c r="U20" s="404"/>
      <c r="V20" s="404"/>
      <c r="W20" s="404"/>
      <c r="X20" s="404"/>
      <c r="Y20" s="404"/>
      <c r="Z20" s="404"/>
    </row>
    <row r="21">
      <c r="A21" s="539" t="s">
        <v>4752</v>
      </c>
      <c r="B21" s="539" t="s">
        <v>4753</v>
      </c>
      <c r="C21" s="539"/>
      <c r="D21" s="539" t="s">
        <v>4725</v>
      </c>
      <c r="E21" s="539" t="s">
        <v>4291</v>
      </c>
      <c r="F21" s="545" t="b">
        <v>1</v>
      </c>
      <c r="G21" s="548" t="s">
        <v>4754</v>
      </c>
      <c r="H21" s="548" t="s">
        <v>2843</v>
      </c>
      <c r="I21" s="549" t="s">
        <v>4755</v>
      </c>
      <c r="J21" s="548" t="s">
        <v>4756</v>
      </c>
      <c r="K21" s="548" t="s">
        <v>4721</v>
      </c>
      <c r="L21" s="550" t="s">
        <v>4757</v>
      </c>
      <c r="M21" s="53"/>
      <c r="N21" s="53"/>
      <c r="O21" s="53"/>
      <c r="P21" s="53"/>
      <c r="Q21" s="53"/>
      <c r="R21" s="53"/>
      <c r="S21" s="202"/>
      <c r="T21" s="547"/>
      <c r="U21" s="404"/>
      <c r="V21" s="404"/>
      <c r="W21" s="404"/>
      <c r="X21" s="404"/>
      <c r="Y21" s="404"/>
      <c r="Z21" s="404"/>
    </row>
    <row r="22">
      <c r="A22" s="551" t="s">
        <v>4758</v>
      </c>
      <c r="B22" s="53"/>
      <c r="C22" s="53"/>
      <c r="D22" s="53"/>
      <c r="E22" s="202"/>
      <c r="F22" s="545" t="b">
        <v>1</v>
      </c>
      <c r="G22" s="548" t="s">
        <v>4759</v>
      </c>
      <c r="H22" s="548" t="s">
        <v>2776</v>
      </c>
      <c r="I22" s="549" t="s">
        <v>4760</v>
      </c>
      <c r="J22" s="548" t="s">
        <v>4761</v>
      </c>
      <c r="K22" s="548" t="s">
        <v>4721</v>
      </c>
      <c r="L22" s="550" t="s">
        <v>4762</v>
      </c>
      <c r="M22" s="53"/>
      <c r="N22" s="53"/>
      <c r="O22" s="53"/>
      <c r="P22" s="53"/>
      <c r="Q22" s="53"/>
      <c r="R22" s="202"/>
      <c r="S22" s="547"/>
      <c r="T22" s="547"/>
      <c r="U22" s="404"/>
      <c r="V22" s="404"/>
      <c r="W22" s="404"/>
      <c r="X22" s="404"/>
      <c r="Y22" s="404"/>
      <c r="Z22" s="404"/>
    </row>
    <row r="23">
      <c r="A23" s="552" t="s">
        <v>1</v>
      </c>
      <c r="B23" s="552" t="s">
        <v>2730</v>
      </c>
      <c r="C23" s="552" t="s">
        <v>4</v>
      </c>
      <c r="D23" s="552" t="s">
        <v>2996</v>
      </c>
      <c r="E23" s="552" t="s">
        <v>669</v>
      </c>
      <c r="F23" s="540" t="b">
        <v>1</v>
      </c>
      <c r="G23" s="404"/>
      <c r="H23" s="404"/>
      <c r="I23" s="404"/>
      <c r="J23" s="404"/>
      <c r="K23" s="404"/>
      <c r="L23" s="404"/>
      <c r="M23" s="404"/>
      <c r="N23" s="404"/>
      <c r="O23" s="404"/>
      <c r="P23" s="404"/>
      <c r="Q23" s="404"/>
      <c r="R23" s="404"/>
      <c r="S23" s="404"/>
      <c r="T23" s="404"/>
      <c r="U23" s="404"/>
      <c r="V23" s="404"/>
      <c r="W23" s="404"/>
      <c r="X23" s="404"/>
      <c r="Y23" s="404"/>
      <c r="Z23" s="404"/>
    </row>
    <row r="24">
      <c r="A24" s="539" t="s">
        <v>4763</v>
      </c>
      <c r="B24" s="542" t="s">
        <v>4764</v>
      </c>
      <c r="C24" s="542" t="s">
        <v>4765</v>
      </c>
      <c r="D24" s="539" t="s">
        <v>4766</v>
      </c>
      <c r="E24" s="539" t="s">
        <v>4291</v>
      </c>
      <c r="F24" s="540" t="b">
        <v>1</v>
      </c>
      <c r="G24" s="404"/>
      <c r="H24" s="404"/>
      <c r="I24" s="404"/>
      <c r="J24" s="404"/>
      <c r="K24" s="404"/>
      <c r="L24" s="404"/>
      <c r="M24" s="404"/>
      <c r="N24" s="404"/>
      <c r="O24" s="404"/>
      <c r="P24" s="404"/>
      <c r="Q24" s="404"/>
      <c r="R24" s="404"/>
      <c r="S24" s="404"/>
      <c r="T24" s="404"/>
      <c r="U24" s="404"/>
      <c r="V24" s="404"/>
      <c r="W24" s="404"/>
      <c r="X24" s="404"/>
      <c r="Y24" s="404"/>
      <c r="Z24" s="404"/>
    </row>
    <row r="25">
      <c r="A25" s="539" t="s">
        <v>4767</v>
      </c>
      <c r="B25" s="542" t="s">
        <v>4768</v>
      </c>
      <c r="C25" s="542" t="s">
        <v>4769</v>
      </c>
      <c r="D25" s="539" t="s">
        <v>4770</v>
      </c>
      <c r="E25" s="539" t="s">
        <v>4291</v>
      </c>
      <c r="F25" s="540" t="b">
        <v>1</v>
      </c>
      <c r="G25" s="404"/>
      <c r="H25" s="404"/>
      <c r="I25" s="404"/>
      <c r="J25" s="404"/>
      <c r="K25" s="404"/>
      <c r="L25" s="404"/>
      <c r="M25" s="404"/>
      <c r="N25" s="404"/>
      <c r="O25" s="404"/>
      <c r="P25" s="404"/>
      <c r="Q25" s="404"/>
      <c r="R25" s="404"/>
      <c r="S25" s="404"/>
      <c r="T25" s="404"/>
      <c r="U25" s="404"/>
      <c r="V25" s="404"/>
      <c r="W25" s="404"/>
      <c r="X25" s="404"/>
      <c r="Y25" s="404"/>
      <c r="Z25" s="404"/>
    </row>
    <row r="26">
      <c r="A26" s="539" t="s">
        <v>4771</v>
      </c>
      <c r="B26" s="542" t="s">
        <v>4772</v>
      </c>
      <c r="C26" s="542" t="s">
        <v>4773</v>
      </c>
      <c r="D26" s="539" t="s">
        <v>4774</v>
      </c>
      <c r="E26" s="539" t="s">
        <v>4291</v>
      </c>
      <c r="F26" s="540" t="b">
        <v>1</v>
      </c>
      <c r="G26" s="404"/>
      <c r="H26" s="404"/>
      <c r="I26" s="404"/>
      <c r="J26" s="404"/>
      <c r="K26" s="404"/>
      <c r="L26" s="404"/>
      <c r="M26" s="404"/>
      <c r="N26" s="404"/>
      <c r="O26" s="404"/>
      <c r="P26" s="404"/>
      <c r="Q26" s="404"/>
      <c r="R26" s="404"/>
      <c r="S26" s="404"/>
      <c r="T26" s="404"/>
      <c r="U26" s="404"/>
      <c r="V26" s="404"/>
      <c r="W26" s="404"/>
      <c r="X26" s="404"/>
      <c r="Y26" s="404"/>
      <c r="Z26" s="404"/>
    </row>
    <row r="27">
      <c r="A27" s="539" t="s">
        <v>4775</v>
      </c>
      <c r="B27" s="542" t="s">
        <v>4776</v>
      </c>
      <c r="C27" s="539"/>
      <c r="D27" s="539" t="s">
        <v>4777</v>
      </c>
      <c r="E27" s="539" t="s">
        <v>4291</v>
      </c>
      <c r="F27" s="540" t="b">
        <v>1</v>
      </c>
      <c r="G27" s="404"/>
      <c r="H27" s="404"/>
      <c r="I27" s="404"/>
      <c r="J27" s="404"/>
      <c r="K27" s="404"/>
      <c r="L27" s="404"/>
      <c r="M27" s="404"/>
      <c r="N27" s="404"/>
      <c r="O27" s="404"/>
      <c r="P27" s="404"/>
      <c r="Q27" s="404"/>
      <c r="R27" s="404"/>
      <c r="S27" s="404"/>
      <c r="T27" s="404"/>
      <c r="U27" s="404"/>
      <c r="V27" s="404"/>
      <c r="W27" s="404"/>
      <c r="X27" s="404"/>
      <c r="Y27" s="404"/>
      <c r="Z27" s="404"/>
    </row>
    <row r="28">
      <c r="A28" s="539" t="s">
        <v>4778</v>
      </c>
      <c r="B28" s="542" t="s">
        <v>4779</v>
      </c>
      <c r="C28" s="539"/>
      <c r="D28" s="539" t="s">
        <v>4770</v>
      </c>
      <c r="E28" s="539" t="s">
        <v>4291</v>
      </c>
      <c r="F28" s="540" t="b">
        <v>1</v>
      </c>
      <c r="G28" s="404"/>
      <c r="H28" s="404"/>
      <c r="I28" s="404"/>
      <c r="J28" s="404"/>
      <c r="K28" s="404"/>
      <c r="L28" s="404"/>
      <c r="M28" s="404"/>
      <c r="N28" s="404"/>
      <c r="O28" s="404"/>
      <c r="P28" s="404"/>
      <c r="Q28" s="404"/>
      <c r="R28" s="404"/>
      <c r="S28" s="404"/>
      <c r="T28" s="404"/>
      <c r="U28" s="404"/>
      <c r="V28" s="404"/>
      <c r="W28" s="404"/>
      <c r="X28" s="404"/>
      <c r="Y28" s="404"/>
      <c r="Z28" s="404"/>
    </row>
    <row r="29">
      <c r="A29" s="539" t="s">
        <v>4780</v>
      </c>
      <c r="B29" s="542" t="s">
        <v>4781</v>
      </c>
      <c r="C29" s="539"/>
      <c r="D29" s="539" t="s">
        <v>4782</v>
      </c>
      <c r="E29" s="539" t="s">
        <v>4291</v>
      </c>
      <c r="F29" s="540" t="b">
        <v>1</v>
      </c>
      <c r="G29" s="404"/>
      <c r="H29" s="404"/>
      <c r="I29" s="404"/>
      <c r="J29" s="404"/>
      <c r="K29" s="404"/>
      <c r="L29" s="404"/>
      <c r="M29" s="404"/>
      <c r="N29" s="404"/>
      <c r="O29" s="404"/>
      <c r="P29" s="404"/>
      <c r="Q29" s="404"/>
      <c r="R29" s="404"/>
      <c r="S29" s="404"/>
      <c r="T29" s="404"/>
      <c r="U29" s="404"/>
      <c r="V29" s="404"/>
      <c r="W29" s="404"/>
      <c r="X29" s="404"/>
      <c r="Y29" s="404"/>
      <c r="Z29" s="404"/>
    </row>
    <row r="30">
      <c r="A30" s="539" t="s">
        <v>4783</v>
      </c>
      <c r="B30" s="542" t="s">
        <v>4784</v>
      </c>
      <c r="C30" s="542" t="s">
        <v>4785</v>
      </c>
      <c r="D30" s="539" t="s">
        <v>4786</v>
      </c>
      <c r="E30" s="539" t="s">
        <v>4291</v>
      </c>
      <c r="F30" s="540" t="b">
        <v>1</v>
      </c>
      <c r="G30" s="404"/>
      <c r="H30" s="404"/>
      <c r="I30" s="404"/>
      <c r="J30" s="404"/>
      <c r="K30" s="404"/>
      <c r="L30" s="404"/>
      <c r="M30" s="404"/>
      <c r="N30" s="404"/>
      <c r="O30" s="404"/>
      <c r="P30" s="404"/>
      <c r="Q30" s="404"/>
      <c r="R30" s="404"/>
      <c r="S30" s="404"/>
      <c r="T30" s="404"/>
      <c r="U30" s="404"/>
      <c r="V30" s="404"/>
      <c r="W30" s="404"/>
      <c r="X30" s="404"/>
      <c r="Y30" s="404"/>
      <c r="Z30" s="404"/>
    </row>
    <row r="31">
      <c r="A31" s="539" t="s">
        <v>4787</v>
      </c>
      <c r="B31" s="542" t="s">
        <v>4788</v>
      </c>
      <c r="C31" s="539"/>
      <c r="D31" s="539" t="s">
        <v>4770</v>
      </c>
      <c r="E31" s="539" t="s">
        <v>4291</v>
      </c>
      <c r="F31" s="540" t="b">
        <v>1</v>
      </c>
      <c r="G31" s="404"/>
      <c r="H31" s="404"/>
      <c r="I31" s="404"/>
      <c r="J31" s="404"/>
      <c r="K31" s="404"/>
      <c r="L31" s="404"/>
      <c r="M31" s="404"/>
      <c r="N31" s="404"/>
      <c r="O31" s="404"/>
      <c r="P31" s="404"/>
      <c r="Q31" s="404"/>
      <c r="R31" s="404"/>
      <c r="S31" s="404"/>
      <c r="T31" s="404"/>
      <c r="U31" s="404"/>
      <c r="V31" s="404"/>
      <c r="W31" s="404"/>
      <c r="X31" s="404"/>
      <c r="Y31" s="404"/>
      <c r="Z31" s="404"/>
    </row>
    <row r="32">
      <c r="A32" s="539" t="s">
        <v>4789</v>
      </c>
      <c r="B32" s="542" t="s">
        <v>4790</v>
      </c>
      <c r="C32" s="539"/>
      <c r="D32" s="539" t="s">
        <v>4770</v>
      </c>
      <c r="E32" s="539" t="s">
        <v>4291</v>
      </c>
      <c r="F32" s="540" t="b">
        <v>1</v>
      </c>
      <c r="G32" s="404"/>
      <c r="H32" s="404"/>
      <c r="I32" s="404"/>
      <c r="J32" s="404"/>
      <c r="K32" s="404"/>
      <c r="L32" s="404"/>
      <c r="M32" s="404"/>
      <c r="N32" s="404"/>
      <c r="O32" s="404"/>
      <c r="P32" s="404"/>
      <c r="Q32" s="404"/>
      <c r="R32" s="404"/>
      <c r="S32" s="404"/>
      <c r="T32" s="404"/>
      <c r="U32" s="404"/>
      <c r="V32" s="404"/>
      <c r="W32" s="404"/>
      <c r="X32" s="404"/>
      <c r="Y32" s="404"/>
      <c r="Z32" s="404"/>
    </row>
    <row r="33">
      <c r="A33" s="539" t="s">
        <v>4791</v>
      </c>
      <c r="B33" s="542" t="s">
        <v>4792</v>
      </c>
      <c r="C33" s="539"/>
      <c r="D33" s="539" t="s">
        <v>4770</v>
      </c>
      <c r="E33" s="539" t="s">
        <v>4291</v>
      </c>
      <c r="F33" s="540" t="b">
        <v>1</v>
      </c>
      <c r="G33" s="404"/>
      <c r="H33" s="404"/>
      <c r="I33" s="404"/>
      <c r="J33" s="404"/>
      <c r="K33" s="404"/>
      <c r="L33" s="404"/>
      <c r="M33" s="404"/>
      <c r="N33" s="404"/>
      <c r="O33" s="404"/>
      <c r="P33" s="404"/>
      <c r="Q33" s="404"/>
      <c r="R33" s="404"/>
      <c r="S33" s="404"/>
      <c r="T33" s="404"/>
      <c r="U33" s="404"/>
      <c r="V33" s="404"/>
      <c r="W33" s="404"/>
      <c r="X33" s="404"/>
      <c r="Y33" s="404"/>
      <c r="Z33" s="404"/>
    </row>
    <row r="34">
      <c r="A34" s="539" t="s">
        <v>4793</v>
      </c>
      <c r="B34" s="542" t="s">
        <v>4794</v>
      </c>
      <c r="C34" s="539"/>
      <c r="D34" s="539" t="s">
        <v>4770</v>
      </c>
      <c r="E34" s="539" t="s">
        <v>4291</v>
      </c>
      <c r="F34" s="540" t="b">
        <v>1</v>
      </c>
      <c r="G34" s="404"/>
      <c r="H34" s="404"/>
      <c r="I34" s="404"/>
      <c r="J34" s="404"/>
      <c r="K34" s="404"/>
      <c r="L34" s="404"/>
      <c r="M34" s="404"/>
      <c r="N34" s="404"/>
      <c r="O34" s="404"/>
      <c r="P34" s="404"/>
      <c r="Q34" s="404"/>
      <c r="R34" s="404"/>
      <c r="S34" s="404"/>
      <c r="T34" s="404"/>
      <c r="U34" s="404"/>
      <c r="V34" s="404"/>
      <c r="W34" s="404"/>
      <c r="X34" s="404"/>
      <c r="Y34" s="404"/>
      <c r="Z34" s="404"/>
    </row>
    <row r="35">
      <c r="A35" s="539" t="s">
        <v>4795</v>
      </c>
      <c r="B35" s="542" t="s">
        <v>4796</v>
      </c>
      <c r="C35" s="539"/>
      <c r="D35" s="539" t="s">
        <v>4770</v>
      </c>
      <c r="E35" s="539" t="s">
        <v>4291</v>
      </c>
      <c r="F35" s="540" t="b">
        <v>1</v>
      </c>
      <c r="G35" s="404"/>
      <c r="H35" s="404"/>
      <c r="I35" s="404"/>
      <c r="J35" s="404"/>
      <c r="K35" s="404"/>
      <c r="L35" s="404"/>
      <c r="M35" s="404"/>
      <c r="N35" s="404"/>
      <c r="O35" s="404"/>
      <c r="P35" s="404"/>
      <c r="Q35" s="404"/>
      <c r="R35" s="404"/>
      <c r="S35" s="404"/>
      <c r="T35" s="404"/>
      <c r="U35" s="404"/>
      <c r="V35" s="404"/>
      <c r="W35" s="404"/>
      <c r="X35" s="404"/>
      <c r="Y35" s="404"/>
      <c r="Z35" s="404"/>
    </row>
    <row r="36">
      <c r="A36" s="539" t="s">
        <v>4763</v>
      </c>
      <c r="B36" s="542" t="s">
        <v>4797</v>
      </c>
      <c r="C36" s="432"/>
      <c r="D36" s="539" t="s">
        <v>4766</v>
      </c>
      <c r="E36" s="539" t="s">
        <v>4291</v>
      </c>
      <c r="F36" s="540" t="b">
        <v>1</v>
      </c>
      <c r="G36" s="404"/>
      <c r="H36" s="404"/>
      <c r="I36" s="404"/>
      <c r="J36" s="404"/>
      <c r="K36" s="404"/>
      <c r="L36" s="404"/>
      <c r="M36" s="404"/>
      <c r="N36" s="404"/>
      <c r="O36" s="404"/>
      <c r="P36" s="404"/>
      <c r="Q36" s="404"/>
      <c r="R36" s="404"/>
      <c r="S36" s="404"/>
      <c r="T36" s="404"/>
      <c r="U36" s="404"/>
      <c r="V36" s="404"/>
      <c r="W36" s="404"/>
      <c r="X36" s="404"/>
      <c r="Y36" s="404"/>
      <c r="Z36" s="404"/>
    </row>
    <row r="37">
      <c r="A37" s="539" t="s">
        <v>4767</v>
      </c>
      <c r="B37" s="542" t="s">
        <v>4798</v>
      </c>
      <c r="C37" s="432"/>
      <c r="D37" s="539" t="s">
        <v>4770</v>
      </c>
      <c r="E37" s="539" t="s">
        <v>4291</v>
      </c>
      <c r="F37" s="540" t="b">
        <v>1</v>
      </c>
      <c r="G37" s="404"/>
      <c r="H37" s="404"/>
      <c r="I37" s="404"/>
      <c r="J37" s="404"/>
      <c r="K37" s="404"/>
      <c r="L37" s="404"/>
      <c r="M37" s="404"/>
      <c r="N37" s="404"/>
      <c r="O37" s="404"/>
      <c r="P37" s="404"/>
      <c r="Q37" s="404"/>
      <c r="R37" s="404"/>
      <c r="S37" s="404"/>
      <c r="T37" s="404"/>
      <c r="U37" s="404"/>
      <c r="V37" s="404"/>
      <c r="W37" s="404"/>
      <c r="X37" s="404"/>
      <c r="Y37" s="404"/>
      <c r="Z37" s="404"/>
    </row>
    <row r="38">
      <c r="A38" s="539" t="s">
        <v>4771</v>
      </c>
      <c r="B38" s="542" t="s">
        <v>4799</v>
      </c>
      <c r="C38" s="432"/>
      <c r="D38" s="539" t="s">
        <v>4774</v>
      </c>
      <c r="E38" s="539" t="s">
        <v>4291</v>
      </c>
      <c r="F38" s="540" t="b">
        <v>1</v>
      </c>
      <c r="G38" s="404"/>
      <c r="H38" s="404"/>
      <c r="I38" s="404"/>
      <c r="J38" s="404"/>
      <c r="K38" s="404"/>
      <c r="L38" s="404"/>
      <c r="M38" s="404"/>
      <c r="N38" s="404"/>
      <c r="O38" s="404"/>
      <c r="P38" s="404"/>
      <c r="Q38" s="404"/>
      <c r="R38" s="404"/>
      <c r="S38" s="404"/>
      <c r="T38" s="404"/>
      <c r="U38" s="404"/>
      <c r="V38" s="404"/>
      <c r="W38" s="404"/>
      <c r="X38" s="404"/>
      <c r="Y38" s="404"/>
      <c r="Z38" s="404"/>
    </row>
    <row r="39">
      <c r="A39" s="539" t="s">
        <v>4775</v>
      </c>
      <c r="B39" s="542" t="s">
        <v>4800</v>
      </c>
      <c r="C39" s="432"/>
      <c r="D39" s="539" t="s">
        <v>4777</v>
      </c>
      <c r="E39" s="539" t="s">
        <v>4291</v>
      </c>
      <c r="F39" s="540" t="b">
        <v>1</v>
      </c>
      <c r="G39" s="404"/>
      <c r="H39" s="404"/>
      <c r="I39" s="404"/>
      <c r="J39" s="404"/>
      <c r="K39" s="404"/>
      <c r="L39" s="404"/>
      <c r="M39" s="404"/>
      <c r="N39" s="404"/>
      <c r="O39" s="404"/>
      <c r="P39" s="404"/>
      <c r="Q39" s="404"/>
      <c r="R39" s="404"/>
      <c r="S39" s="404"/>
      <c r="T39" s="404"/>
      <c r="U39" s="404"/>
      <c r="V39" s="404"/>
      <c r="W39" s="404"/>
      <c r="X39" s="404"/>
      <c r="Y39" s="404"/>
      <c r="Z39" s="404"/>
    </row>
    <row r="40">
      <c r="A40" s="539" t="s">
        <v>4778</v>
      </c>
      <c r="B40" s="542" t="s">
        <v>4801</v>
      </c>
      <c r="C40" s="432"/>
      <c r="D40" s="539" t="s">
        <v>4770</v>
      </c>
      <c r="E40" s="539" t="s">
        <v>4291</v>
      </c>
      <c r="F40" s="540" t="b">
        <v>1</v>
      </c>
      <c r="G40" s="404"/>
      <c r="H40" s="404"/>
      <c r="I40" s="404"/>
      <c r="J40" s="404"/>
      <c r="K40" s="404"/>
      <c r="L40" s="404"/>
      <c r="M40" s="404"/>
      <c r="N40" s="404"/>
      <c r="O40" s="404"/>
      <c r="P40" s="404"/>
      <c r="Q40" s="404"/>
      <c r="R40" s="404"/>
      <c r="S40" s="404"/>
      <c r="T40" s="404"/>
      <c r="U40" s="404"/>
      <c r="V40" s="404"/>
      <c r="W40" s="404"/>
      <c r="X40" s="404"/>
      <c r="Y40" s="404"/>
      <c r="Z40" s="404"/>
    </row>
    <row r="41">
      <c r="A41" s="539" t="s">
        <v>4780</v>
      </c>
      <c r="B41" s="542" t="s">
        <v>4802</v>
      </c>
      <c r="C41" s="432"/>
      <c r="D41" s="539" t="s">
        <v>4782</v>
      </c>
      <c r="E41" s="539" t="s">
        <v>4291</v>
      </c>
      <c r="F41" s="540" t="b">
        <v>1</v>
      </c>
      <c r="G41" s="404"/>
      <c r="H41" s="404"/>
      <c r="I41" s="404"/>
      <c r="J41" s="404"/>
      <c r="K41" s="404"/>
      <c r="L41" s="404"/>
      <c r="M41" s="404"/>
      <c r="N41" s="404"/>
      <c r="O41" s="404"/>
      <c r="P41" s="404"/>
      <c r="Q41" s="404"/>
      <c r="R41" s="404"/>
      <c r="S41" s="404"/>
      <c r="T41" s="404"/>
      <c r="U41" s="404"/>
      <c r="V41" s="404"/>
      <c r="W41" s="404"/>
      <c r="X41" s="404"/>
      <c r="Y41" s="404"/>
      <c r="Z41" s="404"/>
    </row>
    <row r="42">
      <c r="A42" s="539" t="s">
        <v>4783</v>
      </c>
      <c r="B42" s="542" t="s">
        <v>4803</v>
      </c>
      <c r="C42" s="432"/>
      <c r="D42" s="539" t="s">
        <v>4786</v>
      </c>
      <c r="E42" s="539" t="s">
        <v>4291</v>
      </c>
      <c r="F42" s="540" t="b">
        <v>1</v>
      </c>
      <c r="G42" s="404"/>
      <c r="H42" s="404"/>
      <c r="I42" s="404"/>
      <c r="J42" s="404"/>
      <c r="K42" s="404"/>
      <c r="L42" s="404"/>
      <c r="M42" s="404"/>
      <c r="N42" s="404"/>
      <c r="O42" s="404"/>
      <c r="P42" s="404"/>
      <c r="Q42" s="404"/>
      <c r="R42" s="404"/>
      <c r="S42" s="404"/>
      <c r="T42" s="404"/>
      <c r="U42" s="404"/>
      <c r="V42" s="404"/>
      <c r="W42" s="404"/>
      <c r="X42" s="404"/>
      <c r="Y42" s="404"/>
      <c r="Z42" s="404"/>
    </row>
    <row r="43">
      <c r="A43" s="539" t="s">
        <v>4787</v>
      </c>
      <c r="B43" s="542" t="s">
        <v>4804</v>
      </c>
      <c r="C43" s="432"/>
      <c r="D43" s="539" t="s">
        <v>4770</v>
      </c>
      <c r="E43" s="539" t="s">
        <v>4291</v>
      </c>
      <c r="F43" s="540" t="b">
        <v>1</v>
      </c>
      <c r="G43" s="404"/>
      <c r="H43" s="404"/>
      <c r="I43" s="404"/>
      <c r="J43" s="404"/>
      <c r="K43" s="404"/>
      <c r="L43" s="404"/>
      <c r="M43" s="404"/>
      <c r="N43" s="404"/>
      <c r="O43" s="404"/>
      <c r="P43" s="404"/>
      <c r="Q43" s="404"/>
      <c r="R43" s="404"/>
      <c r="S43" s="404"/>
      <c r="T43" s="404"/>
      <c r="U43" s="404"/>
      <c r="V43" s="404"/>
      <c r="W43" s="404"/>
      <c r="X43" s="404"/>
      <c r="Y43" s="404"/>
      <c r="Z43" s="404"/>
    </row>
    <row r="44">
      <c r="A44" s="539" t="s">
        <v>4789</v>
      </c>
      <c r="B44" s="542" t="s">
        <v>4805</v>
      </c>
      <c r="C44" s="432"/>
      <c r="D44" s="539" t="s">
        <v>4770</v>
      </c>
      <c r="E44" s="539" t="s">
        <v>4291</v>
      </c>
      <c r="F44" s="540" t="b">
        <v>1</v>
      </c>
      <c r="G44" s="404"/>
      <c r="H44" s="404"/>
      <c r="I44" s="404"/>
      <c r="J44" s="404"/>
      <c r="K44" s="404"/>
      <c r="L44" s="404"/>
      <c r="M44" s="404"/>
      <c r="N44" s="404"/>
      <c r="O44" s="404"/>
      <c r="P44" s="404"/>
      <c r="Q44" s="404"/>
      <c r="R44" s="404"/>
      <c r="S44" s="404"/>
      <c r="T44" s="404"/>
      <c r="U44" s="404"/>
      <c r="V44" s="404"/>
      <c r="W44" s="404"/>
      <c r="X44" s="404"/>
      <c r="Y44" s="404"/>
      <c r="Z44" s="404"/>
    </row>
    <row r="45">
      <c r="A45" s="539" t="s">
        <v>4791</v>
      </c>
      <c r="B45" s="542" t="s">
        <v>4806</v>
      </c>
      <c r="C45" s="432"/>
      <c r="D45" s="539" t="s">
        <v>4770</v>
      </c>
      <c r="E45" s="539" t="s">
        <v>4291</v>
      </c>
      <c r="F45" s="540" t="b">
        <v>1</v>
      </c>
      <c r="G45" s="404"/>
      <c r="H45" s="404"/>
      <c r="I45" s="404"/>
      <c r="J45" s="404"/>
      <c r="K45" s="404"/>
      <c r="L45" s="404"/>
      <c r="M45" s="404"/>
      <c r="N45" s="404"/>
      <c r="O45" s="404"/>
      <c r="P45" s="404"/>
      <c r="Q45" s="404"/>
      <c r="R45" s="404"/>
      <c r="S45" s="404"/>
      <c r="T45" s="404"/>
      <c r="U45" s="404"/>
      <c r="V45" s="404"/>
      <c r="W45" s="404"/>
      <c r="X45" s="404"/>
      <c r="Y45" s="404"/>
      <c r="Z45" s="404"/>
    </row>
    <row r="46">
      <c r="A46" s="539" t="s">
        <v>4793</v>
      </c>
      <c r="B46" s="539" t="s">
        <v>4770</v>
      </c>
      <c r="C46" s="432"/>
      <c r="D46" s="539" t="s">
        <v>4807</v>
      </c>
      <c r="E46" s="539" t="s">
        <v>4291</v>
      </c>
      <c r="F46" s="540" t="b">
        <v>1</v>
      </c>
      <c r="G46" s="404"/>
      <c r="H46" s="404"/>
      <c r="I46" s="404"/>
      <c r="J46" s="404"/>
      <c r="K46" s="404"/>
      <c r="L46" s="404"/>
      <c r="M46" s="404"/>
      <c r="N46" s="404"/>
      <c r="O46" s="404"/>
      <c r="P46" s="404"/>
      <c r="Q46" s="404"/>
      <c r="R46" s="404"/>
      <c r="S46" s="404"/>
      <c r="T46" s="404"/>
      <c r="U46" s="404"/>
      <c r="V46" s="404"/>
      <c r="W46" s="404"/>
      <c r="X46" s="404"/>
      <c r="Y46" s="404"/>
      <c r="Z46" s="404"/>
    </row>
    <row r="47">
      <c r="A47" s="539" t="s">
        <v>4795</v>
      </c>
      <c r="B47" s="542" t="s">
        <v>4808</v>
      </c>
      <c r="C47" s="432"/>
      <c r="D47" s="539" t="s">
        <v>4770</v>
      </c>
      <c r="E47" s="539" t="s">
        <v>4291</v>
      </c>
      <c r="F47" s="540" t="b">
        <v>1</v>
      </c>
      <c r="G47" s="404"/>
      <c r="H47" s="404"/>
      <c r="I47" s="404"/>
      <c r="J47" s="404"/>
      <c r="K47" s="404"/>
      <c r="L47" s="404"/>
      <c r="M47" s="404"/>
      <c r="N47" s="404"/>
      <c r="O47" s="404"/>
      <c r="P47" s="404"/>
      <c r="Q47" s="404"/>
      <c r="R47" s="404"/>
      <c r="S47" s="404"/>
      <c r="T47" s="404"/>
      <c r="U47" s="404"/>
      <c r="V47" s="404"/>
      <c r="W47" s="404"/>
      <c r="X47" s="404"/>
      <c r="Y47" s="404"/>
      <c r="Z47" s="404"/>
    </row>
    <row r="48">
      <c r="A48" s="539" t="s">
        <v>4809</v>
      </c>
      <c r="B48" s="542" t="s">
        <v>4810</v>
      </c>
      <c r="C48" s="432"/>
      <c r="D48" s="539" t="s">
        <v>4811</v>
      </c>
      <c r="E48" s="539" t="s">
        <v>4291</v>
      </c>
      <c r="F48" s="540" t="b">
        <v>1</v>
      </c>
      <c r="G48" s="404"/>
      <c r="H48" s="404"/>
      <c r="I48" s="404"/>
      <c r="J48" s="404"/>
      <c r="K48" s="404"/>
      <c r="L48" s="404"/>
      <c r="M48" s="404"/>
      <c r="N48" s="404"/>
      <c r="O48" s="404"/>
      <c r="P48" s="404"/>
      <c r="Q48" s="404"/>
      <c r="R48" s="404"/>
      <c r="S48" s="404"/>
      <c r="T48" s="404"/>
      <c r="U48" s="404"/>
      <c r="V48" s="404"/>
      <c r="W48" s="404"/>
      <c r="X48" s="404"/>
      <c r="Y48" s="404"/>
      <c r="Z48" s="404"/>
    </row>
    <row r="49">
      <c r="A49" s="539" t="s">
        <v>4812</v>
      </c>
      <c r="B49" s="542" t="s">
        <v>4813</v>
      </c>
      <c r="C49" s="432"/>
      <c r="D49" s="539" t="s">
        <v>4814</v>
      </c>
      <c r="E49" s="539" t="s">
        <v>4291</v>
      </c>
      <c r="F49" s="540" t="b">
        <v>1</v>
      </c>
      <c r="G49" s="404"/>
      <c r="H49" s="404"/>
      <c r="I49" s="404"/>
      <c r="J49" s="404"/>
      <c r="K49" s="404"/>
      <c r="L49" s="404"/>
      <c r="M49" s="404"/>
      <c r="N49" s="404"/>
      <c r="O49" s="404"/>
      <c r="P49" s="404"/>
      <c r="Q49" s="404"/>
      <c r="R49" s="404"/>
      <c r="S49" s="404"/>
      <c r="T49" s="404"/>
      <c r="U49" s="404"/>
      <c r="V49" s="404"/>
      <c r="W49" s="404"/>
      <c r="X49" s="404"/>
      <c r="Y49" s="404"/>
      <c r="Z49" s="404"/>
    </row>
    <row r="50">
      <c r="A50" s="539" t="s">
        <v>4815</v>
      </c>
      <c r="B50" s="542" t="s">
        <v>4816</v>
      </c>
      <c r="C50" s="432"/>
      <c r="D50" s="539" t="s">
        <v>4817</v>
      </c>
      <c r="E50" s="539" t="s">
        <v>4291</v>
      </c>
      <c r="F50" s="540" t="b">
        <v>1</v>
      </c>
      <c r="G50" s="404"/>
      <c r="H50" s="404"/>
      <c r="I50" s="404"/>
      <c r="J50" s="404"/>
      <c r="K50" s="404"/>
      <c r="L50" s="404"/>
      <c r="M50" s="404"/>
      <c r="N50" s="404"/>
      <c r="O50" s="404"/>
      <c r="P50" s="404"/>
      <c r="Q50" s="404"/>
      <c r="R50" s="404"/>
      <c r="S50" s="404"/>
      <c r="T50" s="404"/>
      <c r="U50" s="404"/>
      <c r="V50" s="404"/>
      <c r="W50" s="404"/>
      <c r="X50" s="404"/>
      <c r="Y50" s="404"/>
      <c r="Z50" s="404"/>
    </row>
    <row r="51">
      <c r="A51" s="539" t="s">
        <v>4818</v>
      </c>
      <c r="B51" s="542" t="s">
        <v>4819</v>
      </c>
      <c r="C51" s="432"/>
      <c r="D51" s="539" t="s">
        <v>4820</v>
      </c>
      <c r="E51" s="539" t="s">
        <v>4291</v>
      </c>
      <c r="F51" s="540" t="b">
        <v>1</v>
      </c>
      <c r="G51" s="404"/>
      <c r="H51" s="404"/>
      <c r="I51" s="404"/>
      <c r="J51" s="404"/>
      <c r="K51" s="404"/>
      <c r="L51" s="404"/>
      <c r="M51" s="404"/>
      <c r="N51" s="404"/>
      <c r="O51" s="404"/>
      <c r="P51" s="404"/>
      <c r="Q51" s="404"/>
      <c r="R51" s="404"/>
      <c r="S51" s="404"/>
      <c r="T51" s="404"/>
      <c r="U51" s="404"/>
      <c r="V51" s="404"/>
      <c r="W51" s="404"/>
      <c r="X51" s="404"/>
      <c r="Y51" s="404"/>
      <c r="Z51" s="404"/>
    </row>
    <row r="52">
      <c r="A52" s="539" t="s">
        <v>4821</v>
      </c>
      <c r="B52" s="539"/>
      <c r="C52" s="432"/>
      <c r="D52" s="539" t="s">
        <v>4822</v>
      </c>
      <c r="E52" s="539" t="s">
        <v>4291</v>
      </c>
      <c r="F52" s="540" t="b">
        <v>1</v>
      </c>
      <c r="G52" s="404"/>
      <c r="H52" s="404"/>
      <c r="I52" s="404"/>
      <c r="J52" s="404"/>
      <c r="K52" s="404"/>
      <c r="L52" s="404"/>
      <c r="M52" s="404"/>
      <c r="N52" s="404"/>
      <c r="O52" s="404"/>
      <c r="P52" s="404"/>
      <c r="Q52" s="404"/>
      <c r="R52" s="404"/>
      <c r="S52" s="404"/>
      <c r="T52" s="404"/>
      <c r="U52" s="404"/>
      <c r="V52" s="404"/>
      <c r="W52" s="404"/>
      <c r="X52" s="404"/>
      <c r="Y52" s="404"/>
      <c r="Z52" s="404"/>
    </row>
    <row r="53">
      <c r="A53" s="539" t="s">
        <v>4823</v>
      </c>
      <c r="B53" s="539" t="s">
        <v>4770</v>
      </c>
      <c r="C53" s="432"/>
      <c r="D53" s="539" t="s">
        <v>4824</v>
      </c>
      <c r="E53" s="539" t="s">
        <v>4291</v>
      </c>
      <c r="F53" s="540" t="b">
        <v>1</v>
      </c>
      <c r="G53" s="404"/>
      <c r="H53" s="404"/>
      <c r="I53" s="404"/>
      <c r="J53" s="404"/>
      <c r="K53" s="404"/>
      <c r="L53" s="404"/>
      <c r="M53" s="404"/>
      <c r="N53" s="404"/>
      <c r="O53" s="404"/>
      <c r="P53" s="404"/>
      <c r="Q53" s="404"/>
      <c r="R53" s="404"/>
      <c r="S53" s="404"/>
      <c r="T53" s="404"/>
      <c r="U53" s="404"/>
      <c r="V53" s="404"/>
      <c r="W53" s="404"/>
      <c r="X53" s="404"/>
      <c r="Y53" s="404"/>
      <c r="Z53" s="404"/>
    </row>
    <row r="54">
      <c r="A54" s="539" t="s">
        <v>4825</v>
      </c>
      <c r="B54" s="539" t="s">
        <v>4770</v>
      </c>
      <c r="C54" s="432"/>
      <c r="D54" s="539" t="s">
        <v>4826</v>
      </c>
      <c r="E54" s="539" t="s">
        <v>4291</v>
      </c>
      <c r="F54" s="540" t="b">
        <v>1</v>
      </c>
      <c r="G54" s="404"/>
      <c r="H54" s="404"/>
      <c r="I54" s="404"/>
      <c r="J54" s="404"/>
      <c r="K54" s="404"/>
      <c r="L54" s="404"/>
      <c r="M54" s="404"/>
      <c r="N54" s="404"/>
      <c r="O54" s="404"/>
      <c r="P54" s="404"/>
      <c r="Q54" s="404"/>
      <c r="R54" s="404"/>
      <c r="S54" s="404"/>
      <c r="T54" s="404"/>
      <c r="U54" s="404"/>
      <c r="V54" s="404"/>
      <c r="W54" s="404"/>
      <c r="X54" s="404"/>
      <c r="Y54" s="404"/>
      <c r="Z54" s="404"/>
    </row>
    <row r="55">
      <c r="A55" s="539" t="s">
        <v>4827</v>
      </c>
      <c r="B55" s="539" t="s">
        <v>4770</v>
      </c>
      <c r="C55" s="432"/>
      <c r="D55" s="539" t="s">
        <v>4828</v>
      </c>
      <c r="E55" s="539" t="s">
        <v>4291</v>
      </c>
      <c r="F55" s="540" t="b">
        <v>1</v>
      </c>
      <c r="G55" s="404"/>
      <c r="H55" s="404"/>
      <c r="I55" s="404"/>
      <c r="J55" s="404"/>
      <c r="K55" s="404"/>
      <c r="L55" s="404"/>
      <c r="M55" s="404"/>
      <c r="N55" s="404"/>
      <c r="O55" s="404"/>
      <c r="P55" s="404"/>
      <c r="Q55" s="404"/>
      <c r="R55" s="404"/>
      <c r="S55" s="404"/>
      <c r="T55" s="404"/>
      <c r="U55" s="404"/>
      <c r="V55" s="404"/>
      <c r="W55" s="404"/>
      <c r="X55" s="404"/>
      <c r="Y55" s="404"/>
      <c r="Z55" s="404"/>
    </row>
    <row r="56">
      <c r="A56" s="539" t="s">
        <v>4829</v>
      </c>
      <c r="B56" s="539" t="s">
        <v>4770</v>
      </c>
      <c r="C56" s="432"/>
      <c r="D56" s="539" t="s">
        <v>4830</v>
      </c>
      <c r="E56" s="539" t="s">
        <v>4291</v>
      </c>
      <c r="F56" s="540" t="b">
        <v>1</v>
      </c>
      <c r="G56" s="404"/>
      <c r="H56" s="404"/>
      <c r="I56" s="404"/>
      <c r="J56" s="404"/>
      <c r="K56" s="404"/>
      <c r="L56" s="404"/>
      <c r="M56" s="404"/>
      <c r="N56" s="404"/>
      <c r="O56" s="404"/>
      <c r="P56" s="404"/>
      <c r="Q56" s="404"/>
      <c r="R56" s="404"/>
      <c r="S56" s="404"/>
      <c r="T56" s="404"/>
      <c r="U56" s="404"/>
      <c r="V56" s="404"/>
      <c r="W56" s="404"/>
      <c r="X56" s="404"/>
      <c r="Y56" s="404"/>
      <c r="Z56" s="404"/>
    </row>
    <row r="57">
      <c r="A57" s="542" t="s">
        <v>4831</v>
      </c>
      <c r="B57" s="539" t="s">
        <v>4770</v>
      </c>
      <c r="C57" s="432"/>
      <c r="D57" s="539" t="s">
        <v>4777</v>
      </c>
      <c r="E57" s="539" t="s">
        <v>4291</v>
      </c>
      <c r="F57" s="540" t="b">
        <v>1</v>
      </c>
      <c r="G57" s="404"/>
      <c r="H57" s="404"/>
      <c r="I57" s="404"/>
      <c r="J57" s="404"/>
      <c r="K57" s="404"/>
      <c r="L57" s="404"/>
      <c r="M57" s="404"/>
      <c r="N57" s="404"/>
      <c r="O57" s="404"/>
      <c r="P57" s="404"/>
      <c r="Q57" s="404"/>
      <c r="R57" s="404"/>
      <c r="S57" s="404"/>
      <c r="T57" s="404"/>
      <c r="U57" s="404"/>
      <c r="V57" s="404"/>
      <c r="W57" s="404"/>
      <c r="X57" s="404"/>
      <c r="Y57" s="404"/>
      <c r="Z57" s="404"/>
    </row>
    <row r="58">
      <c r="A58" s="539" t="s">
        <v>4832</v>
      </c>
      <c r="B58" s="539" t="s">
        <v>4770</v>
      </c>
      <c r="C58" s="432"/>
      <c r="D58" s="539" t="s">
        <v>4833</v>
      </c>
      <c r="E58" s="539" t="s">
        <v>4291</v>
      </c>
      <c r="F58" s="540" t="b">
        <v>1</v>
      </c>
      <c r="G58" s="404"/>
      <c r="H58" s="404"/>
      <c r="I58" s="404"/>
      <c r="J58" s="404"/>
      <c r="K58" s="404"/>
      <c r="L58" s="404"/>
      <c r="M58" s="404"/>
      <c r="N58" s="404"/>
      <c r="O58" s="404"/>
      <c r="P58" s="404"/>
      <c r="Q58" s="404"/>
      <c r="R58" s="404"/>
      <c r="S58" s="404"/>
      <c r="T58" s="404"/>
      <c r="U58" s="404"/>
      <c r="V58" s="404"/>
      <c r="W58" s="404"/>
      <c r="X58" s="404"/>
      <c r="Y58" s="404"/>
      <c r="Z58" s="404"/>
    </row>
    <row r="59">
      <c r="A59" s="539" t="s">
        <v>4834</v>
      </c>
      <c r="B59" s="539" t="s">
        <v>4770</v>
      </c>
      <c r="C59" s="432"/>
      <c r="D59" s="539" t="s">
        <v>4835</v>
      </c>
      <c r="E59" s="539" t="s">
        <v>4291</v>
      </c>
      <c r="F59" s="540" t="b">
        <v>1</v>
      </c>
      <c r="G59" s="404"/>
      <c r="H59" s="404"/>
      <c r="I59" s="404"/>
      <c r="J59" s="404"/>
      <c r="K59" s="404"/>
      <c r="L59" s="404"/>
      <c r="M59" s="404"/>
      <c r="N59" s="404"/>
      <c r="O59" s="404"/>
      <c r="P59" s="404"/>
      <c r="Q59" s="404"/>
      <c r="R59" s="404"/>
      <c r="S59" s="404"/>
      <c r="T59" s="404"/>
      <c r="U59" s="404"/>
      <c r="V59" s="404"/>
      <c r="W59" s="404"/>
      <c r="X59" s="404"/>
      <c r="Y59" s="404"/>
      <c r="Z59" s="404"/>
    </row>
    <row r="60">
      <c r="A60" s="539" t="s">
        <v>4836</v>
      </c>
      <c r="B60" s="539" t="s">
        <v>4770</v>
      </c>
      <c r="C60" s="432"/>
      <c r="D60" s="539" t="s">
        <v>4837</v>
      </c>
      <c r="E60" s="539" t="s">
        <v>4291</v>
      </c>
      <c r="F60" s="540" t="b">
        <v>1</v>
      </c>
      <c r="G60" s="404"/>
      <c r="H60" s="404"/>
      <c r="I60" s="404"/>
      <c r="J60" s="404"/>
      <c r="K60" s="404"/>
      <c r="L60" s="404"/>
      <c r="M60" s="404"/>
      <c r="N60" s="404"/>
      <c r="O60" s="404"/>
      <c r="P60" s="404"/>
      <c r="Q60" s="404"/>
      <c r="R60" s="404"/>
      <c r="S60" s="404"/>
      <c r="T60" s="404"/>
      <c r="U60" s="404"/>
      <c r="V60" s="404"/>
      <c r="W60" s="404"/>
      <c r="X60" s="404"/>
      <c r="Y60" s="404"/>
      <c r="Z60" s="404"/>
    </row>
    <row r="61">
      <c r="A61" s="539" t="s">
        <v>4838</v>
      </c>
      <c r="B61" s="539" t="s">
        <v>4770</v>
      </c>
      <c r="C61" s="432"/>
      <c r="D61" s="539" t="s">
        <v>4839</v>
      </c>
      <c r="E61" s="539" t="s">
        <v>4291</v>
      </c>
      <c r="F61" s="540" t="b">
        <v>1</v>
      </c>
      <c r="G61" s="404"/>
      <c r="H61" s="404"/>
      <c r="I61" s="404"/>
      <c r="J61" s="404"/>
      <c r="K61" s="404"/>
      <c r="L61" s="404"/>
      <c r="M61" s="404"/>
      <c r="N61" s="404"/>
      <c r="O61" s="404"/>
      <c r="P61" s="404"/>
      <c r="Q61" s="404"/>
      <c r="R61" s="404"/>
      <c r="S61" s="404"/>
      <c r="T61" s="404"/>
      <c r="U61" s="404"/>
      <c r="V61" s="404"/>
      <c r="W61" s="404"/>
      <c r="X61" s="404"/>
      <c r="Y61" s="404"/>
      <c r="Z61" s="404"/>
    </row>
    <row r="62">
      <c r="A62" s="539" t="s">
        <v>4840</v>
      </c>
      <c r="B62" s="539" t="s">
        <v>4770</v>
      </c>
      <c r="C62" s="432"/>
      <c r="D62" s="539" t="s">
        <v>4841</v>
      </c>
      <c r="E62" s="539" t="s">
        <v>4291</v>
      </c>
      <c r="F62" s="540" t="b">
        <v>1</v>
      </c>
      <c r="G62" s="404"/>
      <c r="H62" s="404"/>
      <c r="I62" s="404"/>
      <c r="J62" s="404"/>
      <c r="K62" s="404"/>
      <c r="L62" s="404"/>
      <c r="M62" s="404"/>
      <c r="N62" s="404"/>
      <c r="O62" s="404"/>
      <c r="P62" s="404"/>
      <c r="Q62" s="404"/>
      <c r="R62" s="404"/>
      <c r="S62" s="404"/>
      <c r="T62" s="404"/>
      <c r="U62" s="404"/>
      <c r="V62" s="404"/>
      <c r="W62" s="404"/>
      <c r="X62" s="404"/>
      <c r="Y62" s="404"/>
      <c r="Z62" s="404"/>
    </row>
    <row r="63">
      <c r="A63" s="539" t="s">
        <v>4842</v>
      </c>
      <c r="B63" s="539" t="s">
        <v>4770</v>
      </c>
      <c r="C63" s="432"/>
      <c r="D63" s="539" t="s">
        <v>4843</v>
      </c>
      <c r="E63" s="539" t="s">
        <v>4291</v>
      </c>
      <c r="F63" s="540" t="b">
        <v>1</v>
      </c>
      <c r="G63" s="404"/>
      <c r="H63" s="404"/>
      <c r="I63" s="404"/>
      <c r="J63" s="404"/>
      <c r="K63" s="404"/>
      <c r="L63" s="404"/>
      <c r="M63" s="404"/>
      <c r="N63" s="404"/>
      <c r="O63" s="404"/>
      <c r="P63" s="404"/>
      <c r="Q63" s="404"/>
      <c r="R63" s="404"/>
      <c r="S63" s="404"/>
      <c r="T63" s="404"/>
      <c r="U63" s="404"/>
      <c r="V63" s="404"/>
      <c r="W63" s="404"/>
      <c r="X63" s="404"/>
      <c r="Y63" s="404"/>
      <c r="Z63" s="404"/>
    </row>
    <row r="64">
      <c r="A64" s="539" t="s">
        <v>4844</v>
      </c>
      <c r="B64" s="539" t="s">
        <v>4770</v>
      </c>
      <c r="C64" s="432"/>
      <c r="D64" s="539" t="s">
        <v>4845</v>
      </c>
      <c r="E64" s="539" t="s">
        <v>4291</v>
      </c>
      <c r="F64" s="540" t="b">
        <v>1</v>
      </c>
      <c r="G64" s="404"/>
      <c r="H64" s="404"/>
      <c r="I64" s="404"/>
      <c r="J64" s="404"/>
      <c r="K64" s="404"/>
      <c r="L64" s="404"/>
      <c r="M64" s="404"/>
      <c r="N64" s="404"/>
      <c r="O64" s="404"/>
      <c r="P64" s="404"/>
      <c r="Q64" s="404"/>
      <c r="R64" s="404"/>
      <c r="S64" s="404"/>
      <c r="T64" s="404"/>
      <c r="U64" s="404"/>
      <c r="V64" s="404"/>
      <c r="W64" s="404"/>
      <c r="X64" s="404"/>
      <c r="Y64" s="404"/>
      <c r="Z64" s="404"/>
    </row>
    <row r="65">
      <c r="A65" s="553" t="s">
        <v>4846</v>
      </c>
      <c r="B65" s="53"/>
      <c r="C65" s="53"/>
      <c r="D65" s="53"/>
      <c r="E65" s="202"/>
      <c r="F65" s="540" t="b">
        <v>1</v>
      </c>
      <c r="G65" s="404"/>
      <c r="H65" s="404"/>
      <c r="I65" s="404"/>
      <c r="J65" s="404"/>
      <c r="K65" s="404"/>
      <c r="L65" s="404"/>
      <c r="M65" s="404"/>
      <c r="N65" s="404"/>
      <c r="O65" s="404"/>
      <c r="P65" s="404"/>
      <c r="Q65" s="404"/>
      <c r="R65" s="404"/>
      <c r="S65" s="404"/>
      <c r="T65" s="404"/>
      <c r="U65" s="404"/>
      <c r="V65" s="404"/>
      <c r="W65" s="404"/>
      <c r="X65" s="404"/>
      <c r="Y65" s="404"/>
      <c r="Z65" s="404"/>
    </row>
    <row r="66">
      <c r="A66" s="296" t="s">
        <v>1</v>
      </c>
      <c r="B66" s="296" t="s">
        <v>4</v>
      </c>
      <c r="C66" s="296" t="s">
        <v>2996</v>
      </c>
      <c r="D66" s="296" t="s">
        <v>2730</v>
      </c>
      <c r="E66" s="432"/>
      <c r="F66" s="540" t="b">
        <v>1</v>
      </c>
      <c r="G66" s="404"/>
      <c r="H66" s="404"/>
      <c r="I66" s="404"/>
      <c r="J66" s="404"/>
      <c r="K66" s="404"/>
      <c r="L66" s="404"/>
      <c r="M66" s="404"/>
      <c r="N66" s="404"/>
      <c r="O66" s="404"/>
      <c r="P66" s="404"/>
      <c r="Q66" s="404"/>
      <c r="R66" s="404"/>
      <c r="S66" s="404"/>
      <c r="T66" s="404"/>
      <c r="U66" s="404"/>
      <c r="V66" s="404"/>
      <c r="W66" s="404"/>
      <c r="X66" s="404"/>
      <c r="Y66" s="404"/>
      <c r="Z66" s="404"/>
    </row>
    <row r="67">
      <c r="A67" s="539" t="s">
        <v>4847</v>
      </c>
      <c r="B67" s="542" t="s">
        <v>4848</v>
      </c>
      <c r="C67" s="539" t="s">
        <v>4849</v>
      </c>
      <c r="D67" s="542" t="s">
        <v>4850</v>
      </c>
      <c r="E67" s="432"/>
      <c r="F67" s="540" t="b">
        <v>1</v>
      </c>
      <c r="G67" s="404"/>
      <c r="H67" s="404"/>
      <c r="I67" s="404"/>
      <c r="J67" s="404"/>
      <c r="K67" s="404"/>
      <c r="L67" s="404"/>
      <c r="M67" s="404"/>
      <c r="N67" s="404"/>
      <c r="O67" s="404"/>
      <c r="P67" s="404"/>
      <c r="Q67" s="404"/>
      <c r="R67" s="404"/>
      <c r="S67" s="404"/>
      <c r="T67" s="404"/>
      <c r="U67" s="404"/>
      <c r="V67" s="404"/>
      <c r="W67" s="404"/>
      <c r="X67" s="404"/>
      <c r="Y67" s="404"/>
      <c r="Z67" s="404"/>
    </row>
    <row r="68">
      <c r="A68" s="539" t="s">
        <v>4851</v>
      </c>
      <c r="B68" s="539"/>
      <c r="C68" s="539" t="s">
        <v>4770</v>
      </c>
      <c r="D68" s="542" t="s">
        <v>4852</v>
      </c>
      <c r="E68" s="432"/>
      <c r="F68" s="540" t="b">
        <v>1</v>
      </c>
      <c r="G68" s="404"/>
      <c r="H68" s="404"/>
      <c r="I68" s="404"/>
      <c r="J68" s="404"/>
      <c r="K68" s="404"/>
      <c r="L68" s="404"/>
      <c r="M68" s="404"/>
      <c r="N68" s="404"/>
      <c r="O68" s="404"/>
      <c r="P68" s="404"/>
      <c r="Q68" s="404"/>
      <c r="R68" s="404"/>
      <c r="S68" s="404"/>
      <c r="T68" s="404"/>
      <c r="U68" s="404"/>
      <c r="V68" s="404"/>
      <c r="W68" s="404"/>
      <c r="X68" s="404"/>
      <c r="Y68" s="404"/>
      <c r="Z68" s="404"/>
    </row>
    <row r="69">
      <c r="A69" s="539" t="s">
        <v>4853</v>
      </c>
      <c r="B69" s="542" t="s">
        <v>4854</v>
      </c>
      <c r="C69" s="539" t="s">
        <v>4855</v>
      </c>
      <c r="D69" s="542" t="s">
        <v>4856</v>
      </c>
      <c r="E69" s="432"/>
      <c r="F69" s="540" t="b">
        <v>1</v>
      </c>
      <c r="G69" s="404"/>
      <c r="H69" s="404"/>
      <c r="I69" s="404"/>
      <c r="J69" s="404"/>
      <c r="K69" s="404"/>
      <c r="L69" s="404"/>
      <c r="M69" s="404"/>
      <c r="N69" s="404"/>
      <c r="O69" s="404"/>
      <c r="P69" s="404"/>
      <c r="Q69" s="404"/>
      <c r="R69" s="404"/>
      <c r="S69" s="404"/>
      <c r="T69" s="404"/>
      <c r="U69" s="404"/>
      <c r="V69" s="404"/>
      <c r="W69" s="404"/>
      <c r="X69" s="404"/>
      <c r="Y69" s="404"/>
      <c r="Z69" s="404"/>
    </row>
    <row r="70">
      <c r="A70" s="539" t="s">
        <v>4857</v>
      </c>
      <c r="B70" s="539"/>
      <c r="C70" s="539"/>
      <c r="D70" s="542" t="s">
        <v>4858</v>
      </c>
      <c r="E70" s="432"/>
      <c r="F70" s="540" t="b">
        <v>1</v>
      </c>
      <c r="G70" s="404"/>
      <c r="H70" s="404"/>
      <c r="I70" s="404"/>
      <c r="J70" s="404"/>
      <c r="K70" s="404"/>
      <c r="L70" s="404"/>
      <c r="M70" s="404"/>
      <c r="N70" s="404"/>
      <c r="O70" s="404"/>
      <c r="P70" s="404"/>
      <c r="Q70" s="404"/>
      <c r="R70" s="404"/>
      <c r="S70" s="404"/>
      <c r="T70" s="404"/>
      <c r="U70" s="404"/>
      <c r="V70" s="404"/>
      <c r="W70" s="404"/>
      <c r="X70" s="404"/>
      <c r="Y70" s="404"/>
      <c r="Z70" s="404"/>
    </row>
    <row r="71">
      <c r="A71" s="539" t="s">
        <v>4859</v>
      </c>
      <c r="B71" s="539"/>
      <c r="C71" s="539" t="s">
        <v>4770</v>
      </c>
      <c r="D71" s="542" t="s">
        <v>4860</v>
      </c>
      <c r="E71" s="432"/>
      <c r="F71" s="540" t="b">
        <v>1</v>
      </c>
      <c r="G71" s="404"/>
      <c r="H71" s="404"/>
      <c r="I71" s="404"/>
      <c r="J71" s="404"/>
      <c r="K71" s="404"/>
      <c r="L71" s="404"/>
      <c r="M71" s="404"/>
      <c r="N71" s="404"/>
      <c r="O71" s="404"/>
      <c r="P71" s="404"/>
      <c r="Q71" s="404"/>
      <c r="R71" s="404"/>
      <c r="S71" s="404"/>
      <c r="T71" s="404"/>
      <c r="U71" s="404"/>
      <c r="V71" s="404"/>
      <c r="W71" s="404"/>
      <c r="X71" s="404"/>
      <c r="Y71" s="404"/>
      <c r="Z71" s="404"/>
    </row>
    <row r="72">
      <c r="A72" s="539" t="s">
        <v>4861</v>
      </c>
      <c r="B72" s="539"/>
      <c r="C72" s="539" t="s">
        <v>4770</v>
      </c>
      <c r="D72" s="542" t="s">
        <v>4862</v>
      </c>
      <c r="E72" s="432"/>
      <c r="F72" s="540" t="b">
        <v>1</v>
      </c>
      <c r="G72" s="404"/>
      <c r="H72" s="404"/>
      <c r="I72" s="404"/>
      <c r="J72" s="404"/>
      <c r="K72" s="404"/>
      <c r="L72" s="404"/>
      <c r="M72" s="404"/>
      <c r="N72" s="404"/>
      <c r="O72" s="404"/>
      <c r="P72" s="404"/>
      <c r="Q72" s="404"/>
      <c r="R72" s="404"/>
      <c r="S72" s="404"/>
      <c r="T72" s="404"/>
      <c r="U72" s="404"/>
      <c r="V72" s="404"/>
      <c r="W72" s="404"/>
      <c r="X72" s="404"/>
      <c r="Y72" s="404"/>
      <c r="Z72" s="404"/>
    </row>
    <row r="73">
      <c r="A73" s="539" t="s">
        <v>4863</v>
      </c>
      <c r="B73" s="539"/>
      <c r="C73" s="539" t="s">
        <v>4770</v>
      </c>
      <c r="D73" s="542" t="s">
        <v>4864</v>
      </c>
      <c r="E73" s="432"/>
      <c r="F73" s="540" t="b">
        <v>1</v>
      </c>
      <c r="G73" s="404"/>
      <c r="H73" s="404"/>
      <c r="I73" s="404"/>
      <c r="J73" s="404"/>
      <c r="K73" s="404"/>
      <c r="L73" s="404"/>
      <c r="M73" s="404"/>
      <c r="N73" s="404"/>
      <c r="O73" s="404"/>
      <c r="P73" s="404"/>
      <c r="Q73" s="404"/>
      <c r="R73" s="404"/>
      <c r="S73" s="404"/>
      <c r="T73" s="404"/>
      <c r="U73" s="404"/>
      <c r="V73" s="404"/>
      <c r="W73" s="404"/>
      <c r="X73" s="404"/>
      <c r="Y73" s="404"/>
      <c r="Z73" s="404"/>
    </row>
    <row r="74" ht="30.75" customHeight="1">
      <c r="A74" s="554" t="s">
        <v>4865</v>
      </c>
      <c r="B74" s="554"/>
      <c r="C74" s="554"/>
      <c r="D74" s="554"/>
      <c r="E74" s="554"/>
      <c r="F74" s="540" t="b">
        <v>1</v>
      </c>
      <c r="G74" s="554"/>
      <c r="H74" s="554"/>
      <c r="I74" s="554"/>
      <c r="J74" s="554"/>
      <c r="K74" s="554"/>
      <c r="L74" s="554"/>
      <c r="M74" s="554"/>
      <c r="N74" s="554"/>
      <c r="O74" s="554"/>
      <c r="P74" s="554"/>
      <c r="Q74" s="554"/>
      <c r="R74" s="554"/>
      <c r="S74" s="554"/>
      <c r="T74" s="554"/>
      <c r="U74" s="554"/>
      <c r="V74" s="554"/>
      <c r="W74" s="554"/>
      <c r="X74" s="554"/>
      <c r="Y74" s="554"/>
      <c r="Z74" s="554"/>
    </row>
    <row r="75">
      <c r="A75" s="296" t="s">
        <v>4866</v>
      </c>
      <c r="B75" s="296" t="s">
        <v>2996</v>
      </c>
      <c r="C75" s="296" t="s">
        <v>4</v>
      </c>
      <c r="D75" s="296" t="s">
        <v>2730</v>
      </c>
      <c r="E75" s="555"/>
      <c r="F75" s="540" t="b">
        <v>1</v>
      </c>
      <c r="G75" s="404"/>
      <c r="H75" s="404"/>
      <c r="I75" s="404"/>
      <c r="J75" s="404"/>
      <c r="K75" s="404"/>
      <c r="L75" s="404"/>
      <c r="M75" s="404"/>
      <c r="N75" s="404"/>
      <c r="O75" s="404"/>
      <c r="P75" s="404"/>
      <c r="Q75" s="404"/>
      <c r="R75" s="404"/>
      <c r="S75" s="404"/>
      <c r="T75" s="404"/>
      <c r="U75" s="404"/>
      <c r="V75" s="404"/>
      <c r="W75" s="404"/>
      <c r="X75" s="404"/>
      <c r="Y75" s="404"/>
      <c r="Z75" s="404"/>
    </row>
    <row r="76">
      <c r="A76" s="539" t="s">
        <v>4867</v>
      </c>
      <c r="B76" s="539" t="s">
        <v>4868</v>
      </c>
      <c r="C76" s="542" t="s">
        <v>4869</v>
      </c>
      <c r="D76" s="542" t="s">
        <v>4870</v>
      </c>
      <c r="E76" s="555"/>
      <c r="F76" s="540" t="b">
        <v>1</v>
      </c>
      <c r="G76" s="404"/>
      <c r="H76" s="404"/>
      <c r="I76" s="404"/>
      <c r="J76" s="404"/>
      <c r="K76" s="404"/>
      <c r="L76" s="404"/>
      <c r="M76" s="404"/>
      <c r="N76" s="404"/>
      <c r="O76" s="404"/>
      <c r="P76" s="404"/>
      <c r="Q76" s="404"/>
      <c r="R76" s="404"/>
      <c r="S76" s="404"/>
      <c r="T76" s="404"/>
      <c r="U76" s="404"/>
      <c r="V76" s="404"/>
      <c r="W76" s="404"/>
      <c r="X76" s="404"/>
      <c r="Y76" s="404"/>
      <c r="Z76" s="404"/>
    </row>
    <row r="77">
      <c r="A77" s="539" t="s">
        <v>4871</v>
      </c>
      <c r="B77" s="539" t="s">
        <v>4872</v>
      </c>
      <c r="C77" s="542" t="s">
        <v>4873</v>
      </c>
      <c r="D77" s="542" t="s">
        <v>4874</v>
      </c>
      <c r="E77" s="555"/>
      <c r="F77" s="540" t="b">
        <v>1</v>
      </c>
      <c r="G77" s="404"/>
      <c r="H77" s="404"/>
      <c r="I77" s="404"/>
      <c r="J77" s="404"/>
      <c r="K77" s="404"/>
      <c r="L77" s="404"/>
      <c r="M77" s="404"/>
      <c r="N77" s="404"/>
      <c r="O77" s="404"/>
      <c r="P77" s="404"/>
      <c r="Q77" s="404"/>
      <c r="R77" s="404"/>
      <c r="S77" s="404"/>
      <c r="T77" s="404"/>
      <c r="U77" s="404"/>
      <c r="V77" s="404"/>
      <c r="W77" s="404"/>
      <c r="X77" s="404"/>
      <c r="Y77" s="404"/>
      <c r="Z77" s="404"/>
    </row>
    <row r="78">
      <c r="A78" s="539" t="s">
        <v>4875</v>
      </c>
      <c r="B78" s="539" t="s">
        <v>4876</v>
      </c>
      <c r="C78" s="542" t="s">
        <v>4877</v>
      </c>
      <c r="D78" s="542" t="s">
        <v>4878</v>
      </c>
      <c r="E78" s="555"/>
      <c r="F78" s="540" t="b">
        <v>1</v>
      </c>
      <c r="G78" s="404"/>
      <c r="H78" s="404"/>
      <c r="I78" s="404"/>
      <c r="J78" s="404"/>
      <c r="K78" s="404"/>
      <c r="L78" s="404"/>
      <c r="M78" s="404"/>
      <c r="N78" s="404"/>
      <c r="O78" s="404"/>
      <c r="P78" s="404"/>
      <c r="Q78" s="404"/>
      <c r="R78" s="404"/>
      <c r="S78" s="404"/>
      <c r="T78" s="404"/>
      <c r="U78" s="404"/>
      <c r="V78" s="404"/>
      <c r="W78" s="404"/>
      <c r="X78" s="404"/>
      <c r="Y78" s="404"/>
      <c r="Z78" s="404"/>
    </row>
    <row r="79">
      <c r="A79" s="539" t="s">
        <v>4879</v>
      </c>
      <c r="B79" s="539" t="s">
        <v>4880</v>
      </c>
      <c r="C79" s="542" t="s">
        <v>4881</v>
      </c>
      <c r="D79" s="542" t="s">
        <v>4882</v>
      </c>
      <c r="E79" s="555"/>
      <c r="F79" s="540" t="b">
        <v>1</v>
      </c>
      <c r="G79" s="404"/>
      <c r="H79" s="404"/>
      <c r="I79" s="404"/>
      <c r="J79" s="404"/>
      <c r="K79" s="404"/>
      <c r="L79" s="404"/>
      <c r="M79" s="404"/>
      <c r="N79" s="404"/>
      <c r="O79" s="404"/>
      <c r="P79" s="404"/>
      <c r="Q79" s="404"/>
      <c r="R79" s="404"/>
      <c r="S79" s="404"/>
      <c r="T79" s="404"/>
      <c r="U79" s="404"/>
      <c r="V79" s="404"/>
      <c r="W79" s="404"/>
      <c r="X79" s="404"/>
      <c r="Y79" s="404"/>
      <c r="Z79" s="404"/>
    </row>
    <row r="80">
      <c r="A80" s="539" t="s">
        <v>4883</v>
      </c>
      <c r="B80" s="539" t="s">
        <v>4884</v>
      </c>
      <c r="C80" s="542" t="s">
        <v>4885</v>
      </c>
      <c r="D80" s="542" t="s">
        <v>4886</v>
      </c>
      <c r="E80" s="555"/>
      <c r="F80" s="540" t="b">
        <v>1</v>
      </c>
      <c r="G80" s="404"/>
      <c r="H80" s="404"/>
      <c r="I80" s="404"/>
      <c r="J80" s="404"/>
      <c r="K80" s="404"/>
      <c r="L80" s="404"/>
      <c r="M80" s="404"/>
      <c r="N80" s="404"/>
      <c r="O80" s="404"/>
      <c r="P80" s="404"/>
      <c r="Q80" s="404"/>
      <c r="R80" s="404"/>
      <c r="S80" s="404"/>
      <c r="T80" s="404"/>
      <c r="U80" s="404"/>
      <c r="V80" s="404"/>
      <c r="W80" s="404"/>
      <c r="X80" s="404"/>
      <c r="Y80" s="404"/>
      <c r="Z80" s="404"/>
    </row>
    <row r="81">
      <c r="A81" s="539" t="s">
        <v>4887</v>
      </c>
      <c r="B81" s="539" t="s">
        <v>4888</v>
      </c>
      <c r="C81" s="542" t="s">
        <v>4889</v>
      </c>
      <c r="D81" s="542" t="s">
        <v>4890</v>
      </c>
      <c r="E81" s="555"/>
      <c r="F81" s="540" t="b">
        <v>1</v>
      </c>
      <c r="G81" s="404"/>
      <c r="H81" s="404"/>
      <c r="I81" s="404"/>
      <c r="J81" s="404"/>
      <c r="K81" s="404"/>
      <c r="L81" s="404"/>
      <c r="M81" s="404"/>
      <c r="N81" s="404"/>
      <c r="O81" s="404"/>
      <c r="P81" s="404"/>
      <c r="Q81" s="404"/>
      <c r="R81" s="404"/>
      <c r="S81" s="404"/>
      <c r="T81" s="404"/>
      <c r="U81" s="404"/>
      <c r="V81" s="404"/>
      <c r="W81" s="404"/>
      <c r="X81" s="404"/>
      <c r="Y81" s="404"/>
      <c r="Z81" s="404"/>
    </row>
    <row r="82">
      <c r="A82" s="539" t="s">
        <v>4891</v>
      </c>
      <c r="B82" s="539" t="s">
        <v>4892</v>
      </c>
      <c r="C82" s="542" t="s">
        <v>4893</v>
      </c>
      <c r="D82" s="542" t="s">
        <v>4894</v>
      </c>
      <c r="E82" s="555"/>
      <c r="F82" s="540" t="b">
        <v>1</v>
      </c>
      <c r="G82" s="404"/>
      <c r="H82" s="404"/>
      <c r="I82" s="404"/>
      <c r="J82" s="404"/>
      <c r="K82" s="404"/>
      <c r="L82" s="404"/>
      <c r="M82" s="404"/>
      <c r="N82" s="404"/>
      <c r="O82" s="404"/>
      <c r="P82" s="404"/>
      <c r="Q82" s="404"/>
      <c r="R82" s="404"/>
      <c r="S82" s="404"/>
      <c r="T82" s="404"/>
      <c r="U82" s="404"/>
      <c r="V82" s="404"/>
      <c r="W82" s="404"/>
      <c r="X82" s="404"/>
      <c r="Y82" s="404"/>
      <c r="Z82" s="404"/>
    </row>
    <row r="83">
      <c r="A83" s="539" t="s">
        <v>4895</v>
      </c>
      <c r="B83" s="539" t="s">
        <v>4896</v>
      </c>
      <c r="C83" s="542" t="s">
        <v>4897</v>
      </c>
      <c r="D83" s="542" t="s">
        <v>4898</v>
      </c>
      <c r="E83" s="555"/>
      <c r="F83" s="540" t="b">
        <v>1</v>
      </c>
      <c r="G83" s="404"/>
      <c r="H83" s="404"/>
      <c r="I83" s="404"/>
      <c r="J83" s="404"/>
      <c r="K83" s="404"/>
      <c r="L83" s="404"/>
      <c r="M83" s="404"/>
      <c r="N83" s="404"/>
      <c r="O83" s="404"/>
      <c r="P83" s="404"/>
      <c r="Q83" s="404"/>
      <c r="R83" s="404"/>
      <c r="S83" s="404"/>
      <c r="T83" s="404"/>
      <c r="U83" s="404"/>
      <c r="V83" s="404"/>
      <c r="W83" s="404"/>
      <c r="X83" s="404"/>
      <c r="Y83" s="404"/>
      <c r="Z83" s="404"/>
    </row>
    <row r="84">
      <c r="A84" s="539" t="s">
        <v>4899</v>
      </c>
      <c r="B84" s="539" t="s">
        <v>4900</v>
      </c>
      <c r="C84" s="542" t="s">
        <v>4901</v>
      </c>
      <c r="D84" s="542" t="s">
        <v>4902</v>
      </c>
      <c r="E84" s="555"/>
      <c r="F84" s="540" t="b">
        <v>1</v>
      </c>
      <c r="G84" s="404"/>
      <c r="H84" s="404"/>
      <c r="I84" s="404"/>
      <c r="J84" s="404"/>
      <c r="K84" s="404"/>
      <c r="L84" s="404"/>
      <c r="M84" s="404"/>
      <c r="N84" s="404"/>
      <c r="O84" s="404"/>
      <c r="P84" s="404"/>
      <c r="Q84" s="404"/>
      <c r="R84" s="404"/>
      <c r="S84" s="404"/>
      <c r="T84" s="404"/>
      <c r="U84" s="404"/>
      <c r="V84" s="404"/>
      <c r="W84" s="404"/>
      <c r="X84" s="404"/>
      <c r="Y84" s="404"/>
      <c r="Z84" s="404"/>
    </row>
    <row r="85">
      <c r="A85" s="539" t="s">
        <v>4903</v>
      </c>
      <c r="B85" s="539" t="s">
        <v>4904</v>
      </c>
      <c r="C85" s="542" t="s">
        <v>4905</v>
      </c>
      <c r="D85" s="542" t="s">
        <v>4906</v>
      </c>
      <c r="E85" s="555"/>
      <c r="F85" s="540" t="b">
        <v>1</v>
      </c>
      <c r="G85" s="404"/>
      <c r="H85" s="404"/>
      <c r="I85" s="404"/>
      <c r="J85" s="404"/>
      <c r="K85" s="404"/>
      <c r="L85" s="404"/>
      <c r="M85" s="404"/>
      <c r="N85" s="404"/>
      <c r="O85" s="404"/>
      <c r="P85" s="404"/>
      <c r="Q85" s="404"/>
      <c r="R85" s="404"/>
      <c r="S85" s="404"/>
      <c r="T85" s="404"/>
      <c r="U85" s="404"/>
      <c r="V85" s="404"/>
      <c r="W85" s="404"/>
      <c r="X85" s="404"/>
      <c r="Y85" s="404"/>
      <c r="Z85" s="404"/>
    </row>
    <row r="86">
      <c r="A86" s="539" t="s">
        <v>4907</v>
      </c>
      <c r="B86" s="432" t="str">
        <f>+962 6 5680001</f>
        <v>#ERROR!</v>
      </c>
      <c r="C86" s="542" t="s">
        <v>4908</v>
      </c>
      <c r="D86" s="542" t="s">
        <v>4909</v>
      </c>
      <c r="E86" s="555"/>
      <c r="F86" s="540" t="b">
        <v>1</v>
      </c>
      <c r="G86" s="404"/>
      <c r="H86" s="404"/>
      <c r="I86" s="404"/>
      <c r="J86" s="404"/>
      <c r="K86" s="404"/>
      <c r="L86" s="404"/>
      <c r="M86" s="404"/>
      <c r="N86" s="404"/>
      <c r="O86" s="404"/>
      <c r="P86" s="404"/>
      <c r="Q86" s="404"/>
      <c r="R86" s="404"/>
      <c r="S86" s="404"/>
      <c r="T86" s="404"/>
      <c r="U86" s="404"/>
      <c r="V86" s="404"/>
      <c r="W86" s="404"/>
      <c r="X86" s="404"/>
      <c r="Y86" s="404"/>
      <c r="Z86" s="404"/>
    </row>
    <row r="87">
      <c r="A87" s="539" t="s">
        <v>4910</v>
      </c>
      <c r="B87" s="432" t="str">
        <f>+962 6 5675100</f>
        <v>#ERROR!</v>
      </c>
      <c r="C87" s="542" t="s">
        <v>4911</v>
      </c>
      <c r="D87" s="542" t="s">
        <v>4912</v>
      </c>
      <c r="E87" s="555"/>
      <c r="F87" s="540" t="b">
        <v>1</v>
      </c>
      <c r="G87" s="404"/>
      <c r="H87" s="404"/>
      <c r="I87" s="404"/>
      <c r="J87" s="404"/>
      <c r="K87" s="404"/>
      <c r="L87" s="404"/>
      <c r="M87" s="404"/>
      <c r="N87" s="404"/>
      <c r="O87" s="404"/>
      <c r="P87" s="404"/>
      <c r="Q87" s="404"/>
      <c r="R87" s="404"/>
      <c r="S87" s="404"/>
      <c r="T87" s="404"/>
      <c r="U87" s="404"/>
      <c r="V87" s="404"/>
      <c r="W87" s="404"/>
      <c r="X87" s="404"/>
      <c r="Y87" s="404"/>
      <c r="Z87" s="404"/>
    </row>
    <row r="88">
      <c r="A88" s="539" t="s">
        <v>4913</v>
      </c>
      <c r="B88" s="432" t="str">
        <f>+962 6 5675100</f>
        <v>#ERROR!</v>
      </c>
      <c r="C88" s="542" t="s">
        <v>4914</v>
      </c>
      <c r="D88" s="542" t="s">
        <v>4915</v>
      </c>
      <c r="E88" s="555"/>
      <c r="F88" s="540" t="b">
        <v>1</v>
      </c>
      <c r="G88" s="404"/>
      <c r="H88" s="404"/>
      <c r="I88" s="404"/>
      <c r="J88" s="404"/>
      <c r="K88" s="404"/>
      <c r="L88" s="404"/>
      <c r="M88" s="404"/>
      <c r="N88" s="404"/>
      <c r="O88" s="404"/>
      <c r="P88" s="404"/>
      <c r="Q88" s="404"/>
      <c r="R88" s="404"/>
      <c r="S88" s="404"/>
      <c r="T88" s="404"/>
      <c r="U88" s="404"/>
      <c r="V88" s="404"/>
      <c r="W88" s="404"/>
      <c r="X88" s="404"/>
      <c r="Y88" s="404"/>
      <c r="Z88" s="404"/>
    </row>
    <row r="89">
      <c r="A89" s="539" t="s">
        <v>4916</v>
      </c>
      <c r="B89" s="432" t="str">
        <f>+962 6 5675100</f>
        <v>#ERROR!</v>
      </c>
      <c r="C89" s="542" t="s">
        <v>4917</v>
      </c>
      <c r="D89" s="542" t="s">
        <v>4918</v>
      </c>
      <c r="E89" s="555"/>
      <c r="F89" s="540" t="b">
        <v>1</v>
      </c>
      <c r="G89" s="404"/>
      <c r="H89" s="404"/>
      <c r="I89" s="404"/>
      <c r="J89" s="404"/>
      <c r="K89" s="404"/>
      <c r="L89" s="404"/>
      <c r="M89" s="404"/>
      <c r="N89" s="404"/>
      <c r="O89" s="404"/>
      <c r="P89" s="404"/>
      <c r="Q89" s="404"/>
      <c r="R89" s="404"/>
      <c r="S89" s="404"/>
      <c r="T89" s="404"/>
      <c r="U89" s="404"/>
      <c r="V89" s="404"/>
      <c r="W89" s="404"/>
      <c r="X89" s="404"/>
      <c r="Y89" s="404"/>
      <c r="Z89" s="404"/>
    </row>
    <row r="90">
      <c r="A90" s="539" t="s">
        <v>4919</v>
      </c>
      <c r="B90" s="432" t="str">
        <f>+962 6 5675100</f>
        <v>#ERROR!</v>
      </c>
      <c r="C90" s="542" t="s">
        <v>4920</v>
      </c>
      <c r="D90" s="542" t="s">
        <v>4921</v>
      </c>
      <c r="E90" s="555"/>
      <c r="F90" s="540" t="b">
        <v>1</v>
      </c>
      <c r="G90" s="404"/>
      <c r="H90" s="404"/>
      <c r="I90" s="404"/>
      <c r="J90" s="404"/>
      <c r="K90" s="404"/>
      <c r="L90" s="404"/>
      <c r="M90" s="404"/>
      <c r="N90" s="404"/>
      <c r="O90" s="404"/>
      <c r="P90" s="404"/>
      <c r="Q90" s="404"/>
      <c r="R90" s="404"/>
      <c r="S90" s="404"/>
      <c r="T90" s="404"/>
      <c r="U90" s="404"/>
      <c r="V90" s="404"/>
      <c r="W90" s="404"/>
      <c r="X90" s="404"/>
      <c r="Y90" s="404"/>
      <c r="Z90" s="404"/>
    </row>
    <row r="91">
      <c r="A91" s="539" t="s">
        <v>4922</v>
      </c>
      <c r="B91" s="432" t="str">
        <f>+962 6 5675100</f>
        <v>#ERROR!</v>
      </c>
      <c r="C91" s="542" t="s">
        <v>4923</v>
      </c>
      <c r="D91" s="542" t="s">
        <v>4924</v>
      </c>
      <c r="E91" s="555"/>
      <c r="F91" s="540" t="b">
        <v>1</v>
      </c>
      <c r="G91" s="404"/>
      <c r="H91" s="404"/>
      <c r="I91" s="404"/>
      <c r="J91" s="404"/>
      <c r="K91" s="404"/>
      <c r="L91" s="404"/>
      <c r="M91" s="404"/>
      <c r="N91" s="404"/>
      <c r="O91" s="404"/>
      <c r="P91" s="404"/>
      <c r="Q91" s="404"/>
      <c r="R91" s="404"/>
      <c r="S91" s="404"/>
      <c r="T91" s="404"/>
      <c r="U91" s="404"/>
      <c r="V91" s="404"/>
      <c r="W91" s="404"/>
      <c r="X91" s="404"/>
      <c r="Y91" s="404"/>
      <c r="Z91" s="404"/>
    </row>
    <row r="92">
      <c r="A92" s="539" t="s">
        <v>4925</v>
      </c>
      <c r="B92" s="432" t="str">
        <f>+962 6 5675100</f>
        <v>#ERROR!</v>
      </c>
      <c r="C92" s="542" t="s">
        <v>4926</v>
      </c>
      <c r="D92" s="542" t="s">
        <v>4927</v>
      </c>
      <c r="E92" s="555"/>
      <c r="F92" s="540" t="b">
        <v>1</v>
      </c>
      <c r="G92" s="404"/>
      <c r="H92" s="404"/>
      <c r="I92" s="404"/>
      <c r="J92" s="404"/>
      <c r="K92" s="404"/>
      <c r="L92" s="404"/>
      <c r="M92" s="404"/>
      <c r="N92" s="404"/>
      <c r="O92" s="404"/>
      <c r="P92" s="404"/>
      <c r="Q92" s="404"/>
      <c r="R92" s="404"/>
      <c r="S92" s="404"/>
      <c r="T92" s="404"/>
      <c r="U92" s="404"/>
      <c r="V92" s="404"/>
      <c r="W92" s="404"/>
      <c r="X92" s="404"/>
      <c r="Y92" s="404"/>
      <c r="Z92" s="404"/>
    </row>
    <row r="93">
      <c r="A93" s="539" t="s">
        <v>4928</v>
      </c>
      <c r="B93" s="432" t="str">
        <f>+962 6 5675100</f>
        <v>#ERROR!</v>
      </c>
      <c r="C93" s="542" t="s">
        <v>4929</v>
      </c>
      <c r="D93" s="542" t="s">
        <v>4930</v>
      </c>
      <c r="E93" s="555"/>
      <c r="F93" s="540" t="b">
        <v>1</v>
      </c>
      <c r="G93" s="404"/>
      <c r="H93" s="404"/>
      <c r="I93" s="404"/>
      <c r="J93" s="404"/>
      <c r="K93" s="404"/>
      <c r="L93" s="404"/>
      <c r="M93" s="404"/>
      <c r="N93" s="404"/>
      <c r="O93" s="404"/>
      <c r="P93" s="404"/>
      <c r="Q93" s="404"/>
      <c r="R93" s="404"/>
      <c r="S93" s="404"/>
      <c r="T93" s="404"/>
      <c r="U93" s="404"/>
      <c r="V93" s="404"/>
      <c r="W93" s="404"/>
      <c r="X93" s="404"/>
      <c r="Y93" s="404"/>
      <c r="Z93" s="404"/>
    </row>
    <row r="94">
      <c r="A94" s="539" t="s">
        <v>4931</v>
      </c>
      <c r="B94" s="432" t="str">
        <f>+962 6 4630301</f>
        <v>#ERROR!</v>
      </c>
      <c r="C94" s="542" t="s">
        <v>4932</v>
      </c>
      <c r="D94" s="542" t="s">
        <v>4933</v>
      </c>
      <c r="E94" s="555"/>
      <c r="F94" s="540" t="b">
        <v>1</v>
      </c>
      <c r="G94" s="404"/>
      <c r="H94" s="404"/>
      <c r="I94" s="404"/>
      <c r="J94" s="404"/>
      <c r="K94" s="404"/>
      <c r="L94" s="404"/>
      <c r="M94" s="404"/>
      <c r="N94" s="404"/>
      <c r="O94" s="404"/>
      <c r="P94" s="404"/>
      <c r="Q94" s="404"/>
      <c r="R94" s="404"/>
      <c r="S94" s="404"/>
      <c r="T94" s="404"/>
      <c r="U94" s="404"/>
      <c r="V94" s="404"/>
      <c r="W94" s="404"/>
      <c r="X94" s="404"/>
      <c r="Y94" s="404"/>
      <c r="Z94" s="404"/>
    </row>
    <row r="95">
      <c r="A95" s="541" t="s">
        <v>4875</v>
      </c>
      <c r="B95" s="555" t="str">
        <f>+962 6 5609200</f>
        <v>#ERROR!</v>
      </c>
      <c r="C95" s="543" t="s">
        <v>4934</v>
      </c>
      <c r="D95" s="543" t="s">
        <v>4935</v>
      </c>
      <c r="E95" s="555"/>
      <c r="F95" s="540" t="b">
        <v>1</v>
      </c>
      <c r="G95" s="404"/>
      <c r="H95" s="404"/>
      <c r="I95" s="404"/>
      <c r="J95" s="404"/>
      <c r="K95" s="404"/>
      <c r="L95" s="404"/>
      <c r="M95" s="404"/>
      <c r="N95" s="404"/>
      <c r="O95" s="404"/>
      <c r="P95" s="404"/>
      <c r="Q95" s="404"/>
      <c r="R95" s="404"/>
      <c r="S95" s="404"/>
      <c r="T95" s="404"/>
      <c r="U95" s="404"/>
      <c r="V95" s="404"/>
      <c r="W95" s="404"/>
      <c r="X95" s="404"/>
      <c r="Y95" s="404"/>
      <c r="Z95" s="404"/>
    </row>
    <row r="96">
      <c r="A96" s="541" t="s">
        <v>4936</v>
      </c>
      <c r="B96" s="555" t="str">
        <f>+962 6 5680001</f>
        <v>#ERROR!</v>
      </c>
      <c r="C96" s="543" t="s">
        <v>4937</v>
      </c>
      <c r="D96" s="543" t="s">
        <v>4938</v>
      </c>
      <c r="E96" s="555"/>
      <c r="F96" s="540" t="b">
        <v>1</v>
      </c>
      <c r="G96" s="404"/>
      <c r="H96" s="404"/>
      <c r="I96" s="404"/>
      <c r="J96" s="404"/>
      <c r="K96" s="404"/>
      <c r="L96" s="404"/>
      <c r="M96" s="404"/>
      <c r="N96" s="404"/>
      <c r="O96" s="404"/>
      <c r="P96" s="404"/>
      <c r="Q96" s="404"/>
      <c r="R96" s="404"/>
      <c r="S96" s="404"/>
      <c r="T96" s="404"/>
      <c r="U96" s="404"/>
      <c r="V96" s="404"/>
      <c r="W96" s="404"/>
      <c r="X96" s="404"/>
      <c r="Y96" s="404"/>
      <c r="Z96" s="404"/>
    </row>
    <row r="97">
      <c r="A97" s="541" t="s">
        <v>4939</v>
      </c>
      <c r="B97" s="555" t="str">
        <f>+962 6 5209000</f>
        <v>#ERROR!</v>
      </c>
      <c r="C97" s="543" t="s">
        <v>4940</v>
      </c>
      <c r="D97" s="543" t="s">
        <v>4941</v>
      </c>
      <c r="E97" s="555"/>
      <c r="F97" s="540" t="b">
        <v>1</v>
      </c>
      <c r="G97" s="404"/>
      <c r="H97" s="404"/>
      <c r="I97" s="404"/>
      <c r="J97" s="404"/>
      <c r="K97" s="404"/>
      <c r="L97" s="404"/>
      <c r="M97" s="404"/>
      <c r="N97" s="404"/>
      <c r="O97" s="404"/>
      <c r="P97" s="404"/>
      <c r="Q97" s="404"/>
      <c r="R97" s="404"/>
      <c r="S97" s="404"/>
      <c r="T97" s="404"/>
      <c r="U97" s="404"/>
      <c r="V97" s="404"/>
      <c r="W97" s="404"/>
      <c r="X97" s="404"/>
      <c r="Y97" s="404"/>
      <c r="Z97" s="404"/>
    </row>
    <row r="98">
      <c r="A98" s="541" t="s">
        <v>4942</v>
      </c>
      <c r="B98" s="555" t="str">
        <f>+962 6 5629400</f>
        <v>#ERROR!</v>
      </c>
      <c r="C98" s="543" t="s">
        <v>4943</v>
      </c>
      <c r="D98" s="543" t="s">
        <v>4944</v>
      </c>
      <c r="E98" s="555"/>
      <c r="F98" s="540" t="b">
        <v>1</v>
      </c>
      <c r="G98" s="404"/>
      <c r="H98" s="404"/>
      <c r="I98" s="404"/>
      <c r="J98" s="404"/>
      <c r="K98" s="404"/>
      <c r="L98" s="404"/>
      <c r="M98" s="404"/>
      <c r="N98" s="404"/>
      <c r="O98" s="404"/>
      <c r="P98" s="404"/>
      <c r="Q98" s="404"/>
      <c r="R98" s="404"/>
      <c r="S98" s="404"/>
      <c r="T98" s="404"/>
      <c r="U98" s="404"/>
      <c r="V98" s="404"/>
      <c r="W98" s="404"/>
      <c r="X98" s="404"/>
      <c r="Y98" s="404"/>
      <c r="Z98" s="404"/>
    </row>
    <row r="99">
      <c r="A99" s="541" t="s">
        <v>4945</v>
      </c>
      <c r="B99" s="555" t="str">
        <f>+962 6 5633500</f>
        <v>#ERROR!</v>
      </c>
      <c r="C99" s="543" t="s">
        <v>4946</v>
      </c>
      <c r="D99" s="543" t="s">
        <v>4947</v>
      </c>
      <c r="E99" s="555"/>
      <c r="F99" s="540" t="b">
        <v>1</v>
      </c>
      <c r="G99" s="404"/>
      <c r="H99" s="404"/>
      <c r="I99" s="404"/>
      <c r="J99" s="404"/>
      <c r="K99" s="404"/>
      <c r="L99" s="404"/>
      <c r="M99" s="404"/>
      <c r="N99" s="404"/>
      <c r="O99" s="404"/>
      <c r="P99" s="404"/>
      <c r="Q99" s="404"/>
      <c r="R99" s="404"/>
      <c r="S99" s="404"/>
      <c r="T99" s="404"/>
      <c r="U99" s="404"/>
      <c r="V99" s="404"/>
      <c r="W99" s="404"/>
      <c r="X99" s="404"/>
      <c r="Y99" s="404"/>
      <c r="Z99" s="404"/>
    </row>
    <row r="100">
      <c r="A100" s="541" t="s">
        <v>4948</v>
      </c>
      <c r="B100" s="555" t="str">
        <f>+962 6 5006000</f>
        <v>#ERROR!</v>
      </c>
      <c r="C100" s="543" t="s">
        <v>4949</v>
      </c>
      <c r="D100" s="543" t="s">
        <v>4950</v>
      </c>
      <c r="E100" s="555"/>
      <c r="F100" s="540" t="b">
        <v>1</v>
      </c>
      <c r="G100" s="404"/>
      <c r="H100" s="404"/>
      <c r="I100" s="404"/>
      <c r="J100" s="404"/>
      <c r="K100" s="404"/>
      <c r="L100" s="404"/>
      <c r="M100" s="404"/>
      <c r="N100" s="404"/>
      <c r="O100" s="404"/>
      <c r="P100" s="404"/>
      <c r="Q100" s="404"/>
      <c r="R100" s="404"/>
      <c r="S100" s="404"/>
      <c r="T100" s="404"/>
      <c r="U100" s="404"/>
      <c r="V100" s="404"/>
      <c r="W100" s="404"/>
      <c r="X100" s="404"/>
      <c r="Y100" s="404"/>
      <c r="Z100" s="404"/>
    </row>
    <row r="101">
      <c r="A101" s="541" t="s">
        <v>4883</v>
      </c>
      <c r="B101" s="555" t="str">
        <f>+962 6 5100200</f>
        <v>#ERROR!</v>
      </c>
      <c r="C101" s="543" t="s">
        <v>4951</v>
      </c>
      <c r="D101" s="543" t="s">
        <v>4952</v>
      </c>
      <c r="E101" s="555"/>
      <c r="F101" s="540" t="b">
        <v>1</v>
      </c>
      <c r="G101" s="404"/>
      <c r="H101" s="404"/>
      <c r="I101" s="404"/>
      <c r="J101" s="404"/>
      <c r="K101" s="404"/>
      <c r="L101" s="404"/>
      <c r="M101" s="404"/>
      <c r="N101" s="404"/>
      <c r="O101" s="404"/>
      <c r="P101" s="404"/>
      <c r="Q101" s="404"/>
      <c r="R101" s="404"/>
      <c r="S101" s="404"/>
      <c r="T101" s="404"/>
      <c r="U101" s="404"/>
      <c r="V101" s="404"/>
      <c r="W101" s="404"/>
      <c r="X101" s="404"/>
      <c r="Y101" s="404"/>
      <c r="Z101" s="404"/>
    </row>
    <row r="102">
      <c r="A102" s="541" t="s">
        <v>4899</v>
      </c>
      <c r="B102" s="555" t="str">
        <f>+962 6 5005555</f>
        <v>#ERROR!</v>
      </c>
      <c r="C102" s="543" t="s">
        <v>4953</v>
      </c>
      <c r="D102" s="543" t="s">
        <v>4954</v>
      </c>
      <c r="E102" s="555"/>
      <c r="F102" s="540" t="b">
        <v>1</v>
      </c>
      <c r="G102" s="404"/>
      <c r="H102" s="404"/>
      <c r="I102" s="404"/>
      <c r="J102" s="404"/>
      <c r="K102" s="404"/>
      <c r="L102" s="404"/>
      <c r="M102" s="404"/>
      <c r="N102" s="404"/>
      <c r="O102" s="404"/>
      <c r="P102" s="404"/>
      <c r="Q102" s="404"/>
      <c r="R102" s="404"/>
      <c r="S102" s="404"/>
      <c r="T102" s="404"/>
      <c r="U102" s="404"/>
      <c r="V102" s="404"/>
      <c r="W102" s="404"/>
      <c r="X102" s="404"/>
      <c r="Y102" s="404"/>
      <c r="Z102" s="404"/>
    </row>
    <row r="103">
      <c r="A103" s="541" t="s">
        <v>4955</v>
      </c>
      <c r="B103" s="555" t="str">
        <f>+962 6 5652441</f>
        <v>#ERROR!</v>
      </c>
      <c r="C103" s="543" t="s">
        <v>4956</v>
      </c>
      <c r="D103" s="543" t="s">
        <v>4957</v>
      </c>
      <c r="E103" s="555"/>
      <c r="F103" s="540" t="b">
        <v>1</v>
      </c>
      <c r="G103" s="404"/>
      <c r="H103" s="404"/>
      <c r="I103" s="404"/>
      <c r="J103" s="404"/>
      <c r="K103" s="404"/>
      <c r="L103" s="404"/>
      <c r="M103" s="404"/>
      <c r="N103" s="404"/>
      <c r="O103" s="404"/>
      <c r="P103" s="404"/>
      <c r="Q103" s="404"/>
      <c r="R103" s="404"/>
      <c r="S103" s="404"/>
      <c r="T103" s="404"/>
      <c r="U103" s="404"/>
      <c r="V103" s="404"/>
      <c r="W103" s="404"/>
      <c r="X103" s="404"/>
      <c r="Y103" s="404"/>
      <c r="Z103" s="404"/>
    </row>
    <row r="104">
      <c r="A104" s="541" t="s">
        <v>4958</v>
      </c>
      <c r="B104" s="555" t="str">
        <f>+962 6 5200800</f>
        <v>#ERROR!</v>
      </c>
      <c r="C104" s="543" t="s">
        <v>4959</v>
      </c>
      <c r="D104" s="543" t="s">
        <v>4960</v>
      </c>
      <c r="E104" s="555"/>
      <c r="F104" s="540" t="b">
        <v>1</v>
      </c>
      <c r="G104" s="404"/>
      <c r="H104" s="404"/>
      <c r="I104" s="404"/>
      <c r="J104" s="404"/>
      <c r="K104" s="404"/>
      <c r="L104" s="404"/>
      <c r="M104" s="404"/>
      <c r="N104" s="404"/>
      <c r="O104" s="404"/>
      <c r="P104" s="404"/>
      <c r="Q104" s="404"/>
      <c r="R104" s="404"/>
      <c r="S104" s="404"/>
      <c r="T104" s="404"/>
      <c r="U104" s="404"/>
      <c r="V104" s="404"/>
      <c r="W104" s="404"/>
      <c r="X104" s="404"/>
      <c r="Y104" s="404"/>
      <c r="Z104" s="404"/>
    </row>
    <row r="105">
      <c r="A105" s="541" t="s">
        <v>4961</v>
      </c>
      <c r="B105" s="555" t="str">
        <f>+962 6 5608888</f>
        <v>#ERROR!</v>
      </c>
      <c r="C105" s="543" t="s">
        <v>4962</v>
      </c>
      <c r="D105" s="543" t="s">
        <v>4963</v>
      </c>
      <c r="E105" s="555"/>
      <c r="F105" s="540" t="b">
        <v>1</v>
      </c>
      <c r="G105" s="404"/>
      <c r="H105" s="404"/>
      <c r="I105" s="404"/>
      <c r="J105" s="404"/>
      <c r="K105" s="404"/>
      <c r="L105" s="404"/>
      <c r="M105" s="404"/>
      <c r="N105" s="404"/>
      <c r="O105" s="404"/>
      <c r="P105" s="404"/>
      <c r="Q105" s="404"/>
      <c r="R105" s="404"/>
      <c r="S105" s="404"/>
      <c r="T105" s="404"/>
      <c r="U105" s="404"/>
      <c r="V105" s="404"/>
      <c r="W105" s="404"/>
      <c r="X105" s="404"/>
      <c r="Y105" s="404"/>
      <c r="Z105" s="404"/>
    </row>
    <row r="106">
      <c r="A106" s="541" t="s">
        <v>4964</v>
      </c>
      <c r="B106" s="555" t="str">
        <f>+962 6 5600000</f>
        <v>#ERROR!</v>
      </c>
      <c r="C106" s="543" t="s">
        <v>4965</v>
      </c>
      <c r="D106" s="543" t="s">
        <v>4966</v>
      </c>
      <c r="E106" s="555"/>
      <c r="F106" s="540" t="b">
        <v>1</v>
      </c>
      <c r="G106" s="404"/>
      <c r="H106" s="404"/>
      <c r="I106" s="404"/>
      <c r="J106" s="404"/>
      <c r="K106" s="404"/>
      <c r="L106" s="404"/>
      <c r="M106" s="404"/>
      <c r="N106" s="404"/>
      <c r="O106" s="404"/>
      <c r="P106" s="404"/>
      <c r="Q106" s="404"/>
      <c r="R106" s="404"/>
      <c r="S106" s="404"/>
      <c r="T106" s="404"/>
      <c r="U106" s="404"/>
      <c r="V106" s="404"/>
      <c r="W106" s="404"/>
      <c r="X106" s="404"/>
      <c r="Y106" s="404"/>
      <c r="Z106" s="404"/>
    </row>
    <row r="107">
      <c r="A107" s="541" t="s">
        <v>4967</v>
      </c>
      <c r="B107" s="555" t="str">
        <f>+962 6 5600000</f>
        <v>#ERROR!</v>
      </c>
      <c r="C107" s="543" t="s">
        <v>4968</v>
      </c>
      <c r="D107" s="543" t="s">
        <v>4969</v>
      </c>
      <c r="E107" s="555"/>
      <c r="F107" s="540" t="b">
        <v>1</v>
      </c>
      <c r="G107" s="404"/>
      <c r="H107" s="404"/>
      <c r="I107" s="404"/>
      <c r="J107" s="404"/>
      <c r="K107" s="404"/>
      <c r="L107" s="404"/>
      <c r="M107" s="404"/>
      <c r="N107" s="404"/>
      <c r="O107" s="404"/>
      <c r="P107" s="404"/>
      <c r="Q107" s="404"/>
      <c r="R107" s="404"/>
      <c r="S107" s="404"/>
      <c r="T107" s="404"/>
      <c r="U107" s="404"/>
      <c r="V107" s="404"/>
      <c r="W107" s="404"/>
      <c r="X107" s="404"/>
      <c r="Y107" s="404"/>
      <c r="Z107" s="404"/>
    </row>
    <row r="108">
      <c r="A108" s="541" t="s">
        <v>4910</v>
      </c>
      <c r="B108" s="555" t="str">
        <f>+962 6 5675100</f>
        <v>#ERROR!</v>
      </c>
      <c r="C108" s="543" t="s">
        <v>4970</v>
      </c>
      <c r="D108" s="543" t="s">
        <v>4971</v>
      </c>
      <c r="E108" s="555"/>
      <c r="F108" s="540" t="b">
        <v>1</v>
      </c>
      <c r="G108" s="404"/>
      <c r="H108" s="404"/>
      <c r="I108" s="404"/>
      <c r="J108" s="404"/>
      <c r="K108" s="404"/>
      <c r="L108" s="404"/>
      <c r="M108" s="404"/>
      <c r="N108" s="404"/>
      <c r="O108" s="404"/>
      <c r="P108" s="404"/>
      <c r="Q108" s="404"/>
      <c r="R108" s="404"/>
      <c r="S108" s="404"/>
      <c r="T108" s="404"/>
      <c r="U108" s="404"/>
      <c r="V108" s="404"/>
      <c r="W108" s="404"/>
      <c r="X108" s="404"/>
      <c r="Y108" s="404"/>
      <c r="Z108" s="404"/>
    </row>
    <row r="109">
      <c r="A109" s="541" t="s">
        <v>4913</v>
      </c>
      <c r="B109" s="555" t="str">
        <f>+962 6 5675100</f>
        <v>#ERROR!</v>
      </c>
      <c r="C109" s="543" t="s">
        <v>4972</v>
      </c>
      <c r="D109" s="543" t="s">
        <v>4973</v>
      </c>
      <c r="E109" s="555"/>
      <c r="F109" s="540" t="b">
        <v>1</v>
      </c>
      <c r="G109" s="404"/>
      <c r="H109" s="404"/>
      <c r="I109" s="404"/>
      <c r="J109" s="404"/>
      <c r="K109" s="404"/>
      <c r="L109" s="404"/>
      <c r="M109" s="404"/>
      <c r="N109" s="404"/>
      <c r="O109" s="404"/>
      <c r="P109" s="404"/>
      <c r="Q109" s="404"/>
      <c r="R109" s="404"/>
      <c r="S109" s="404"/>
      <c r="T109" s="404"/>
      <c r="U109" s="404"/>
      <c r="V109" s="404"/>
      <c r="W109" s="404"/>
      <c r="X109" s="404"/>
      <c r="Y109" s="404"/>
      <c r="Z109" s="404"/>
    </row>
    <row r="110">
      <c r="A110" s="541" t="s">
        <v>4916</v>
      </c>
      <c r="B110" s="555" t="str">
        <f>+962 6 5675100</f>
        <v>#ERROR!</v>
      </c>
      <c r="C110" s="543" t="s">
        <v>4974</v>
      </c>
      <c r="D110" s="543" t="s">
        <v>4975</v>
      </c>
      <c r="E110" s="555"/>
      <c r="F110" s="540" t="b">
        <v>1</v>
      </c>
      <c r="G110" s="404"/>
      <c r="H110" s="404"/>
      <c r="I110" s="404"/>
      <c r="J110" s="404"/>
      <c r="K110" s="404"/>
      <c r="L110" s="404"/>
      <c r="M110" s="404"/>
      <c r="N110" s="404"/>
      <c r="O110" s="404"/>
      <c r="P110" s="404"/>
      <c r="Q110" s="404"/>
      <c r="R110" s="404"/>
      <c r="S110" s="404"/>
      <c r="T110" s="404"/>
      <c r="U110" s="404"/>
      <c r="V110" s="404"/>
      <c r="W110" s="404"/>
      <c r="X110" s="404"/>
      <c r="Y110" s="404"/>
      <c r="Z110" s="404"/>
    </row>
    <row r="111">
      <c r="A111" s="541" t="s">
        <v>4976</v>
      </c>
      <c r="B111" s="555" t="str">
        <f>+962 6 5675100</f>
        <v>#ERROR!</v>
      </c>
      <c r="C111" s="543" t="s">
        <v>4977</v>
      </c>
      <c r="D111" s="543" t="s">
        <v>4978</v>
      </c>
      <c r="E111" s="555"/>
      <c r="F111" s="540" t="b">
        <v>1</v>
      </c>
      <c r="G111" s="404"/>
      <c r="H111" s="404"/>
      <c r="I111" s="404"/>
      <c r="J111" s="404"/>
      <c r="K111" s="404"/>
      <c r="L111" s="404"/>
      <c r="M111" s="404"/>
      <c r="N111" s="404"/>
      <c r="O111" s="404"/>
      <c r="P111" s="404"/>
      <c r="Q111" s="404"/>
      <c r="R111" s="404"/>
      <c r="S111" s="404"/>
      <c r="T111" s="404"/>
      <c r="U111" s="404"/>
      <c r="V111" s="404"/>
      <c r="W111" s="404"/>
      <c r="X111" s="404"/>
      <c r="Y111" s="404"/>
      <c r="Z111" s="404"/>
    </row>
    <row r="112">
      <c r="A112" s="541" t="s">
        <v>4922</v>
      </c>
      <c r="B112" s="555" t="str">
        <f>+962 6 5675100</f>
        <v>#ERROR!</v>
      </c>
      <c r="C112" s="543" t="s">
        <v>4979</v>
      </c>
      <c r="D112" s="543" t="s">
        <v>4980</v>
      </c>
      <c r="E112" s="555"/>
      <c r="F112" s="540" t="b">
        <v>1</v>
      </c>
      <c r="G112" s="404"/>
      <c r="H112" s="404"/>
      <c r="I112" s="404"/>
      <c r="J112" s="404"/>
      <c r="K112" s="404"/>
      <c r="L112" s="404"/>
      <c r="M112" s="404"/>
      <c r="N112" s="404"/>
      <c r="O112" s="404"/>
      <c r="P112" s="404"/>
      <c r="Q112" s="404"/>
      <c r="R112" s="404"/>
      <c r="S112" s="404"/>
      <c r="T112" s="404"/>
      <c r="U112" s="404"/>
      <c r="V112" s="404"/>
      <c r="W112" s="404"/>
      <c r="X112" s="404"/>
      <c r="Y112" s="404"/>
      <c r="Z112" s="404"/>
    </row>
    <row r="113">
      <c r="A113" s="541" t="s">
        <v>4925</v>
      </c>
      <c r="B113" s="555" t="str">
        <f>+962 6 5675100</f>
        <v>#ERROR!</v>
      </c>
      <c r="C113" s="543" t="s">
        <v>4981</v>
      </c>
      <c r="D113" s="543" t="s">
        <v>4982</v>
      </c>
      <c r="E113" s="555"/>
      <c r="F113" s="540" t="b">
        <v>1</v>
      </c>
      <c r="G113" s="404"/>
      <c r="H113" s="404"/>
      <c r="I113" s="404"/>
      <c r="J113" s="404"/>
      <c r="K113" s="404"/>
      <c r="L113" s="404"/>
      <c r="M113" s="404"/>
      <c r="N113" s="404"/>
      <c r="O113" s="404"/>
      <c r="P113" s="404"/>
      <c r="Q113" s="404"/>
      <c r="R113" s="404"/>
      <c r="S113" s="404"/>
      <c r="T113" s="404"/>
      <c r="U113" s="404"/>
      <c r="V113" s="404"/>
      <c r="W113" s="404"/>
      <c r="X113" s="404"/>
      <c r="Y113" s="404"/>
      <c r="Z113" s="404"/>
    </row>
    <row r="114">
      <c r="A114" s="541" t="s">
        <v>4928</v>
      </c>
      <c r="B114" s="555" t="str">
        <f>+962 6 5675100</f>
        <v>#ERROR!</v>
      </c>
      <c r="C114" s="543" t="s">
        <v>4983</v>
      </c>
      <c r="D114" s="543" t="s">
        <v>4984</v>
      </c>
      <c r="E114" s="555"/>
      <c r="F114" s="540" t="b">
        <v>1</v>
      </c>
      <c r="G114" s="404"/>
      <c r="H114" s="404"/>
      <c r="I114" s="404"/>
      <c r="J114" s="404"/>
      <c r="K114" s="404"/>
      <c r="L114" s="404"/>
      <c r="M114" s="404"/>
      <c r="N114" s="404"/>
      <c r="O114" s="404"/>
      <c r="P114" s="404"/>
      <c r="Q114" s="404"/>
      <c r="R114" s="404"/>
      <c r="S114" s="404"/>
      <c r="T114" s="404"/>
      <c r="U114" s="404"/>
      <c r="V114" s="404"/>
      <c r="W114" s="404"/>
      <c r="X114" s="404"/>
      <c r="Y114" s="404"/>
      <c r="Z114" s="404"/>
    </row>
    <row r="115">
      <c r="A115" s="556" t="s">
        <v>4985</v>
      </c>
      <c r="B115" s="53"/>
      <c r="C115" s="53"/>
      <c r="D115" s="53"/>
      <c r="E115" s="202"/>
      <c r="F115" s="540" t="b">
        <v>1</v>
      </c>
      <c r="G115" s="404"/>
      <c r="H115" s="404"/>
      <c r="I115" s="404"/>
      <c r="J115" s="404"/>
      <c r="K115" s="404"/>
      <c r="L115" s="404"/>
      <c r="M115" s="404"/>
      <c r="N115" s="404"/>
      <c r="O115" s="404"/>
      <c r="P115" s="404"/>
      <c r="Q115" s="404"/>
      <c r="R115" s="404"/>
      <c r="S115" s="404"/>
      <c r="T115" s="404"/>
      <c r="U115" s="404"/>
      <c r="V115" s="404"/>
      <c r="W115" s="404"/>
      <c r="X115" s="404"/>
      <c r="Y115" s="404"/>
      <c r="Z115" s="404"/>
    </row>
    <row r="116">
      <c r="A116" s="557" t="s">
        <v>1</v>
      </c>
      <c r="B116" s="557" t="s">
        <v>4</v>
      </c>
      <c r="C116" s="557" t="s">
        <v>2996</v>
      </c>
      <c r="D116" s="557" t="s">
        <v>2730</v>
      </c>
      <c r="E116" s="557" t="s">
        <v>669</v>
      </c>
      <c r="F116" t="b">
        <v>0</v>
      </c>
      <c r="H116" s="404"/>
      <c r="I116" s="404"/>
      <c r="J116" s="404"/>
      <c r="K116" s="404"/>
      <c r="L116" s="404"/>
      <c r="M116" s="404"/>
      <c r="N116" s="404"/>
      <c r="O116" s="404"/>
      <c r="P116" s="404"/>
      <c r="Q116" s="404"/>
      <c r="R116" s="404"/>
      <c r="S116" s="404"/>
      <c r="T116" s="404"/>
      <c r="U116" s="404"/>
      <c r="V116" s="404"/>
      <c r="W116" s="404"/>
      <c r="X116" s="404"/>
      <c r="Y116" s="404"/>
      <c r="Z116" s="404"/>
    </row>
    <row r="117">
      <c r="A117" s="558" t="s">
        <v>4986</v>
      </c>
      <c r="B117" s="559" t="s">
        <v>4987</v>
      </c>
      <c r="C117" s="558" t="s">
        <v>4988</v>
      </c>
      <c r="D117" s="559" t="s">
        <v>4989</v>
      </c>
      <c r="E117" s="558" t="s">
        <v>4291</v>
      </c>
      <c r="F117" t="b">
        <v>0</v>
      </c>
      <c r="H117" s="404"/>
      <c r="I117" s="404"/>
      <c r="J117" s="404"/>
      <c r="K117" s="404"/>
      <c r="L117" s="404"/>
      <c r="M117" s="404"/>
      <c r="N117" s="404"/>
      <c r="O117" s="404"/>
      <c r="P117" s="404"/>
      <c r="Q117" s="404"/>
      <c r="R117" s="404"/>
      <c r="S117" s="404"/>
      <c r="T117" s="404"/>
      <c r="U117" s="404"/>
      <c r="V117" s="404"/>
      <c r="W117" s="404"/>
      <c r="X117" s="404"/>
      <c r="Y117" s="404"/>
      <c r="Z117" s="404"/>
    </row>
    <row r="118">
      <c r="A118" s="558" t="s">
        <v>4990</v>
      </c>
      <c r="B118" s="559" t="s">
        <v>4991</v>
      </c>
      <c r="C118" s="560">
        <f>+962-77-7352202</f>
        <v>-7351317</v>
      </c>
      <c r="D118" s="559" t="s">
        <v>4992</v>
      </c>
      <c r="E118" s="558" t="s">
        <v>4291</v>
      </c>
      <c r="F118" t="b">
        <v>0</v>
      </c>
      <c r="H118" s="404"/>
      <c r="I118" s="404"/>
      <c r="J118" s="404"/>
      <c r="K118" s="404"/>
      <c r="L118" s="404"/>
      <c r="M118" s="404"/>
      <c r="N118" s="404"/>
      <c r="O118" s="404"/>
      <c r="P118" s="404"/>
      <c r="Q118" s="404"/>
      <c r="R118" s="404"/>
      <c r="S118" s="404"/>
      <c r="T118" s="404"/>
      <c r="U118" s="404"/>
      <c r="V118" s="404"/>
      <c r="W118" s="404"/>
      <c r="X118" s="404"/>
      <c r="Y118" s="404"/>
      <c r="Z118" s="404"/>
    </row>
    <row r="119">
      <c r="A119" s="558" t="s">
        <v>4993</v>
      </c>
      <c r="B119" s="558"/>
      <c r="C119" s="560">
        <f>+96265678245</f>
        <v>96265678245</v>
      </c>
      <c r="D119" s="559" t="s">
        <v>4994</v>
      </c>
      <c r="E119" s="558" t="s">
        <v>4291</v>
      </c>
      <c r="F119" t="b">
        <v>0</v>
      </c>
      <c r="H119" s="404"/>
      <c r="I119" s="404"/>
      <c r="J119" s="404"/>
      <c r="K119" s="404"/>
      <c r="L119" s="404"/>
      <c r="M119" s="404"/>
      <c r="N119" s="404"/>
      <c r="O119" s="404"/>
      <c r="P119" s="404"/>
      <c r="Q119" s="404"/>
      <c r="R119" s="404"/>
      <c r="S119" s="404"/>
      <c r="T119" s="404"/>
      <c r="U119" s="404"/>
      <c r="V119" s="404"/>
      <c r="W119" s="404"/>
      <c r="X119" s="404"/>
      <c r="Y119" s="404"/>
      <c r="Z119" s="404"/>
    </row>
    <row r="120">
      <c r="A120" s="558" t="s">
        <v>4995</v>
      </c>
      <c r="B120" s="558"/>
      <c r="C120" s="560">
        <f>+96265515383</f>
        <v>96265515383</v>
      </c>
      <c r="D120" s="559" t="s">
        <v>4996</v>
      </c>
      <c r="E120" s="558" t="s">
        <v>4291</v>
      </c>
      <c r="F120" t="b">
        <v>0</v>
      </c>
      <c r="H120" s="404"/>
      <c r="I120" s="404"/>
      <c r="J120" s="404"/>
      <c r="K120" s="404"/>
      <c r="L120" s="404"/>
      <c r="M120" s="404"/>
      <c r="N120" s="404"/>
      <c r="O120" s="404"/>
      <c r="P120" s="404"/>
      <c r="Q120" s="404"/>
      <c r="R120" s="404"/>
      <c r="S120" s="404"/>
      <c r="T120" s="404"/>
      <c r="U120" s="404"/>
      <c r="V120" s="404"/>
      <c r="W120" s="404"/>
      <c r="X120" s="404"/>
      <c r="Y120" s="404"/>
      <c r="Z120" s="404"/>
    </row>
    <row r="121">
      <c r="A121" s="558" t="s">
        <v>4997</v>
      </c>
      <c r="B121" s="558"/>
      <c r="C121" s="560">
        <f>+962790727302</f>
        <v>962790727302</v>
      </c>
      <c r="D121" s="559" t="s">
        <v>4998</v>
      </c>
      <c r="E121" s="558" t="s">
        <v>4291</v>
      </c>
      <c r="F121" t="b">
        <v>0</v>
      </c>
      <c r="H121" s="404"/>
      <c r="I121" s="404"/>
      <c r="J121" s="404"/>
      <c r="K121" s="404"/>
      <c r="L121" s="404"/>
      <c r="M121" s="404"/>
      <c r="N121" s="404"/>
      <c r="O121" s="404"/>
      <c r="P121" s="404"/>
      <c r="Q121" s="404"/>
      <c r="R121" s="404"/>
      <c r="S121" s="404"/>
      <c r="T121" s="404"/>
      <c r="U121" s="404"/>
      <c r="V121" s="404"/>
      <c r="W121" s="404"/>
      <c r="X121" s="404"/>
      <c r="Y121" s="404"/>
      <c r="Z121" s="404"/>
    </row>
    <row r="122">
      <c r="A122" s="558" t="s">
        <v>4999</v>
      </c>
      <c r="B122" s="558"/>
      <c r="C122" s="560">
        <f>+96265858165</f>
        <v>96265858165</v>
      </c>
      <c r="D122" s="559" t="s">
        <v>5000</v>
      </c>
      <c r="E122" s="558" t="s">
        <v>4291</v>
      </c>
      <c r="F122" t="b">
        <v>0</v>
      </c>
      <c r="H122" s="404"/>
      <c r="I122" s="404"/>
      <c r="J122" s="404"/>
      <c r="K122" s="404"/>
      <c r="L122" s="404"/>
      <c r="M122" s="404"/>
      <c r="N122" s="404"/>
      <c r="O122" s="404"/>
      <c r="P122" s="404"/>
      <c r="Q122" s="404"/>
      <c r="R122" s="404"/>
      <c r="S122" s="404"/>
      <c r="T122" s="404"/>
      <c r="U122" s="404"/>
      <c r="V122" s="404"/>
      <c r="W122" s="404"/>
      <c r="X122" s="404"/>
      <c r="Y122" s="404"/>
      <c r="Z122" s="404"/>
    </row>
    <row r="123">
      <c r="A123" s="558" t="s">
        <v>5001</v>
      </c>
      <c r="B123" s="558"/>
      <c r="C123" s="560">
        <f>+13097914105</f>
        <v>13097914105</v>
      </c>
      <c r="D123" s="559" t="s">
        <v>5002</v>
      </c>
      <c r="E123" s="558" t="s">
        <v>4291</v>
      </c>
      <c r="F123" t="b">
        <v>0</v>
      </c>
      <c r="H123" s="404"/>
      <c r="I123" s="404"/>
      <c r="J123" s="404"/>
      <c r="K123" s="404"/>
      <c r="L123" s="404"/>
      <c r="M123" s="404"/>
      <c r="N123" s="404"/>
      <c r="O123" s="404"/>
      <c r="P123" s="404"/>
      <c r="Q123" s="404"/>
      <c r="R123" s="404"/>
      <c r="S123" s="404"/>
      <c r="T123" s="404"/>
      <c r="U123" s="404"/>
      <c r="V123" s="404"/>
      <c r="W123" s="404"/>
      <c r="X123" s="404"/>
      <c r="Y123" s="404"/>
      <c r="Z123" s="404"/>
    </row>
    <row r="124">
      <c r="A124" s="558" t="s">
        <v>5003</v>
      </c>
      <c r="B124" s="558"/>
      <c r="C124" s="560">
        <f>+96265522826</f>
        <v>96265522826</v>
      </c>
      <c r="D124" s="559" t="s">
        <v>5004</v>
      </c>
      <c r="E124" s="558" t="s">
        <v>4291</v>
      </c>
      <c r="F124" t="b">
        <v>0</v>
      </c>
      <c r="H124" s="404"/>
      <c r="I124" s="404"/>
      <c r="J124" s="404"/>
      <c r="K124" s="404"/>
      <c r="L124" s="404"/>
      <c r="M124" s="404"/>
      <c r="N124" s="404"/>
      <c r="O124" s="404"/>
      <c r="P124" s="404"/>
      <c r="Q124" s="404"/>
      <c r="R124" s="404"/>
      <c r="S124" s="404"/>
      <c r="T124" s="404"/>
      <c r="U124" s="404"/>
      <c r="V124" s="404"/>
      <c r="W124" s="404"/>
      <c r="X124" s="404"/>
      <c r="Y124" s="404"/>
      <c r="Z124" s="404"/>
    </row>
    <row r="125">
      <c r="A125" s="558" t="s">
        <v>5005</v>
      </c>
      <c r="B125" s="558"/>
      <c r="C125" s="558" t="s">
        <v>5006</v>
      </c>
      <c r="D125" s="558" t="s">
        <v>5006</v>
      </c>
      <c r="E125" s="558" t="s">
        <v>4291</v>
      </c>
      <c r="F125" t="b">
        <v>0</v>
      </c>
      <c r="H125" s="404"/>
      <c r="I125" s="404"/>
      <c r="J125" s="404"/>
      <c r="K125" s="404"/>
      <c r="L125" s="404"/>
      <c r="M125" s="404"/>
      <c r="N125" s="404"/>
      <c r="O125" s="404"/>
      <c r="P125" s="404"/>
      <c r="Q125" s="404"/>
      <c r="R125" s="404"/>
      <c r="S125" s="404"/>
      <c r="T125" s="404"/>
      <c r="U125" s="404"/>
      <c r="V125" s="404"/>
      <c r="W125" s="404"/>
      <c r="X125" s="404"/>
      <c r="Y125" s="404"/>
      <c r="Z125" s="404"/>
    </row>
    <row r="126">
      <c r="A126" s="558" t="s">
        <v>5007</v>
      </c>
      <c r="B126" s="558"/>
      <c r="C126" s="560">
        <f>+962-6-551</f>
        <v>405</v>
      </c>
      <c r="D126" s="555"/>
      <c r="E126" s="555"/>
      <c r="F126" s="413" t="b">
        <v>0</v>
      </c>
      <c r="H126" s="404"/>
      <c r="I126" s="404"/>
      <c r="J126" s="404"/>
      <c r="K126" s="404"/>
      <c r="L126" s="404"/>
      <c r="M126" s="404"/>
      <c r="N126" s="404"/>
      <c r="O126" s="404"/>
      <c r="P126" s="404"/>
      <c r="Q126" s="404"/>
      <c r="R126" s="404"/>
      <c r="S126" s="404"/>
      <c r="T126" s="404"/>
      <c r="U126" s="404"/>
      <c r="V126" s="404"/>
      <c r="W126" s="404"/>
      <c r="X126" s="404"/>
      <c r="Y126" s="404"/>
      <c r="Z126" s="404"/>
    </row>
    <row r="127">
      <c r="A127" s="544" t="s">
        <v>5008</v>
      </c>
      <c r="F127" s="413" t="b">
        <v>0</v>
      </c>
      <c r="G127" s="404"/>
      <c r="H127" s="404"/>
      <c r="I127" s="404"/>
      <c r="J127" s="404"/>
      <c r="K127" s="404"/>
      <c r="L127" s="404"/>
      <c r="M127" s="404"/>
      <c r="N127" s="404"/>
      <c r="O127" s="404"/>
      <c r="P127" s="404"/>
      <c r="Q127" s="404"/>
      <c r="R127" s="404"/>
      <c r="S127" s="404"/>
      <c r="T127" s="404"/>
      <c r="U127" s="404"/>
      <c r="V127" s="404"/>
      <c r="W127" s="404"/>
      <c r="X127" s="404"/>
      <c r="Y127" s="404"/>
      <c r="Z127" s="404"/>
    </row>
    <row r="128">
      <c r="A128" s="544" t="s">
        <v>1</v>
      </c>
      <c r="B128" s="544" t="s">
        <v>4</v>
      </c>
      <c r="C128" s="544" t="s">
        <v>2996</v>
      </c>
      <c r="D128" s="544" t="s">
        <v>2730</v>
      </c>
      <c r="E128" s="544" t="s">
        <v>669</v>
      </c>
      <c r="F128" s="413" t="b">
        <v>0</v>
      </c>
      <c r="G128" s="404"/>
      <c r="H128" s="404"/>
      <c r="I128" s="404"/>
      <c r="J128" s="404"/>
      <c r="K128" s="404"/>
      <c r="L128" s="404"/>
      <c r="M128" s="404"/>
      <c r="N128" s="404"/>
      <c r="O128" s="404"/>
      <c r="P128" s="404"/>
      <c r="Q128" s="404"/>
      <c r="R128" s="404"/>
      <c r="S128" s="404"/>
      <c r="T128" s="404"/>
      <c r="U128" s="404"/>
      <c r="V128" s="404"/>
      <c r="W128" s="404"/>
      <c r="X128" s="404"/>
      <c r="Y128" s="404"/>
      <c r="Z128" s="404"/>
    </row>
    <row r="129">
      <c r="A129" s="413" t="s">
        <v>5009</v>
      </c>
      <c r="B129" s="561" t="s">
        <v>5010</v>
      </c>
      <c r="C129" s="562" t="s">
        <v>5011</v>
      </c>
      <c r="D129" s="563" t="s">
        <v>5012</v>
      </c>
      <c r="E129" s="561" t="s">
        <v>5013</v>
      </c>
      <c r="F129" s="413" t="b">
        <v>0</v>
      </c>
      <c r="G129" s="404"/>
      <c r="H129" s="404"/>
      <c r="I129" s="404"/>
      <c r="J129" s="404"/>
      <c r="K129" s="404"/>
      <c r="L129" s="404"/>
      <c r="M129" s="404"/>
      <c r="N129" s="404"/>
      <c r="O129" s="404"/>
      <c r="P129" s="404"/>
      <c r="Q129" s="404"/>
      <c r="R129" s="404"/>
      <c r="S129" s="404"/>
      <c r="T129" s="404"/>
      <c r="U129" s="404"/>
      <c r="V129" s="404"/>
      <c r="W129" s="404"/>
      <c r="X129" s="404"/>
      <c r="Y129" s="404"/>
      <c r="Z129" s="404"/>
    </row>
    <row r="130">
      <c r="A130" s="564" t="s">
        <v>5014</v>
      </c>
      <c r="B130" s="428"/>
      <c r="C130" s="562" t="s">
        <v>5015</v>
      </c>
      <c r="D130" s="563" t="s">
        <v>5016</v>
      </c>
      <c r="E130" s="561" t="s">
        <v>5017</v>
      </c>
      <c r="F130" s="413" t="b">
        <v>0</v>
      </c>
      <c r="G130" s="404"/>
      <c r="H130" s="404"/>
      <c r="I130" s="404"/>
      <c r="J130" s="404"/>
      <c r="K130" s="404"/>
      <c r="L130" s="404"/>
      <c r="M130" s="404"/>
      <c r="N130" s="404"/>
      <c r="O130" s="404"/>
      <c r="P130" s="404"/>
      <c r="Q130" s="404"/>
      <c r="R130" s="404"/>
      <c r="S130" s="404"/>
      <c r="T130" s="404"/>
      <c r="U130" s="404"/>
      <c r="V130" s="404"/>
      <c r="W130" s="404"/>
      <c r="X130" s="404"/>
      <c r="Y130" s="404"/>
      <c r="Z130" s="404"/>
    </row>
    <row r="131">
      <c r="A131" s="564" t="s">
        <v>5018</v>
      </c>
      <c r="B131" s="561" t="s">
        <v>5019</v>
      </c>
      <c r="C131" s="562" t="s">
        <v>5020</v>
      </c>
      <c r="D131" s="565"/>
      <c r="E131" s="428"/>
      <c r="F131" s="413" t="b">
        <v>0</v>
      </c>
      <c r="G131" s="404"/>
      <c r="H131" s="404"/>
      <c r="I131" s="404"/>
      <c r="J131" s="404"/>
      <c r="K131" s="404"/>
      <c r="L131" s="404"/>
      <c r="M131" s="404"/>
      <c r="N131" s="404"/>
      <c r="O131" s="404"/>
      <c r="P131" s="404"/>
      <c r="Q131" s="404"/>
      <c r="R131" s="404"/>
      <c r="S131" s="404"/>
      <c r="T131" s="404"/>
      <c r="U131" s="404"/>
      <c r="V131" s="404"/>
      <c r="W131" s="404"/>
      <c r="X131" s="404"/>
      <c r="Y131" s="404"/>
      <c r="Z131" s="404"/>
    </row>
    <row r="132">
      <c r="A132" s="564" t="s">
        <v>5021</v>
      </c>
      <c r="B132" s="561" t="s">
        <v>5022</v>
      </c>
      <c r="C132" s="562" t="s">
        <v>5023</v>
      </c>
      <c r="D132" s="563" t="s">
        <v>5024</v>
      </c>
      <c r="E132" s="428"/>
      <c r="F132" s="413" t="b">
        <v>0</v>
      </c>
      <c r="G132" s="404"/>
      <c r="H132" s="404"/>
      <c r="I132" s="404"/>
      <c r="J132" s="404"/>
      <c r="K132" s="404"/>
      <c r="L132" s="404"/>
      <c r="M132" s="404"/>
      <c r="N132" s="404"/>
      <c r="O132" s="404"/>
      <c r="P132" s="404"/>
      <c r="Q132" s="404"/>
      <c r="R132" s="404"/>
      <c r="S132" s="404"/>
      <c r="T132" s="404"/>
      <c r="U132" s="404"/>
      <c r="V132" s="404"/>
      <c r="W132" s="404"/>
      <c r="X132" s="404"/>
      <c r="Y132" s="404"/>
      <c r="Z132" s="404"/>
    </row>
    <row r="133">
      <c r="A133" s="564" t="s">
        <v>5025</v>
      </c>
      <c r="B133" s="561" t="s">
        <v>5026</v>
      </c>
      <c r="C133" s="562" t="s">
        <v>5027</v>
      </c>
      <c r="D133" s="563" t="s">
        <v>5028</v>
      </c>
      <c r="E133" s="428"/>
      <c r="F133" s="413" t="b">
        <v>0</v>
      </c>
      <c r="G133" s="404"/>
      <c r="H133" s="404"/>
      <c r="I133" s="404"/>
      <c r="J133" s="404"/>
      <c r="K133" s="404"/>
      <c r="L133" s="404"/>
      <c r="M133" s="404"/>
      <c r="N133" s="404"/>
      <c r="O133" s="404"/>
      <c r="P133" s="404"/>
      <c r="Q133" s="404"/>
      <c r="R133" s="404"/>
      <c r="S133" s="404"/>
      <c r="T133" s="404"/>
      <c r="U133" s="404"/>
      <c r="V133" s="404"/>
      <c r="W133" s="404"/>
      <c r="X133" s="404"/>
      <c r="Y133" s="404"/>
      <c r="Z133" s="404"/>
    </row>
    <row r="134">
      <c r="A134" s="564" t="s">
        <v>5029</v>
      </c>
      <c r="B134" s="561" t="s">
        <v>5030</v>
      </c>
      <c r="C134" s="562" t="s">
        <v>5031</v>
      </c>
      <c r="D134" s="563" t="s">
        <v>5032</v>
      </c>
      <c r="E134" s="428"/>
      <c r="F134" s="413" t="b">
        <v>0</v>
      </c>
      <c r="G134" s="404"/>
      <c r="H134" s="404"/>
      <c r="I134" s="404"/>
      <c r="J134" s="404"/>
      <c r="K134" s="404"/>
      <c r="L134" s="404"/>
      <c r="M134" s="404"/>
      <c r="N134" s="404"/>
      <c r="O134" s="404"/>
      <c r="P134" s="404"/>
      <c r="Q134" s="404"/>
      <c r="R134" s="404"/>
      <c r="S134" s="404"/>
      <c r="T134" s="404"/>
      <c r="U134" s="404"/>
      <c r="V134" s="404"/>
      <c r="W134" s="404"/>
      <c r="X134" s="404"/>
      <c r="Y134" s="404"/>
      <c r="Z134" s="404"/>
    </row>
    <row r="135">
      <c r="A135" s="564" t="s">
        <v>5033</v>
      </c>
      <c r="B135" s="561" t="s">
        <v>5034</v>
      </c>
      <c r="C135" s="562" t="s">
        <v>5035</v>
      </c>
      <c r="D135" s="563" t="s">
        <v>5036</v>
      </c>
      <c r="E135" s="428"/>
      <c r="F135" s="413" t="b">
        <v>0</v>
      </c>
      <c r="G135" s="404"/>
      <c r="H135" s="404"/>
      <c r="I135" s="404"/>
      <c r="J135" s="404"/>
      <c r="K135" s="404"/>
      <c r="L135" s="404"/>
      <c r="M135" s="404"/>
      <c r="N135" s="404"/>
      <c r="O135" s="404"/>
      <c r="P135" s="404"/>
      <c r="Q135" s="404"/>
      <c r="R135" s="404"/>
      <c r="S135" s="404"/>
      <c r="T135" s="404"/>
      <c r="U135" s="404"/>
      <c r="V135" s="404"/>
      <c r="W135" s="404"/>
      <c r="X135" s="404"/>
      <c r="Y135" s="404"/>
      <c r="Z135" s="404"/>
    </row>
    <row r="136">
      <c r="A136" s="564" t="s">
        <v>5037</v>
      </c>
      <c r="B136" s="561" t="s">
        <v>5038</v>
      </c>
      <c r="C136" s="562" t="s">
        <v>5039</v>
      </c>
      <c r="D136" s="563" t="s">
        <v>5040</v>
      </c>
      <c r="E136" s="428"/>
      <c r="F136" s="413" t="b">
        <v>0</v>
      </c>
      <c r="G136" s="404"/>
      <c r="H136" s="404"/>
      <c r="I136" s="404"/>
      <c r="J136" s="404"/>
      <c r="K136" s="404"/>
      <c r="L136" s="404"/>
      <c r="M136" s="404"/>
      <c r="N136" s="404"/>
      <c r="O136" s="404"/>
      <c r="P136" s="404"/>
      <c r="Q136" s="404"/>
      <c r="R136" s="404"/>
      <c r="S136" s="404"/>
      <c r="T136" s="404"/>
      <c r="U136" s="404"/>
      <c r="V136" s="404"/>
      <c r="W136" s="404"/>
      <c r="X136" s="404"/>
      <c r="Y136" s="404"/>
      <c r="Z136" s="404"/>
    </row>
    <row r="137">
      <c r="A137" s="564" t="s">
        <v>5041</v>
      </c>
      <c r="B137" s="561" t="s">
        <v>5042</v>
      </c>
      <c r="C137" s="562" t="s">
        <v>5043</v>
      </c>
      <c r="D137" s="563" t="s">
        <v>5044</v>
      </c>
      <c r="E137" s="561" t="s">
        <v>5045</v>
      </c>
      <c r="F137" s="413" t="b">
        <v>0</v>
      </c>
      <c r="G137" s="404"/>
      <c r="H137" s="404"/>
      <c r="I137" s="404"/>
      <c r="J137" s="404"/>
      <c r="K137" s="404"/>
      <c r="L137" s="404"/>
      <c r="M137" s="404"/>
      <c r="N137" s="404"/>
      <c r="O137" s="404"/>
      <c r="P137" s="404"/>
      <c r="Q137" s="404"/>
      <c r="R137" s="404"/>
      <c r="S137" s="404"/>
      <c r="T137" s="404"/>
      <c r="U137" s="404"/>
      <c r="V137" s="404"/>
      <c r="W137" s="404"/>
      <c r="X137" s="404"/>
      <c r="Y137" s="404"/>
      <c r="Z137" s="404"/>
    </row>
    <row r="138">
      <c r="A138" s="413" t="s">
        <v>5046</v>
      </c>
      <c r="B138" s="433" t="s">
        <v>5047</v>
      </c>
      <c r="C138" s="562" t="s">
        <v>5048</v>
      </c>
      <c r="D138" s="563" t="s">
        <v>5049</v>
      </c>
      <c r="E138" s="561" t="s">
        <v>5050</v>
      </c>
      <c r="F138" s="413" t="b">
        <v>0</v>
      </c>
      <c r="G138" s="404"/>
      <c r="H138" s="404"/>
      <c r="I138" s="404"/>
      <c r="J138" s="404"/>
      <c r="K138" s="404"/>
      <c r="L138" s="404"/>
      <c r="M138" s="404"/>
      <c r="N138" s="404"/>
      <c r="O138" s="404"/>
      <c r="P138" s="404"/>
      <c r="Q138" s="404"/>
      <c r="R138" s="404"/>
      <c r="S138" s="404"/>
      <c r="T138" s="404"/>
      <c r="U138" s="404"/>
      <c r="V138" s="404"/>
      <c r="W138" s="404"/>
      <c r="X138" s="404"/>
      <c r="Y138" s="404"/>
      <c r="Z138" s="404"/>
    </row>
    <row r="139">
      <c r="A139" s="413" t="s">
        <v>5051</v>
      </c>
      <c r="B139" s="564" t="s">
        <v>5052</v>
      </c>
      <c r="C139" s="562" t="s">
        <v>5053</v>
      </c>
      <c r="D139" s="563" t="s">
        <v>5054</v>
      </c>
      <c r="E139" s="561" t="s">
        <v>4636</v>
      </c>
      <c r="F139" s="413" t="b">
        <v>0</v>
      </c>
      <c r="G139" s="404"/>
      <c r="H139" s="404"/>
      <c r="I139" s="404"/>
      <c r="J139" s="404"/>
      <c r="K139" s="404"/>
      <c r="L139" s="404"/>
      <c r="M139" s="404"/>
      <c r="N139" s="404"/>
      <c r="O139" s="404"/>
      <c r="P139" s="404"/>
      <c r="Q139" s="404"/>
      <c r="R139" s="404"/>
      <c r="S139" s="404"/>
      <c r="T139" s="404"/>
      <c r="U139" s="404"/>
      <c r="V139" s="404"/>
      <c r="W139" s="404"/>
      <c r="X139" s="404"/>
      <c r="Y139" s="404"/>
      <c r="Z139" s="404"/>
    </row>
    <row r="140">
      <c r="A140" s="564" t="s">
        <v>5055</v>
      </c>
      <c r="B140" s="566"/>
      <c r="C140" s="562" t="s">
        <v>3050</v>
      </c>
      <c r="D140" s="565"/>
      <c r="E140" s="428"/>
      <c r="F140" s="413" t="b">
        <v>0</v>
      </c>
      <c r="G140" s="404"/>
      <c r="H140" s="404"/>
      <c r="I140" s="404"/>
      <c r="J140" s="404"/>
      <c r="K140" s="404"/>
      <c r="L140" s="404"/>
      <c r="M140" s="404"/>
      <c r="N140" s="404"/>
      <c r="O140" s="404"/>
      <c r="P140" s="404"/>
      <c r="Q140" s="404"/>
      <c r="R140" s="404"/>
      <c r="S140" s="404"/>
      <c r="T140" s="404"/>
      <c r="U140" s="404"/>
      <c r="V140" s="404"/>
      <c r="W140" s="404"/>
      <c r="X140" s="404"/>
      <c r="Y140" s="404"/>
      <c r="Z140" s="404"/>
    </row>
    <row r="141">
      <c r="A141" s="564" t="s">
        <v>5056</v>
      </c>
      <c r="B141" s="564" t="s">
        <v>5057</v>
      </c>
      <c r="C141" s="567"/>
      <c r="D141" s="565"/>
      <c r="E141" s="561" t="s">
        <v>5058</v>
      </c>
      <c r="F141" s="413" t="b">
        <v>0</v>
      </c>
      <c r="G141" s="404"/>
      <c r="H141" s="404"/>
      <c r="I141" s="404"/>
      <c r="J141" s="404"/>
      <c r="K141" s="404"/>
      <c r="L141" s="404"/>
      <c r="M141" s="404"/>
      <c r="N141" s="404"/>
      <c r="O141" s="404"/>
      <c r="P141" s="404"/>
      <c r="Q141" s="404"/>
      <c r="R141" s="404"/>
      <c r="S141" s="404"/>
      <c r="T141" s="404"/>
      <c r="U141" s="404"/>
      <c r="V141" s="404"/>
      <c r="W141" s="404"/>
      <c r="X141" s="404"/>
      <c r="Y141" s="404"/>
      <c r="Z141" s="404"/>
    </row>
    <row r="142">
      <c r="A142" s="413" t="s">
        <v>5059</v>
      </c>
      <c r="B142" s="564" t="s">
        <v>5060</v>
      </c>
      <c r="C142" s="562" t="s">
        <v>5061</v>
      </c>
      <c r="D142" s="563" t="s">
        <v>5062</v>
      </c>
      <c r="E142" s="561" t="s">
        <v>5063</v>
      </c>
      <c r="F142" s="413" t="b">
        <v>0</v>
      </c>
      <c r="G142" s="404"/>
      <c r="H142" s="404"/>
      <c r="I142" s="404"/>
      <c r="J142" s="404"/>
      <c r="K142" s="404"/>
      <c r="L142" s="404"/>
      <c r="M142" s="404"/>
      <c r="N142" s="404"/>
      <c r="O142" s="404"/>
      <c r="P142" s="404"/>
      <c r="Q142" s="404"/>
      <c r="R142" s="404"/>
      <c r="S142" s="404"/>
      <c r="T142" s="404"/>
      <c r="U142" s="404"/>
      <c r="V142" s="404"/>
      <c r="W142" s="404"/>
      <c r="X142" s="404"/>
      <c r="Y142" s="404"/>
      <c r="Z142" s="404"/>
    </row>
    <row r="143">
      <c r="A143" s="194"/>
      <c r="B143" s="194"/>
      <c r="C143" s="194"/>
      <c r="D143" s="194"/>
      <c r="E143" s="194"/>
      <c r="F143" s="413" t="b">
        <v>0</v>
      </c>
      <c r="G143" s="404"/>
      <c r="H143" s="404"/>
      <c r="I143" s="404"/>
      <c r="J143" s="404"/>
      <c r="K143" s="404"/>
      <c r="L143" s="404"/>
      <c r="M143" s="404"/>
      <c r="N143" s="404"/>
      <c r="O143" s="404"/>
      <c r="P143" s="404"/>
      <c r="Q143" s="404"/>
      <c r="R143" s="404"/>
      <c r="S143" s="404"/>
      <c r="T143" s="404"/>
      <c r="U143" s="404"/>
      <c r="V143" s="404"/>
      <c r="W143" s="404"/>
      <c r="X143" s="404"/>
      <c r="Y143" s="404"/>
      <c r="Z143" s="404"/>
    </row>
    <row r="144">
      <c r="A144" s="189" t="s">
        <v>5064</v>
      </c>
      <c r="B144" s="189" t="s">
        <v>5065</v>
      </c>
      <c r="C144" s="189" t="s">
        <v>5066</v>
      </c>
      <c r="D144" s="568" t="s">
        <v>5067</v>
      </c>
      <c r="E144" s="189" t="s">
        <v>5068</v>
      </c>
      <c r="F144" s="413" t="b">
        <v>0</v>
      </c>
      <c r="G144" s="404"/>
      <c r="H144" s="404"/>
      <c r="I144" s="404"/>
      <c r="J144" s="404"/>
      <c r="K144" s="404"/>
      <c r="L144" s="404"/>
      <c r="M144" s="404"/>
      <c r="N144" s="404"/>
      <c r="O144" s="404"/>
      <c r="P144" s="404"/>
      <c r="Q144" s="404"/>
      <c r="R144" s="404"/>
      <c r="S144" s="404"/>
      <c r="T144" s="404"/>
      <c r="U144" s="404"/>
      <c r="V144" s="404"/>
      <c r="W144" s="404"/>
      <c r="X144" s="404"/>
      <c r="Y144" s="404"/>
      <c r="Z144" s="404"/>
    </row>
    <row r="145">
      <c r="A145" s="189" t="s">
        <v>5069</v>
      </c>
      <c r="B145" s="189" t="s">
        <v>5070</v>
      </c>
      <c r="C145" s="189" t="s">
        <v>5071</v>
      </c>
      <c r="D145" s="568" t="s">
        <v>5072</v>
      </c>
      <c r="E145" s="189" t="s">
        <v>5073</v>
      </c>
      <c r="F145" s="413" t="b">
        <v>0</v>
      </c>
      <c r="G145" s="404"/>
      <c r="H145" s="404"/>
      <c r="I145" s="404"/>
      <c r="J145" s="404"/>
      <c r="K145" s="404"/>
      <c r="L145" s="404"/>
      <c r="M145" s="404"/>
      <c r="N145" s="404"/>
      <c r="O145" s="404"/>
      <c r="P145" s="404"/>
      <c r="Q145" s="404"/>
      <c r="R145" s="404"/>
      <c r="S145" s="404"/>
      <c r="T145" s="404"/>
      <c r="U145" s="404"/>
      <c r="V145" s="404"/>
      <c r="W145" s="404"/>
      <c r="X145" s="404"/>
      <c r="Y145" s="404"/>
      <c r="Z145" s="404"/>
    </row>
    <row r="146">
      <c r="A146" s="404"/>
      <c r="B146" s="404"/>
      <c r="C146" s="404"/>
      <c r="D146" s="404"/>
      <c r="E146" s="404"/>
      <c r="F146" s="404"/>
      <c r="G146" s="404"/>
      <c r="H146" s="404"/>
      <c r="I146" s="404"/>
      <c r="J146" s="404"/>
      <c r="K146" s="404"/>
      <c r="L146" s="404"/>
      <c r="M146" s="404"/>
      <c r="N146" s="404"/>
      <c r="O146" s="404"/>
      <c r="P146" s="404"/>
      <c r="Q146" s="404"/>
      <c r="R146" s="404"/>
      <c r="S146" s="404"/>
      <c r="T146" s="404"/>
      <c r="U146" s="404"/>
      <c r="V146" s="404"/>
      <c r="W146" s="404"/>
      <c r="X146" s="404"/>
      <c r="Y146" s="404"/>
      <c r="Z146" s="404"/>
    </row>
    <row r="147">
      <c r="A147" s="404"/>
      <c r="B147" s="404"/>
      <c r="C147" s="404"/>
      <c r="D147" s="404"/>
      <c r="E147" s="404"/>
      <c r="F147" s="404"/>
      <c r="G147" s="404"/>
      <c r="H147" s="404"/>
      <c r="I147" s="404"/>
      <c r="J147" s="404"/>
      <c r="K147" s="404"/>
      <c r="L147" s="404"/>
      <c r="M147" s="404"/>
      <c r="N147" s="404"/>
      <c r="O147" s="404"/>
      <c r="P147" s="404"/>
      <c r="Q147" s="404"/>
      <c r="R147" s="404"/>
      <c r="S147" s="404"/>
      <c r="T147" s="404"/>
      <c r="U147" s="404"/>
      <c r="V147" s="404"/>
      <c r="W147" s="404"/>
      <c r="X147" s="404"/>
      <c r="Y147" s="404"/>
      <c r="Z147" s="404"/>
    </row>
    <row r="148">
      <c r="A148" s="404"/>
      <c r="B148" s="404"/>
      <c r="C148" s="404"/>
      <c r="D148" s="404"/>
      <c r="E148" s="404"/>
      <c r="F148" s="404"/>
      <c r="G148" s="404"/>
      <c r="H148" s="404"/>
      <c r="I148" s="404"/>
      <c r="J148" s="404"/>
      <c r="K148" s="404"/>
      <c r="L148" s="404"/>
      <c r="M148" s="404"/>
      <c r="N148" s="404"/>
      <c r="O148" s="404"/>
      <c r="P148" s="404"/>
      <c r="Q148" s="404"/>
      <c r="R148" s="404"/>
      <c r="S148" s="404"/>
      <c r="T148" s="404"/>
      <c r="U148" s="404"/>
      <c r="V148" s="404"/>
      <c r="W148" s="404"/>
      <c r="X148" s="404"/>
      <c r="Y148" s="404"/>
      <c r="Z148" s="404"/>
    </row>
    <row r="149">
      <c r="A149" s="404"/>
      <c r="B149" s="404"/>
      <c r="C149" s="404"/>
      <c r="D149" s="404"/>
      <c r="E149" s="404"/>
      <c r="F149" s="404"/>
      <c r="G149" s="404"/>
      <c r="H149" s="404"/>
      <c r="I149" s="404"/>
      <c r="J149" s="404"/>
      <c r="K149" s="404"/>
      <c r="L149" s="404"/>
      <c r="M149" s="404"/>
      <c r="N149" s="404"/>
      <c r="O149" s="404"/>
      <c r="P149" s="404"/>
      <c r="Q149" s="404"/>
      <c r="R149" s="404"/>
      <c r="S149" s="404"/>
      <c r="T149" s="404"/>
      <c r="U149" s="404"/>
      <c r="V149" s="404"/>
      <c r="W149" s="404"/>
      <c r="X149" s="404"/>
      <c r="Y149" s="404"/>
      <c r="Z149" s="404"/>
    </row>
    <row r="150">
      <c r="A150" s="404"/>
      <c r="B150" s="404"/>
      <c r="C150" s="404"/>
      <c r="D150" s="404"/>
      <c r="E150" s="404"/>
      <c r="F150" s="404"/>
      <c r="G150" s="404"/>
      <c r="H150" s="404"/>
      <c r="I150" s="404"/>
      <c r="J150" s="404"/>
      <c r="K150" s="404"/>
      <c r="L150" s="404"/>
      <c r="M150" s="404"/>
      <c r="N150" s="404"/>
      <c r="O150" s="404"/>
      <c r="P150" s="404"/>
      <c r="Q150" s="404"/>
      <c r="R150" s="404"/>
      <c r="S150" s="404"/>
      <c r="T150" s="404"/>
      <c r="U150" s="404"/>
      <c r="V150" s="404"/>
      <c r="W150" s="404"/>
      <c r="X150" s="404"/>
      <c r="Y150" s="404"/>
      <c r="Z150" s="404"/>
    </row>
    <row r="151">
      <c r="A151" s="404"/>
      <c r="B151" s="404"/>
      <c r="C151" s="404"/>
      <c r="D151" s="404"/>
      <c r="E151" s="404"/>
      <c r="F151" s="404"/>
      <c r="G151" s="404"/>
      <c r="H151" s="404"/>
      <c r="I151" s="404"/>
      <c r="J151" s="404"/>
      <c r="K151" s="404"/>
      <c r="L151" s="404"/>
      <c r="M151" s="404"/>
      <c r="N151" s="404"/>
      <c r="O151" s="404"/>
      <c r="P151" s="404"/>
      <c r="Q151" s="404"/>
      <c r="R151" s="404"/>
      <c r="S151" s="404"/>
      <c r="T151" s="404"/>
      <c r="U151" s="404"/>
      <c r="V151" s="404"/>
      <c r="W151" s="404"/>
      <c r="X151" s="404"/>
      <c r="Y151" s="404"/>
      <c r="Z151" s="404"/>
    </row>
    <row r="152">
      <c r="A152" s="404"/>
      <c r="B152" s="404"/>
      <c r="C152" s="404"/>
      <c r="D152" s="404"/>
      <c r="E152" s="404"/>
      <c r="F152" s="404"/>
      <c r="G152" s="404"/>
      <c r="H152" s="404"/>
      <c r="I152" s="404"/>
      <c r="J152" s="404"/>
      <c r="K152" s="404"/>
      <c r="L152" s="404"/>
      <c r="M152" s="404"/>
      <c r="N152" s="404"/>
      <c r="O152" s="404"/>
      <c r="P152" s="404"/>
      <c r="Q152" s="404"/>
      <c r="R152" s="404"/>
      <c r="S152" s="404"/>
      <c r="T152" s="404"/>
      <c r="U152" s="404"/>
      <c r="V152" s="404"/>
      <c r="W152" s="404"/>
      <c r="X152" s="404"/>
      <c r="Y152" s="404"/>
      <c r="Z152" s="404"/>
    </row>
    <row r="153">
      <c r="A153" s="404"/>
      <c r="B153" s="404"/>
      <c r="C153" s="404"/>
      <c r="D153" s="404"/>
      <c r="E153" s="404"/>
      <c r="F153" s="404"/>
      <c r="G153" s="404"/>
      <c r="H153" s="404"/>
      <c r="I153" s="404"/>
      <c r="J153" s="404"/>
      <c r="K153" s="404"/>
      <c r="L153" s="404"/>
      <c r="M153" s="404"/>
      <c r="N153" s="404"/>
      <c r="O153" s="404"/>
      <c r="P153" s="404"/>
      <c r="Q153" s="404"/>
      <c r="R153" s="404"/>
      <c r="S153" s="404"/>
      <c r="T153" s="404"/>
      <c r="U153" s="404"/>
      <c r="V153" s="404"/>
      <c r="W153" s="404"/>
      <c r="X153" s="404"/>
      <c r="Y153" s="404"/>
      <c r="Z153" s="404"/>
    </row>
    <row r="154">
      <c r="A154" s="404"/>
      <c r="B154" s="404"/>
      <c r="C154" s="404"/>
      <c r="D154" s="404"/>
      <c r="E154" s="404"/>
      <c r="F154" s="404"/>
      <c r="G154" s="404"/>
      <c r="H154" s="404"/>
      <c r="I154" s="404"/>
      <c r="J154" s="404"/>
      <c r="K154" s="404"/>
      <c r="L154" s="404"/>
      <c r="M154" s="404"/>
      <c r="N154" s="404"/>
      <c r="O154" s="404"/>
      <c r="P154" s="404"/>
      <c r="Q154" s="404"/>
      <c r="R154" s="404"/>
      <c r="S154" s="404"/>
      <c r="T154" s="404"/>
      <c r="U154" s="404"/>
      <c r="V154" s="404"/>
      <c r="W154" s="404"/>
      <c r="X154" s="404"/>
      <c r="Y154" s="404"/>
      <c r="Z154" s="404"/>
    </row>
    <row r="155">
      <c r="A155" s="404"/>
      <c r="B155" s="404"/>
      <c r="C155" s="404"/>
      <c r="D155" s="404"/>
      <c r="E155" s="404"/>
      <c r="F155" s="404"/>
      <c r="G155" s="404"/>
      <c r="H155" s="404"/>
      <c r="I155" s="404"/>
      <c r="J155" s="404"/>
      <c r="K155" s="404"/>
      <c r="L155" s="404"/>
      <c r="M155" s="404"/>
      <c r="N155" s="404"/>
      <c r="O155" s="404"/>
      <c r="P155" s="404"/>
      <c r="Q155" s="404"/>
      <c r="R155" s="404"/>
      <c r="S155" s="404"/>
      <c r="T155" s="404"/>
      <c r="U155" s="404"/>
      <c r="V155" s="404"/>
      <c r="W155" s="404"/>
      <c r="X155" s="404"/>
      <c r="Y155" s="404"/>
      <c r="Z155" s="404"/>
    </row>
    <row r="156">
      <c r="A156" s="404"/>
      <c r="B156" s="404"/>
      <c r="C156" s="404"/>
      <c r="D156" s="404"/>
      <c r="E156" s="404"/>
      <c r="F156" s="404"/>
      <c r="G156" s="404"/>
      <c r="H156" s="404"/>
      <c r="I156" s="404"/>
      <c r="J156" s="404"/>
      <c r="K156" s="404"/>
      <c r="L156" s="404"/>
      <c r="M156" s="404"/>
      <c r="N156" s="404"/>
      <c r="O156" s="404"/>
      <c r="P156" s="404"/>
      <c r="Q156" s="404"/>
      <c r="R156" s="404"/>
      <c r="S156" s="404"/>
      <c r="T156" s="404"/>
      <c r="U156" s="404"/>
      <c r="V156" s="404"/>
      <c r="W156" s="404"/>
      <c r="X156" s="404"/>
      <c r="Y156" s="404"/>
      <c r="Z156" s="404"/>
    </row>
    <row r="157">
      <c r="A157" s="404"/>
      <c r="B157" s="404"/>
      <c r="C157" s="404"/>
      <c r="D157" s="404"/>
      <c r="E157" s="404"/>
      <c r="F157" s="404"/>
      <c r="G157" s="404"/>
      <c r="H157" s="404"/>
      <c r="I157" s="404"/>
      <c r="J157" s="404"/>
      <c r="K157" s="404"/>
      <c r="L157" s="404"/>
      <c r="M157" s="404"/>
      <c r="N157" s="404"/>
      <c r="O157" s="404"/>
      <c r="P157" s="404"/>
      <c r="Q157" s="404"/>
      <c r="R157" s="404"/>
      <c r="S157" s="404"/>
      <c r="T157" s="404"/>
      <c r="U157" s="404"/>
      <c r="V157" s="404"/>
      <c r="W157" s="404"/>
      <c r="X157" s="404"/>
      <c r="Y157" s="404"/>
      <c r="Z157" s="404"/>
    </row>
    <row r="158">
      <c r="A158" s="404"/>
      <c r="B158" s="404"/>
      <c r="C158" s="404"/>
      <c r="D158" s="404"/>
      <c r="E158" s="404"/>
      <c r="F158" s="404"/>
      <c r="G158" s="404"/>
      <c r="H158" s="404"/>
      <c r="I158" s="404"/>
      <c r="J158" s="404"/>
      <c r="K158" s="404"/>
      <c r="L158" s="404"/>
      <c r="M158" s="404"/>
      <c r="N158" s="404"/>
      <c r="O158" s="404"/>
      <c r="P158" s="404"/>
      <c r="Q158" s="404"/>
      <c r="R158" s="404"/>
      <c r="S158" s="404"/>
      <c r="T158" s="404"/>
      <c r="U158" s="404"/>
      <c r="V158" s="404"/>
      <c r="W158" s="404"/>
      <c r="X158" s="404"/>
      <c r="Y158" s="404"/>
      <c r="Z158" s="404"/>
    </row>
    <row r="159">
      <c r="A159" s="404"/>
      <c r="B159" s="404"/>
      <c r="C159" s="404"/>
      <c r="D159" s="404"/>
      <c r="E159" s="404"/>
      <c r="F159" s="404"/>
      <c r="G159" s="404"/>
      <c r="H159" s="404"/>
      <c r="I159" s="404"/>
      <c r="J159" s="404"/>
      <c r="K159" s="404"/>
      <c r="L159" s="404"/>
      <c r="M159" s="404"/>
      <c r="N159" s="404"/>
      <c r="O159" s="404"/>
      <c r="P159" s="404"/>
      <c r="Q159" s="404"/>
      <c r="R159" s="404"/>
      <c r="S159" s="404"/>
      <c r="T159" s="404"/>
      <c r="U159" s="404"/>
      <c r="V159" s="404"/>
      <c r="W159" s="404"/>
      <c r="X159" s="404"/>
      <c r="Y159" s="404"/>
      <c r="Z159" s="404"/>
    </row>
    <row r="160">
      <c r="A160" s="404"/>
      <c r="B160" s="404"/>
      <c r="C160" s="404"/>
      <c r="D160" s="404"/>
      <c r="E160" s="404"/>
      <c r="F160" s="404"/>
      <c r="G160" s="404"/>
      <c r="H160" s="404"/>
      <c r="I160" s="404"/>
      <c r="J160" s="404"/>
      <c r="K160" s="404"/>
      <c r="L160" s="404"/>
      <c r="M160" s="404"/>
      <c r="N160" s="404"/>
      <c r="O160" s="404"/>
      <c r="P160" s="404"/>
      <c r="Q160" s="404"/>
      <c r="R160" s="404"/>
      <c r="S160" s="404"/>
      <c r="T160" s="404"/>
      <c r="U160" s="404"/>
      <c r="V160" s="404"/>
      <c r="W160" s="404"/>
      <c r="X160" s="404"/>
      <c r="Y160" s="404"/>
      <c r="Z160" s="404"/>
    </row>
    <row r="161">
      <c r="A161" s="404"/>
      <c r="B161" s="404"/>
      <c r="C161" s="404"/>
      <c r="D161" s="404"/>
      <c r="E161" s="404"/>
      <c r="F161" s="404"/>
      <c r="G161" s="404"/>
      <c r="H161" s="404"/>
      <c r="I161" s="404"/>
      <c r="J161" s="404"/>
      <c r="K161" s="404"/>
      <c r="L161" s="404"/>
      <c r="M161" s="404"/>
      <c r="N161" s="404"/>
      <c r="O161" s="404"/>
      <c r="P161" s="404"/>
      <c r="Q161" s="404"/>
      <c r="R161" s="404"/>
      <c r="S161" s="404"/>
      <c r="T161" s="404"/>
      <c r="U161" s="404"/>
      <c r="V161" s="404"/>
      <c r="W161" s="404"/>
      <c r="X161" s="404"/>
      <c r="Y161" s="404"/>
      <c r="Z161" s="404"/>
    </row>
    <row r="162">
      <c r="A162" s="404"/>
      <c r="B162" s="404"/>
      <c r="C162" s="404"/>
      <c r="D162" s="404"/>
      <c r="E162" s="404"/>
      <c r="F162" s="404"/>
      <c r="G162" s="404"/>
      <c r="H162" s="404"/>
      <c r="I162" s="404"/>
      <c r="J162" s="404"/>
      <c r="K162" s="404"/>
      <c r="L162" s="404"/>
      <c r="M162" s="404"/>
      <c r="N162" s="404"/>
      <c r="O162" s="404"/>
      <c r="P162" s="404"/>
      <c r="Q162" s="404"/>
      <c r="R162" s="404"/>
      <c r="S162" s="404"/>
      <c r="T162" s="404"/>
      <c r="U162" s="404"/>
      <c r="V162" s="404"/>
      <c r="W162" s="404"/>
      <c r="X162" s="404"/>
      <c r="Y162" s="404"/>
      <c r="Z162" s="404"/>
    </row>
    <row r="163">
      <c r="A163" s="404"/>
      <c r="B163" s="404"/>
      <c r="C163" s="404"/>
      <c r="D163" s="404"/>
      <c r="E163" s="404"/>
      <c r="F163" s="404"/>
      <c r="G163" s="404"/>
      <c r="H163" s="404"/>
      <c r="I163" s="404"/>
      <c r="J163" s="404"/>
      <c r="K163" s="404"/>
      <c r="L163" s="404"/>
      <c r="M163" s="404"/>
      <c r="N163" s="404"/>
      <c r="O163" s="404"/>
      <c r="P163" s="404"/>
      <c r="Q163" s="404"/>
      <c r="R163" s="404"/>
      <c r="S163" s="404"/>
      <c r="T163" s="404"/>
      <c r="U163" s="404"/>
      <c r="V163" s="404"/>
      <c r="W163" s="404"/>
      <c r="X163" s="404"/>
      <c r="Y163" s="404"/>
      <c r="Z163" s="404"/>
    </row>
    <row r="164">
      <c r="A164" s="404"/>
      <c r="B164" s="404"/>
      <c r="C164" s="404"/>
      <c r="D164" s="404"/>
      <c r="E164" s="404"/>
      <c r="F164" s="404"/>
      <c r="G164" s="404"/>
      <c r="H164" s="404"/>
      <c r="I164" s="404"/>
      <c r="J164" s="404"/>
      <c r="K164" s="404"/>
      <c r="L164" s="404"/>
      <c r="M164" s="404"/>
      <c r="N164" s="404"/>
      <c r="O164" s="404"/>
      <c r="P164" s="404"/>
      <c r="Q164" s="404"/>
      <c r="R164" s="404"/>
      <c r="S164" s="404"/>
      <c r="T164" s="404"/>
      <c r="U164" s="404"/>
      <c r="V164" s="404"/>
      <c r="W164" s="404"/>
      <c r="X164" s="404"/>
      <c r="Y164" s="404"/>
      <c r="Z164" s="404"/>
    </row>
    <row r="165">
      <c r="A165" s="404"/>
      <c r="B165" s="404"/>
      <c r="C165" s="404"/>
      <c r="D165" s="404"/>
      <c r="E165" s="404"/>
      <c r="F165" s="404"/>
      <c r="G165" s="404"/>
      <c r="H165" s="404"/>
      <c r="I165" s="404"/>
      <c r="J165" s="404"/>
      <c r="K165" s="404"/>
      <c r="L165" s="404"/>
      <c r="M165" s="404"/>
      <c r="N165" s="404"/>
      <c r="O165" s="404"/>
      <c r="P165" s="404"/>
      <c r="Q165" s="404"/>
      <c r="R165" s="404"/>
      <c r="S165" s="404"/>
      <c r="T165" s="404"/>
      <c r="U165" s="404"/>
      <c r="V165" s="404"/>
      <c r="W165" s="404"/>
      <c r="X165" s="404"/>
      <c r="Y165" s="404"/>
      <c r="Z165" s="404"/>
    </row>
    <row r="166">
      <c r="A166" s="404"/>
      <c r="B166" s="404"/>
      <c r="C166" s="404"/>
      <c r="D166" s="404"/>
      <c r="E166" s="404"/>
      <c r="F166" s="404"/>
      <c r="G166" s="404"/>
      <c r="H166" s="404"/>
      <c r="I166" s="404"/>
      <c r="J166" s="404"/>
      <c r="K166" s="404"/>
      <c r="L166" s="404"/>
      <c r="M166" s="404"/>
      <c r="N166" s="404"/>
      <c r="O166" s="404"/>
      <c r="P166" s="404"/>
      <c r="Q166" s="404"/>
      <c r="R166" s="404"/>
      <c r="S166" s="404"/>
      <c r="T166" s="404"/>
      <c r="U166" s="404"/>
      <c r="V166" s="404"/>
      <c r="W166" s="404"/>
      <c r="X166" s="404"/>
      <c r="Y166" s="404"/>
      <c r="Z166" s="404"/>
    </row>
    <row r="167">
      <c r="A167" s="404"/>
      <c r="B167" s="404"/>
      <c r="C167" s="404"/>
      <c r="D167" s="404"/>
      <c r="E167" s="404"/>
      <c r="F167" s="404"/>
      <c r="G167" s="404"/>
      <c r="H167" s="404"/>
      <c r="I167" s="404"/>
      <c r="J167" s="404"/>
      <c r="K167" s="404"/>
      <c r="L167" s="404"/>
      <c r="M167" s="404"/>
      <c r="N167" s="404"/>
      <c r="O167" s="404"/>
      <c r="P167" s="404"/>
      <c r="Q167" s="404"/>
      <c r="R167" s="404"/>
      <c r="S167" s="404"/>
      <c r="T167" s="404"/>
      <c r="U167" s="404"/>
      <c r="V167" s="404"/>
      <c r="W167" s="404"/>
      <c r="X167" s="404"/>
      <c r="Y167" s="404"/>
      <c r="Z167" s="404"/>
    </row>
    <row r="168">
      <c r="A168" s="404"/>
      <c r="B168" s="404"/>
      <c r="C168" s="404"/>
      <c r="D168" s="404"/>
      <c r="E168" s="404"/>
      <c r="F168" s="404"/>
      <c r="G168" s="404"/>
      <c r="H168" s="404"/>
      <c r="I168" s="404"/>
      <c r="J168" s="404"/>
      <c r="K168" s="404"/>
      <c r="L168" s="404"/>
      <c r="M168" s="404"/>
      <c r="N168" s="404"/>
      <c r="O168" s="404"/>
      <c r="P168" s="404"/>
      <c r="Q168" s="404"/>
      <c r="R168" s="404"/>
      <c r="S168" s="404"/>
      <c r="T168" s="404"/>
      <c r="U168" s="404"/>
      <c r="V168" s="404"/>
      <c r="W168" s="404"/>
      <c r="X168" s="404"/>
      <c r="Y168" s="404"/>
      <c r="Z168" s="404"/>
    </row>
    <row r="169">
      <c r="A169" s="404"/>
      <c r="B169" s="404"/>
      <c r="C169" s="404"/>
      <c r="D169" s="404"/>
      <c r="E169" s="404"/>
      <c r="F169" s="404"/>
      <c r="G169" s="404"/>
      <c r="H169" s="404"/>
      <c r="I169" s="404"/>
      <c r="J169" s="404"/>
      <c r="K169" s="404"/>
      <c r="L169" s="404"/>
      <c r="M169" s="404"/>
      <c r="N169" s="404"/>
      <c r="O169" s="404"/>
      <c r="P169" s="404"/>
      <c r="Q169" s="404"/>
      <c r="R169" s="404"/>
      <c r="S169" s="404"/>
      <c r="T169" s="404"/>
      <c r="U169" s="404"/>
      <c r="V169" s="404"/>
      <c r="W169" s="404"/>
      <c r="X169" s="404"/>
      <c r="Y169" s="404"/>
      <c r="Z169" s="404"/>
    </row>
    <row r="170">
      <c r="A170" s="404"/>
      <c r="B170" s="404"/>
      <c r="C170" s="404"/>
      <c r="D170" s="404"/>
      <c r="E170" s="404"/>
      <c r="F170" s="404"/>
      <c r="G170" s="404"/>
      <c r="H170" s="404"/>
      <c r="I170" s="404"/>
      <c r="J170" s="404"/>
      <c r="K170" s="404"/>
      <c r="L170" s="404"/>
      <c r="M170" s="404"/>
      <c r="N170" s="404"/>
      <c r="O170" s="404"/>
      <c r="P170" s="404"/>
      <c r="Q170" s="404"/>
      <c r="R170" s="404"/>
      <c r="S170" s="404"/>
      <c r="T170" s="404"/>
      <c r="U170" s="404"/>
      <c r="V170" s="404"/>
      <c r="W170" s="404"/>
      <c r="X170" s="404"/>
      <c r="Y170" s="404"/>
      <c r="Z170" s="404"/>
    </row>
    <row r="171">
      <c r="A171" s="404"/>
      <c r="B171" s="404"/>
      <c r="C171" s="404"/>
      <c r="D171" s="404"/>
      <c r="E171" s="404"/>
      <c r="F171" s="404"/>
      <c r="G171" s="404"/>
      <c r="H171" s="404"/>
      <c r="I171" s="404"/>
      <c r="J171" s="404"/>
      <c r="K171" s="404"/>
      <c r="L171" s="404"/>
      <c r="M171" s="404"/>
      <c r="N171" s="404"/>
      <c r="O171" s="404"/>
      <c r="P171" s="404"/>
      <c r="Q171" s="404"/>
      <c r="R171" s="404"/>
      <c r="S171" s="404"/>
      <c r="T171" s="404"/>
      <c r="U171" s="404"/>
      <c r="V171" s="404"/>
      <c r="W171" s="404"/>
      <c r="X171" s="404"/>
      <c r="Y171" s="404"/>
      <c r="Z171" s="404"/>
    </row>
    <row r="172">
      <c r="A172" s="404"/>
      <c r="B172" s="404"/>
      <c r="C172" s="404"/>
      <c r="D172" s="404"/>
      <c r="E172" s="404"/>
      <c r="F172" s="404"/>
      <c r="G172" s="404"/>
      <c r="H172" s="404"/>
      <c r="I172" s="404"/>
      <c r="J172" s="404"/>
      <c r="K172" s="404"/>
      <c r="L172" s="404"/>
      <c r="M172" s="404"/>
      <c r="N172" s="404"/>
      <c r="O172" s="404"/>
      <c r="P172" s="404"/>
      <c r="Q172" s="404"/>
      <c r="R172" s="404"/>
      <c r="S172" s="404"/>
      <c r="T172" s="404"/>
      <c r="U172" s="404"/>
      <c r="V172" s="404"/>
      <c r="W172" s="404"/>
      <c r="X172" s="404"/>
      <c r="Y172" s="404"/>
      <c r="Z172" s="404"/>
    </row>
    <row r="173">
      <c r="A173" s="404"/>
      <c r="B173" s="404"/>
      <c r="C173" s="404"/>
      <c r="D173" s="404"/>
      <c r="E173" s="404"/>
      <c r="F173" s="404"/>
      <c r="G173" s="404"/>
      <c r="H173" s="404"/>
      <c r="I173" s="404"/>
      <c r="J173" s="404"/>
      <c r="K173" s="404"/>
      <c r="L173" s="404"/>
      <c r="M173" s="404"/>
      <c r="N173" s="404"/>
      <c r="O173" s="404"/>
      <c r="P173" s="404"/>
      <c r="Q173" s="404"/>
      <c r="R173" s="404"/>
      <c r="S173" s="404"/>
      <c r="T173" s="404"/>
      <c r="U173" s="404"/>
      <c r="V173" s="404"/>
      <c r="W173" s="404"/>
      <c r="X173" s="404"/>
      <c r="Y173" s="404"/>
      <c r="Z173" s="404"/>
    </row>
    <row r="174">
      <c r="A174" s="404"/>
      <c r="B174" s="404"/>
      <c r="C174" s="404"/>
      <c r="D174" s="404"/>
      <c r="E174" s="404"/>
      <c r="F174" s="404"/>
      <c r="G174" s="404"/>
      <c r="H174" s="404"/>
      <c r="I174" s="404"/>
      <c r="J174" s="404"/>
      <c r="K174" s="404"/>
      <c r="L174" s="404"/>
      <c r="M174" s="404"/>
      <c r="N174" s="404"/>
      <c r="O174" s="404"/>
      <c r="P174" s="404"/>
      <c r="Q174" s="404"/>
      <c r="R174" s="404"/>
      <c r="S174" s="404"/>
      <c r="T174" s="404"/>
      <c r="U174" s="404"/>
      <c r="V174" s="404"/>
      <c r="W174" s="404"/>
      <c r="X174" s="404"/>
      <c r="Y174" s="404"/>
      <c r="Z174" s="404"/>
    </row>
    <row r="175">
      <c r="A175" s="404"/>
      <c r="B175" s="404"/>
      <c r="C175" s="404"/>
      <c r="D175" s="404"/>
      <c r="E175" s="404"/>
      <c r="F175" s="404"/>
      <c r="G175" s="404"/>
      <c r="H175" s="404"/>
      <c r="I175" s="404"/>
      <c r="J175" s="404"/>
      <c r="K175" s="404"/>
      <c r="L175" s="404"/>
      <c r="M175" s="404"/>
      <c r="N175" s="404"/>
      <c r="O175" s="404"/>
      <c r="P175" s="404"/>
      <c r="Q175" s="404"/>
      <c r="R175" s="404"/>
      <c r="S175" s="404"/>
      <c r="T175" s="404"/>
      <c r="U175" s="404"/>
      <c r="V175" s="404"/>
      <c r="W175" s="404"/>
      <c r="X175" s="404"/>
      <c r="Y175" s="404"/>
      <c r="Z175" s="404"/>
    </row>
    <row r="176">
      <c r="A176" s="404"/>
      <c r="B176" s="404"/>
      <c r="C176" s="404"/>
      <c r="D176" s="404"/>
      <c r="E176" s="404"/>
      <c r="F176" s="404"/>
      <c r="G176" s="404"/>
      <c r="H176" s="404"/>
      <c r="I176" s="404"/>
      <c r="J176" s="404"/>
      <c r="K176" s="404"/>
      <c r="L176" s="404"/>
      <c r="M176" s="404"/>
      <c r="N176" s="404"/>
      <c r="O176" s="404"/>
      <c r="P176" s="404"/>
      <c r="Q176" s="404"/>
      <c r="R176" s="404"/>
      <c r="S176" s="404"/>
      <c r="T176" s="404"/>
      <c r="U176" s="404"/>
      <c r="V176" s="404"/>
      <c r="W176" s="404"/>
      <c r="X176" s="404"/>
      <c r="Y176" s="404"/>
      <c r="Z176" s="404"/>
    </row>
    <row r="177">
      <c r="A177" s="404"/>
      <c r="B177" s="404"/>
      <c r="C177" s="404"/>
      <c r="D177" s="404"/>
      <c r="E177" s="404"/>
      <c r="F177" s="404"/>
      <c r="G177" s="404"/>
      <c r="H177" s="404"/>
      <c r="I177" s="404"/>
      <c r="J177" s="404"/>
      <c r="K177" s="404"/>
      <c r="L177" s="404"/>
      <c r="M177" s="404"/>
      <c r="N177" s="404"/>
      <c r="O177" s="404"/>
      <c r="P177" s="404"/>
      <c r="Q177" s="404"/>
      <c r="R177" s="404"/>
      <c r="S177" s="404"/>
      <c r="T177" s="404"/>
      <c r="U177" s="404"/>
      <c r="V177" s="404"/>
      <c r="W177" s="404"/>
      <c r="X177" s="404"/>
      <c r="Y177" s="404"/>
      <c r="Z177" s="404"/>
    </row>
    <row r="178">
      <c r="A178" s="404"/>
      <c r="B178" s="404"/>
      <c r="C178" s="404"/>
      <c r="D178" s="404"/>
      <c r="E178" s="404"/>
      <c r="F178" s="404"/>
      <c r="G178" s="404"/>
      <c r="H178" s="404"/>
      <c r="I178" s="404"/>
      <c r="J178" s="404"/>
      <c r="K178" s="404"/>
      <c r="L178" s="404"/>
      <c r="M178" s="404"/>
      <c r="N178" s="404"/>
      <c r="O178" s="404"/>
      <c r="P178" s="404"/>
      <c r="Q178" s="404"/>
      <c r="R178" s="404"/>
      <c r="S178" s="404"/>
      <c r="T178" s="404"/>
      <c r="U178" s="404"/>
      <c r="V178" s="404"/>
      <c r="W178" s="404"/>
      <c r="X178" s="404"/>
      <c r="Y178" s="404"/>
      <c r="Z178" s="404"/>
    </row>
    <row r="179">
      <c r="A179" s="404"/>
      <c r="B179" s="404"/>
      <c r="C179" s="404"/>
      <c r="D179" s="404"/>
      <c r="E179" s="404"/>
      <c r="F179" s="404"/>
      <c r="G179" s="404"/>
      <c r="H179" s="404"/>
      <c r="I179" s="404"/>
      <c r="J179" s="404"/>
      <c r="K179" s="404"/>
      <c r="L179" s="404"/>
      <c r="M179" s="404"/>
      <c r="N179" s="404"/>
      <c r="O179" s="404"/>
      <c r="P179" s="404"/>
      <c r="Q179" s="404"/>
      <c r="R179" s="404"/>
      <c r="S179" s="404"/>
      <c r="T179" s="404"/>
      <c r="U179" s="404"/>
      <c r="V179" s="404"/>
      <c r="W179" s="404"/>
      <c r="X179" s="404"/>
      <c r="Y179" s="404"/>
      <c r="Z179" s="404"/>
    </row>
    <row r="180">
      <c r="A180" s="404"/>
      <c r="B180" s="404"/>
      <c r="C180" s="404"/>
      <c r="D180" s="404"/>
      <c r="E180" s="404"/>
      <c r="F180" s="404"/>
      <c r="G180" s="404"/>
      <c r="H180" s="404"/>
      <c r="I180" s="404"/>
      <c r="J180" s="404"/>
      <c r="K180" s="404"/>
      <c r="L180" s="404"/>
      <c r="M180" s="404"/>
      <c r="N180" s="404"/>
      <c r="O180" s="404"/>
      <c r="P180" s="404"/>
      <c r="Q180" s="404"/>
      <c r="R180" s="404"/>
      <c r="S180" s="404"/>
      <c r="T180" s="404"/>
      <c r="U180" s="404"/>
      <c r="V180" s="404"/>
      <c r="W180" s="404"/>
      <c r="X180" s="404"/>
      <c r="Y180" s="404"/>
      <c r="Z180" s="404"/>
    </row>
    <row r="181">
      <c r="A181" s="404"/>
      <c r="B181" s="404"/>
      <c r="C181" s="404"/>
      <c r="D181" s="404"/>
      <c r="E181" s="404"/>
      <c r="F181" s="404"/>
      <c r="G181" s="404"/>
      <c r="H181" s="404"/>
      <c r="I181" s="404"/>
      <c r="J181" s="404"/>
      <c r="K181" s="404"/>
      <c r="L181" s="404"/>
      <c r="M181" s="404"/>
      <c r="N181" s="404"/>
      <c r="O181" s="404"/>
      <c r="P181" s="404"/>
      <c r="Q181" s="404"/>
      <c r="R181" s="404"/>
      <c r="S181" s="404"/>
      <c r="T181" s="404"/>
      <c r="U181" s="404"/>
      <c r="V181" s="404"/>
      <c r="W181" s="404"/>
      <c r="X181" s="404"/>
      <c r="Y181" s="404"/>
      <c r="Z181" s="404"/>
    </row>
    <row r="182">
      <c r="A182" s="404"/>
      <c r="B182" s="404"/>
      <c r="C182" s="404"/>
      <c r="D182" s="404"/>
      <c r="E182" s="404"/>
      <c r="F182" s="404"/>
      <c r="G182" s="404"/>
      <c r="H182" s="404"/>
      <c r="I182" s="404"/>
      <c r="J182" s="404"/>
      <c r="K182" s="404"/>
      <c r="L182" s="404"/>
      <c r="M182" s="404"/>
      <c r="N182" s="404"/>
      <c r="O182" s="404"/>
      <c r="P182" s="404"/>
      <c r="Q182" s="404"/>
      <c r="R182" s="404"/>
      <c r="S182" s="404"/>
      <c r="T182" s="404"/>
      <c r="U182" s="404"/>
      <c r="V182" s="404"/>
      <c r="W182" s="404"/>
      <c r="X182" s="404"/>
      <c r="Y182" s="404"/>
      <c r="Z182" s="404"/>
    </row>
    <row r="183">
      <c r="A183" s="404"/>
      <c r="B183" s="404"/>
      <c r="C183" s="404"/>
      <c r="D183" s="404"/>
      <c r="E183" s="404"/>
      <c r="F183" s="404"/>
      <c r="G183" s="404"/>
      <c r="H183" s="404"/>
      <c r="I183" s="404"/>
      <c r="J183" s="404"/>
      <c r="K183" s="404"/>
      <c r="L183" s="404"/>
      <c r="M183" s="404"/>
      <c r="N183" s="404"/>
      <c r="O183" s="404"/>
      <c r="P183" s="404"/>
      <c r="Q183" s="404"/>
      <c r="R183" s="404"/>
      <c r="S183" s="404"/>
      <c r="T183" s="404"/>
      <c r="U183" s="404"/>
      <c r="V183" s="404"/>
      <c r="W183" s="404"/>
      <c r="X183" s="404"/>
      <c r="Y183" s="404"/>
      <c r="Z183" s="404"/>
    </row>
    <row r="184">
      <c r="A184" s="404"/>
      <c r="B184" s="404"/>
      <c r="C184" s="404"/>
      <c r="D184" s="404"/>
      <c r="E184" s="404"/>
      <c r="F184" s="404"/>
      <c r="G184" s="404"/>
      <c r="H184" s="404"/>
      <c r="I184" s="404"/>
      <c r="J184" s="404"/>
      <c r="K184" s="404"/>
      <c r="L184" s="404"/>
      <c r="M184" s="404"/>
      <c r="N184" s="404"/>
      <c r="O184" s="404"/>
      <c r="P184" s="404"/>
      <c r="Q184" s="404"/>
      <c r="R184" s="404"/>
      <c r="S184" s="404"/>
      <c r="T184" s="404"/>
      <c r="U184" s="404"/>
      <c r="V184" s="404"/>
      <c r="W184" s="404"/>
      <c r="X184" s="404"/>
      <c r="Y184" s="404"/>
      <c r="Z184" s="404"/>
    </row>
    <row r="185">
      <c r="A185" s="404"/>
      <c r="B185" s="404"/>
      <c r="C185" s="404"/>
      <c r="D185" s="404"/>
      <c r="E185" s="404"/>
      <c r="F185" s="404"/>
      <c r="G185" s="404"/>
      <c r="H185" s="404"/>
      <c r="I185" s="404"/>
      <c r="J185" s="404"/>
      <c r="K185" s="404"/>
      <c r="L185" s="404"/>
      <c r="M185" s="404"/>
      <c r="N185" s="404"/>
      <c r="O185" s="404"/>
      <c r="P185" s="404"/>
      <c r="Q185" s="404"/>
      <c r="R185" s="404"/>
      <c r="S185" s="404"/>
      <c r="T185" s="404"/>
      <c r="U185" s="404"/>
      <c r="V185" s="404"/>
      <c r="W185" s="404"/>
      <c r="X185" s="404"/>
      <c r="Y185" s="404"/>
      <c r="Z185" s="404"/>
    </row>
    <row r="186">
      <c r="A186" s="404"/>
      <c r="B186" s="404"/>
      <c r="C186" s="404"/>
      <c r="D186" s="404"/>
      <c r="E186" s="404"/>
      <c r="F186" s="404"/>
      <c r="G186" s="404"/>
      <c r="H186" s="404"/>
      <c r="I186" s="404"/>
      <c r="J186" s="404"/>
      <c r="K186" s="404"/>
      <c r="L186" s="404"/>
      <c r="M186" s="404"/>
      <c r="N186" s="404"/>
      <c r="O186" s="404"/>
      <c r="P186" s="404"/>
      <c r="Q186" s="404"/>
      <c r="R186" s="404"/>
      <c r="S186" s="404"/>
      <c r="T186" s="404"/>
      <c r="U186" s="404"/>
      <c r="V186" s="404"/>
      <c r="W186" s="404"/>
      <c r="X186" s="404"/>
      <c r="Y186" s="404"/>
      <c r="Z186" s="404"/>
    </row>
    <row r="187">
      <c r="A187" s="404"/>
      <c r="B187" s="404"/>
      <c r="C187" s="404"/>
      <c r="D187" s="404"/>
      <c r="E187" s="404"/>
      <c r="F187" s="404"/>
      <c r="G187" s="404"/>
      <c r="H187" s="404"/>
      <c r="I187" s="404"/>
      <c r="J187" s="404"/>
      <c r="K187" s="404"/>
      <c r="L187" s="404"/>
      <c r="M187" s="404"/>
      <c r="N187" s="404"/>
      <c r="O187" s="404"/>
      <c r="P187" s="404"/>
      <c r="Q187" s="404"/>
      <c r="R187" s="404"/>
      <c r="S187" s="404"/>
      <c r="T187" s="404"/>
      <c r="U187" s="404"/>
      <c r="V187" s="404"/>
      <c r="W187" s="404"/>
      <c r="X187" s="404"/>
      <c r="Y187" s="404"/>
      <c r="Z187" s="404"/>
    </row>
    <row r="188">
      <c r="A188" s="404"/>
      <c r="B188" s="404"/>
      <c r="C188" s="404"/>
      <c r="D188" s="404"/>
      <c r="E188" s="404"/>
      <c r="F188" s="404"/>
      <c r="G188" s="404"/>
      <c r="H188" s="404"/>
      <c r="I188" s="404"/>
      <c r="J188" s="404"/>
      <c r="K188" s="404"/>
      <c r="L188" s="404"/>
      <c r="M188" s="404"/>
      <c r="N188" s="404"/>
      <c r="O188" s="404"/>
      <c r="P188" s="404"/>
      <c r="Q188" s="404"/>
      <c r="R188" s="404"/>
      <c r="S188" s="404"/>
      <c r="T188" s="404"/>
      <c r="U188" s="404"/>
      <c r="V188" s="404"/>
      <c r="W188" s="404"/>
      <c r="X188" s="404"/>
      <c r="Y188" s="404"/>
      <c r="Z188" s="404"/>
    </row>
    <row r="189">
      <c r="A189" s="404"/>
      <c r="B189" s="404"/>
      <c r="C189" s="404"/>
      <c r="D189" s="404"/>
      <c r="E189" s="404"/>
      <c r="F189" s="404"/>
      <c r="G189" s="404"/>
      <c r="H189" s="404"/>
      <c r="I189" s="404"/>
      <c r="J189" s="404"/>
      <c r="K189" s="404"/>
      <c r="L189" s="404"/>
      <c r="M189" s="404"/>
      <c r="N189" s="404"/>
      <c r="O189" s="404"/>
      <c r="P189" s="404"/>
      <c r="Q189" s="404"/>
      <c r="R189" s="404"/>
      <c r="S189" s="404"/>
      <c r="T189" s="404"/>
      <c r="U189" s="404"/>
      <c r="V189" s="404"/>
      <c r="W189" s="404"/>
      <c r="X189" s="404"/>
      <c r="Y189" s="404"/>
      <c r="Z189" s="404"/>
    </row>
    <row r="190">
      <c r="A190" s="404"/>
      <c r="B190" s="404"/>
      <c r="C190" s="404"/>
      <c r="D190" s="404"/>
      <c r="E190" s="404"/>
      <c r="F190" s="404"/>
      <c r="G190" s="404"/>
      <c r="H190" s="404"/>
      <c r="I190" s="404"/>
      <c r="J190" s="404"/>
      <c r="K190" s="404"/>
      <c r="L190" s="404"/>
      <c r="M190" s="404"/>
      <c r="N190" s="404"/>
      <c r="O190" s="404"/>
      <c r="P190" s="404"/>
      <c r="Q190" s="404"/>
      <c r="R190" s="404"/>
      <c r="S190" s="404"/>
      <c r="T190" s="404"/>
      <c r="U190" s="404"/>
      <c r="V190" s="404"/>
      <c r="W190" s="404"/>
      <c r="X190" s="404"/>
      <c r="Y190" s="404"/>
      <c r="Z190" s="404"/>
    </row>
    <row r="191">
      <c r="A191" s="404"/>
      <c r="B191" s="404"/>
      <c r="C191" s="404"/>
      <c r="D191" s="404"/>
      <c r="E191" s="404"/>
      <c r="F191" s="404"/>
      <c r="G191" s="404"/>
      <c r="H191" s="404"/>
      <c r="I191" s="404"/>
      <c r="J191" s="404"/>
      <c r="K191" s="404"/>
      <c r="L191" s="404"/>
      <c r="M191" s="404"/>
      <c r="N191" s="404"/>
      <c r="O191" s="404"/>
      <c r="P191" s="404"/>
      <c r="Q191" s="404"/>
      <c r="R191" s="404"/>
      <c r="S191" s="404"/>
      <c r="T191" s="404"/>
      <c r="U191" s="404"/>
      <c r="V191" s="404"/>
      <c r="W191" s="404"/>
      <c r="X191" s="404"/>
      <c r="Y191" s="404"/>
      <c r="Z191" s="404"/>
    </row>
    <row r="192">
      <c r="A192" s="404"/>
      <c r="B192" s="404"/>
      <c r="C192" s="404"/>
      <c r="D192" s="404"/>
      <c r="E192" s="404"/>
      <c r="F192" s="404"/>
      <c r="G192" s="404"/>
      <c r="H192" s="404"/>
      <c r="I192" s="404"/>
      <c r="J192" s="404"/>
      <c r="K192" s="404"/>
      <c r="L192" s="404"/>
      <c r="M192" s="404"/>
      <c r="N192" s="404"/>
      <c r="O192" s="404"/>
      <c r="P192" s="404"/>
      <c r="Q192" s="404"/>
      <c r="R192" s="404"/>
      <c r="S192" s="404"/>
      <c r="T192" s="404"/>
      <c r="U192" s="404"/>
      <c r="V192" s="404"/>
      <c r="W192" s="404"/>
      <c r="X192" s="404"/>
      <c r="Y192" s="404"/>
      <c r="Z192" s="404"/>
    </row>
    <row r="193">
      <c r="A193" s="404"/>
      <c r="B193" s="404"/>
      <c r="C193" s="404"/>
      <c r="D193" s="404"/>
      <c r="E193" s="404"/>
      <c r="F193" s="404"/>
      <c r="G193" s="404"/>
      <c r="H193" s="404"/>
      <c r="I193" s="404"/>
      <c r="J193" s="404"/>
      <c r="K193" s="404"/>
      <c r="L193" s="404"/>
      <c r="M193" s="404"/>
      <c r="N193" s="404"/>
      <c r="O193" s="404"/>
      <c r="P193" s="404"/>
      <c r="Q193" s="404"/>
      <c r="R193" s="404"/>
      <c r="S193" s="404"/>
      <c r="T193" s="404"/>
      <c r="U193" s="404"/>
      <c r="V193" s="404"/>
      <c r="W193" s="404"/>
      <c r="X193" s="404"/>
      <c r="Y193" s="404"/>
      <c r="Z193" s="404"/>
    </row>
    <row r="194">
      <c r="A194" s="404"/>
      <c r="B194" s="404"/>
      <c r="C194" s="404"/>
      <c r="D194" s="404"/>
      <c r="E194" s="404"/>
      <c r="F194" s="404"/>
      <c r="G194" s="404"/>
      <c r="H194" s="404"/>
      <c r="I194" s="404"/>
      <c r="J194" s="404"/>
      <c r="K194" s="404"/>
      <c r="L194" s="404"/>
      <c r="M194" s="404"/>
      <c r="N194" s="404"/>
      <c r="O194" s="404"/>
      <c r="P194" s="404"/>
      <c r="Q194" s="404"/>
      <c r="R194" s="404"/>
      <c r="S194" s="404"/>
      <c r="T194" s="404"/>
      <c r="U194" s="404"/>
      <c r="V194" s="404"/>
      <c r="W194" s="404"/>
      <c r="X194" s="404"/>
      <c r="Y194" s="404"/>
      <c r="Z194" s="404"/>
    </row>
    <row r="195">
      <c r="A195" s="404"/>
      <c r="B195" s="404"/>
      <c r="C195" s="404"/>
      <c r="D195" s="404"/>
      <c r="E195" s="404"/>
      <c r="F195" s="404"/>
      <c r="G195" s="404"/>
      <c r="H195" s="404"/>
      <c r="I195" s="404"/>
      <c r="J195" s="404"/>
      <c r="K195" s="404"/>
      <c r="L195" s="404"/>
      <c r="M195" s="404"/>
      <c r="N195" s="404"/>
      <c r="O195" s="404"/>
      <c r="P195" s="404"/>
      <c r="Q195" s="404"/>
      <c r="R195" s="404"/>
      <c r="S195" s="404"/>
      <c r="T195" s="404"/>
      <c r="U195" s="404"/>
      <c r="V195" s="404"/>
      <c r="W195" s="404"/>
      <c r="X195" s="404"/>
      <c r="Y195" s="404"/>
      <c r="Z195" s="404"/>
    </row>
    <row r="196">
      <c r="A196" s="404"/>
      <c r="B196" s="404"/>
      <c r="C196" s="404"/>
      <c r="D196" s="404"/>
      <c r="E196" s="404"/>
      <c r="F196" s="404"/>
      <c r="G196" s="404"/>
      <c r="H196" s="404"/>
      <c r="I196" s="404"/>
      <c r="J196" s="404"/>
      <c r="K196" s="404"/>
      <c r="L196" s="404"/>
      <c r="M196" s="404"/>
      <c r="N196" s="404"/>
      <c r="O196" s="404"/>
      <c r="P196" s="404"/>
      <c r="Q196" s="404"/>
      <c r="R196" s="404"/>
      <c r="S196" s="404"/>
      <c r="T196" s="404"/>
      <c r="U196" s="404"/>
      <c r="V196" s="404"/>
      <c r="W196" s="404"/>
      <c r="X196" s="404"/>
      <c r="Y196" s="404"/>
      <c r="Z196" s="404"/>
    </row>
    <row r="197">
      <c r="A197" s="404"/>
      <c r="B197" s="404"/>
      <c r="C197" s="404"/>
      <c r="D197" s="404"/>
      <c r="E197" s="404"/>
      <c r="F197" s="404"/>
      <c r="G197" s="404"/>
      <c r="H197" s="404"/>
      <c r="I197" s="404"/>
      <c r="J197" s="404"/>
      <c r="K197" s="404"/>
      <c r="L197" s="404"/>
      <c r="M197" s="404"/>
      <c r="N197" s="404"/>
      <c r="O197" s="404"/>
      <c r="P197" s="404"/>
      <c r="Q197" s="404"/>
      <c r="R197" s="404"/>
      <c r="S197" s="404"/>
      <c r="T197" s="404"/>
      <c r="U197" s="404"/>
      <c r="V197" s="404"/>
      <c r="W197" s="404"/>
      <c r="X197" s="404"/>
      <c r="Y197" s="404"/>
      <c r="Z197" s="404"/>
    </row>
    <row r="198">
      <c r="A198" s="404"/>
      <c r="B198" s="404"/>
      <c r="C198" s="404"/>
      <c r="D198" s="404"/>
      <c r="E198" s="404"/>
      <c r="F198" s="404"/>
      <c r="G198" s="404"/>
      <c r="H198" s="404"/>
      <c r="I198" s="404"/>
      <c r="J198" s="404"/>
      <c r="K198" s="404"/>
      <c r="L198" s="404"/>
      <c r="M198" s="404"/>
      <c r="N198" s="404"/>
      <c r="O198" s="404"/>
      <c r="P198" s="404"/>
      <c r="Q198" s="404"/>
      <c r="R198" s="404"/>
      <c r="S198" s="404"/>
      <c r="T198" s="404"/>
      <c r="U198" s="404"/>
      <c r="V198" s="404"/>
      <c r="W198" s="404"/>
      <c r="X198" s="404"/>
      <c r="Y198" s="404"/>
      <c r="Z198" s="404"/>
    </row>
    <row r="199">
      <c r="A199" s="404"/>
      <c r="B199" s="404"/>
      <c r="C199" s="404"/>
      <c r="D199" s="404"/>
      <c r="E199" s="404"/>
      <c r="F199" s="404"/>
      <c r="G199" s="404"/>
      <c r="H199" s="404"/>
      <c r="I199" s="404"/>
      <c r="J199" s="404"/>
      <c r="K199" s="404"/>
      <c r="L199" s="404"/>
      <c r="M199" s="404"/>
      <c r="N199" s="404"/>
      <c r="O199" s="404"/>
      <c r="P199" s="404"/>
      <c r="Q199" s="404"/>
      <c r="R199" s="404"/>
      <c r="S199" s="404"/>
      <c r="T199" s="404"/>
      <c r="U199" s="404"/>
      <c r="V199" s="404"/>
      <c r="W199" s="404"/>
      <c r="X199" s="404"/>
      <c r="Y199" s="404"/>
      <c r="Z199" s="404"/>
    </row>
    <row r="200">
      <c r="A200" s="404"/>
      <c r="B200" s="404"/>
      <c r="C200" s="404"/>
      <c r="D200" s="404"/>
      <c r="E200" s="404"/>
      <c r="F200" s="404"/>
      <c r="G200" s="404"/>
      <c r="H200" s="404"/>
      <c r="I200" s="404"/>
      <c r="J200" s="404"/>
      <c r="K200" s="404"/>
      <c r="L200" s="404"/>
      <c r="M200" s="404"/>
      <c r="N200" s="404"/>
      <c r="O200" s="404"/>
      <c r="P200" s="404"/>
      <c r="Q200" s="404"/>
      <c r="R200" s="404"/>
      <c r="S200" s="404"/>
      <c r="T200" s="404"/>
      <c r="U200" s="404"/>
      <c r="V200" s="404"/>
      <c r="W200" s="404"/>
      <c r="X200" s="404"/>
      <c r="Y200" s="404"/>
      <c r="Z200" s="404"/>
    </row>
    <row r="201">
      <c r="A201" s="404"/>
      <c r="B201" s="404"/>
      <c r="C201" s="404"/>
      <c r="D201" s="404"/>
      <c r="E201" s="404"/>
      <c r="F201" s="404"/>
      <c r="G201" s="404"/>
      <c r="H201" s="404"/>
      <c r="I201" s="404"/>
      <c r="J201" s="404"/>
      <c r="K201" s="404"/>
      <c r="L201" s="404"/>
      <c r="M201" s="404"/>
      <c r="N201" s="404"/>
      <c r="O201" s="404"/>
      <c r="P201" s="404"/>
      <c r="Q201" s="404"/>
      <c r="R201" s="404"/>
      <c r="S201" s="404"/>
      <c r="T201" s="404"/>
      <c r="U201" s="404"/>
      <c r="V201" s="404"/>
      <c r="W201" s="404"/>
      <c r="X201" s="404"/>
      <c r="Y201" s="404"/>
      <c r="Z201" s="404"/>
    </row>
    <row r="202">
      <c r="A202" s="404"/>
      <c r="B202" s="404"/>
      <c r="C202" s="404"/>
      <c r="D202" s="404"/>
      <c r="E202" s="404"/>
      <c r="F202" s="404"/>
      <c r="G202" s="404"/>
      <c r="H202" s="404"/>
      <c r="I202" s="404"/>
      <c r="J202" s="404"/>
      <c r="K202" s="404"/>
      <c r="L202" s="404"/>
      <c r="M202" s="404"/>
      <c r="N202" s="404"/>
      <c r="O202" s="404"/>
      <c r="P202" s="404"/>
      <c r="Q202" s="404"/>
      <c r="R202" s="404"/>
      <c r="S202" s="404"/>
      <c r="T202" s="404"/>
      <c r="U202" s="404"/>
      <c r="V202" s="404"/>
      <c r="W202" s="404"/>
      <c r="X202" s="404"/>
      <c r="Y202" s="404"/>
      <c r="Z202" s="404"/>
    </row>
    <row r="203">
      <c r="A203" s="404"/>
      <c r="B203" s="404"/>
      <c r="C203" s="404"/>
      <c r="D203" s="404"/>
      <c r="E203" s="404"/>
      <c r="F203" s="404"/>
      <c r="G203" s="404"/>
      <c r="H203" s="404"/>
      <c r="I203" s="404"/>
      <c r="J203" s="404"/>
      <c r="K203" s="404"/>
      <c r="L203" s="404"/>
      <c r="M203" s="404"/>
      <c r="N203" s="404"/>
      <c r="O203" s="404"/>
      <c r="P203" s="404"/>
      <c r="Q203" s="404"/>
      <c r="R203" s="404"/>
      <c r="S203" s="404"/>
      <c r="T203" s="404"/>
      <c r="U203" s="404"/>
      <c r="V203" s="404"/>
      <c r="W203" s="404"/>
      <c r="X203" s="404"/>
      <c r="Y203" s="404"/>
      <c r="Z203" s="404"/>
    </row>
    <row r="204">
      <c r="A204" s="404"/>
      <c r="B204" s="404"/>
      <c r="C204" s="404"/>
      <c r="D204" s="404"/>
      <c r="E204" s="404"/>
      <c r="F204" s="404"/>
      <c r="G204" s="404"/>
      <c r="H204" s="404"/>
      <c r="I204" s="404"/>
      <c r="J204" s="404"/>
      <c r="K204" s="404"/>
      <c r="L204" s="404"/>
      <c r="M204" s="404"/>
      <c r="N204" s="404"/>
      <c r="O204" s="404"/>
      <c r="P204" s="404"/>
      <c r="Q204" s="404"/>
      <c r="R204" s="404"/>
      <c r="S204" s="404"/>
      <c r="T204" s="404"/>
      <c r="U204" s="404"/>
      <c r="V204" s="404"/>
      <c r="W204" s="404"/>
      <c r="X204" s="404"/>
      <c r="Y204" s="404"/>
      <c r="Z204" s="404"/>
    </row>
    <row r="205">
      <c r="A205" s="404"/>
      <c r="B205" s="404"/>
      <c r="C205" s="404"/>
      <c r="D205" s="404"/>
      <c r="E205" s="404"/>
      <c r="F205" s="404"/>
      <c r="G205" s="404"/>
      <c r="H205" s="404"/>
      <c r="I205" s="404"/>
      <c r="J205" s="404"/>
      <c r="K205" s="404"/>
      <c r="L205" s="404"/>
      <c r="M205" s="404"/>
      <c r="N205" s="404"/>
      <c r="O205" s="404"/>
      <c r="P205" s="404"/>
      <c r="Q205" s="404"/>
      <c r="R205" s="404"/>
      <c r="S205" s="404"/>
      <c r="T205" s="404"/>
      <c r="U205" s="404"/>
      <c r="V205" s="404"/>
      <c r="W205" s="404"/>
      <c r="X205" s="404"/>
      <c r="Y205" s="404"/>
      <c r="Z205" s="404"/>
    </row>
    <row r="206">
      <c r="A206" s="404"/>
      <c r="B206" s="404"/>
      <c r="C206" s="404"/>
      <c r="D206" s="404"/>
      <c r="E206" s="404"/>
      <c r="F206" s="404"/>
      <c r="G206" s="404"/>
      <c r="H206" s="404"/>
      <c r="I206" s="404"/>
      <c r="J206" s="404"/>
      <c r="K206" s="404"/>
      <c r="L206" s="404"/>
      <c r="M206" s="404"/>
      <c r="N206" s="404"/>
      <c r="O206" s="404"/>
      <c r="P206" s="404"/>
      <c r="Q206" s="404"/>
      <c r="R206" s="404"/>
      <c r="S206" s="404"/>
      <c r="T206" s="404"/>
      <c r="U206" s="404"/>
      <c r="V206" s="404"/>
      <c r="W206" s="404"/>
      <c r="X206" s="404"/>
      <c r="Y206" s="404"/>
      <c r="Z206" s="404"/>
    </row>
    <row r="207">
      <c r="A207" s="404"/>
      <c r="B207" s="404"/>
      <c r="C207" s="404"/>
      <c r="D207" s="404"/>
      <c r="E207" s="404"/>
      <c r="F207" s="404"/>
      <c r="G207" s="404"/>
      <c r="H207" s="404"/>
      <c r="I207" s="404"/>
      <c r="J207" s="404"/>
      <c r="K207" s="404"/>
      <c r="L207" s="404"/>
      <c r="M207" s="404"/>
      <c r="N207" s="404"/>
      <c r="O207" s="404"/>
      <c r="P207" s="404"/>
      <c r="Q207" s="404"/>
      <c r="R207" s="404"/>
      <c r="S207" s="404"/>
      <c r="T207" s="404"/>
      <c r="U207" s="404"/>
      <c r="V207" s="404"/>
      <c r="W207" s="404"/>
      <c r="X207" s="404"/>
      <c r="Y207" s="404"/>
      <c r="Z207" s="404"/>
    </row>
    <row r="208">
      <c r="A208" s="404"/>
      <c r="B208" s="404"/>
      <c r="C208" s="404"/>
      <c r="D208" s="404"/>
      <c r="E208" s="404"/>
      <c r="F208" s="404"/>
      <c r="G208" s="404"/>
      <c r="H208" s="404"/>
      <c r="I208" s="404"/>
      <c r="J208" s="404"/>
      <c r="K208" s="404"/>
      <c r="L208" s="404"/>
      <c r="M208" s="404"/>
      <c r="N208" s="404"/>
      <c r="O208" s="404"/>
      <c r="P208" s="404"/>
      <c r="Q208" s="404"/>
      <c r="R208" s="404"/>
      <c r="S208" s="404"/>
      <c r="T208" s="404"/>
      <c r="U208" s="404"/>
      <c r="V208" s="404"/>
      <c r="W208" s="404"/>
      <c r="X208" s="404"/>
      <c r="Y208" s="404"/>
      <c r="Z208" s="404"/>
    </row>
    <row r="209">
      <c r="A209" s="404"/>
      <c r="B209" s="404"/>
      <c r="C209" s="404"/>
      <c r="D209" s="404"/>
      <c r="E209" s="404"/>
      <c r="F209" s="404"/>
      <c r="G209" s="404"/>
      <c r="H209" s="404"/>
      <c r="I209" s="404"/>
      <c r="J209" s="404"/>
      <c r="K209" s="404"/>
      <c r="L209" s="404"/>
      <c r="M209" s="404"/>
      <c r="N209" s="404"/>
      <c r="O209" s="404"/>
      <c r="P209" s="404"/>
      <c r="Q209" s="404"/>
      <c r="R209" s="404"/>
      <c r="S209" s="404"/>
      <c r="T209" s="404"/>
      <c r="U209" s="404"/>
      <c r="V209" s="404"/>
      <c r="W209" s="404"/>
      <c r="X209" s="404"/>
      <c r="Y209" s="404"/>
      <c r="Z209" s="404"/>
    </row>
    <row r="210">
      <c r="A210" s="404"/>
      <c r="B210" s="404"/>
      <c r="C210" s="404"/>
      <c r="D210" s="404"/>
      <c r="E210" s="404"/>
      <c r="F210" s="404"/>
      <c r="G210" s="404"/>
      <c r="H210" s="404"/>
      <c r="I210" s="404"/>
      <c r="J210" s="404"/>
      <c r="K210" s="404"/>
      <c r="L210" s="404"/>
      <c r="M210" s="404"/>
      <c r="N210" s="404"/>
      <c r="O210" s="404"/>
      <c r="P210" s="404"/>
      <c r="Q210" s="404"/>
      <c r="R210" s="404"/>
      <c r="S210" s="404"/>
      <c r="T210" s="404"/>
      <c r="U210" s="404"/>
      <c r="V210" s="404"/>
      <c r="W210" s="404"/>
      <c r="X210" s="404"/>
      <c r="Y210" s="404"/>
      <c r="Z210" s="404"/>
    </row>
    <row r="211">
      <c r="A211" s="404"/>
      <c r="B211" s="404"/>
      <c r="C211" s="404"/>
      <c r="D211" s="404"/>
      <c r="E211" s="404"/>
      <c r="F211" s="404"/>
      <c r="G211" s="404"/>
      <c r="H211" s="404"/>
      <c r="I211" s="404"/>
      <c r="J211" s="404"/>
      <c r="K211" s="404"/>
      <c r="L211" s="404"/>
      <c r="M211" s="404"/>
      <c r="N211" s="404"/>
      <c r="O211" s="404"/>
      <c r="P211" s="404"/>
      <c r="Q211" s="404"/>
      <c r="R211" s="404"/>
      <c r="S211" s="404"/>
      <c r="T211" s="404"/>
      <c r="U211" s="404"/>
      <c r="V211" s="404"/>
      <c r="W211" s="404"/>
      <c r="X211" s="404"/>
      <c r="Y211" s="404"/>
      <c r="Z211" s="404"/>
    </row>
    <row r="212">
      <c r="A212" s="404"/>
      <c r="B212" s="404"/>
      <c r="C212" s="404"/>
      <c r="D212" s="404"/>
      <c r="E212" s="404"/>
      <c r="F212" s="404"/>
      <c r="G212" s="404"/>
      <c r="H212" s="404"/>
      <c r="I212" s="404"/>
      <c r="J212" s="404"/>
      <c r="K212" s="404"/>
      <c r="L212" s="404"/>
      <c r="M212" s="404"/>
      <c r="N212" s="404"/>
      <c r="O212" s="404"/>
      <c r="P212" s="404"/>
      <c r="Q212" s="404"/>
      <c r="R212" s="404"/>
      <c r="S212" s="404"/>
      <c r="T212" s="404"/>
      <c r="U212" s="404"/>
      <c r="V212" s="404"/>
      <c r="W212" s="404"/>
      <c r="X212" s="404"/>
      <c r="Y212" s="404"/>
      <c r="Z212" s="404"/>
    </row>
    <row r="213">
      <c r="A213" s="404"/>
      <c r="B213" s="404"/>
      <c r="C213" s="404"/>
      <c r="D213" s="404"/>
      <c r="E213" s="404"/>
      <c r="F213" s="404"/>
      <c r="G213" s="404"/>
      <c r="H213" s="404"/>
      <c r="I213" s="404"/>
      <c r="J213" s="404"/>
      <c r="K213" s="404"/>
      <c r="L213" s="404"/>
      <c r="M213" s="404"/>
      <c r="N213" s="404"/>
      <c r="O213" s="404"/>
      <c r="P213" s="404"/>
      <c r="Q213" s="404"/>
      <c r="R213" s="404"/>
      <c r="S213" s="404"/>
      <c r="T213" s="404"/>
      <c r="U213" s="404"/>
      <c r="V213" s="404"/>
      <c r="W213" s="404"/>
      <c r="X213" s="404"/>
      <c r="Y213" s="404"/>
      <c r="Z213" s="404"/>
    </row>
    <row r="214">
      <c r="A214" s="404"/>
      <c r="B214" s="404"/>
      <c r="C214" s="404"/>
      <c r="D214" s="404"/>
      <c r="E214" s="404"/>
      <c r="F214" s="404"/>
      <c r="G214" s="404"/>
      <c r="H214" s="404"/>
      <c r="I214" s="404"/>
      <c r="J214" s="404"/>
      <c r="K214" s="404"/>
      <c r="L214" s="404"/>
      <c r="M214" s="404"/>
      <c r="N214" s="404"/>
      <c r="O214" s="404"/>
      <c r="P214" s="404"/>
      <c r="Q214" s="404"/>
      <c r="R214" s="404"/>
      <c r="S214" s="404"/>
      <c r="T214" s="404"/>
      <c r="U214" s="404"/>
      <c r="V214" s="404"/>
      <c r="W214" s="404"/>
      <c r="X214" s="404"/>
      <c r="Y214" s="404"/>
      <c r="Z214" s="404"/>
    </row>
    <row r="215">
      <c r="A215" s="404"/>
      <c r="B215" s="404"/>
      <c r="C215" s="404"/>
      <c r="D215" s="404"/>
      <c r="E215" s="404"/>
      <c r="F215" s="404"/>
      <c r="G215" s="404"/>
      <c r="H215" s="404"/>
      <c r="I215" s="404"/>
      <c r="J215" s="404"/>
      <c r="K215" s="404"/>
      <c r="L215" s="404"/>
      <c r="M215" s="404"/>
      <c r="N215" s="404"/>
      <c r="O215" s="404"/>
      <c r="P215" s="404"/>
      <c r="Q215" s="404"/>
      <c r="R215" s="404"/>
      <c r="S215" s="404"/>
      <c r="T215" s="404"/>
      <c r="U215" s="404"/>
      <c r="V215" s="404"/>
      <c r="W215" s="404"/>
      <c r="X215" s="404"/>
      <c r="Y215" s="404"/>
      <c r="Z215" s="404"/>
    </row>
    <row r="216">
      <c r="A216" s="404"/>
      <c r="B216" s="404"/>
      <c r="C216" s="404"/>
      <c r="D216" s="404"/>
      <c r="E216" s="404"/>
      <c r="F216" s="404"/>
      <c r="G216" s="404"/>
      <c r="H216" s="404"/>
      <c r="I216" s="404"/>
      <c r="J216" s="404"/>
      <c r="K216" s="404"/>
      <c r="L216" s="404"/>
      <c r="M216" s="404"/>
      <c r="N216" s="404"/>
      <c r="O216" s="404"/>
      <c r="P216" s="404"/>
      <c r="Q216" s="404"/>
      <c r="R216" s="404"/>
      <c r="S216" s="404"/>
      <c r="T216" s="404"/>
      <c r="U216" s="404"/>
      <c r="V216" s="404"/>
      <c r="W216" s="404"/>
      <c r="X216" s="404"/>
      <c r="Y216" s="404"/>
      <c r="Z216" s="404"/>
    </row>
    <row r="217">
      <c r="A217" s="404"/>
      <c r="B217" s="404"/>
      <c r="C217" s="404"/>
      <c r="D217" s="404"/>
      <c r="E217" s="404"/>
      <c r="F217" s="404"/>
      <c r="G217" s="404"/>
      <c r="H217" s="404"/>
      <c r="I217" s="404"/>
      <c r="J217" s="404"/>
      <c r="K217" s="404"/>
      <c r="L217" s="404"/>
      <c r="M217" s="404"/>
      <c r="N217" s="404"/>
      <c r="O217" s="404"/>
      <c r="P217" s="404"/>
      <c r="Q217" s="404"/>
      <c r="R217" s="404"/>
      <c r="S217" s="404"/>
      <c r="T217" s="404"/>
      <c r="U217" s="404"/>
      <c r="V217" s="404"/>
      <c r="W217" s="404"/>
      <c r="X217" s="404"/>
      <c r="Y217" s="404"/>
      <c r="Z217" s="404"/>
    </row>
    <row r="218">
      <c r="A218" s="404"/>
      <c r="B218" s="404"/>
      <c r="C218" s="404"/>
      <c r="D218" s="404"/>
      <c r="E218" s="404"/>
      <c r="F218" s="404"/>
      <c r="G218" s="404"/>
      <c r="H218" s="404"/>
      <c r="I218" s="404"/>
      <c r="J218" s="404"/>
      <c r="K218" s="404"/>
      <c r="L218" s="404"/>
      <c r="M218" s="404"/>
      <c r="N218" s="404"/>
      <c r="O218" s="404"/>
      <c r="P218" s="404"/>
      <c r="Q218" s="404"/>
      <c r="R218" s="404"/>
      <c r="S218" s="404"/>
      <c r="T218" s="404"/>
      <c r="U218" s="404"/>
      <c r="V218" s="404"/>
      <c r="W218" s="404"/>
      <c r="X218" s="404"/>
      <c r="Y218" s="404"/>
      <c r="Z218" s="404"/>
    </row>
    <row r="219">
      <c r="A219" s="404"/>
      <c r="B219" s="404"/>
      <c r="C219" s="404"/>
      <c r="D219" s="404"/>
      <c r="E219" s="404"/>
      <c r="F219" s="404"/>
      <c r="G219" s="404"/>
      <c r="H219" s="404"/>
      <c r="I219" s="404"/>
      <c r="J219" s="404"/>
      <c r="K219" s="404"/>
      <c r="L219" s="404"/>
      <c r="M219" s="404"/>
      <c r="N219" s="404"/>
      <c r="O219" s="404"/>
      <c r="P219" s="404"/>
      <c r="Q219" s="404"/>
      <c r="R219" s="404"/>
      <c r="S219" s="404"/>
      <c r="T219" s="404"/>
      <c r="U219" s="404"/>
      <c r="V219" s="404"/>
      <c r="W219" s="404"/>
      <c r="X219" s="404"/>
      <c r="Y219" s="404"/>
      <c r="Z219" s="404"/>
    </row>
    <row r="220">
      <c r="A220" s="404"/>
      <c r="B220" s="404"/>
      <c r="C220" s="404"/>
      <c r="D220" s="404"/>
      <c r="E220" s="404"/>
      <c r="F220" s="404"/>
      <c r="G220" s="404"/>
      <c r="H220" s="404"/>
      <c r="I220" s="404"/>
      <c r="J220" s="404"/>
      <c r="K220" s="404"/>
      <c r="L220" s="404"/>
      <c r="M220" s="404"/>
      <c r="N220" s="404"/>
      <c r="O220" s="404"/>
      <c r="P220" s="404"/>
      <c r="Q220" s="404"/>
      <c r="R220" s="404"/>
      <c r="S220" s="404"/>
      <c r="T220" s="404"/>
      <c r="U220" s="404"/>
      <c r="V220" s="404"/>
      <c r="W220" s="404"/>
      <c r="X220" s="404"/>
      <c r="Y220" s="404"/>
      <c r="Z220" s="404"/>
    </row>
    <row r="221">
      <c r="A221" s="404"/>
      <c r="B221" s="404"/>
      <c r="C221" s="404"/>
      <c r="D221" s="404"/>
      <c r="E221" s="404"/>
      <c r="F221" s="404"/>
      <c r="G221" s="404"/>
      <c r="H221" s="404"/>
      <c r="I221" s="404"/>
      <c r="J221" s="404"/>
      <c r="K221" s="404"/>
      <c r="L221" s="404"/>
      <c r="M221" s="404"/>
      <c r="N221" s="404"/>
      <c r="O221" s="404"/>
      <c r="P221" s="404"/>
      <c r="Q221" s="404"/>
      <c r="R221" s="404"/>
      <c r="S221" s="404"/>
      <c r="T221" s="404"/>
      <c r="U221" s="404"/>
      <c r="V221" s="404"/>
      <c r="W221" s="404"/>
      <c r="X221" s="404"/>
      <c r="Y221" s="404"/>
      <c r="Z221" s="404"/>
    </row>
    <row r="222">
      <c r="A222" s="404"/>
      <c r="B222" s="404"/>
      <c r="C222" s="404"/>
      <c r="D222" s="404"/>
      <c r="E222" s="404"/>
      <c r="F222" s="404"/>
      <c r="G222" s="404"/>
      <c r="H222" s="404"/>
      <c r="I222" s="404"/>
      <c r="J222" s="404"/>
      <c r="K222" s="404"/>
      <c r="L222" s="404"/>
      <c r="M222" s="404"/>
      <c r="N222" s="404"/>
      <c r="O222" s="404"/>
      <c r="P222" s="404"/>
      <c r="Q222" s="404"/>
      <c r="R222" s="404"/>
      <c r="S222" s="404"/>
      <c r="T222" s="404"/>
      <c r="U222" s="404"/>
      <c r="V222" s="404"/>
      <c r="W222" s="404"/>
      <c r="X222" s="404"/>
      <c r="Y222" s="404"/>
      <c r="Z222" s="404"/>
    </row>
    <row r="223">
      <c r="A223" s="404"/>
      <c r="B223" s="404"/>
      <c r="C223" s="404"/>
      <c r="D223" s="404"/>
      <c r="E223" s="404"/>
      <c r="F223" s="404"/>
      <c r="G223" s="404"/>
      <c r="H223" s="404"/>
      <c r="I223" s="404"/>
      <c r="J223" s="404"/>
      <c r="K223" s="404"/>
      <c r="L223" s="404"/>
      <c r="M223" s="404"/>
      <c r="N223" s="404"/>
      <c r="O223" s="404"/>
      <c r="P223" s="404"/>
      <c r="Q223" s="404"/>
      <c r="R223" s="404"/>
      <c r="S223" s="404"/>
      <c r="T223" s="404"/>
      <c r="U223" s="404"/>
      <c r="V223" s="404"/>
      <c r="W223" s="404"/>
      <c r="X223" s="404"/>
      <c r="Y223" s="404"/>
      <c r="Z223" s="404"/>
    </row>
    <row r="224">
      <c r="A224" s="404"/>
      <c r="B224" s="404"/>
      <c r="C224" s="404"/>
      <c r="D224" s="404"/>
      <c r="E224" s="404"/>
      <c r="F224" s="404"/>
      <c r="G224" s="404"/>
      <c r="H224" s="404"/>
      <c r="I224" s="404"/>
      <c r="J224" s="404"/>
      <c r="K224" s="404"/>
      <c r="L224" s="404"/>
      <c r="M224" s="404"/>
      <c r="N224" s="404"/>
      <c r="O224" s="404"/>
      <c r="P224" s="404"/>
      <c r="Q224" s="404"/>
      <c r="R224" s="404"/>
      <c r="S224" s="404"/>
      <c r="T224" s="404"/>
      <c r="U224" s="404"/>
      <c r="V224" s="404"/>
      <c r="W224" s="404"/>
      <c r="X224" s="404"/>
      <c r="Y224" s="404"/>
      <c r="Z224" s="404"/>
    </row>
    <row r="225">
      <c r="A225" s="404"/>
      <c r="B225" s="404"/>
      <c r="C225" s="404"/>
      <c r="D225" s="404"/>
      <c r="E225" s="404"/>
      <c r="F225" s="404"/>
      <c r="G225" s="404"/>
      <c r="H225" s="404"/>
      <c r="I225" s="404"/>
      <c r="J225" s="404"/>
      <c r="K225" s="404"/>
      <c r="L225" s="404"/>
      <c r="M225" s="404"/>
      <c r="N225" s="404"/>
      <c r="O225" s="404"/>
      <c r="P225" s="404"/>
      <c r="Q225" s="404"/>
      <c r="R225" s="404"/>
      <c r="S225" s="404"/>
      <c r="T225" s="404"/>
      <c r="U225" s="404"/>
      <c r="V225" s="404"/>
      <c r="W225" s="404"/>
      <c r="X225" s="404"/>
      <c r="Y225" s="404"/>
      <c r="Z225" s="404"/>
    </row>
    <row r="226">
      <c r="A226" s="404"/>
      <c r="B226" s="404"/>
      <c r="C226" s="404"/>
      <c r="D226" s="404"/>
      <c r="E226" s="404"/>
      <c r="F226" s="404"/>
      <c r="G226" s="404"/>
      <c r="H226" s="404"/>
      <c r="I226" s="404"/>
      <c r="J226" s="404"/>
      <c r="K226" s="404"/>
      <c r="L226" s="404"/>
      <c r="M226" s="404"/>
      <c r="N226" s="404"/>
      <c r="O226" s="404"/>
      <c r="P226" s="404"/>
      <c r="Q226" s="404"/>
      <c r="R226" s="404"/>
      <c r="S226" s="404"/>
      <c r="T226" s="404"/>
      <c r="U226" s="404"/>
      <c r="V226" s="404"/>
      <c r="W226" s="404"/>
      <c r="X226" s="404"/>
      <c r="Y226" s="404"/>
      <c r="Z226" s="404"/>
    </row>
    <row r="227">
      <c r="A227" s="404"/>
      <c r="B227" s="404"/>
      <c r="C227" s="404"/>
      <c r="D227" s="404"/>
      <c r="E227" s="404"/>
      <c r="F227" s="404"/>
      <c r="G227" s="404"/>
      <c r="H227" s="404"/>
      <c r="I227" s="404"/>
      <c r="J227" s="404"/>
      <c r="K227" s="404"/>
      <c r="L227" s="404"/>
      <c r="M227" s="404"/>
      <c r="N227" s="404"/>
      <c r="O227" s="404"/>
      <c r="P227" s="404"/>
      <c r="Q227" s="404"/>
      <c r="R227" s="404"/>
      <c r="S227" s="404"/>
      <c r="T227" s="404"/>
      <c r="U227" s="404"/>
      <c r="V227" s="404"/>
      <c r="W227" s="404"/>
      <c r="X227" s="404"/>
      <c r="Y227" s="404"/>
      <c r="Z227" s="404"/>
    </row>
    <row r="228">
      <c r="A228" s="404"/>
      <c r="B228" s="404"/>
      <c r="C228" s="404"/>
      <c r="D228" s="404"/>
      <c r="E228" s="404"/>
      <c r="F228" s="404"/>
      <c r="G228" s="404"/>
      <c r="H228" s="404"/>
      <c r="I228" s="404"/>
      <c r="J228" s="404"/>
      <c r="K228" s="404"/>
      <c r="L228" s="404"/>
      <c r="M228" s="404"/>
      <c r="N228" s="404"/>
      <c r="O228" s="404"/>
      <c r="P228" s="404"/>
      <c r="Q228" s="404"/>
      <c r="R228" s="404"/>
      <c r="S228" s="404"/>
      <c r="T228" s="404"/>
      <c r="U228" s="404"/>
      <c r="V228" s="404"/>
      <c r="W228" s="404"/>
      <c r="X228" s="404"/>
      <c r="Y228" s="404"/>
      <c r="Z228" s="404"/>
    </row>
    <row r="229">
      <c r="A229" s="404"/>
      <c r="B229" s="404"/>
      <c r="C229" s="404"/>
      <c r="D229" s="404"/>
      <c r="E229" s="404"/>
      <c r="F229" s="404"/>
      <c r="G229" s="404"/>
      <c r="H229" s="404"/>
      <c r="I229" s="404"/>
      <c r="J229" s="404"/>
      <c r="K229" s="404"/>
      <c r="L229" s="404"/>
      <c r="M229" s="404"/>
      <c r="N229" s="404"/>
      <c r="O229" s="404"/>
      <c r="P229" s="404"/>
      <c r="Q229" s="404"/>
      <c r="R229" s="404"/>
      <c r="S229" s="404"/>
      <c r="T229" s="404"/>
      <c r="U229" s="404"/>
      <c r="V229" s="404"/>
      <c r="W229" s="404"/>
      <c r="X229" s="404"/>
      <c r="Y229" s="404"/>
      <c r="Z229" s="404"/>
    </row>
    <row r="230">
      <c r="A230" s="404"/>
      <c r="B230" s="404"/>
      <c r="C230" s="404"/>
      <c r="D230" s="404"/>
      <c r="E230" s="404"/>
      <c r="F230" s="404"/>
      <c r="G230" s="404"/>
      <c r="H230" s="404"/>
      <c r="I230" s="404"/>
      <c r="J230" s="404"/>
      <c r="K230" s="404"/>
      <c r="L230" s="404"/>
      <c r="M230" s="404"/>
      <c r="N230" s="404"/>
      <c r="O230" s="404"/>
      <c r="P230" s="404"/>
      <c r="Q230" s="404"/>
      <c r="R230" s="404"/>
      <c r="S230" s="404"/>
      <c r="T230" s="404"/>
      <c r="U230" s="404"/>
      <c r="V230" s="404"/>
      <c r="W230" s="404"/>
      <c r="X230" s="404"/>
      <c r="Y230" s="404"/>
      <c r="Z230" s="404"/>
    </row>
    <row r="231">
      <c r="A231" s="404"/>
      <c r="B231" s="404"/>
      <c r="C231" s="404"/>
      <c r="D231" s="404"/>
      <c r="E231" s="404"/>
      <c r="F231" s="404"/>
      <c r="G231" s="404"/>
      <c r="H231" s="404"/>
      <c r="I231" s="404"/>
      <c r="J231" s="404"/>
      <c r="K231" s="404"/>
      <c r="L231" s="404"/>
      <c r="M231" s="404"/>
      <c r="N231" s="404"/>
      <c r="O231" s="404"/>
      <c r="P231" s="404"/>
      <c r="Q231" s="404"/>
      <c r="R231" s="404"/>
      <c r="S231" s="404"/>
      <c r="T231" s="404"/>
      <c r="U231" s="404"/>
      <c r="V231" s="404"/>
      <c r="W231" s="404"/>
      <c r="X231" s="404"/>
      <c r="Y231" s="404"/>
      <c r="Z231" s="404"/>
    </row>
    <row r="232">
      <c r="A232" s="404"/>
      <c r="B232" s="404"/>
      <c r="C232" s="404"/>
      <c r="D232" s="404"/>
      <c r="E232" s="404"/>
      <c r="F232" s="404"/>
      <c r="G232" s="404"/>
      <c r="H232" s="404"/>
      <c r="I232" s="404"/>
      <c r="J232" s="404"/>
      <c r="K232" s="404"/>
      <c r="L232" s="404"/>
      <c r="M232" s="404"/>
      <c r="N232" s="404"/>
      <c r="O232" s="404"/>
      <c r="P232" s="404"/>
      <c r="Q232" s="404"/>
      <c r="R232" s="404"/>
      <c r="S232" s="404"/>
      <c r="T232" s="404"/>
      <c r="U232" s="404"/>
      <c r="V232" s="404"/>
      <c r="W232" s="404"/>
      <c r="X232" s="404"/>
      <c r="Y232" s="404"/>
      <c r="Z232" s="404"/>
    </row>
    <row r="233">
      <c r="A233" s="404"/>
      <c r="B233" s="404"/>
      <c r="C233" s="404"/>
      <c r="D233" s="404"/>
      <c r="E233" s="404"/>
      <c r="F233" s="404"/>
      <c r="G233" s="404"/>
      <c r="H233" s="404"/>
      <c r="I233" s="404"/>
      <c r="J233" s="404"/>
      <c r="K233" s="404"/>
      <c r="L233" s="404"/>
      <c r="M233" s="404"/>
      <c r="N233" s="404"/>
      <c r="O233" s="404"/>
      <c r="P233" s="404"/>
      <c r="Q233" s="404"/>
      <c r="R233" s="404"/>
      <c r="S233" s="404"/>
      <c r="T233" s="404"/>
      <c r="U233" s="404"/>
      <c r="V233" s="404"/>
      <c r="W233" s="404"/>
      <c r="X233" s="404"/>
      <c r="Y233" s="404"/>
      <c r="Z233" s="404"/>
    </row>
    <row r="234">
      <c r="A234" s="404"/>
      <c r="B234" s="404"/>
      <c r="C234" s="404"/>
      <c r="D234" s="404"/>
      <c r="E234" s="404"/>
      <c r="F234" s="404"/>
      <c r="G234" s="404"/>
      <c r="H234" s="404"/>
      <c r="I234" s="404"/>
      <c r="J234" s="404"/>
      <c r="K234" s="404"/>
      <c r="L234" s="404"/>
      <c r="M234" s="404"/>
      <c r="N234" s="404"/>
      <c r="O234" s="404"/>
      <c r="P234" s="404"/>
      <c r="Q234" s="404"/>
      <c r="R234" s="404"/>
      <c r="S234" s="404"/>
      <c r="T234" s="404"/>
      <c r="U234" s="404"/>
      <c r="V234" s="404"/>
      <c r="W234" s="404"/>
      <c r="X234" s="404"/>
      <c r="Y234" s="404"/>
      <c r="Z234" s="404"/>
    </row>
    <row r="235">
      <c r="A235" s="404"/>
      <c r="B235" s="404"/>
      <c r="C235" s="404"/>
      <c r="D235" s="404"/>
      <c r="E235" s="404"/>
      <c r="F235" s="404"/>
      <c r="G235" s="404"/>
      <c r="H235" s="404"/>
      <c r="I235" s="404"/>
      <c r="J235" s="404"/>
      <c r="K235" s="404"/>
      <c r="L235" s="404"/>
      <c r="M235" s="404"/>
      <c r="N235" s="404"/>
      <c r="O235" s="404"/>
      <c r="P235" s="404"/>
      <c r="Q235" s="404"/>
      <c r="R235" s="404"/>
      <c r="S235" s="404"/>
      <c r="T235" s="404"/>
      <c r="U235" s="404"/>
      <c r="V235" s="404"/>
      <c r="W235" s="404"/>
      <c r="X235" s="404"/>
      <c r="Y235" s="404"/>
      <c r="Z235" s="404"/>
    </row>
    <row r="236">
      <c r="A236" s="404"/>
      <c r="B236" s="404"/>
      <c r="C236" s="404"/>
      <c r="D236" s="404"/>
      <c r="E236" s="404"/>
      <c r="F236" s="404"/>
      <c r="G236" s="404"/>
      <c r="H236" s="404"/>
      <c r="I236" s="404"/>
      <c r="J236" s="404"/>
      <c r="K236" s="404"/>
      <c r="L236" s="404"/>
      <c r="M236" s="404"/>
      <c r="N236" s="404"/>
      <c r="O236" s="404"/>
      <c r="P236" s="404"/>
      <c r="Q236" s="404"/>
      <c r="R236" s="404"/>
      <c r="S236" s="404"/>
      <c r="T236" s="404"/>
      <c r="U236" s="404"/>
      <c r="V236" s="404"/>
      <c r="W236" s="404"/>
      <c r="X236" s="404"/>
      <c r="Y236" s="404"/>
      <c r="Z236" s="404"/>
    </row>
    <row r="237">
      <c r="A237" s="404"/>
      <c r="B237" s="404"/>
      <c r="C237" s="404"/>
      <c r="D237" s="404"/>
      <c r="E237" s="404"/>
      <c r="F237" s="404"/>
      <c r="G237" s="404"/>
      <c r="H237" s="404"/>
      <c r="I237" s="404"/>
      <c r="J237" s="404"/>
      <c r="K237" s="404"/>
      <c r="L237" s="404"/>
      <c r="M237" s="404"/>
      <c r="N237" s="404"/>
      <c r="O237" s="404"/>
      <c r="P237" s="404"/>
      <c r="Q237" s="404"/>
      <c r="R237" s="404"/>
      <c r="S237" s="404"/>
      <c r="T237" s="404"/>
      <c r="U237" s="404"/>
      <c r="V237" s="404"/>
      <c r="W237" s="404"/>
      <c r="X237" s="404"/>
      <c r="Y237" s="404"/>
      <c r="Z237" s="404"/>
    </row>
    <row r="238">
      <c r="A238" s="404"/>
      <c r="B238" s="404"/>
      <c r="C238" s="404"/>
      <c r="D238" s="404"/>
      <c r="E238" s="404"/>
      <c r="F238" s="404"/>
      <c r="G238" s="404"/>
      <c r="H238" s="404"/>
      <c r="I238" s="404"/>
      <c r="J238" s="404"/>
      <c r="K238" s="404"/>
      <c r="L238" s="404"/>
      <c r="M238" s="404"/>
      <c r="N238" s="404"/>
      <c r="O238" s="404"/>
      <c r="P238" s="404"/>
      <c r="Q238" s="404"/>
      <c r="R238" s="404"/>
      <c r="S238" s="404"/>
      <c r="T238" s="404"/>
      <c r="U238" s="404"/>
      <c r="V238" s="404"/>
      <c r="W238" s="404"/>
      <c r="X238" s="404"/>
      <c r="Y238" s="404"/>
      <c r="Z238" s="404"/>
    </row>
    <row r="239">
      <c r="A239" s="404"/>
      <c r="B239" s="404"/>
      <c r="C239" s="404"/>
      <c r="D239" s="404"/>
      <c r="E239" s="404"/>
      <c r="F239" s="404"/>
      <c r="G239" s="404"/>
      <c r="H239" s="404"/>
      <c r="I239" s="404"/>
      <c r="J239" s="404"/>
      <c r="K239" s="404"/>
      <c r="L239" s="404"/>
      <c r="M239" s="404"/>
      <c r="N239" s="404"/>
      <c r="O239" s="404"/>
      <c r="P239" s="404"/>
      <c r="Q239" s="404"/>
      <c r="R239" s="404"/>
      <c r="S239" s="404"/>
      <c r="T239" s="404"/>
      <c r="U239" s="404"/>
      <c r="V239" s="404"/>
      <c r="W239" s="404"/>
      <c r="X239" s="404"/>
      <c r="Y239" s="404"/>
      <c r="Z239" s="404"/>
    </row>
    <row r="240">
      <c r="A240" s="404"/>
      <c r="B240" s="404"/>
      <c r="C240" s="404"/>
      <c r="D240" s="404"/>
      <c r="E240" s="404"/>
      <c r="F240" s="404"/>
      <c r="G240" s="404"/>
      <c r="H240" s="404"/>
      <c r="I240" s="404"/>
      <c r="J240" s="404"/>
      <c r="K240" s="404"/>
      <c r="L240" s="404"/>
      <c r="M240" s="404"/>
      <c r="N240" s="404"/>
      <c r="O240" s="404"/>
      <c r="P240" s="404"/>
      <c r="Q240" s="404"/>
      <c r="R240" s="404"/>
      <c r="S240" s="404"/>
      <c r="T240" s="404"/>
      <c r="U240" s="404"/>
      <c r="V240" s="404"/>
      <c r="W240" s="404"/>
      <c r="X240" s="404"/>
      <c r="Y240" s="404"/>
      <c r="Z240" s="404"/>
    </row>
    <row r="241">
      <c r="A241" s="404"/>
      <c r="B241" s="404"/>
      <c r="C241" s="404"/>
      <c r="D241" s="404"/>
      <c r="E241" s="404"/>
      <c r="F241" s="404"/>
      <c r="G241" s="404"/>
      <c r="H241" s="404"/>
      <c r="I241" s="404"/>
      <c r="J241" s="404"/>
      <c r="K241" s="404"/>
      <c r="L241" s="404"/>
      <c r="M241" s="404"/>
      <c r="N241" s="404"/>
      <c r="O241" s="404"/>
      <c r="P241" s="404"/>
      <c r="Q241" s="404"/>
      <c r="R241" s="404"/>
      <c r="S241" s="404"/>
      <c r="T241" s="404"/>
      <c r="U241" s="404"/>
      <c r="V241" s="404"/>
      <c r="W241" s="404"/>
      <c r="X241" s="404"/>
      <c r="Y241" s="404"/>
      <c r="Z241" s="404"/>
    </row>
    <row r="242">
      <c r="A242" s="404"/>
      <c r="B242" s="404"/>
      <c r="C242" s="404"/>
      <c r="D242" s="404"/>
      <c r="E242" s="404"/>
      <c r="F242" s="404"/>
      <c r="G242" s="404"/>
      <c r="H242" s="404"/>
      <c r="I242" s="404"/>
      <c r="J242" s="404"/>
      <c r="K242" s="404"/>
      <c r="L242" s="404"/>
      <c r="M242" s="404"/>
      <c r="N242" s="404"/>
      <c r="O242" s="404"/>
      <c r="P242" s="404"/>
      <c r="Q242" s="404"/>
      <c r="R242" s="404"/>
      <c r="S242" s="404"/>
      <c r="T242" s="404"/>
      <c r="U242" s="404"/>
      <c r="V242" s="404"/>
      <c r="W242" s="404"/>
      <c r="X242" s="404"/>
      <c r="Y242" s="404"/>
      <c r="Z242" s="404"/>
    </row>
    <row r="243">
      <c r="A243" s="404"/>
      <c r="B243" s="404"/>
      <c r="C243" s="404"/>
      <c r="D243" s="404"/>
      <c r="E243" s="404"/>
      <c r="F243" s="404"/>
      <c r="G243" s="404"/>
      <c r="H243" s="404"/>
      <c r="I243" s="404"/>
      <c r="J243" s="404"/>
      <c r="K243" s="404"/>
      <c r="L243" s="404"/>
      <c r="M243" s="404"/>
      <c r="N243" s="404"/>
      <c r="O243" s="404"/>
      <c r="P243" s="404"/>
      <c r="Q243" s="404"/>
      <c r="R243" s="404"/>
      <c r="S243" s="404"/>
      <c r="T243" s="404"/>
      <c r="U243" s="404"/>
      <c r="V243" s="404"/>
      <c r="W243" s="404"/>
      <c r="X243" s="404"/>
      <c r="Y243" s="404"/>
      <c r="Z243" s="404"/>
    </row>
    <row r="244">
      <c r="A244" s="404"/>
      <c r="B244" s="404"/>
      <c r="C244" s="404"/>
      <c r="D244" s="404"/>
      <c r="E244" s="404"/>
      <c r="F244" s="404"/>
      <c r="G244" s="404"/>
      <c r="H244" s="404"/>
      <c r="I244" s="404"/>
      <c r="J244" s="404"/>
      <c r="K244" s="404"/>
      <c r="L244" s="404"/>
      <c r="M244" s="404"/>
      <c r="N244" s="404"/>
      <c r="O244" s="404"/>
      <c r="P244" s="404"/>
      <c r="Q244" s="404"/>
      <c r="R244" s="404"/>
      <c r="S244" s="404"/>
      <c r="T244" s="404"/>
      <c r="U244" s="404"/>
      <c r="V244" s="404"/>
      <c r="W244" s="404"/>
      <c r="X244" s="404"/>
      <c r="Y244" s="404"/>
      <c r="Z244" s="404"/>
    </row>
    <row r="245">
      <c r="A245" s="404"/>
      <c r="B245" s="404"/>
      <c r="C245" s="404"/>
      <c r="D245" s="404"/>
      <c r="E245" s="404"/>
      <c r="F245" s="404"/>
      <c r="G245" s="404"/>
      <c r="H245" s="404"/>
      <c r="I245" s="404"/>
      <c r="J245" s="404"/>
      <c r="K245" s="404"/>
      <c r="L245" s="404"/>
      <c r="M245" s="404"/>
      <c r="N245" s="404"/>
      <c r="O245" s="404"/>
      <c r="P245" s="404"/>
      <c r="Q245" s="404"/>
      <c r="R245" s="404"/>
      <c r="S245" s="404"/>
      <c r="T245" s="404"/>
      <c r="U245" s="404"/>
      <c r="V245" s="404"/>
      <c r="W245" s="404"/>
      <c r="X245" s="404"/>
      <c r="Y245" s="404"/>
      <c r="Z245" s="404"/>
    </row>
    <row r="246">
      <c r="A246" s="404"/>
      <c r="B246" s="404"/>
      <c r="C246" s="404"/>
      <c r="D246" s="404"/>
      <c r="E246" s="404"/>
      <c r="F246" s="404"/>
      <c r="G246" s="404"/>
      <c r="H246" s="404"/>
      <c r="I246" s="404"/>
      <c r="J246" s="404"/>
      <c r="K246" s="404"/>
      <c r="L246" s="404"/>
      <c r="M246" s="404"/>
      <c r="N246" s="404"/>
      <c r="O246" s="404"/>
      <c r="P246" s="404"/>
      <c r="Q246" s="404"/>
      <c r="R246" s="404"/>
      <c r="S246" s="404"/>
      <c r="T246" s="404"/>
      <c r="U246" s="404"/>
      <c r="V246" s="404"/>
      <c r="W246" s="404"/>
      <c r="X246" s="404"/>
      <c r="Y246" s="404"/>
      <c r="Z246" s="404"/>
    </row>
    <row r="247">
      <c r="A247" s="404"/>
      <c r="B247" s="404"/>
      <c r="C247" s="404"/>
      <c r="D247" s="404"/>
      <c r="E247" s="404"/>
      <c r="F247" s="404"/>
      <c r="G247" s="404"/>
      <c r="H247" s="404"/>
      <c r="I247" s="404"/>
      <c r="J247" s="404"/>
      <c r="K247" s="404"/>
      <c r="L247" s="404"/>
      <c r="M247" s="404"/>
      <c r="N247" s="404"/>
      <c r="O247" s="404"/>
      <c r="P247" s="404"/>
      <c r="Q247" s="404"/>
      <c r="R247" s="404"/>
      <c r="S247" s="404"/>
      <c r="T247" s="404"/>
      <c r="U247" s="404"/>
      <c r="V247" s="404"/>
      <c r="W247" s="404"/>
      <c r="X247" s="404"/>
      <c r="Y247" s="404"/>
      <c r="Z247" s="404"/>
    </row>
    <row r="248">
      <c r="A248" s="404"/>
      <c r="B248" s="404"/>
      <c r="C248" s="404"/>
      <c r="D248" s="404"/>
      <c r="E248" s="404"/>
      <c r="F248" s="404"/>
      <c r="G248" s="404"/>
      <c r="H248" s="404"/>
      <c r="I248" s="404"/>
      <c r="J248" s="404"/>
      <c r="K248" s="404"/>
      <c r="L248" s="404"/>
      <c r="M248" s="404"/>
      <c r="N248" s="404"/>
      <c r="O248" s="404"/>
      <c r="P248" s="404"/>
      <c r="Q248" s="404"/>
      <c r="R248" s="404"/>
      <c r="S248" s="404"/>
      <c r="T248" s="404"/>
      <c r="U248" s="404"/>
      <c r="V248" s="404"/>
      <c r="W248" s="404"/>
      <c r="X248" s="404"/>
      <c r="Y248" s="404"/>
      <c r="Z248" s="404"/>
    </row>
    <row r="249">
      <c r="A249" s="404"/>
      <c r="B249" s="404"/>
      <c r="C249" s="404"/>
      <c r="D249" s="404"/>
      <c r="E249" s="404"/>
      <c r="F249" s="404"/>
      <c r="G249" s="404"/>
      <c r="H249" s="404"/>
      <c r="I249" s="404"/>
      <c r="J249" s="404"/>
      <c r="K249" s="404"/>
      <c r="L249" s="404"/>
      <c r="M249" s="404"/>
      <c r="N249" s="404"/>
      <c r="O249" s="404"/>
      <c r="P249" s="404"/>
      <c r="Q249" s="404"/>
      <c r="R249" s="404"/>
      <c r="S249" s="404"/>
      <c r="T249" s="404"/>
      <c r="U249" s="404"/>
      <c r="V249" s="404"/>
      <c r="W249" s="404"/>
      <c r="X249" s="404"/>
      <c r="Y249" s="404"/>
      <c r="Z249" s="404"/>
    </row>
    <row r="250">
      <c r="A250" s="404"/>
      <c r="B250" s="404"/>
      <c r="C250" s="404"/>
      <c r="D250" s="404"/>
      <c r="E250" s="404"/>
      <c r="F250" s="404"/>
      <c r="G250" s="404"/>
      <c r="H250" s="404"/>
      <c r="I250" s="404"/>
      <c r="J250" s="404"/>
      <c r="K250" s="404"/>
      <c r="L250" s="404"/>
      <c r="M250" s="404"/>
      <c r="N250" s="404"/>
      <c r="O250" s="404"/>
      <c r="P250" s="404"/>
      <c r="Q250" s="404"/>
      <c r="R250" s="404"/>
      <c r="S250" s="404"/>
      <c r="T250" s="404"/>
      <c r="U250" s="404"/>
      <c r="V250" s="404"/>
      <c r="W250" s="404"/>
      <c r="X250" s="404"/>
      <c r="Y250" s="404"/>
      <c r="Z250" s="404"/>
    </row>
    <row r="251">
      <c r="A251" s="404"/>
      <c r="B251" s="404"/>
      <c r="C251" s="404"/>
      <c r="D251" s="404"/>
      <c r="E251" s="404"/>
      <c r="F251" s="404"/>
      <c r="G251" s="404"/>
      <c r="H251" s="404"/>
      <c r="I251" s="404"/>
      <c r="J251" s="404"/>
      <c r="K251" s="404"/>
      <c r="L251" s="404"/>
      <c r="M251" s="404"/>
      <c r="N251" s="404"/>
      <c r="O251" s="404"/>
      <c r="P251" s="404"/>
      <c r="Q251" s="404"/>
      <c r="R251" s="404"/>
      <c r="S251" s="404"/>
      <c r="T251" s="404"/>
      <c r="U251" s="404"/>
      <c r="V251" s="404"/>
      <c r="W251" s="404"/>
      <c r="X251" s="404"/>
      <c r="Y251" s="404"/>
      <c r="Z251" s="404"/>
    </row>
    <row r="252">
      <c r="A252" s="404"/>
      <c r="B252" s="404"/>
      <c r="C252" s="404"/>
      <c r="D252" s="404"/>
      <c r="E252" s="404"/>
      <c r="F252" s="404"/>
      <c r="G252" s="404"/>
      <c r="H252" s="404"/>
      <c r="I252" s="404"/>
      <c r="J252" s="404"/>
      <c r="K252" s="404"/>
      <c r="L252" s="404"/>
      <c r="M252" s="404"/>
      <c r="N252" s="404"/>
      <c r="O252" s="404"/>
      <c r="P252" s="404"/>
      <c r="Q252" s="404"/>
      <c r="R252" s="404"/>
      <c r="S252" s="404"/>
      <c r="T252" s="404"/>
      <c r="U252" s="404"/>
      <c r="V252" s="404"/>
      <c r="W252" s="404"/>
      <c r="X252" s="404"/>
      <c r="Y252" s="404"/>
      <c r="Z252" s="404"/>
    </row>
    <row r="253">
      <c r="A253" s="404"/>
      <c r="B253" s="404"/>
      <c r="C253" s="404"/>
      <c r="D253" s="404"/>
      <c r="E253" s="404"/>
      <c r="F253" s="404"/>
      <c r="G253" s="404"/>
      <c r="H253" s="404"/>
      <c r="I253" s="404"/>
      <c r="J253" s="404"/>
      <c r="K253" s="404"/>
      <c r="L253" s="404"/>
      <c r="M253" s="404"/>
      <c r="N253" s="404"/>
      <c r="O253" s="404"/>
      <c r="P253" s="404"/>
      <c r="Q253" s="404"/>
      <c r="R253" s="404"/>
      <c r="S253" s="404"/>
      <c r="T253" s="404"/>
      <c r="U253" s="404"/>
      <c r="V253" s="404"/>
      <c r="W253" s="404"/>
      <c r="X253" s="404"/>
      <c r="Y253" s="404"/>
      <c r="Z253" s="404"/>
    </row>
    <row r="254">
      <c r="A254" s="404"/>
      <c r="B254" s="404"/>
      <c r="C254" s="404"/>
      <c r="D254" s="404"/>
      <c r="E254" s="404"/>
      <c r="F254" s="404"/>
      <c r="G254" s="404"/>
      <c r="H254" s="404"/>
      <c r="I254" s="404"/>
      <c r="J254" s="404"/>
      <c r="K254" s="404"/>
      <c r="L254" s="404"/>
      <c r="M254" s="404"/>
      <c r="N254" s="404"/>
      <c r="O254" s="404"/>
      <c r="P254" s="404"/>
      <c r="Q254" s="404"/>
      <c r="R254" s="404"/>
      <c r="S254" s="404"/>
      <c r="T254" s="404"/>
      <c r="U254" s="404"/>
      <c r="V254" s="404"/>
      <c r="W254" s="404"/>
      <c r="X254" s="404"/>
      <c r="Y254" s="404"/>
      <c r="Z254" s="404"/>
    </row>
    <row r="255">
      <c r="A255" s="404"/>
      <c r="B255" s="404"/>
      <c r="C255" s="404"/>
      <c r="D255" s="404"/>
      <c r="E255" s="404"/>
      <c r="F255" s="404"/>
      <c r="G255" s="404"/>
      <c r="H255" s="404"/>
      <c r="I255" s="404"/>
      <c r="J255" s="404"/>
      <c r="K255" s="404"/>
      <c r="L255" s="404"/>
      <c r="M255" s="404"/>
      <c r="N255" s="404"/>
      <c r="O255" s="404"/>
      <c r="P255" s="404"/>
      <c r="Q255" s="404"/>
      <c r="R255" s="404"/>
      <c r="S255" s="404"/>
      <c r="T255" s="404"/>
      <c r="U255" s="404"/>
      <c r="V255" s="404"/>
      <c r="W255" s="404"/>
      <c r="X255" s="404"/>
      <c r="Y255" s="404"/>
      <c r="Z255" s="404"/>
    </row>
    <row r="256">
      <c r="A256" s="404"/>
      <c r="B256" s="404"/>
      <c r="C256" s="404"/>
      <c r="D256" s="404"/>
      <c r="E256" s="404"/>
      <c r="F256" s="404"/>
      <c r="G256" s="404"/>
      <c r="H256" s="404"/>
      <c r="I256" s="404"/>
      <c r="J256" s="404"/>
      <c r="K256" s="404"/>
      <c r="L256" s="404"/>
      <c r="M256" s="404"/>
      <c r="N256" s="404"/>
      <c r="O256" s="404"/>
      <c r="P256" s="404"/>
      <c r="Q256" s="404"/>
      <c r="R256" s="404"/>
      <c r="S256" s="404"/>
      <c r="T256" s="404"/>
      <c r="U256" s="404"/>
      <c r="V256" s="404"/>
      <c r="W256" s="404"/>
      <c r="X256" s="404"/>
      <c r="Y256" s="404"/>
      <c r="Z256" s="404"/>
    </row>
    <row r="257">
      <c r="A257" s="404"/>
      <c r="B257" s="404"/>
      <c r="C257" s="404"/>
      <c r="D257" s="404"/>
      <c r="E257" s="404"/>
      <c r="F257" s="404"/>
      <c r="G257" s="404"/>
      <c r="H257" s="404"/>
      <c r="I257" s="404"/>
      <c r="J257" s="404"/>
      <c r="K257" s="404"/>
      <c r="L257" s="404"/>
      <c r="M257" s="404"/>
      <c r="N257" s="404"/>
      <c r="O257" s="404"/>
      <c r="P257" s="404"/>
      <c r="Q257" s="404"/>
      <c r="R257" s="404"/>
      <c r="S257" s="404"/>
      <c r="T257" s="404"/>
      <c r="U257" s="404"/>
      <c r="V257" s="404"/>
      <c r="W257" s="404"/>
      <c r="X257" s="404"/>
      <c r="Y257" s="404"/>
      <c r="Z257" s="404"/>
    </row>
    <row r="258">
      <c r="A258" s="404"/>
      <c r="B258" s="404"/>
      <c r="C258" s="404"/>
      <c r="D258" s="404"/>
      <c r="E258" s="404"/>
      <c r="F258" s="404"/>
      <c r="G258" s="404"/>
      <c r="H258" s="404"/>
      <c r="I258" s="404"/>
      <c r="J258" s="404"/>
      <c r="K258" s="404"/>
      <c r="L258" s="404"/>
      <c r="M258" s="404"/>
      <c r="N258" s="404"/>
      <c r="O258" s="404"/>
      <c r="P258" s="404"/>
      <c r="Q258" s="404"/>
      <c r="R258" s="404"/>
      <c r="S258" s="404"/>
      <c r="T258" s="404"/>
      <c r="U258" s="404"/>
      <c r="V258" s="404"/>
      <c r="W258" s="404"/>
      <c r="X258" s="404"/>
      <c r="Y258" s="404"/>
      <c r="Z258" s="404"/>
    </row>
    <row r="259">
      <c r="A259" s="404"/>
      <c r="B259" s="404"/>
      <c r="C259" s="404"/>
      <c r="D259" s="404"/>
      <c r="E259" s="404"/>
      <c r="F259" s="404"/>
      <c r="G259" s="404"/>
      <c r="H259" s="404"/>
      <c r="I259" s="404"/>
      <c r="J259" s="404"/>
      <c r="K259" s="404"/>
      <c r="L259" s="404"/>
      <c r="M259" s="404"/>
      <c r="N259" s="404"/>
      <c r="O259" s="404"/>
      <c r="P259" s="404"/>
      <c r="Q259" s="404"/>
      <c r="R259" s="404"/>
      <c r="S259" s="404"/>
      <c r="T259" s="404"/>
      <c r="U259" s="404"/>
      <c r="V259" s="404"/>
      <c r="W259" s="404"/>
      <c r="X259" s="404"/>
      <c r="Y259" s="404"/>
      <c r="Z259" s="404"/>
    </row>
    <row r="260">
      <c r="A260" s="404"/>
      <c r="B260" s="404"/>
      <c r="C260" s="404"/>
      <c r="D260" s="404"/>
      <c r="E260" s="404"/>
      <c r="F260" s="404"/>
      <c r="G260" s="404"/>
      <c r="H260" s="404"/>
      <c r="I260" s="404"/>
      <c r="J260" s="404"/>
      <c r="K260" s="404"/>
      <c r="L260" s="404"/>
      <c r="M260" s="404"/>
      <c r="N260" s="404"/>
      <c r="O260" s="404"/>
      <c r="P260" s="404"/>
      <c r="Q260" s="404"/>
      <c r="R260" s="404"/>
      <c r="S260" s="404"/>
      <c r="T260" s="404"/>
      <c r="U260" s="404"/>
      <c r="V260" s="404"/>
      <c r="W260" s="404"/>
      <c r="X260" s="404"/>
      <c r="Y260" s="404"/>
      <c r="Z260" s="404"/>
    </row>
    <row r="261">
      <c r="A261" s="404"/>
      <c r="B261" s="404"/>
      <c r="C261" s="404"/>
      <c r="D261" s="404"/>
      <c r="E261" s="404"/>
      <c r="F261" s="404"/>
      <c r="G261" s="404"/>
      <c r="H261" s="404"/>
      <c r="I261" s="404"/>
      <c r="J261" s="404"/>
      <c r="K261" s="404"/>
      <c r="L261" s="404"/>
      <c r="M261" s="404"/>
      <c r="N261" s="404"/>
      <c r="O261" s="404"/>
      <c r="P261" s="404"/>
      <c r="Q261" s="404"/>
      <c r="R261" s="404"/>
      <c r="S261" s="404"/>
      <c r="T261" s="404"/>
      <c r="U261" s="404"/>
      <c r="V261" s="404"/>
      <c r="W261" s="404"/>
      <c r="X261" s="404"/>
      <c r="Y261" s="404"/>
      <c r="Z261" s="404"/>
    </row>
    <row r="262">
      <c r="A262" s="404"/>
      <c r="B262" s="404"/>
      <c r="C262" s="404"/>
      <c r="D262" s="404"/>
      <c r="E262" s="404"/>
      <c r="F262" s="404"/>
      <c r="G262" s="404"/>
      <c r="H262" s="404"/>
      <c r="I262" s="404"/>
      <c r="J262" s="404"/>
      <c r="K262" s="404"/>
      <c r="L262" s="404"/>
      <c r="M262" s="404"/>
      <c r="N262" s="404"/>
      <c r="O262" s="404"/>
      <c r="P262" s="404"/>
      <c r="Q262" s="404"/>
      <c r="R262" s="404"/>
      <c r="S262" s="404"/>
      <c r="T262" s="404"/>
      <c r="U262" s="404"/>
      <c r="V262" s="404"/>
      <c r="W262" s="404"/>
      <c r="X262" s="404"/>
      <c r="Y262" s="404"/>
      <c r="Z262" s="404"/>
    </row>
    <row r="263">
      <c r="A263" s="404"/>
      <c r="B263" s="404"/>
      <c r="C263" s="404"/>
      <c r="D263" s="404"/>
      <c r="E263" s="404"/>
      <c r="F263" s="404"/>
      <c r="G263" s="404"/>
      <c r="H263" s="404"/>
      <c r="I263" s="404"/>
      <c r="J263" s="404"/>
      <c r="K263" s="404"/>
      <c r="L263" s="404"/>
      <c r="M263" s="404"/>
      <c r="N263" s="404"/>
      <c r="O263" s="404"/>
      <c r="P263" s="404"/>
      <c r="Q263" s="404"/>
      <c r="R263" s="404"/>
      <c r="S263" s="404"/>
      <c r="T263" s="404"/>
      <c r="U263" s="404"/>
      <c r="V263" s="404"/>
      <c r="W263" s="404"/>
      <c r="X263" s="404"/>
      <c r="Y263" s="404"/>
      <c r="Z263" s="404"/>
    </row>
    <row r="264">
      <c r="A264" s="404"/>
      <c r="B264" s="404"/>
      <c r="C264" s="404"/>
      <c r="D264" s="404"/>
      <c r="E264" s="404"/>
      <c r="F264" s="404"/>
      <c r="G264" s="404"/>
      <c r="H264" s="404"/>
      <c r="I264" s="404"/>
      <c r="J264" s="404"/>
      <c r="K264" s="404"/>
      <c r="L264" s="404"/>
      <c r="M264" s="404"/>
      <c r="N264" s="404"/>
      <c r="O264" s="404"/>
      <c r="P264" s="404"/>
      <c r="Q264" s="404"/>
      <c r="R264" s="404"/>
      <c r="S264" s="404"/>
      <c r="T264" s="404"/>
      <c r="U264" s="404"/>
      <c r="V264" s="404"/>
      <c r="W264" s="404"/>
      <c r="X264" s="404"/>
      <c r="Y264" s="404"/>
      <c r="Z264" s="404"/>
    </row>
    <row r="265">
      <c r="A265" s="404"/>
      <c r="B265" s="404"/>
      <c r="C265" s="404"/>
      <c r="D265" s="404"/>
      <c r="E265" s="404"/>
      <c r="F265" s="404"/>
      <c r="G265" s="404"/>
      <c r="H265" s="404"/>
      <c r="I265" s="404"/>
      <c r="J265" s="404"/>
      <c r="K265" s="404"/>
      <c r="L265" s="404"/>
      <c r="M265" s="404"/>
      <c r="N265" s="404"/>
      <c r="O265" s="404"/>
      <c r="P265" s="404"/>
      <c r="Q265" s="404"/>
      <c r="R265" s="404"/>
      <c r="S265" s="404"/>
      <c r="T265" s="404"/>
      <c r="U265" s="404"/>
      <c r="V265" s="404"/>
      <c r="W265" s="404"/>
      <c r="X265" s="404"/>
      <c r="Y265" s="404"/>
      <c r="Z265" s="404"/>
    </row>
    <row r="266">
      <c r="A266" s="404"/>
      <c r="B266" s="404"/>
      <c r="C266" s="404"/>
      <c r="D266" s="404"/>
      <c r="E266" s="404"/>
      <c r="F266" s="404"/>
      <c r="G266" s="404"/>
      <c r="H266" s="404"/>
      <c r="I266" s="404"/>
      <c r="J266" s="404"/>
      <c r="K266" s="404"/>
      <c r="L266" s="404"/>
      <c r="M266" s="404"/>
      <c r="N266" s="404"/>
      <c r="O266" s="404"/>
      <c r="P266" s="404"/>
      <c r="Q266" s="404"/>
      <c r="R266" s="404"/>
      <c r="S266" s="404"/>
      <c r="T266" s="404"/>
      <c r="U266" s="404"/>
      <c r="V266" s="404"/>
      <c r="W266" s="404"/>
      <c r="X266" s="404"/>
      <c r="Y266" s="404"/>
      <c r="Z266" s="404"/>
    </row>
    <row r="267">
      <c r="A267" s="404"/>
      <c r="B267" s="404"/>
      <c r="C267" s="404"/>
      <c r="D267" s="404"/>
      <c r="E267" s="404"/>
      <c r="F267" s="404"/>
      <c r="G267" s="404"/>
      <c r="H267" s="404"/>
      <c r="I267" s="404"/>
      <c r="J267" s="404"/>
      <c r="K267" s="404"/>
      <c r="L267" s="404"/>
      <c r="M267" s="404"/>
      <c r="N267" s="404"/>
      <c r="O267" s="404"/>
      <c r="P267" s="404"/>
      <c r="Q267" s="404"/>
      <c r="R267" s="404"/>
      <c r="S267" s="404"/>
      <c r="T267" s="404"/>
      <c r="U267" s="404"/>
      <c r="V267" s="404"/>
      <c r="W267" s="404"/>
      <c r="X267" s="404"/>
      <c r="Y267" s="404"/>
      <c r="Z267" s="404"/>
    </row>
    <row r="268">
      <c r="A268" s="404"/>
      <c r="B268" s="404"/>
      <c r="C268" s="404"/>
      <c r="D268" s="404"/>
      <c r="E268" s="404"/>
      <c r="F268" s="404"/>
      <c r="G268" s="404"/>
      <c r="H268" s="404"/>
      <c r="I268" s="404"/>
      <c r="J268" s="404"/>
      <c r="K268" s="404"/>
      <c r="L268" s="404"/>
      <c r="M268" s="404"/>
      <c r="N268" s="404"/>
      <c r="O268" s="404"/>
      <c r="P268" s="404"/>
      <c r="Q268" s="404"/>
      <c r="R268" s="404"/>
      <c r="S268" s="404"/>
      <c r="T268" s="404"/>
      <c r="U268" s="404"/>
      <c r="V268" s="404"/>
      <c r="W268" s="404"/>
      <c r="X268" s="404"/>
      <c r="Y268" s="404"/>
      <c r="Z268" s="404"/>
    </row>
    <row r="269">
      <c r="A269" s="404"/>
      <c r="B269" s="404"/>
      <c r="C269" s="404"/>
      <c r="D269" s="404"/>
      <c r="E269" s="404"/>
      <c r="F269" s="404"/>
      <c r="G269" s="404"/>
      <c r="H269" s="404"/>
      <c r="I269" s="404"/>
      <c r="J269" s="404"/>
      <c r="K269" s="404"/>
      <c r="L269" s="404"/>
      <c r="M269" s="404"/>
      <c r="N269" s="404"/>
      <c r="O269" s="404"/>
      <c r="P269" s="404"/>
      <c r="Q269" s="404"/>
      <c r="R269" s="404"/>
      <c r="S269" s="404"/>
      <c r="T269" s="404"/>
      <c r="U269" s="404"/>
      <c r="V269" s="404"/>
      <c r="W269" s="404"/>
      <c r="X269" s="404"/>
      <c r="Y269" s="404"/>
      <c r="Z269" s="404"/>
    </row>
    <row r="270">
      <c r="A270" s="404"/>
      <c r="B270" s="404"/>
      <c r="C270" s="404"/>
      <c r="D270" s="404"/>
      <c r="E270" s="404"/>
      <c r="F270" s="404"/>
      <c r="G270" s="404"/>
      <c r="H270" s="404"/>
      <c r="I270" s="404"/>
      <c r="J270" s="404"/>
      <c r="K270" s="404"/>
      <c r="L270" s="404"/>
      <c r="M270" s="404"/>
      <c r="N270" s="404"/>
      <c r="O270" s="404"/>
      <c r="P270" s="404"/>
      <c r="Q270" s="404"/>
      <c r="R270" s="404"/>
      <c r="S270" s="404"/>
      <c r="T270" s="404"/>
      <c r="U270" s="404"/>
      <c r="V270" s="404"/>
      <c r="W270" s="404"/>
      <c r="X270" s="404"/>
      <c r="Y270" s="404"/>
      <c r="Z270" s="404"/>
    </row>
    <row r="271">
      <c r="A271" s="404"/>
      <c r="B271" s="404"/>
      <c r="C271" s="404"/>
      <c r="D271" s="404"/>
      <c r="E271" s="404"/>
      <c r="F271" s="404"/>
      <c r="G271" s="404"/>
      <c r="H271" s="404"/>
      <c r="I271" s="404"/>
      <c r="J271" s="404"/>
      <c r="K271" s="404"/>
      <c r="L271" s="404"/>
      <c r="M271" s="404"/>
      <c r="N271" s="404"/>
      <c r="O271" s="404"/>
      <c r="P271" s="404"/>
      <c r="Q271" s="404"/>
      <c r="R271" s="404"/>
      <c r="S271" s="404"/>
      <c r="T271" s="404"/>
      <c r="U271" s="404"/>
      <c r="V271" s="404"/>
      <c r="W271" s="404"/>
      <c r="X271" s="404"/>
      <c r="Y271" s="404"/>
      <c r="Z271" s="404"/>
    </row>
    <row r="272">
      <c r="A272" s="404"/>
      <c r="B272" s="404"/>
      <c r="C272" s="404"/>
      <c r="D272" s="404"/>
      <c r="E272" s="404"/>
      <c r="F272" s="404"/>
      <c r="G272" s="404"/>
      <c r="H272" s="404"/>
      <c r="I272" s="404"/>
      <c r="J272" s="404"/>
      <c r="K272" s="404"/>
      <c r="L272" s="404"/>
      <c r="M272" s="404"/>
      <c r="N272" s="404"/>
      <c r="O272" s="404"/>
      <c r="P272" s="404"/>
      <c r="Q272" s="404"/>
      <c r="R272" s="404"/>
      <c r="S272" s="404"/>
      <c r="T272" s="404"/>
      <c r="U272" s="404"/>
      <c r="V272" s="404"/>
      <c r="W272" s="404"/>
      <c r="X272" s="404"/>
      <c r="Y272" s="404"/>
      <c r="Z272" s="404"/>
    </row>
    <row r="273">
      <c r="A273" s="404"/>
      <c r="B273" s="404"/>
      <c r="C273" s="404"/>
      <c r="D273" s="404"/>
      <c r="E273" s="404"/>
      <c r="F273" s="404"/>
      <c r="G273" s="404"/>
      <c r="H273" s="404"/>
      <c r="I273" s="404"/>
      <c r="J273" s="404"/>
      <c r="K273" s="404"/>
      <c r="L273" s="404"/>
      <c r="M273" s="404"/>
      <c r="N273" s="404"/>
      <c r="O273" s="404"/>
      <c r="P273" s="404"/>
      <c r="Q273" s="404"/>
      <c r="R273" s="404"/>
      <c r="S273" s="404"/>
      <c r="T273" s="404"/>
      <c r="U273" s="404"/>
      <c r="V273" s="404"/>
      <c r="W273" s="404"/>
      <c r="X273" s="404"/>
      <c r="Y273" s="404"/>
      <c r="Z273" s="404"/>
    </row>
    <row r="274">
      <c r="A274" s="404"/>
      <c r="B274" s="404"/>
      <c r="C274" s="404"/>
      <c r="D274" s="404"/>
      <c r="E274" s="404"/>
      <c r="F274" s="404"/>
      <c r="G274" s="404"/>
      <c r="H274" s="404"/>
      <c r="I274" s="404"/>
      <c r="J274" s="404"/>
      <c r="K274" s="404"/>
      <c r="L274" s="404"/>
      <c r="M274" s="404"/>
      <c r="N274" s="404"/>
      <c r="O274" s="404"/>
      <c r="P274" s="404"/>
      <c r="Q274" s="404"/>
      <c r="R274" s="404"/>
      <c r="S274" s="404"/>
      <c r="T274" s="404"/>
      <c r="U274" s="404"/>
      <c r="V274" s="404"/>
      <c r="W274" s="404"/>
      <c r="X274" s="404"/>
      <c r="Y274" s="404"/>
      <c r="Z274" s="404"/>
    </row>
    <row r="275">
      <c r="A275" s="404"/>
      <c r="B275" s="404"/>
      <c r="C275" s="404"/>
      <c r="D275" s="404"/>
      <c r="E275" s="404"/>
      <c r="F275" s="404"/>
      <c r="G275" s="404"/>
      <c r="H275" s="404"/>
      <c r="I275" s="404"/>
      <c r="J275" s="404"/>
      <c r="K275" s="404"/>
      <c r="L275" s="404"/>
      <c r="M275" s="404"/>
      <c r="N275" s="404"/>
      <c r="O275" s="404"/>
      <c r="P275" s="404"/>
      <c r="Q275" s="404"/>
      <c r="R275" s="404"/>
      <c r="S275" s="404"/>
      <c r="T275" s="404"/>
      <c r="U275" s="404"/>
      <c r="V275" s="404"/>
      <c r="W275" s="404"/>
      <c r="X275" s="404"/>
      <c r="Y275" s="404"/>
      <c r="Z275" s="404"/>
    </row>
    <row r="276">
      <c r="A276" s="404"/>
      <c r="B276" s="404"/>
      <c r="C276" s="404"/>
      <c r="D276" s="404"/>
      <c r="E276" s="404"/>
      <c r="F276" s="404"/>
      <c r="G276" s="404"/>
      <c r="H276" s="404"/>
      <c r="I276" s="404"/>
      <c r="J276" s="404"/>
      <c r="K276" s="404"/>
      <c r="L276" s="404"/>
      <c r="M276" s="404"/>
      <c r="N276" s="404"/>
      <c r="O276" s="404"/>
      <c r="P276" s="404"/>
      <c r="Q276" s="404"/>
      <c r="R276" s="404"/>
      <c r="S276" s="404"/>
      <c r="T276" s="404"/>
      <c r="U276" s="404"/>
      <c r="V276" s="404"/>
      <c r="W276" s="404"/>
      <c r="X276" s="404"/>
      <c r="Y276" s="404"/>
      <c r="Z276" s="404"/>
    </row>
    <row r="277">
      <c r="A277" s="404"/>
      <c r="B277" s="404"/>
      <c r="C277" s="404"/>
      <c r="D277" s="404"/>
      <c r="E277" s="404"/>
      <c r="F277" s="404"/>
      <c r="G277" s="404"/>
      <c r="H277" s="404"/>
      <c r="I277" s="404"/>
      <c r="J277" s="404"/>
      <c r="K277" s="404"/>
      <c r="L277" s="404"/>
      <c r="M277" s="404"/>
      <c r="N277" s="404"/>
      <c r="O277" s="404"/>
      <c r="P277" s="404"/>
      <c r="Q277" s="404"/>
      <c r="R277" s="404"/>
      <c r="S277" s="404"/>
      <c r="T277" s="404"/>
      <c r="U277" s="404"/>
      <c r="V277" s="404"/>
      <c r="W277" s="404"/>
      <c r="X277" s="404"/>
      <c r="Y277" s="404"/>
      <c r="Z277" s="404"/>
    </row>
    <row r="278">
      <c r="A278" s="404"/>
      <c r="B278" s="404"/>
      <c r="C278" s="404"/>
      <c r="D278" s="404"/>
      <c r="E278" s="404"/>
      <c r="F278" s="404"/>
      <c r="G278" s="404"/>
      <c r="H278" s="404"/>
      <c r="I278" s="404"/>
      <c r="J278" s="404"/>
      <c r="K278" s="404"/>
      <c r="L278" s="404"/>
      <c r="M278" s="404"/>
      <c r="N278" s="404"/>
      <c r="O278" s="404"/>
      <c r="P278" s="404"/>
      <c r="Q278" s="404"/>
      <c r="R278" s="404"/>
      <c r="S278" s="404"/>
      <c r="T278" s="404"/>
      <c r="U278" s="404"/>
      <c r="V278" s="404"/>
      <c r="W278" s="404"/>
      <c r="X278" s="404"/>
      <c r="Y278" s="404"/>
      <c r="Z278" s="404"/>
    </row>
    <row r="279">
      <c r="A279" s="404"/>
      <c r="B279" s="404"/>
      <c r="C279" s="404"/>
      <c r="D279" s="404"/>
      <c r="E279" s="404"/>
      <c r="F279" s="404"/>
      <c r="G279" s="404"/>
      <c r="H279" s="404"/>
      <c r="I279" s="404"/>
      <c r="J279" s="404"/>
      <c r="K279" s="404"/>
      <c r="L279" s="404"/>
      <c r="M279" s="404"/>
      <c r="N279" s="404"/>
      <c r="O279" s="404"/>
      <c r="P279" s="404"/>
      <c r="Q279" s="404"/>
      <c r="R279" s="404"/>
      <c r="S279" s="404"/>
      <c r="T279" s="404"/>
      <c r="U279" s="404"/>
      <c r="V279" s="404"/>
      <c r="W279" s="404"/>
      <c r="X279" s="404"/>
      <c r="Y279" s="404"/>
      <c r="Z279" s="404"/>
    </row>
    <row r="280">
      <c r="A280" s="404"/>
      <c r="B280" s="404"/>
      <c r="C280" s="404"/>
      <c r="D280" s="404"/>
      <c r="E280" s="404"/>
      <c r="F280" s="404"/>
      <c r="G280" s="404"/>
      <c r="H280" s="404"/>
      <c r="I280" s="404"/>
      <c r="J280" s="404"/>
      <c r="K280" s="404"/>
      <c r="L280" s="404"/>
      <c r="M280" s="404"/>
      <c r="N280" s="404"/>
      <c r="O280" s="404"/>
      <c r="P280" s="404"/>
      <c r="Q280" s="404"/>
      <c r="R280" s="404"/>
      <c r="S280" s="404"/>
      <c r="T280" s="404"/>
      <c r="U280" s="404"/>
      <c r="V280" s="404"/>
      <c r="W280" s="404"/>
      <c r="X280" s="404"/>
      <c r="Y280" s="404"/>
      <c r="Z280" s="404"/>
    </row>
    <row r="281">
      <c r="A281" s="404"/>
      <c r="B281" s="404"/>
      <c r="C281" s="404"/>
      <c r="D281" s="404"/>
      <c r="E281" s="404"/>
      <c r="F281" s="404"/>
      <c r="G281" s="404"/>
      <c r="H281" s="404"/>
      <c r="I281" s="404"/>
      <c r="J281" s="404"/>
      <c r="K281" s="404"/>
      <c r="L281" s="404"/>
      <c r="M281" s="404"/>
      <c r="N281" s="404"/>
      <c r="O281" s="404"/>
      <c r="P281" s="404"/>
      <c r="Q281" s="404"/>
      <c r="R281" s="404"/>
      <c r="S281" s="404"/>
      <c r="T281" s="404"/>
      <c r="U281" s="404"/>
      <c r="V281" s="404"/>
      <c r="W281" s="404"/>
      <c r="X281" s="404"/>
      <c r="Y281" s="404"/>
      <c r="Z281" s="404"/>
    </row>
    <row r="282">
      <c r="A282" s="404"/>
      <c r="B282" s="404"/>
      <c r="C282" s="404"/>
      <c r="D282" s="404"/>
      <c r="E282" s="404"/>
      <c r="F282" s="404"/>
      <c r="G282" s="404"/>
      <c r="H282" s="404"/>
      <c r="I282" s="404"/>
      <c r="J282" s="404"/>
      <c r="K282" s="404"/>
      <c r="L282" s="404"/>
      <c r="M282" s="404"/>
      <c r="N282" s="404"/>
      <c r="O282" s="404"/>
      <c r="P282" s="404"/>
      <c r="Q282" s="404"/>
      <c r="R282" s="404"/>
      <c r="S282" s="404"/>
      <c r="T282" s="404"/>
      <c r="U282" s="404"/>
      <c r="V282" s="404"/>
      <c r="W282" s="404"/>
      <c r="X282" s="404"/>
      <c r="Y282" s="404"/>
      <c r="Z282" s="404"/>
    </row>
    <row r="283">
      <c r="A283" s="404"/>
      <c r="B283" s="404"/>
      <c r="C283" s="404"/>
      <c r="D283" s="404"/>
      <c r="E283" s="404"/>
      <c r="F283" s="404"/>
      <c r="G283" s="404"/>
      <c r="H283" s="404"/>
      <c r="I283" s="404"/>
      <c r="J283" s="404"/>
      <c r="K283" s="404"/>
      <c r="L283" s="404"/>
      <c r="M283" s="404"/>
      <c r="N283" s="404"/>
      <c r="O283" s="404"/>
      <c r="P283" s="404"/>
      <c r="Q283" s="404"/>
      <c r="R283" s="404"/>
      <c r="S283" s="404"/>
      <c r="T283" s="404"/>
      <c r="U283" s="404"/>
      <c r="V283" s="404"/>
      <c r="W283" s="404"/>
      <c r="X283" s="404"/>
      <c r="Y283" s="404"/>
      <c r="Z283" s="404"/>
    </row>
    <row r="284">
      <c r="A284" s="404"/>
      <c r="B284" s="404"/>
      <c r="C284" s="404"/>
      <c r="D284" s="404"/>
      <c r="E284" s="404"/>
      <c r="F284" s="404"/>
      <c r="G284" s="404"/>
      <c r="H284" s="404"/>
      <c r="I284" s="404"/>
      <c r="J284" s="404"/>
      <c r="K284" s="404"/>
      <c r="L284" s="404"/>
      <c r="M284" s="404"/>
      <c r="N284" s="404"/>
      <c r="O284" s="404"/>
      <c r="P284" s="404"/>
      <c r="Q284" s="404"/>
      <c r="R284" s="404"/>
      <c r="S284" s="404"/>
      <c r="T284" s="404"/>
      <c r="U284" s="404"/>
      <c r="V284" s="404"/>
      <c r="W284" s="404"/>
      <c r="X284" s="404"/>
      <c r="Y284" s="404"/>
      <c r="Z284" s="404"/>
    </row>
    <row r="285">
      <c r="A285" s="404"/>
      <c r="B285" s="404"/>
      <c r="C285" s="404"/>
      <c r="D285" s="404"/>
      <c r="E285" s="404"/>
      <c r="F285" s="404"/>
      <c r="G285" s="404"/>
      <c r="H285" s="404"/>
      <c r="I285" s="404"/>
      <c r="J285" s="404"/>
      <c r="K285" s="404"/>
      <c r="L285" s="404"/>
      <c r="M285" s="404"/>
      <c r="N285" s="404"/>
      <c r="O285" s="404"/>
      <c r="P285" s="404"/>
      <c r="Q285" s="404"/>
      <c r="R285" s="404"/>
      <c r="S285" s="404"/>
      <c r="T285" s="404"/>
      <c r="U285" s="404"/>
      <c r="V285" s="404"/>
      <c r="W285" s="404"/>
      <c r="X285" s="404"/>
      <c r="Y285" s="404"/>
      <c r="Z285" s="404"/>
    </row>
    <row r="286">
      <c r="A286" s="404"/>
      <c r="B286" s="404"/>
      <c r="C286" s="404"/>
      <c r="D286" s="404"/>
      <c r="E286" s="404"/>
      <c r="F286" s="404"/>
      <c r="G286" s="404"/>
      <c r="H286" s="404"/>
      <c r="I286" s="404"/>
      <c r="J286" s="404"/>
      <c r="K286" s="404"/>
      <c r="L286" s="404"/>
      <c r="M286" s="404"/>
      <c r="N286" s="404"/>
      <c r="O286" s="404"/>
      <c r="P286" s="404"/>
      <c r="Q286" s="404"/>
      <c r="R286" s="404"/>
      <c r="S286" s="404"/>
      <c r="T286" s="404"/>
      <c r="U286" s="404"/>
      <c r="V286" s="404"/>
      <c r="W286" s="404"/>
      <c r="X286" s="404"/>
      <c r="Y286" s="404"/>
      <c r="Z286" s="404"/>
    </row>
    <row r="287">
      <c r="A287" s="404"/>
      <c r="B287" s="404"/>
      <c r="C287" s="404"/>
      <c r="D287" s="404"/>
      <c r="E287" s="404"/>
      <c r="F287" s="404"/>
      <c r="G287" s="404"/>
      <c r="H287" s="404"/>
      <c r="I287" s="404"/>
      <c r="J287" s="404"/>
      <c r="K287" s="404"/>
      <c r="L287" s="404"/>
      <c r="M287" s="404"/>
      <c r="N287" s="404"/>
      <c r="O287" s="404"/>
      <c r="P287" s="404"/>
      <c r="Q287" s="404"/>
      <c r="R287" s="404"/>
      <c r="S287" s="404"/>
      <c r="T287" s="404"/>
      <c r="U287" s="404"/>
      <c r="V287" s="404"/>
      <c r="W287" s="404"/>
      <c r="X287" s="404"/>
      <c r="Y287" s="404"/>
      <c r="Z287" s="404"/>
    </row>
    <row r="288">
      <c r="A288" s="404"/>
      <c r="B288" s="404"/>
      <c r="C288" s="404"/>
      <c r="D288" s="404"/>
      <c r="E288" s="404"/>
      <c r="F288" s="404"/>
      <c r="G288" s="404"/>
      <c r="H288" s="404"/>
      <c r="I288" s="404"/>
      <c r="J288" s="404"/>
      <c r="K288" s="404"/>
      <c r="L288" s="404"/>
      <c r="M288" s="404"/>
      <c r="N288" s="404"/>
      <c r="O288" s="404"/>
      <c r="P288" s="404"/>
      <c r="Q288" s="404"/>
      <c r="R288" s="404"/>
      <c r="S288" s="404"/>
      <c r="T288" s="404"/>
      <c r="U288" s="404"/>
      <c r="V288" s="404"/>
      <c r="W288" s="404"/>
      <c r="X288" s="404"/>
      <c r="Y288" s="404"/>
      <c r="Z288" s="404"/>
    </row>
    <row r="289">
      <c r="A289" s="404"/>
      <c r="B289" s="404"/>
      <c r="C289" s="404"/>
      <c r="D289" s="404"/>
      <c r="E289" s="404"/>
      <c r="F289" s="404"/>
      <c r="G289" s="404"/>
      <c r="H289" s="404"/>
      <c r="I289" s="404"/>
      <c r="J289" s="404"/>
      <c r="K289" s="404"/>
      <c r="L289" s="404"/>
      <c r="M289" s="404"/>
      <c r="N289" s="404"/>
      <c r="O289" s="404"/>
      <c r="P289" s="404"/>
      <c r="Q289" s="404"/>
      <c r="R289" s="404"/>
      <c r="S289" s="404"/>
      <c r="T289" s="404"/>
      <c r="U289" s="404"/>
      <c r="V289" s="404"/>
      <c r="W289" s="404"/>
      <c r="X289" s="404"/>
      <c r="Y289" s="404"/>
      <c r="Z289" s="404"/>
    </row>
    <row r="290">
      <c r="A290" s="404"/>
      <c r="B290" s="404"/>
      <c r="C290" s="404"/>
      <c r="D290" s="404"/>
      <c r="E290" s="404"/>
      <c r="F290" s="404"/>
      <c r="G290" s="404"/>
      <c r="H290" s="404"/>
      <c r="I290" s="404"/>
      <c r="J290" s="404"/>
      <c r="K290" s="404"/>
      <c r="L290" s="404"/>
      <c r="M290" s="404"/>
      <c r="N290" s="404"/>
      <c r="O290" s="404"/>
      <c r="P290" s="404"/>
      <c r="Q290" s="404"/>
      <c r="R290" s="404"/>
      <c r="S290" s="404"/>
      <c r="T290" s="404"/>
      <c r="U290" s="404"/>
      <c r="V290" s="404"/>
      <c r="W290" s="404"/>
      <c r="X290" s="404"/>
      <c r="Y290" s="404"/>
      <c r="Z290" s="404"/>
    </row>
    <row r="291">
      <c r="A291" s="404"/>
      <c r="B291" s="404"/>
      <c r="C291" s="404"/>
      <c r="D291" s="404"/>
      <c r="E291" s="404"/>
      <c r="F291" s="404"/>
      <c r="G291" s="404"/>
      <c r="H291" s="404"/>
      <c r="I291" s="404"/>
      <c r="J291" s="404"/>
      <c r="K291" s="404"/>
      <c r="L291" s="404"/>
      <c r="M291" s="404"/>
      <c r="N291" s="404"/>
      <c r="O291" s="404"/>
      <c r="P291" s="404"/>
      <c r="Q291" s="404"/>
      <c r="R291" s="404"/>
      <c r="S291" s="404"/>
      <c r="T291" s="404"/>
      <c r="U291" s="404"/>
      <c r="V291" s="404"/>
      <c r="W291" s="404"/>
      <c r="X291" s="404"/>
      <c r="Y291" s="404"/>
      <c r="Z291" s="404"/>
    </row>
    <row r="292">
      <c r="A292" s="404"/>
      <c r="B292" s="404"/>
      <c r="C292" s="404"/>
      <c r="D292" s="404"/>
      <c r="E292" s="404"/>
      <c r="F292" s="404"/>
      <c r="G292" s="404"/>
      <c r="H292" s="404"/>
      <c r="I292" s="404"/>
      <c r="J292" s="404"/>
      <c r="K292" s="404"/>
      <c r="L292" s="404"/>
      <c r="M292" s="404"/>
      <c r="N292" s="404"/>
      <c r="O292" s="404"/>
      <c r="P292" s="404"/>
      <c r="Q292" s="404"/>
      <c r="R292" s="404"/>
      <c r="S292" s="404"/>
      <c r="T292" s="404"/>
      <c r="U292" s="404"/>
      <c r="V292" s="404"/>
      <c r="W292" s="404"/>
      <c r="X292" s="404"/>
      <c r="Y292" s="404"/>
      <c r="Z292" s="404"/>
    </row>
    <row r="293">
      <c r="A293" s="404"/>
      <c r="B293" s="404"/>
      <c r="C293" s="404"/>
      <c r="D293" s="404"/>
      <c r="E293" s="404"/>
      <c r="F293" s="404"/>
      <c r="G293" s="404"/>
      <c r="H293" s="404"/>
      <c r="I293" s="404"/>
      <c r="J293" s="404"/>
      <c r="K293" s="404"/>
      <c r="L293" s="404"/>
      <c r="M293" s="404"/>
      <c r="N293" s="404"/>
      <c r="O293" s="404"/>
      <c r="P293" s="404"/>
      <c r="Q293" s="404"/>
      <c r="R293" s="404"/>
      <c r="S293" s="404"/>
      <c r="T293" s="404"/>
      <c r="U293" s="404"/>
      <c r="V293" s="404"/>
      <c r="W293" s="404"/>
      <c r="X293" s="404"/>
      <c r="Y293" s="404"/>
      <c r="Z293" s="404"/>
    </row>
    <row r="294">
      <c r="A294" s="404"/>
      <c r="B294" s="404"/>
      <c r="C294" s="404"/>
      <c r="D294" s="404"/>
      <c r="E294" s="404"/>
      <c r="F294" s="404"/>
      <c r="G294" s="404"/>
      <c r="H294" s="404"/>
      <c r="I294" s="404"/>
      <c r="J294" s="404"/>
      <c r="K294" s="404"/>
      <c r="L294" s="404"/>
      <c r="M294" s="404"/>
      <c r="N294" s="404"/>
      <c r="O294" s="404"/>
      <c r="P294" s="404"/>
      <c r="Q294" s="404"/>
      <c r="R294" s="404"/>
      <c r="S294" s="404"/>
      <c r="T294" s="404"/>
      <c r="U294" s="404"/>
      <c r="V294" s="404"/>
      <c r="W294" s="404"/>
      <c r="X294" s="404"/>
      <c r="Y294" s="404"/>
      <c r="Z294" s="404"/>
    </row>
    <row r="295">
      <c r="A295" s="404"/>
      <c r="B295" s="404"/>
      <c r="C295" s="404"/>
      <c r="D295" s="404"/>
      <c r="E295" s="404"/>
      <c r="F295" s="404"/>
      <c r="G295" s="404"/>
      <c r="H295" s="404"/>
      <c r="I295" s="404"/>
      <c r="J295" s="404"/>
      <c r="K295" s="404"/>
      <c r="L295" s="404"/>
      <c r="M295" s="404"/>
      <c r="N295" s="404"/>
      <c r="O295" s="404"/>
      <c r="P295" s="404"/>
      <c r="Q295" s="404"/>
      <c r="R295" s="404"/>
      <c r="S295" s="404"/>
      <c r="T295" s="404"/>
      <c r="U295" s="404"/>
      <c r="V295" s="404"/>
      <c r="W295" s="404"/>
      <c r="X295" s="404"/>
      <c r="Y295" s="404"/>
      <c r="Z295" s="404"/>
    </row>
    <row r="296">
      <c r="A296" s="404"/>
      <c r="B296" s="404"/>
      <c r="C296" s="404"/>
      <c r="D296" s="404"/>
      <c r="E296" s="404"/>
      <c r="F296" s="404"/>
      <c r="G296" s="404"/>
      <c r="H296" s="404"/>
      <c r="I296" s="404"/>
      <c r="J296" s="404"/>
      <c r="K296" s="404"/>
      <c r="L296" s="404"/>
      <c r="M296" s="404"/>
      <c r="N296" s="404"/>
      <c r="O296" s="404"/>
      <c r="P296" s="404"/>
      <c r="Q296" s="404"/>
      <c r="R296" s="404"/>
      <c r="S296" s="404"/>
      <c r="T296" s="404"/>
      <c r="U296" s="404"/>
      <c r="V296" s="404"/>
      <c r="W296" s="404"/>
      <c r="X296" s="404"/>
      <c r="Y296" s="404"/>
      <c r="Z296" s="404"/>
    </row>
    <row r="297">
      <c r="A297" s="404"/>
      <c r="B297" s="404"/>
      <c r="C297" s="404"/>
      <c r="D297" s="404"/>
      <c r="E297" s="404"/>
      <c r="F297" s="404"/>
      <c r="G297" s="404"/>
      <c r="H297" s="404"/>
      <c r="I297" s="404"/>
      <c r="J297" s="404"/>
      <c r="K297" s="404"/>
      <c r="L297" s="404"/>
      <c r="M297" s="404"/>
      <c r="N297" s="404"/>
      <c r="O297" s="404"/>
      <c r="P297" s="404"/>
      <c r="Q297" s="404"/>
      <c r="R297" s="404"/>
      <c r="S297" s="404"/>
      <c r="T297" s="404"/>
      <c r="U297" s="404"/>
      <c r="V297" s="404"/>
      <c r="W297" s="404"/>
      <c r="X297" s="404"/>
      <c r="Y297" s="404"/>
      <c r="Z297" s="404"/>
    </row>
    <row r="298">
      <c r="A298" s="404"/>
      <c r="B298" s="404"/>
      <c r="C298" s="404"/>
      <c r="D298" s="404"/>
      <c r="E298" s="404"/>
      <c r="F298" s="404"/>
      <c r="G298" s="404"/>
      <c r="H298" s="404"/>
      <c r="I298" s="404"/>
      <c r="J298" s="404"/>
      <c r="K298" s="404"/>
      <c r="L298" s="404"/>
      <c r="M298" s="404"/>
      <c r="N298" s="404"/>
      <c r="O298" s="404"/>
      <c r="P298" s="404"/>
      <c r="Q298" s="404"/>
      <c r="R298" s="404"/>
      <c r="S298" s="404"/>
      <c r="T298" s="404"/>
      <c r="U298" s="404"/>
      <c r="V298" s="404"/>
      <c r="W298" s="404"/>
      <c r="X298" s="404"/>
      <c r="Y298" s="404"/>
      <c r="Z298" s="404"/>
    </row>
    <row r="299">
      <c r="A299" s="404"/>
      <c r="B299" s="404"/>
      <c r="C299" s="404"/>
      <c r="D299" s="404"/>
      <c r="E299" s="404"/>
      <c r="F299" s="404"/>
      <c r="G299" s="404"/>
      <c r="H299" s="404"/>
      <c r="I299" s="404"/>
      <c r="J299" s="404"/>
      <c r="K299" s="404"/>
      <c r="L299" s="404"/>
      <c r="M299" s="404"/>
      <c r="N299" s="404"/>
      <c r="O299" s="404"/>
      <c r="P299" s="404"/>
      <c r="Q299" s="404"/>
      <c r="R299" s="404"/>
      <c r="S299" s="404"/>
      <c r="T299" s="404"/>
      <c r="U299" s="404"/>
      <c r="V299" s="404"/>
      <c r="W299" s="404"/>
      <c r="X299" s="404"/>
      <c r="Y299" s="404"/>
      <c r="Z299" s="404"/>
    </row>
    <row r="300">
      <c r="A300" s="404"/>
      <c r="B300" s="404"/>
      <c r="C300" s="404"/>
      <c r="D300" s="404"/>
      <c r="E300" s="404"/>
      <c r="F300" s="404"/>
      <c r="G300" s="404"/>
      <c r="H300" s="404"/>
      <c r="I300" s="404"/>
      <c r="J300" s="404"/>
      <c r="K300" s="404"/>
      <c r="L300" s="404"/>
      <c r="M300" s="404"/>
      <c r="N300" s="404"/>
      <c r="O300" s="404"/>
      <c r="P300" s="404"/>
      <c r="Q300" s="404"/>
      <c r="R300" s="404"/>
      <c r="S300" s="404"/>
      <c r="T300" s="404"/>
      <c r="U300" s="404"/>
      <c r="V300" s="404"/>
      <c r="W300" s="404"/>
      <c r="X300" s="404"/>
      <c r="Y300" s="404"/>
      <c r="Z300" s="404"/>
    </row>
    <row r="301">
      <c r="A301" s="404"/>
      <c r="B301" s="404"/>
      <c r="C301" s="404"/>
      <c r="D301" s="404"/>
      <c r="E301" s="404"/>
      <c r="F301" s="404"/>
      <c r="G301" s="404"/>
      <c r="H301" s="404"/>
      <c r="I301" s="404"/>
      <c r="J301" s="404"/>
      <c r="K301" s="404"/>
      <c r="L301" s="404"/>
      <c r="M301" s="404"/>
      <c r="N301" s="404"/>
      <c r="O301" s="404"/>
      <c r="P301" s="404"/>
      <c r="Q301" s="404"/>
      <c r="R301" s="404"/>
      <c r="S301" s="404"/>
      <c r="T301" s="404"/>
      <c r="U301" s="404"/>
      <c r="V301" s="404"/>
      <c r="W301" s="404"/>
      <c r="X301" s="404"/>
      <c r="Y301" s="404"/>
      <c r="Z301" s="404"/>
    </row>
    <row r="302">
      <c r="A302" s="404"/>
      <c r="B302" s="404"/>
      <c r="C302" s="404"/>
      <c r="D302" s="404"/>
      <c r="E302" s="404"/>
      <c r="F302" s="404"/>
      <c r="G302" s="404"/>
      <c r="H302" s="404"/>
      <c r="I302" s="404"/>
      <c r="J302" s="404"/>
      <c r="K302" s="404"/>
      <c r="L302" s="404"/>
      <c r="M302" s="404"/>
      <c r="N302" s="404"/>
      <c r="O302" s="404"/>
      <c r="P302" s="404"/>
      <c r="Q302" s="404"/>
      <c r="R302" s="404"/>
      <c r="S302" s="404"/>
      <c r="T302" s="404"/>
      <c r="U302" s="404"/>
      <c r="V302" s="404"/>
      <c r="W302" s="404"/>
      <c r="X302" s="404"/>
      <c r="Y302" s="404"/>
      <c r="Z302" s="404"/>
    </row>
    <row r="303">
      <c r="A303" s="404"/>
      <c r="B303" s="404"/>
      <c r="C303" s="404"/>
      <c r="D303" s="404"/>
      <c r="E303" s="404"/>
      <c r="F303" s="404"/>
      <c r="G303" s="404"/>
      <c r="H303" s="404"/>
      <c r="I303" s="404"/>
      <c r="J303" s="404"/>
      <c r="K303" s="404"/>
      <c r="L303" s="404"/>
      <c r="M303" s="404"/>
      <c r="N303" s="404"/>
      <c r="O303" s="404"/>
      <c r="P303" s="404"/>
      <c r="Q303" s="404"/>
      <c r="R303" s="404"/>
      <c r="S303" s="404"/>
      <c r="T303" s="404"/>
      <c r="U303" s="404"/>
      <c r="V303" s="404"/>
      <c r="W303" s="404"/>
      <c r="X303" s="404"/>
      <c r="Y303" s="404"/>
      <c r="Z303" s="404"/>
    </row>
    <row r="304">
      <c r="A304" s="404"/>
      <c r="B304" s="404"/>
      <c r="C304" s="404"/>
      <c r="D304" s="404"/>
      <c r="E304" s="404"/>
      <c r="F304" s="404"/>
      <c r="G304" s="404"/>
      <c r="H304" s="404"/>
      <c r="I304" s="404"/>
      <c r="J304" s="404"/>
      <c r="K304" s="404"/>
      <c r="L304" s="404"/>
      <c r="M304" s="404"/>
      <c r="N304" s="404"/>
      <c r="O304" s="404"/>
      <c r="P304" s="404"/>
      <c r="Q304" s="404"/>
      <c r="R304" s="404"/>
      <c r="S304" s="404"/>
      <c r="T304" s="404"/>
      <c r="U304" s="404"/>
      <c r="V304" s="404"/>
      <c r="W304" s="404"/>
      <c r="X304" s="404"/>
      <c r="Y304" s="404"/>
      <c r="Z304" s="404"/>
    </row>
    <row r="305">
      <c r="A305" s="404"/>
      <c r="B305" s="404"/>
      <c r="C305" s="404"/>
      <c r="D305" s="404"/>
      <c r="E305" s="404"/>
      <c r="F305" s="404"/>
      <c r="G305" s="404"/>
      <c r="H305" s="404"/>
      <c r="I305" s="404"/>
      <c r="J305" s="404"/>
      <c r="K305" s="404"/>
      <c r="L305" s="404"/>
      <c r="M305" s="404"/>
      <c r="N305" s="404"/>
      <c r="O305" s="404"/>
      <c r="P305" s="404"/>
      <c r="Q305" s="404"/>
      <c r="R305" s="404"/>
      <c r="S305" s="404"/>
      <c r="T305" s="404"/>
      <c r="U305" s="404"/>
      <c r="V305" s="404"/>
      <c r="W305" s="404"/>
      <c r="X305" s="404"/>
      <c r="Y305" s="404"/>
      <c r="Z305" s="404"/>
    </row>
    <row r="306">
      <c r="A306" s="404"/>
      <c r="B306" s="404"/>
      <c r="C306" s="404"/>
      <c r="D306" s="404"/>
      <c r="E306" s="404"/>
      <c r="F306" s="404"/>
      <c r="G306" s="404"/>
      <c r="H306" s="404"/>
      <c r="I306" s="404"/>
      <c r="J306" s="404"/>
      <c r="K306" s="404"/>
      <c r="L306" s="404"/>
      <c r="M306" s="404"/>
      <c r="N306" s="404"/>
      <c r="O306" s="404"/>
      <c r="P306" s="404"/>
      <c r="Q306" s="404"/>
      <c r="R306" s="404"/>
      <c r="S306" s="404"/>
      <c r="T306" s="404"/>
      <c r="U306" s="404"/>
      <c r="V306" s="404"/>
      <c r="W306" s="404"/>
      <c r="X306" s="404"/>
      <c r="Y306" s="404"/>
      <c r="Z306" s="404"/>
    </row>
    <row r="307">
      <c r="A307" s="404"/>
      <c r="B307" s="404"/>
      <c r="C307" s="404"/>
      <c r="D307" s="404"/>
      <c r="E307" s="404"/>
      <c r="F307" s="404"/>
      <c r="G307" s="404"/>
      <c r="H307" s="404"/>
      <c r="I307" s="404"/>
      <c r="J307" s="404"/>
      <c r="K307" s="404"/>
      <c r="L307" s="404"/>
      <c r="M307" s="404"/>
      <c r="N307" s="404"/>
      <c r="O307" s="404"/>
      <c r="P307" s="404"/>
      <c r="Q307" s="404"/>
      <c r="R307" s="404"/>
      <c r="S307" s="404"/>
      <c r="T307" s="404"/>
      <c r="U307" s="404"/>
      <c r="V307" s="404"/>
      <c r="W307" s="404"/>
      <c r="X307" s="404"/>
      <c r="Y307" s="404"/>
      <c r="Z307" s="404"/>
    </row>
    <row r="308">
      <c r="A308" s="404"/>
      <c r="B308" s="404"/>
      <c r="C308" s="404"/>
      <c r="D308" s="404"/>
      <c r="E308" s="404"/>
      <c r="F308" s="404"/>
      <c r="G308" s="404"/>
      <c r="H308" s="404"/>
      <c r="I308" s="404"/>
      <c r="J308" s="404"/>
      <c r="K308" s="404"/>
      <c r="L308" s="404"/>
      <c r="M308" s="404"/>
      <c r="N308" s="404"/>
      <c r="O308" s="404"/>
      <c r="P308" s="404"/>
      <c r="Q308" s="404"/>
      <c r="R308" s="404"/>
      <c r="S308" s="404"/>
      <c r="T308" s="404"/>
      <c r="U308" s="404"/>
      <c r="V308" s="404"/>
      <c r="W308" s="404"/>
      <c r="X308" s="404"/>
      <c r="Y308" s="404"/>
      <c r="Z308" s="404"/>
    </row>
    <row r="309">
      <c r="A309" s="404"/>
      <c r="B309" s="404"/>
      <c r="C309" s="404"/>
      <c r="D309" s="404"/>
      <c r="E309" s="404"/>
      <c r="F309" s="404"/>
      <c r="G309" s="404"/>
      <c r="H309" s="404"/>
      <c r="I309" s="404"/>
      <c r="J309" s="404"/>
      <c r="K309" s="404"/>
      <c r="L309" s="404"/>
      <c r="M309" s="404"/>
      <c r="N309" s="404"/>
      <c r="O309" s="404"/>
      <c r="P309" s="404"/>
      <c r="Q309" s="404"/>
      <c r="R309" s="404"/>
      <c r="S309" s="404"/>
      <c r="T309" s="404"/>
      <c r="U309" s="404"/>
      <c r="V309" s="404"/>
      <c r="W309" s="404"/>
      <c r="X309" s="404"/>
      <c r="Y309" s="404"/>
      <c r="Z309" s="404"/>
    </row>
    <row r="310">
      <c r="A310" s="404"/>
      <c r="B310" s="404"/>
      <c r="C310" s="404"/>
      <c r="D310" s="404"/>
      <c r="E310" s="404"/>
      <c r="F310" s="404"/>
      <c r="G310" s="404"/>
      <c r="H310" s="404"/>
      <c r="I310" s="404"/>
      <c r="J310" s="404"/>
      <c r="K310" s="404"/>
      <c r="L310" s="404"/>
      <c r="M310" s="404"/>
      <c r="N310" s="404"/>
      <c r="O310" s="404"/>
      <c r="P310" s="404"/>
      <c r="Q310" s="404"/>
      <c r="R310" s="404"/>
      <c r="S310" s="404"/>
      <c r="T310" s="404"/>
      <c r="U310" s="404"/>
      <c r="V310" s="404"/>
      <c r="W310" s="404"/>
      <c r="X310" s="404"/>
      <c r="Y310" s="404"/>
      <c r="Z310" s="404"/>
    </row>
    <row r="311">
      <c r="A311" s="404"/>
      <c r="B311" s="404"/>
      <c r="C311" s="404"/>
      <c r="D311" s="404"/>
      <c r="E311" s="404"/>
      <c r="F311" s="404"/>
      <c r="G311" s="404"/>
      <c r="H311" s="404"/>
      <c r="I311" s="404"/>
      <c r="J311" s="404"/>
      <c r="K311" s="404"/>
      <c r="L311" s="404"/>
      <c r="M311" s="404"/>
      <c r="N311" s="404"/>
      <c r="O311" s="404"/>
      <c r="P311" s="404"/>
      <c r="Q311" s="404"/>
      <c r="R311" s="404"/>
      <c r="S311" s="404"/>
      <c r="T311" s="404"/>
      <c r="U311" s="404"/>
      <c r="V311" s="404"/>
      <c r="W311" s="404"/>
      <c r="X311" s="404"/>
      <c r="Y311" s="404"/>
      <c r="Z311" s="404"/>
    </row>
    <row r="312">
      <c r="A312" s="404"/>
      <c r="B312" s="404"/>
      <c r="C312" s="404"/>
      <c r="D312" s="404"/>
      <c r="E312" s="404"/>
      <c r="F312" s="404"/>
      <c r="G312" s="404"/>
      <c r="H312" s="404"/>
      <c r="I312" s="404"/>
      <c r="J312" s="404"/>
      <c r="K312" s="404"/>
      <c r="L312" s="404"/>
      <c r="M312" s="404"/>
      <c r="N312" s="404"/>
      <c r="O312" s="404"/>
      <c r="P312" s="404"/>
      <c r="Q312" s="404"/>
      <c r="R312" s="404"/>
      <c r="S312" s="404"/>
      <c r="T312" s="404"/>
      <c r="U312" s="404"/>
      <c r="V312" s="404"/>
      <c r="W312" s="404"/>
      <c r="X312" s="404"/>
      <c r="Y312" s="404"/>
      <c r="Z312" s="404"/>
    </row>
    <row r="313">
      <c r="A313" s="404"/>
      <c r="B313" s="404"/>
      <c r="C313" s="404"/>
      <c r="D313" s="404"/>
      <c r="E313" s="404"/>
      <c r="F313" s="404"/>
      <c r="G313" s="404"/>
      <c r="H313" s="404"/>
      <c r="I313" s="404"/>
      <c r="J313" s="404"/>
      <c r="K313" s="404"/>
      <c r="L313" s="404"/>
      <c r="M313" s="404"/>
      <c r="N313" s="404"/>
      <c r="O313" s="404"/>
      <c r="P313" s="404"/>
      <c r="Q313" s="404"/>
      <c r="R313" s="404"/>
      <c r="S313" s="404"/>
      <c r="T313" s="404"/>
      <c r="U313" s="404"/>
      <c r="V313" s="404"/>
      <c r="W313" s="404"/>
      <c r="X313" s="404"/>
      <c r="Y313" s="404"/>
      <c r="Z313" s="404"/>
    </row>
    <row r="314">
      <c r="A314" s="404"/>
      <c r="B314" s="404"/>
      <c r="C314" s="404"/>
      <c r="D314" s="404"/>
      <c r="E314" s="404"/>
      <c r="F314" s="404"/>
      <c r="G314" s="404"/>
      <c r="H314" s="404"/>
      <c r="I314" s="404"/>
      <c r="J314" s="404"/>
      <c r="K314" s="404"/>
      <c r="L314" s="404"/>
      <c r="M314" s="404"/>
      <c r="N314" s="404"/>
      <c r="O314" s="404"/>
      <c r="P314" s="404"/>
      <c r="Q314" s="404"/>
      <c r="R314" s="404"/>
      <c r="S314" s="404"/>
      <c r="T314" s="404"/>
      <c r="U314" s="404"/>
      <c r="V314" s="404"/>
      <c r="W314" s="404"/>
      <c r="X314" s="404"/>
      <c r="Y314" s="404"/>
      <c r="Z314" s="404"/>
    </row>
    <row r="315">
      <c r="A315" s="404"/>
      <c r="B315" s="404"/>
      <c r="C315" s="404"/>
      <c r="D315" s="404"/>
      <c r="E315" s="404"/>
      <c r="F315" s="404"/>
      <c r="G315" s="404"/>
      <c r="H315" s="404"/>
      <c r="I315" s="404"/>
      <c r="J315" s="404"/>
      <c r="K315" s="404"/>
      <c r="L315" s="404"/>
      <c r="M315" s="404"/>
      <c r="N315" s="404"/>
      <c r="O315" s="404"/>
      <c r="P315" s="404"/>
      <c r="Q315" s="404"/>
      <c r="R315" s="404"/>
      <c r="S315" s="404"/>
      <c r="T315" s="404"/>
      <c r="U315" s="404"/>
      <c r="V315" s="404"/>
      <c r="W315" s="404"/>
      <c r="X315" s="404"/>
      <c r="Y315" s="404"/>
      <c r="Z315" s="404"/>
    </row>
    <row r="316">
      <c r="A316" s="404"/>
      <c r="B316" s="404"/>
      <c r="C316" s="404"/>
      <c r="D316" s="404"/>
      <c r="E316" s="404"/>
      <c r="F316" s="404"/>
      <c r="G316" s="404"/>
      <c r="H316" s="404"/>
      <c r="I316" s="404"/>
      <c r="J316" s="404"/>
      <c r="K316" s="404"/>
      <c r="L316" s="404"/>
      <c r="M316" s="404"/>
      <c r="N316" s="404"/>
      <c r="O316" s="404"/>
      <c r="P316" s="404"/>
      <c r="Q316" s="404"/>
      <c r="R316" s="404"/>
      <c r="S316" s="404"/>
      <c r="T316" s="404"/>
      <c r="U316" s="404"/>
      <c r="V316" s="404"/>
      <c r="W316" s="404"/>
      <c r="X316" s="404"/>
      <c r="Y316" s="404"/>
      <c r="Z316" s="404"/>
    </row>
    <row r="317">
      <c r="A317" s="404"/>
      <c r="B317" s="404"/>
      <c r="C317" s="404"/>
      <c r="D317" s="404"/>
      <c r="E317" s="404"/>
      <c r="F317" s="404"/>
      <c r="G317" s="404"/>
      <c r="H317" s="404"/>
      <c r="I317" s="404"/>
      <c r="J317" s="404"/>
      <c r="K317" s="404"/>
      <c r="L317" s="404"/>
      <c r="M317" s="404"/>
      <c r="N317" s="404"/>
      <c r="O317" s="404"/>
      <c r="P317" s="404"/>
      <c r="Q317" s="404"/>
      <c r="R317" s="404"/>
      <c r="S317" s="404"/>
      <c r="T317" s="404"/>
      <c r="U317" s="404"/>
      <c r="V317" s="404"/>
      <c r="W317" s="404"/>
      <c r="X317" s="404"/>
      <c r="Y317" s="404"/>
      <c r="Z317" s="404"/>
    </row>
    <row r="318">
      <c r="A318" s="404"/>
      <c r="B318" s="404"/>
      <c r="C318" s="404"/>
      <c r="D318" s="404"/>
      <c r="E318" s="404"/>
      <c r="F318" s="404"/>
      <c r="G318" s="404"/>
      <c r="H318" s="404"/>
      <c r="I318" s="404"/>
      <c r="J318" s="404"/>
      <c r="K318" s="404"/>
      <c r="L318" s="404"/>
      <c r="M318" s="404"/>
      <c r="N318" s="404"/>
      <c r="O318" s="404"/>
      <c r="P318" s="404"/>
      <c r="Q318" s="404"/>
      <c r="R318" s="404"/>
      <c r="S318" s="404"/>
      <c r="T318" s="404"/>
      <c r="U318" s="404"/>
      <c r="V318" s="404"/>
      <c r="W318" s="404"/>
      <c r="X318" s="404"/>
      <c r="Y318" s="404"/>
      <c r="Z318" s="404"/>
    </row>
    <row r="319">
      <c r="A319" s="404"/>
      <c r="B319" s="404"/>
      <c r="C319" s="404"/>
      <c r="D319" s="404"/>
      <c r="E319" s="404"/>
      <c r="F319" s="404"/>
      <c r="G319" s="404"/>
      <c r="H319" s="404"/>
      <c r="I319" s="404"/>
      <c r="J319" s="404"/>
      <c r="K319" s="404"/>
      <c r="L319" s="404"/>
      <c r="M319" s="404"/>
      <c r="N319" s="404"/>
      <c r="O319" s="404"/>
      <c r="P319" s="404"/>
      <c r="Q319" s="404"/>
      <c r="R319" s="404"/>
      <c r="S319" s="404"/>
      <c r="T319" s="404"/>
      <c r="U319" s="404"/>
      <c r="V319" s="404"/>
      <c r="W319" s="404"/>
      <c r="X319" s="404"/>
      <c r="Y319" s="404"/>
      <c r="Z319" s="404"/>
    </row>
    <row r="320">
      <c r="A320" s="404"/>
      <c r="B320" s="404"/>
      <c r="C320" s="404"/>
      <c r="D320" s="404"/>
      <c r="E320" s="404"/>
      <c r="F320" s="404"/>
      <c r="G320" s="404"/>
      <c r="H320" s="404"/>
      <c r="I320" s="404"/>
      <c r="J320" s="404"/>
      <c r="K320" s="404"/>
      <c r="L320" s="404"/>
      <c r="M320" s="404"/>
      <c r="N320" s="404"/>
      <c r="O320" s="404"/>
      <c r="P320" s="404"/>
      <c r="Q320" s="404"/>
      <c r="R320" s="404"/>
      <c r="S320" s="404"/>
      <c r="T320" s="404"/>
      <c r="U320" s="404"/>
      <c r="V320" s="404"/>
      <c r="W320" s="404"/>
      <c r="X320" s="404"/>
      <c r="Y320" s="404"/>
      <c r="Z320" s="404"/>
    </row>
    <row r="321">
      <c r="A321" s="404"/>
      <c r="B321" s="404"/>
      <c r="C321" s="404"/>
      <c r="D321" s="404"/>
      <c r="E321" s="404"/>
      <c r="F321" s="404"/>
      <c r="G321" s="404"/>
      <c r="H321" s="404"/>
      <c r="I321" s="404"/>
      <c r="J321" s="404"/>
      <c r="K321" s="404"/>
      <c r="L321" s="404"/>
      <c r="M321" s="404"/>
      <c r="N321" s="404"/>
      <c r="O321" s="404"/>
      <c r="P321" s="404"/>
      <c r="Q321" s="404"/>
      <c r="R321" s="404"/>
      <c r="S321" s="404"/>
      <c r="T321" s="404"/>
      <c r="U321" s="404"/>
      <c r="V321" s="404"/>
      <c r="W321" s="404"/>
      <c r="X321" s="404"/>
      <c r="Y321" s="404"/>
      <c r="Z321" s="404"/>
    </row>
    <row r="322">
      <c r="A322" s="404"/>
      <c r="B322" s="404"/>
      <c r="C322" s="404"/>
      <c r="D322" s="404"/>
      <c r="E322" s="404"/>
      <c r="F322" s="404"/>
      <c r="G322" s="404"/>
      <c r="H322" s="404"/>
      <c r="I322" s="404"/>
      <c r="J322" s="404"/>
      <c r="K322" s="404"/>
      <c r="L322" s="404"/>
      <c r="M322" s="404"/>
      <c r="N322" s="404"/>
      <c r="O322" s="404"/>
      <c r="P322" s="404"/>
      <c r="Q322" s="404"/>
      <c r="R322" s="404"/>
      <c r="S322" s="404"/>
      <c r="T322" s="404"/>
      <c r="U322" s="404"/>
      <c r="V322" s="404"/>
      <c r="W322" s="404"/>
      <c r="X322" s="404"/>
      <c r="Y322" s="404"/>
      <c r="Z322" s="404"/>
    </row>
    <row r="323">
      <c r="A323" s="404"/>
      <c r="B323" s="404"/>
      <c r="C323" s="404"/>
      <c r="D323" s="404"/>
      <c r="E323" s="404"/>
      <c r="F323" s="404"/>
      <c r="G323" s="404"/>
      <c r="H323" s="404"/>
      <c r="I323" s="404"/>
      <c r="J323" s="404"/>
      <c r="K323" s="404"/>
      <c r="L323" s="404"/>
      <c r="M323" s="404"/>
      <c r="N323" s="404"/>
      <c r="O323" s="404"/>
      <c r="P323" s="404"/>
      <c r="Q323" s="404"/>
      <c r="R323" s="404"/>
      <c r="S323" s="404"/>
      <c r="T323" s="404"/>
      <c r="U323" s="404"/>
      <c r="V323" s="404"/>
      <c r="W323" s="404"/>
      <c r="X323" s="404"/>
      <c r="Y323" s="404"/>
      <c r="Z323" s="404"/>
    </row>
    <row r="324">
      <c r="A324" s="404"/>
      <c r="B324" s="404"/>
      <c r="C324" s="404"/>
      <c r="D324" s="404"/>
      <c r="E324" s="404"/>
      <c r="F324" s="404"/>
      <c r="G324" s="404"/>
      <c r="H324" s="404"/>
      <c r="I324" s="404"/>
      <c r="J324" s="404"/>
      <c r="K324" s="404"/>
      <c r="L324" s="404"/>
      <c r="M324" s="404"/>
      <c r="N324" s="404"/>
      <c r="O324" s="404"/>
      <c r="P324" s="404"/>
      <c r="Q324" s="404"/>
      <c r="R324" s="404"/>
      <c r="S324" s="404"/>
      <c r="T324" s="404"/>
      <c r="U324" s="404"/>
      <c r="V324" s="404"/>
      <c r="W324" s="404"/>
      <c r="X324" s="404"/>
      <c r="Y324" s="404"/>
      <c r="Z324" s="404"/>
    </row>
    <row r="325">
      <c r="A325" s="404"/>
      <c r="B325" s="404"/>
      <c r="C325" s="404"/>
      <c r="D325" s="404"/>
      <c r="E325" s="404"/>
      <c r="F325" s="404"/>
      <c r="G325" s="404"/>
      <c r="H325" s="404"/>
      <c r="I325" s="404"/>
      <c r="J325" s="404"/>
      <c r="K325" s="404"/>
      <c r="L325" s="404"/>
      <c r="M325" s="404"/>
      <c r="N325" s="404"/>
      <c r="O325" s="404"/>
      <c r="P325" s="404"/>
      <c r="Q325" s="404"/>
      <c r="R325" s="404"/>
      <c r="S325" s="404"/>
      <c r="T325" s="404"/>
      <c r="U325" s="404"/>
      <c r="V325" s="404"/>
      <c r="W325" s="404"/>
      <c r="X325" s="404"/>
      <c r="Y325" s="404"/>
      <c r="Z325" s="404"/>
    </row>
    <row r="326">
      <c r="A326" s="404"/>
      <c r="B326" s="404"/>
      <c r="C326" s="404"/>
      <c r="D326" s="404"/>
      <c r="E326" s="404"/>
      <c r="F326" s="404"/>
      <c r="G326" s="404"/>
      <c r="H326" s="404"/>
      <c r="I326" s="404"/>
      <c r="J326" s="404"/>
      <c r="K326" s="404"/>
      <c r="L326" s="404"/>
      <c r="M326" s="404"/>
      <c r="N326" s="404"/>
      <c r="O326" s="404"/>
      <c r="P326" s="404"/>
      <c r="Q326" s="404"/>
      <c r="R326" s="404"/>
      <c r="S326" s="404"/>
      <c r="T326" s="404"/>
      <c r="U326" s="404"/>
      <c r="V326" s="404"/>
      <c r="W326" s="404"/>
      <c r="X326" s="404"/>
      <c r="Y326" s="404"/>
      <c r="Z326" s="404"/>
    </row>
    <row r="327">
      <c r="A327" s="404"/>
      <c r="B327" s="404"/>
      <c r="C327" s="404"/>
      <c r="D327" s="404"/>
      <c r="E327" s="404"/>
      <c r="F327" s="404"/>
      <c r="G327" s="404"/>
      <c r="H327" s="404"/>
      <c r="I327" s="404"/>
      <c r="J327" s="404"/>
      <c r="K327" s="404"/>
      <c r="L327" s="404"/>
      <c r="M327" s="404"/>
      <c r="N327" s="404"/>
      <c r="O327" s="404"/>
      <c r="P327" s="404"/>
      <c r="Q327" s="404"/>
      <c r="R327" s="404"/>
      <c r="S327" s="404"/>
      <c r="T327" s="404"/>
      <c r="U327" s="404"/>
      <c r="V327" s="404"/>
      <c r="W327" s="404"/>
      <c r="X327" s="404"/>
      <c r="Y327" s="404"/>
      <c r="Z327" s="404"/>
    </row>
    <row r="328">
      <c r="A328" s="404"/>
      <c r="B328" s="404"/>
      <c r="C328" s="404"/>
      <c r="D328" s="404"/>
      <c r="E328" s="404"/>
      <c r="F328" s="404"/>
      <c r="G328" s="404"/>
      <c r="H328" s="404"/>
      <c r="I328" s="404"/>
      <c r="J328" s="404"/>
      <c r="K328" s="404"/>
      <c r="L328" s="404"/>
      <c r="M328" s="404"/>
      <c r="N328" s="404"/>
      <c r="O328" s="404"/>
      <c r="P328" s="404"/>
      <c r="Q328" s="404"/>
      <c r="R328" s="404"/>
      <c r="S328" s="404"/>
      <c r="T328" s="404"/>
      <c r="U328" s="404"/>
      <c r="V328" s="404"/>
      <c r="W328" s="404"/>
      <c r="X328" s="404"/>
      <c r="Y328" s="404"/>
      <c r="Z328" s="404"/>
    </row>
    <row r="329">
      <c r="A329" s="404"/>
      <c r="B329" s="404"/>
      <c r="C329" s="404"/>
      <c r="D329" s="404"/>
      <c r="E329" s="404"/>
      <c r="F329" s="404"/>
      <c r="G329" s="404"/>
      <c r="H329" s="404"/>
      <c r="I329" s="404"/>
      <c r="J329" s="404"/>
      <c r="K329" s="404"/>
      <c r="L329" s="404"/>
      <c r="M329" s="404"/>
      <c r="N329" s="404"/>
      <c r="O329" s="404"/>
      <c r="P329" s="404"/>
      <c r="Q329" s="404"/>
      <c r="R329" s="404"/>
      <c r="S329" s="404"/>
      <c r="T329" s="404"/>
      <c r="U329" s="404"/>
      <c r="V329" s="404"/>
      <c r="W329" s="404"/>
      <c r="X329" s="404"/>
      <c r="Y329" s="404"/>
      <c r="Z329" s="404"/>
    </row>
    <row r="330">
      <c r="A330" s="404"/>
      <c r="B330" s="404"/>
      <c r="C330" s="404"/>
      <c r="D330" s="404"/>
      <c r="E330" s="404"/>
      <c r="F330" s="404"/>
      <c r="G330" s="404"/>
      <c r="H330" s="404"/>
      <c r="I330" s="404"/>
      <c r="J330" s="404"/>
      <c r="K330" s="404"/>
      <c r="L330" s="404"/>
      <c r="M330" s="404"/>
      <c r="N330" s="404"/>
      <c r="O330" s="404"/>
      <c r="P330" s="404"/>
      <c r="Q330" s="404"/>
      <c r="R330" s="404"/>
      <c r="S330" s="404"/>
      <c r="T330" s="404"/>
      <c r="U330" s="404"/>
      <c r="V330" s="404"/>
      <c r="W330" s="404"/>
      <c r="X330" s="404"/>
      <c r="Y330" s="404"/>
      <c r="Z330" s="404"/>
    </row>
    <row r="331">
      <c r="A331" s="404"/>
      <c r="B331" s="404"/>
      <c r="C331" s="404"/>
      <c r="D331" s="404"/>
      <c r="E331" s="404"/>
      <c r="F331" s="404"/>
      <c r="G331" s="404"/>
      <c r="H331" s="404"/>
      <c r="I331" s="404"/>
      <c r="J331" s="404"/>
      <c r="K331" s="404"/>
      <c r="L331" s="404"/>
      <c r="M331" s="404"/>
      <c r="N331" s="404"/>
      <c r="O331" s="404"/>
      <c r="P331" s="404"/>
      <c r="Q331" s="404"/>
      <c r="R331" s="404"/>
      <c r="S331" s="404"/>
      <c r="T331" s="404"/>
      <c r="U331" s="404"/>
      <c r="V331" s="404"/>
      <c r="W331" s="404"/>
      <c r="X331" s="404"/>
      <c r="Y331" s="404"/>
      <c r="Z331" s="404"/>
    </row>
    <row r="332">
      <c r="A332" s="404"/>
      <c r="B332" s="404"/>
      <c r="C332" s="404"/>
      <c r="D332" s="404"/>
      <c r="E332" s="404"/>
      <c r="F332" s="404"/>
      <c r="G332" s="404"/>
      <c r="H332" s="404"/>
      <c r="I332" s="404"/>
      <c r="J332" s="404"/>
      <c r="K332" s="404"/>
      <c r="L332" s="404"/>
      <c r="M332" s="404"/>
      <c r="N332" s="404"/>
      <c r="O332" s="404"/>
      <c r="P332" s="404"/>
      <c r="Q332" s="404"/>
      <c r="R332" s="404"/>
      <c r="S332" s="404"/>
      <c r="T332" s="404"/>
      <c r="U332" s="404"/>
      <c r="V332" s="404"/>
      <c r="W332" s="404"/>
      <c r="X332" s="404"/>
      <c r="Y332" s="404"/>
      <c r="Z332" s="404"/>
    </row>
    <row r="333">
      <c r="A333" s="404"/>
      <c r="B333" s="404"/>
      <c r="C333" s="404"/>
      <c r="D333" s="404"/>
      <c r="E333" s="404"/>
      <c r="F333" s="404"/>
      <c r="G333" s="404"/>
      <c r="H333" s="404"/>
      <c r="I333" s="404"/>
      <c r="J333" s="404"/>
      <c r="K333" s="404"/>
      <c r="L333" s="404"/>
      <c r="M333" s="404"/>
      <c r="N333" s="404"/>
      <c r="O333" s="404"/>
      <c r="P333" s="404"/>
      <c r="Q333" s="404"/>
      <c r="R333" s="404"/>
      <c r="S333" s="404"/>
      <c r="T333" s="404"/>
      <c r="U333" s="404"/>
      <c r="V333" s="404"/>
      <c r="W333" s="404"/>
      <c r="X333" s="404"/>
      <c r="Y333" s="404"/>
      <c r="Z333" s="404"/>
    </row>
    <row r="334">
      <c r="A334" s="404"/>
      <c r="B334" s="404"/>
      <c r="C334" s="404"/>
      <c r="D334" s="404"/>
      <c r="E334" s="404"/>
      <c r="F334" s="404"/>
      <c r="G334" s="404"/>
      <c r="H334" s="404"/>
      <c r="I334" s="404"/>
      <c r="J334" s="404"/>
      <c r="K334" s="404"/>
      <c r="L334" s="404"/>
      <c r="M334" s="404"/>
      <c r="N334" s="404"/>
      <c r="O334" s="404"/>
      <c r="P334" s="404"/>
      <c r="Q334" s="404"/>
      <c r="R334" s="404"/>
      <c r="S334" s="404"/>
      <c r="T334" s="404"/>
      <c r="U334" s="404"/>
      <c r="V334" s="404"/>
      <c r="W334" s="404"/>
      <c r="X334" s="404"/>
      <c r="Y334" s="404"/>
      <c r="Z334" s="404"/>
    </row>
    <row r="335">
      <c r="A335" s="404"/>
      <c r="B335" s="404"/>
      <c r="C335" s="404"/>
      <c r="D335" s="404"/>
      <c r="E335" s="404"/>
      <c r="F335" s="404"/>
      <c r="G335" s="404"/>
      <c r="H335" s="404"/>
      <c r="I335" s="404"/>
      <c r="J335" s="404"/>
      <c r="K335" s="404"/>
      <c r="L335" s="404"/>
      <c r="M335" s="404"/>
      <c r="N335" s="404"/>
      <c r="O335" s="404"/>
      <c r="P335" s="404"/>
      <c r="Q335" s="404"/>
      <c r="R335" s="404"/>
      <c r="S335" s="404"/>
      <c r="T335" s="404"/>
      <c r="U335" s="404"/>
      <c r="V335" s="404"/>
      <c r="W335" s="404"/>
      <c r="X335" s="404"/>
      <c r="Y335" s="404"/>
      <c r="Z335" s="404"/>
    </row>
    <row r="336">
      <c r="A336" s="404"/>
      <c r="B336" s="404"/>
      <c r="C336" s="404"/>
      <c r="D336" s="404"/>
      <c r="E336" s="404"/>
      <c r="F336" s="404"/>
      <c r="G336" s="404"/>
      <c r="H336" s="404"/>
      <c r="I336" s="404"/>
      <c r="J336" s="404"/>
      <c r="K336" s="404"/>
      <c r="L336" s="404"/>
      <c r="M336" s="404"/>
      <c r="N336" s="404"/>
      <c r="O336" s="404"/>
      <c r="P336" s="404"/>
      <c r="Q336" s="404"/>
      <c r="R336" s="404"/>
      <c r="S336" s="404"/>
      <c r="T336" s="404"/>
      <c r="U336" s="404"/>
      <c r="V336" s="404"/>
      <c r="W336" s="404"/>
      <c r="X336" s="404"/>
      <c r="Y336" s="404"/>
      <c r="Z336" s="404"/>
    </row>
    <row r="337">
      <c r="A337" s="404"/>
      <c r="B337" s="404"/>
      <c r="C337" s="404"/>
      <c r="D337" s="404"/>
      <c r="E337" s="404"/>
      <c r="F337" s="404"/>
      <c r="G337" s="404"/>
      <c r="H337" s="404"/>
      <c r="I337" s="404"/>
      <c r="J337" s="404"/>
      <c r="K337" s="404"/>
      <c r="L337" s="404"/>
      <c r="M337" s="404"/>
      <c r="N337" s="404"/>
      <c r="O337" s="404"/>
      <c r="P337" s="404"/>
      <c r="Q337" s="404"/>
      <c r="R337" s="404"/>
      <c r="S337" s="404"/>
      <c r="T337" s="404"/>
      <c r="U337" s="404"/>
      <c r="V337" s="404"/>
      <c r="W337" s="404"/>
      <c r="X337" s="404"/>
      <c r="Y337" s="404"/>
      <c r="Z337" s="404"/>
    </row>
    <row r="338">
      <c r="A338" s="404"/>
      <c r="B338" s="404"/>
      <c r="C338" s="404"/>
      <c r="D338" s="404"/>
      <c r="E338" s="404"/>
      <c r="F338" s="404"/>
      <c r="G338" s="404"/>
      <c r="H338" s="404"/>
      <c r="I338" s="404"/>
      <c r="J338" s="404"/>
      <c r="K338" s="404"/>
      <c r="L338" s="404"/>
      <c r="M338" s="404"/>
      <c r="N338" s="404"/>
      <c r="O338" s="404"/>
      <c r="P338" s="404"/>
      <c r="Q338" s="404"/>
      <c r="R338" s="404"/>
      <c r="S338" s="404"/>
      <c r="T338" s="404"/>
      <c r="U338" s="404"/>
      <c r="V338" s="404"/>
      <c r="W338" s="404"/>
      <c r="X338" s="404"/>
      <c r="Y338" s="404"/>
      <c r="Z338" s="404"/>
    </row>
    <row r="339">
      <c r="A339" s="404"/>
      <c r="B339" s="404"/>
      <c r="C339" s="404"/>
      <c r="D339" s="404"/>
      <c r="E339" s="404"/>
      <c r="F339" s="404"/>
      <c r="G339" s="404"/>
      <c r="H339" s="404"/>
      <c r="I339" s="404"/>
      <c r="J339" s="404"/>
      <c r="K339" s="404"/>
      <c r="L339" s="404"/>
      <c r="M339" s="404"/>
      <c r="N339" s="404"/>
      <c r="O339" s="404"/>
      <c r="P339" s="404"/>
      <c r="Q339" s="404"/>
      <c r="R339" s="404"/>
      <c r="S339" s="404"/>
      <c r="T339" s="404"/>
      <c r="U339" s="404"/>
      <c r="V339" s="404"/>
      <c r="W339" s="404"/>
      <c r="X339" s="404"/>
      <c r="Y339" s="404"/>
      <c r="Z339" s="404"/>
    </row>
    <row r="340">
      <c r="A340" s="404"/>
      <c r="B340" s="404"/>
      <c r="C340" s="404"/>
      <c r="D340" s="404"/>
      <c r="E340" s="404"/>
      <c r="F340" s="404"/>
      <c r="G340" s="404"/>
      <c r="H340" s="404"/>
      <c r="I340" s="404"/>
      <c r="J340" s="404"/>
      <c r="K340" s="404"/>
      <c r="L340" s="404"/>
      <c r="M340" s="404"/>
      <c r="N340" s="404"/>
      <c r="O340" s="404"/>
      <c r="P340" s="404"/>
      <c r="Q340" s="404"/>
      <c r="R340" s="404"/>
      <c r="S340" s="404"/>
      <c r="T340" s="404"/>
      <c r="U340" s="404"/>
      <c r="V340" s="404"/>
      <c r="W340" s="404"/>
      <c r="X340" s="404"/>
      <c r="Y340" s="404"/>
      <c r="Z340" s="404"/>
    </row>
    <row r="341">
      <c r="A341" s="404"/>
      <c r="B341" s="404"/>
      <c r="C341" s="404"/>
      <c r="D341" s="404"/>
      <c r="E341" s="404"/>
      <c r="F341" s="404"/>
      <c r="G341" s="404"/>
      <c r="H341" s="404"/>
      <c r="I341" s="404"/>
      <c r="J341" s="404"/>
      <c r="K341" s="404"/>
      <c r="L341" s="404"/>
      <c r="M341" s="404"/>
      <c r="N341" s="404"/>
      <c r="O341" s="404"/>
      <c r="P341" s="404"/>
      <c r="Q341" s="404"/>
      <c r="R341" s="404"/>
      <c r="S341" s="404"/>
      <c r="T341" s="404"/>
      <c r="U341" s="404"/>
      <c r="V341" s="404"/>
      <c r="W341" s="404"/>
      <c r="X341" s="404"/>
      <c r="Y341" s="404"/>
      <c r="Z341" s="404"/>
    </row>
    <row r="342">
      <c r="A342" s="404"/>
      <c r="B342" s="404"/>
      <c r="C342" s="404"/>
      <c r="D342" s="404"/>
      <c r="E342" s="404"/>
      <c r="F342" s="404"/>
      <c r="G342" s="404"/>
      <c r="H342" s="404"/>
      <c r="I342" s="404"/>
      <c r="J342" s="404"/>
      <c r="K342" s="404"/>
      <c r="L342" s="404"/>
      <c r="M342" s="404"/>
      <c r="N342" s="404"/>
      <c r="O342" s="404"/>
      <c r="P342" s="404"/>
      <c r="Q342" s="404"/>
      <c r="R342" s="404"/>
      <c r="S342" s="404"/>
      <c r="T342" s="404"/>
      <c r="U342" s="404"/>
      <c r="V342" s="404"/>
      <c r="W342" s="404"/>
      <c r="X342" s="404"/>
      <c r="Y342" s="404"/>
      <c r="Z342" s="404"/>
    </row>
    <row r="343">
      <c r="A343" s="404"/>
      <c r="B343" s="404"/>
      <c r="C343" s="404"/>
      <c r="D343" s="404"/>
      <c r="E343" s="404"/>
      <c r="F343" s="404"/>
      <c r="G343" s="404"/>
      <c r="H343" s="404"/>
      <c r="I343" s="404"/>
      <c r="J343" s="404"/>
      <c r="K343" s="404"/>
      <c r="L343" s="404"/>
      <c r="M343" s="404"/>
      <c r="N343" s="404"/>
      <c r="O343" s="404"/>
      <c r="P343" s="404"/>
      <c r="Q343" s="404"/>
      <c r="R343" s="404"/>
      <c r="S343" s="404"/>
      <c r="T343" s="404"/>
      <c r="U343" s="404"/>
      <c r="V343" s="404"/>
      <c r="W343" s="404"/>
      <c r="X343" s="404"/>
      <c r="Y343" s="404"/>
      <c r="Z343" s="404"/>
    </row>
    <row r="344">
      <c r="A344" s="404"/>
      <c r="B344" s="404"/>
      <c r="C344" s="404"/>
      <c r="D344" s="404"/>
      <c r="E344" s="404"/>
      <c r="F344" s="404"/>
      <c r="G344" s="404"/>
      <c r="H344" s="404"/>
      <c r="I344" s="404"/>
      <c r="J344" s="404"/>
      <c r="K344" s="404"/>
      <c r="L344" s="404"/>
      <c r="M344" s="404"/>
      <c r="N344" s="404"/>
      <c r="O344" s="404"/>
      <c r="P344" s="404"/>
      <c r="Q344" s="404"/>
      <c r="R344" s="404"/>
      <c r="S344" s="404"/>
      <c r="T344" s="404"/>
      <c r="U344" s="404"/>
      <c r="V344" s="404"/>
      <c r="W344" s="404"/>
      <c r="X344" s="404"/>
      <c r="Y344" s="404"/>
      <c r="Z344" s="404"/>
    </row>
    <row r="345">
      <c r="A345" s="404"/>
      <c r="B345" s="404"/>
      <c r="C345" s="404"/>
      <c r="D345" s="404"/>
      <c r="E345" s="404"/>
      <c r="F345" s="404"/>
      <c r="G345" s="404"/>
      <c r="H345" s="404"/>
      <c r="I345" s="404"/>
      <c r="J345" s="404"/>
      <c r="K345" s="404"/>
      <c r="L345" s="404"/>
      <c r="M345" s="404"/>
      <c r="N345" s="404"/>
      <c r="O345" s="404"/>
      <c r="P345" s="404"/>
      <c r="Q345" s="404"/>
      <c r="R345" s="404"/>
      <c r="S345" s="404"/>
      <c r="T345" s="404"/>
      <c r="U345" s="404"/>
      <c r="V345" s="404"/>
      <c r="W345" s="404"/>
      <c r="X345" s="404"/>
      <c r="Y345" s="404"/>
      <c r="Z345" s="404"/>
    </row>
    <row r="346">
      <c r="A346" s="404"/>
      <c r="B346" s="404"/>
      <c r="C346" s="404"/>
      <c r="D346" s="404"/>
      <c r="E346" s="404"/>
      <c r="F346" s="404"/>
      <c r="G346" s="404"/>
      <c r="H346" s="404"/>
      <c r="I346" s="404"/>
      <c r="J346" s="404"/>
      <c r="K346" s="404"/>
      <c r="L346" s="404"/>
      <c r="M346" s="404"/>
      <c r="N346" s="404"/>
      <c r="O346" s="404"/>
      <c r="P346" s="404"/>
      <c r="Q346" s="404"/>
      <c r="R346" s="404"/>
      <c r="S346" s="404"/>
      <c r="T346" s="404"/>
      <c r="U346" s="404"/>
      <c r="V346" s="404"/>
      <c r="W346" s="404"/>
      <c r="X346" s="404"/>
      <c r="Y346" s="404"/>
      <c r="Z346" s="404"/>
    </row>
    <row r="347">
      <c r="A347" s="404"/>
      <c r="B347" s="404"/>
      <c r="C347" s="404"/>
      <c r="D347" s="404"/>
      <c r="E347" s="404"/>
      <c r="F347" s="404"/>
      <c r="G347" s="404"/>
      <c r="H347" s="404"/>
      <c r="I347" s="404"/>
      <c r="J347" s="404"/>
      <c r="K347" s="404"/>
      <c r="L347" s="404"/>
      <c r="M347" s="404"/>
      <c r="N347" s="404"/>
      <c r="O347" s="404"/>
      <c r="P347" s="404"/>
      <c r="Q347" s="404"/>
      <c r="R347" s="404"/>
      <c r="S347" s="404"/>
      <c r="T347" s="404"/>
      <c r="U347" s="404"/>
      <c r="V347" s="404"/>
      <c r="W347" s="404"/>
      <c r="X347" s="404"/>
      <c r="Y347" s="404"/>
      <c r="Z347" s="404"/>
    </row>
    <row r="348">
      <c r="A348" s="404"/>
      <c r="B348" s="404"/>
      <c r="C348" s="404"/>
      <c r="D348" s="404"/>
      <c r="E348" s="404"/>
      <c r="F348" s="404"/>
      <c r="G348" s="404"/>
      <c r="H348" s="404"/>
      <c r="I348" s="404"/>
      <c r="J348" s="404"/>
      <c r="K348" s="404"/>
      <c r="L348" s="404"/>
      <c r="M348" s="404"/>
      <c r="N348" s="404"/>
      <c r="O348" s="404"/>
      <c r="P348" s="404"/>
      <c r="Q348" s="404"/>
      <c r="R348" s="404"/>
      <c r="S348" s="404"/>
      <c r="T348" s="404"/>
      <c r="U348" s="404"/>
      <c r="V348" s="404"/>
      <c r="W348" s="404"/>
      <c r="X348" s="404"/>
      <c r="Y348" s="404"/>
      <c r="Z348" s="404"/>
    </row>
    <row r="349">
      <c r="A349" s="404"/>
      <c r="B349" s="404"/>
      <c r="C349" s="404"/>
      <c r="D349" s="404"/>
      <c r="E349" s="404"/>
      <c r="F349" s="404"/>
      <c r="G349" s="404"/>
      <c r="H349" s="404"/>
      <c r="I349" s="404"/>
      <c r="J349" s="404"/>
      <c r="K349" s="404"/>
      <c r="L349" s="404"/>
      <c r="M349" s="404"/>
      <c r="N349" s="404"/>
      <c r="O349" s="404"/>
      <c r="P349" s="404"/>
      <c r="Q349" s="404"/>
      <c r="R349" s="404"/>
      <c r="S349" s="404"/>
      <c r="T349" s="404"/>
      <c r="U349" s="404"/>
      <c r="V349" s="404"/>
      <c r="W349" s="404"/>
      <c r="X349" s="404"/>
      <c r="Y349" s="404"/>
      <c r="Z349" s="404"/>
    </row>
    <row r="350">
      <c r="A350" s="404"/>
      <c r="B350" s="404"/>
      <c r="C350" s="404"/>
      <c r="D350" s="404"/>
      <c r="E350" s="404"/>
      <c r="F350" s="404"/>
      <c r="G350" s="404"/>
      <c r="H350" s="404"/>
      <c r="I350" s="404"/>
      <c r="J350" s="404"/>
      <c r="K350" s="404"/>
      <c r="L350" s="404"/>
      <c r="M350" s="404"/>
      <c r="N350" s="404"/>
      <c r="O350" s="404"/>
      <c r="P350" s="404"/>
      <c r="Q350" s="404"/>
      <c r="R350" s="404"/>
      <c r="S350" s="404"/>
      <c r="T350" s="404"/>
      <c r="U350" s="404"/>
      <c r="V350" s="404"/>
      <c r="W350" s="404"/>
      <c r="X350" s="404"/>
      <c r="Y350" s="404"/>
      <c r="Z350" s="404"/>
    </row>
    <row r="351">
      <c r="A351" s="404"/>
      <c r="B351" s="404"/>
      <c r="C351" s="404"/>
      <c r="D351" s="404"/>
      <c r="E351" s="404"/>
      <c r="F351" s="404"/>
      <c r="G351" s="404"/>
      <c r="H351" s="404"/>
      <c r="I351" s="404"/>
      <c r="J351" s="404"/>
      <c r="K351" s="404"/>
      <c r="L351" s="404"/>
      <c r="M351" s="404"/>
      <c r="N351" s="404"/>
      <c r="O351" s="404"/>
      <c r="P351" s="404"/>
      <c r="Q351" s="404"/>
      <c r="R351" s="404"/>
      <c r="S351" s="404"/>
      <c r="T351" s="404"/>
      <c r="U351" s="404"/>
      <c r="V351" s="404"/>
      <c r="W351" s="404"/>
      <c r="X351" s="404"/>
      <c r="Y351" s="404"/>
      <c r="Z351" s="404"/>
    </row>
    <row r="352">
      <c r="A352" s="404"/>
      <c r="B352" s="404"/>
      <c r="C352" s="404"/>
      <c r="D352" s="404"/>
      <c r="E352" s="404"/>
      <c r="F352" s="404"/>
      <c r="G352" s="404"/>
      <c r="H352" s="404"/>
      <c r="I352" s="404"/>
      <c r="J352" s="404"/>
      <c r="K352" s="404"/>
      <c r="L352" s="404"/>
      <c r="M352" s="404"/>
      <c r="N352" s="404"/>
      <c r="O352" s="404"/>
      <c r="P352" s="404"/>
      <c r="Q352" s="404"/>
      <c r="R352" s="404"/>
      <c r="S352" s="404"/>
      <c r="T352" s="404"/>
      <c r="U352" s="404"/>
      <c r="V352" s="404"/>
      <c r="W352" s="404"/>
      <c r="X352" s="404"/>
      <c r="Y352" s="404"/>
      <c r="Z352" s="404"/>
    </row>
    <row r="353">
      <c r="A353" s="404"/>
      <c r="B353" s="404"/>
      <c r="C353" s="404"/>
      <c r="D353" s="404"/>
      <c r="E353" s="404"/>
      <c r="F353" s="404"/>
      <c r="G353" s="404"/>
      <c r="H353" s="404"/>
      <c r="I353" s="404"/>
      <c r="J353" s="404"/>
      <c r="K353" s="404"/>
      <c r="L353" s="404"/>
      <c r="M353" s="404"/>
      <c r="N353" s="404"/>
      <c r="O353" s="404"/>
      <c r="P353" s="404"/>
      <c r="Q353" s="404"/>
      <c r="R353" s="404"/>
      <c r="S353" s="404"/>
      <c r="T353" s="404"/>
      <c r="U353" s="404"/>
      <c r="V353" s="404"/>
      <c r="W353" s="404"/>
      <c r="X353" s="404"/>
      <c r="Y353" s="404"/>
      <c r="Z353" s="404"/>
    </row>
    <row r="354">
      <c r="A354" s="404"/>
      <c r="B354" s="404"/>
      <c r="C354" s="404"/>
      <c r="D354" s="404"/>
      <c r="E354" s="404"/>
      <c r="F354" s="404"/>
      <c r="G354" s="404"/>
      <c r="H354" s="404"/>
      <c r="I354" s="404"/>
      <c r="J354" s="404"/>
      <c r="K354" s="404"/>
      <c r="L354" s="404"/>
      <c r="M354" s="404"/>
      <c r="N354" s="404"/>
      <c r="O354" s="404"/>
      <c r="P354" s="404"/>
      <c r="Q354" s="404"/>
      <c r="R354" s="404"/>
      <c r="S354" s="404"/>
      <c r="T354" s="404"/>
      <c r="U354" s="404"/>
      <c r="V354" s="404"/>
      <c r="W354" s="404"/>
      <c r="X354" s="404"/>
      <c r="Y354" s="404"/>
      <c r="Z354" s="404"/>
    </row>
    <row r="355">
      <c r="A355" s="404"/>
      <c r="B355" s="404"/>
      <c r="C355" s="404"/>
      <c r="D355" s="404"/>
      <c r="E355" s="404"/>
      <c r="F355" s="404"/>
      <c r="G355" s="404"/>
      <c r="H355" s="404"/>
      <c r="I355" s="404"/>
      <c r="J355" s="404"/>
      <c r="K355" s="404"/>
      <c r="L355" s="404"/>
      <c r="M355" s="404"/>
      <c r="N355" s="404"/>
      <c r="O355" s="404"/>
      <c r="P355" s="404"/>
      <c r="Q355" s="404"/>
      <c r="R355" s="404"/>
      <c r="S355" s="404"/>
      <c r="T355" s="404"/>
      <c r="U355" s="404"/>
      <c r="V355" s="404"/>
      <c r="W355" s="404"/>
      <c r="X355" s="404"/>
      <c r="Y355" s="404"/>
      <c r="Z355" s="404"/>
    </row>
    <row r="356">
      <c r="A356" s="404"/>
      <c r="B356" s="404"/>
      <c r="C356" s="404"/>
      <c r="D356" s="404"/>
      <c r="E356" s="404"/>
      <c r="F356" s="404"/>
      <c r="G356" s="404"/>
      <c r="H356" s="404"/>
      <c r="I356" s="404"/>
      <c r="J356" s="404"/>
      <c r="K356" s="404"/>
      <c r="L356" s="404"/>
      <c r="M356" s="404"/>
      <c r="N356" s="404"/>
      <c r="O356" s="404"/>
      <c r="P356" s="404"/>
      <c r="Q356" s="404"/>
      <c r="R356" s="404"/>
      <c r="S356" s="404"/>
      <c r="T356" s="404"/>
      <c r="U356" s="404"/>
      <c r="V356" s="404"/>
      <c r="W356" s="404"/>
      <c r="X356" s="404"/>
      <c r="Y356" s="404"/>
      <c r="Z356" s="404"/>
    </row>
    <row r="357">
      <c r="A357" s="404"/>
      <c r="B357" s="404"/>
      <c r="C357" s="404"/>
      <c r="D357" s="404"/>
      <c r="E357" s="404"/>
      <c r="F357" s="404"/>
      <c r="G357" s="404"/>
      <c r="H357" s="404"/>
      <c r="I357" s="404"/>
      <c r="J357" s="404"/>
      <c r="K357" s="404"/>
      <c r="L357" s="404"/>
      <c r="M357" s="404"/>
      <c r="N357" s="404"/>
      <c r="O357" s="404"/>
      <c r="P357" s="404"/>
      <c r="Q357" s="404"/>
      <c r="R357" s="404"/>
      <c r="S357" s="404"/>
      <c r="T357" s="404"/>
      <c r="U357" s="404"/>
      <c r="V357" s="404"/>
      <c r="W357" s="404"/>
      <c r="X357" s="404"/>
      <c r="Y357" s="404"/>
      <c r="Z357" s="404"/>
    </row>
    <row r="358">
      <c r="A358" s="404"/>
      <c r="B358" s="404"/>
      <c r="C358" s="404"/>
      <c r="D358" s="404"/>
      <c r="E358" s="404"/>
      <c r="F358" s="404"/>
      <c r="G358" s="404"/>
      <c r="H358" s="404"/>
      <c r="I358" s="404"/>
      <c r="J358" s="404"/>
      <c r="K358" s="404"/>
      <c r="L358" s="404"/>
      <c r="M358" s="404"/>
      <c r="N358" s="404"/>
      <c r="O358" s="404"/>
      <c r="P358" s="404"/>
      <c r="Q358" s="404"/>
      <c r="R358" s="404"/>
      <c r="S358" s="404"/>
      <c r="T358" s="404"/>
      <c r="U358" s="404"/>
      <c r="V358" s="404"/>
      <c r="W358" s="404"/>
      <c r="X358" s="404"/>
      <c r="Y358" s="404"/>
      <c r="Z358" s="404"/>
    </row>
    <row r="359">
      <c r="A359" s="404"/>
      <c r="B359" s="404"/>
      <c r="C359" s="404"/>
      <c r="D359" s="404"/>
      <c r="E359" s="404"/>
      <c r="F359" s="404"/>
      <c r="G359" s="404"/>
      <c r="H359" s="404"/>
      <c r="I359" s="404"/>
      <c r="J359" s="404"/>
      <c r="K359" s="404"/>
      <c r="L359" s="404"/>
      <c r="M359" s="404"/>
      <c r="N359" s="404"/>
      <c r="O359" s="404"/>
      <c r="P359" s="404"/>
      <c r="Q359" s="404"/>
      <c r="R359" s="404"/>
      <c r="S359" s="404"/>
      <c r="T359" s="404"/>
      <c r="U359" s="404"/>
      <c r="V359" s="404"/>
      <c r="W359" s="404"/>
      <c r="X359" s="404"/>
      <c r="Y359" s="404"/>
      <c r="Z359" s="404"/>
    </row>
    <row r="360">
      <c r="A360" s="404"/>
      <c r="B360" s="404"/>
      <c r="C360" s="404"/>
      <c r="D360" s="404"/>
      <c r="E360" s="404"/>
      <c r="F360" s="404"/>
      <c r="G360" s="404"/>
      <c r="H360" s="404"/>
      <c r="I360" s="404"/>
      <c r="J360" s="404"/>
      <c r="K360" s="404"/>
      <c r="L360" s="404"/>
      <c r="M360" s="404"/>
      <c r="N360" s="404"/>
      <c r="O360" s="404"/>
      <c r="P360" s="404"/>
      <c r="Q360" s="404"/>
      <c r="R360" s="404"/>
      <c r="S360" s="404"/>
      <c r="T360" s="404"/>
      <c r="U360" s="404"/>
      <c r="V360" s="404"/>
      <c r="W360" s="404"/>
      <c r="X360" s="404"/>
      <c r="Y360" s="404"/>
      <c r="Z360" s="404"/>
    </row>
    <row r="361">
      <c r="A361" s="404"/>
      <c r="B361" s="404"/>
      <c r="C361" s="404"/>
      <c r="D361" s="404"/>
      <c r="E361" s="404"/>
      <c r="F361" s="404"/>
      <c r="G361" s="404"/>
      <c r="H361" s="404"/>
      <c r="I361" s="404"/>
      <c r="J361" s="404"/>
      <c r="K361" s="404"/>
      <c r="L361" s="404"/>
      <c r="M361" s="404"/>
      <c r="N361" s="404"/>
      <c r="O361" s="404"/>
      <c r="P361" s="404"/>
      <c r="Q361" s="404"/>
      <c r="R361" s="404"/>
      <c r="S361" s="404"/>
      <c r="T361" s="404"/>
      <c r="U361" s="404"/>
      <c r="V361" s="404"/>
      <c r="W361" s="404"/>
      <c r="X361" s="404"/>
      <c r="Y361" s="404"/>
      <c r="Z361" s="404"/>
    </row>
    <row r="362">
      <c r="A362" s="404"/>
      <c r="B362" s="404"/>
      <c r="C362" s="404"/>
      <c r="D362" s="404"/>
      <c r="E362" s="404"/>
      <c r="F362" s="404"/>
      <c r="G362" s="404"/>
      <c r="H362" s="404"/>
      <c r="I362" s="404"/>
      <c r="J362" s="404"/>
      <c r="K362" s="404"/>
      <c r="L362" s="404"/>
      <c r="M362" s="404"/>
      <c r="N362" s="404"/>
      <c r="O362" s="404"/>
      <c r="P362" s="404"/>
      <c r="Q362" s="404"/>
      <c r="R362" s="404"/>
      <c r="S362" s="404"/>
      <c r="T362" s="404"/>
      <c r="U362" s="404"/>
      <c r="V362" s="404"/>
      <c r="W362" s="404"/>
      <c r="X362" s="404"/>
      <c r="Y362" s="404"/>
      <c r="Z362" s="404"/>
    </row>
    <row r="363">
      <c r="A363" s="404"/>
      <c r="B363" s="404"/>
      <c r="C363" s="404"/>
      <c r="D363" s="404"/>
      <c r="E363" s="404"/>
      <c r="F363" s="404"/>
      <c r="G363" s="404"/>
      <c r="H363" s="404"/>
      <c r="I363" s="404"/>
      <c r="J363" s="404"/>
      <c r="K363" s="404"/>
      <c r="L363" s="404"/>
      <c r="M363" s="404"/>
      <c r="N363" s="404"/>
      <c r="O363" s="404"/>
      <c r="P363" s="404"/>
      <c r="Q363" s="404"/>
      <c r="R363" s="404"/>
      <c r="S363" s="404"/>
      <c r="T363" s="404"/>
      <c r="U363" s="404"/>
      <c r="V363" s="404"/>
      <c r="W363" s="404"/>
      <c r="X363" s="404"/>
      <c r="Y363" s="404"/>
      <c r="Z363" s="404"/>
    </row>
    <row r="364">
      <c r="A364" s="404"/>
      <c r="B364" s="404"/>
      <c r="C364" s="404"/>
      <c r="D364" s="404"/>
      <c r="E364" s="404"/>
      <c r="F364" s="404"/>
      <c r="G364" s="404"/>
      <c r="H364" s="404"/>
      <c r="I364" s="404"/>
      <c r="J364" s="404"/>
      <c r="K364" s="404"/>
      <c r="L364" s="404"/>
      <c r="M364" s="404"/>
      <c r="N364" s="404"/>
      <c r="O364" s="404"/>
      <c r="P364" s="404"/>
      <c r="Q364" s="404"/>
      <c r="R364" s="404"/>
      <c r="S364" s="404"/>
      <c r="T364" s="404"/>
      <c r="U364" s="404"/>
      <c r="V364" s="404"/>
      <c r="W364" s="404"/>
      <c r="X364" s="404"/>
      <c r="Y364" s="404"/>
      <c r="Z364" s="404"/>
    </row>
    <row r="365">
      <c r="A365" s="404"/>
      <c r="B365" s="404"/>
      <c r="C365" s="404"/>
      <c r="D365" s="404"/>
      <c r="E365" s="404"/>
      <c r="F365" s="404"/>
      <c r="G365" s="404"/>
      <c r="H365" s="404"/>
      <c r="I365" s="404"/>
      <c r="J365" s="404"/>
      <c r="K365" s="404"/>
      <c r="L365" s="404"/>
      <c r="M365" s="404"/>
      <c r="N365" s="404"/>
      <c r="O365" s="404"/>
      <c r="P365" s="404"/>
      <c r="Q365" s="404"/>
      <c r="R365" s="404"/>
      <c r="S365" s="404"/>
      <c r="T365" s="404"/>
      <c r="U365" s="404"/>
      <c r="V365" s="404"/>
      <c r="W365" s="404"/>
      <c r="X365" s="404"/>
      <c r="Y365" s="404"/>
      <c r="Z365" s="404"/>
    </row>
    <row r="366">
      <c r="A366" s="404"/>
      <c r="B366" s="404"/>
      <c r="C366" s="404"/>
      <c r="D366" s="404"/>
      <c r="E366" s="404"/>
      <c r="F366" s="404"/>
      <c r="G366" s="404"/>
      <c r="H366" s="404"/>
      <c r="I366" s="404"/>
      <c r="J366" s="404"/>
      <c r="K366" s="404"/>
      <c r="L366" s="404"/>
      <c r="M366" s="404"/>
      <c r="N366" s="404"/>
      <c r="O366" s="404"/>
      <c r="P366" s="404"/>
      <c r="Q366" s="404"/>
      <c r="R366" s="404"/>
      <c r="S366" s="404"/>
      <c r="T366" s="404"/>
      <c r="U366" s="404"/>
      <c r="V366" s="404"/>
      <c r="W366" s="404"/>
      <c r="X366" s="404"/>
      <c r="Y366" s="404"/>
      <c r="Z366" s="404"/>
    </row>
    <row r="367">
      <c r="A367" s="404"/>
      <c r="B367" s="404"/>
      <c r="C367" s="404"/>
      <c r="D367" s="404"/>
      <c r="E367" s="404"/>
      <c r="F367" s="404"/>
      <c r="G367" s="404"/>
      <c r="H367" s="404"/>
      <c r="I367" s="404"/>
      <c r="J367" s="404"/>
      <c r="K367" s="404"/>
      <c r="L367" s="404"/>
      <c r="M367" s="404"/>
      <c r="N367" s="404"/>
      <c r="O367" s="404"/>
      <c r="P367" s="404"/>
      <c r="Q367" s="404"/>
      <c r="R367" s="404"/>
      <c r="S367" s="404"/>
      <c r="T367" s="404"/>
      <c r="U367" s="404"/>
      <c r="V367" s="404"/>
      <c r="W367" s="404"/>
      <c r="X367" s="404"/>
      <c r="Y367" s="404"/>
      <c r="Z367" s="404"/>
    </row>
    <row r="368">
      <c r="A368" s="404"/>
      <c r="B368" s="404"/>
      <c r="C368" s="404"/>
      <c r="D368" s="404"/>
      <c r="E368" s="404"/>
      <c r="F368" s="404"/>
      <c r="G368" s="404"/>
      <c r="H368" s="404"/>
      <c r="I368" s="404"/>
      <c r="J368" s="404"/>
      <c r="K368" s="404"/>
      <c r="L368" s="404"/>
      <c r="M368" s="404"/>
      <c r="N368" s="404"/>
      <c r="O368" s="404"/>
      <c r="P368" s="404"/>
      <c r="Q368" s="404"/>
      <c r="R368" s="404"/>
      <c r="S368" s="404"/>
      <c r="T368" s="404"/>
      <c r="U368" s="404"/>
      <c r="V368" s="404"/>
      <c r="W368" s="404"/>
      <c r="X368" s="404"/>
      <c r="Y368" s="404"/>
      <c r="Z368" s="404"/>
    </row>
    <row r="369">
      <c r="A369" s="404"/>
      <c r="B369" s="404"/>
      <c r="C369" s="404"/>
      <c r="D369" s="404"/>
      <c r="E369" s="404"/>
      <c r="F369" s="404"/>
      <c r="G369" s="404"/>
      <c r="H369" s="404"/>
      <c r="I369" s="404"/>
      <c r="J369" s="404"/>
      <c r="K369" s="404"/>
      <c r="L369" s="404"/>
      <c r="M369" s="404"/>
      <c r="N369" s="404"/>
      <c r="O369" s="404"/>
      <c r="P369" s="404"/>
      <c r="Q369" s="404"/>
      <c r="R369" s="404"/>
      <c r="S369" s="404"/>
      <c r="T369" s="404"/>
      <c r="U369" s="404"/>
      <c r="V369" s="404"/>
      <c r="W369" s="404"/>
      <c r="X369" s="404"/>
      <c r="Y369" s="404"/>
      <c r="Z369" s="404"/>
    </row>
    <row r="370">
      <c r="A370" s="404"/>
      <c r="B370" s="404"/>
      <c r="C370" s="404"/>
      <c r="D370" s="404"/>
      <c r="E370" s="404"/>
      <c r="F370" s="404"/>
      <c r="G370" s="404"/>
      <c r="H370" s="404"/>
      <c r="I370" s="404"/>
      <c r="J370" s="404"/>
      <c r="K370" s="404"/>
      <c r="L370" s="404"/>
      <c r="M370" s="404"/>
      <c r="N370" s="404"/>
      <c r="O370" s="404"/>
      <c r="P370" s="404"/>
      <c r="Q370" s="404"/>
      <c r="R370" s="404"/>
      <c r="S370" s="404"/>
      <c r="T370" s="404"/>
      <c r="U370" s="404"/>
      <c r="V370" s="404"/>
      <c r="W370" s="404"/>
      <c r="X370" s="404"/>
      <c r="Y370" s="404"/>
      <c r="Z370" s="404"/>
    </row>
    <row r="371">
      <c r="A371" s="404"/>
      <c r="B371" s="404"/>
      <c r="C371" s="404"/>
      <c r="D371" s="404"/>
      <c r="E371" s="404"/>
      <c r="F371" s="404"/>
      <c r="G371" s="404"/>
      <c r="H371" s="404"/>
      <c r="I371" s="404"/>
      <c r="J371" s="404"/>
      <c r="K371" s="404"/>
      <c r="L371" s="404"/>
      <c r="M371" s="404"/>
      <c r="N371" s="404"/>
      <c r="O371" s="404"/>
      <c r="P371" s="404"/>
      <c r="Q371" s="404"/>
      <c r="R371" s="404"/>
      <c r="S371" s="404"/>
      <c r="T371" s="404"/>
      <c r="U371" s="404"/>
      <c r="V371" s="404"/>
      <c r="W371" s="404"/>
      <c r="X371" s="404"/>
      <c r="Y371" s="404"/>
      <c r="Z371" s="404"/>
    </row>
    <row r="372">
      <c r="A372" s="404"/>
      <c r="B372" s="404"/>
      <c r="C372" s="404"/>
      <c r="D372" s="404"/>
      <c r="E372" s="404"/>
      <c r="F372" s="404"/>
      <c r="G372" s="404"/>
      <c r="H372" s="404"/>
      <c r="I372" s="404"/>
      <c r="J372" s="404"/>
      <c r="K372" s="404"/>
      <c r="L372" s="404"/>
      <c r="M372" s="404"/>
      <c r="N372" s="404"/>
      <c r="O372" s="404"/>
      <c r="P372" s="404"/>
      <c r="Q372" s="404"/>
      <c r="R372" s="404"/>
      <c r="S372" s="404"/>
      <c r="T372" s="404"/>
      <c r="U372" s="404"/>
      <c r="V372" s="404"/>
      <c r="W372" s="404"/>
      <c r="X372" s="404"/>
      <c r="Y372" s="404"/>
      <c r="Z372" s="404"/>
    </row>
    <row r="373">
      <c r="A373" s="404"/>
      <c r="B373" s="404"/>
      <c r="C373" s="404"/>
      <c r="D373" s="404"/>
      <c r="E373" s="404"/>
      <c r="F373" s="404"/>
      <c r="G373" s="404"/>
      <c r="H373" s="404"/>
      <c r="I373" s="404"/>
      <c r="J373" s="404"/>
      <c r="K373" s="404"/>
      <c r="L373" s="404"/>
      <c r="M373" s="404"/>
      <c r="N373" s="404"/>
      <c r="O373" s="404"/>
      <c r="P373" s="404"/>
      <c r="Q373" s="404"/>
      <c r="R373" s="404"/>
      <c r="S373" s="404"/>
      <c r="T373" s="404"/>
      <c r="U373" s="404"/>
      <c r="V373" s="404"/>
      <c r="W373" s="404"/>
      <c r="X373" s="404"/>
      <c r="Y373" s="404"/>
      <c r="Z373" s="404"/>
    </row>
    <row r="374">
      <c r="A374" s="404"/>
      <c r="B374" s="404"/>
      <c r="C374" s="404"/>
      <c r="D374" s="404"/>
      <c r="E374" s="404"/>
      <c r="F374" s="404"/>
      <c r="G374" s="404"/>
      <c r="H374" s="404"/>
      <c r="I374" s="404"/>
      <c r="J374" s="404"/>
      <c r="K374" s="404"/>
      <c r="L374" s="404"/>
      <c r="M374" s="404"/>
      <c r="N374" s="404"/>
      <c r="O374" s="404"/>
      <c r="P374" s="404"/>
      <c r="Q374" s="404"/>
      <c r="R374" s="404"/>
      <c r="S374" s="404"/>
      <c r="T374" s="404"/>
      <c r="U374" s="404"/>
      <c r="V374" s="404"/>
      <c r="W374" s="404"/>
      <c r="X374" s="404"/>
      <c r="Y374" s="404"/>
      <c r="Z374" s="404"/>
    </row>
    <row r="375">
      <c r="A375" s="404"/>
      <c r="B375" s="404"/>
      <c r="C375" s="404"/>
      <c r="D375" s="404"/>
      <c r="E375" s="404"/>
      <c r="F375" s="404"/>
      <c r="G375" s="404"/>
      <c r="H375" s="404"/>
      <c r="I375" s="404"/>
      <c r="J375" s="404"/>
      <c r="K375" s="404"/>
      <c r="L375" s="404"/>
      <c r="M375" s="404"/>
      <c r="N375" s="404"/>
      <c r="O375" s="404"/>
      <c r="P375" s="404"/>
      <c r="Q375" s="404"/>
      <c r="R375" s="404"/>
      <c r="S375" s="404"/>
      <c r="T375" s="404"/>
      <c r="U375" s="404"/>
      <c r="V375" s="404"/>
      <c r="W375" s="404"/>
      <c r="X375" s="404"/>
      <c r="Y375" s="404"/>
      <c r="Z375" s="404"/>
    </row>
    <row r="376">
      <c r="A376" s="404"/>
      <c r="B376" s="404"/>
      <c r="C376" s="404"/>
      <c r="D376" s="404"/>
      <c r="E376" s="404"/>
      <c r="F376" s="404"/>
      <c r="G376" s="404"/>
      <c r="H376" s="404"/>
      <c r="I376" s="404"/>
      <c r="J376" s="404"/>
      <c r="K376" s="404"/>
      <c r="L376" s="404"/>
      <c r="M376" s="404"/>
      <c r="N376" s="404"/>
      <c r="O376" s="404"/>
      <c r="P376" s="404"/>
      <c r="Q376" s="404"/>
      <c r="R376" s="404"/>
      <c r="S376" s="404"/>
      <c r="T376" s="404"/>
      <c r="U376" s="404"/>
      <c r="V376" s="404"/>
      <c r="W376" s="404"/>
      <c r="X376" s="404"/>
      <c r="Y376" s="404"/>
      <c r="Z376" s="404"/>
    </row>
    <row r="377">
      <c r="A377" s="404"/>
      <c r="B377" s="404"/>
      <c r="C377" s="404"/>
      <c r="D377" s="404"/>
      <c r="E377" s="404"/>
      <c r="F377" s="404"/>
      <c r="G377" s="404"/>
      <c r="H377" s="404"/>
      <c r="I377" s="404"/>
      <c r="J377" s="404"/>
      <c r="K377" s="404"/>
      <c r="L377" s="404"/>
      <c r="M377" s="404"/>
      <c r="N377" s="404"/>
      <c r="O377" s="404"/>
      <c r="P377" s="404"/>
      <c r="Q377" s="404"/>
      <c r="R377" s="404"/>
      <c r="S377" s="404"/>
      <c r="T377" s="404"/>
      <c r="U377" s="404"/>
      <c r="V377" s="404"/>
      <c r="W377" s="404"/>
      <c r="X377" s="404"/>
      <c r="Y377" s="404"/>
      <c r="Z377" s="404"/>
    </row>
    <row r="378">
      <c r="A378" s="404"/>
      <c r="B378" s="404"/>
      <c r="C378" s="404"/>
      <c r="D378" s="404"/>
      <c r="E378" s="404"/>
      <c r="F378" s="404"/>
      <c r="G378" s="404"/>
      <c r="H378" s="404"/>
      <c r="I378" s="404"/>
      <c r="J378" s="404"/>
      <c r="K378" s="404"/>
      <c r="L378" s="404"/>
      <c r="M378" s="404"/>
      <c r="N378" s="404"/>
      <c r="O378" s="404"/>
      <c r="P378" s="404"/>
      <c r="Q378" s="404"/>
      <c r="R378" s="404"/>
      <c r="S378" s="404"/>
      <c r="T378" s="404"/>
      <c r="U378" s="404"/>
      <c r="V378" s="404"/>
      <c r="W378" s="404"/>
      <c r="X378" s="404"/>
      <c r="Y378" s="404"/>
      <c r="Z378" s="404"/>
    </row>
    <row r="379">
      <c r="A379" s="404"/>
      <c r="B379" s="404"/>
      <c r="C379" s="404"/>
      <c r="D379" s="404"/>
      <c r="E379" s="404"/>
      <c r="F379" s="404"/>
      <c r="G379" s="404"/>
      <c r="H379" s="404"/>
      <c r="I379" s="404"/>
      <c r="J379" s="404"/>
      <c r="K379" s="404"/>
      <c r="L379" s="404"/>
      <c r="M379" s="404"/>
      <c r="N379" s="404"/>
      <c r="O379" s="404"/>
      <c r="P379" s="404"/>
      <c r="Q379" s="404"/>
      <c r="R379" s="404"/>
      <c r="S379" s="404"/>
      <c r="T379" s="404"/>
      <c r="U379" s="404"/>
      <c r="V379" s="404"/>
      <c r="W379" s="404"/>
      <c r="X379" s="404"/>
      <c r="Y379" s="404"/>
      <c r="Z379" s="404"/>
    </row>
    <row r="380">
      <c r="A380" s="404"/>
      <c r="B380" s="404"/>
      <c r="C380" s="404"/>
      <c r="D380" s="404"/>
      <c r="E380" s="404"/>
      <c r="F380" s="404"/>
      <c r="G380" s="404"/>
      <c r="H380" s="404"/>
      <c r="I380" s="404"/>
      <c r="J380" s="404"/>
      <c r="K380" s="404"/>
      <c r="L380" s="404"/>
      <c r="M380" s="404"/>
      <c r="N380" s="404"/>
      <c r="O380" s="404"/>
      <c r="P380" s="404"/>
      <c r="Q380" s="404"/>
      <c r="R380" s="404"/>
      <c r="S380" s="404"/>
      <c r="T380" s="404"/>
      <c r="U380" s="404"/>
      <c r="V380" s="404"/>
      <c r="W380" s="404"/>
      <c r="X380" s="404"/>
      <c r="Y380" s="404"/>
      <c r="Z380" s="404"/>
    </row>
    <row r="381">
      <c r="A381" s="404"/>
      <c r="B381" s="404"/>
      <c r="C381" s="404"/>
      <c r="D381" s="404"/>
      <c r="E381" s="404"/>
      <c r="F381" s="404"/>
      <c r="G381" s="404"/>
      <c r="H381" s="404"/>
      <c r="I381" s="404"/>
      <c r="J381" s="404"/>
      <c r="K381" s="404"/>
      <c r="L381" s="404"/>
      <c r="M381" s="404"/>
      <c r="N381" s="404"/>
      <c r="O381" s="404"/>
      <c r="P381" s="404"/>
      <c r="Q381" s="404"/>
      <c r="R381" s="404"/>
      <c r="S381" s="404"/>
      <c r="T381" s="404"/>
      <c r="U381" s="404"/>
      <c r="V381" s="404"/>
      <c r="W381" s="404"/>
      <c r="X381" s="404"/>
      <c r="Y381" s="404"/>
      <c r="Z381" s="404"/>
    </row>
    <row r="382">
      <c r="A382" s="404"/>
      <c r="B382" s="404"/>
      <c r="C382" s="404"/>
      <c r="D382" s="404"/>
      <c r="E382" s="404"/>
      <c r="F382" s="404"/>
      <c r="G382" s="404"/>
      <c r="H382" s="404"/>
      <c r="I382" s="404"/>
      <c r="J382" s="404"/>
      <c r="K382" s="404"/>
      <c r="L382" s="404"/>
      <c r="M382" s="404"/>
      <c r="N382" s="404"/>
      <c r="O382" s="404"/>
      <c r="P382" s="404"/>
      <c r="Q382" s="404"/>
      <c r="R382" s="404"/>
      <c r="S382" s="404"/>
      <c r="T382" s="404"/>
      <c r="U382" s="404"/>
      <c r="V382" s="404"/>
      <c r="W382" s="404"/>
      <c r="X382" s="404"/>
      <c r="Y382" s="404"/>
      <c r="Z382" s="404"/>
    </row>
    <row r="383">
      <c r="A383" s="404"/>
      <c r="B383" s="404"/>
      <c r="C383" s="404"/>
      <c r="D383" s="404"/>
      <c r="E383" s="404"/>
      <c r="F383" s="404"/>
      <c r="G383" s="404"/>
      <c r="H383" s="404"/>
      <c r="I383" s="404"/>
      <c r="J383" s="404"/>
      <c r="K383" s="404"/>
      <c r="L383" s="404"/>
      <c r="M383" s="404"/>
      <c r="N383" s="404"/>
      <c r="O383" s="404"/>
      <c r="P383" s="404"/>
      <c r="Q383" s="404"/>
      <c r="R383" s="404"/>
      <c r="S383" s="404"/>
      <c r="T383" s="404"/>
      <c r="U383" s="404"/>
      <c r="V383" s="404"/>
      <c r="W383" s="404"/>
      <c r="X383" s="404"/>
      <c r="Y383" s="404"/>
      <c r="Z383" s="404"/>
    </row>
    <row r="384">
      <c r="A384" s="404"/>
      <c r="B384" s="404"/>
      <c r="C384" s="404"/>
      <c r="D384" s="404"/>
      <c r="E384" s="404"/>
      <c r="F384" s="404"/>
      <c r="G384" s="404"/>
      <c r="H384" s="404"/>
      <c r="I384" s="404"/>
      <c r="J384" s="404"/>
      <c r="K384" s="404"/>
      <c r="L384" s="404"/>
      <c r="M384" s="404"/>
      <c r="N384" s="404"/>
      <c r="O384" s="404"/>
      <c r="P384" s="404"/>
      <c r="Q384" s="404"/>
      <c r="R384" s="404"/>
      <c r="S384" s="404"/>
      <c r="T384" s="404"/>
      <c r="U384" s="404"/>
      <c r="V384" s="404"/>
      <c r="W384" s="404"/>
      <c r="X384" s="404"/>
      <c r="Y384" s="404"/>
      <c r="Z384" s="404"/>
    </row>
    <row r="385">
      <c r="A385" s="404"/>
      <c r="B385" s="404"/>
      <c r="C385" s="404"/>
      <c r="D385" s="404"/>
      <c r="E385" s="404"/>
      <c r="F385" s="404"/>
      <c r="G385" s="404"/>
      <c r="H385" s="404"/>
      <c r="I385" s="404"/>
      <c r="J385" s="404"/>
      <c r="K385" s="404"/>
      <c r="L385" s="404"/>
      <c r="M385" s="404"/>
      <c r="N385" s="404"/>
      <c r="O385" s="404"/>
      <c r="P385" s="404"/>
      <c r="Q385" s="404"/>
      <c r="R385" s="404"/>
      <c r="S385" s="404"/>
      <c r="T385" s="404"/>
      <c r="U385" s="404"/>
      <c r="V385" s="404"/>
      <c r="W385" s="404"/>
      <c r="X385" s="404"/>
      <c r="Y385" s="404"/>
      <c r="Z385" s="404"/>
    </row>
    <row r="386">
      <c r="A386" s="404"/>
      <c r="B386" s="404"/>
      <c r="C386" s="404"/>
      <c r="D386" s="404"/>
      <c r="E386" s="404"/>
      <c r="F386" s="404"/>
      <c r="G386" s="404"/>
      <c r="H386" s="404"/>
      <c r="I386" s="404"/>
      <c r="J386" s="404"/>
      <c r="K386" s="404"/>
      <c r="L386" s="404"/>
      <c r="M386" s="404"/>
      <c r="N386" s="404"/>
      <c r="O386" s="404"/>
      <c r="P386" s="404"/>
      <c r="Q386" s="404"/>
      <c r="R386" s="404"/>
      <c r="S386" s="404"/>
      <c r="T386" s="404"/>
      <c r="U386" s="404"/>
      <c r="V386" s="404"/>
      <c r="W386" s="404"/>
      <c r="X386" s="404"/>
      <c r="Y386" s="404"/>
      <c r="Z386" s="404"/>
    </row>
    <row r="387">
      <c r="A387" s="404"/>
      <c r="B387" s="404"/>
      <c r="C387" s="404"/>
      <c r="D387" s="404"/>
      <c r="E387" s="404"/>
      <c r="F387" s="404"/>
      <c r="G387" s="404"/>
      <c r="H387" s="404"/>
      <c r="I387" s="404"/>
      <c r="J387" s="404"/>
      <c r="K387" s="404"/>
      <c r="L387" s="404"/>
      <c r="M387" s="404"/>
      <c r="N387" s="404"/>
      <c r="O387" s="404"/>
      <c r="P387" s="404"/>
      <c r="Q387" s="404"/>
      <c r="R387" s="404"/>
      <c r="S387" s="404"/>
      <c r="T387" s="404"/>
      <c r="U387" s="404"/>
      <c r="V387" s="404"/>
      <c r="W387" s="404"/>
      <c r="X387" s="404"/>
      <c r="Y387" s="404"/>
      <c r="Z387" s="404"/>
    </row>
    <row r="388">
      <c r="A388" s="404"/>
      <c r="B388" s="404"/>
      <c r="C388" s="404"/>
      <c r="D388" s="404"/>
      <c r="E388" s="404"/>
      <c r="F388" s="404"/>
      <c r="G388" s="404"/>
      <c r="H388" s="404"/>
      <c r="I388" s="404"/>
      <c r="J388" s="404"/>
      <c r="K388" s="404"/>
      <c r="L388" s="404"/>
      <c r="M388" s="404"/>
      <c r="N388" s="404"/>
      <c r="O388" s="404"/>
      <c r="P388" s="404"/>
      <c r="Q388" s="404"/>
      <c r="R388" s="404"/>
      <c r="S388" s="404"/>
      <c r="T388" s="404"/>
      <c r="U388" s="404"/>
      <c r="V388" s="404"/>
      <c r="W388" s="404"/>
      <c r="X388" s="404"/>
      <c r="Y388" s="404"/>
      <c r="Z388" s="404"/>
    </row>
    <row r="389">
      <c r="A389" s="404"/>
      <c r="B389" s="404"/>
      <c r="C389" s="404"/>
      <c r="D389" s="404"/>
      <c r="E389" s="404"/>
      <c r="F389" s="404"/>
      <c r="G389" s="404"/>
      <c r="H389" s="404"/>
      <c r="I389" s="404"/>
      <c r="J389" s="404"/>
      <c r="K389" s="404"/>
      <c r="L389" s="404"/>
      <c r="M389" s="404"/>
      <c r="N389" s="404"/>
      <c r="O389" s="404"/>
      <c r="P389" s="404"/>
      <c r="Q389" s="404"/>
      <c r="R389" s="404"/>
      <c r="S389" s="404"/>
      <c r="T389" s="404"/>
      <c r="U389" s="404"/>
      <c r="V389" s="404"/>
      <c r="W389" s="404"/>
      <c r="X389" s="404"/>
      <c r="Y389" s="404"/>
      <c r="Z389" s="404"/>
    </row>
    <row r="390">
      <c r="A390" s="404"/>
      <c r="B390" s="404"/>
      <c r="C390" s="404"/>
      <c r="D390" s="404"/>
      <c r="E390" s="404"/>
      <c r="F390" s="404"/>
      <c r="G390" s="404"/>
      <c r="H390" s="404"/>
      <c r="I390" s="404"/>
      <c r="J390" s="404"/>
      <c r="K390" s="404"/>
      <c r="L390" s="404"/>
      <c r="M390" s="404"/>
      <c r="N390" s="404"/>
      <c r="O390" s="404"/>
      <c r="P390" s="404"/>
      <c r="Q390" s="404"/>
      <c r="R390" s="404"/>
      <c r="S390" s="404"/>
      <c r="T390" s="404"/>
      <c r="U390" s="404"/>
      <c r="V390" s="404"/>
      <c r="W390" s="404"/>
      <c r="X390" s="404"/>
      <c r="Y390" s="404"/>
      <c r="Z390" s="404"/>
    </row>
    <row r="391">
      <c r="A391" s="404"/>
      <c r="B391" s="404"/>
      <c r="C391" s="404"/>
      <c r="D391" s="404"/>
      <c r="E391" s="404"/>
      <c r="F391" s="404"/>
      <c r="G391" s="404"/>
      <c r="H391" s="404"/>
      <c r="I391" s="404"/>
      <c r="J391" s="404"/>
      <c r="K391" s="404"/>
      <c r="L391" s="404"/>
      <c r="M391" s="404"/>
      <c r="N391" s="404"/>
      <c r="O391" s="404"/>
      <c r="P391" s="404"/>
      <c r="Q391" s="404"/>
      <c r="R391" s="404"/>
      <c r="S391" s="404"/>
      <c r="T391" s="404"/>
      <c r="U391" s="404"/>
      <c r="V391" s="404"/>
      <c r="W391" s="404"/>
      <c r="X391" s="404"/>
      <c r="Y391" s="404"/>
      <c r="Z391" s="404"/>
    </row>
    <row r="392">
      <c r="A392" s="404"/>
      <c r="B392" s="404"/>
      <c r="C392" s="404"/>
      <c r="D392" s="404"/>
      <c r="E392" s="404"/>
      <c r="F392" s="404"/>
      <c r="G392" s="404"/>
      <c r="H392" s="404"/>
      <c r="I392" s="404"/>
      <c r="J392" s="404"/>
      <c r="K392" s="404"/>
      <c r="L392" s="404"/>
      <c r="M392" s="404"/>
      <c r="N392" s="404"/>
      <c r="O392" s="404"/>
      <c r="P392" s="404"/>
      <c r="Q392" s="404"/>
      <c r="R392" s="404"/>
      <c r="S392" s="404"/>
      <c r="T392" s="404"/>
      <c r="U392" s="404"/>
      <c r="V392" s="404"/>
      <c r="W392" s="404"/>
      <c r="X392" s="404"/>
      <c r="Y392" s="404"/>
      <c r="Z392" s="404"/>
    </row>
    <row r="393">
      <c r="A393" s="404"/>
      <c r="B393" s="404"/>
      <c r="C393" s="404"/>
      <c r="D393" s="404"/>
      <c r="E393" s="404"/>
      <c r="F393" s="404"/>
      <c r="G393" s="404"/>
      <c r="H393" s="404"/>
      <c r="I393" s="404"/>
      <c r="J393" s="404"/>
      <c r="K393" s="404"/>
      <c r="L393" s="404"/>
      <c r="M393" s="404"/>
      <c r="N393" s="404"/>
      <c r="O393" s="404"/>
      <c r="P393" s="404"/>
      <c r="Q393" s="404"/>
      <c r="R393" s="404"/>
      <c r="S393" s="404"/>
      <c r="T393" s="404"/>
      <c r="U393" s="404"/>
      <c r="V393" s="404"/>
      <c r="W393" s="404"/>
      <c r="X393" s="404"/>
      <c r="Y393" s="404"/>
      <c r="Z393" s="404"/>
    </row>
    <row r="394">
      <c r="A394" s="404"/>
      <c r="B394" s="404"/>
      <c r="C394" s="404"/>
      <c r="D394" s="404"/>
      <c r="E394" s="404"/>
      <c r="F394" s="404"/>
      <c r="G394" s="404"/>
      <c r="H394" s="404"/>
      <c r="I394" s="404"/>
      <c r="J394" s="404"/>
      <c r="K394" s="404"/>
      <c r="L394" s="404"/>
      <c r="M394" s="404"/>
      <c r="N394" s="404"/>
      <c r="O394" s="404"/>
      <c r="P394" s="404"/>
      <c r="Q394" s="404"/>
      <c r="R394" s="404"/>
      <c r="S394" s="404"/>
      <c r="T394" s="404"/>
      <c r="U394" s="404"/>
      <c r="V394" s="404"/>
      <c r="W394" s="404"/>
      <c r="X394" s="404"/>
      <c r="Y394" s="404"/>
      <c r="Z394" s="404"/>
    </row>
    <row r="395">
      <c r="A395" s="404"/>
      <c r="B395" s="404"/>
      <c r="C395" s="404"/>
      <c r="D395" s="404"/>
      <c r="E395" s="404"/>
      <c r="F395" s="404"/>
      <c r="G395" s="404"/>
      <c r="H395" s="404"/>
      <c r="I395" s="404"/>
      <c r="J395" s="404"/>
      <c r="K395" s="404"/>
      <c r="L395" s="404"/>
      <c r="M395" s="404"/>
      <c r="N395" s="404"/>
      <c r="O395" s="404"/>
      <c r="P395" s="404"/>
      <c r="Q395" s="404"/>
      <c r="R395" s="404"/>
      <c r="S395" s="404"/>
      <c r="T395" s="404"/>
      <c r="U395" s="404"/>
      <c r="V395" s="404"/>
      <c r="W395" s="404"/>
      <c r="X395" s="404"/>
      <c r="Y395" s="404"/>
      <c r="Z395" s="404"/>
    </row>
    <row r="396">
      <c r="A396" s="404"/>
      <c r="B396" s="404"/>
      <c r="C396" s="404"/>
      <c r="D396" s="404"/>
      <c r="E396" s="404"/>
      <c r="F396" s="404"/>
      <c r="G396" s="404"/>
      <c r="H396" s="404"/>
      <c r="I396" s="404"/>
      <c r="J396" s="404"/>
      <c r="K396" s="404"/>
      <c r="L396" s="404"/>
      <c r="M396" s="404"/>
      <c r="N396" s="404"/>
      <c r="O396" s="404"/>
      <c r="P396" s="404"/>
      <c r="Q396" s="404"/>
      <c r="R396" s="404"/>
      <c r="S396" s="404"/>
      <c r="T396" s="404"/>
      <c r="U396" s="404"/>
      <c r="V396" s="404"/>
      <c r="W396" s="404"/>
      <c r="X396" s="404"/>
      <c r="Y396" s="404"/>
      <c r="Z396" s="404"/>
    </row>
    <row r="397">
      <c r="A397" s="404"/>
      <c r="B397" s="404"/>
      <c r="C397" s="404"/>
      <c r="D397" s="404"/>
      <c r="E397" s="404"/>
      <c r="F397" s="404"/>
      <c r="G397" s="404"/>
      <c r="H397" s="404"/>
      <c r="I397" s="404"/>
      <c r="J397" s="404"/>
      <c r="K397" s="404"/>
      <c r="L397" s="404"/>
      <c r="M397" s="404"/>
      <c r="N397" s="404"/>
      <c r="O397" s="404"/>
      <c r="P397" s="404"/>
      <c r="Q397" s="404"/>
      <c r="R397" s="404"/>
      <c r="S397" s="404"/>
      <c r="T397" s="404"/>
      <c r="U397" s="404"/>
      <c r="V397" s="404"/>
      <c r="W397" s="404"/>
      <c r="X397" s="404"/>
      <c r="Y397" s="404"/>
      <c r="Z397" s="404"/>
    </row>
    <row r="398">
      <c r="A398" s="404"/>
      <c r="B398" s="404"/>
      <c r="C398" s="404"/>
      <c r="D398" s="404"/>
      <c r="E398" s="404"/>
      <c r="F398" s="404"/>
      <c r="G398" s="404"/>
      <c r="H398" s="404"/>
      <c r="I398" s="404"/>
      <c r="J398" s="404"/>
      <c r="K398" s="404"/>
      <c r="L398" s="404"/>
      <c r="M398" s="404"/>
      <c r="N398" s="404"/>
      <c r="O398" s="404"/>
      <c r="P398" s="404"/>
      <c r="Q398" s="404"/>
      <c r="R398" s="404"/>
      <c r="S398" s="404"/>
      <c r="T398" s="404"/>
      <c r="U398" s="404"/>
      <c r="V398" s="404"/>
      <c r="W398" s="404"/>
      <c r="X398" s="404"/>
      <c r="Y398" s="404"/>
      <c r="Z398" s="404"/>
    </row>
    <row r="399">
      <c r="A399" s="404"/>
      <c r="B399" s="404"/>
      <c r="C399" s="404"/>
      <c r="D399" s="404"/>
      <c r="E399" s="404"/>
      <c r="F399" s="404"/>
      <c r="G399" s="404"/>
      <c r="H399" s="404"/>
      <c r="I399" s="404"/>
      <c r="J399" s="404"/>
      <c r="K399" s="404"/>
      <c r="L399" s="404"/>
      <c r="M399" s="404"/>
      <c r="N399" s="404"/>
      <c r="O399" s="404"/>
      <c r="P399" s="404"/>
      <c r="Q399" s="404"/>
      <c r="R399" s="404"/>
      <c r="S399" s="404"/>
      <c r="T399" s="404"/>
      <c r="U399" s="404"/>
      <c r="V399" s="404"/>
      <c r="W399" s="404"/>
      <c r="X399" s="404"/>
      <c r="Y399" s="404"/>
      <c r="Z399" s="404"/>
    </row>
    <row r="400">
      <c r="A400" s="404"/>
      <c r="B400" s="404"/>
      <c r="C400" s="404"/>
      <c r="D400" s="404"/>
      <c r="E400" s="404"/>
      <c r="F400" s="404"/>
      <c r="G400" s="404"/>
      <c r="H400" s="404"/>
      <c r="I400" s="404"/>
      <c r="J400" s="404"/>
      <c r="K400" s="404"/>
      <c r="L400" s="404"/>
      <c r="M400" s="404"/>
      <c r="N400" s="404"/>
      <c r="O400" s="404"/>
      <c r="P400" s="404"/>
      <c r="Q400" s="404"/>
      <c r="R400" s="404"/>
      <c r="S400" s="404"/>
      <c r="T400" s="404"/>
      <c r="U400" s="404"/>
      <c r="V400" s="404"/>
      <c r="W400" s="404"/>
      <c r="X400" s="404"/>
      <c r="Y400" s="404"/>
      <c r="Z400" s="404"/>
    </row>
    <row r="401">
      <c r="A401" s="404"/>
      <c r="B401" s="404"/>
      <c r="C401" s="404"/>
      <c r="D401" s="404"/>
      <c r="E401" s="404"/>
      <c r="F401" s="404"/>
      <c r="G401" s="404"/>
      <c r="H401" s="404"/>
      <c r="I401" s="404"/>
      <c r="J401" s="404"/>
      <c r="K401" s="404"/>
      <c r="L401" s="404"/>
      <c r="M401" s="404"/>
      <c r="N401" s="404"/>
      <c r="O401" s="404"/>
      <c r="P401" s="404"/>
      <c r="Q401" s="404"/>
      <c r="R401" s="404"/>
      <c r="S401" s="404"/>
      <c r="T401" s="404"/>
      <c r="U401" s="404"/>
      <c r="V401" s="404"/>
      <c r="W401" s="404"/>
      <c r="X401" s="404"/>
      <c r="Y401" s="404"/>
      <c r="Z401" s="404"/>
    </row>
    <row r="402">
      <c r="A402" s="404"/>
      <c r="B402" s="404"/>
      <c r="C402" s="404"/>
      <c r="D402" s="404"/>
      <c r="E402" s="404"/>
      <c r="F402" s="404"/>
      <c r="G402" s="404"/>
      <c r="H402" s="404"/>
      <c r="I402" s="404"/>
      <c r="J402" s="404"/>
      <c r="K402" s="404"/>
      <c r="L402" s="404"/>
      <c r="M402" s="404"/>
      <c r="N402" s="404"/>
      <c r="O402" s="404"/>
      <c r="P402" s="404"/>
      <c r="Q402" s="404"/>
      <c r="R402" s="404"/>
      <c r="S402" s="404"/>
      <c r="T402" s="404"/>
      <c r="U402" s="404"/>
      <c r="V402" s="404"/>
      <c r="W402" s="404"/>
      <c r="X402" s="404"/>
      <c r="Y402" s="404"/>
      <c r="Z402" s="404"/>
    </row>
    <row r="403">
      <c r="A403" s="404"/>
      <c r="B403" s="404"/>
      <c r="C403" s="404"/>
      <c r="D403" s="404"/>
      <c r="E403" s="404"/>
      <c r="F403" s="404"/>
      <c r="G403" s="404"/>
      <c r="H403" s="404"/>
      <c r="I403" s="404"/>
      <c r="J403" s="404"/>
      <c r="K403" s="404"/>
      <c r="L403" s="404"/>
      <c r="M403" s="404"/>
      <c r="N403" s="404"/>
      <c r="O403" s="404"/>
      <c r="P403" s="404"/>
      <c r="Q403" s="404"/>
      <c r="R403" s="404"/>
      <c r="S403" s="404"/>
      <c r="T403" s="404"/>
      <c r="U403" s="404"/>
      <c r="V403" s="404"/>
      <c r="W403" s="404"/>
      <c r="X403" s="404"/>
      <c r="Y403" s="404"/>
      <c r="Z403" s="404"/>
    </row>
    <row r="404">
      <c r="A404" s="404"/>
      <c r="B404" s="404"/>
      <c r="C404" s="404"/>
      <c r="D404" s="404"/>
      <c r="E404" s="404"/>
      <c r="F404" s="404"/>
      <c r="G404" s="404"/>
      <c r="H404" s="404"/>
      <c r="I404" s="404"/>
      <c r="J404" s="404"/>
      <c r="K404" s="404"/>
      <c r="L404" s="404"/>
      <c r="M404" s="404"/>
      <c r="N404" s="404"/>
      <c r="O404" s="404"/>
      <c r="P404" s="404"/>
      <c r="Q404" s="404"/>
      <c r="R404" s="404"/>
      <c r="S404" s="404"/>
      <c r="T404" s="404"/>
      <c r="U404" s="404"/>
      <c r="V404" s="404"/>
      <c r="W404" s="404"/>
      <c r="X404" s="404"/>
      <c r="Y404" s="404"/>
      <c r="Z404" s="404"/>
    </row>
    <row r="405">
      <c r="A405" s="404"/>
      <c r="B405" s="404"/>
      <c r="C405" s="404"/>
      <c r="D405" s="404"/>
      <c r="E405" s="404"/>
      <c r="F405" s="404"/>
      <c r="G405" s="404"/>
      <c r="H405" s="404"/>
      <c r="I405" s="404"/>
      <c r="J405" s="404"/>
      <c r="K405" s="404"/>
      <c r="L405" s="404"/>
      <c r="M405" s="404"/>
      <c r="N405" s="404"/>
      <c r="O405" s="404"/>
      <c r="P405" s="404"/>
      <c r="Q405" s="404"/>
      <c r="R405" s="404"/>
      <c r="S405" s="404"/>
      <c r="T405" s="404"/>
      <c r="U405" s="404"/>
      <c r="V405" s="404"/>
      <c r="W405" s="404"/>
      <c r="X405" s="404"/>
      <c r="Y405" s="404"/>
      <c r="Z405" s="404"/>
    </row>
    <row r="406">
      <c r="A406" s="404"/>
      <c r="B406" s="404"/>
      <c r="C406" s="404"/>
      <c r="D406" s="404"/>
      <c r="E406" s="404"/>
      <c r="F406" s="404"/>
      <c r="G406" s="404"/>
      <c r="H406" s="404"/>
      <c r="I406" s="404"/>
      <c r="J406" s="404"/>
      <c r="K406" s="404"/>
      <c r="L406" s="404"/>
      <c r="M406" s="404"/>
      <c r="N406" s="404"/>
      <c r="O406" s="404"/>
      <c r="P406" s="404"/>
      <c r="Q406" s="404"/>
      <c r="R406" s="404"/>
      <c r="S406" s="404"/>
      <c r="T406" s="404"/>
      <c r="U406" s="404"/>
      <c r="V406" s="404"/>
      <c r="W406" s="404"/>
      <c r="X406" s="404"/>
      <c r="Y406" s="404"/>
      <c r="Z406" s="404"/>
    </row>
    <row r="407">
      <c r="A407" s="404"/>
      <c r="B407" s="404"/>
      <c r="C407" s="404"/>
      <c r="D407" s="404"/>
      <c r="E407" s="404"/>
      <c r="F407" s="404"/>
      <c r="G407" s="404"/>
      <c r="H407" s="404"/>
      <c r="I407" s="404"/>
      <c r="J407" s="404"/>
      <c r="K407" s="404"/>
      <c r="L407" s="404"/>
      <c r="M407" s="404"/>
      <c r="N407" s="404"/>
      <c r="O407" s="404"/>
      <c r="P407" s="404"/>
      <c r="Q407" s="404"/>
      <c r="R407" s="404"/>
      <c r="S407" s="404"/>
      <c r="T407" s="404"/>
      <c r="U407" s="404"/>
      <c r="V407" s="404"/>
      <c r="W407" s="404"/>
      <c r="X407" s="404"/>
      <c r="Y407" s="404"/>
      <c r="Z407" s="404"/>
    </row>
    <row r="408">
      <c r="A408" s="404"/>
      <c r="B408" s="404"/>
      <c r="C408" s="404"/>
      <c r="D408" s="404"/>
      <c r="E408" s="404"/>
      <c r="F408" s="404"/>
      <c r="G408" s="404"/>
      <c r="H408" s="404"/>
      <c r="I408" s="404"/>
      <c r="J408" s="404"/>
      <c r="K408" s="404"/>
      <c r="L408" s="404"/>
      <c r="M408" s="404"/>
      <c r="N408" s="404"/>
      <c r="O408" s="404"/>
      <c r="P408" s="404"/>
      <c r="Q408" s="404"/>
      <c r="R408" s="404"/>
      <c r="S408" s="404"/>
      <c r="T408" s="404"/>
      <c r="U408" s="404"/>
      <c r="V408" s="404"/>
      <c r="W408" s="404"/>
      <c r="X408" s="404"/>
      <c r="Y408" s="404"/>
      <c r="Z408" s="404"/>
    </row>
    <row r="409">
      <c r="A409" s="404"/>
      <c r="B409" s="404"/>
      <c r="C409" s="404"/>
      <c r="D409" s="404"/>
      <c r="E409" s="404"/>
      <c r="F409" s="404"/>
      <c r="G409" s="404"/>
      <c r="H409" s="404"/>
      <c r="I409" s="404"/>
      <c r="J409" s="404"/>
      <c r="K409" s="404"/>
      <c r="L409" s="404"/>
      <c r="M409" s="404"/>
      <c r="N409" s="404"/>
      <c r="O409" s="404"/>
      <c r="P409" s="404"/>
      <c r="Q409" s="404"/>
      <c r="R409" s="404"/>
      <c r="S409" s="404"/>
      <c r="T409" s="404"/>
      <c r="U409" s="404"/>
      <c r="V409" s="404"/>
      <c r="W409" s="404"/>
      <c r="X409" s="404"/>
      <c r="Y409" s="404"/>
      <c r="Z409" s="404"/>
    </row>
    <row r="410">
      <c r="A410" s="404"/>
      <c r="B410" s="404"/>
      <c r="C410" s="404"/>
      <c r="D410" s="404"/>
      <c r="E410" s="404"/>
      <c r="F410" s="404"/>
      <c r="G410" s="404"/>
      <c r="H410" s="404"/>
      <c r="I410" s="404"/>
      <c r="J410" s="404"/>
      <c r="K410" s="404"/>
      <c r="L410" s="404"/>
      <c r="M410" s="404"/>
      <c r="N410" s="404"/>
      <c r="O410" s="404"/>
      <c r="P410" s="404"/>
      <c r="Q410" s="404"/>
      <c r="R410" s="404"/>
      <c r="S410" s="404"/>
      <c r="T410" s="404"/>
      <c r="U410" s="404"/>
      <c r="V410" s="404"/>
      <c r="W410" s="404"/>
      <c r="X410" s="404"/>
      <c r="Y410" s="404"/>
      <c r="Z410" s="404"/>
    </row>
    <row r="411">
      <c r="A411" s="404"/>
      <c r="B411" s="404"/>
      <c r="C411" s="404"/>
      <c r="D411" s="404"/>
      <c r="E411" s="404"/>
      <c r="F411" s="404"/>
      <c r="G411" s="404"/>
      <c r="H411" s="404"/>
      <c r="I411" s="404"/>
      <c r="J411" s="404"/>
      <c r="K411" s="404"/>
      <c r="L411" s="404"/>
      <c r="M411" s="404"/>
      <c r="N411" s="404"/>
      <c r="O411" s="404"/>
      <c r="P411" s="404"/>
      <c r="Q411" s="404"/>
      <c r="R411" s="404"/>
      <c r="S411" s="404"/>
      <c r="T411" s="404"/>
      <c r="U411" s="404"/>
      <c r="V411" s="404"/>
      <c r="W411" s="404"/>
      <c r="X411" s="404"/>
      <c r="Y411" s="404"/>
      <c r="Z411" s="404"/>
    </row>
    <row r="412">
      <c r="A412" s="404"/>
      <c r="B412" s="404"/>
      <c r="C412" s="404"/>
      <c r="D412" s="404"/>
      <c r="E412" s="404"/>
      <c r="F412" s="404"/>
      <c r="G412" s="404"/>
      <c r="H412" s="404"/>
      <c r="I412" s="404"/>
      <c r="J412" s="404"/>
      <c r="K412" s="404"/>
      <c r="L412" s="404"/>
      <c r="M412" s="404"/>
      <c r="N412" s="404"/>
      <c r="O412" s="404"/>
      <c r="P412" s="404"/>
      <c r="Q412" s="404"/>
      <c r="R412" s="404"/>
      <c r="S412" s="404"/>
      <c r="T412" s="404"/>
      <c r="U412" s="404"/>
      <c r="V412" s="404"/>
      <c r="W412" s="404"/>
      <c r="X412" s="404"/>
      <c r="Y412" s="404"/>
      <c r="Z412" s="404"/>
    </row>
    <row r="413">
      <c r="A413" s="404"/>
      <c r="B413" s="404"/>
      <c r="C413" s="404"/>
      <c r="D413" s="404"/>
      <c r="E413" s="404"/>
      <c r="F413" s="404"/>
      <c r="G413" s="404"/>
      <c r="H413" s="404"/>
      <c r="I413" s="404"/>
      <c r="J413" s="404"/>
      <c r="K413" s="404"/>
      <c r="L413" s="404"/>
      <c r="M413" s="404"/>
      <c r="N413" s="404"/>
      <c r="O413" s="404"/>
      <c r="P413" s="404"/>
      <c r="Q413" s="404"/>
      <c r="R413" s="404"/>
      <c r="S413" s="404"/>
      <c r="T413" s="404"/>
      <c r="U413" s="404"/>
      <c r="V413" s="404"/>
      <c r="W413" s="404"/>
      <c r="X413" s="404"/>
      <c r="Y413" s="404"/>
      <c r="Z413" s="404"/>
    </row>
    <row r="414">
      <c r="A414" s="404"/>
      <c r="B414" s="404"/>
      <c r="C414" s="404"/>
      <c r="D414" s="404"/>
      <c r="E414" s="404"/>
      <c r="F414" s="404"/>
      <c r="G414" s="404"/>
      <c r="H414" s="404"/>
      <c r="I414" s="404"/>
      <c r="J414" s="404"/>
      <c r="K414" s="404"/>
      <c r="L414" s="404"/>
      <c r="M414" s="404"/>
      <c r="N414" s="404"/>
      <c r="O414" s="404"/>
      <c r="P414" s="404"/>
      <c r="Q414" s="404"/>
      <c r="R414" s="404"/>
      <c r="S414" s="404"/>
      <c r="T414" s="404"/>
      <c r="U414" s="404"/>
      <c r="V414" s="404"/>
      <c r="W414" s="404"/>
      <c r="X414" s="404"/>
      <c r="Y414" s="404"/>
      <c r="Z414" s="404"/>
    </row>
    <row r="415">
      <c r="A415" s="404"/>
      <c r="B415" s="404"/>
      <c r="C415" s="404"/>
      <c r="D415" s="404"/>
      <c r="E415" s="404"/>
      <c r="F415" s="404"/>
      <c r="G415" s="404"/>
      <c r="H415" s="404"/>
      <c r="I415" s="404"/>
      <c r="J415" s="404"/>
      <c r="K415" s="404"/>
      <c r="L415" s="404"/>
      <c r="M415" s="404"/>
      <c r="N415" s="404"/>
      <c r="O415" s="404"/>
      <c r="P415" s="404"/>
      <c r="Q415" s="404"/>
      <c r="R415" s="404"/>
      <c r="S415" s="404"/>
      <c r="T415" s="404"/>
      <c r="U415" s="404"/>
      <c r="V415" s="404"/>
      <c r="W415" s="404"/>
      <c r="X415" s="404"/>
      <c r="Y415" s="404"/>
      <c r="Z415" s="404"/>
    </row>
    <row r="416">
      <c r="A416" s="404"/>
      <c r="B416" s="404"/>
      <c r="C416" s="404"/>
      <c r="D416" s="404"/>
      <c r="E416" s="404"/>
      <c r="F416" s="404"/>
      <c r="G416" s="404"/>
      <c r="H416" s="404"/>
      <c r="I416" s="404"/>
      <c r="J416" s="404"/>
      <c r="K416" s="404"/>
      <c r="L416" s="404"/>
      <c r="M416" s="404"/>
      <c r="N416" s="404"/>
      <c r="O416" s="404"/>
      <c r="P416" s="404"/>
      <c r="Q416" s="404"/>
      <c r="R416" s="404"/>
      <c r="S416" s="404"/>
      <c r="T416" s="404"/>
      <c r="U416" s="404"/>
      <c r="V416" s="404"/>
      <c r="W416" s="404"/>
      <c r="X416" s="404"/>
      <c r="Y416" s="404"/>
      <c r="Z416" s="404"/>
    </row>
    <row r="417">
      <c r="A417" s="404"/>
      <c r="B417" s="404"/>
      <c r="C417" s="404"/>
      <c r="D417" s="404"/>
      <c r="E417" s="404"/>
      <c r="F417" s="404"/>
      <c r="G417" s="404"/>
      <c r="H417" s="404"/>
      <c r="I417" s="404"/>
      <c r="J417" s="404"/>
      <c r="K417" s="404"/>
      <c r="L417" s="404"/>
      <c r="M417" s="404"/>
      <c r="N417" s="404"/>
      <c r="O417" s="404"/>
      <c r="P417" s="404"/>
      <c r="Q417" s="404"/>
      <c r="R417" s="404"/>
      <c r="S417" s="404"/>
      <c r="T417" s="404"/>
      <c r="U417" s="404"/>
      <c r="V417" s="404"/>
      <c r="W417" s="404"/>
      <c r="X417" s="404"/>
      <c r="Y417" s="404"/>
      <c r="Z417" s="404"/>
    </row>
    <row r="418">
      <c r="A418" s="404"/>
      <c r="B418" s="404"/>
      <c r="C418" s="404"/>
      <c r="D418" s="404"/>
      <c r="E418" s="404"/>
      <c r="F418" s="404"/>
      <c r="G418" s="404"/>
      <c r="H418" s="404"/>
      <c r="I418" s="404"/>
      <c r="J418" s="404"/>
      <c r="K418" s="404"/>
      <c r="L418" s="404"/>
      <c r="M418" s="404"/>
      <c r="N418" s="404"/>
      <c r="O418" s="404"/>
      <c r="P418" s="404"/>
      <c r="Q418" s="404"/>
      <c r="R418" s="404"/>
      <c r="S418" s="404"/>
      <c r="T418" s="404"/>
      <c r="U418" s="404"/>
      <c r="V418" s="404"/>
      <c r="W418" s="404"/>
      <c r="X418" s="404"/>
      <c r="Y418" s="404"/>
      <c r="Z418" s="404"/>
    </row>
    <row r="419">
      <c r="A419" s="404"/>
      <c r="B419" s="404"/>
      <c r="C419" s="404"/>
      <c r="D419" s="404"/>
      <c r="E419" s="404"/>
      <c r="F419" s="404"/>
      <c r="G419" s="404"/>
      <c r="H419" s="404"/>
      <c r="I419" s="404"/>
      <c r="J419" s="404"/>
      <c r="K419" s="404"/>
      <c r="L419" s="404"/>
      <c r="M419" s="404"/>
      <c r="N419" s="404"/>
      <c r="O419" s="404"/>
      <c r="P419" s="404"/>
      <c r="Q419" s="404"/>
      <c r="R419" s="404"/>
      <c r="S419" s="404"/>
      <c r="T419" s="404"/>
      <c r="U419" s="404"/>
      <c r="V419" s="404"/>
      <c r="W419" s="404"/>
      <c r="X419" s="404"/>
      <c r="Y419" s="404"/>
      <c r="Z419" s="404"/>
    </row>
    <row r="420">
      <c r="A420" s="404"/>
      <c r="B420" s="404"/>
      <c r="C420" s="404"/>
      <c r="D420" s="404"/>
      <c r="E420" s="404"/>
      <c r="F420" s="404"/>
      <c r="G420" s="404"/>
      <c r="H420" s="404"/>
      <c r="I420" s="404"/>
      <c r="J420" s="404"/>
      <c r="K420" s="404"/>
      <c r="L420" s="404"/>
      <c r="M420" s="404"/>
      <c r="N420" s="404"/>
      <c r="O420" s="404"/>
      <c r="P420" s="404"/>
      <c r="Q420" s="404"/>
      <c r="R420" s="404"/>
      <c r="S420" s="404"/>
      <c r="T420" s="404"/>
      <c r="U420" s="404"/>
      <c r="V420" s="404"/>
      <c r="W420" s="404"/>
      <c r="X420" s="404"/>
      <c r="Y420" s="404"/>
      <c r="Z420" s="404"/>
    </row>
    <row r="421">
      <c r="A421" s="404"/>
      <c r="B421" s="404"/>
      <c r="C421" s="404"/>
      <c r="D421" s="404"/>
      <c r="E421" s="404"/>
      <c r="F421" s="404"/>
      <c r="G421" s="404"/>
      <c r="H421" s="404"/>
      <c r="I421" s="404"/>
      <c r="J421" s="404"/>
      <c r="K421" s="404"/>
      <c r="L421" s="404"/>
      <c r="M421" s="404"/>
      <c r="N421" s="404"/>
      <c r="O421" s="404"/>
      <c r="P421" s="404"/>
      <c r="Q421" s="404"/>
      <c r="R421" s="404"/>
      <c r="S421" s="404"/>
      <c r="T421" s="404"/>
      <c r="U421" s="404"/>
      <c r="V421" s="404"/>
      <c r="W421" s="404"/>
      <c r="X421" s="404"/>
      <c r="Y421" s="404"/>
      <c r="Z421" s="404"/>
    </row>
    <row r="422">
      <c r="A422" s="404"/>
      <c r="B422" s="404"/>
      <c r="C422" s="404"/>
      <c r="D422" s="404"/>
      <c r="E422" s="404"/>
      <c r="F422" s="404"/>
      <c r="G422" s="404"/>
      <c r="H422" s="404"/>
      <c r="I422" s="404"/>
      <c r="J422" s="404"/>
      <c r="K422" s="404"/>
      <c r="L422" s="404"/>
      <c r="M422" s="404"/>
      <c r="N422" s="404"/>
      <c r="O422" s="404"/>
      <c r="P422" s="404"/>
      <c r="Q422" s="404"/>
      <c r="R422" s="404"/>
      <c r="S422" s="404"/>
      <c r="T422" s="404"/>
      <c r="U422" s="404"/>
      <c r="V422" s="404"/>
      <c r="W422" s="404"/>
      <c r="X422" s="404"/>
      <c r="Y422" s="404"/>
      <c r="Z422" s="404"/>
    </row>
    <row r="423">
      <c r="A423" s="404"/>
      <c r="B423" s="404"/>
      <c r="C423" s="404"/>
      <c r="D423" s="404"/>
      <c r="E423" s="404"/>
      <c r="F423" s="404"/>
      <c r="G423" s="404"/>
      <c r="H423" s="404"/>
      <c r="I423" s="404"/>
      <c r="J423" s="404"/>
      <c r="K423" s="404"/>
      <c r="L423" s="404"/>
      <c r="M423" s="404"/>
      <c r="N423" s="404"/>
      <c r="O423" s="404"/>
      <c r="P423" s="404"/>
      <c r="Q423" s="404"/>
      <c r="R423" s="404"/>
      <c r="S423" s="404"/>
      <c r="T423" s="404"/>
      <c r="U423" s="404"/>
      <c r="V423" s="404"/>
      <c r="W423" s="404"/>
      <c r="X423" s="404"/>
      <c r="Y423" s="404"/>
      <c r="Z423" s="404"/>
    </row>
    <row r="424">
      <c r="A424" s="404"/>
      <c r="B424" s="404"/>
      <c r="C424" s="404"/>
      <c r="D424" s="404"/>
      <c r="E424" s="404"/>
      <c r="F424" s="404"/>
      <c r="G424" s="404"/>
      <c r="H424" s="404"/>
      <c r="I424" s="404"/>
      <c r="J424" s="404"/>
      <c r="K424" s="404"/>
      <c r="L424" s="404"/>
      <c r="M424" s="404"/>
      <c r="N424" s="404"/>
      <c r="O424" s="404"/>
      <c r="P424" s="404"/>
      <c r="Q424" s="404"/>
      <c r="R424" s="404"/>
      <c r="S424" s="404"/>
      <c r="T424" s="404"/>
      <c r="U424" s="404"/>
      <c r="V424" s="404"/>
      <c r="W424" s="404"/>
      <c r="X424" s="404"/>
      <c r="Y424" s="404"/>
      <c r="Z424" s="404"/>
    </row>
    <row r="425">
      <c r="A425" s="404"/>
      <c r="B425" s="404"/>
      <c r="C425" s="404"/>
      <c r="D425" s="404"/>
      <c r="E425" s="404"/>
      <c r="F425" s="404"/>
      <c r="G425" s="404"/>
      <c r="H425" s="404"/>
      <c r="I425" s="404"/>
      <c r="J425" s="404"/>
      <c r="K425" s="404"/>
      <c r="L425" s="404"/>
      <c r="M425" s="404"/>
      <c r="N425" s="404"/>
      <c r="O425" s="404"/>
      <c r="P425" s="404"/>
      <c r="Q425" s="404"/>
      <c r="R425" s="404"/>
      <c r="S425" s="404"/>
      <c r="T425" s="404"/>
      <c r="U425" s="404"/>
      <c r="V425" s="404"/>
      <c r="W425" s="404"/>
      <c r="X425" s="404"/>
      <c r="Y425" s="404"/>
      <c r="Z425" s="404"/>
    </row>
    <row r="426">
      <c r="A426" s="404"/>
      <c r="B426" s="404"/>
      <c r="C426" s="404"/>
      <c r="D426" s="404"/>
      <c r="E426" s="404"/>
      <c r="F426" s="404"/>
      <c r="G426" s="404"/>
      <c r="H426" s="404"/>
      <c r="I426" s="404"/>
      <c r="J426" s="404"/>
      <c r="K426" s="404"/>
      <c r="L426" s="404"/>
      <c r="M426" s="404"/>
      <c r="N426" s="404"/>
      <c r="O426" s="404"/>
      <c r="P426" s="404"/>
      <c r="Q426" s="404"/>
      <c r="R426" s="404"/>
      <c r="S426" s="404"/>
      <c r="T426" s="404"/>
      <c r="U426" s="404"/>
      <c r="V426" s="404"/>
      <c r="W426" s="404"/>
      <c r="X426" s="404"/>
      <c r="Y426" s="404"/>
      <c r="Z426" s="404"/>
    </row>
    <row r="427">
      <c r="A427" s="404"/>
      <c r="B427" s="404"/>
      <c r="C427" s="404"/>
      <c r="D427" s="404"/>
      <c r="E427" s="404"/>
      <c r="F427" s="404"/>
      <c r="G427" s="404"/>
      <c r="H427" s="404"/>
      <c r="I427" s="404"/>
      <c r="J427" s="404"/>
      <c r="K427" s="404"/>
      <c r="L427" s="404"/>
      <c r="M427" s="404"/>
      <c r="N427" s="404"/>
      <c r="O427" s="404"/>
      <c r="P427" s="404"/>
      <c r="Q427" s="404"/>
      <c r="R427" s="404"/>
      <c r="S427" s="404"/>
      <c r="T427" s="404"/>
      <c r="U427" s="404"/>
      <c r="V427" s="404"/>
      <c r="W427" s="404"/>
      <c r="X427" s="404"/>
      <c r="Y427" s="404"/>
      <c r="Z427" s="404"/>
    </row>
    <row r="428">
      <c r="A428" s="404"/>
      <c r="B428" s="404"/>
      <c r="C428" s="404"/>
      <c r="D428" s="404"/>
      <c r="E428" s="404"/>
      <c r="F428" s="404"/>
      <c r="G428" s="404"/>
      <c r="H428" s="404"/>
      <c r="I428" s="404"/>
      <c r="J428" s="404"/>
      <c r="K428" s="404"/>
      <c r="L428" s="404"/>
      <c r="M428" s="404"/>
      <c r="N428" s="404"/>
      <c r="O428" s="404"/>
      <c r="P428" s="404"/>
      <c r="Q428" s="404"/>
      <c r="R428" s="404"/>
      <c r="S428" s="404"/>
      <c r="T428" s="404"/>
      <c r="U428" s="404"/>
      <c r="V428" s="404"/>
      <c r="W428" s="404"/>
      <c r="X428" s="404"/>
      <c r="Y428" s="404"/>
      <c r="Z428" s="404"/>
    </row>
    <row r="429">
      <c r="A429" s="404"/>
      <c r="B429" s="404"/>
      <c r="C429" s="404"/>
      <c r="D429" s="404"/>
      <c r="E429" s="404"/>
      <c r="F429" s="404"/>
      <c r="G429" s="404"/>
      <c r="H429" s="404"/>
      <c r="I429" s="404"/>
      <c r="J429" s="404"/>
      <c r="K429" s="404"/>
      <c r="L429" s="404"/>
      <c r="M429" s="404"/>
      <c r="N429" s="404"/>
      <c r="O429" s="404"/>
      <c r="P429" s="404"/>
      <c r="Q429" s="404"/>
      <c r="R429" s="404"/>
      <c r="S429" s="404"/>
      <c r="T429" s="404"/>
      <c r="U429" s="404"/>
      <c r="V429" s="404"/>
      <c r="W429" s="404"/>
      <c r="X429" s="404"/>
      <c r="Y429" s="404"/>
      <c r="Z429" s="404"/>
    </row>
    <row r="430">
      <c r="A430" s="404"/>
      <c r="B430" s="404"/>
      <c r="C430" s="404"/>
      <c r="D430" s="404"/>
      <c r="E430" s="404"/>
      <c r="F430" s="404"/>
      <c r="G430" s="404"/>
      <c r="H430" s="404"/>
      <c r="I430" s="404"/>
      <c r="J430" s="404"/>
      <c r="K430" s="404"/>
      <c r="L430" s="404"/>
      <c r="M430" s="404"/>
      <c r="N430" s="404"/>
      <c r="O430" s="404"/>
      <c r="P430" s="404"/>
      <c r="Q430" s="404"/>
      <c r="R430" s="404"/>
      <c r="S430" s="404"/>
      <c r="T430" s="404"/>
      <c r="U430" s="404"/>
      <c r="V430" s="404"/>
      <c r="W430" s="404"/>
      <c r="X430" s="404"/>
      <c r="Y430" s="404"/>
      <c r="Z430" s="404"/>
    </row>
    <row r="431">
      <c r="A431" s="404"/>
      <c r="B431" s="404"/>
      <c r="C431" s="404"/>
      <c r="D431" s="404"/>
      <c r="E431" s="404"/>
      <c r="F431" s="404"/>
      <c r="G431" s="404"/>
      <c r="H431" s="404"/>
      <c r="I431" s="404"/>
      <c r="J431" s="404"/>
      <c r="K431" s="404"/>
      <c r="L431" s="404"/>
      <c r="M431" s="404"/>
      <c r="N431" s="404"/>
      <c r="O431" s="404"/>
      <c r="P431" s="404"/>
      <c r="Q431" s="404"/>
      <c r="R431" s="404"/>
      <c r="S431" s="404"/>
      <c r="T431" s="404"/>
      <c r="U431" s="404"/>
      <c r="V431" s="404"/>
      <c r="W431" s="404"/>
      <c r="X431" s="404"/>
      <c r="Y431" s="404"/>
      <c r="Z431" s="404"/>
    </row>
    <row r="432">
      <c r="A432" s="404"/>
      <c r="B432" s="404"/>
      <c r="C432" s="404"/>
      <c r="D432" s="404"/>
      <c r="E432" s="404"/>
      <c r="F432" s="404"/>
      <c r="G432" s="404"/>
      <c r="H432" s="404"/>
      <c r="I432" s="404"/>
      <c r="J432" s="404"/>
      <c r="K432" s="404"/>
      <c r="L432" s="404"/>
      <c r="M432" s="404"/>
      <c r="N432" s="404"/>
      <c r="O432" s="404"/>
      <c r="P432" s="404"/>
      <c r="Q432" s="404"/>
      <c r="R432" s="404"/>
      <c r="S432" s="404"/>
      <c r="T432" s="404"/>
      <c r="U432" s="404"/>
      <c r="V432" s="404"/>
      <c r="W432" s="404"/>
      <c r="X432" s="404"/>
      <c r="Y432" s="404"/>
      <c r="Z432" s="404"/>
    </row>
    <row r="433">
      <c r="A433" s="404"/>
      <c r="B433" s="404"/>
      <c r="C433" s="404"/>
      <c r="D433" s="404"/>
      <c r="E433" s="404"/>
      <c r="F433" s="404"/>
      <c r="G433" s="404"/>
      <c r="H433" s="404"/>
      <c r="I433" s="404"/>
      <c r="J433" s="404"/>
      <c r="K433" s="404"/>
      <c r="L433" s="404"/>
      <c r="M433" s="404"/>
      <c r="N433" s="404"/>
      <c r="O433" s="404"/>
      <c r="P433" s="404"/>
      <c r="Q433" s="404"/>
      <c r="R433" s="404"/>
      <c r="S433" s="404"/>
      <c r="T433" s="404"/>
      <c r="U433" s="404"/>
      <c r="V433" s="404"/>
      <c r="W433" s="404"/>
      <c r="X433" s="404"/>
      <c r="Y433" s="404"/>
      <c r="Z433" s="404"/>
    </row>
    <row r="434">
      <c r="A434" s="404"/>
      <c r="B434" s="404"/>
      <c r="C434" s="404"/>
      <c r="D434" s="404"/>
      <c r="E434" s="404"/>
      <c r="F434" s="404"/>
      <c r="G434" s="404"/>
      <c r="H434" s="404"/>
      <c r="I434" s="404"/>
      <c r="J434" s="404"/>
      <c r="K434" s="404"/>
      <c r="L434" s="404"/>
      <c r="M434" s="404"/>
      <c r="N434" s="404"/>
      <c r="O434" s="404"/>
      <c r="P434" s="404"/>
      <c r="Q434" s="404"/>
      <c r="R434" s="404"/>
      <c r="S434" s="404"/>
      <c r="T434" s="404"/>
      <c r="U434" s="404"/>
      <c r="V434" s="404"/>
      <c r="W434" s="404"/>
      <c r="X434" s="404"/>
      <c r="Y434" s="404"/>
      <c r="Z434" s="404"/>
    </row>
    <row r="435">
      <c r="A435" s="404"/>
      <c r="B435" s="404"/>
      <c r="C435" s="404"/>
      <c r="D435" s="404"/>
      <c r="E435" s="404"/>
      <c r="F435" s="404"/>
      <c r="G435" s="404"/>
      <c r="H435" s="404"/>
      <c r="I435" s="404"/>
      <c r="J435" s="404"/>
      <c r="K435" s="404"/>
      <c r="L435" s="404"/>
      <c r="M435" s="404"/>
      <c r="N435" s="404"/>
      <c r="O435" s="404"/>
      <c r="P435" s="404"/>
      <c r="Q435" s="404"/>
      <c r="R435" s="404"/>
      <c r="S435" s="404"/>
      <c r="T435" s="404"/>
      <c r="U435" s="404"/>
      <c r="V435" s="404"/>
      <c r="W435" s="404"/>
      <c r="X435" s="404"/>
      <c r="Y435" s="404"/>
      <c r="Z435" s="404"/>
    </row>
    <row r="436">
      <c r="A436" s="404"/>
      <c r="B436" s="404"/>
      <c r="C436" s="404"/>
      <c r="D436" s="404"/>
      <c r="E436" s="404"/>
      <c r="F436" s="404"/>
      <c r="G436" s="404"/>
      <c r="H436" s="404"/>
      <c r="I436" s="404"/>
      <c r="J436" s="404"/>
      <c r="K436" s="404"/>
      <c r="L436" s="404"/>
      <c r="M436" s="404"/>
      <c r="N436" s="404"/>
      <c r="O436" s="404"/>
      <c r="P436" s="404"/>
      <c r="Q436" s="404"/>
      <c r="R436" s="404"/>
      <c r="S436" s="404"/>
      <c r="T436" s="404"/>
      <c r="U436" s="404"/>
      <c r="V436" s="404"/>
      <c r="W436" s="404"/>
      <c r="X436" s="404"/>
      <c r="Y436" s="404"/>
      <c r="Z436" s="404"/>
    </row>
    <row r="437">
      <c r="A437" s="404"/>
      <c r="B437" s="404"/>
      <c r="C437" s="404"/>
      <c r="D437" s="404"/>
      <c r="E437" s="404"/>
      <c r="F437" s="404"/>
      <c r="G437" s="404"/>
      <c r="H437" s="404"/>
      <c r="I437" s="404"/>
      <c r="J437" s="404"/>
      <c r="K437" s="404"/>
      <c r="L437" s="404"/>
      <c r="M437" s="404"/>
      <c r="N437" s="404"/>
      <c r="O437" s="404"/>
      <c r="P437" s="404"/>
      <c r="Q437" s="404"/>
      <c r="R437" s="404"/>
      <c r="S437" s="404"/>
      <c r="T437" s="404"/>
      <c r="U437" s="404"/>
      <c r="V437" s="404"/>
      <c r="W437" s="404"/>
      <c r="X437" s="404"/>
      <c r="Y437" s="404"/>
      <c r="Z437" s="404"/>
    </row>
    <row r="438">
      <c r="A438" s="404"/>
      <c r="B438" s="404"/>
      <c r="C438" s="404"/>
      <c r="D438" s="404"/>
      <c r="E438" s="404"/>
      <c r="F438" s="404"/>
      <c r="G438" s="404"/>
      <c r="H438" s="404"/>
      <c r="I438" s="404"/>
      <c r="J438" s="404"/>
      <c r="K438" s="404"/>
      <c r="L438" s="404"/>
      <c r="M438" s="404"/>
      <c r="N438" s="404"/>
      <c r="O438" s="404"/>
      <c r="P438" s="404"/>
      <c r="Q438" s="404"/>
      <c r="R438" s="404"/>
      <c r="S438" s="404"/>
      <c r="T438" s="404"/>
      <c r="U438" s="404"/>
      <c r="V438" s="404"/>
      <c r="W438" s="404"/>
      <c r="X438" s="404"/>
      <c r="Y438" s="404"/>
      <c r="Z438" s="404"/>
    </row>
    <row r="439">
      <c r="A439" s="404"/>
      <c r="B439" s="404"/>
      <c r="C439" s="404"/>
      <c r="D439" s="404"/>
      <c r="E439" s="404"/>
      <c r="F439" s="404"/>
      <c r="G439" s="404"/>
      <c r="H439" s="404"/>
      <c r="I439" s="404"/>
      <c r="J439" s="404"/>
      <c r="K439" s="404"/>
      <c r="L439" s="404"/>
      <c r="M439" s="404"/>
      <c r="N439" s="404"/>
      <c r="O439" s="404"/>
      <c r="P439" s="404"/>
      <c r="Q439" s="404"/>
      <c r="R439" s="404"/>
      <c r="S439" s="404"/>
      <c r="T439" s="404"/>
      <c r="U439" s="404"/>
      <c r="V439" s="404"/>
      <c r="W439" s="404"/>
      <c r="X439" s="404"/>
      <c r="Y439" s="404"/>
      <c r="Z439" s="404"/>
    </row>
    <row r="440">
      <c r="A440" s="404"/>
      <c r="B440" s="404"/>
      <c r="C440" s="404"/>
      <c r="D440" s="404"/>
      <c r="E440" s="404"/>
      <c r="F440" s="404"/>
      <c r="G440" s="404"/>
      <c r="H440" s="404"/>
      <c r="I440" s="404"/>
      <c r="J440" s="404"/>
      <c r="K440" s="404"/>
      <c r="L440" s="404"/>
      <c r="M440" s="404"/>
      <c r="N440" s="404"/>
      <c r="O440" s="404"/>
      <c r="P440" s="404"/>
      <c r="Q440" s="404"/>
      <c r="R440" s="404"/>
      <c r="S440" s="404"/>
      <c r="T440" s="404"/>
      <c r="U440" s="404"/>
      <c r="V440" s="404"/>
      <c r="W440" s="404"/>
      <c r="X440" s="404"/>
      <c r="Y440" s="404"/>
      <c r="Z440" s="404"/>
    </row>
    <row r="441">
      <c r="A441" s="404"/>
      <c r="B441" s="404"/>
      <c r="C441" s="404"/>
      <c r="D441" s="404"/>
      <c r="E441" s="404"/>
      <c r="F441" s="404"/>
      <c r="G441" s="404"/>
      <c r="H441" s="404"/>
      <c r="I441" s="404"/>
      <c r="J441" s="404"/>
      <c r="K441" s="404"/>
      <c r="L441" s="404"/>
      <c r="M441" s="404"/>
      <c r="N441" s="404"/>
      <c r="O441" s="404"/>
      <c r="P441" s="404"/>
      <c r="Q441" s="404"/>
      <c r="R441" s="404"/>
      <c r="S441" s="404"/>
      <c r="T441" s="404"/>
      <c r="U441" s="404"/>
      <c r="V441" s="404"/>
      <c r="W441" s="404"/>
      <c r="X441" s="404"/>
      <c r="Y441" s="404"/>
      <c r="Z441" s="404"/>
    </row>
    <row r="442">
      <c r="A442" s="404"/>
      <c r="B442" s="404"/>
      <c r="C442" s="404"/>
      <c r="D442" s="404"/>
      <c r="E442" s="404"/>
      <c r="F442" s="404"/>
      <c r="G442" s="404"/>
      <c r="H442" s="404"/>
      <c r="I442" s="404"/>
      <c r="J442" s="404"/>
      <c r="K442" s="404"/>
      <c r="L442" s="404"/>
      <c r="M442" s="404"/>
      <c r="N442" s="404"/>
      <c r="O442" s="404"/>
      <c r="P442" s="404"/>
      <c r="Q442" s="404"/>
      <c r="R442" s="404"/>
      <c r="S442" s="404"/>
      <c r="T442" s="404"/>
      <c r="U442" s="404"/>
      <c r="V442" s="404"/>
      <c r="W442" s="404"/>
      <c r="X442" s="404"/>
      <c r="Y442" s="404"/>
      <c r="Z442" s="404"/>
    </row>
    <row r="443">
      <c r="A443" s="404"/>
      <c r="B443" s="404"/>
      <c r="C443" s="404"/>
      <c r="D443" s="404"/>
      <c r="E443" s="404"/>
      <c r="F443" s="404"/>
      <c r="G443" s="404"/>
      <c r="H443" s="404"/>
      <c r="I443" s="404"/>
      <c r="J443" s="404"/>
      <c r="K443" s="404"/>
      <c r="L443" s="404"/>
      <c r="M443" s="404"/>
      <c r="N443" s="404"/>
      <c r="O443" s="404"/>
      <c r="P443" s="404"/>
      <c r="Q443" s="404"/>
      <c r="R443" s="404"/>
      <c r="S443" s="404"/>
      <c r="T443" s="404"/>
      <c r="U443" s="404"/>
      <c r="V443" s="404"/>
      <c r="W443" s="404"/>
      <c r="X443" s="404"/>
      <c r="Y443" s="404"/>
      <c r="Z443" s="404"/>
    </row>
    <row r="444">
      <c r="A444" s="404"/>
      <c r="B444" s="404"/>
      <c r="C444" s="404"/>
      <c r="D444" s="404"/>
      <c r="E444" s="404"/>
      <c r="F444" s="404"/>
      <c r="G444" s="404"/>
      <c r="H444" s="404"/>
      <c r="I444" s="404"/>
      <c r="J444" s="404"/>
      <c r="K444" s="404"/>
      <c r="L444" s="404"/>
      <c r="M444" s="404"/>
      <c r="N444" s="404"/>
      <c r="O444" s="404"/>
      <c r="P444" s="404"/>
      <c r="Q444" s="404"/>
      <c r="R444" s="404"/>
      <c r="S444" s="404"/>
      <c r="T444" s="404"/>
      <c r="U444" s="404"/>
      <c r="V444" s="404"/>
      <c r="W444" s="404"/>
      <c r="X444" s="404"/>
      <c r="Y444" s="404"/>
      <c r="Z444" s="404"/>
    </row>
    <row r="445">
      <c r="A445" s="404"/>
      <c r="B445" s="404"/>
      <c r="C445" s="404"/>
      <c r="D445" s="404"/>
      <c r="E445" s="404"/>
      <c r="F445" s="404"/>
      <c r="G445" s="404"/>
      <c r="H445" s="404"/>
      <c r="I445" s="404"/>
      <c r="J445" s="404"/>
      <c r="K445" s="404"/>
      <c r="L445" s="404"/>
      <c r="M445" s="404"/>
      <c r="N445" s="404"/>
      <c r="O445" s="404"/>
      <c r="P445" s="404"/>
      <c r="Q445" s="404"/>
      <c r="R445" s="404"/>
      <c r="S445" s="404"/>
      <c r="T445" s="404"/>
      <c r="U445" s="404"/>
      <c r="V445" s="404"/>
      <c r="W445" s="404"/>
      <c r="X445" s="404"/>
      <c r="Y445" s="404"/>
      <c r="Z445" s="404"/>
    </row>
    <row r="446">
      <c r="A446" s="404"/>
      <c r="B446" s="404"/>
      <c r="C446" s="404"/>
      <c r="D446" s="404"/>
      <c r="E446" s="404"/>
      <c r="F446" s="404"/>
      <c r="G446" s="404"/>
      <c r="H446" s="404"/>
      <c r="I446" s="404"/>
      <c r="J446" s="404"/>
      <c r="K446" s="404"/>
      <c r="L446" s="404"/>
      <c r="M446" s="404"/>
      <c r="N446" s="404"/>
      <c r="O446" s="404"/>
      <c r="P446" s="404"/>
      <c r="Q446" s="404"/>
      <c r="R446" s="404"/>
      <c r="S446" s="404"/>
      <c r="T446" s="404"/>
      <c r="U446" s="404"/>
      <c r="V446" s="404"/>
      <c r="W446" s="404"/>
      <c r="X446" s="404"/>
      <c r="Y446" s="404"/>
      <c r="Z446" s="404"/>
    </row>
    <row r="447">
      <c r="A447" s="404"/>
      <c r="B447" s="404"/>
      <c r="C447" s="404"/>
      <c r="D447" s="404"/>
      <c r="E447" s="404"/>
      <c r="F447" s="404"/>
      <c r="G447" s="404"/>
      <c r="H447" s="404"/>
      <c r="I447" s="404"/>
      <c r="J447" s="404"/>
      <c r="K447" s="404"/>
      <c r="L447" s="404"/>
      <c r="M447" s="404"/>
      <c r="N447" s="404"/>
      <c r="O447" s="404"/>
      <c r="P447" s="404"/>
      <c r="Q447" s="404"/>
      <c r="R447" s="404"/>
      <c r="S447" s="404"/>
      <c r="T447" s="404"/>
      <c r="U447" s="404"/>
      <c r="V447" s="404"/>
      <c r="W447" s="404"/>
      <c r="X447" s="404"/>
      <c r="Y447" s="404"/>
      <c r="Z447" s="404"/>
    </row>
    <row r="448">
      <c r="A448" s="404"/>
      <c r="B448" s="404"/>
      <c r="C448" s="404"/>
      <c r="D448" s="404"/>
      <c r="E448" s="404"/>
      <c r="F448" s="404"/>
      <c r="G448" s="404"/>
      <c r="H448" s="404"/>
      <c r="I448" s="404"/>
      <c r="J448" s="404"/>
      <c r="K448" s="404"/>
      <c r="L448" s="404"/>
      <c r="M448" s="404"/>
      <c r="N448" s="404"/>
      <c r="O448" s="404"/>
      <c r="P448" s="404"/>
      <c r="Q448" s="404"/>
      <c r="R448" s="404"/>
      <c r="S448" s="404"/>
      <c r="T448" s="404"/>
      <c r="U448" s="404"/>
      <c r="V448" s="404"/>
      <c r="W448" s="404"/>
      <c r="X448" s="404"/>
      <c r="Y448" s="404"/>
      <c r="Z448" s="404"/>
    </row>
    <row r="449">
      <c r="A449" s="404"/>
      <c r="B449" s="404"/>
      <c r="C449" s="404"/>
      <c r="D449" s="404"/>
      <c r="E449" s="404"/>
      <c r="F449" s="404"/>
      <c r="G449" s="404"/>
      <c r="H449" s="404"/>
      <c r="I449" s="404"/>
      <c r="J449" s="404"/>
      <c r="K449" s="404"/>
      <c r="L449" s="404"/>
      <c r="M449" s="404"/>
      <c r="N449" s="404"/>
      <c r="O449" s="404"/>
      <c r="P449" s="404"/>
      <c r="Q449" s="404"/>
      <c r="R449" s="404"/>
      <c r="S449" s="404"/>
      <c r="T449" s="404"/>
      <c r="U449" s="404"/>
      <c r="V449" s="404"/>
      <c r="W449" s="404"/>
      <c r="X449" s="404"/>
      <c r="Y449" s="404"/>
      <c r="Z449" s="404"/>
    </row>
    <row r="450">
      <c r="A450" s="404"/>
      <c r="B450" s="404"/>
      <c r="C450" s="404"/>
      <c r="D450" s="404"/>
      <c r="E450" s="404"/>
      <c r="F450" s="404"/>
      <c r="G450" s="404"/>
      <c r="H450" s="404"/>
      <c r="I450" s="404"/>
      <c r="J450" s="404"/>
      <c r="K450" s="404"/>
      <c r="L450" s="404"/>
      <c r="M450" s="404"/>
      <c r="N450" s="404"/>
      <c r="O450" s="404"/>
      <c r="P450" s="404"/>
      <c r="Q450" s="404"/>
      <c r="R450" s="404"/>
      <c r="S450" s="404"/>
      <c r="T450" s="404"/>
      <c r="U450" s="404"/>
      <c r="V450" s="404"/>
      <c r="W450" s="404"/>
      <c r="X450" s="404"/>
      <c r="Y450" s="404"/>
      <c r="Z450" s="404"/>
    </row>
    <row r="451">
      <c r="A451" s="404"/>
      <c r="B451" s="404"/>
      <c r="C451" s="404"/>
      <c r="D451" s="404"/>
      <c r="E451" s="404"/>
      <c r="F451" s="404"/>
      <c r="G451" s="404"/>
      <c r="H451" s="404"/>
      <c r="I451" s="404"/>
      <c r="J451" s="404"/>
      <c r="K451" s="404"/>
      <c r="L451" s="404"/>
      <c r="M451" s="404"/>
      <c r="N451" s="404"/>
      <c r="O451" s="404"/>
      <c r="P451" s="404"/>
      <c r="Q451" s="404"/>
      <c r="R451" s="404"/>
      <c r="S451" s="404"/>
      <c r="T451" s="404"/>
      <c r="U451" s="404"/>
      <c r="V451" s="404"/>
      <c r="W451" s="404"/>
      <c r="X451" s="404"/>
      <c r="Y451" s="404"/>
      <c r="Z451" s="404"/>
    </row>
    <row r="452">
      <c r="A452" s="404"/>
      <c r="B452" s="404"/>
      <c r="C452" s="404"/>
      <c r="D452" s="404"/>
      <c r="E452" s="404"/>
      <c r="F452" s="404"/>
      <c r="G452" s="404"/>
      <c r="H452" s="404"/>
      <c r="I452" s="404"/>
      <c r="J452" s="404"/>
      <c r="K452" s="404"/>
      <c r="L452" s="404"/>
      <c r="M452" s="404"/>
      <c r="N452" s="404"/>
      <c r="O452" s="404"/>
      <c r="P452" s="404"/>
      <c r="Q452" s="404"/>
      <c r="R452" s="404"/>
      <c r="S452" s="404"/>
      <c r="T452" s="404"/>
      <c r="U452" s="404"/>
      <c r="V452" s="404"/>
      <c r="W452" s="404"/>
      <c r="X452" s="404"/>
      <c r="Y452" s="404"/>
      <c r="Z452" s="404"/>
    </row>
    <row r="453">
      <c r="A453" s="404"/>
      <c r="B453" s="404"/>
      <c r="C453" s="404"/>
      <c r="D453" s="404"/>
      <c r="E453" s="404"/>
      <c r="F453" s="404"/>
      <c r="G453" s="404"/>
      <c r="H453" s="404"/>
      <c r="I453" s="404"/>
      <c r="J453" s="404"/>
      <c r="K453" s="404"/>
      <c r="L453" s="404"/>
      <c r="M453" s="404"/>
      <c r="N453" s="404"/>
      <c r="O453" s="404"/>
      <c r="P453" s="404"/>
      <c r="Q453" s="404"/>
      <c r="R453" s="404"/>
      <c r="S453" s="404"/>
      <c r="T453" s="404"/>
      <c r="U453" s="404"/>
      <c r="V453" s="404"/>
      <c r="W453" s="404"/>
      <c r="X453" s="404"/>
      <c r="Y453" s="404"/>
      <c r="Z453" s="404"/>
    </row>
    <row r="454">
      <c r="A454" s="404"/>
      <c r="B454" s="404"/>
      <c r="C454" s="404"/>
      <c r="D454" s="404"/>
      <c r="E454" s="404"/>
      <c r="F454" s="404"/>
      <c r="G454" s="404"/>
      <c r="H454" s="404"/>
      <c r="I454" s="404"/>
      <c r="J454" s="404"/>
      <c r="K454" s="404"/>
      <c r="L454" s="404"/>
      <c r="M454" s="404"/>
      <c r="N454" s="404"/>
      <c r="O454" s="404"/>
      <c r="P454" s="404"/>
      <c r="Q454" s="404"/>
      <c r="R454" s="404"/>
      <c r="S454" s="404"/>
      <c r="T454" s="404"/>
      <c r="U454" s="404"/>
      <c r="V454" s="404"/>
      <c r="W454" s="404"/>
      <c r="X454" s="404"/>
      <c r="Y454" s="404"/>
      <c r="Z454" s="404"/>
    </row>
    <row r="455">
      <c r="A455" s="404"/>
      <c r="B455" s="404"/>
      <c r="C455" s="404"/>
      <c r="D455" s="404"/>
      <c r="E455" s="404"/>
      <c r="F455" s="404"/>
      <c r="G455" s="404"/>
      <c r="H455" s="404"/>
      <c r="I455" s="404"/>
      <c r="J455" s="404"/>
      <c r="K455" s="404"/>
      <c r="L455" s="404"/>
      <c r="M455" s="404"/>
      <c r="N455" s="404"/>
      <c r="O455" s="404"/>
      <c r="P455" s="404"/>
      <c r="Q455" s="404"/>
      <c r="R455" s="404"/>
      <c r="S455" s="404"/>
      <c r="T455" s="404"/>
      <c r="U455" s="404"/>
      <c r="V455" s="404"/>
      <c r="W455" s="404"/>
      <c r="X455" s="404"/>
      <c r="Y455" s="404"/>
      <c r="Z455" s="404"/>
    </row>
    <row r="456">
      <c r="A456" s="404"/>
      <c r="B456" s="404"/>
      <c r="C456" s="404"/>
      <c r="D456" s="404"/>
      <c r="E456" s="404"/>
      <c r="F456" s="404"/>
      <c r="G456" s="404"/>
      <c r="H456" s="404"/>
      <c r="I456" s="404"/>
      <c r="J456" s="404"/>
      <c r="K456" s="404"/>
      <c r="L456" s="404"/>
      <c r="M456" s="404"/>
      <c r="N456" s="404"/>
      <c r="O456" s="404"/>
      <c r="P456" s="404"/>
      <c r="Q456" s="404"/>
      <c r="R456" s="404"/>
      <c r="S456" s="404"/>
      <c r="T456" s="404"/>
      <c r="U456" s="404"/>
      <c r="V456" s="404"/>
      <c r="W456" s="404"/>
      <c r="X456" s="404"/>
      <c r="Y456" s="404"/>
      <c r="Z456" s="404"/>
    </row>
    <row r="457">
      <c r="A457" s="404"/>
      <c r="B457" s="404"/>
      <c r="C457" s="404"/>
      <c r="D457" s="404"/>
      <c r="E457" s="404"/>
      <c r="F457" s="404"/>
      <c r="G457" s="404"/>
      <c r="H457" s="404"/>
      <c r="I457" s="404"/>
      <c r="J457" s="404"/>
      <c r="K457" s="404"/>
      <c r="L457" s="404"/>
      <c r="M457" s="404"/>
      <c r="N457" s="404"/>
      <c r="O457" s="404"/>
      <c r="P457" s="404"/>
      <c r="Q457" s="404"/>
      <c r="R457" s="404"/>
      <c r="S457" s="404"/>
      <c r="T457" s="404"/>
      <c r="U457" s="404"/>
      <c r="V457" s="404"/>
      <c r="W457" s="404"/>
      <c r="X457" s="404"/>
      <c r="Y457" s="404"/>
      <c r="Z457" s="404"/>
    </row>
    <row r="458">
      <c r="A458" s="404"/>
      <c r="B458" s="404"/>
      <c r="C458" s="404"/>
      <c r="D458" s="404"/>
      <c r="E458" s="404"/>
      <c r="F458" s="404"/>
      <c r="G458" s="404"/>
      <c r="H458" s="404"/>
      <c r="I458" s="404"/>
      <c r="J458" s="404"/>
      <c r="K458" s="404"/>
      <c r="L458" s="404"/>
      <c r="M458" s="404"/>
      <c r="N458" s="404"/>
      <c r="O458" s="404"/>
      <c r="P458" s="404"/>
      <c r="Q458" s="404"/>
      <c r="R458" s="404"/>
      <c r="S458" s="404"/>
      <c r="T458" s="404"/>
      <c r="U458" s="404"/>
      <c r="V458" s="404"/>
      <c r="W458" s="404"/>
      <c r="X458" s="404"/>
      <c r="Y458" s="404"/>
      <c r="Z458" s="404"/>
    </row>
    <row r="459">
      <c r="A459" s="404"/>
      <c r="B459" s="404"/>
      <c r="C459" s="404"/>
      <c r="D459" s="404"/>
      <c r="E459" s="404"/>
      <c r="F459" s="404"/>
      <c r="G459" s="404"/>
      <c r="H459" s="404"/>
      <c r="I459" s="404"/>
      <c r="J459" s="404"/>
      <c r="K459" s="404"/>
      <c r="L459" s="404"/>
      <c r="M459" s="404"/>
      <c r="N459" s="404"/>
      <c r="O459" s="404"/>
      <c r="P459" s="404"/>
      <c r="Q459" s="404"/>
      <c r="R459" s="404"/>
      <c r="S459" s="404"/>
      <c r="T459" s="404"/>
      <c r="U459" s="404"/>
      <c r="V459" s="404"/>
      <c r="W459" s="404"/>
      <c r="X459" s="404"/>
      <c r="Y459" s="404"/>
      <c r="Z459" s="404"/>
    </row>
    <row r="460">
      <c r="A460" s="404"/>
      <c r="B460" s="404"/>
      <c r="C460" s="404"/>
      <c r="D460" s="404"/>
      <c r="E460" s="404"/>
      <c r="F460" s="404"/>
      <c r="G460" s="404"/>
      <c r="H460" s="404"/>
      <c r="I460" s="404"/>
      <c r="J460" s="404"/>
      <c r="K460" s="404"/>
      <c r="L460" s="404"/>
      <c r="M460" s="404"/>
      <c r="N460" s="404"/>
      <c r="O460" s="404"/>
      <c r="P460" s="404"/>
      <c r="Q460" s="404"/>
      <c r="R460" s="404"/>
      <c r="S460" s="404"/>
      <c r="T460" s="404"/>
      <c r="U460" s="404"/>
      <c r="V460" s="404"/>
      <c r="W460" s="404"/>
      <c r="X460" s="404"/>
      <c r="Y460" s="404"/>
      <c r="Z460" s="404"/>
    </row>
    <row r="461">
      <c r="A461" s="404"/>
      <c r="B461" s="404"/>
      <c r="C461" s="404"/>
      <c r="D461" s="404"/>
      <c r="E461" s="404"/>
      <c r="F461" s="404"/>
      <c r="G461" s="404"/>
      <c r="H461" s="404"/>
      <c r="I461" s="404"/>
      <c r="J461" s="404"/>
      <c r="K461" s="404"/>
      <c r="L461" s="404"/>
      <c r="M461" s="404"/>
      <c r="N461" s="404"/>
      <c r="O461" s="404"/>
      <c r="P461" s="404"/>
      <c r="Q461" s="404"/>
      <c r="R461" s="404"/>
      <c r="S461" s="404"/>
      <c r="T461" s="404"/>
      <c r="U461" s="404"/>
      <c r="V461" s="404"/>
      <c r="W461" s="404"/>
      <c r="X461" s="404"/>
      <c r="Y461" s="404"/>
      <c r="Z461" s="404"/>
    </row>
    <row r="462">
      <c r="A462" s="404"/>
      <c r="B462" s="404"/>
      <c r="C462" s="404"/>
      <c r="D462" s="404"/>
      <c r="E462" s="404"/>
      <c r="F462" s="404"/>
      <c r="G462" s="404"/>
      <c r="H462" s="404"/>
      <c r="I462" s="404"/>
      <c r="J462" s="404"/>
      <c r="K462" s="404"/>
      <c r="L462" s="404"/>
      <c r="M462" s="404"/>
      <c r="N462" s="404"/>
      <c r="O462" s="404"/>
      <c r="P462" s="404"/>
      <c r="Q462" s="404"/>
      <c r="R462" s="404"/>
      <c r="S462" s="404"/>
      <c r="T462" s="404"/>
      <c r="U462" s="404"/>
      <c r="V462" s="404"/>
      <c r="W462" s="404"/>
      <c r="X462" s="404"/>
      <c r="Y462" s="404"/>
      <c r="Z462" s="404"/>
    </row>
    <row r="463">
      <c r="A463" s="404"/>
      <c r="B463" s="404"/>
      <c r="C463" s="404"/>
      <c r="D463" s="404"/>
      <c r="E463" s="404"/>
      <c r="F463" s="404"/>
      <c r="G463" s="404"/>
      <c r="H463" s="404"/>
      <c r="I463" s="404"/>
      <c r="J463" s="404"/>
      <c r="K463" s="404"/>
      <c r="L463" s="404"/>
      <c r="M463" s="404"/>
      <c r="N463" s="404"/>
      <c r="O463" s="404"/>
      <c r="P463" s="404"/>
      <c r="Q463" s="404"/>
      <c r="R463" s="404"/>
      <c r="S463" s="404"/>
      <c r="T463" s="404"/>
      <c r="U463" s="404"/>
      <c r="V463" s="404"/>
      <c r="W463" s="404"/>
      <c r="X463" s="404"/>
      <c r="Y463" s="404"/>
      <c r="Z463" s="404"/>
    </row>
    <row r="464">
      <c r="A464" s="404"/>
      <c r="B464" s="404"/>
      <c r="C464" s="404"/>
      <c r="D464" s="404"/>
      <c r="E464" s="404"/>
      <c r="F464" s="404"/>
      <c r="G464" s="404"/>
      <c r="H464" s="404"/>
      <c r="I464" s="404"/>
      <c r="J464" s="404"/>
      <c r="K464" s="404"/>
      <c r="L464" s="404"/>
      <c r="M464" s="404"/>
      <c r="N464" s="404"/>
      <c r="O464" s="404"/>
      <c r="P464" s="404"/>
      <c r="Q464" s="404"/>
      <c r="R464" s="404"/>
      <c r="S464" s="404"/>
      <c r="T464" s="404"/>
      <c r="U464" s="404"/>
      <c r="V464" s="404"/>
      <c r="W464" s="404"/>
      <c r="X464" s="404"/>
      <c r="Y464" s="404"/>
      <c r="Z464" s="404"/>
    </row>
    <row r="465">
      <c r="A465" s="404"/>
      <c r="B465" s="404"/>
      <c r="C465" s="404"/>
      <c r="D465" s="404"/>
      <c r="E465" s="404"/>
      <c r="F465" s="404"/>
      <c r="G465" s="404"/>
      <c r="H465" s="404"/>
      <c r="I465" s="404"/>
      <c r="J465" s="404"/>
      <c r="K465" s="404"/>
      <c r="L465" s="404"/>
      <c r="M465" s="404"/>
      <c r="N465" s="404"/>
      <c r="O465" s="404"/>
      <c r="P465" s="404"/>
      <c r="Q465" s="404"/>
      <c r="R465" s="404"/>
      <c r="S465" s="404"/>
      <c r="T465" s="404"/>
      <c r="U465" s="404"/>
      <c r="V465" s="404"/>
      <c r="W465" s="404"/>
      <c r="X465" s="404"/>
      <c r="Y465" s="404"/>
      <c r="Z465" s="404"/>
    </row>
    <row r="466">
      <c r="A466" s="404"/>
      <c r="B466" s="404"/>
      <c r="C466" s="404"/>
      <c r="D466" s="404"/>
      <c r="E466" s="404"/>
      <c r="F466" s="404"/>
      <c r="G466" s="404"/>
      <c r="H466" s="404"/>
      <c r="I466" s="404"/>
      <c r="J466" s="404"/>
      <c r="K466" s="404"/>
      <c r="L466" s="404"/>
      <c r="M466" s="404"/>
      <c r="N466" s="404"/>
      <c r="O466" s="404"/>
      <c r="P466" s="404"/>
      <c r="Q466" s="404"/>
      <c r="R466" s="404"/>
      <c r="S466" s="404"/>
      <c r="T466" s="404"/>
      <c r="U466" s="404"/>
      <c r="V466" s="404"/>
      <c r="W466" s="404"/>
      <c r="X466" s="404"/>
      <c r="Y466" s="404"/>
      <c r="Z466" s="404"/>
    </row>
    <row r="467">
      <c r="A467" s="404"/>
      <c r="B467" s="404"/>
      <c r="C467" s="404"/>
      <c r="D467" s="404"/>
      <c r="E467" s="404"/>
      <c r="F467" s="404"/>
      <c r="G467" s="404"/>
      <c r="H467" s="404"/>
      <c r="I467" s="404"/>
      <c r="J467" s="404"/>
      <c r="K467" s="404"/>
      <c r="L467" s="404"/>
      <c r="M467" s="404"/>
      <c r="N467" s="404"/>
      <c r="O467" s="404"/>
      <c r="P467" s="404"/>
      <c r="Q467" s="404"/>
      <c r="R467" s="404"/>
      <c r="S467" s="404"/>
      <c r="T467" s="404"/>
      <c r="U467" s="404"/>
      <c r="V467" s="404"/>
      <c r="W467" s="404"/>
      <c r="X467" s="404"/>
      <c r="Y467" s="404"/>
      <c r="Z467" s="404"/>
    </row>
    <row r="468">
      <c r="A468" s="404"/>
      <c r="B468" s="404"/>
      <c r="C468" s="404"/>
      <c r="D468" s="404"/>
      <c r="E468" s="404"/>
      <c r="F468" s="404"/>
      <c r="G468" s="404"/>
      <c r="H468" s="404"/>
      <c r="I468" s="404"/>
      <c r="J468" s="404"/>
      <c r="K468" s="404"/>
      <c r="L468" s="404"/>
      <c r="M468" s="404"/>
      <c r="N468" s="404"/>
      <c r="O468" s="404"/>
      <c r="P468" s="404"/>
      <c r="Q468" s="404"/>
      <c r="R468" s="404"/>
      <c r="S468" s="404"/>
      <c r="T468" s="404"/>
      <c r="U468" s="404"/>
      <c r="V468" s="404"/>
      <c r="W468" s="404"/>
      <c r="X468" s="404"/>
      <c r="Y468" s="404"/>
      <c r="Z468" s="404"/>
    </row>
    <row r="469">
      <c r="A469" s="404"/>
      <c r="B469" s="404"/>
      <c r="C469" s="404"/>
      <c r="D469" s="404"/>
      <c r="E469" s="404"/>
      <c r="F469" s="404"/>
      <c r="G469" s="404"/>
      <c r="H469" s="404"/>
      <c r="I469" s="404"/>
      <c r="J469" s="404"/>
      <c r="K469" s="404"/>
      <c r="L469" s="404"/>
      <c r="M469" s="404"/>
      <c r="N469" s="404"/>
      <c r="O469" s="404"/>
      <c r="P469" s="404"/>
      <c r="Q469" s="404"/>
      <c r="R469" s="404"/>
      <c r="S469" s="404"/>
      <c r="T469" s="404"/>
      <c r="U469" s="404"/>
      <c r="V469" s="404"/>
      <c r="W469" s="404"/>
      <c r="X469" s="404"/>
      <c r="Y469" s="404"/>
      <c r="Z469" s="404"/>
    </row>
    <row r="470">
      <c r="A470" s="404"/>
      <c r="B470" s="404"/>
      <c r="C470" s="404"/>
      <c r="D470" s="404"/>
      <c r="E470" s="404"/>
      <c r="F470" s="404"/>
      <c r="G470" s="404"/>
      <c r="H470" s="404"/>
      <c r="I470" s="404"/>
      <c r="J470" s="404"/>
      <c r="K470" s="404"/>
      <c r="L470" s="404"/>
      <c r="M470" s="404"/>
      <c r="N470" s="404"/>
      <c r="O470" s="404"/>
      <c r="P470" s="404"/>
      <c r="Q470" s="404"/>
      <c r="R470" s="404"/>
      <c r="S470" s="404"/>
      <c r="T470" s="404"/>
      <c r="U470" s="404"/>
      <c r="V470" s="404"/>
      <c r="W470" s="404"/>
      <c r="X470" s="404"/>
      <c r="Y470" s="404"/>
      <c r="Z470" s="404"/>
    </row>
    <row r="471">
      <c r="A471" s="404"/>
      <c r="B471" s="404"/>
      <c r="C471" s="404"/>
      <c r="D471" s="404"/>
      <c r="E471" s="404"/>
      <c r="F471" s="404"/>
      <c r="G471" s="404"/>
      <c r="H471" s="404"/>
      <c r="I471" s="404"/>
      <c r="J471" s="404"/>
      <c r="K471" s="404"/>
      <c r="L471" s="404"/>
      <c r="M471" s="404"/>
      <c r="N471" s="404"/>
      <c r="O471" s="404"/>
      <c r="P471" s="404"/>
      <c r="Q471" s="404"/>
      <c r="R471" s="404"/>
      <c r="S471" s="404"/>
      <c r="T471" s="404"/>
      <c r="U471" s="404"/>
      <c r="V471" s="404"/>
      <c r="W471" s="404"/>
      <c r="X471" s="404"/>
      <c r="Y471" s="404"/>
      <c r="Z471" s="404"/>
    </row>
    <row r="472">
      <c r="A472" s="404"/>
      <c r="B472" s="404"/>
      <c r="C472" s="404"/>
      <c r="D472" s="404"/>
      <c r="E472" s="404"/>
      <c r="F472" s="404"/>
      <c r="G472" s="404"/>
      <c r="H472" s="404"/>
      <c r="I472" s="404"/>
      <c r="J472" s="404"/>
      <c r="K472" s="404"/>
      <c r="L472" s="404"/>
      <c r="M472" s="404"/>
      <c r="N472" s="404"/>
      <c r="O472" s="404"/>
      <c r="P472" s="404"/>
      <c r="Q472" s="404"/>
      <c r="R472" s="404"/>
      <c r="S472" s="404"/>
      <c r="T472" s="404"/>
      <c r="U472" s="404"/>
      <c r="V472" s="404"/>
      <c r="W472" s="404"/>
      <c r="X472" s="404"/>
      <c r="Y472" s="404"/>
      <c r="Z472" s="404"/>
    </row>
    <row r="473">
      <c r="A473" s="404"/>
      <c r="B473" s="404"/>
      <c r="C473" s="404"/>
      <c r="D473" s="404"/>
      <c r="E473" s="404"/>
      <c r="F473" s="404"/>
      <c r="G473" s="404"/>
      <c r="H473" s="404"/>
      <c r="I473" s="404"/>
      <c r="J473" s="404"/>
      <c r="K473" s="404"/>
      <c r="L473" s="404"/>
      <c r="M473" s="404"/>
      <c r="N473" s="404"/>
      <c r="O473" s="404"/>
      <c r="P473" s="404"/>
      <c r="Q473" s="404"/>
      <c r="R473" s="404"/>
      <c r="S473" s="404"/>
      <c r="T473" s="404"/>
      <c r="U473" s="404"/>
      <c r="V473" s="404"/>
      <c r="W473" s="404"/>
      <c r="X473" s="404"/>
      <c r="Y473" s="404"/>
      <c r="Z473" s="404"/>
    </row>
    <row r="474">
      <c r="A474" s="404"/>
      <c r="B474" s="404"/>
      <c r="C474" s="404"/>
      <c r="D474" s="404"/>
      <c r="E474" s="404"/>
      <c r="F474" s="404"/>
      <c r="G474" s="404"/>
      <c r="H474" s="404"/>
      <c r="I474" s="404"/>
      <c r="J474" s="404"/>
      <c r="K474" s="404"/>
      <c r="L474" s="404"/>
      <c r="M474" s="404"/>
      <c r="N474" s="404"/>
      <c r="O474" s="404"/>
      <c r="P474" s="404"/>
      <c r="Q474" s="404"/>
      <c r="R474" s="404"/>
      <c r="S474" s="404"/>
      <c r="T474" s="404"/>
      <c r="U474" s="404"/>
      <c r="V474" s="404"/>
      <c r="W474" s="404"/>
      <c r="X474" s="404"/>
      <c r="Y474" s="404"/>
      <c r="Z474" s="404"/>
    </row>
    <row r="475">
      <c r="A475" s="404"/>
      <c r="B475" s="404"/>
      <c r="C475" s="404"/>
      <c r="D475" s="404"/>
      <c r="E475" s="404"/>
      <c r="F475" s="404"/>
      <c r="G475" s="404"/>
      <c r="H475" s="404"/>
      <c r="I475" s="404"/>
      <c r="J475" s="404"/>
      <c r="K475" s="404"/>
      <c r="L475" s="404"/>
      <c r="M475" s="404"/>
      <c r="N475" s="404"/>
      <c r="O475" s="404"/>
      <c r="P475" s="404"/>
      <c r="Q475" s="404"/>
      <c r="R475" s="404"/>
      <c r="S475" s="404"/>
      <c r="T475" s="404"/>
      <c r="U475" s="404"/>
      <c r="V475" s="404"/>
      <c r="W475" s="404"/>
      <c r="X475" s="404"/>
      <c r="Y475" s="404"/>
      <c r="Z475" s="404"/>
    </row>
    <row r="476">
      <c r="A476" s="404"/>
      <c r="B476" s="404"/>
      <c r="C476" s="404"/>
      <c r="D476" s="404"/>
      <c r="E476" s="404"/>
      <c r="F476" s="404"/>
      <c r="G476" s="404"/>
      <c r="H476" s="404"/>
      <c r="I476" s="404"/>
      <c r="J476" s="404"/>
      <c r="K476" s="404"/>
      <c r="L476" s="404"/>
      <c r="M476" s="404"/>
      <c r="N476" s="404"/>
      <c r="O476" s="404"/>
      <c r="P476" s="404"/>
      <c r="Q476" s="404"/>
      <c r="R476" s="404"/>
      <c r="S476" s="404"/>
      <c r="T476" s="404"/>
      <c r="U476" s="404"/>
      <c r="V476" s="404"/>
      <c r="W476" s="404"/>
      <c r="X476" s="404"/>
      <c r="Y476" s="404"/>
      <c r="Z476" s="404"/>
    </row>
    <row r="477">
      <c r="A477" s="404"/>
      <c r="B477" s="404"/>
      <c r="C477" s="404"/>
      <c r="D477" s="404"/>
      <c r="E477" s="404"/>
      <c r="F477" s="404"/>
      <c r="G477" s="404"/>
      <c r="H477" s="404"/>
      <c r="I477" s="404"/>
      <c r="J477" s="404"/>
      <c r="K477" s="404"/>
      <c r="L477" s="404"/>
      <c r="M477" s="404"/>
      <c r="N477" s="404"/>
      <c r="O477" s="404"/>
      <c r="P477" s="404"/>
      <c r="Q477" s="404"/>
      <c r="R477" s="404"/>
      <c r="S477" s="404"/>
      <c r="T477" s="404"/>
      <c r="U477" s="404"/>
      <c r="V477" s="404"/>
      <c r="W477" s="404"/>
      <c r="X477" s="404"/>
      <c r="Y477" s="404"/>
      <c r="Z477" s="404"/>
    </row>
    <row r="478">
      <c r="A478" s="404"/>
      <c r="B478" s="404"/>
      <c r="C478" s="404"/>
      <c r="D478" s="404"/>
      <c r="E478" s="404"/>
      <c r="F478" s="404"/>
      <c r="G478" s="404"/>
      <c r="H478" s="404"/>
      <c r="I478" s="404"/>
      <c r="J478" s="404"/>
      <c r="K478" s="404"/>
      <c r="L478" s="404"/>
      <c r="M478" s="404"/>
      <c r="N478" s="404"/>
      <c r="O478" s="404"/>
      <c r="P478" s="404"/>
      <c r="Q478" s="404"/>
      <c r="R478" s="404"/>
      <c r="S478" s="404"/>
      <c r="T478" s="404"/>
      <c r="U478" s="404"/>
      <c r="V478" s="404"/>
      <c r="W478" s="404"/>
      <c r="X478" s="404"/>
      <c r="Y478" s="404"/>
      <c r="Z478" s="404"/>
    </row>
    <row r="479">
      <c r="A479" s="404"/>
      <c r="B479" s="404"/>
      <c r="C479" s="404"/>
      <c r="D479" s="404"/>
      <c r="E479" s="404"/>
      <c r="F479" s="404"/>
      <c r="G479" s="404"/>
      <c r="H479" s="404"/>
      <c r="I479" s="404"/>
      <c r="J479" s="404"/>
      <c r="K479" s="404"/>
      <c r="L479" s="404"/>
      <c r="M479" s="404"/>
      <c r="N479" s="404"/>
      <c r="O479" s="404"/>
      <c r="P479" s="404"/>
      <c r="Q479" s="404"/>
      <c r="R479" s="404"/>
      <c r="S479" s="404"/>
      <c r="T479" s="404"/>
      <c r="U479" s="404"/>
      <c r="V479" s="404"/>
      <c r="W479" s="404"/>
      <c r="X479" s="404"/>
      <c r="Y479" s="404"/>
      <c r="Z479" s="404"/>
    </row>
    <row r="480">
      <c r="A480" s="404"/>
      <c r="B480" s="404"/>
      <c r="C480" s="404"/>
      <c r="D480" s="404"/>
      <c r="E480" s="404"/>
      <c r="F480" s="404"/>
      <c r="G480" s="404"/>
      <c r="H480" s="404"/>
      <c r="I480" s="404"/>
      <c r="J480" s="404"/>
      <c r="K480" s="404"/>
      <c r="L480" s="404"/>
      <c r="M480" s="404"/>
      <c r="N480" s="404"/>
      <c r="O480" s="404"/>
      <c r="P480" s="404"/>
      <c r="Q480" s="404"/>
      <c r="R480" s="404"/>
      <c r="S480" s="404"/>
      <c r="T480" s="404"/>
      <c r="U480" s="404"/>
      <c r="V480" s="404"/>
      <c r="W480" s="404"/>
      <c r="X480" s="404"/>
      <c r="Y480" s="404"/>
      <c r="Z480" s="404"/>
    </row>
    <row r="481">
      <c r="A481" s="404"/>
      <c r="B481" s="404"/>
      <c r="C481" s="404"/>
      <c r="D481" s="404"/>
      <c r="E481" s="404"/>
      <c r="F481" s="404"/>
      <c r="G481" s="404"/>
      <c r="H481" s="404"/>
      <c r="I481" s="404"/>
      <c r="J481" s="404"/>
      <c r="K481" s="404"/>
      <c r="L481" s="404"/>
      <c r="M481" s="404"/>
      <c r="N481" s="404"/>
      <c r="O481" s="404"/>
      <c r="P481" s="404"/>
      <c r="Q481" s="404"/>
      <c r="R481" s="404"/>
      <c r="S481" s="404"/>
      <c r="T481" s="404"/>
      <c r="U481" s="404"/>
      <c r="V481" s="404"/>
      <c r="W481" s="404"/>
      <c r="X481" s="404"/>
      <c r="Y481" s="404"/>
      <c r="Z481" s="404"/>
    </row>
    <row r="482">
      <c r="A482" s="404"/>
      <c r="B482" s="404"/>
      <c r="C482" s="404"/>
      <c r="D482" s="404"/>
      <c r="E482" s="404"/>
      <c r="F482" s="404"/>
      <c r="G482" s="404"/>
      <c r="H482" s="404"/>
      <c r="I482" s="404"/>
      <c r="J482" s="404"/>
      <c r="K482" s="404"/>
      <c r="L482" s="404"/>
      <c r="M482" s="404"/>
      <c r="N482" s="404"/>
      <c r="O482" s="404"/>
      <c r="P482" s="404"/>
      <c r="Q482" s="404"/>
      <c r="R482" s="404"/>
      <c r="S482" s="404"/>
      <c r="T482" s="404"/>
      <c r="U482" s="404"/>
      <c r="V482" s="404"/>
      <c r="W482" s="404"/>
      <c r="X482" s="404"/>
      <c r="Y482" s="404"/>
      <c r="Z482" s="404"/>
    </row>
    <row r="483">
      <c r="A483" s="404"/>
      <c r="B483" s="404"/>
      <c r="C483" s="404"/>
      <c r="D483" s="404"/>
      <c r="E483" s="404"/>
      <c r="F483" s="404"/>
      <c r="G483" s="404"/>
      <c r="H483" s="404"/>
      <c r="I483" s="404"/>
      <c r="J483" s="404"/>
      <c r="K483" s="404"/>
      <c r="L483" s="404"/>
      <c r="M483" s="404"/>
      <c r="N483" s="404"/>
      <c r="O483" s="404"/>
      <c r="P483" s="404"/>
      <c r="Q483" s="404"/>
      <c r="R483" s="404"/>
      <c r="S483" s="404"/>
      <c r="T483" s="404"/>
      <c r="U483" s="404"/>
      <c r="V483" s="404"/>
      <c r="W483" s="404"/>
      <c r="X483" s="404"/>
      <c r="Y483" s="404"/>
      <c r="Z483" s="404"/>
    </row>
    <row r="484">
      <c r="A484" s="404"/>
      <c r="B484" s="404"/>
      <c r="C484" s="404"/>
      <c r="D484" s="404"/>
      <c r="E484" s="404"/>
      <c r="F484" s="404"/>
      <c r="G484" s="404"/>
      <c r="H484" s="404"/>
      <c r="I484" s="404"/>
      <c r="J484" s="404"/>
      <c r="K484" s="404"/>
      <c r="L484" s="404"/>
      <c r="M484" s="404"/>
      <c r="N484" s="404"/>
      <c r="O484" s="404"/>
      <c r="P484" s="404"/>
      <c r="Q484" s="404"/>
      <c r="R484" s="404"/>
      <c r="S484" s="404"/>
      <c r="T484" s="404"/>
      <c r="U484" s="404"/>
      <c r="V484" s="404"/>
      <c r="W484" s="404"/>
      <c r="X484" s="404"/>
      <c r="Y484" s="404"/>
      <c r="Z484" s="404"/>
    </row>
    <row r="485">
      <c r="A485" s="404"/>
      <c r="B485" s="404"/>
      <c r="C485" s="404"/>
      <c r="D485" s="404"/>
      <c r="E485" s="404"/>
      <c r="F485" s="404"/>
      <c r="G485" s="404"/>
      <c r="H485" s="404"/>
      <c r="I485" s="404"/>
      <c r="J485" s="404"/>
      <c r="K485" s="404"/>
      <c r="L485" s="404"/>
      <c r="M485" s="404"/>
      <c r="N485" s="404"/>
      <c r="O485" s="404"/>
      <c r="P485" s="404"/>
      <c r="Q485" s="404"/>
      <c r="R485" s="404"/>
      <c r="S485" s="404"/>
      <c r="T485" s="404"/>
      <c r="U485" s="404"/>
      <c r="V485" s="404"/>
      <c r="W485" s="404"/>
      <c r="X485" s="404"/>
      <c r="Y485" s="404"/>
      <c r="Z485" s="404"/>
    </row>
    <row r="486">
      <c r="A486" s="404"/>
      <c r="B486" s="404"/>
      <c r="C486" s="404"/>
      <c r="D486" s="404"/>
      <c r="E486" s="404"/>
      <c r="F486" s="404"/>
      <c r="G486" s="404"/>
      <c r="H486" s="404"/>
      <c r="I486" s="404"/>
      <c r="J486" s="404"/>
      <c r="K486" s="404"/>
      <c r="L486" s="404"/>
      <c r="M486" s="404"/>
      <c r="N486" s="404"/>
      <c r="O486" s="404"/>
      <c r="P486" s="404"/>
      <c r="Q486" s="404"/>
      <c r="R486" s="404"/>
      <c r="S486" s="404"/>
      <c r="T486" s="404"/>
      <c r="U486" s="404"/>
      <c r="V486" s="404"/>
      <c r="W486" s="404"/>
      <c r="X486" s="404"/>
      <c r="Y486" s="404"/>
      <c r="Z486" s="404"/>
    </row>
    <row r="487">
      <c r="A487" s="404"/>
      <c r="B487" s="404"/>
      <c r="C487" s="404"/>
      <c r="D487" s="404"/>
      <c r="E487" s="404"/>
      <c r="F487" s="404"/>
      <c r="G487" s="404"/>
      <c r="H487" s="404"/>
      <c r="I487" s="404"/>
      <c r="J487" s="404"/>
      <c r="K487" s="404"/>
      <c r="L487" s="404"/>
      <c r="M487" s="404"/>
      <c r="N487" s="404"/>
      <c r="O487" s="404"/>
      <c r="P487" s="404"/>
      <c r="Q487" s="404"/>
      <c r="R487" s="404"/>
      <c r="S487" s="404"/>
      <c r="T487" s="404"/>
      <c r="U487" s="404"/>
      <c r="V487" s="404"/>
      <c r="W487" s="404"/>
      <c r="X487" s="404"/>
      <c r="Y487" s="404"/>
      <c r="Z487" s="404"/>
    </row>
    <row r="488">
      <c r="A488" s="404"/>
      <c r="B488" s="404"/>
      <c r="C488" s="404"/>
      <c r="D488" s="404"/>
      <c r="E488" s="404"/>
      <c r="F488" s="404"/>
      <c r="G488" s="404"/>
      <c r="H488" s="404"/>
      <c r="I488" s="404"/>
      <c r="J488" s="404"/>
      <c r="K488" s="404"/>
      <c r="L488" s="404"/>
      <c r="M488" s="404"/>
      <c r="N488" s="404"/>
      <c r="O488" s="404"/>
      <c r="P488" s="404"/>
      <c r="Q488" s="404"/>
      <c r="R488" s="404"/>
      <c r="S488" s="404"/>
      <c r="T488" s="404"/>
      <c r="U488" s="404"/>
      <c r="V488" s="404"/>
      <c r="W488" s="404"/>
      <c r="X488" s="404"/>
      <c r="Y488" s="404"/>
      <c r="Z488" s="404"/>
    </row>
    <row r="489">
      <c r="A489" s="404"/>
      <c r="B489" s="404"/>
      <c r="C489" s="404"/>
      <c r="D489" s="404"/>
      <c r="E489" s="404"/>
      <c r="F489" s="404"/>
      <c r="G489" s="404"/>
      <c r="H489" s="404"/>
      <c r="I489" s="404"/>
      <c r="J489" s="404"/>
      <c r="K489" s="404"/>
      <c r="L489" s="404"/>
      <c r="M489" s="404"/>
      <c r="N489" s="404"/>
      <c r="O489" s="404"/>
      <c r="P489" s="404"/>
      <c r="Q489" s="404"/>
      <c r="R489" s="404"/>
      <c r="S489" s="404"/>
      <c r="T489" s="404"/>
      <c r="U489" s="404"/>
      <c r="V489" s="404"/>
      <c r="W489" s="404"/>
      <c r="X489" s="404"/>
      <c r="Y489" s="404"/>
      <c r="Z489" s="404"/>
    </row>
    <row r="490">
      <c r="A490" s="404"/>
      <c r="B490" s="404"/>
      <c r="C490" s="404"/>
      <c r="D490" s="404"/>
      <c r="E490" s="404"/>
      <c r="F490" s="404"/>
      <c r="G490" s="404"/>
      <c r="H490" s="404"/>
      <c r="I490" s="404"/>
      <c r="J490" s="404"/>
      <c r="K490" s="404"/>
      <c r="L490" s="404"/>
      <c r="M490" s="404"/>
      <c r="N490" s="404"/>
      <c r="O490" s="404"/>
      <c r="P490" s="404"/>
      <c r="Q490" s="404"/>
      <c r="R490" s="404"/>
      <c r="S490" s="404"/>
      <c r="T490" s="404"/>
      <c r="U490" s="404"/>
      <c r="V490" s="404"/>
      <c r="W490" s="404"/>
      <c r="X490" s="404"/>
      <c r="Y490" s="404"/>
      <c r="Z490" s="404"/>
    </row>
    <row r="491">
      <c r="A491" s="404"/>
      <c r="B491" s="404"/>
      <c r="C491" s="404"/>
      <c r="D491" s="404"/>
      <c r="E491" s="404"/>
      <c r="F491" s="404"/>
      <c r="G491" s="404"/>
      <c r="H491" s="404"/>
      <c r="I491" s="404"/>
      <c r="J491" s="404"/>
      <c r="K491" s="404"/>
      <c r="L491" s="404"/>
      <c r="M491" s="404"/>
      <c r="N491" s="404"/>
      <c r="O491" s="404"/>
      <c r="P491" s="404"/>
      <c r="Q491" s="404"/>
      <c r="R491" s="404"/>
      <c r="S491" s="404"/>
      <c r="T491" s="404"/>
      <c r="U491" s="404"/>
      <c r="V491" s="404"/>
      <c r="W491" s="404"/>
      <c r="X491" s="404"/>
      <c r="Y491" s="404"/>
      <c r="Z491" s="404"/>
    </row>
    <row r="492">
      <c r="A492" s="404"/>
      <c r="B492" s="404"/>
      <c r="C492" s="404"/>
      <c r="D492" s="404"/>
      <c r="E492" s="404"/>
      <c r="F492" s="404"/>
      <c r="G492" s="404"/>
      <c r="H492" s="404"/>
      <c r="I492" s="404"/>
      <c r="J492" s="404"/>
      <c r="K492" s="404"/>
      <c r="L492" s="404"/>
      <c r="M492" s="404"/>
      <c r="N492" s="404"/>
      <c r="O492" s="404"/>
      <c r="P492" s="404"/>
      <c r="Q492" s="404"/>
      <c r="R492" s="404"/>
      <c r="S492" s="404"/>
      <c r="T492" s="404"/>
      <c r="U492" s="404"/>
      <c r="V492" s="404"/>
      <c r="W492" s="404"/>
      <c r="X492" s="404"/>
      <c r="Y492" s="404"/>
      <c r="Z492" s="404"/>
    </row>
    <row r="493">
      <c r="A493" s="404"/>
      <c r="B493" s="404"/>
      <c r="C493" s="404"/>
      <c r="D493" s="404"/>
      <c r="E493" s="404"/>
      <c r="F493" s="404"/>
      <c r="G493" s="404"/>
      <c r="H493" s="404"/>
      <c r="I493" s="404"/>
      <c r="J493" s="404"/>
      <c r="K493" s="404"/>
      <c r="L493" s="404"/>
      <c r="M493" s="404"/>
      <c r="N493" s="404"/>
      <c r="O493" s="404"/>
      <c r="P493" s="404"/>
      <c r="Q493" s="404"/>
      <c r="R493" s="404"/>
      <c r="S493" s="404"/>
      <c r="T493" s="404"/>
      <c r="U493" s="404"/>
      <c r="V493" s="404"/>
      <c r="W493" s="404"/>
      <c r="X493" s="404"/>
      <c r="Y493" s="404"/>
      <c r="Z493" s="404"/>
    </row>
    <row r="494">
      <c r="A494" s="404"/>
      <c r="B494" s="404"/>
      <c r="C494" s="404"/>
      <c r="D494" s="404"/>
      <c r="E494" s="404"/>
      <c r="F494" s="404"/>
      <c r="G494" s="404"/>
      <c r="H494" s="404"/>
      <c r="I494" s="404"/>
      <c r="J494" s="404"/>
      <c r="K494" s="404"/>
      <c r="L494" s="404"/>
      <c r="M494" s="404"/>
      <c r="N494" s="404"/>
      <c r="O494" s="404"/>
      <c r="P494" s="404"/>
      <c r="Q494" s="404"/>
      <c r="R494" s="404"/>
      <c r="S494" s="404"/>
      <c r="T494" s="404"/>
      <c r="U494" s="404"/>
      <c r="V494" s="404"/>
      <c r="W494" s="404"/>
      <c r="X494" s="404"/>
      <c r="Y494" s="404"/>
      <c r="Z494" s="404"/>
    </row>
    <row r="495">
      <c r="A495" s="404"/>
      <c r="B495" s="404"/>
      <c r="C495" s="404"/>
      <c r="D495" s="404"/>
      <c r="E495" s="404"/>
      <c r="F495" s="404"/>
      <c r="G495" s="404"/>
      <c r="H495" s="404"/>
      <c r="I495" s="404"/>
      <c r="J495" s="404"/>
      <c r="K495" s="404"/>
      <c r="L495" s="404"/>
      <c r="M495" s="404"/>
      <c r="N495" s="404"/>
      <c r="O495" s="404"/>
      <c r="P495" s="404"/>
      <c r="Q495" s="404"/>
      <c r="R495" s="404"/>
      <c r="S495" s="404"/>
      <c r="T495" s="404"/>
      <c r="U495" s="404"/>
      <c r="V495" s="404"/>
      <c r="W495" s="404"/>
      <c r="X495" s="404"/>
      <c r="Y495" s="404"/>
      <c r="Z495" s="404"/>
    </row>
    <row r="496">
      <c r="A496" s="404"/>
      <c r="B496" s="404"/>
      <c r="C496" s="404"/>
      <c r="D496" s="404"/>
      <c r="E496" s="404"/>
      <c r="F496" s="404"/>
      <c r="G496" s="404"/>
      <c r="H496" s="404"/>
      <c r="I496" s="404"/>
      <c r="J496" s="404"/>
      <c r="K496" s="404"/>
      <c r="L496" s="404"/>
      <c r="M496" s="404"/>
      <c r="N496" s="404"/>
      <c r="O496" s="404"/>
      <c r="P496" s="404"/>
      <c r="Q496" s="404"/>
      <c r="R496" s="404"/>
      <c r="S496" s="404"/>
      <c r="T496" s="404"/>
      <c r="U496" s="404"/>
      <c r="V496" s="404"/>
      <c r="W496" s="404"/>
      <c r="X496" s="404"/>
      <c r="Y496" s="404"/>
      <c r="Z496" s="404"/>
    </row>
    <row r="497">
      <c r="A497" s="404"/>
      <c r="B497" s="404"/>
      <c r="C497" s="404"/>
      <c r="D497" s="404"/>
      <c r="E497" s="404"/>
      <c r="F497" s="404"/>
      <c r="G497" s="404"/>
      <c r="H497" s="404"/>
      <c r="I497" s="404"/>
      <c r="J497" s="404"/>
      <c r="K497" s="404"/>
      <c r="L497" s="404"/>
      <c r="M497" s="404"/>
      <c r="N497" s="404"/>
      <c r="O497" s="404"/>
      <c r="P497" s="404"/>
      <c r="Q497" s="404"/>
      <c r="R497" s="404"/>
      <c r="S497" s="404"/>
      <c r="T497" s="404"/>
      <c r="U497" s="404"/>
      <c r="V497" s="404"/>
      <c r="W497" s="404"/>
      <c r="X497" s="404"/>
      <c r="Y497" s="404"/>
      <c r="Z497" s="404"/>
    </row>
    <row r="498">
      <c r="A498" s="404"/>
      <c r="B498" s="404"/>
      <c r="C498" s="404"/>
      <c r="D498" s="404"/>
      <c r="E498" s="404"/>
      <c r="F498" s="404"/>
      <c r="G498" s="404"/>
      <c r="H498" s="404"/>
      <c r="I498" s="404"/>
      <c r="J498" s="404"/>
      <c r="K498" s="404"/>
      <c r="L498" s="404"/>
      <c r="M498" s="404"/>
      <c r="N498" s="404"/>
      <c r="O498" s="404"/>
      <c r="P498" s="404"/>
      <c r="Q498" s="404"/>
      <c r="R498" s="404"/>
      <c r="S498" s="404"/>
      <c r="T498" s="404"/>
      <c r="U498" s="404"/>
      <c r="V498" s="404"/>
      <c r="W498" s="404"/>
      <c r="X498" s="404"/>
      <c r="Y498" s="404"/>
      <c r="Z498" s="404"/>
    </row>
    <row r="499">
      <c r="A499" s="404"/>
      <c r="B499" s="404"/>
      <c r="C499" s="404"/>
      <c r="D499" s="404"/>
      <c r="E499" s="404"/>
      <c r="F499" s="404"/>
      <c r="G499" s="404"/>
      <c r="H499" s="404"/>
      <c r="I499" s="404"/>
      <c r="J499" s="404"/>
      <c r="K499" s="404"/>
      <c r="L499" s="404"/>
      <c r="M499" s="404"/>
      <c r="N499" s="404"/>
      <c r="O499" s="404"/>
      <c r="P499" s="404"/>
      <c r="Q499" s="404"/>
      <c r="R499" s="404"/>
      <c r="S499" s="404"/>
      <c r="T499" s="404"/>
      <c r="U499" s="404"/>
      <c r="V499" s="404"/>
      <c r="W499" s="404"/>
      <c r="X499" s="404"/>
      <c r="Y499" s="404"/>
      <c r="Z499" s="404"/>
    </row>
    <row r="500">
      <c r="A500" s="404"/>
      <c r="B500" s="404"/>
      <c r="C500" s="404"/>
      <c r="D500" s="404"/>
      <c r="E500" s="404"/>
      <c r="F500" s="404"/>
      <c r="G500" s="404"/>
      <c r="H500" s="404"/>
      <c r="I500" s="404"/>
      <c r="J500" s="404"/>
      <c r="K500" s="404"/>
      <c r="L500" s="404"/>
      <c r="M500" s="404"/>
      <c r="N500" s="404"/>
      <c r="O500" s="404"/>
      <c r="P500" s="404"/>
      <c r="Q500" s="404"/>
      <c r="R500" s="404"/>
      <c r="S500" s="404"/>
      <c r="T500" s="404"/>
      <c r="U500" s="404"/>
      <c r="V500" s="404"/>
      <c r="W500" s="404"/>
      <c r="X500" s="404"/>
      <c r="Y500" s="404"/>
      <c r="Z500" s="404"/>
    </row>
    <row r="501">
      <c r="A501" s="404"/>
      <c r="B501" s="404"/>
      <c r="C501" s="404"/>
      <c r="D501" s="404"/>
      <c r="E501" s="404"/>
      <c r="F501" s="404"/>
      <c r="G501" s="404"/>
      <c r="H501" s="404"/>
      <c r="I501" s="404"/>
      <c r="J501" s="404"/>
      <c r="K501" s="404"/>
      <c r="L501" s="404"/>
      <c r="M501" s="404"/>
      <c r="N501" s="404"/>
      <c r="O501" s="404"/>
      <c r="P501" s="404"/>
      <c r="Q501" s="404"/>
      <c r="R501" s="404"/>
      <c r="S501" s="404"/>
      <c r="T501" s="404"/>
      <c r="U501" s="404"/>
      <c r="V501" s="404"/>
      <c r="W501" s="404"/>
      <c r="X501" s="404"/>
      <c r="Y501" s="404"/>
      <c r="Z501" s="404"/>
    </row>
    <row r="502">
      <c r="A502" s="404"/>
      <c r="B502" s="404"/>
      <c r="C502" s="404"/>
      <c r="D502" s="404"/>
      <c r="E502" s="404"/>
      <c r="F502" s="404"/>
      <c r="G502" s="404"/>
      <c r="H502" s="404"/>
      <c r="I502" s="404"/>
      <c r="J502" s="404"/>
      <c r="K502" s="404"/>
      <c r="L502" s="404"/>
      <c r="M502" s="404"/>
      <c r="N502" s="404"/>
      <c r="O502" s="404"/>
      <c r="P502" s="404"/>
      <c r="Q502" s="404"/>
      <c r="R502" s="404"/>
      <c r="S502" s="404"/>
      <c r="T502" s="404"/>
      <c r="U502" s="404"/>
      <c r="V502" s="404"/>
      <c r="W502" s="404"/>
      <c r="X502" s="404"/>
      <c r="Y502" s="404"/>
      <c r="Z502" s="404"/>
    </row>
    <row r="503">
      <c r="A503" s="404"/>
      <c r="B503" s="404"/>
      <c r="C503" s="404"/>
      <c r="D503" s="404"/>
      <c r="E503" s="404"/>
      <c r="F503" s="404"/>
      <c r="G503" s="404"/>
      <c r="H503" s="404"/>
      <c r="I503" s="404"/>
      <c r="J503" s="404"/>
      <c r="K503" s="404"/>
      <c r="L503" s="404"/>
      <c r="M503" s="404"/>
      <c r="N503" s="404"/>
      <c r="O503" s="404"/>
      <c r="P503" s="404"/>
      <c r="Q503" s="404"/>
      <c r="R503" s="404"/>
      <c r="S503" s="404"/>
      <c r="T503" s="404"/>
      <c r="U503" s="404"/>
      <c r="V503" s="404"/>
      <c r="W503" s="404"/>
      <c r="X503" s="404"/>
      <c r="Y503" s="404"/>
      <c r="Z503" s="404"/>
    </row>
    <row r="504">
      <c r="A504" s="404"/>
      <c r="B504" s="404"/>
      <c r="C504" s="404"/>
      <c r="D504" s="404"/>
      <c r="E504" s="404"/>
      <c r="F504" s="404"/>
      <c r="G504" s="404"/>
      <c r="H504" s="404"/>
      <c r="I504" s="404"/>
      <c r="J504" s="404"/>
      <c r="K504" s="404"/>
      <c r="L504" s="404"/>
      <c r="M504" s="404"/>
      <c r="N504" s="404"/>
      <c r="O504" s="404"/>
      <c r="P504" s="404"/>
      <c r="Q504" s="404"/>
      <c r="R504" s="404"/>
      <c r="S504" s="404"/>
      <c r="T504" s="404"/>
      <c r="U504" s="404"/>
      <c r="V504" s="404"/>
      <c r="W504" s="404"/>
      <c r="X504" s="404"/>
      <c r="Y504" s="404"/>
      <c r="Z504" s="404"/>
    </row>
    <row r="505">
      <c r="A505" s="404"/>
      <c r="B505" s="404"/>
      <c r="C505" s="404"/>
      <c r="D505" s="404"/>
      <c r="E505" s="404"/>
      <c r="F505" s="404"/>
      <c r="G505" s="404"/>
      <c r="H505" s="404"/>
      <c r="I505" s="404"/>
      <c r="J505" s="404"/>
      <c r="K505" s="404"/>
      <c r="L505" s="404"/>
      <c r="M505" s="404"/>
      <c r="N505" s="404"/>
      <c r="O505" s="404"/>
      <c r="P505" s="404"/>
      <c r="Q505" s="404"/>
      <c r="R505" s="404"/>
      <c r="S505" s="404"/>
      <c r="T505" s="404"/>
      <c r="U505" s="404"/>
      <c r="V505" s="404"/>
      <c r="W505" s="404"/>
      <c r="X505" s="404"/>
      <c r="Y505" s="404"/>
      <c r="Z505" s="404"/>
    </row>
    <row r="506">
      <c r="A506" s="404"/>
      <c r="B506" s="404"/>
      <c r="C506" s="404"/>
      <c r="D506" s="404"/>
      <c r="E506" s="404"/>
      <c r="F506" s="404"/>
      <c r="G506" s="404"/>
      <c r="H506" s="404"/>
      <c r="I506" s="404"/>
      <c r="J506" s="404"/>
      <c r="K506" s="404"/>
      <c r="L506" s="404"/>
      <c r="M506" s="404"/>
      <c r="N506" s="404"/>
      <c r="O506" s="404"/>
      <c r="P506" s="404"/>
      <c r="Q506" s="404"/>
      <c r="R506" s="404"/>
      <c r="S506" s="404"/>
      <c r="T506" s="404"/>
      <c r="U506" s="404"/>
      <c r="V506" s="404"/>
      <c r="W506" s="404"/>
      <c r="X506" s="404"/>
      <c r="Y506" s="404"/>
      <c r="Z506" s="404"/>
    </row>
    <row r="507">
      <c r="A507" s="404"/>
      <c r="B507" s="404"/>
      <c r="C507" s="404"/>
      <c r="D507" s="404"/>
      <c r="E507" s="404"/>
      <c r="F507" s="404"/>
      <c r="G507" s="404"/>
      <c r="H507" s="404"/>
      <c r="I507" s="404"/>
      <c r="J507" s="404"/>
      <c r="K507" s="404"/>
      <c r="L507" s="404"/>
      <c r="M507" s="404"/>
      <c r="N507" s="404"/>
      <c r="O507" s="404"/>
      <c r="P507" s="404"/>
      <c r="Q507" s="404"/>
      <c r="R507" s="404"/>
      <c r="S507" s="404"/>
      <c r="T507" s="404"/>
      <c r="U507" s="404"/>
      <c r="V507" s="404"/>
      <c r="W507" s="404"/>
      <c r="X507" s="404"/>
      <c r="Y507" s="404"/>
      <c r="Z507" s="404"/>
    </row>
    <row r="508">
      <c r="A508" s="404"/>
      <c r="B508" s="404"/>
      <c r="C508" s="404"/>
      <c r="D508" s="404"/>
      <c r="E508" s="404"/>
      <c r="F508" s="404"/>
      <c r="G508" s="404"/>
      <c r="H508" s="404"/>
      <c r="I508" s="404"/>
      <c r="J508" s="404"/>
      <c r="K508" s="404"/>
      <c r="L508" s="404"/>
      <c r="M508" s="404"/>
      <c r="N508" s="404"/>
      <c r="O508" s="404"/>
      <c r="P508" s="404"/>
      <c r="Q508" s="404"/>
      <c r="R508" s="404"/>
      <c r="S508" s="404"/>
      <c r="T508" s="404"/>
      <c r="U508" s="404"/>
      <c r="V508" s="404"/>
      <c r="W508" s="404"/>
      <c r="X508" s="404"/>
      <c r="Y508" s="404"/>
      <c r="Z508" s="404"/>
    </row>
    <row r="509">
      <c r="A509" s="404"/>
      <c r="B509" s="404"/>
      <c r="C509" s="404"/>
      <c r="D509" s="404"/>
      <c r="E509" s="404"/>
      <c r="F509" s="404"/>
      <c r="G509" s="404"/>
      <c r="H509" s="404"/>
      <c r="I509" s="404"/>
      <c r="J509" s="404"/>
      <c r="K509" s="404"/>
      <c r="L509" s="404"/>
      <c r="M509" s="404"/>
      <c r="N509" s="404"/>
      <c r="O509" s="404"/>
      <c r="P509" s="404"/>
      <c r="Q509" s="404"/>
      <c r="R509" s="404"/>
      <c r="S509" s="404"/>
      <c r="T509" s="404"/>
      <c r="U509" s="404"/>
      <c r="V509" s="404"/>
      <c r="W509" s="404"/>
      <c r="X509" s="404"/>
      <c r="Y509" s="404"/>
      <c r="Z509" s="404"/>
    </row>
    <row r="510">
      <c r="A510" s="404"/>
      <c r="B510" s="404"/>
      <c r="C510" s="404"/>
      <c r="D510" s="404"/>
      <c r="E510" s="404"/>
      <c r="F510" s="404"/>
      <c r="G510" s="404"/>
      <c r="H510" s="404"/>
      <c r="I510" s="404"/>
      <c r="J510" s="404"/>
      <c r="K510" s="404"/>
      <c r="L510" s="404"/>
      <c r="M510" s="404"/>
      <c r="N510" s="404"/>
      <c r="O510" s="404"/>
      <c r="P510" s="404"/>
      <c r="Q510" s="404"/>
      <c r="R510" s="404"/>
      <c r="S510" s="404"/>
      <c r="T510" s="404"/>
      <c r="U510" s="404"/>
      <c r="V510" s="404"/>
      <c r="W510" s="404"/>
      <c r="X510" s="404"/>
      <c r="Y510" s="404"/>
      <c r="Z510" s="404"/>
    </row>
    <row r="511">
      <c r="A511" s="404"/>
      <c r="B511" s="404"/>
      <c r="C511" s="404"/>
      <c r="D511" s="404"/>
      <c r="E511" s="404"/>
      <c r="F511" s="404"/>
      <c r="G511" s="404"/>
      <c r="H511" s="404"/>
      <c r="I511" s="404"/>
      <c r="J511" s="404"/>
      <c r="K511" s="404"/>
      <c r="L511" s="404"/>
      <c r="M511" s="404"/>
      <c r="N511" s="404"/>
      <c r="O511" s="404"/>
      <c r="P511" s="404"/>
      <c r="Q511" s="404"/>
      <c r="R511" s="404"/>
      <c r="S511" s="404"/>
      <c r="T511" s="404"/>
      <c r="U511" s="404"/>
      <c r="V511" s="404"/>
      <c r="W511" s="404"/>
      <c r="X511" s="404"/>
      <c r="Y511" s="404"/>
      <c r="Z511" s="404"/>
    </row>
    <row r="512">
      <c r="A512" s="404"/>
      <c r="B512" s="404"/>
      <c r="C512" s="404"/>
      <c r="D512" s="404"/>
      <c r="E512" s="404"/>
      <c r="F512" s="404"/>
      <c r="G512" s="404"/>
      <c r="H512" s="404"/>
      <c r="I512" s="404"/>
      <c r="J512" s="404"/>
      <c r="K512" s="404"/>
      <c r="L512" s="404"/>
      <c r="M512" s="404"/>
      <c r="N512" s="404"/>
      <c r="O512" s="404"/>
      <c r="P512" s="404"/>
      <c r="Q512" s="404"/>
      <c r="R512" s="404"/>
      <c r="S512" s="404"/>
      <c r="T512" s="404"/>
      <c r="U512" s="404"/>
      <c r="V512" s="404"/>
      <c r="W512" s="404"/>
      <c r="X512" s="404"/>
      <c r="Y512" s="404"/>
      <c r="Z512" s="404"/>
    </row>
    <row r="513">
      <c r="A513" s="404"/>
      <c r="B513" s="404"/>
      <c r="C513" s="404"/>
      <c r="D513" s="404"/>
      <c r="E513" s="404"/>
      <c r="F513" s="404"/>
      <c r="G513" s="404"/>
      <c r="H513" s="404"/>
      <c r="I513" s="404"/>
      <c r="J513" s="404"/>
      <c r="K513" s="404"/>
      <c r="L513" s="404"/>
      <c r="M513" s="404"/>
      <c r="N513" s="404"/>
      <c r="O513" s="404"/>
      <c r="P513" s="404"/>
      <c r="Q513" s="404"/>
      <c r="R513" s="404"/>
      <c r="S513" s="404"/>
      <c r="T513" s="404"/>
      <c r="U513" s="404"/>
      <c r="V513" s="404"/>
      <c r="W513" s="404"/>
      <c r="X513" s="404"/>
      <c r="Y513" s="404"/>
      <c r="Z513" s="404"/>
    </row>
    <row r="514">
      <c r="A514" s="404"/>
      <c r="B514" s="404"/>
      <c r="C514" s="404"/>
      <c r="D514" s="404"/>
      <c r="E514" s="404"/>
      <c r="F514" s="404"/>
      <c r="G514" s="404"/>
      <c r="H514" s="404"/>
      <c r="I514" s="404"/>
      <c r="J514" s="404"/>
      <c r="K514" s="404"/>
      <c r="L514" s="404"/>
      <c r="M514" s="404"/>
      <c r="N514" s="404"/>
      <c r="O514" s="404"/>
      <c r="P514" s="404"/>
      <c r="Q514" s="404"/>
      <c r="R514" s="404"/>
      <c r="S514" s="404"/>
      <c r="T514" s="404"/>
      <c r="U514" s="404"/>
      <c r="V514" s="404"/>
      <c r="W514" s="404"/>
      <c r="X514" s="404"/>
      <c r="Y514" s="404"/>
      <c r="Z514" s="404"/>
    </row>
    <row r="515">
      <c r="A515" s="404"/>
      <c r="B515" s="404"/>
      <c r="C515" s="404"/>
      <c r="D515" s="404"/>
      <c r="E515" s="404"/>
      <c r="F515" s="404"/>
      <c r="G515" s="404"/>
      <c r="H515" s="404"/>
      <c r="I515" s="404"/>
      <c r="J515" s="404"/>
      <c r="K515" s="404"/>
      <c r="L515" s="404"/>
      <c r="M515" s="404"/>
      <c r="N515" s="404"/>
      <c r="O515" s="404"/>
      <c r="P515" s="404"/>
      <c r="Q515" s="404"/>
      <c r="R515" s="404"/>
      <c r="S515" s="404"/>
      <c r="T515" s="404"/>
      <c r="U515" s="404"/>
      <c r="V515" s="404"/>
      <c r="W515" s="404"/>
      <c r="X515" s="404"/>
      <c r="Y515" s="404"/>
      <c r="Z515" s="404"/>
    </row>
    <row r="516">
      <c r="A516" s="404"/>
      <c r="B516" s="404"/>
      <c r="C516" s="404"/>
      <c r="D516" s="404"/>
      <c r="E516" s="404"/>
      <c r="F516" s="404"/>
      <c r="G516" s="404"/>
      <c r="H516" s="404"/>
      <c r="I516" s="404"/>
      <c r="J516" s="404"/>
      <c r="K516" s="404"/>
      <c r="L516" s="404"/>
      <c r="M516" s="404"/>
      <c r="N516" s="404"/>
      <c r="O516" s="404"/>
      <c r="P516" s="404"/>
      <c r="Q516" s="404"/>
      <c r="R516" s="404"/>
      <c r="S516" s="404"/>
      <c r="T516" s="404"/>
      <c r="U516" s="404"/>
      <c r="V516" s="404"/>
      <c r="W516" s="404"/>
      <c r="X516" s="404"/>
      <c r="Y516" s="404"/>
      <c r="Z516" s="404"/>
    </row>
    <row r="517">
      <c r="A517" s="404"/>
      <c r="B517" s="404"/>
      <c r="C517" s="404"/>
      <c r="D517" s="404"/>
      <c r="E517" s="404"/>
      <c r="F517" s="404"/>
      <c r="G517" s="404"/>
      <c r="H517" s="404"/>
      <c r="I517" s="404"/>
      <c r="J517" s="404"/>
      <c r="K517" s="404"/>
      <c r="L517" s="404"/>
      <c r="M517" s="404"/>
      <c r="N517" s="404"/>
      <c r="O517" s="404"/>
      <c r="P517" s="404"/>
      <c r="Q517" s="404"/>
      <c r="R517" s="404"/>
      <c r="S517" s="404"/>
      <c r="T517" s="404"/>
      <c r="U517" s="404"/>
      <c r="V517" s="404"/>
      <c r="W517" s="404"/>
      <c r="X517" s="404"/>
      <c r="Y517" s="404"/>
      <c r="Z517" s="404"/>
    </row>
    <row r="518">
      <c r="A518" s="404"/>
      <c r="B518" s="404"/>
      <c r="C518" s="404"/>
      <c r="D518" s="404"/>
      <c r="E518" s="404"/>
      <c r="F518" s="404"/>
      <c r="G518" s="404"/>
      <c r="H518" s="404"/>
      <c r="I518" s="404"/>
      <c r="J518" s="404"/>
      <c r="K518" s="404"/>
      <c r="L518" s="404"/>
      <c r="M518" s="404"/>
      <c r="N518" s="404"/>
      <c r="O518" s="404"/>
      <c r="P518" s="404"/>
      <c r="Q518" s="404"/>
      <c r="R518" s="404"/>
      <c r="S518" s="404"/>
      <c r="T518" s="404"/>
      <c r="U518" s="404"/>
      <c r="V518" s="404"/>
      <c r="W518" s="404"/>
      <c r="X518" s="404"/>
      <c r="Y518" s="404"/>
      <c r="Z518" s="404"/>
    </row>
    <row r="519">
      <c r="A519" s="404"/>
      <c r="B519" s="404"/>
      <c r="C519" s="404"/>
      <c r="D519" s="404"/>
      <c r="E519" s="404"/>
      <c r="F519" s="404"/>
      <c r="G519" s="404"/>
      <c r="H519" s="404"/>
      <c r="I519" s="404"/>
      <c r="J519" s="404"/>
      <c r="K519" s="404"/>
      <c r="L519" s="404"/>
      <c r="M519" s="404"/>
      <c r="N519" s="404"/>
      <c r="O519" s="404"/>
      <c r="P519" s="404"/>
      <c r="Q519" s="404"/>
      <c r="R519" s="404"/>
      <c r="S519" s="404"/>
      <c r="T519" s="404"/>
      <c r="U519" s="404"/>
      <c r="V519" s="404"/>
      <c r="W519" s="404"/>
      <c r="X519" s="404"/>
      <c r="Y519" s="404"/>
      <c r="Z519" s="404"/>
    </row>
    <row r="520">
      <c r="A520" s="404"/>
      <c r="B520" s="404"/>
      <c r="C520" s="404"/>
      <c r="D520" s="404"/>
      <c r="E520" s="404"/>
      <c r="F520" s="404"/>
      <c r="G520" s="404"/>
      <c r="H520" s="404"/>
      <c r="I520" s="404"/>
      <c r="J520" s="404"/>
      <c r="K520" s="404"/>
      <c r="L520" s="404"/>
      <c r="M520" s="404"/>
      <c r="N520" s="404"/>
      <c r="O520" s="404"/>
      <c r="P520" s="404"/>
      <c r="Q520" s="404"/>
      <c r="R520" s="404"/>
      <c r="S520" s="404"/>
      <c r="T520" s="404"/>
      <c r="U520" s="404"/>
      <c r="V520" s="404"/>
      <c r="W520" s="404"/>
      <c r="X520" s="404"/>
      <c r="Y520" s="404"/>
      <c r="Z520" s="404"/>
    </row>
    <row r="521">
      <c r="A521" s="404"/>
      <c r="B521" s="404"/>
      <c r="C521" s="404"/>
      <c r="D521" s="404"/>
      <c r="E521" s="404"/>
      <c r="F521" s="404"/>
      <c r="G521" s="404"/>
      <c r="H521" s="404"/>
      <c r="I521" s="404"/>
      <c r="J521" s="404"/>
      <c r="K521" s="404"/>
      <c r="L521" s="404"/>
      <c r="M521" s="404"/>
      <c r="N521" s="404"/>
      <c r="O521" s="404"/>
      <c r="P521" s="404"/>
      <c r="Q521" s="404"/>
      <c r="R521" s="404"/>
      <c r="S521" s="404"/>
      <c r="T521" s="404"/>
      <c r="U521" s="404"/>
      <c r="V521" s="404"/>
      <c r="W521" s="404"/>
      <c r="X521" s="404"/>
      <c r="Y521" s="404"/>
      <c r="Z521" s="404"/>
    </row>
    <row r="522">
      <c r="A522" s="404"/>
      <c r="B522" s="404"/>
      <c r="C522" s="404"/>
      <c r="D522" s="404"/>
      <c r="E522" s="404"/>
      <c r="F522" s="404"/>
      <c r="G522" s="404"/>
      <c r="H522" s="404"/>
      <c r="I522" s="404"/>
      <c r="J522" s="404"/>
      <c r="K522" s="404"/>
      <c r="L522" s="404"/>
      <c r="M522" s="404"/>
      <c r="N522" s="404"/>
      <c r="O522" s="404"/>
      <c r="P522" s="404"/>
      <c r="Q522" s="404"/>
      <c r="R522" s="404"/>
      <c r="S522" s="404"/>
      <c r="T522" s="404"/>
      <c r="U522" s="404"/>
      <c r="V522" s="404"/>
      <c r="W522" s="404"/>
      <c r="X522" s="404"/>
      <c r="Y522" s="404"/>
      <c r="Z522" s="404"/>
    </row>
    <row r="523">
      <c r="A523" s="404"/>
      <c r="B523" s="404"/>
      <c r="C523" s="404"/>
      <c r="D523" s="404"/>
      <c r="E523" s="404"/>
      <c r="F523" s="404"/>
      <c r="G523" s="404"/>
      <c r="H523" s="404"/>
      <c r="I523" s="404"/>
      <c r="J523" s="404"/>
      <c r="K523" s="404"/>
      <c r="L523" s="404"/>
      <c r="M523" s="404"/>
      <c r="N523" s="404"/>
      <c r="O523" s="404"/>
      <c r="P523" s="404"/>
      <c r="Q523" s="404"/>
      <c r="R523" s="404"/>
      <c r="S523" s="404"/>
      <c r="T523" s="404"/>
      <c r="U523" s="404"/>
      <c r="V523" s="404"/>
      <c r="W523" s="404"/>
      <c r="X523" s="404"/>
      <c r="Y523" s="404"/>
      <c r="Z523" s="404"/>
    </row>
    <row r="524">
      <c r="A524" s="404"/>
      <c r="B524" s="404"/>
      <c r="C524" s="404"/>
      <c r="D524" s="404"/>
      <c r="E524" s="404"/>
      <c r="F524" s="404"/>
      <c r="G524" s="404"/>
      <c r="H524" s="404"/>
      <c r="I524" s="404"/>
      <c r="J524" s="404"/>
      <c r="K524" s="404"/>
      <c r="L524" s="404"/>
      <c r="M524" s="404"/>
      <c r="N524" s="404"/>
      <c r="O524" s="404"/>
      <c r="P524" s="404"/>
      <c r="Q524" s="404"/>
      <c r="R524" s="404"/>
      <c r="S524" s="404"/>
      <c r="T524" s="404"/>
      <c r="U524" s="404"/>
      <c r="V524" s="404"/>
      <c r="W524" s="404"/>
      <c r="X524" s="404"/>
      <c r="Y524" s="404"/>
      <c r="Z524" s="404"/>
    </row>
    <row r="525">
      <c r="A525" s="404"/>
      <c r="B525" s="404"/>
      <c r="C525" s="404"/>
      <c r="D525" s="404"/>
      <c r="E525" s="404"/>
      <c r="F525" s="404"/>
      <c r="G525" s="404"/>
      <c r="H525" s="404"/>
      <c r="I525" s="404"/>
      <c r="J525" s="404"/>
      <c r="K525" s="404"/>
      <c r="L525" s="404"/>
      <c r="M525" s="404"/>
      <c r="N525" s="404"/>
      <c r="O525" s="404"/>
      <c r="P525" s="404"/>
      <c r="Q525" s="404"/>
      <c r="R525" s="404"/>
      <c r="S525" s="404"/>
      <c r="T525" s="404"/>
      <c r="U525" s="404"/>
      <c r="V525" s="404"/>
      <c r="W525" s="404"/>
      <c r="X525" s="404"/>
      <c r="Y525" s="404"/>
      <c r="Z525" s="404"/>
    </row>
    <row r="526">
      <c r="A526" s="404"/>
      <c r="B526" s="404"/>
      <c r="C526" s="404"/>
      <c r="D526" s="404"/>
      <c r="E526" s="404"/>
      <c r="F526" s="404"/>
      <c r="G526" s="404"/>
      <c r="H526" s="404"/>
      <c r="I526" s="404"/>
      <c r="J526" s="404"/>
      <c r="K526" s="404"/>
      <c r="L526" s="404"/>
      <c r="M526" s="404"/>
      <c r="N526" s="404"/>
      <c r="O526" s="404"/>
      <c r="P526" s="404"/>
      <c r="Q526" s="404"/>
      <c r="R526" s="404"/>
      <c r="S526" s="404"/>
      <c r="T526" s="404"/>
      <c r="U526" s="404"/>
      <c r="V526" s="404"/>
      <c r="W526" s="404"/>
      <c r="X526" s="404"/>
      <c r="Y526" s="404"/>
      <c r="Z526" s="404"/>
    </row>
    <row r="527">
      <c r="A527" s="404"/>
      <c r="B527" s="404"/>
      <c r="C527" s="404"/>
      <c r="D527" s="404"/>
      <c r="E527" s="404"/>
      <c r="F527" s="404"/>
      <c r="G527" s="404"/>
      <c r="H527" s="404"/>
      <c r="I527" s="404"/>
      <c r="J527" s="404"/>
      <c r="K527" s="404"/>
      <c r="L527" s="404"/>
      <c r="M527" s="404"/>
      <c r="N527" s="404"/>
      <c r="O527" s="404"/>
      <c r="P527" s="404"/>
      <c r="Q527" s="404"/>
      <c r="R527" s="404"/>
      <c r="S527" s="404"/>
      <c r="T527" s="404"/>
      <c r="U527" s="404"/>
      <c r="V527" s="404"/>
      <c r="W527" s="404"/>
      <c r="X527" s="404"/>
      <c r="Y527" s="404"/>
      <c r="Z527" s="404"/>
    </row>
    <row r="528">
      <c r="A528" s="404"/>
      <c r="B528" s="404"/>
      <c r="C528" s="404"/>
      <c r="D528" s="404"/>
      <c r="E528" s="404"/>
      <c r="F528" s="404"/>
      <c r="G528" s="404"/>
      <c r="H528" s="404"/>
      <c r="I528" s="404"/>
      <c r="J528" s="404"/>
      <c r="K528" s="404"/>
      <c r="L528" s="404"/>
      <c r="M528" s="404"/>
      <c r="N528" s="404"/>
      <c r="O528" s="404"/>
      <c r="P528" s="404"/>
      <c r="Q528" s="404"/>
      <c r="R528" s="404"/>
      <c r="S528" s="404"/>
      <c r="T528" s="404"/>
      <c r="U528" s="404"/>
      <c r="V528" s="404"/>
      <c r="W528" s="404"/>
      <c r="X528" s="404"/>
      <c r="Y528" s="404"/>
      <c r="Z528" s="404"/>
    </row>
    <row r="529">
      <c r="A529" s="404"/>
      <c r="B529" s="404"/>
      <c r="C529" s="404"/>
      <c r="D529" s="404"/>
      <c r="E529" s="404"/>
      <c r="F529" s="404"/>
      <c r="G529" s="404"/>
      <c r="H529" s="404"/>
      <c r="I529" s="404"/>
      <c r="J529" s="404"/>
      <c r="K529" s="404"/>
      <c r="L529" s="404"/>
      <c r="M529" s="404"/>
      <c r="N529" s="404"/>
      <c r="O529" s="404"/>
      <c r="P529" s="404"/>
      <c r="Q529" s="404"/>
      <c r="R529" s="404"/>
      <c r="S529" s="404"/>
      <c r="T529" s="404"/>
      <c r="U529" s="404"/>
      <c r="V529" s="404"/>
      <c r="W529" s="404"/>
      <c r="X529" s="404"/>
      <c r="Y529" s="404"/>
      <c r="Z529" s="404"/>
    </row>
    <row r="530">
      <c r="A530" s="404"/>
      <c r="B530" s="404"/>
      <c r="C530" s="404"/>
      <c r="D530" s="404"/>
      <c r="E530" s="404"/>
      <c r="F530" s="404"/>
      <c r="G530" s="404"/>
      <c r="H530" s="404"/>
      <c r="I530" s="404"/>
      <c r="J530" s="404"/>
      <c r="K530" s="404"/>
      <c r="L530" s="404"/>
      <c r="M530" s="404"/>
      <c r="N530" s="404"/>
      <c r="O530" s="404"/>
      <c r="P530" s="404"/>
      <c r="Q530" s="404"/>
      <c r="R530" s="404"/>
      <c r="S530" s="404"/>
      <c r="T530" s="404"/>
      <c r="U530" s="404"/>
      <c r="V530" s="404"/>
      <c r="W530" s="404"/>
      <c r="X530" s="404"/>
      <c r="Y530" s="404"/>
      <c r="Z530" s="404"/>
    </row>
    <row r="531">
      <c r="A531" s="404"/>
      <c r="B531" s="404"/>
      <c r="C531" s="404"/>
      <c r="D531" s="404"/>
      <c r="E531" s="404"/>
      <c r="F531" s="404"/>
      <c r="G531" s="404"/>
      <c r="H531" s="404"/>
      <c r="I531" s="404"/>
      <c r="J531" s="404"/>
      <c r="K531" s="404"/>
      <c r="L531" s="404"/>
      <c r="M531" s="404"/>
      <c r="N531" s="404"/>
      <c r="O531" s="404"/>
      <c r="P531" s="404"/>
      <c r="Q531" s="404"/>
      <c r="R531" s="404"/>
      <c r="S531" s="404"/>
      <c r="T531" s="404"/>
      <c r="U531" s="404"/>
      <c r="V531" s="404"/>
      <c r="W531" s="404"/>
      <c r="X531" s="404"/>
      <c r="Y531" s="404"/>
      <c r="Z531" s="404"/>
    </row>
    <row r="532">
      <c r="A532" s="404"/>
      <c r="B532" s="404"/>
      <c r="C532" s="404"/>
      <c r="D532" s="404"/>
      <c r="E532" s="404"/>
      <c r="F532" s="404"/>
      <c r="G532" s="404"/>
      <c r="H532" s="404"/>
      <c r="I532" s="404"/>
      <c r="J532" s="404"/>
      <c r="K532" s="404"/>
      <c r="L532" s="404"/>
      <c r="M532" s="404"/>
      <c r="N532" s="404"/>
      <c r="O532" s="404"/>
      <c r="P532" s="404"/>
      <c r="Q532" s="404"/>
      <c r="R532" s="404"/>
      <c r="S532" s="404"/>
      <c r="T532" s="404"/>
      <c r="U532" s="404"/>
      <c r="V532" s="404"/>
      <c r="W532" s="404"/>
      <c r="X532" s="404"/>
      <c r="Y532" s="404"/>
      <c r="Z532" s="404"/>
    </row>
    <row r="533">
      <c r="A533" s="404"/>
      <c r="B533" s="404"/>
      <c r="C533" s="404"/>
      <c r="D533" s="404"/>
      <c r="E533" s="404"/>
      <c r="F533" s="404"/>
      <c r="G533" s="404"/>
      <c r="H533" s="404"/>
      <c r="I533" s="404"/>
      <c r="J533" s="404"/>
      <c r="K533" s="404"/>
      <c r="L533" s="404"/>
      <c r="M533" s="404"/>
      <c r="N533" s="404"/>
      <c r="O533" s="404"/>
      <c r="P533" s="404"/>
      <c r="Q533" s="404"/>
      <c r="R533" s="404"/>
      <c r="S533" s="404"/>
      <c r="T533" s="404"/>
      <c r="U533" s="404"/>
      <c r="V533" s="404"/>
      <c r="W533" s="404"/>
      <c r="X533" s="404"/>
      <c r="Y533" s="404"/>
      <c r="Z533" s="404"/>
    </row>
    <row r="534">
      <c r="A534" s="404"/>
      <c r="B534" s="404"/>
      <c r="C534" s="404"/>
      <c r="D534" s="404"/>
      <c r="E534" s="404"/>
      <c r="F534" s="404"/>
      <c r="G534" s="404"/>
      <c r="H534" s="404"/>
      <c r="I534" s="404"/>
      <c r="J534" s="404"/>
      <c r="K534" s="404"/>
      <c r="L534" s="404"/>
      <c r="M534" s="404"/>
      <c r="N534" s="404"/>
      <c r="O534" s="404"/>
      <c r="P534" s="404"/>
      <c r="Q534" s="404"/>
      <c r="R534" s="404"/>
      <c r="S534" s="404"/>
      <c r="T534" s="404"/>
      <c r="U534" s="404"/>
      <c r="V534" s="404"/>
      <c r="W534" s="404"/>
      <c r="X534" s="404"/>
      <c r="Y534" s="404"/>
      <c r="Z534" s="404"/>
    </row>
    <row r="535">
      <c r="A535" s="404"/>
      <c r="B535" s="404"/>
      <c r="C535" s="404"/>
      <c r="D535" s="404"/>
      <c r="E535" s="404"/>
      <c r="F535" s="404"/>
      <c r="G535" s="404"/>
      <c r="H535" s="404"/>
      <c r="I535" s="404"/>
      <c r="J535" s="404"/>
      <c r="K535" s="404"/>
      <c r="L535" s="404"/>
      <c r="M535" s="404"/>
      <c r="N535" s="404"/>
      <c r="O535" s="404"/>
      <c r="P535" s="404"/>
      <c r="Q535" s="404"/>
      <c r="R535" s="404"/>
      <c r="S535" s="404"/>
      <c r="T535" s="404"/>
      <c r="U535" s="404"/>
      <c r="V535" s="404"/>
      <c r="W535" s="404"/>
      <c r="X535" s="404"/>
      <c r="Y535" s="404"/>
      <c r="Z535" s="404"/>
    </row>
    <row r="536">
      <c r="A536" s="404"/>
      <c r="B536" s="404"/>
      <c r="C536" s="404"/>
      <c r="D536" s="404"/>
      <c r="E536" s="404"/>
      <c r="F536" s="404"/>
      <c r="G536" s="404"/>
      <c r="H536" s="404"/>
      <c r="I536" s="404"/>
      <c r="J536" s="404"/>
      <c r="K536" s="404"/>
      <c r="L536" s="404"/>
      <c r="M536" s="404"/>
      <c r="N536" s="404"/>
      <c r="O536" s="404"/>
      <c r="P536" s="404"/>
      <c r="Q536" s="404"/>
      <c r="R536" s="404"/>
      <c r="S536" s="404"/>
      <c r="T536" s="404"/>
      <c r="U536" s="404"/>
      <c r="V536" s="404"/>
      <c r="W536" s="404"/>
      <c r="X536" s="404"/>
      <c r="Y536" s="404"/>
      <c r="Z536" s="404"/>
    </row>
    <row r="537">
      <c r="A537" s="404"/>
      <c r="B537" s="404"/>
      <c r="C537" s="404"/>
      <c r="D537" s="404"/>
      <c r="E537" s="404"/>
      <c r="F537" s="404"/>
      <c r="G537" s="404"/>
      <c r="H537" s="404"/>
      <c r="I537" s="404"/>
      <c r="J537" s="404"/>
      <c r="K537" s="404"/>
      <c r="L537" s="404"/>
      <c r="M537" s="404"/>
      <c r="N537" s="404"/>
      <c r="O537" s="404"/>
      <c r="P537" s="404"/>
      <c r="Q537" s="404"/>
      <c r="R537" s="404"/>
      <c r="S537" s="404"/>
      <c r="T537" s="404"/>
      <c r="U537" s="404"/>
      <c r="V537" s="404"/>
      <c r="W537" s="404"/>
      <c r="X537" s="404"/>
      <c r="Y537" s="404"/>
      <c r="Z537" s="404"/>
    </row>
    <row r="538">
      <c r="A538" s="404"/>
      <c r="B538" s="404"/>
      <c r="C538" s="404"/>
      <c r="D538" s="404"/>
      <c r="E538" s="404"/>
      <c r="F538" s="404"/>
      <c r="G538" s="404"/>
      <c r="H538" s="404"/>
      <c r="I538" s="404"/>
      <c r="J538" s="404"/>
      <c r="K538" s="404"/>
      <c r="L538" s="404"/>
      <c r="M538" s="404"/>
      <c r="N538" s="404"/>
      <c r="O538" s="404"/>
      <c r="P538" s="404"/>
      <c r="Q538" s="404"/>
      <c r="R538" s="404"/>
      <c r="S538" s="404"/>
      <c r="T538" s="404"/>
      <c r="U538" s="404"/>
      <c r="V538" s="404"/>
      <c r="W538" s="404"/>
      <c r="X538" s="404"/>
      <c r="Y538" s="404"/>
      <c r="Z538" s="404"/>
    </row>
    <row r="539">
      <c r="A539" s="404"/>
      <c r="B539" s="404"/>
      <c r="C539" s="404"/>
      <c r="D539" s="404"/>
      <c r="E539" s="404"/>
      <c r="F539" s="404"/>
      <c r="G539" s="404"/>
      <c r="H539" s="404"/>
      <c r="I539" s="404"/>
      <c r="J539" s="404"/>
      <c r="K539" s="404"/>
      <c r="L539" s="404"/>
      <c r="M539" s="404"/>
      <c r="N539" s="404"/>
      <c r="O539" s="404"/>
      <c r="P539" s="404"/>
      <c r="Q539" s="404"/>
      <c r="R539" s="404"/>
      <c r="S539" s="404"/>
      <c r="T539" s="404"/>
      <c r="U539" s="404"/>
      <c r="V539" s="404"/>
      <c r="W539" s="404"/>
      <c r="X539" s="404"/>
      <c r="Y539" s="404"/>
      <c r="Z539" s="404"/>
    </row>
    <row r="540">
      <c r="A540" s="404"/>
      <c r="B540" s="404"/>
      <c r="C540" s="404"/>
      <c r="D540" s="404"/>
      <c r="E540" s="404"/>
      <c r="F540" s="404"/>
      <c r="G540" s="404"/>
      <c r="H540" s="404"/>
      <c r="I540" s="404"/>
      <c r="J540" s="404"/>
      <c r="K540" s="404"/>
      <c r="L540" s="404"/>
      <c r="M540" s="404"/>
      <c r="N540" s="404"/>
      <c r="O540" s="404"/>
      <c r="P540" s="404"/>
      <c r="Q540" s="404"/>
      <c r="R540" s="404"/>
      <c r="S540" s="404"/>
      <c r="T540" s="404"/>
      <c r="U540" s="404"/>
      <c r="V540" s="404"/>
      <c r="W540" s="404"/>
      <c r="X540" s="404"/>
      <c r="Y540" s="404"/>
      <c r="Z540" s="404"/>
    </row>
    <row r="541">
      <c r="A541" s="404"/>
      <c r="B541" s="404"/>
      <c r="C541" s="404"/>
      <c r="D541" s="404"/>
      <c r="E541" s="404"/>
      <c r="F541" s="404"/>
      <c r="G541" s="404"/>
      <c r="H541" s="404"/>
      <c r="I541" s="404"/>
      <c r="J541" s="404"/>
      <c r="K541" s="404"/>
      <c r="L541" s="404"/>
      <c r="M541" s="404"/>
      <c r="N541" s="404"/>
      <c r="O541" s="404"/>
      <c r="P541" s="404"/>
      <c r="Q541" s="404"/>
      <c r="R541" s="404"/>
      <c r="S541" s="404"/>
      <c r="T541" s="404"/>
      <c r="U541" s="404"/>
      <c r="V541" s="404"/>
      <c r="W541" s="404"/>
      <c r="X541" s="404"/>
      <c r="Y541" s="404"/>
      <c r="Z541" s="404"/>
    </row>
    <row r="542">
      <c r="A542" s="404"/>
      <c r="B542" s="404"/>
      <c r="C542" s="404"/>
      <c r="D542" s="404"/>
      <c r="E542" s="404"/>
      <c r="F542" s="404"/>
      <c r="G542" s="404"/>
      <c r="H542" s="404"/>
      <c r="I542" s="404"/>
      <c r="J542" s="404"/>
      <c r="K542" s="404"/>
      <c r="L542" s="404"/>
      <c r="M542" s="404"/>
      <c r="N542" s="404"/>
      <c r="O542" s="404"/>
      <c r="P542" s="404"/>
      <c r="Q542" s="404"/>
      <c r="R542" s="404"/>
      <c r="S542" s="404"/>
      <c r="T542" s="404"/>
      <c r="U542" s="404"/>
      <c r="V542" s="404"/>
      <c r="W542" s="404"/>
      <c r="X542" s="404"/>
      <c r="Y542" s="404"/>
      <c r="Z542" s="404"/>
    </row>
    <row r="543">
      <c r="A543" s="404"/>
      <c r="B543" s="404"/>
      <c r="C543" s="404"/>
      <c r="D543" s="404"/>
      <c r="E543" s="404"/>
      <c r="F543" s="404"/>
      <c r="G543" s="404"/>
      <c r="H543" s="404"/>
      <c r="I543" s="404"/>
      <c r="J543" s="404"/>
      <c r="K543" s="404"/>
      <c r="L543" s="404"/>
      <c r="M543" s="404"/>
      <c r="N543" s="404"/>
      <c r="O543" s="404"/>
      <c r="P543" s="404"/>
      <c r="Q543" s="404"/>
      <c r="R543" s="404"/>
      <c r="S543" s="404"/>
      <c r="T543" s="404"/>
      <c r="U543" s="404"/>
      <c r="V543" s="404"/>
      <c r="W543" s="404"/>
      <c r="X543" s="404"/>
      <c r="Y543" s="404"/>
      <c r="Z543" s="404"/>
    </row>
    <row r="544">
      <c r="A544" s="404"/>
      <c r="B544" s="404"/>
      <c r="C544" s="404"/>
      <c r="D544" s="404"/>
      <c r="E544" s="404"/>
      <c r="F544" s="404"/>
      <c r="G544" s="404"/>
      <c r="H544" s="404"/>
      <c r="I544" s="404"/>
      <c r="J544" s="404"/>
      <c r="K544" s="404"/>
      <c r="L544" s="404"/>
      <c r="M544" s="404"/>
      <c r="N544" s="404"/>
      <c r="O544" s="404"/>
      <c r="P544" s="404"/>
      <c r="Q544" s="404"/>
      <c r="R544" s="404"/>
      <c r="S544" s="404"/>
      <c r="T544" s="404"/>
      <c r="U544" s="404"/>
      <c r="V544" s="404"/>
      <c r="W544" s="404"/>
      <c r="X544" s="404"/>
      <c r="Y544" s="404"/>
      <c r="Z544" s="404"/>
    </row>
    <row r="545">
      <c r="A545" s="404"/>
      <c r="B545" s="404"/>
      <c r="C545" s="404"/>
      <c r="D545" s="404"/>
      <c r="E545" s="404"/>
      <c r="F545" s="404"/>
      <c r="G545" s="404"/>
      <c r="H545" s="404"/>
      <c r="I545" s="404"/>
      <c r="J545" s="404"/>
      <c r="K545" s="404"/>
      <c r="L545" s="404"/>
      <c r="M545" s="404"/>
      <c r="N545" s="404"/>
      <c r="O545" s="404"/>
      <c r="P545" s="404"/>
      <c r="Q545" s="404"/>
      <c r="R545" s="404"/>
      <c r="S545" s="404"/>
      <c r="T545" s="404"/>
      <c r="U545" s="404"/>
      <c r="V545" s="404"/>
      <c r="W545" s="404"/>
      <c r="X545" s="404"/>
      <c r="Y545" s="404"/>
      <c r="Z545" s="404"/>
    </row>
    <row r="546">
      <c r="A546" s="404"/>
      <c r="B546" s="404"/>
      <c r="C546" s="404"/>
      <c r="D546" s="404"/>
      <c r="E546" s="404"/>
      <c r="F546" s="404"/>
      <c r="G546" s="404"/>
      <c r="H546" s="404"/>
      <c r="I546" s="404"/>
      <c r="J546" s="404"/>
      <c r="K546" s="404"/>
      <c r="L546" s="404"/>
      <c r="M546" s="404"/>
      <c r="N546" s="404"/>
      <c r="O546" s="404"/>
      <c r="P546" s="404"/>
      <c r="Q546" s="404"/>
      <c r="R546" s="404"/>
      <c r="S546" s="404"/>
      <c r="T546" s="404"/>
      <c r="U546" s="404"/>
      <c r="V546" s="404"/>
      <c r="W546" s="404"/>
      <c r="X546" s="404"/>
      <c r="Y546" s="404"/>
      <c r="Z546" s="404"/>
    </row>
    <row r="547">
      <c r="A547" s="404"/>
      <c r="B547" s="404"/>
      <c r="C547" s="404"/>
      <c r="D547" s="404"/>
      <c r="E547" s="404"/>
      <c r="F547" s="404"/>
      <c r="G547" s="404"/>
      <c r="H547" s="404"/>
      <c r="I547" s="404"/>
      <c r="J547" s="404"/>
      <c r="K547" s="404"/>
      <c r="L547" s="404"/>
      <c r="M547" s="404"/>
      <c r="N547" s="404"/>
      <c r="O547" s="404"/>
      <c r="P547" s="404"/>
      <c r="Q547" s="404"/>
      <c r="R547" s="404"/>
      <c r="S547" s="404"/>
      <c r="T547" s="404"/>
      <c r="U547" s="404"/>
      <c r="V547" s="404"/>
      <c r="W547" s="404"/>
      <c r="X547" s="404"/>
      <c r="Y547" s="404"/>
      <c r="Z547" s="404"/>
    </row>
    <row r="548">
      <c r="A548" s="404"/>
      <c r="B548" s="404"/>
      <c r="C548" s="404"/>
      <c r="D548" s="404"/>
      <c r="E548" s="404"/>
      <c r="F548" s="404"/>
      <c r="G548" s="404"/>
      <c r="H548" s="404"/>
      <c r="I548" s="404"/>
      <c r="J548" s="404"/>
      <c r="K548" s="404"/>
      <c r="L548" s="404"/>
      <c r="M548" s="404"/>
      <c r="N548" s="404"/>
      <c r="O548" s="404"/>
      <c r="P548" s="404"/>
      <c r="Q548" s="404"/>
      <c r="R548" s="404"/>
      <c r="S548" s="404"/>
      <c r="T548" s="404"/>
      <c r="U548" s="404"/>
      <c r="V548" s="404"/>
      <c r="W548" s="404"/>
      <c r="X548" s="404"/>
      <c r="Y548" s="404"/>
      <c r="Z548" s="404"/>
    </row>
    <row r="549">
      <c r="A549" s="404"/>
      <c r="B549" s="404"/>
      <c r="C549" s="404"/>
      <c r="D549" s="404"/>
      <c r="E549" s="404"/>
      <c r="F549" s="404"/>
      <c r="G549" s="404"/>
      <c r="H549" s="404"/>
      <c r="I549" s="404"/>
      <c r="J549" s="404"/>
      <c r="K549" s="404"/>
      <c r="L549" s="404"/>
      <c r="M549" s="404"/>
      <c r="N549" s="404"/>
      <c r="O549" s="404"/>
      <c r="P549" s="404"/>
      <c r="Q549" s="404"/>
      <c r="R549" s="404"/>
      <c r="S549" s="404"/>
      <c r="T549" s="404"/>
      <c r="U549" s="404"/>
      <c r="V549" s="404"/>
      <c r="W549" s="404"/>
      <c r="X549" s="404"/>
      <c r="Y549" s="404"/>
      <c r="Z549" s="404"/>
    </row>
    <row r="550">
      <c r="A550" s="404"/>
      <c r="B550" s="404"/>
      <c r="C550" s="404"/>
      <c r="D550" s="404"/>
      <c r="E550" s="404"/>
      <c r="F550" s="404"/>
      <c r="G550" s="404"/>
      <c r="H550" s="404"/>
      <c r="I550" s="404"/>
      <c r="J550" s="404"/>
      <c r="K550" s="404"/>
      <c r="L550" s="404"/>
      <c r="M550" s="404"/>
      <c r="N550" s="404"/>
      <c r="O550" s="404"/>
      <c r="P550" s="404"/>
      <c r="Q550" s="404"/>
      <c r="R550" s="404"/>
      <c r="S550" s="404"/>
      <c r="T550" s="404"/>
      <c r="U550" s="404"/>
      <c r="V550" s="404"/>
      <c r="W550" s="404"/>
      <c r="X550" s="404"/>
      <c r="Y550" s="404"/>
      <c r="Z550" s="404"/>
    </row>
    <row r="551">
      <c r="A551" s="404"/>
      <c r="B551" s="404"/>
      <c r="C551" s="404"/>
      <c r="D551" s="404"/>
      <c r="E551" s="404"/>
      <c r="F551" s="404"/>
      <c r="G551" s="404"/>
      <c r="H551" s="404"/>
      <c r="I551" s="404"/>
      <c r="J551" s="404"/>
      <c r="K551" s="404"/>
      <c r="L551" s="404"/>
      <c r="M551" s="404"/>
      <c r="N551" s="404"/>
      <c r="O551" s="404"/>
      <c r="P551" s="404"/>
      <c r="Q551" s="404"/>
      <c r="R551" s="404"/>
      <c r="S551" s="404"/>
      <c r="T551" s="404"/>
      <c r="U551" s="404"/>
      <c r="V551" s="404"/>
      <c r="W551" s="404"/>
      <c r="X551" s="404"/>
      <c r="Y551" s="404"/>
      <c r="Z551" s="404"/>
    </row>
    <row r="552">
      <c r="A552" s="404"/>
      <c r="B552" s="404"/>
      <c r="C552" s="404"/>
      <c r="D552" s="404"/>
      <c r="E552" s="404"/>
      <c r="F552" s="404"/>
      <c r="G552" s="404"/>
      <c r="H552" s="404"/>
      <c r="I552" s="404"/>
      <c r="J552" s="404"/>
      <c r="K552" s="404"/>
      <c r="L552" s="404"/>
      <c r="M552" s="404"/>
      <c r="N552" s="404"/>
      <c r="O552" s="404"/>
      <c r="P552" s="404"/>
      <c r="Q552" s="404"/>
      <c r="R552" s="404"/>
      <c r="S552" s="404"/>
      <c r="T552" s="404"/>
      <c r="U552" s="404"/>
      <c r="V552" s="404"/>
      <c r="W552" s="404"/>
      <c r="X552" s="404"/>
      <c r="Y552" s="404"/>
      <c r="Z552" s="404"/>
    </row>
    <row r="553">
      <c r="A553" s="404"/>
      <c r="B553" s="404"/>
      <c r="C553" s="404"/>
      <c r="D553" s="404"/>
      <c r="E553" s="404"/>
      <c r="F553" s="404"/>
      <c r="G553" s="404"/>
      <c r="H553" s="404"/>
      <c r="I553" s="404"/>
      <c r="J553" s="404"/>
      <c r="K553" s="404"/>
      <c r="L553" s="404"/>
      <c r="M553" s="404"/>
      <c r="N553" s="404"/>
      <c r="O553" s="404"/>
      <c r="P553" s="404"/>
      <c r="Q553" s="404"/>
      <c r="R553" s="404"/>
      <c r="S553" s="404"/>
      <c r="T553" s="404"/>
      <c r="U553" s="404"/>
      <c r="V553" s="404"/>
      <c r="W553" s="404"/>
      <c r="X553" s="404"/>
      <c r="Y553" s="404"/>
      <c r="Z553" s="404"/>
    </row>
    <row r="554">
      <c r="A554" s="404"/>
      <c r="B554" s="404"/>
      <c r="C554" s="404"/>
      <c r="D554" s="404"/>
      <c r="E554" s="404"/>
      <c r="F554" s="404"/>
      <c r="G554" s="404"/>
      <c r="H554" s="404"/>
      <c r="I554" s="404"/>
      <c r="J554" s="404"/>
      <c r="K554" s="404"/>
      <c r="L554" s="404"/>
      <c r="M554" s="404"/>
      <c r="N554" s="404"/>
      <c r="O554" s="404"/>
      <c r="P554" s="404"/>
      <c r="Q554" s="404"/>
      <c r="R554" s="404"/>
      <c r="S554" s="404"/>
      <c r="T554" s="404"/>
      <c r="U554" s="404"/>
      <c r="V554" s="404"/>
      <c r="W554" s="404"/>
      <c r="X554" s="404"/>
      <c r="Y554" s="404"/>
      <c r="Z554" s="404"/>
    </row>
    <row r="555">
      <c r="A555" s="404"/>
      <c r="B555" s="404"/>
      <c r="C555" s="404"/>
      <c r="D555" s="404"/>
      <c r="E555" s="404"/>
      <c r="F555" s="404"/>
      <c r="G555" s="404"/>
      <c r="H555" s="404"/>
      <c r="I555" s="404"/>
      <c r="J555" s="404"/>
      <c r="K555" s="404"/>
      <c r="L555" s="404"/>
      <c r="M555" s="404"/>
      <c r="N555" s="404"/>
      <c r="O555" s="404"/>
      <c r="P555" s="404"/>
      <c r="Q555" s="404"/>
      <c r="R555" s="404"/>
      <c r="S555" s="404"/>
      <c r="T555" s="404"/>
      <c r="U555" s="404"/>
      <c r="V555" s="404"/>
      <c r="W555" s="404"/>
      <c r="X555" s="404"/>
      <c r="Y555" s="404"/>
      <c r="Z555" s="404"/>
    </row>
    <row r="556">
      <c r="A556" s="404"/>
      <c r="B556" s="404"/>
      <c r="C556" s="404"/>
      <c r="D556" s="404"/>
      <c r="E556" s="404"/>
      <c r="F556" s="404"/>
      <c r="G556" s="404"/>
      <c r="H556" s="404"/>
      <c r="I556" s="404"/>
      <c r="J556" s="404"/>
      <c r="K556" s="404"/>
      <c r="L556" s="404"/>
      <c r="M556" s="404"/>
      <c r="N556" s="404"/>
      <c r="O556" s="404"/>
      <c r="P556" s="404"/>
      <c r="Q556" s="404"/>
      <c r="R556" s="404"/>
      <c r="S556" s="404"/>
      <c r="T556" s="404"/>
      <c r="U556" s="404"/>
      <c r="V556" s="404"/>
      <c r="W556" s="404"/>
      <c r="X556" s="404"/>
      <c r="Y556" s="404"/>
      <c r="Z556" s="404"/>
    </row>
    <row r="557">
      <c r="A557" s="404"/>
      <c r="B557" s="404"/>
      <c r="C557" s="404"/>
      <c r="D557" s="404"/>
      <c r="E557" s="404"/>
      <c r="F557" s="404"/>
      <c r="G557" s="404"/>
      <c r="H557" s="404"/>
      <c r="I557" s="404"/>
      <c r="J557" s="404"/>
      <c r="K557" s="404"/>
      <c r="L557" s="404"/>
      <c r="M557" s="404"/>
      <c r="N557" s="404"/>
      <c r="O557" s="404"/>
      <c r="P557" s="404"/>
      <c r="Q557" s="404"/>
      <c r="R557" s="404"/>
      <c r="S557" s="404"/>
      <c r="T557" s="404"/>
      <c r="U557" s="404"/>
      <c r="V557" s="404"/>
      <c r="W557" s="404"/>
      <c r="X557" s="404"/>
      <c r="Y557" s="404"/>
      <c r="Z557" s="404"/>
    </row>
    <row r="558">
      <c r="A558" s="404"/>
      <c r="B558" s="404"/>
      <c r="C558" s="404"/>
      <c r="D558" s="404"/>
      <c r="E558" s="404"/>
      <c r="F558" s="404"/>
      <c r="G558" s="404"/>
      <c r="H558" s="404"/>
      <c r="I558" s="404"/>
      <c r="J558" s="404"/>
      <c r="K558" s="404"/>
      <c r="L558" s="404"/>
      <c r="M558" s="404"/>
      <c r="N558" s="404"/>
      <c r="O558" s="404"/>
      <c r="P558" s="404"/>
      <c r="Q558" s="404"/>
      <c r="R558" s="404"/>
      <c r="S558" s="404"/>
      <c r="T558" s="404"/>
      <c r="U558" s="404"/>
      <c r="V558" s="404"/>
      <c r="W558" s="404"/>
      <c r="X558" s="404"/>
      <c r="Y558" s="404"/>
      <c r="Z558" s="404"/>
    </row>
    <row r="559">
      <c r="A559" s="404"/>
      <c r="B559" s="404"/>
      <c r="C559" s="404"/>
      <c r="D559" s="404"/>
      <c r="E559" s="404"/>
      <c r="F559" s="404"/>
      <c r="G559" s="404"/>
      <c r="H559" s="404"/>
      <c r="I559" s="404"/>
      <c r="J559" s="404"/>
      <c r="K559" s="404"/>
      <c r="L559" s="404"/>
      <c r="M559" s="404"/>
      <c r="N559" s="404"/>
      <c r="O559" s="404"/>
      <c r="P559" s="404"/>
      <c r="Q559" s="404"/>
      <c r="R559" s="404"/>
      <c r="S559" s="404"/>
      <c r="T559" s="404"/>
      <c r="U559" s="404"/>
      <c r="V559" s="404"/>
      <c r="W559" s="404"/>
      <c r="X559" s="404"/>
      <c r="Y559" s="404"/>
      <c r="Z559" s="404"/>
    </row>
    <row r="560">
      <c r="A560" s="404"/>
      <c r="B560" s="404"/>
      <c r="C560" s="404"/>
      <c r="D560" s="404"/>
      <c r="E560" s="404"/>
      <c r="F560" s="404"/>
      <c r="G560" s="404"/>
      <c r="H560" s="404"/>
      <c r="I560" s="404"/>
      <c r="J560" s="404"/>
      <c r="K560" s="404"/>
      <c r="L560" s="404"/>
      <c r="M560" s="404"/>
      <c r="N560" s="404"/>
      <c r="O560" s="404"/>
      <c r="P560" s="404"/>
      <c r="Q560" s="404"/>
      <c r="R560" s="404"/>
      <c r="S560" s="404"/>
      <c r="T560" s="404"/>
      <c r="U560" s="404"/>
      <c r="V560" s="404"/>
      <c r="W560" s="404"/>
      <c r="X560" s="404"/>
      <c r="Y560" s="404"/>
      <c r="Z560" s="404"/>
    </row>
    <row r="561">
      <c r="A561" s="404"/>
      <c r="B561" s="404"/>
      <c r="C561" s="404"/>
      <c r="D561" s="404"/>
      <c r="E561" s="404"/>
      <c r="F561" s="404"/>
      <c r="G561" s="404"/>
      <c r="H561" s="404"/>
      <c r="I561" s="404"/>
      <c r="J561" s="404"/>
      <c r="K561" s="404"/>
      <c r="L561" s="404"/>
      <c r="M561" s="404"/>
      <c r="N561" s="404"/>
      <c r="O561" s="404"/>
      <c r="P561" s="404"/>
      <c r="Q561" s="404"/>
      <c r="R561" s="404"/>
      <c r="S561" s="404"/>
      <c r="T561" s="404"/>
      <c r="U561" s="404"/>
      <c r="V561" s="404"/>
      <c r="W561" s="404"/>
      <c r="X561" s="404"/>
      <c r="Y561" s="404"/>
      <c r="Z561" s="404"/>
    </row>
    <row r="562">
      <c r="A562" s="404"/>
      <c r="B562" s="404"/>
      <c r="C562" s="404"/>
      <c r="D562" s="404"/>
      <c r="E562" s="404"/>
      <c r="F562" s="404"/>
      <c r="G562" s="404"/>
      <c r="H562" s="404"/>
      <c r="I562" s="404"/>
      <c r="J562" s="404"/>
      <c r="K562" s="404"/>
      <c r="L562" s="404"/>
      <c r="M562" s="404"/>
      <c r="N562" s="404"/>
      <c r="O562" s="404"/>
      <c r="P562" s="404"/>
      <c r="Q562" s="404"/>
      <c r="R562" s="404"/>
      <c r="S562" s="404"/>
      <c r="T562" s="404"/>
      <c r="U562" s="404"/>
      <c r="V562" s="404"/>
      <c r="W562" s="404"/>
      <c r="X562" s="404"/>
      <c r="Y562" s="404"/>
      <c r="Z562" s="404"/>
    </row>
    <row r="563">
      <c r="A563" s="404"/>
      <c r="B563" s="404"/>
      <c r="C563" s="404"/>
      <c r="D563" s="404"/>
      <c r="E563" s="404"/>
      <c r="F563" s="404"/>
      <c r="G563" s="404"/>
      <c r="H563" s="404"/>
      <c r="I563" s="404"/>
      <c r="J563" s="404"/>
      <c r="K563" s="404"/>
      <c r="L563" s="404"/>
      <c r="M563" s="404"/>
      <c r="N563" s="404"/>
      <c r="O563" s="404"/>
      <c r="P563" s="404"/>
      <c r="Q563" s="404"/>
      <c r="R563" s="404"/>
      <c r="S563" s="404"/>
      <c r="T563" s="404"/>
      <c r="U563" s="404"/>
      <c r="V563" s="404"/>
      <c r="W563" s="404"/>
      <c r="X563" s="404"/>
      <c r="Y563" s="404"/>
      <c r="Z563" s="404"/>
    </row>
    <row r="564">
      <c r="A564" s="404"/>
      <c r="B564" s="404"/>
      <c r="C564" s="404"/>
      <c r="D564" s="404"/>
      <c r="E564" s="404"/>
      <c r="F564" s="404"/>
      <c r="G564" s="404"/>
      <c r="H564" s="404"/>
      <c r="I564" s="404"/>
      <c r="J564" s="404"/>
      <c r="K564" s="404"/>
      <c r="L564" s="404"/>
      <c r="M564" s="404"/>
      <c r="N564" s="404"/>
      <c r="O564" s="404"/>
      <c r="P564" s="404"/>
      <c r="Q564" s="404"/>
      <c r="R564" s="404"/>
      <c r="S564" s="404"/>
      <c r="T564" s="404"/>
      <c r="U564" s="404"/>
      <c r="V564" s="404"/>
      <c r="W564" s="404"/>
      <c r="X564" s="404"/>
      <c r="Y564" s="404"/>
      <c r="Z564" s="404"/>
    </row>
    <row r="565">
      <c r="A565" s="404"/>
      <c r="B565" s="404"/>
      <c r="C565" s="404"/>
      <c r="D565" s="404"/>
      <c r="E565" s="404"/>
      <c r="F565" s="404"/>
      <c r="G565" s="404"/>
      <c r="H565" s="404"/>
      <c r="I565" s="404"/>
      <c r="J565" s="404"/>
      <c r="K565" s="404"/>
      <c r="L565" s="404"/>
      <c r="M565" s="404"/>
      <c r="N565" s="404"/>
      <c r="O565" s="404"/>
      <c r="P565" s="404"/>
      <c r="Q565" s="404"/>
      <c r="R565" s="404"/>
      <c r="S565" s="404"/>
      <c r="T565" s="404"/>
      <c r="U565" s="404"/>
      <c r="V565" s="404"/>
      <c r="W565" s="404"/>
      <c r="X565" s="404"/>
      <c r="Y565" s="404"/>
      <c r="Z565" s="404"/>
    </row>
    <row r="566">
      <c r="A566" s="404"/>
      <c r="B566" s="404"/>
      <c r="C566" s="404"/>
      <c r="D566" s="404"/>
      <c r="E566" s="404"/>
      <c r="F566" s="404"/>
      <c r="G566" s="404"/>
      <c r="H566" s="404"/>
      <c r="I566" s="404"/>
      <c r="J566" s="404"/>
      <c r="K566" s="404"/>
      <c r="L566" s="404"/>
      <c r="M566" s="404"/>
      <c r="N566" s="404"/>
      <c r="O566" s="404"/>
      <c r="P566" s="404"/>
      <c r="Q566" s="404"/>
      <c r="R566" s="404"/>
      <c r="S566" s="404"/>
      <c r="T566" s="404"/>
      <c r="U566" s="404"/>
      <c r="V566" s="404"/>
      <c r="W566" s="404"/>
      <c r="X566" s="404"/>
      <c r="Y566" s="404"/>
      <c r="Z566" s="404"/>
    </row>
    <row r="567">
      <c r="A567" s="404"/>
      <c r="B567" s="404"/>
      <c r="C567" s="404"/>
      <c r="D567" s="404"/>
      <c r="E567" s="404"/>
      <c r="F567" s="404"/>
      <c r="G567" s="404"/>
      <c r="H567" s="404"/>
      <c r="I567" s="404"/>
      <c r="J567" s="404"/>
      <c r="K567" s="404"/>
      <c r="L567" s="404"/>
      <c r="M567" s="404"/>
      <c r="N567" s="404"/>
      <c r="O567" s="404"/>
      <c r="P567" s="404"/>
      <c r="Q567" s="404"/>
      <c r="R567" s="404"/>
      <c r="S567" s="404"/>
      <c r="T567" s="404"/>
      <c r="U567" s="404"/>
      <c r="V567" s="404"/>
      <c r="W567" s="404"/>
      <c r="X567" s="404"/>
      <c r="Y567" s="404"/>
      <c r="Z567" s="404"/>
    </row>
    <row r="568">
      <c r="A568" s="404"/>
      <c r="B568" s="404"/>
      <c r="C568" s="404"/>
      <c r="D568" s="404"/>
      <c r="E568" s="404"/>
      <c r="F568" s="404"/>
      <c r="G568" s="404"/>
      <c r="H568" s="404"/>
      <c r="I568" s="404"/>
      <c r="J568" s="404"/>
      <c r="K568" s="404"/>
      <c r="L568" s="404"/>
      <c r="M568" s="404"/>
      <c r="N568" s="404"/>
      <c r="O568" s="404"/>
      <c r="P568" s="404"/>
      <c r="Q568" s="404"/>
      <c r="R568" s="404"/>
      <c r="S568" s="404"/>
      <c r="T568" s="404"/>
      <c r="U568" s="404"/>
      <c r="V568" s="404"/>
      <c r="W568" s="404"/>
      <c r="X568" s="404"/>
      <c r="Y568" s="404"/>
      <c r="Z568" s="404"/>
    </row>
    <row r="569">
      <c r="A569" s="404"/>
      <c r="B569" s="404"/>
      <c r="C569" s="404"/>
      <c r="D569" s="404"/>
      <c r="E569" s="404"/>
      <c r="F569" s="404"/>
      <c r="G569" s="404"/>
      <c r="H569" s="404"/>
      <c r="I569" s="404"/>
      <c r="J569" s="404"/>
      <c r="K569" s="404"/>
      <c r="L569" s="404"/>
      <c r="M569" s="404"/>
      <c r="N569" s="404"/>
      <c r="O569" s="404"/>
      <c r="P569" s="404"/>
      <c r="Q569" s="404"/>
      <c r="R569" s="404"/>
      <c r="S569" s="404"/>
      <c r="T569" s="404"/>
      <c r="U569" s="404"/>
      <c r="V569" s="404"/>
      <c r="W569" s="404"/>
      <c r="X569" s="404"/>
      <c r="Y569" s="404"/>
      <c r="Z569" s="404"/>
    </row>
    <row r="570">
      <c r="A570" s="404"/>
      <c r="B570" s="404"/>
      <c r="C570" s="404"/>
      <c r="D570" s="404"/>
      <c r="E570" s="404"/>
      <c r="F570" s="404"/>
      <c r="G570" s="404"/>
      <c r="H570" s="404"/>
      <c r="I570" s="404"/>
      <c r="J570" s="404"/>
      <c r="K570" s="404"/>
      <c r="L570" s="404"/>
      <c r="M570" s="404"/>
      <c r="N570" s="404"/>
      <c r="O570" s="404"/>
      <c r="P570" s="404"/>
      <c r="Q570" s="404"/>
      <c r="R570" s="404"/>
      <c r="S570" s="404"/>
      <c r="T570" s="404"/>
      <c r="U570" s="404"/>
      <c r="V570" s="404"/>
      <c r="W570" s="404"/>
      <c r="X570" s="404"/>
      <c r="Y570" s="404"/>
      <c r="Z570" s="404"/>
    </row>
    <row r="571">
      <c r="A571" s="404"/>
      <c r="B571" s="404"/>
      <c r="C571" s="404"/>
      <c r="D571" s="404"/>
      <c r="E571" s="404"/>
      <c r="F571" s="404"/>
      <c r="G571" s="404"/>
      <c r="H571" s="404"/>
      <c r="I571" s="404"/>
      <c r="J571" s="404"/>
      <c r="K571" s="404"/>
      <c r="L571" s="404"/>
      <c r="M571" s="404"/>
      <c r="N571" s="404"/>
      <c r="O571" s="404"/>
      <c r="P571" s="404"/>
      <c r="Q571" s="404"/>
      <c r="R571" s="404"/>
      <c r="S571" s="404"/>
      <c r="T571" s="404"/>
      <c r="U571" s="404"/>
      <c r="V571" s="404"/>
      <c r="W571" s="404"/>
      <c r="X571" s="404"/>
      <c r="Y571" s="404"/>
      <c r="Z571" s="404"/>
    </row>
    <row r="572">
      <c r="A572" s="404"/>
      <c r="B572" s="404"/>
      <c r="C572" s="404"/>
      <c r="D572" s="404"/>
      <c r="E572" s="404"/>
      <c r="F572" s="404"/>
      <c r="G572" s="404"/>
      <c r="H572" s="404"/>
      <c r="I572" s="404"/>
      <c r="J572" s="404"/>
      <c r="K572" s="404"/>
      <c r="L572" s="404"/>
      <c r="M572" s="404"/>
      <c r="N572" s="404"/>
      <c r="O572" s="404"/>
      <c r="P572" s="404"/>
      <c r="Q572" s="404"/>
      <c r="R572" s="404"/>
      <c r="S572" s="404"/>
      <c r="T572" s="404"/>
      <c r="U572" s="404"/>
      <c r="V572" s="404"/>
      <c r="W572" s="404"/>
      <c r="X572" s="404"/>
      <c r="Y572" s="404"/>
      <c r="Z572" s="404"/>
    </row>
    <row r="573">
      <c r="A573" s="404"/>
      <c r="B573" s="404"/>
      <c r="C573" s="404"/>
      <c r="D573" s="404"/>
      <c r="E573" s="404"/>
      <c r="F573" s="404"/>
      <c r="G573" s="404"/>
      <c r="H573" s="404"/>
      <c r="I573" s="404"/>
      <c r="J573" s="404"/>
      <c r="K573" s="404"/>
      <c r="L573" s="404"/>
      <c r="M573" s="404"/>
      <c r="N573" s="404"/>
      <c r="O573" s="404"/>
      <c r="P573" s="404"/>
      <c r="Q573" s="404"/>
      <c r="R573" s="404"/>
      <c r="S573" s="404"/>
      <c r="T573" s="404"/>
      <c r="U573" s="404"/>
      <c r="V573" s="404"/>
      <c r="W573" s="404"/>
      <c r="X573" s="404"/>
      <c r="Y573" s="404"/>
      <c r="Z573" s="404"/>
    </row>
    <row r="574">
      <c r="A574" s="404"/>
      <c r="B574" s="404"/>
      <c r="C574" s="404"/>
      <c r="D574" s="404"/>
      <c r="E574" s="404"/>
      <c r="F574" s="404"/>
      <c r="G574" s="404"/>
      <c r="H574" s="404"/>
      <c r="I574" s="404"/>
      <c r="J574" s="404"/>
      <c r="K574" s="404"/>
      <c r="L574" s="404"/>
      <c r="M574" s="404"/>
      <c r="N574" s="404"/>
      <c r="O574" s="404"/>
      <c r="P574" s="404"/>
      <c r="Q574" s="404"/>
      <c r="R574" s="404"/>
      <c r="S574" s="404"/>
      <c r="T574" s="404"/>
      <c r="U574" s="404"/>
      <c r="V574" s="404"/>
      <c r="W574" s="404"/>
      <c r="X574" s="404"/>
      <c r="Y574" s="404"/>
      <c r="Z574" s="404"/>
    </row>
    <row r="575">
      <c r="A575" s="404"/>
      <c r="B575" s="404"/>
      <c r="C575" s="404"/>
      <c r="D575" s="404"/>
      <c r="E575" s="404"/>
      <c r="F575" s="404"/>
      <c r="G575" s="404"/>
      <c r="H575" s="404"/>
      <c r="I575" s="404"/>
      <c r="J575" s="404"/>
      <c r="K575" s="404"/>
      <c r="L575" s="404"/>
      <c r="M575" s="404"/>
      <c r="N575" s="404"/>
      <c r="O575" s="404"/>
      <c r="P575" s="404"/>
      <c r="Q575" s="404"/>
      <c r="R575" s="404"/>
      <c r="S575" s="404"/>
      <c r="T575" s="404"/>
      <c r="U575" s="404"/>
      <c r="V575" s="404"/>
      <c r="W575" s="404"/>
      <c r="X575" s="404"/>
      <c r="Y575" s="404"/>
      <c r="Z575" s="404"/>
    </row>
    <row r="576">
      <c r="A576" s="404"/>
      <c r="B576" s="404"/>
      <c r="C576" s="404"/>
      <c r="D576" s="404"/>
      <c r="E576" s="404"/>
      <c r="F576" s="404"/>
      <c r="G576" s="404"/>
      <c r="H576" s="404"/>
      <c r="I576" s="404"/>
      <c r="J576" s="404"/>
      <c r="K576" s="404"/>
      <c r="L576" s="404"/>
      <c r="M576" s="404"/>
      <c r="N576" s="404"/>
      <c r="O576" s="404"/>
      <c r="P576" s="404"/>
      <c r="Q576" s="404"/>
      <c r="R576" s="404"/>
      <c r="S576" s="404"/>
      <c r="T576" s="404"/>
      <c r="U576" s="404"/>
      <c r="V576" s="404"/>
      <c r="W576" s="404"/>
      <c r="X576" s="404"/>
      <c r="Y576" s="404"/>
      <c r="Z576" s="404"/>
    </row>
    <row r="577">
      <c r="A577" s="404"/>
      <c r="B577" s="404"/>
      <c r="C577" s="404"/>
      <c r="D577" s="404"/>
      <c r="E577" s="404"/>
      <c r="F577" s="404"/>
      <c r="G577" s="404"/>
      <c r="H577" s="404"/>
      <c r="I577" s="404"/>
      <c r="J577" s="404"/>
      <c r="K577" s="404"/>
      <c r="L577" s="404"/>
      <c r="M577" s="404"/>
      <c r="N577" s="404"/>
      <c r="O577" s="404"/>
      <c r="P577" s="404"/>
      <c r="Q577" s="404"/>
      <c r="R577" s="404"/>
      <c r="S577" s="404"/>
      <c r="T577" s="404"/>
      <c r="U577" s="404"/>
      <c r="V577" s="404"/>
      <c r="W577" s="404"/>
      <c r="X577" s="404"/>
      <c r="Y577" s="404"/>
      <c r="Z577" s="404"/>
    </row>
    <row r="578">
      <c r="A578" s="404"/>
      <c r="B578" s="404"/>
      <c r="C578" s="404"/>
      <c r="D578" s="404"/>
      <c r="E578" s="404"/>
      <c r="F578" s="404"/>
      <c r="G578" s="404"/>
      <c r="H578" s="404"/>
      <c r="I578" s="404"/>
      <c r="J578" s="404"/>
      <c r="K578" s="404"/>
      <c r="L578" s="404"/>
      <c r="M578" s="404"/>
      <c r="N578" s="404"/>
      <c r="O578" s="404"/>
      <c r="P578" s="404"/>
      <c r="Q578" s="404"/>
      <c r="R578" s="404"/>
      <c r="S578" s="404"/>
      <c r="T578" s="404"/>
      <c r="U578" s="404"/>
      <c r="V578" s="404"/>
      <c r="W578" s="404"/>
      <c r="X578" s="404"/>
      <c r="Y578" s="404"/>
      <c r="Z578" s="404"/>
    </row>
    <row r="579">
      <c r="A579" s="404"/>
      <c r="B579" s="404"/>
      <c r="C579" s="404"/>
      <c r="D579" s="404"/>
      <c r="E579" s="404"/>
      <c r="F579" s="404"/>
      <c r="G579" s="404"/>
      <c r="H579" s="404"/>
      <c r="I579" s="404"/>
      <c r="J579" s="404"/>
      <c r="K579" s="404"/>
      <c r="L579" s="404"/>
      <c r="M579" s="404"/>
      <c r="N579" s="404"/>
      <c r="O579" s="404"/>
      <c r="P579" s="404"/>
      <c r="Q579" s="404"/>
      <c r="R579" s="404"/>
      <c r="S579" s="404"/>
      <c r="T579" s="404"/>
      <c r="U579" s="404"/>
      <c r="V579" s="404"/>
      <c r="W579" s="404"/>
      <c r="X579" s="404"/>
      <c r="Y579" s="404"/>
      <c r="Z579" s="404"/>
    </row>
    <row r="580">
      <c r="A580" s="404"/>
      <c r="B580" s="404"/>
      <c r="C580" s="404"/>
      <c r="D580" s="404"/>
      <c r="E580" s="404"/>
      <c r="F580" s="404"/>
      <c r="G580" s="404"/>
      <c r="H580" s="404"/>
      <c r="I580" s="404"/>
      <c r="J580" s="404"/>
      <c r="K580" s="404"/>
      <c r="L580" s="404"/>
      <c r="M580" s="404"/>
      <c r="N580" s="404"/>
      <c r="O580" s="404"/>
      <c r="P580" s="404"/>
      <c r="Q580" s="404"/>
      <c r="R580" s="404"/>
      <c r="S580" s="404"/>
      <c r="T580" s="404"/>
      <c r="U580" s="404"/>
      <c r="V580" s="404"/>
      <c r="W580" s="404"/>
      <c r="X580" s="404"/>
      <c r="Y580" s="404"/>
      <c r="Z580" s="404"/>
    </row>
    <row r="581">
      <c r="A581" s="404"/>
      <c r="B581" s="404"/>
      <c r="C581" s="404"/>
      <c r="D581" s="404"/>
      <c r="E581" s="404"/>
      <c r="F581" s="404"/>
      <c r="G581" s="404"/>
      <c r="H581" s="404"/>
      <c r="I581" s="404"/>
      <c r="J581" s="404"/>
      <c r="K581" s="404"/>
      <c r="L581" s="404"/>
      <c r="M581" s="404"/>
      <c r="N581" s="404"/>
      <c r="O581" s="404"/>
      <c r="P581" s="404"/>
      <c r="Q581" s="404"/>
      <c r="R581" s="404"/>
      <c r="S581" s="404"/>
      <c r="T581" s="404"/>
      <c r="U581" s="404"/>
      <c r="V581" s="404"/>
      <c r="W581" s="404"/>
      <c r="X581" s="404"/>
      <c r="Y581" s="404"/>
      <c r="Z581" s="404"/>
    </row>
    <row r="582">
      <c r="A582" s="404"/>
      <c r="B582" s="404"/>
      <c r="C582" s="404"/>
      <c r="D582" s="404"/>
      <c r="E582" s="404"/>
      <c r="F582" s="404"/>
      <c r="G582" s="404"/>
      <c r="H582" s="404"/>
      <c r="I582" s="404"/>
      <c r="J582" s="404"/>
      <c r="K582" s="404"/>
      <c r="L582" s="404"/>
      <c r="M582" s="404"/>
      <c r="N582" s="404"/>
      <c r="O582" s="404"/>
      <c r="P582" s="404"/>
      <c r="Q582" s="404"/>
      <c r="R582" s="404"/>
      <c r="S582" s="404"/>
      <c r="T582" s="404"/>
      <c r="U582" s="404"/>
      <c r="V582" s="404"/>
      <c r="W582" s="404"/>
      <c r="X582" s="404"/>
      <c r="Y582" s="404"/>
      <c r="Z582" s="404"/>
    </row>
    <row r="583">
      <c r="A583" s="404"/>
      <c r="B583" s="404"/>
      <c r="C583" s="404"/>
      <c r="D583" s="404"/>
      <c r="E583" s="404"/>
      <c r="F583" s="404"/>
      <c r="G583" s="404"/>
      <c r="H583" s="404"/>
      <c r="I583" s="404"/>
      <c r="J583" s="404"/>
      <c r="K583" s="404"/>
      <c r="L583" s="404"/>
      <c r="M583" s="404"/>
      <c r="N583" s="404"/>
      <c r="O583" s="404"/>
      <c r="P583" s="404"/>
      <c r="Q583" s="404"/>
      <c r="R583" s="404"/>
      <c r="S583" s="404"/>
      <c r="T583" s="404"/>
      <c r="U583" s="404"/>
      <c r="V583" s="404"/>
      <c r="W583" s="404"/>
      <c r="X583" s="404"/>
      <c r="Y583" s="404"/>
      <c r="Z583" s="404"/>
    </row>
    <row r="584">
      <c r="A584" s="404"/>
      <c r="B584" s="404"/>
      <c r="C584" s="404"/>
      <c r="D584" s="404"/>
      <c r="E584" s="404"/>
      <c r="F584" s="404"/>
      <c r="G584" s="404"/>
      <c r="H584" s="404"/>
      <c r="I584" s="404"/>
      <c r="J584" s="404"/>
      <c r="K584" s="404"/>
      <c r="L584" s="404"/>
      <c r="M584" s="404"/>
      <c r="N584" s="404"/>
      <c r="O584" s="404"/>
      <c r="P584" s="404"/>
      <c r="Q584" s="404"/>
      <c r="R584" s="404"/>
      <c r="S584" s="404"/>
      <c r="T584" s="404"/>
      <c r="U584" s="404"/>
      <c r="V584" s="404"/>
      <c r="W584" s="404"/>
      <c r="X584" s="404"/>
      <c r="Y584" s="404"/>
      <c r="Z584" s="404"/>
    </row>
    <row r="585">
      <c r="A585" s="404"/>
      <c r="B585" s="404"/>
      <c r="C585" s="404"/>
      <c r="D585" s="404"/>
      <c r="E585" s="404"/>
      <c r="F585" s="404"/>
      <c r="G585" s="404"/>
      <c r="H585" s="404"/>
      <c r="I585" s="404"/>
      <c r="J585" s="404"/>
      <c r="K585" s="404"/>
      <c r="L585" s="404"/>
      <c r="M585" s="404"/>
      <c r="N585" s="404"/>
      <c r="O585" s="404"/>
      <c r="P585" s="404"/>
      <c r="Q585" s="404"/>
      <c r="R585" s="404"/>
      <c r="S585" s="404"/>
      <c r="T585" s="404"/>
      <c r="U585" s="404"/>
      <c r="V585" s="404"/>
      <c r="W585" s="404"/>
      <c r="X585" s="404"/>
      <c r="Y585" s="404"/>
      <c r="Z585" s="404"/>
    </row>
    <row r="586">
      <c r="A586" s="404"/>
      <c r="B586" s="404"/>
      <c r="C586" s="404"/>
      <c r="D586" s="404"/>
      <c r="E586" s="404"/>
      <c r="F586" s="404"/>
      <c r="G586" s="404"/>
      <c r="H586" s="404"/>
      <c r="I586" s="404"/>
      <c r="J586" s="404"/>
      <c r="K586" s="404"/>
      <c r="L586" s="404"/>
      <c r="M586" s="404"/>
      <c r="N586" s="404"/>
      <c r="O586" s="404"/>
      <c r="P586" s="404"/>
      <c r="Q586" s="404"/>
      <c r="R586" s="404"/>
      <c r="S586" s="404"/>
      <c r="T586" s="404"/>
      <c r="U586" s="404"/>
      <c r="V586" s="404"/>
      <c r="W586" s="404"/>
      <c r="X586" s="404"/>
      <c r="Y586" s="404"/>
      <c r="Z586" s="404"/>
    </row>
    <row r="587">
      <c r="A587" s="404"/>
      <c r="B587" s="404"/>
      <c r="C587" s="404"/>
      <c r="D587" s="404"/>
      <c r="E587" s="404"/>
      <c r="F587" s="404"/>
      <c r="G587" s="404"/>
      <c r="H587" s="404"/>
      <c r="I587" s="404"/>
      <c r="J587" s="404"/>
      <c r="K587" s="404"/>
      <c r="L587" s="404"/>
      <c r="M587" s="404"/>
      <c r="N587" s="404"/>
      <c r="O587" s="404"/>
      <c r="P587" s="404"/>
      <c r="Q587" s="404"/>
      <c r="R587" s="404"/>
      <c r="S587" s="404"/>
      <c r="T587" s="404"/>
      <c r="U587" s="404"/>
      <c r="V587" s="404"/>
      <c r="W587" s="404"/>
      <c r="X587" s="404"/>
      <c r="Y587" s="404"/>
      <c r="Z587" s="404"/>
    </row>
    <row r="588">
      <c r="A588" s="404"/>
      <c r="B588" s="404"/>
      <c r="C588" s="404"/>
      <c r="D588" s="404"/>
      <c r="E588" s="404"/>
      <c r="F588" s="404"/>
      <c r="G588" s="404"/>
      <c r="H588" s="404"/>
      <c r="I588" s="404"/>
      <c r="J588" s="404"/>
      <c r="K588" s="404"/>
      <c r="L588" s="404"/>
      <c r="M588" s="404"/>
      <c r="N588" s="404"/>
      <c r="O588" s="404"/>
      <c r="P588" s="404"/>
      <c r="Q588" s="404"/>
      <c r="R588" s="404"/>
      <c r="S588" s="404"/>
      <c r="T588" s="404"/>
      <c r="U588" s="404"/>
      <c r="V588" s="404"/>
      <c r="W588" s="404"/>
      <c r="X588" s="404"/>
      <c r="Y588" s="404"/>
      <c r="Z588" s="404"/>
    </row>
    <row r="589">
      <c r="A589" s="404"/>
      <c r="B589" s="404"/>
      <c r="C589" s="404"/>
      <c r="D589" s="404"/>
      <c r="E589" s="404"/>
      <c r="F589" s="404"/>
      <c r="G589" s="404"/>
      <c r="H589" s="404"/>
      <c r="I589" s="404"/>
      <c r="J589" s="404"/>
      <c r="K589" s="404"/>
      <c r="L589" s="404"/>
      <c r="M589" s="404"/>
      <c r="N589" s="404"/>
      <c r="O589" s="404"/>
      <c r="P589" s="404"/>
      <c r="Q589" s="404"/>
      <c r="R589" s="404"/>
      <c r="S589" s="404"/>
      <c r="T589" s="404"/>
      <c r="U589" s="404"/>
      <c r="V589" s="404"/>
      <c r="W589" s="404"/>
      <c r="X589" s="404"/>
      <c r="Y589" s="404"/>
      <c r="Z589" s="404"/>
    </row>
    <row r="590">
      <c r="A590" s="404"/>
      <c r="B590" s="404"/>
      <c r="C590" s="404"/>
      <c r="D590" s="404"/>
      <c r="E590" s="404"/>
      <c r="F590" s="404"/>
      <c r="G590" s="404"/>
      <c r="H590" s="404"/>
      <c r="I590" s="404"/>
      <c r="J590" s="404"/>
      <c r="K590" s="404"/>
      <c r="L590" s="404"/>
      <c r="M590" s="404"/>
      <c r="N590" s="404"/>
      <c r="O590" s="404"/>
      <c r="P590" s="404"/>
      <c r="Q590" s="404"/>
      <c r="R590" s="404"/>
      <c r="S590" s="404"/>
      <c r="T590" s="404"/>
      <c r="U590" s="404"/>
      <c r="V590" s="404"/>
      <c r="W590" s="404"/>
      <c r="X590" s="404"/>
      <c r="Y590" s="404"/>
      <c r="Z590" s="404"/>
    </row>
    <row r="591">
      <c r="A591" s="404"/>
      <c r="B591" s="404"/>
      <c r="C591" s="404"/>
      <c r="D591" s="404"/>
      <c r="E591" s="404"/>
      <c r="F591" s="404"/>
      <c r="G591" s="404"/>
      <c r="H591" s="404"/>
      <c r="I591" s="404"/>
      <c r="J591" s="404"/>
      <c r="K591" s="404"/>
      <c r="L591" s="404"/>
      <c r="M591" s="404"/>
      <c r="N591" s="404"/>
      <c r="O591" s="404"/>
      <c r="P591" s="404"/>
      <c r="Q591" s="404"/>
      <c r="R591" s="404"/>
      <c r="S591" s="404"/>
      <c r="T591" s="404"/>
      <c r="U591" s="404"/>
      <c r="V591" s="404"/>
      <c r="W591" s="404"/>
      <c r="X591" s="404"/>
      <c r="Y591" s="404"/>
      <c r="Z591" s="404"/>
    </row>
    <row r="592">
      <c r="A592" s="404"/>
      <c r="B592" s="404"/>
      <c r="C592" s="404"/>
      <c r="D592" s="404"/>
      <c r="E592" s="404"/>
      <c r="F592" s="404"/>
      <c r="G592" s="404"/>
      <c r="H592" s="404"/>
      <c r="I592" s="404"/>
      <c r="J592" s="404"/>
      <c r="K592" s="404"/>
      <c r="L592" s="404"/>
      <c r="M592" s="404"/>
      <c r="N592" s="404"/>
      <c r="O592" s="404"/>
      <c r="P592" s="404"/>
      <c r="Q592" s="404"/>
      <c r="R592" s="404"/>
      <c r="S592" s="404"/>
      <c r="T592" s="404"/>
      <c r="U592" s="404"/>
      <c r="V592" s="404"/>
      <c r="W592" s="404"/>
      <c r="X592" s="404"/>
      <c r="Y592" s="404"/>
      <c r="Z592" s="404"/>
    </row>
    <row r="593">
      <c r="A593" s="404"/>
      <c r="B593" s="404"/>
      <c r="C593" s="404"/>
      <c r="D593" s="404"/>
      <c r="E593" s="404"/>
      <c r="F593" s="404"/>
      <c r="G593" s="404"/>
      <c r="H593" s="404"/>
      <c r="I593" s="404"/>
      <c r="J593" s="404"/>
      <c r="K593" s="404"/>
      <c r="L593" s="404"/>
      <c r="M593" s="404"/>
      <c r="N593" s="404"/>
      <c r="O593" s="404"/>
      <c r="P593" s="404"/>
      <c r="Q593" s="404"/>
      <c r="R593" s="404"/>
      <c r="S593" s="404"/>
      <c r="T593" s="404"/>
      <c r="U593" s="404"/>
      <c r="V593" s="404"/>
      <c r="W593" s="404"/>
      <c r="X593" s="404"/>
      <c r="Y593" s="404"/>
      <c r="Z593" s="404"/>
    </row>
    <row r="594">
      <c r="A594" s="404"/>
      <c r="B594" s="404"/>
      <c r="C594" s="404"/>
      <c r="D594" s="404"/>
      <c r="E594" s="404"/>
      <c r="F594" s="404"/>
      <c r="G594" s="404"/>
      <c r="H594" s="404"/>
      <c r="I594" s="404"/>
      <c r="J594" s="404"/>
      <c r="K594" s="404"/>
      <c r="L594" s="404"/>
      <c r="M594" s="404"/>
      <c r="N594" s="404"/>
      <c r="O594" s="404"/>
      <c r="P594" s="404"/>
      <c r="Q594" s="404"/>
      <c r="R594" s="404"/>
      <c r="S594" s="404"/>
      <c r="T594" s="404"/>
      <c r="U594" s="404"/>
      <c r="V594" s="404"/>
      <c r="W594" s="404"/>
      <c r="X594" s="404"/>
      <c r="Y594" s="404"/>
      <c r="Z594" s="404"/>
    </row>
    <row r="595">
      <c r="A595" s="404"/>
      <c r="B595" s="404"/>
      <c r="C595" s="404"/>
      <c r="D595" s="404"/>
      <c r="E595" s="404"/>
      <c r="F595" s="404"/>
      <c r="G595" s="404"/>
      <c r="H595" s="404"/>
      <c r="I595" s="404"/>
      <c r="J595" s="404"/>
      <c r="K595" s="404"/>
      <c r="L595" s="404"/>
      <c r="M595" s="404"/>
      <c r="N595" s="404"/>
      <c r="O595" s="404"/>
      <c r="P595" s="404"/>
      <c r="Q595" s="404"/>
      <c r="R595" s="404"/>
      <c r="S595" s="404"/>
      <c r="T595" s="404"/>
      <c r="U595" s="404"/>
      <c r="V595" s="404"/>
      <c r="W595" s="404"/>
      <c r="X595" s="404"/>
      <c r="Y595" s="404"/>
      <c r="Z595" s="404"/>
    </row>
    <row r="596">
      <c r="A596" s="404"/>
      <c r="B596" s="404"/>
      <c r="C596" s="404"/>
      <c r="D596" s="404"/>
      <c r="E596" s="404"/>
      <c r="F596" s="404"/>
      <c r="G596" s="404"/>
      <c r="H596" s="404"/>
      <c r="I596" s="404"/>
      <c r="J596" s="404"/>
      <c r="K596" s="404"/>
      <c r="L596" s="404"/>
      <c r="M596" s="404"/>
      <c r="N596" s="404"/>
      <c r="O596" s="404"/>
      <c r="P596" s="404"/>
      <c r="Q596" s="404"/>
      <c r="R596" s="404"/>
      <c r="S596" s="404"/>
      <c r="T596" s="404"/>
      <c r="U596" s="404"/>
      <c r="V596" s="404"/>
      <c r="W596" s="404"/>
      <c r="X596" s="404"/>
      <c r="Y596" s="404"/>
      <c r="Z596" s="404"/>
    </row>
    <row r="597">
      <c r="A597" s="404"/>
      <c r="B597" s="404"/>
      <c r="C597" s="404"/>
      <c r="D597" s="404"/>
      <c r="E597" s="404"/>
      <c r="F597" s="404"/>
      <c r="G597" s="404"/>
      <c r="H597" s="404"/>
      <c r="I597" s="404"/>
      <c r="J597" s="404"/>
      <c r="K597" s="404"/>
      <c r="L597" s="404"/>
      <c r="M597" s="404"/>
      <c r="N597" s="404"/>
      <c r="O597" s="404"/>
      <c r="P597" s="404"/>
      <c r="Q597" s="404"/>
      <c r="R597" s="404"/>
      <c r="S597" s="404"/>
      <c r="T597" s="404"/>
      <c r="U597" s="404"/>
      <c r="V597" s="404"/>
      <c r="W597" s="404"/>
      <c r="X597" s="404"/>
      <c r="Y597" s="404"/>
      <c r="Z597" s="404"/>
    </row>
    <row r="598">
      <c r="A598" s="404"/>
      <c r="B598" s="404"/>
      <c r="C598" s="404"/>
      <c r="D598" s="404"/>
      <c r="E598" s="404"/>
      <c r="F598" s="404"/>
      <c r="G598" s="404"/>
      <c r="H598" s="404"/>
      <c r="I598" s="404"/>
      <c r="J598" s="404"/>
      <c r="K598" s="404"/>
      <c r="L598" s="404"/>
      <c r="M598" s="404"/>
      <c r="N598" s="404"/>
      <c r="O598" s="404"/>
      <c r="P598" s="404"/>
      <c r="Q598" s="404"/>
      <c r="R598" s="404"/>
      <c r="S598" s="404"/>
      <c r="T598" s="404"/>
      <c r="U598" s="404"/>
      <c r="V598" s="404"/>
      <c r="W598" s="404"/>
      <c r="X598" s="404"/>
      <c r="Y598" s="404"/>
      <c r="Z598" s="404"/>
    </row>
    <row r="599">
      <c r="A599" s="404"/>
      <c r="B599" s="404"/>
      <c r="C599" s="404"/>
      <c r="D599" s="404"/>
      <c r="E599" s="404"/>
      <c r="F599" s="404"/>
      <c r="G599" s="404"/>
      <c r="H599" s="404"/>
      <c r="I599" s="404"/>
      <c r="J599" s="404"/>
      <c r="K599" s="404"/>
      <c r="L599" s="404"/>
      <c r="M599" s="404"/>
      <c r="N599" s="404"/>
      <c r="O599" s="404"/>
      <c r="P599" s="404"/>
      <c r="Q599" s="404"/>
      <c r="R599" s="404"/>
      <c r="S599" s="404"/>
      <c r="T599" s="404"/>
      <c r="U599" s="404"/>
      <c r="V599" s="404"/>
      <c r="W599" s="404"/>
      <c r="X599" s="404"/>
      <c r="Y599" s="404"/>
      <c r="Z599" s="404"/>
    </row>
    <row r="600">
      <c r="A600" s="404"/>
      <c r="B600" s="404"/>
      <c r="C600" s="404"/>
      <c r="D600" s="404"/>
      <c r="E600" s="404"/>
      <c r="F600" s="404"/>
      <c r="G600" s="404"/>
      <c r="H600" s="404"/>
      <c r="I600" s="404"/>
      <c r="J600" s="404"/>
      <c r="K600" s="404"/>
      <c r="L600" s="404"/>
      <c r="M600" s="404"/>
      <c r="N600" s="404"/>
      <c r="O600" s="404"/>
      <c r="P600" s="404"/>
      <c r="Q600" s="404"/>
      <c r="R600" s="404"/>
      <c r="S600" s="404"/>
      <c r="T600" s="404"/>
      <c r="U600" s="404"/>
      <c r="V600" s="404"/>
      <c r="W600" s="404"/>
      <c r="X600" s="404"/>
      <c r="Y600" s="404"/>
      <c r="Z600" s="404"/>
    </row>
    <row r="601">
      <c r="A601" s="404"/>
      <c r="B601" s="404"/>
      <c r="C601" s="404"/>
      <c r="D601" s="404"/>
      <c r="E601" s="404"/>
      <c r="F601" s="404"/>
      <c r="G601" s="404"/>
      <c r="H601" s="404"/>
      <c r="I601" s="404"/>
      <c r="J601" s="404"/>
      <c r="K601" s="404"/>
      <c r="L601" s="404"/>
      <c r="M601" s="404"/>
      <c r="N601" s="404"/>
      <c r="O601" s="404"/>
      <c r="P601" s="404"/>
      <c r="Q601" s="404"/>
      <c r="R601" s="404"/>
      <c r="S601" s="404"/>
      <c r="T601" s="404"/>
      <c r="U601" s="404"/>
      <c r="V601" s="404"/>
      <c r="W601" s="404"/>
      <c r="X601" s="404"/>
      <c r="Y601" s="404"/>
      <c r="Z601" s="404"/>
    </row>
    <row r="602">
      <c r="A602" s="404"/>
      <c r="B602" s="404"/>
      <c r="C602" s="404"/>
      <c r="D602" s="404"/>
      <c r="E602" s="404"/>
      <c r="F602" s="404"/>
      <c r="G602" s="404"/>
      <c r="H602" s="404"/>
      <c r="I602" s="404"/>
      <c r="J602" s="404"/>
      <c r="K602" s="404"/>
      <c r="L602" s="404"/>
      <c r="M602" s="404"/>
      <c r="N602" s="404"/>
      <c r="O602" s="404"/>
      <c r="P602" s="404"/>
      <c r="Q602" s="404"/>
      <c r="R602" s="404"/>
      <c r="S602" s="404"/>
      <c r="T602" s="404"/>
      <c r="U602" s="404"/>
      <c r="V602" s="404"/>
      <c r="W602" s="404"/>
      <c r="X602" s="404"/>
      <c r="Y602" s="404"/>
      <c r="Z602" s="404"/>
    </row>
    <row r="603">
      <c r="A603" s="404"/>
      <c r="B603" s="404"/>
      <c r="C603" s="404"/>
      <c r="D603" s="404"/>
      <c r="E603" s="404"/>
      <c r="F603" s="404"/>
      <c r="G603" s="404"/>
      <c r="H603" s="404"/>
      <c r="I603" s="404"/>
      <c r="J603" s="404"/>
      <c r="K603" s="404"/>
      <c r="L603" s="404"/>
      <c r="M603" s="404"/>
      <c r="N603" s="404"/>
      <c r="O603" s="404"/>
      <c r="P603" s="404"/>
      <c r="Q603" s="404"/>
      <c r="R603" s="404"/>
      <c r="S603" s="404"/>
      <c r="T603" s="404"/>
      <c r="U603" s="404"/>
      <c r="V603" s="404"/>
      <c r="W603" s="404"/>
      <c r="X603" s="404"/>
      <c r="Y603" s="404"/>
      <c r="Z603" s="404"/>
    </row>
    <row r="604">
      <c r="A604" s="404"/>
      <c r="B604" s="404"/>
      <c r="C604" s="404"/>
      <c r="D604" s="404"/>
      <c r="E604" s="404"/>
      <c r="F604" s="404"/>
      <c r="G604" s="404"/>
      <c r="H604" s="404"/>
      <c r="I604" s="404"/>
      <c r="J604" s="404"/>
      <c r="K604" s="404"/>
      <c r="L604" s="404"/>
      <c r="M604" s="404"/>
      <c r="N604" s="404"/>
      <c r="O604" s="404"/>
      <c r="P604" s="404"/>
      <c r="Q604" s="404"/>
      <c r="R604" s="404"/>
      <c r="S604" s="404"/>
      <c r="T604" s="404"/>
      <c r="U604" s="404"/>
      <c r="V604" s="404"/>
      <c r="W604" s="404"/>
      <c r="X604" s="404"/>
      <c r="Y604" s="404"/>
      <c r="Z604" s="404"/>
    </row>
    <row r="605">
      <c r="A605" s="404"/>
      <c r="B605" s="404"/>
      <c r="C605" s="404"/>
      <c r="D605" s="404"/>
      <c r="E605" s="404"/>
      <c r="F605" s="404"/>
      <c r="G605" s="404"/>
      <c r="H605" s="404"/>
      <c r="I605" s="404"/>
      <c r="J605" s="404"/>
      <c r="K605" s="404"/>
      <c r="L605" s="404"/>
      <c r="M605" s="404"/>
      <c r="N605" s="404"/>
      <c r="O605" s="404"/>
      <c r="P605" s="404"/>
      <c r="Q605" s="404"/>
      <c r="R605" s="404"/>
      <c r="S605" s="404"/>
      <c r="T605" s="404"/>
      <c r="U605" s="404"/>
      <c r="V605" s="404"/>
      <c r="W605" s="404"/>
      <c r="X605" s="404"/>
      <c r="Y605" s="404"/>
      <c r="Z605" s="404"/>
    </row>
    <row r="606">
      <c r="A606" s="404"/>
      <c r="B606" s="404"/>
      <c r="C606" s="404"/>
      <c r="D606" s="404"/>
      <c r="E606" s="404"/>
      <c r="F606" s="404"/>
      <c r="G606" s="404"/>
      <c r="H606" s="404"/>
      <c r="I606" s="404"/>
      <c r="J606" s="404"/>
      <c r="K606" s="404"/>
      <c r="L606" s="404"/>
      <c r="M606" s="404"/>
      <c r="N606" s="404"/>
      <c r="O606" s="404"/>
      <c r="P606" s="404"/>
      <c r="Q606" s="404"/>
      <c r="R606" s="404"/>
      <c r="S606" s="404"/>
      <c r="T606" s="404"/>
      <c r="U606" s="404"/>
      <c r="V606" s="404"/>
      <c r="W606" s="404"/>
      <c r="X606" s="404"/>
      <c r="Y606" s="404"/>
      <c r="Z606" s="404"/>
    </row>
    <row r="607">
      <c r="A607" s="404"/>
      <c r="B607" s="404"/>
      <c r="C607" s="404"/>
      <c r="D607" s="404"/>
      <c r="E607" s="404"/>
      <c r="F607" s="404"/>
      <c r="G607" s="404"/>
      <c r="H607" s="404"/>
      <c r="I607" s="404"/>
      <c r="J607" s="404"/>
      <c r="K607" s="404"/>
      <c r="L607" s="404"/>
      <c r="M607" s="404"/>
      <c r="N607" s="404"/>
      <c r="O607" s="404"/>
      <c r="P607" s="404"/>
      <c r="Q607" s="404"/>
      <c r="R607" s="404"/>
      <c r="S607" s="404"/>
      <c r="T607" s="404"/>
      <c r="U607" s="404"/>
      <c r="V607" s="404"/>
      <c r="W607" s="404"/>
      <c r="X607" s="404"/>
      <c r="Y607" s="404"/>
      <c r="Z607" s="404"/>
    </row>
    <row r="608">
      <c r="A608" s="404"/>
      <c r="B608" s="404"/>
      <c r="C608" s="404"/>
      <c r="D608" s="404"/>
      <c r="E608" s="404"/>
      <c r="F608" s="404"/>
      <c r="G608" s="404"/>
      <c r="H608" s="404"/>
      <c r="I608" s="404"/>
      <c r="J608" s="404"/>
      <c r="K608" s="404"/>
      <c r="L608" s="404"/>
      <c r="M608" s="404"/>
      <c r="N608" s="404"/>
      <c r="O608" s="404"/>
      <c r="P608" s="404"/>
      <c r="Q608" s="404"/>
      <c r="R608" s="404"/>
      <c r="S608" s="404"/>
      <c r="T608" s="404"/>
      <c r="U608" s="404"/>
      <c r="V608" s="404"/>
      <c r="W608" s="404"/>
      <c r="X608" s="404"/>
      <c r="Y608" s="404"/>
      <c r="Z608" s="404"/>
    </row>
    <row r="609">
      <c r="A609" s="404"/>
      <c r="B609" s="404"/>
      <c r="C609" s="404"/>
      <c r="D609" s="404"/>
      <c r="E609" s="404"/>
      <c r="F609" s="404"/>
      <c r="G609" s="404"/>
      <c r="H609" s="404"/>
      <c r="I609" s="404"/>
      <c r="J609" s="404"/>
      <c r="K609" s="404"/>
      <c r="L609" s="404"/>
      <c r="M609" s="404"/>
      <c r="N609" s="404"/>
      <c r="O609" s="404"/>
      <c r="P609" s="404"/>
      <c r="Q609" s="404"/>
      <c r="R609" s="404"/>
      <c r="S609" s="404"/>
      <c r="T609" s="404"/>
      <c r="U609" s="404"/>
      <c r="V609" s="404"/>
      <c r="W609" s="404"/>
      <c r="X609" s="404"/>
      <c r="Y609" s="404"/>
      <c r="Z609" s="404"/>
    </row>
    <row r="610">
      <c r="A610" s="404"/>
      <c r="B610" s="404"/>
      <c r="C610" s="404"/>
      <c r="D610" s="404"/>
      <c r="E610" s="404"/>
      <c r="F610" s="404"/>
      <c r="G610" s="404"/>
      <c r="H610" s="404"/>
      <c r="I610" s="404"/>
      <c r="J610" s="404"/>
      <c r="K610" s="404"/>
      <c r="L610" s="404"/>
      <c r="M610" s="404"/>
      <c r="N610" s="404"/>
      <c r="O610" s="404"/>
      <c r="P610" s="404"/>
      <c r="Q610" s="404"/>
      <c r="R610" s="404"/>
      <c r="S610" s="404"/>
      <c r="T610" s="404"/>
      <c r="U610" s="404"/>
      <c r="V610" s="404"/>
      <c r="W610" s="404"/>
      <c r="X610" s="404"/>
      <c r="Y610" s="404"/>
      <c r="Z610" s="404"/>
    </row>
    <row r="611">
      <c r="A611" s="404"/>
      <c r="B611" s="404"/>
      <c r="C611" s="404"/>
      <c r="D611" s="404"/>
      <c r="E611" s="404"/>
      <c r="F611" s="404"/>
      <c r="G611" s="404"/>
      <c r="H611" s="404"/>
      <c r="I611" s="404"/>
      <c r="J611" s="404"/>
      <c r="K611" s="404"/>
      <c r="L611" s="404"/>
      <c r="M611" s="404"/>
      <c r="N611" s="404"/>
      <c r="O611" s="404"/>
      <c r="P611" s="404"/>
      <c r="Q611" s="404"/>
      <c r="R611" s="404"/>
      <c r="S611" s="404"/>
      <c r="T611" s="404"/>
      <c r="U611" s="404"/>
      <c r="V611" s="404"/>
      <c r="W611" s="404"/>
      <c r="X611" s="404"/>
      <c r="Y611" s="404"/>
      <c r="Z611" s="404"/>
    </row>
    <row r="612">
      <c r="A612" s="404"/>
      <c r="B612" s="404"/>
      <c r="C612" s="404"/>
      <c r="D612" s="404"/>
      <c r="E612" s="404"/>
      <c r="F612" s="404"/>
      <c r="G612" s="404"/>
      <c r="H612" s="404"/>
      <c r="I612" s="404"/>
      <c r="J612" s="404"/>
      <c r="K612" s="404"/>
      <c r="L612" s="404"/>
      <c r="M612" s="404"/>
      <c r="N612" s="404"/>
      <c r="O612" s="404"/>
      <c r="P612" s="404"/>
      <c r="Q612" s="404"/>
      <c r="R612" s="404"/>
      <c r="S612" s="404"/>
      <c r="T612" s="404"/>
      <c r="U612" s="404"/>
      <c r="V612" s="404"/>
      <c r="W612" s="404"/>
      <c r="X612" s="404"/>
      <c r="Y612" s="404"/>
      <c r="Z612" s="404"/>
    </row>
    <row r="613">
      <c r="A613" s="404"/>
      <c r="B613" s="404"/>
      <c r="C613" s="404"/>
      <c r="D613" s="404"/>
      <c r="E613" s="404"/>
      <c r="F613" s="404"/>
      <c r="G613" s="404"/>
      <c r="H613" s="404"/>
      <c r="I613" s="404"/>
      <c r="J613" s="404"/>
      <c r="K613" s="404"/>
      <c r="L613" s="404"/>
      <c r="M613" s="404"/>
      <c r="N613" s="404"/>
      <c r="O613" s="404"/>
      <c r="P613" s="404"/>
      <c r="Q613" s="404"/>
      <c r="R613" s="404"/>
      <c r="S613" s="404"/>
      <c r="T613" s="404"/>
      <c r="U613" s="404"/>
      <c r="V613" s="404"/>
      <c r="W613" s="404"/>
      <c r="X613" s="404"/>
      <c r="Y613" s="404"/>
      <c r="Z613" s="404"/>
    </row>
    <row r="614">
      <c r="A614" s="404"/>
      <c r="B614" s="404"/>
      <c r="C614" s="404"/>
      <c r="D614" s="404"/>
      <c r="E614" s="404"/>
      <c r="F614" s="404"/>
      <c r="G614" s="404"/>
      <c r="H614" s="404"/>
      <c r="I614" s="404"/>
      <c r="J614" s="404"/>
      <c r="K614" s="404"/>
      <c r="L614" s="404"/>
      <c r="M614" s="404"/>
      <c r="N614" s="404"/>
      <c r="O614" s="404"/>
      <c r="P614" s="404"/>
      <c r="Q614" s="404"/>
      <c r="R614" s="404"/>
      <c r="S614" s="404"/>
      <c r="T614" s="404"/>
      <c r="U614" s="404"/>
      <c r="V614" s="404"/>
      <c r="W614" s="404"/>
      <c r="X614" s="404"/>
      <c r="Y614" s="404"/>
      <c r="Z614" s="404"/>
    </row>
    <row r="615">
      <c r="A615" s="404"/>
      <c r="B615" s="404"/>
      <c r="C615" s="404"/>
      <c r="D615" s="404"/>
      <c r="E615" s="404"/>
      <c r="F615" s="404"/>
      <c r="G615" s="404"/>
      <c r="H615" s="404"/>
      <c r="I615" s="404"/>
      <c r="J615" s="404"/>
      <c r="K615" s="404"/>
      <c r="L615" s="404"/>
      <c r="M615" s="404"/>
      <c r="N615" s="404"/>
      <c r="O615" s="404"/>
      <c r="P615" s="404"/>
      <c r="Q615" s="404"/>
      <c r="R615" s="404"/>
      <c r="S615" s="404"/>
      <c r="T615" s="404"/>
      <c r="U615" s="404"/>
      <c r="V615" s="404"/>
      <c r="W615" s="404"/>
      <c r="X615" s="404"/>
      <c r="Y615" s="404"/>
      <c r="Z615" s="404"/>
    </row>
    <row r="616">
      <c r="A616" s="404"/>
      <c r="B616" s="404"/>
      <c r="C616" s="404"/>
      <c r="D616" s="404"/>
      <c r="E616" s="404"/>
      <c r="F616" s="404"/>
      <c r="G616" s="404"/>
      <c r="H616" s="404"/>
      <c r="I616" s="404"/>
      <c r="J616" s="404"/>
      <c r="K616" s="404"/>
      <c r="L616" s="404"/>
      <c r="M616" s="404"/>
      <c r="N616" s="404"/>
      <c r="O616" s="404"/>
      <c r="P616" s="404"/>
      <c r="Q616" s="404"/>
      <c r="R616" s="404"/>
      <c r="S616" s="404"/>
      <c r="T616" s="404"/>
      <c r="U616" s="404"/>
      <c r="V616" s="404"/>
      <c r="W616" s="404"/>
      <c r="X616" s="404"/>
      <c r="Y616" s="404"/>
      <c r="Z616" s="404"/>
    </row>
    <row r="617">
      <c r="A617" s="404"/>
      <c r="B617" s="404"/>
      <c r="C617" s="404"/>
      <c r="D617" s="404"/>
      <c r="E617" s="404"/>
      <c r="F617" s="404"/>
      <c r="G617" s="404"/>
      <c r="H617" s="404"/>
      <c r="I617" s="404"/>
      <c r="J617" s="404"/>
      <c r="K617" s="404"/>
      <c r="L617" s="404"/>
      <c r="M617" s="404"/>
      <c r="N617" s="404"/>
      <c r="O617" s="404"/>
      <c r="P617" s="404"/>
      <c r="Q617" s="404"/>
      <c r="R617" s="404"/>
      <c r="S617" s="404"/>
      <c r="T617" s="404"/>
      <c r="U617" s="404"/>
      <c r="V617" s="404"/>
      <c r="W617" s="404"/>
      <c r="X617" s="404"/>
      <c r="Y617" s="404"/>
      <c r="Z617" s="404"/>
    </row>
    <row r="618">
      <c r="A618" s="404"/>
      <c r="B618" s="404"/>
      <c r="C618" s="404"/>
      <c r="D618" s="404"/>
      <c r="E618" s="404"/>
      <c r="F618" s="404"/>
      <c r="G618" s="404"/>
      <c r="H618" s="404"/>
      <c r="I618" s="404"/>
      <c r="J618" s="404"/>
      <c r="K618" s="404"/>
      <c r="L618" s="404"/>
      <c r="M618" s="404"/>
      <c r="N618" s="404"/>
      <c r="O618" s="404"/>
      <c r="P618" s="404"/>
      <c r="Q618" s="404"/>
      <c r="R618" s="404"/>
      <c r="S618" s="404"/>
      <c r="T618" s="404"/>
      <c r="U618" s="404"/>
      <c r="V618" s="404"/>
      <c r="W618" s="404"/>
      <c r="X618" s="404"/>
      <c r="Y618" s="404"/>
      <c r="Z618" s="404"/>
    </row>
    <row r="619">
      <c r="A619" s="404"/>
      <c r="B619" s="404"/>
      <c r="C619" s="404"/>
      <c r="D619" s="404"/>
      <c r="E619" s="404"/>
      <c r="F619" s="404"/>
      <c r="G619" s="404"/>
      <c r="H619" s="404"/>
      <c r="I619" s="404"/>
      <c r="J619" s="404"/>
      <c r="K619" s="404"/>
      <c r="L619" s="404"/>
      <c r="M619" s="404"/>
      <c r="N619" s="404"/>
      <c r="O619" s="404"/>
      <c r="P619" s="404"/>
      <c r="Q619" s="404"/>
      <c r="R619" s="404"/>
      <c r="S619" s="404"/>
      <c r="T619" s="404"/>
      <c r="U619" s="404"/>
      <c r="V619" s="404"/>
      <c r="W619" s="404"/>
      <c r="X619" s="404"/>
      <c r="Y619" s="404"/>
      <c r="Z619" s="404"/>
    </row>
    <row r="620">
      <c r="A620" s="404"/>
      <c r="B620" s="404"/>
      <c r="C620" s="404"/>
      <c r="D620" s="404"/>
      <c r="E620" s="404"/>
      <c r="F620" s="404"/>
      <c r="G620" s="404"/>
      <c r="H620" s="404"/>
      <c r="I620" s="404"/>
      <c r="J620" s="404"/>
      <c r="K620" s="404"/>
      <c r="L620" s="404"/>
      <c r="M620" s="404"/>
      <c r="N620" s="404"/>
      <c r="O620" s="404"/>
      <c r="P620" s="404"/>
      <c r="Q620" s="404"/>
      <c r="R620" s="404"/>
      <c r="S620" s="404"/>
      <c r="T620" s="404"/>
      <c r="U620" s="404"/>
      <c r="V620" s="404"/>
      <c r="W620" s="404"/>
      <c r="X620" s="404"/>
      <c r="Y620" s="404"/>
      <c r="Z620" s="404"/>
    </row>
    <row r="621">
      <c r="A621" s="404"/>
      <c r="B621" s="404"/>
      <c r="C621" s="404"/>
      <c r="D621" s="404"/>
      <c r="E621" s="404"/>
      <c r="F621" s="404"/>
      <c r="G621" s="404"/>
      <c r="H621" s="404"/>
      <c r="I621" s="404"/>
      <c r="J621" s="404"/>
      <c r="K621" s="404"/>
      <c r="L621" s="404"/>
      <c r="M621" s="404"/>
      <c r="N621" s="404"/>
      <c r="O621" s="404"/>
      <c r="P621" s="404"/>
      <c r="Q621" s="404"/>
      <c r="R621" s="404"/>
      <c r="S621" s="404"/>
      <c r="T621" s="404"/>
      <c r="U621" s="404"/>
      <c r="V621" s="404"/>
      <c r="W621" s="404"/>
      <c r="X621" s="404"/>
      <c r="Y621" s="404"/>
      <c r="Z621" s="404"/>
    </row>
    <row r="622">
      <c r="A622" s="404"/>
      <c r="B622" s="404"/>
      <c r="C622" s="404"/>
      <c r="D622" s="404"/>
      <c r="E622" s="404"/>
      <c r="F622" s="404"/>
      <c r="G622" s="404"/>
      <c r="H622" s="404"/>
      <c r="I622" s="404"/>
      <c r="J622" s="404"/>
      <c r="K622" s="404"/>
      <c r="L622" s="404"/>
      <c r="M622" s="404"/>
      <c r="N622" s="404"/>
      <c r="O622" s="404"/>
      <c r="P622" s="404"/>
      <c r="Q622" s="404"/>
      <c r="R622" s="404"/>
      <c r="S622" s="404"/>
      <c r="T622" s="404"/>
      <c r="U622" s="404"/>
      <c r="V622" s="404"/>
      <c r="W622" s="404"/>
      <c r="X622" s="404"/>
      <c r="Y622" s="404"/>
      <c r="Z622" s="404"/>
    </row>
    <row r="623">
      <c r="A623" s="404"/>
      <c r="B623" s="404"/>
      <c r="C623" s="404"/>
      <c r="D623" s="404"/>
      <c r="E623" s="404"/>
      <c r="F623" s="404"/>
      <c r="G623" s="404"/>
      <c r="H623" s="404"/>
      <c r="I623" s="404"/>
      <c r="J623" s="404"/>
      <c r="K623" s="404"/>
      <c r="L623" s="404"/>
      <c r="M623" s="404"/>
      <c r="N623" s="404"/>
      <c r="O623" s="404"/>
      <c r="P623" s="404"/>
      <c r="Q623" s="404"/>
      <c r="R623" s="404"/>
      <c r="S623" s="404"/>
      <c r="T623" s="404"/>
      <c r="U623" s="404"/>
      <c r="V623" s="404"/>
      <c r="W623" s="404"/>
      <c r="X623" s="404"/>
      <c r="Y623" s="404"/>
      <c r="Z623" s="404"/>
    </row>
    <row r="624">
      <c r="A624" s="404"/>
      <c r="B624" s="404"/>
      <c r="C624" s="404"/>
      <c r="D624" s="404"/>
      <c r="E624" s="404"/>
      <c r="F624" s="404"/>
      <c r="G624" s="404"/>
      <c r="H624" s="404"/>
      <c r="I624" s="404"/>
      <c r="J624" s="404"/>
      <c r="K624" s="404"/>
      <c r="L624" s="404"/>
      <c r="M624" s="404"/>
      <c r="N624" s="404"/>
      <c r="O624" s="404"/>
      <c r="P624" s="404"/>
      <c r="Q624" s="404"/>
      <c r="R624" s="404"/>
      <c r="S624" s="404"/>
      <c r="T624" s="404"/>
      <c r="U624" s="404"/>
      <c r="V624" s="404"/>
      <c r="W624" s="404"/>
      <c r="X624" s="404"/>
      <c r="Y624" s="404"/>
      <c r="Z624" s="404"/>
    </row>
    <row r="625">
      <c r="A625" s="404"/>
      <c r="B625" s="404"/>
      <c r="C625" s="404"/>
      <c r="D625" s="404"/>
      <c r="E625" s="404"/>
      <c r="F625" s="404"/>
      <c r="G625" s="404"/>
      <c r="H625" s="404"/>
      <c r="I625" s="404"/>
      <c r="J625" s="404"/>
      <c r="K625" s="404"/>
      <c r="L625" s="404"/>
      <c r="M625" s="404"/>
      <c r="N625" s="404"/>
      <c r="O625" s="404"/>
      <c r="P625" s="404"/>
      <c r="Q625" s="404"/>
      <c r="R625" s="404"/>
      <c r="S625" s="404"/>
      <c r="T625" s="404"/>
      <c r="U625" s="404"/>
      <c r="V625" s="404"/>
      <c r="W625" s="404"/>
      <c r="X625" s="404"/>
      <c r="Y625" s="404"/>
      <c r="Z625" s="404"/>
    </row>
    <row r="626">
      <c r="A626" s="404"/>
      <c r="B626" s="404"/>
      <c r="C626" s="404"/>
      <c r="D626" s="404"/>
      <c r="E626" s="404"/>
      <c r="F626" s="404"/>
      <c r="G626" s="404"/>
      <c r="H626" s="404"/>
      <c r="I626" s="404"/>
      <c r="J626" s="404"/>
      <c r="K626" s="404"/>
      <c r="L626" s="404"/>
      <c r="M626" s="404"/>
      <c r="N626" s="404"/>
      <c r="O626" s="404"/>
      <c r="P626" s="404"/>
      <c r="Q626" s="404"/>
      <c r="R626" s="404"/>
      <c r="S626" s="404"/>
      <c r="T626" s="404"/>
      <c r="U626" s="404"/>
      <c r="V626" s="404"/>
      <c r="W626" s="404"/>
      <c r="X626" s="404"/>
      <c r="Y626" s="404"/>
      <c r="Z626" s="404"/>
    </row>
    <row r="627">
      <c r="A627" s="404"/>
      <c r="B627" s="404"/>
      <c r="C627" s="404"/>
      <c r="D627" s="404"/>
      <c r="E627" s="404"/>
      <c r="F627" s="404"/>
      <c r="G627" s="404"/>
      <c r="H627" s="404"/>
      <c r="I627" s="404"/>
      <c r="J627" s="404"/>
      <c r="K627" s="404"/>
      <c r="L627" s="404"/>
      <c r="M627" s="404"/>
      <c r="N627" s="404"/>
      <c r="O627" s="404"/>
      <c r="P627" s="404"/>
      <c r="Q627" s="404"/>
      <c r="R627" s="404"/>
      <c r="S627" s="404"/>
      <c r="T627" s="404"/>
      <c r="U627" s="404"/>
      <c r="V627" s="404"/>
      <c r="W627" s="404"/>
      <c r="X627" s="404"/>
      <c r="Y627" s="404"/>
      <c r="Z627" s="404"/>
    </row>
    <row r="628">
      <c r="A628" s="404"/>
      <c r="B628" s="404"/>
      <c r="C628" s="404"/>
      <c r="D628" s="404"/>
      <c r="E628" s="404"/>
      <c r="F628" s="404"/>
      <c r="G628" s="404"/>
      <c r="H628" s="404"/>
      <c r="I628" s="404"/>
      <c r="J628" s="404"/>
      <c r="K628" s="404"/>
      <c r="L628" s="404"/>
      <c r="M628" s="404"/>
      <c r="N628" s="404"/>
      <c r="O628" s="404"/>
      <c r="P628" s="404"/>
      <c r="Q628" s="404"/>
      <c r="R628" s="404"/>
      <c r="S628" s="404"/>
      <c r="T628" s="404"/>
      <c r="U628" s="404"/>
      <c r="V628" s="404"/>
      <c r="W628" s="404"/>
      <c r="X628" s="404"/>
      <c r="Y628" s="404"/>
      <c r="Z628" s="404"/>
    </row>
    <row r="629">
      <c r="A629" s="404"/>
      <c r="B629" s="404"/>
      <c r="C629" s="404"/>
      <c r="D629" s="404"/>
      <c r="E629" s="404"/>
      <c r="F629" s="404"/>
      <c r="G629" s="404"/>
      <c r="H629" s="404"/>
      <c r="I629" s="404"/>
      <c r="J629" s="404"/>
      <c r="K629" s="404"/>
      <c r="L629" s="404"/>
      <c r="M629" s="404"/>
      <c r="N629" s="404"/>
      <c r="O629" s="404"/>
      <c r="P629" s="404"/>
      <c r="Q629" s="404"/>
      <c r="R629" s="404"/>
      <c r="S629" s="404"/>
      <c r="T629" s="404"/>
      <c r="U629" s="404"/>
      <c r="V629" s="404"/>
      <c r="W629" s="404"/>
      <c r="X629" s="404"/>
      <c r="Y629" s="404"/>
      <c r="Z629" s="404"/>
    </row>
    <row r="630">
      <c r="A630" s="404"/>
      <c r="B630" s="404"/>
      <c r="C630" s="404"/>
      <c r="D630" s="404"/>
      <c r="E630" s="404"/>
      <c r="F630" s="404"/>
      <c r="G630" s="404"/>
      <c r="H630" s="404"/>
      <c r="I630" s="404"/>
      <c r="J630" s="404"/>
      <c r="K630" s="404"/>
      <c r="L630" s="404"/>
      <c r="M630" s="404"/>
      <c r="N630" s="404"/>
      <c r="O630" s="404"/>
      <c r="P630" s="404"/>
      <c r="Q630" s="404"/>
      <c r="R630" s="404"/>
      <c r="S630" s="404"/>
      <c r="T630" s="404"/>
      <c r="U630" s="404"/>
      <c r="V630" s="404"/>
      <c r="W630" s="404"/>
      <c r="X630" s="404"/>
      <c r="Y630" s="404"/>
      <c r="Z630" s="404"/>
    </row>
    <row r="631">
      <c r="A631" s="404"/>
      <c r="B631" s="404"/>
      <c r="C631" s="404"/>
      <c r="D631" s="404"/>
      <c r="E631" s="404"/>
      <c r="F631" s="404"/>
      <c r="G631" s="404"/>
      <c r="H631" s="404"/>
      <c r="I631" s="404"/>
      <c r="J631" s="404"/>
      <c r="K631" s="404"/>
      <c r="L631" s="404"/>
      <c r="M631" s="404"/>
      <c r="N631" s="404"/>
      <c r="O631" s="404"/>
      <c r="P631" s="404"/>
      <c r="Q631" s="404"/>
      <c r="R631" s="404"/>
      <c r="S631" s="404"/>
      <c r="T631" s="404"/>
      <c r="U631" s="404"/>
      <c r="V631" s="404"/>
      <c r="W631" s="404"/>
      <c r="X631" s="404"/>
      <c r="Y631" s="404"/>
      <c r="Z631" s="404"/>
    </row>
    <row r="632">
      <c r="A632" s="404"/>
      <c r="B632" s="404"/>
      <c r="C632" s="404"/>
      <c r="D632" s="404"/>
      <c r="E632" s="404"/>
      <c r="F632" s="404"/>
      <c r="G632" s="404"/>
      <c r="H632" s="404"/>
      <c r="I632" s="404"/>
      <c r="J632" s="404"/>
      <c r="K632" s="404"/>
      <c r="L632" s="404"/>
      <c r="M632" s="404"/>
      <c r="N632" s="404"/>
      <c r="O632" s="404"/>
      <c r="P632" s="404"/>
      <c r="Q632" s="404"/>
      <c r="R632" s="404"/>
      <c r="S632" s="404"/>
      <c r="T632" s="404"/>
      <c r="U632" s="404"/>
      <c r="V632" s="404"/>
      <c r="W632" s="404"/>
      <c r="X632" s="404"/>
      <c r="Y632" s="404"/>
      <c r="Z632" s="404"/>
    </row>
    <row r="633">
      <c r="A633" s="404"/>
      <c r="B633" s="404"/>
      <c r="C633" s="404"/>
      <c r="D633" s="404"/>
      <c r="E633" s="404"/>
      <c r="F633" s="404"/>
      <c r="G633" s="404"/>
      <c r="H633" s="404"/>
      <c r="I633" s="404"/>
      <c r="J633" s="404"/>
      <c r="K633" s="404"/>
      <c r="L633" s="404"/>
      <c r="M633" s="404"/>
      <c r="N633" s="404"/>
      <c r="O633" s="404"/>
      <c r="P633" s="404"/>
      <c r="Q633" s="404"/>
      <c r="R633" s="404"/>
      <c r="S633" s="404"/>
      <c r="T633" s="404"/>
      <c r="U633" s="404"/>
      <c r="V633" s="404"/>
      <c r="W633" s="404"/>
      <c r="X633" s="404"/>
      <c r="Y633" s="404"/>
      <c r="Z633" s="404"/>
    </row>
    <row r="634">
      <c r="A634" s="404"/>
      <c r="B634" s="404"/>
      <c r="C634" s="404"/>
      <c r="D634" s="404"/>
      <c r="E634" s="404"/>
      <c r="F634" s="404"/>
      <c r="G634" s="404"/>
      <c r="H634" s="404"/>
      <c r="I634" s="404"/>
      <c r="J634" s="404"/>
      <c r="K634" s="404"/>
      <c r="L634" s="404"/>
      <c r="M634" s="404"/>
      <c r="N634" s="404"/>
      <c r="O634" s="404"/>
      <c r="P634" s="404"/>
      <c r="Q634" s="404"/>
      <c r="R634" s="404"/>
      <c r="S634" s="404"/>
      <c r="T634" s="404"/>
      <c r="U634" s="404"/>
      <c r="V634" s="404"/>
      <c r="W634" s="404"/>
      <c r="X634" s="404"/>
      <c r="Y634" s="404"/>
      <c r="Z634" s="404"/>
    </row>
    <row r="635">
      <c r="A635" s="404"/>
      <c r="B635" s="404"/>
      <c r="C635" s="404"/>
      <c r="D635" s="404"/>
      <c r="E635" s="404"/>
      <c r="F635" s="404"/>
      <c r="G635" s="404"/>
      <c r="H635" s="404"/>
      <c r="I635" s="404"/>
      <c r="J635" s="404"/>
      <c r="K635" s="404"/>
      <c r="L635" s="404"/>
      <c r="M635" s="404"/>
      <c r="N635" s="404"/>
      <c r="O635" s="404"/>
      <c r="P635" s="404"/>
      <c r="Q635" s="404"/>
      <c r="R635" s="404"/>
      <c r="S635" s="404"/>
      <c r="T635" s="404"/>
      <c r="U635" s="404"/>
      <c r="V635" s="404"/>
      <c r="W635" s="404"/>
      <c r="X635" s="404"/>
      <c r="Y635" s="404"/>
      <c r="Z635" s="404"/>
    </row>
    <row r="636">
      <c r="A636" s="404"/>
      <c r="B636" s="404"/>
      <c r="C636" s="404"/>
      <c r="D636" s="404"/>
      <c r="E636" s="404"/>
      <c r="F636" s="404"/>
      <c r="G636" s="404"/>
      <c r="H636" s="404"/>
      <c r="I636" s="404"/>
      <c r="J636" s="404"/>
      <c r="K636" s="404"/>
      <c r="L636" s="404"/>
      <c r="M636" s="404"/>
      <c r="N636" s="404"/>
      <c r="O636" s="404"/>
      <c r="P636" s="404"/>
      <c r="Q636" s="404"/>
      <c r="R636" s="404"/>
      <c r="S636" s="404"/>
      <c r="T636" s="404"/>
      <c r="U636" s="404"/>
      <c r="V636" s="404"/>
      <c r="W636" s="404"/>
      <c r="X636" s="404"/>
      <c r="Y636" s="404"/>
      <c r="Z636" s="404"/>
    </row>
    <row r="637">
      <c r="A637" s="404"/>
      <c r="B637" s="404"/>
      <c r="C637" s="404"/>
      <c r="D637" s="404"/>
      <c r="E637" s="404"/>
      <c r="F637" s="404"/>
      <c r="G637" s="404"/>
      <c r="H637" s="404"/>
      <c r="I637" s="404"/>
      <c r="J637" s="404"/>
      <c r="K637" s="404"/>
      <c r="L637" s="404"/>
      <c r="M637" s="404"/>
      <c r="N637" s="404"/>
      <c r="O637" s="404"/>
      <c r="P637" s="404"/>
      <c r="Q637" s="404"/>
      <c r="R637" s="404"/>
      <c r="S637" s="404"/>
      <c r="T637" s="404"/>
      <c r="U637" s="404"/>
      <c r="V637" s="404"/>
      <c r="W637" s="404"/>
      <c r="X637" s="404"/>
      <c r="Y637" s="404"/>
      <c r="Z637" s="404"/>
    </row>
    <row r="638">
      <c r="A638" s="404"/>
      <c r="B638" s="404"/>
      <c r="C638" s="404"/>
      <c r="D638" s="404"/>
      <c r="E638" s="404"/>
      <c r="F638" s="404"/>
      <c r="G638" s="404"/>
      <c r="H638" s="404"/>
      <c r="I638" s="404"/>
      <c r="J638" s="404"/>
      <c r="K638" s="404"/>
      <c r="L638" s="404"/>
      <c r="M638" s="404"/>
      <c r="N638" s="404"/>
      <c r="O638" s="404"/>
      <c r="P638" s="404"/>
      <c r="Q638" s="404"/>
      <c r="R638" s="404"/>
      <c r="S638" s="404"/>
      <c r="T638" s="404"/>
      <c r="U638" s="404"/>
      <c r="V638" s="404"/>
      <c r="W638" s="404"/>
      <c r="X638" s="404"/>
      <c r="Y638" s="404"/>
      <c r="Z638" s="404"/>
    </row>
    <row r="639">
      <c r="A639" s="404"/>
      <c r="B639" s="404"/>
      <c r="C639" s="404"/>
      <c r="D639" s="404"/>
      <c r="E639" s="404"/>
      <c r="F639" s="404"/>
      <c r="G639" s="404"/>
      <c r="H639" s="404"/>
      <c r="I639" s="404"/>
      <c r="J639" s="404"/>
      <c r="K639" s="404"/>
      <c r="L639" s="404"/>
      <c r="M639" s="404"/>
      <c r="N639" s="404"/>
      <c r="O639" s="404"/>
      <c r="P639" s="404"/>
      <c r="Q639" s="404"/>
      <c r="R639" s="404"/>
      <c r="S639" s="404"/>
      <c r="T639" s="404"/>
      <c r="U639" s="404"/>
      <c r="V639" s="404"/>
      <c r="W639" s="404"/>
      <c r="X639" s="404"/>
      <c r="Y639" s="404"/>
      <c r="Z639" s="404"/>
    </row>
    <row r="640">
      <c r="A640" s="404"/>
      <c r="B640" s="404"/>
      <c r="C640" s="404"/>
      <c r="D640" s="404"/>
      <c r="E640" s="404"/>
      <c r="F640" s="404"/>
      <c r="G640" s="404"/>
      <c r="H640" s="404"/>
      <c r="I640" s="404"/>
      <c r="J640" s="404"/>
      <c r="K640" s="404"/>
      <c r="L640" s="404"/>
      <c r="M640" s="404"/>
      <c r="N640" s="404"/>
      <c r="O640" s="404"/>
      <c r="P640" s="404"/>
      <c r="Q640" s="404"/>
      <c r="R640" s="404"/>
      <c r="S640" s="404"/>
      <c r="T640" s="404"/>
      <c r="U640" s="404"/>
      <c r="V640" s="404"/>
      <c r="W640" s="404"/>
      <c r="X640" s="404"/>
      <c r="Y640" s="404"/>
      <c r="Z640" s="404"/>
    </row>
    <row r="641">
      <c r="A641" s="404"/>
      <c r="B641" s="404"/>
      <c r="C641" s="404"/>
      <c r="D641" s="404"/>
      <c r="E641" s="404"/>
      <c r="F641" s="404"/>
      <c r="G641" s="404"/>
      <c r="H641" s="404"/>
      <c r="I641" s="404"/>
      <c r="J641" s="404"/>
      <c r="K641" s="404"/>
      <c r="L641" s="404"/>
      <c r="M641" s="404"/>
      <c r="N641" s="404"/>
      <c r="O641" s="404"/>
      <c r="P641" s="404"/>
      <c r="Q641" s="404"/>
      <c r="R641" s="404"/>
      <c r="S641" s="404"/>
      <c r="T641" s="404"/>
      <c r="U641" s="404"/>
      <c r="V641" s="404"/>
      <c r="W641" s="404"/>
      <c r="X641" s="404"/>
      <c r="Y641" s="404"/>
      <c r="Z641" s="404"/>
    </row>
    <row r="642">
      <c r="A642" s="404"/>
      <c r="B642" s="404"/>
      <c r="C642" s="404"/>
      <c r="D642" s="404"/>
      <c r="E642" s="404"/>
      <c r="F642" s="404"/>
      <c r="G642" s="404"/>
      <c r="H642" s="404"/>
      <c r="I642" s="404"/>
      <c r="J642" s="404"/>
      <c r="K642" s="404"/>
      <c r="L642" s="404"/>
      <c r="M642" s="404"/>
      <c r="N642" s="404"/>
      <c r="O642" s="404"/>
      <c r="P642" s="404"/>
      <c r="Q642" s="404"/>
      <c r="R642" s="404"/>
      <c r="S642" s="404"/>
      <c r="T642" s="404"/>
      <c r="U642" s="404"/>
      <c r="V642" s="404"/>
      <c r="W642" s="404"/>
      <c r="X642" s="404"/>
      <c r="Y642" s="404"/>
      <c r="Z642" s="404"/>
    </row>
    <row r="643">
      <c r="A643" s="404"/>
      <c r="B643" s="404"/>
      <c r="C643" s="404"/>
      <c r="D643" s="404"/>
      <c r="E643" s="404"/>
      <c r="F643" s="404"/>
      <c r="G643" s="404"/>
      <c r="H643" s="404"/>
      <c r="I643" s="404"/>
      <c r="J643" s="404"/>
      <c r="K643" s="404"/>
      <c r="L643" s="404"/>
      <c r="M643" s="404"/>
      <c r="N643" s="404"/>
      <c r="O643" s="404"/>
      <c r="P643" s="404"/>
      <c r="Q643" s="404"/>
      <c r="R643" s="404"/>
      <c r="S643" s="404"/>
      <c r="T643" s="404"/>
      <c r="U643" s="404"/>
      <c r="V643" s="404"/>
      <c r="W643" s="404"/>
      <c r="X643" s="404"/>
      <c r="Y643" s="404"/>
      <c r="Z643" s="404"/>
    </row>
    <row r="644">
      <c r="A644" s="404"/>
      <c r="B644" s="404"/>
      <c r="C644" s="404"/>
      <c r="D644" s="404"/>
      <c r="E644" s="404"/>
      <c r="F644" s="404"/>
      <c r="G644" s="404"/>
      <c r="H644" s="404"/>
      <c r="I644" s="404"/>
      <c r="J644" s="404"/>
      <c r="K644" s="404"/>
      <c r="L644" s="404"/>
      <c r="M644" s="404"/>
      <c r="N644" s="404"/>
      <c r="O644" s="404"/>
      <c r="P644" s="404"/>
      <c r="Q644" s="404"/>
      <c r="R644" s="404"/>
      <c r="S644" s="404"/>
      <c r="T644" s="404"/>
      <c r="U644" s="404"/>
      <c r="V644" s="404"/>
      <c r="W644" s="404"/>
      <c r="X644" s="404"/>
      <c r="Y644" s="404"/>
      <c r="Z644" s="404"/>
    </row>
    <row r="645">
      <c r="A645" s="404"/>
      <c r="B645" s="404"/>
      <c r="C645" s="404"/>
      <c r="D645" s="404"/>
      <c r="E645" s="404"/>
      <c r="F645" s="404"/>
      <c r="G645" s="404"/>
      <c r="H645" s="404"/>
      <c r="I645" s="404"/>
      <c r="J645" s="404"/>
      <c r="K645" s="404"/>
      <c r="L645" s="404"/>
      <c r="M645" s="404"/>
      <c r="N645" s="404"/>
      <c r="O645" s="404"/>
      <c r="P645" s="404"/>
      <c r="Q645" s="404"/>
      <c r="R645" s="404"/>
      <c r="S645" s="404"/>
      <c r="T645" s="404"/>
      <c r="U645" s="404"/>
      <c r="V645" s="404"/>
      <c r="W645" s="404"/>
      <c r="X645" s="404"/>
      <c r="Y645" s="404"/>
      <c r="Z645" s="404"/>
    </row>
    <row r="646">
      <c r="A646" s="404"/>
      <c r="B646" s="404"/>
      <c r="C646" s="404"/>
      <c r="D646" s="404"/>
      <c r="E646" s="404"/>
      <c r="F646" s="404"/>
      <c r="G646" s="404"/>
      <c r="H646" s="404"/>
      <c r="I646" s="404"/>
      <c r="J646" s="404"/>
      <c r="K646" s="404"/>
      <c r="L646" s="404"/>
      <c r="M646" s="404"/>
      <c r="N646" s="404"/>
      <c r="O646" s="404"/>
      <c r="P646" s="404"/>
      <c r="Q646" s="404"/>
      <c r="R646" s="404"/>
      <c r="S646" s="404"/>
      <c r="T646" s="404"/>
      <c r="U646" s="404"/>
      <c r="V646" s="404"/>
      <c r="W646" s="404"/>
      <c r="X646" s="404"/>
      <c r="Y646" s="404"/>
      <c r="Z646" s="404"/>
    </row>
    <row r="647">
      <c r="A647" s="404"/>
      <c r="B647" s="404"/>
      <c r="C647" s="404"/>
      <c r="D647" s="404"/>
      <c r="E647" s="404"/>
      <c r="F647" s="404"/>
      <c r="G647" s="404"/>
      <c r="H647" s="404"/>
      <c r="I647" s="404"/>
      <c r="J647" s="404"/>
      <c r="K647" s="404"/>
      <c r="L647" s="404"/>
      <c r="M647" s="404"/>
      <c r="N647" s="404"/>
      <c r="O647" s="404"/>
      <c r="P647" s="404"/>
      <c r="Q647" s="404"/>
      <c r="R647" s="404"/>
      <c r="S647" s="404"/>
      <c r="T647" s="404"/>
      <c r="U647" s="404"/>
      <c r="V647" s="404"/>
      <c r="W647" s="404"/>
      <c r="X647" s="404"/>
      <c r="Y647" s="404"/>
      <c r="Z647" s="404"/>
    </row>
    <row r="648">
      <c r="A648" s="404"/>
      <c r="B648" s="404"/>
      <c r="C648" s="404"/>
      <c r="D648" s="404"/>
      <c r="E648" s="404"/>
      <c r="F648" s="404"/>
      <c r="G648" s="404"/>
      <c r="H648" s="404"/>
      <c r="I648" s="404"/>
      <c r="J648" s="404"/>
      <c r="K648" s="404"/>
      <c r="L648" s="404"/>
      <c r="M648" s="404"/>
      <c r="N648" s="404"/>
      <c r="O648" s="404"/>
      <c r="P648" s="404"/>
      <c r="Q648" s="404"/>
      <c r="R648" s="404"/>
      <c r="S648" s="404"/>
      <c r="T648" s="404"/>
      <c r="U648" s="404"/>
      <c r="V648" s="404"/>
      <c r="W648" s="404"/>
      <c r="X648" s="404"/>
      <c r="Y648" s="404"/>
      <c r="Z648" s="404"/>
    </row>
    <row r="649">
      <c r="A649" s="404"/>
      <c r="B649" s="404"/>
      <c r="C649" s="404"/>
      <c r="D649" s="404"/>
      <c r="E649" s="404"/>
      <c r="F649" s="404"/>
      <c r="G649" s="404"/>
      <c r="H649" s="404"/>
      <c r="I649" s="404"/>
      <c r="J649" s="404"/>
      <c r="K649" s="404"/>
      <c r="L649" s="404"/>
      <c r="M649" s="404"/>
      <c r="N649" s="404"/>
      <c r="O649" s="404"/>
      <c r="P649" s="404"/>
      <c r="Q649" s="404"/>
      <c r="R649" s="404"/>
      <c r="S649" s="404"/>
      <c r="T649" s="404"/>
      <c r="U649" s="404"/>
      <c r="V649" s="404"/>
      <c r="W649" s="404"/>
      <c r="X649" s="404"/>
      <c r="Y649" s="404"/>
      <c r="Z649" s="404"/>
    </row>
    <row r="650">
      <c r="A650" s="404"/>
      <c r="B650" s="404"/>
      <c r="C650" s="404"/>
      <c r="D650" s="404"/>
      <c r="E650" s="404"/>
      <c r="F650" s="404"/>
      <c r="G650" s="404"/>
      <c r="H650" s="404"/>
      <c r="I650" s="404"/>
      <c r="J650" s="404"/>
      <c r="K650" s="404"/>
      <c r="L650" s="404"/>
      <c r="M650" s="404"/>
      <c r="N650" s="404"/>
      <c r="O650" s="404"/>
      <c r="P650" s="404"/>
      <c r="Q650" s="404"/>
      <c r="R650" s="404"/>
      <c r="S650" s="404"/>
      <c r="T650" s="404"/>
      <c r="U650" s="404"/>
      <c r="V650" s="404"/>
      <c r="W650" s="404"/>
      <c r="X650" s="404"/>
      <c r="Y650" s="404"/>
      <c r="Z650" s="404"/>
    </row>
    <row r="651">
      <c r="A651" s="404"/>
      <c r="B651" s="404"/>
      <c r="C651" s="404"/>
      <c r="D651" s="404"/>
      <c r="E651" s="404"/>
      <c r="F651" s="404"/>
      <c r="G651" s="404"/>
      <c r="H651" s="404"/>
      <c r="I651" s="404"/>
      <c r="J651" s="404"/>
      <c r="K651" s="404"/>
      <c r="L651" s="404"/>
      <c r="M651" s="404"/>
      <c r="N651" s="404"/>
      <c r="O651" s="404"/>
      <c r="P651" s="404"/>
      <c r="Q651" s="404"/>
      <c r="R651" s="404"/>
      <c r="S651" s="404"/>
      <c r="T651" s="404"/>
      <c r="U651" s="404"/>
      <c r="V651" s="404"/>
      <c r="W651" s="404"/>
      <c r="X651" s="404"/>
      <c r="Y651" s="404"/>
      <c r="Z651" s="404"/>
    </row>
    <row r="652">
      <c r="A652" s="404"/>
      <c r="B652" s="404"/>
      <c r="C652" s="404"/>
      <c r="D652" s="404"/>
      <c r="E652" s="404"/>
      <c r="F652" s="404"/>
      <c r="G652" s="404"/>
      <c r="H652" s="404"/>
      <c r="I652" s="404"/>
      <c r="J652" s="404"/>
      <c r="K652" s="404"/>
      <c r="L652" s="404"/>
      <c r="M652" s="404"/>
      <c r="N652" s="404"/>
      <c r="O652" s="404"/>
      <c r="P652" s="404"/>
      <c r="Q652" s="404"/>
      <c r="R652" s="404"/>
      <c r="S652" s="404"/>
      <c r="T652" s="404"/>
      <c r="U652" s="404"/>
      <c r="V652" s="404"/>
      <c r="W652" s="404"/>
      <c r="X652" s="404"/>
      <c r="Y652" s="404"/>
      <c r="Z652" s="404"/>
    </row>
    <row r="653">
      <c r="A653" s="404"/>
      <c r="B653" s="404"/>
      <c r="C653" s="404"/>
      <c r="D653" s="404"/>
      <c r="E653" s="404"/>
      <c r="F653" s="404"/>
      <c r="G653" s="404"/>
      <c r="H653" s="404"/>
      <c r="I653" s="404"/>
      <c r="J653" s="404"/>
      <c r="K653" s="404"/>
      <c r="L653" s="404"/>
      <c r="M653" s="404"/>
      <c r="N653" s="404"/>
      <c r="O653" s="404"/>
      <c r="P653" s="404"/>
      <c r="Q653" s="404"/>
      <c r="R653" s="404"/>
      <c r="S653" s="404"/>
      <c r="T653" s="404"/>
      <c r="U653" s="404"/>
      <c r="V653" s="404"/>
      <c r="W653" s="404"/>
      <c r="X653" s="404"/>
      <c r="Y653" s="404"/>
      <c r="Z653" s="404"/>
    </row>
    <row r="654">
      <c r="A654" s="404"/>
      <c r="B654" s="404"/>
      <c r="C654" s="404"/>
      <c r="D654" s="404"/>
      <c r="E654" s="404"/>
      <c r="F654" s="404"/>
      <c r="G654" s="404"/>
      <c r="H654" s="404"/>
      <c r="I654" s="404"/>
      <c r="J654" s="404"/>
      <c r="K654" s="404"/>
      <c r="L654" s="404"/>
      <c r="M654" s="404"/>
      <c r="N654" s="404"/>
      <c r="O654" s="404"/>
      <c r="P654" s="404"/>
      <c r="Q654" s="404"/>
      <c r="R654" s="404"/>
      <c r="S654" s="404"/>
      <c r="T654" s="404"/>
      <c r="U654" s="404"/>
      <c r="V654" s="404"/>
      <c r="W654" s="404"/>
      <c r="X654" s="404"/>
      <c r="Y654" s="404"/>
      <c r="Z654" s="404"/>
    </row>
    <row r="655">
      <c r="A655" s="404"/>
      <c r="B655" s="404"/>
      <c r="C655" s="404"/>
      <c r="D655" s="404"/>
      <c r="E655" s="404"/>
      <c r="F655" s="404"/>
      <c r="G655" s="404"/>
      <c r="H655" s="404"/>
      <c r="I655" s="404"/>
      <c r="J655" s="404"/>
      <c r="K655" s="404"/>
      <c r="L655" s="404"/>
      <c r="M655" s="404"/>
      <c r="N655" s="404"/>
      <c r="O655" s="404"/>
      <c r="P655" s="404"/>
      <c r="Q655" s="404"/>
      <c r="R655" s="404"/>
      <c r="S655" s="404"/>
      <c r="T655" s="404"/>
      <c r="U655" s="404"/>
      <c r="V655" s="404"/>
      <c r="W655" s="404"/>
      <c r="X655" s="404"/>
      <c r="Y655" s="404"/>
      <c r="Z655" s="404"/>
    </row>
    <row r="656">
      <c r="A656" s="404"/>
      <c r="B656" s="404"/>
      <c r="C656" s="404"/>
      <c r="D656" s="404"/>
      <c r="E656" s="404"/>
      <c r="F656" s="404"/>
      <c r="G656" s="404"/>
      <c r="H656" s="404"/>
      <c r="I656" s="404"/>
      <c r="J656" s="404"/>
      <c r="K656" s="404"/>
      <c r="L656" s="404"/>
      <c r="M656" s="404"/>
      <c r="N656" s="404"/>
      <c r="O656" s="404"/>
      <c r="P656" s="404"/>
      <c r="Q656" s="404"/>
      <c r="R656" s="404"/>
      <c r="S656" s="404"/>
      <c r="T656" s="404"/>
      <c r="U656" s="404"/>
      <c r="V656" s="404"/>
      <c r="W656" s="404"/>
      <c r="X656" s="404"/>
      <c r="Y656" s="404"/>
      <c r="Z656" s="404"/>
    </row>
    <row r="657">
      <c r="A657" s="404"/>
      <c r="B657" s="404"/>
      <c r="C657" s="404"/>
      <c r="D657" s="404"/>
      <c r="E657" s="404"/>
      <c r="F657" s="404"/>
      <c r="G657" s="404"/>
      <c r="H657" s="404"/>
      <c r="I657" s="404"/>
      <c r="J657" s="404"/>
      <c r="K657" s="404"/>
      <c r="L657" s="404"/>
      <c r="M657" s="404"/>
      <c r="N657" s="404"/>
      <c r="O657" s="404"/>
      <c r="P657" s="404"/>
      <c r="Q657" s="404"/>
      <c r="R657" s="404"/>
      <c r="S657" s="404"/>
      <c r="T657" s="404"/>
      <c r="U657" s="404"/>
      <c r="V657" s="404"/>
      <c r="W657" s="404"/>
      <c r="X657" s="404"/>
      <c r="Y657" s="404"/>
      <c r="Z657" s="404"/>
    </row>
    <row r="658">
      <c r="A658" s="404"/>
      <c r="B658" s="404"/>
      <c r="C658" s="404"/>
      <c r="D658" s="404"/>
      <c r="E658" s="404"/>
      <c r="F658" s="404"/>
      <c r="G658" s="404"/>
      <c r="H658" s="404"/>
      <c r="I658" s="404"/>
      <c r="J658" s="404"/>
      <c r="K658" s="404"/>
      <c r="L658" s="404"/>
      <c r="M658" s="404"/>
      <c r="N658" s="404"/>
      <c r="O658" s="404"/>
      <c r="P658" s="404"/>
      <c r="Q658" s="404"/>
      <c r="R658" s="404"/>
      <c r="S658" s="404"/>
      <c r="T658" s="404"/>
      <c r="U658" s="404"/>
      <c r="V658" s="404"/>
      <c r="W658" s="404"/>
      <c r="X658" s="404"/>
      <c r="Y658" s="404"/>
      <c r="Z658" s="404"/>
    </row>
    <row r="659">
      <c r="A659" s="404"/>
      <c r="B659" s="404"/>
      <c r="C659" s="404"/>
      <c r="D659" s="404"/>
      <c r="E659" s="404"/>
      <c r="F659" s="404"/>
      <c r="G659" s="404"/>
      <c r="H659" s="404"/>
      <c r="I659" s="404"/>
      <c r="J659" s="404"/>
      <c r="K659" s="404"/>
      <c r="L659" s="404"/>
      <c r="M659" s="404"/>
      <c r="N659" s="404"/>
      <c r="O659" s="404"/>
      <c r="P659" s="404"/>
      <c r="Q659" s="404"/>
      <c r="R659" s="404"/>
      <c r="S659" s="404"/>
      <c r="T659" s="404"/>
      <c r="U659" s="404"/>
      <c r="V659" s="404"/>
      <c r="W659" s="404"/>
      <c r="X659" s="404"/>
      <c r="Y659" s="404"/>
      <c r="Z659" s="404"/>
    </row>
    <row r="660">
      <c r="A660" s="404"/>
      <c r="B660" s="404"/>
      <c r="C660" s="404"/>
      <c r="D660" s="404"/>
      <c r="E660" s="404"/>
      <c r="F660" s="404"/>
      <c r="G660" s="404"/>
      <c r="H660" s="404"/>
      <c r="I660" s="404"/>
      <c r="J660" s="404"/>
      <c r="K660" s="404"/>
      <c r="L660" s="404"/>
      <c r="M660" s="404"/>
      <c r="N660" s="404"/>
      <c r="O660" s="404"/>
      <c r="P660" s="404"/>
      <c r="Q660" s="404"/>
      <c r="R660" s="404"/>
      <c r="S660" s="404"/>
      <c r="T660" s="404"/>
      <c r="U660" s="404"/>
      <c r="V660" s="404"/>
      <c r="W660" s="404"/>
      <c r="X660" s="404"/>
      <c r="Y660" s="404"/>
      <c r="Z660" s="404"/>
    </row>
    <row r="661">
      <c r="A661" s="404"/>
      <c r="B661" s="404"/>
      <c r="C661" s="404"/>
      <c r="D661" s="404"/>
      <c r="E661" s="404"/>
      <c r="F661" s="404"/>
      <c r="G661" s="404"/>
      <c r="H661" s="404"/>
      <c r="I661" s="404"/>
      <c r="J661" s="404"/>
      <c r="K661" s="404"/>
      <c r="L661" s="404"/>
      <c r="M661" s="404"/>
      <c r="N661" s="404"/>
      <c r="O661" s="404"/>
      <c r="P661" s="404"/>
      <c r="Q661" s="404"/>
      <c r="R661" s="404"/>
      <c r="S661" s="404"/>
      <c r="T661" s="404"/>
      <c r="U661" s="404"/>
      <c r="V661" s="404"/>
      <c r="W661" s="404"/>
      <c r="X661" s="404"/>
      <c r="Y661" s="404"/>
      <c r="Z661" s="404"/>
    </row>
    <row r="662">
      <c r="A662" s="404"/>
      <c r="B662" s="404"/>
      <c r="C662" s="404"/>
      <c r="D662" s="404"/>
      <c r="E662" s="404"/>
      <c r="F662" s="404"/>
      <c r="G662" s="404"/>
      <c r="H662" s="404"/>
      <c r="I662" s="404"/>
      <c r="J662" s="404"/>
      <c r="K662" s="404"/>
      <c r="L662" s="404"/>
      <c r="M662" s="404"/>
      <c r="N662" s="404"/>
      <c r="O662" s="404"/>
      <c r="P662" s="404"/>
      <c r="Q662" s="404"/>
      <c r="R662" s="404"/>
      <c r="S662" s="404"/>
      <c r="T662" s="404"/>
      <c r="U662" s="404"/>
      <c r="V662" s="404"/>
      <c r="W662" s="404"/>
      <c r="X662" s="404"/>
      <c r="Y662" s="404"/>
      <c r="Z662" s="404"/>
    </row>
    <row r="663">
      <c r="A663" s="404"/>
      <c r="B663" s="404"/>
      <c r="C663" s="404"/>
      <c r="D663" s="404"/>
      <c r="E663" s="404"/>
      <c r="F663" s="404"/>
      <c r="G663" s="404"/>
      <c r="H663" s="404"/>
      <c r="I663" s="404"/>
      <c r="J663" s="404"/>
      <c r="K663" s="404"/>
      <c r="L663" s="404"/>
      <c r="M663" s="404"/>
      <c r="N663" s="404"/>
      <c r="O663" s="404"/>
      <c r="P663" s="404"/>
      <c r="Q663" s="404"/>
      <c r="R663" s="404"/>
      <c r="S663" s="404"/>
      <c r="T663" s="404"/>
      <c r="U663" s="404"/>
      <c r="V663" s="404"/>
      <c r="W663" s="404"/>
      <c r="X663" s="404"/>
      <c r="Y663" s="404"/>
      <c r="Z663" s="404"/>
    </row>
    <row r="664">
      <c r="A664" s="404"/>
      <c r="B664" s="404"/>
      <c r="C664" s="404"/>
      <c r="D664" s="404"/>
      <c r="E664" s="404"/>
      <c r="F664" s="404"/>
      <c r="G664" s="404"/>
      <c r="H664" s="404"/>
      <c r="I664" s="404"/>
      <c r="J664" s="404"/>
      <c r="K664" s="404"/>
      <c r="L664" s="404"/>
      <c r="M664" s="404"/>
      <c r="N664" s="404"/>
      <c r="O664" s="404"/>
      <c r="P664" s="404"/>
      <c r="Q664" s="404"/>
      <c r="R664" s="404"/>
      <c r="S664" s="404"/>
      <c r="T664" s="404"/>
      <c r="U664" s="404"/>
      <c r="V664" s="404"/>
      <c r="W664" s="404"/>
      <c r="X664" s="404"/>
      <c r="Y664" s="404"/>
      <c r="Z664" s="404"/>
    </row>
    <row r="665">
      <c r="A665" s="404"/>
      <c r="B665" s="404"/>
      <c r="C665" s="404"/>
      <c r="D665" s="404"/>
      <c r="E665" s="404"/>
      <c r="F665" s="404"/>
      <c r="G665" s="404"/>
      <c r="H665" s="404"/>
      <c r="I665" s="404"/>
      <c r="J665" s="404"/>
      <c r="K665" s="404"/>
      <c r="L665" s="404"/>
      <c r="M665" s="404"/>
      <c r="N665" s="404"/>
      <c r="O665" s="404"/>
      <c r="P665" s="404"/>
      <c r="Q665" s="404"/>
      <c r="R665" s="404"/>
      <c r="S665" s="404"/>
      <c r="T665" s="404"/>
      <c r="U665" s="404"/>
      <c r="V665" s="404"/>
      <c r="W665" s="404"/>
      <c r="X665" s="404"/>
      <c r="Y665" s="404"/>
      <c r="Z665" s="404"/>
    </row>
    <row r="666">
      <c r="A666" s="404"/>
      <c r="B666" s="404"/>
      <c r="C666" s="404"/>
      <c r="D666" s="404"/>
      <c r="E666" s="404"/>
      <c r="F666" s="404"/>
      <c r="G666" s="404"/>
      <c r="H666" s="404"/>
      <c r="I666" s="404"/>
      <c r="J666" s="404"/>
      <c r="K666" s="404"/>
      <c r="L666" s="404"/>
      <c r="M666" s="404"/>
      <c r="N666" s="404"/>
      <c r="O666" s="404"/>
      <c r="P666" s="404"/>
      <c r="Q666" s="404"/>
      <c r="R666" s="404"/>
      <c r="S666" s="404"/>
      <c r="T666" s="404"/>
      <c r="U666" s="404"/>
      <c r="V666" s="404"/>
      <c r="W666" s="404"/>
      <c r="X666" s="404"/>
      <c r="Y666" s="404"/>
      <c r="Z666" s="404"/>
    </row>
    <row r="667">
      <c r="A667" s="404"/>
      <c r="B667" s="404"/>
      <c r="C667" s="404"/>
      <c r="D667" s="404"/>
      <c r="E667" s="404"/>
      <c r="F667" s="404"/>
      <c r="G667" s="404"/>
      <c r="H667" s="404"/>
      <c r="I667" s="404"/>
      <c r="J667" s="404"/>
      <c r="K667" s="404"/>
      <c r="L667" s="404"/>
      <c r="M667" s="404"/>
      <c r="N667" s="404"/>
      <c r="O667" s="404"/>
      <c r="P667" s="404"/>
      <c r="Q667" s="404"/>
      <c r="R667" s="404"/>
      <c r="S667" s="404"/>
      <c r="T667" s="404"/>
      <c r="U667" s="404"/>
      <c r="V667" s="404"/>
      <c r="W667" s="404"/>
      <c r="X667" s="404"/>
      <c r="Y667" s="404"/>
      <c r="Z667" s="404"/>
    </row>
    <row r="668">
      <c r="A668" s="404"/>
      <c r="B668" s="404"/>
      <c r="C668" s="404"/>
      <c r="D668" s="404"/>
      <c r="E668" s="404"/>
      <c r="F668" s="404"/>
      <c r="G668" s="404"/>
      <c r="H668" s="404"/>
      <c r="I668" s="404"/>
      <c r="J668" s="404"/>
      <c r="K668" s="404"/>
      <c r="L668" s="404"/>
      <c r="M668" s="404"/>
      <c r="N668" s="404"/>
      <c r="O668" s="404"/>
      <c r="P668" s="404"/>
      <c r="Q668" s="404"/>
      <c r="R668" s="404"/>
      <c r="S668" s="404"/>
      <c r="T668" s="404"/>
      <c r="U668" s="404"/>
      <c r="V668" s="404"/>
      <c r="W668" s="404"/>
      <c r="X668" s="404"/>
      <c r="Y668" s="404"/>
      <c r="Z668" s="404"/>
    </row>
    <row r="669">
      <c r="A669" s="404"/>
      <c r="B669" s="404"/>
      <c r="C669" s="404"/>
      <c r="D669" s="404"/>
      <c r="E669" s="404"/>
      <c r="F669" s="404"/>
      <c r="G669" s="404"/>
      <c r="H669" s="404"/>
      <c r="I669" s="404"/>
      <c r="J669" s="404"/>
      <c r="K669" s="404"/>
      <c r="L669" s="404"/>
      <c r="M669" s="404"/>
      <c r="N669" s="404"/>
      <c r="O669" s="404"/>
      <c r="P669" s="404"/>
      <c r="Q669" s="404"/>
      <c r="R669" s="404"/>
      <c r="S669" s="404"/>
      <c r="T669" s="404"/>
      <c r="U669" s="404"/>
      <c r="V669" s="404"/>
      <c r="W669" s="404"/>
      <c r="X669" s="404"/>
      <c r="Y669" s="404"/>
      <c r="Z669" s="404"/>
    </row>
    <row r="670">
      <c r="A670" s="404"/>
      <c r="B670" s="404"/>
      <c r="C670" s="404"/>
      <c r="D670" s="404"/>
      <c r="E670" s="404"/>
      <c r="F670" s="404"/>
      <c r="G670" s="404"/>
      <c r="H670" s="404"/>
      <c r="I670" s="404"/>
      <c r="J670" s="404"/>
      <c r="K670" s="404"/>
      <c r="L670" s="404"/>
      <c r="M670" s="404"/>
      <c r="N670" s="404"/>
      <c r="O670" s="404"/>
      <c r="P670" s="404"/>
      <c r="Q670" s="404"/>
      <c r="R670" s="404"/>
      <c r="S670" s="404"/>
      <c r="T670" s="404"/>
      <c r="U670" s="404"/>
      <c r="V670" s="404"/>
      <c r="W670" s="404"/>
      <c r="X670" s="404"/>
      <c r="Y670" s="404"/>
      <c r="Z670" s="404"/>
    </row>
    <row r="671">
      <c r="A671" s="404"/>
      <c r="B671" s="404"/>
      <c r="C671" s="404"/>
      <c r="D671" s="404"/>
      <c r="E671" s="404"/>
      <c r="F671" s="404"/>
      <c r="G671" s="404"/>
      <c r="H671" s="404"/>
      <c r="I671" s="404"/>
      <c r="J671" s="404"/>
      <c r="K671" s="404"/>
      <c r="L671" s="404"/>
      <c r="M671" s="404"/>
      <c r="N671" s="404"/>
      <c r="O671" s="404"/>
      <c r="P671" s="404"/>
      <c r="Q671" s="404"/>
      <c r="R671" s="404"/>
      <c r="S671" s="404"/>
      <c r="T671" s="404"/>
      <c r="U671" s="404"/>
      <c r="V671" s="404"/>
      <c r="W671" s="404"/>
      <c r="X671" s="404"/>
      <c r="Y671" s="404"/>
      <c r="Z671" s="404"/>
    </row>
    <row r="672">
      <c r="A672" s="404"/>
      <c r="B672" s="404"/>
      <c r="C672" s="404"/>
      <c r="D672" s="404"/>
      <c r="E672" s="404"/>
      <c r="F672" s="404"/>
      <c r="G672" s="404"/>
      <c r="H672" s="404"/>
      <c r="I672" s="404"/>
      <c r="J672" s="404"/>
      <c r="K672" s="404"/>
      <c r="L672" s="404"/>
      <c r="M672" s="404"/>
      <c r="N672" s="404"/>
      <c r="O672" s="404"/>
      <c r="P672" s="404"/>
      <c r="Q672" s="404"/>
      <c r="R672" s="404"/>
      <c r="S672" s="404"/>
      <c r="T672" s="404"/>
      <c r="U672" s="404"/>
      <c r="V672" s="404"/>
      <c r="W672" s="404"/>
      <c r="X672" s="404"/>
      <c r="Y672" s="404"/>
      <c r="Z672" s="404"/>
    </row>
    <row r="673">
      <c r="A673" s="404"/>
      <c r="B673" s="404"/>
      <c r="C673" s="404"/>
      <c r="D673" s="404"/>
      <c r="E673" s="404"/>
      <c r="F673" s="404"/>
      <c r="G673" s="404"/>
      <c r="H673" s="404"/>
      <c r="I673" s="404"/>
      <c r="J673" s="404"/>
      <c r="K673" s="404"/>
      <c r="L673" s="404"/>
      <c r="M673" s="404"/>
      <c r="N673" s="404"/>
      <c r="O673" s="404"/>
      <c r="P673" s="404"/>
      <c r="Q673" s="404"/>
      <c r="R673" s="404"/>
      <c r="S673" s="404"/>
      <c r="T673" s="404"/>
      <c r="U673" s="404"/>
      <c r="V673" s="404"/>
      <c r="W673" s="404"/>
      <c r="X673" s="404"/>
      <c r="Y673" s="404"/>
      <c r="Z673" s="404"/>
    </row>
    <row r="674">
      <c r="A674" s="404"/>
      <c r="B674" s="404"/>
      <c r="C674" s="404"/>
      <c r="D674" s="404"/>
      <c r="E674" s="404"/>
      <c r="F674" s="404"/>
      <c r="G674" s="404"/>
      <c r="H674" s="404"/>
      <c r="I674" s="404"/>
      <c r="J674" s="404"/>
      <c r="K674" s="404"/>
      <c r="L674" s="404"/>
      <c r="M674" s="404"/>
      <c r="N674" s="404"/>
      <c r="O674" s="404"/>
      <c r="P674" s="404"/>
      <c r="Q674" s="404"/>
      <c r="R674" s="404"/>
      <c r="S674" s="404"/>
      <c r="T674" s="404"/>
      <c r="U674" s="404"/>
      <c r="V674" s="404"/>
      <c r="W674" s="404"/>
      <c r="X674" s="404"/>
      <c r="Y674" s="404"/>
      <c r="Z674" s="404"/>
    </row>
    <row r="675">
      <c r="A675" s="404"/>
      <c r="B675" s="404"/>
      <c r="C675" s="404"/>
      <c r="D675" s="404"/>
      <c r="E675" s="404"/>
      <c r="F675" s="404"/>
      <c r="G675" s="404"/>
      <c r="H675" s="404"/>
      <c r="I675" s="404"/>
      <c r="J675" s="404"/>
      <c r="K675" s="404"/>
      <c r="L675" s="404"/>
      <c r="M675" s="404"/>
      <c r="N675" s="404"/>
      <c r="O675" s="404"/>
      <c r="P675" s="404"/>
      <c r="Q675" s="404"/>
      <c r="R675" s="404"/>
      <c r="S675" s="404"/>
      <c r="T675" s="404"/>
      <c r="U675" s="404"/>
      <c r="V675" s="404"/>
      <c r="W675" s="404"/>
      <c r="X675" s="404"/>
      <c r="Y675" s="404"/>
      <c r="Z675" s="404"/>
    </row>
    <row r="676">
      <c r="A676" s="404"/>
      <c r="B676" s="404"/>
      <c r="C676" s="404"/>
      <c r="D676" s="404"/>
      <c r="E676" s="404"/>
      <c r="F676" s="404"/>
      <c r="G676" s="404"/>
      <c r="H676" s="404"/>
      <c r="I676" s="404"/>
      <c r="J676" s="404"/>
      <c r="K676" s="404"/>
      <c r="L676" s="404"/>
      <c r="M676" s="404"/>
      <c r="N676" s="404"/>
      <c r="O676" s="404"/>
      <c r="P676" s="404"/>
      <c r="Q676" s="404"/>
      <c r="R676" s="404"/>
      <c r="S676" s="404"/>
      <c r="T676" s="404"/>
      <c r="U676" s="404"/>
      <c r="V676" s="404"/>
      <c r="W676" s="404"/>
      <c r="X676" s="404"/>
      <c r="Y676" s="404"/>
      <c r="Z676" s="404"/>
    </row>
    <row r="677">
      <c r="A677" s="404"/>
      <c r="B677" s="404"/>
      <c r="C677" s="404"/>
      <c r="D677" s="404"/>
      <c r="E677" s="404"/>
      <c r="F677" s="404"/>
      <c r="G677" s="404"/>
      <c r="H677" s="404"/>
      <c r="I677" s="404"/>
      <c r="J677" s="404"/>
      <c r="K677" s="404"/>
      <c r="L677" s="404"/>
      <c r="M677" s="404"/>
      <c r="N677" s="404"/>
      <c r="O677" s="404"/>
      <c r="P677" s="404"/>
      <c r="Q677" s="404"/>
      <c r="R677" s="404"/>
      <c r="S677" s="404"/>
      <c r="T677" s="404"/>
      <c r="U677" s="404"/>
      <c r="V677" s="404"/>
      <c r="W677" s="404"/>
      <c r="X677" s="404"/>
      <c r="Y677" s="404"/>
      <c r="Z677" s="404"/>
    </row>
    <row r="678">
      <c r="A678" s="404"/>
      <c r="B678" s="404"/>
      <c r="C678" s="404"/>
      <c r="D678" s="404"/>
      <c r="E678" s="404"/>
      <c r="F678" s="404"/>
      <c r="G678" s="404"/>
      <c r="H678" s="404"/>
      <c r="I678" s="404"/>
      <c r="J678" s="404"/>
      <c r="K678" s="404"/>
      <c r="L678" s="404"/>
      <c r="M678" s="404"/>
      <c r="N678" s="404"/>
      <c r="O678" s="404"/>
      <c r="P678" s="404"/>
      <c r="Q678" s="404"/>
      <c r="R678" s="404"/>
      <c r="S678" s="404"/>
      <c r="T678" s="404"/>
      <c r="U678" s="404"/>
      <c r="V678" s="404"/>
      <c r="W678" s="404"/>
      <c r="X678" s="404"/>
      <c r="Y678" s="404"/>
      <c r="Z678" s="404"/>
    </row>
    <row r="679">
      <c r="A679" s="404"/>
      <c r="B679" s="404"/>
      <c r="C679" s="404"/>
      <c r="D679" s="404"/>
      <c r="E679" s="404"/>
      <c r="F679" s="404"/>
      <c r="G679" s="404"/>
      <c r="H679" s="404"/>
      <c r="I679" s="404"/>
      <c r="J679" s="404"/>
      <c r="K679" s="404"/>
      <c r="L679" s="404"/>
      <c r="M679" s="404"/>
      <c r="N679" s="404"/>
      <c r="O679" s="404"/>
      <c r="P679" s="404"/>
      <c r="Q679" s="404"/>
      <c r="R679" s="404"/>
      <c r="S679" s="404"/>
      <c r="T679" s="404"/>
      <c r="U679" s="404"/>
      <c r="V679" s="404"/>
      <c r="W679" s="404"/>
      <c r="X679" s="404"/>
      <c r="Y679" s="404"/>
      <c r="Z679" s="404"/>
    </row>
    <row r="680">
      <c r="A680" s="404"/>
      <c r="B680" s="404"/>
      <c r="C680" s="404"/>
      <c r="D680" s="404"/>
      <c r="E680" s="404"/>
      <c r="F680" s="404"/>
      <c r="G680" s="404"/>
      <c r="H680" s="404"/>
      <c r="I680" s="404"/>
      <c r="J680" s="404"/>
      <c r="K680" s="404"/>
      <c r="L680" s="404"/>
      <c r="M680" s="404"/>
      <c r="N680" s="404"/>
      <c r="O680" s="404"/>
      <c r="P680" s="404"/>
      <c r="Q680" s="404"/>
      <c r="R680" s="404"/>
      <c r="S680" s="404"/>
      <c r="T680" s="404"/>
      <c r="U680" s="404"/>
      <c r="V680" s="404"/>
      <c r="W680" s="404"/>
      <c r="X680" s="404"/>
      <c r="Y680" s="404"/>
      <c r="Z680" s="404"/>
    </row>
    <row r="681">
      <c r="A681" s="404"/>
      <c r="B681" s="404"/>
      <c r="C681" s="404"/>
      <c r="D681" s="404"/>
      <c r="E681" s="404"/>
      <c r="F681" s="404"/>
      <c r="G681" s="404"/>
      <c r="H681" s="404"/>
      <c r="I681" s="404"/>
      <c r="J681" s="404"/>
      <c r="K681" s="404"/>
      <c r="L681" s="404"/>
      <c r="M681" s="404"/>
      <c r="N681" s="404"/>
      <c r="O681" s="404"/>
      <c r="P681" s="404"/>
      <c r="Q681" s="404"/>
      <c r="R681" s="404"/>
      <c r="S681" s="404"/>
      <c r="T681" s="404"/>
      <c r="U681" s="404"/>
      <c r="V681" s="404"/>
      <c r="W681" s="404"/>
      <c r="X681" s="404"/>
      <c r="Y681" s="404"/>
      <c r="Z681" s="404"/>
    </row>
    <row r="682">
      <c r="A682" s="404"/>
      <c r="B682" s="404"/>
      <c r="C682" s="404"/>
      <c r="D682" s="404"/>
      <c r="E682" s="404"/>
      <c r="F682" s="404"/>
      <c r="G682" s="404"/>
      <c r="H682" s="404"/>
      <c r="I682" s="404"/>
      <c r="J682" s="404"/>
      <c r="K682" s="404"/>
      <c r="L682" s="404"/>
      <c r="M682" s="404"/>
      <c r="N682" s="404"/>
      <c r="O682" s="404"/>
      <c r="P682" s="404"/>
      <c r="Q682" s="404"/>
      <c r="R682" s="404"/>
      <c r="S682" s="404"/>
      <c r="T682" s="404"/>
      <c r="U682" s="404"/>
      <c r="V682" s="404"/>
      <c r="W682" s="404"/>
      <c r="X682" s="404"/>
      <c r="Y682" s="404"/>
      <c r="Z682" s="404"/>
    </row>
    <row r="683">
      <c r="A683" s="404"/>
      <c r="B683" s="404"/>
      <c r="C683" s="404"/>
      <c r="D683" s="404"/>
      <c r="E683" s="404"/>
      <c r="F683" s="404"/>
      <c r="G683" s="404"/>
      <c r="H683" s="404"/>
      <c r="I683" s="404"/>
      <c r="J683" s="404"/>
      <c r="K683" s="404"/>
      <c r="L683" s="404"/>
      <c r="M683" s="404"/>
      <c r="N683" s="404"/>
      <c r="O683" s="404"/>
      <c r="P683" s="404"/>
      <c r="Q683" s="404"/>
      <c r="R683" s="404"/>
      <c r="S683" s="404"/>
      <c r="T683" s="404"/>
      <c r="U683" s="404"/>
      <c r="V683" s="404"/>
      <c r="W683" s="404"/>
      <c r="X683" s="404"/>
      <c r="Y683" s="404"/>
      <c r="Z683" s="404"/>
    </row>
    <row r="684">
      <c r="A684" s="404"/>
      <c r="B684" s="404"/>
      <c r="C684" s="404"/>
      <c r="D684" s="404"/>
      <c r="E684" s="404"/>
      <c r="F684" s="404"/>
      <c r="G684" s="404"/>
      <c r="H684" s="404"/>
      <c r="I684" s="404"/>
      <c r="J684" s="404"/>
      <c r="K684" s="404"/>
      <c r="L684" s="404"/>
      <c r="M684" s="404"/>
      <c r="N684" s="404"/>
      <c r="O684" s="404"/>
      <c r="P684" s="404"/>
      <c r="Q684" s="404"/>
      <c r="R684" s="404"/>
      <c r="S684" s="404"/>
      <c r="T684" s="404"/>
      <c r="U684" s="404"/>
      <c r="V684" s="404"/>
      <c r="W684" s="404"/>
      <c r="X684" s="404"/>
      <c r="Y684" s="404"/>
      <c r="Z684" s="404"/>
    </row>
    <row r="685">
      <c r="A685" s="404"/>
      <c r="B685" s="404"/>
      <c r="C685" s="404"/>
      <c r="D685" s="404"/>
      <c r="E685" s="404"/>
      <c r="F685" s="404"/>
      <c r="G685" s="404"/>
      <c r="H685" s="404"/>
      <c r="I685" s="404"/>
      <c r="J685" s="404"/>
      <c r="K685" s="404"/>
      <c r="L685" s="404"/>
      <c r="M685" s="404"/>
      <c r="N685" s="404"/>
      <c r="O685" s="404"/>
      <c r="P685" s="404"/>
      <c r="Q685" s="404"/>
      <c r="R685" s="404"/>
      <c r="S685" s="404"/>
      <c r="T685" s="404"/>
      <c r="U685" s="404"/>
      <c r="V685" s="404"/>
      <c r="W685" s="404"/>
      <c r="X685" s="404"/>
      <c r="Y685" s="404"/>
      <c r="Z685" s="404"/>
    </row>
    <row r="686">
      <c r="A686" s="404"/>
      <c r="B686" s="404"/>
      <c r="C686" s="404"/>
      <c r="D686" s="404"/>
      <c r="E686" s="404"/>
      <c r="F686" s="404"/>
      <c r="G686" s="404"/>
      <c r="H686" s="404"/>
      <c r="I686" s="404"/>
      <c r="J686" s="404"/>
      <c r="K686" s="404"/>
      <c r="L686" s="404"/>
      <c r="M686" s="404"/>
      <c r="N686" s="404"/>
      <c r="O686" s="404"/>
      <c r="P686" s="404"/>
      <c r="Q686" s="404"/>
      <c r="R686" s="404"/>
      <c r="S686" s="404"/>
      <c r="T686" s="404"/>
      <c r="U686" s="404"/>
      <c r="V686" s="404"/>
      <c r="W686" s="404"/>
      <c r="X686" s="404"/>
      <c r="Y686" s="404"/>
      <c r="Z686" s="404"/>
    </row>
    <row r="687">
      <c r="A687" s="404"/>
      <c r="B687" s="404"/>
      <c r="C687" s="404"/>
      <c r="D687" s="404"/>
      <c r="E687" s="404"/>
      <c r="F687" s="404"/>
      <c r="G687" s="404"/>
      <c r="H687" s="404"/>
      <c r="I687" s="404"/>
      <c r="J687" s="404"/>
      <c r="K687" s="404"/>
      <c r="L687" s="404"/>
      <c r="M687" s="404"/>
      <c r="N687" s="404"/>
      <c r="O687" s="404"/>
      <c r="P687" s="404"/>
      <c r="Q687" s="404"/>
      <c r="R687" s="404"/>
      <c r="S687" s="404"/>
      <c r="T687" s="404"/>
      <c r="U687" s="404"/>
      <c r="V687" s="404"/>
      <c r="W687" s="404"/>
      <c r="X687" s="404"/>
      <c r="Y687" s="404"/>
      <c r="Z687" s="404"/>
    </row>
    <row r="688">
      <c r="A688" s="404"/>
      <c r="B688" s="404"/>
      <c r="C688" s="404"/>
      <c r="D688" s="404"/>
      <c r="E688" s="404"/>
      <c r="F688" s="404"/>
      <c r="G688" s="404"/>
      <c r="H688" s="404"/>
      <c r="I688" s="404"/>
      <c r="J688" s="404"/>
      <c r="K688" s="404"/>
      <c r="L688" s="404"/>
      <c r="M688" s="404"/>
      <c r="N688" s="404"/>
      <c r="O688" s="404"/>
      <c r="P688" s="404"/>
      <c r="Q688" s="404"/>
      <c r="R688" s="404"/>
      <c r="S688" s="404"/>
      <c r="T688" s="404"/>
      <c r="U688" s="404"/>
      <c r="V688" s="404"/>
      <c r="W688" s="404"/>
      <c r="X688" s="404"/>
      <c r="Y688" s="404"/>
      <c r="Z688" s="404"/>
    </row>
    <row r="689">
      <c r="A689" s="404"/>
      <c r="B689" s="404"/>
      <c r="C689" s="404"/>
      <c r="D689" s="404"/>
      <c r="E689" s="404"/>
      <c r="F689" s="404"/>
      <c r="G689" s="404"/>
      <c r="H689" s="404"/>
      <c r="I689" s="404"/>
      <c r="J689" s="404"/>
      <c r="K689" s="404"/>
      <c r="L689" s="404"/>
      <c r="M689" s="404"/>
      <c r="N689" s="404"/>
      <c r="O689" s="404"/>
      <c r="P689" s="404"/>
      <c r="Q689" s="404"/>
      <c r="R689" s="404"/>
      <c r="S689" s="404"/>
      <c r="T689" s="404"/>
      <c r="U689" s="404"/>
      <c r="V689" s="404"/>
      <c r="W689" s="404"/>
      <c r="X689" s="404"/>
      <c r="Y689" s="404"/>
      <c r="Z689" s="404"/>
    </row>
    <row r="690">
      <c r="A690" s="404"/>
      <c r="B690" s="404"/>
      <c r="C690" s="404"/>
      <c r="D690" s="404"/>
      <c r="E690" s="404"/>
      <c r="F690" s="404"/>
      <c r="G690" s="404"/>
      <c r="H690" s="404"/>
      <c r="I690" s="404"/>
      <c r="J690" s="404"/>
      <c r="K690" s="404"/>
      <c r="L690" s="404"/>
      <c r="M690" s="404"/>
      <c r="N690" s="404"/>
      <c r="O690" s="404"/>
      <c r="P690" s="404"/>
      <c r="Q690" s="404"/>
      <c r="R690" s="404"/>
      <c r="S690" s="404"/>
      <c r="T690" s="404"/>
      <c r="U690" s="404"/>
      <c r="V690" s="404"/>
      <c r="W690" s="404"/>
      <c r="X690" s="404"/>
      <c r="Y690" s="404"/>
      <c r="Z690" s="404"/>
    </row>
    <row r="691">
      <c r="A691" s="404"/>
      <c r="B691" s="404"/>
      <c r="C691" s="404"/>
      <c r="D691" s="404"/>
      <c r="E691" s="404"/>
      <c r="F691" s="404"/>
      <c r="G691" s="404"/>
      <c r="H691" s="404"/>
      <c r="I691" s="404"/>
      <c r="J691" s="404"/>
      <c r="K691" s="404"/>
      <c r="L691" s="404"/>
      <c r="M691" s="404"/>
      <c r="N691" s="404"/>
      <c r="O691" s="404"/>
      <c r="P691" s="404"/>
      <c r="Q691" s="404"/>
      <c r="R691" s="404"/>
      <c r="S691" s="404"/>
      <c r="T691" s="404"/>
      <c r="U691" s="404"/>
      <c r="V691" s="404"/>
      <c r="W691" s="404"/>
      <c r="X691" s="404"/>
      <c r="Y691" s="404"/>
      <c r="Z691" s="404"/>
    </row>
    <row r="692">
      <c r="A692" s="404"/>
      <c r="B692" s="404"/>
      <c r="C692" s="404"/>
      <c r="D692" s="404"/>
      <c r="E692" s="404"/>
      <c r="F692" s="404"/>
      <c r="G692" s="404"/>
      <c r="H692" s="404"/>
      <c r="I692" s="404"/>
      <c r="J692" s="404"/>
      <c r="K692" s="404"/>
      <c r="L692" s="404"/>
      <c r="M692" s="404"/>
      <c r="N692" s="404"/>
      <c r="O692" s="404"/>
      <c r="P692" s="404"/>
      <c r="Q692" s="404"/>
      <c r="R692" s="404"/>
      <c r="S692" s="404"/>
      <c r="T692" s="404"/>
      <c r="U692" s="404"/>
      <c r="V692" s="404"/>
      <c r="W692" s="404"/>
      <c r="X692" s="404"/>
      <c r="Y692" s="404"/>
      <c r="Z692" s="404"/>
    </row>
    <row r="693">
      <c r="A693" s="404"/>
      <c r="B693" s="404"/>
      <c r="C693" s="404"/>
      <c r="D693" s="404"/>
      <c r="E693" s="404"/>
      <c r="F693" s="404"/>
      <c r="G693" s="404"/>
      <c r="H693" s="404"/>
      <c r="I693" s="404"/>
      <c r="J693" s="404"/>
      <c r="K693" s="404"/>
      <c r="L693" s="404"/>
      <c r="M693" s="404"/>
      <c r="N693" s="404"/>
      <c r="O693" s="404"/>
      <c r="P693" s="404"/>
      <c r="Q693" s="404"/>
      <c r="R693" s="404"/>
      <c r="S693" s="404"/>
      <c r="T693" s="404"/>
      <c r="U693" s="404"/>
      <c r="V693" s="404"/>
      <c r="W693" s="404"/>
      <c r="X693" s="404"/>
      <c r="Y693" s="404"/>
      <c r="Z693" s="404"/>
    </row>
    <row r="694">
      <c r="A694" s="404"/>
      <c r="B694" s="404"/>
      <c r="C694" s="404"/>
      <c r="D694" s="404"/>
      <c r="E694" s="404"/>
      <c r="F694" s="404"/>
      <c r="G694" s="404"/>
      <c r="H694" s="404"/>
      <c r="I694" s="404"/>
      <c r="J694" s="404"/>
      <c r="K694" s="404"/>
      <c r="L694" s="404"/>
      <c r="M694" s="404"/>
      <c r="N694" s="404"/>
      <c r="O694" s="404"/>
      <c r="P694" s="404"/>
      <c r="Q694" s="404"/>
      <c r="R694" s="404"/>
      <c r="S694" s="404"/>
      <c r="T694" s="404"/>
      <c r="U694" s="404"/>
      <c r="V694" s="404"/>
      <c r="W694" s="404"/>
      <c r="X694" s="404"/>
      <c r="Y694" s="404"/>
      <c r="Z694" s="404"/>
    </row>
    <row r="695">
      <c r="A695" s="404"/>
      <c r="B695" s="404"/>
      <c r="C695" s="404"/>
      <c r="D695" s="404"/>
      <c r="E695" s="404"/>
      <c r="F695" s="404"/>
      <c r="G695" s="404"/>
      <c r="H695" s="404"/>
      <c r="I695" s="404"/>
      <c r="J695" s="404"/>
      <c r="K695" s="404"/>
      <c r="L695" s="404"/>
      <c r="M695" s="404"/>
      <c r="N695" s="404"/>
      <c r="O695" s="404"/>
      <c r="P695" s="404"/>
      <c r="Q695" s="404"/>
      <c r="R695" s="404"/>
      <c r="S695" s="404"/>
      <c r="T695" s="404"/>
      <c r="U695" s="404"/>
      <c r="V695" s="404"/>
      <c r="W695" s="404"/>
      <c r="X695" s="404"/>
      <c r="Y695" s="404"/>
      <c r="Z695" s="404"/>
    </row>
    <row r="696">
      <c r="A696" s="404"/>
      <c r="B696" s="404"/>
      <c r="C696" s="404"/>
      <c r="D696" s="404"/>
      <c r="E696" s="404"/>
      <c r="F696" s="404"/>
      <c r="G696" s="404"/>
      <c r="H696" s="404"/>
      <c r="I696" s="404"/>
      <c r="J696" s="404"/>
      <c r="K696" s="404"/>
      <c r="L696" s="404"/>
      <c r="M696" s="404"/>
      <c r="N696" s="404"/>
      <c r="O696" s="404"/>
      <c r="P696" s="404"/>
      <c r="Q696" s="404"/>
      <c r="R696" s="404"/>
      <c r="S696" s="404"/>
      <c r="T696" s="404"/>
      <c r="U696" s="404"/>
      <c r="V696" s="404"/>
      <c r="W696" s="404"/>
      <c r="X696" s="404"/>
      <c r="Y696" s="404"/>
      <c r="Z696" s="404"/>
    </row>
    <row r="697">
      <c r="A697" s="404"/>
      <c r="B697" s="404"/>
      <c r="C697" s="404"/>
      <c r="D697" s="404"/>
      <c r="E697" s="404"/>
      <c r="F697" s="404"/>
      <c r="G697" s="404"/>
      <c r="H697" s="404"/>
      <c r="I697" s="404"/>
      <c r="J697" s="404"/>
      <c r="K697" s="404"/>
      <c r="L697" s="404"/>
      <c r="M697" s="404"/>
      <c r="N697" s="404"/>
      <c r="O697" s="404"/>
      <c r="P697" s="404"/>
      <c r="Q697" s="404"/>
      <c r="R697" s="404"/>
      <c r="S697" s="404"/>
      <c r="T697" s="404"/>
      <c r="U697" s="404"/>
      <c r="V697" s="404"/>
      <c r="W697" s="404"/>
      <c r="X697" s="404"/>
      <c r="Y697" s="404"/>
      <c r="Z697" s="404"/>
    </row>
    <row r="698">
      <c r="A698" s="404"/>
      <c r="B698" s="404"/>
      <c r="C698" s="404"/>
      <c r="D698" s="404"/>
      <c r="E698" s="404"/>
      <c r="F698" s="404"/>
      <c r="G698" s="404"/>
      <c r="H698" s="404"/>
      <c r="I698" s="404"/>
      <c r="J698" s="404"/>
      <c r="K698" s="404"/>
      <c r="L698" s="404"/>
      <c r="M698" s="404"/>
      <c r="N698" s="404"/>
      <c r="O698" s="404"/>
      <c r="P698" s="404"/>
      <c r="Q698" s="404"/>
      <c r="R698" s="404"/>
      <c r="S698" s="404"/>
      <c r="T698" s="404"/>
      <c r="U698" s="404"/>
      <c r="V698" s="404"/>
      <c r="W698" s="404"/>
      <c r="X698" s="404"/>
      <c r="Y698" s="404"/>
      <c r="Z698" s="404"/>
    </row>
    <row r="699">
      <c r="A699" s="404"/>
      <c r="B699" s="404"/>
      <c r="C699" s="404"/>
      <c r="D699" s="404"/>
      <c r="E699" s="404"/>
      <c r="F699" s="404"/>
      <c r="G699" s="404"/>
      <c r="H699" s="404"/>
      <c r="I699" s="404"/>
      <c r="J699" s="404"/>
      <c r="K699" s="404"/>
      <c r="L699" s="404"/>
      <c r="M699" s="404"/>
      <c r="N699" s="404"/>
      <c r="O699" s="404"/>
      <c r="P699" s="404"/>
      <c r="Q699" s="404"/>
      <c r="R699" s="404"/>
      <c r="S699" s="404"/>
      <c r="T699" s="404"/>
      <c r="U699" s="404"/>
      <c r="V699" s="404"/>
      <c r="W699" s="404"/>
      <c r="X699" s="404"/>
      <c r="Y699" s="404"/>
      <c r="Z699" s="404"/>
    </row>
    <row r="700">
      <c r="A700" s="404"/>
      <c r="B700" s="404"/>
      <c r="C700" s="404"/>
      <c r="D700" s="404"/>
      <c r="E700" s="404"/>
      <c r="F700" s="404"/>
      <c r="G700" s="404"/>
      <c r="H700" s="404"/>
      <c r="I700" s="404"/>
      <c r="J700" s="404"/>
      <c r="K700" s="404"/>
      <c r="L700" s="404"/>
      <c r="M700" s="404"/>
      <c r="N700" s="404"/>
      <c r="O700" s="404"/>
      <c r="P700" s="404"/>
      <c r="Q700" s="404"/>
      <c r="R700" s="404"/>
      <c r="S700" s="404"/>
      <c r="T700" s="404"/>
      <c r="U700" s="404"/>
      <c r="V700" s="404"/>
      <c r="W700" s="404"/>
      <c r="X700" s="404"/>
      <c r="Y700" s="404"/>
      <c r="Z700" s="404"/>
    </row>
    <row r="701">
      <c r="A701" s="404"/>
      <c r="B701" s="404"/>
      <c r="C701" s="404"/>
      <c r="D701" s="404"/>
      <c r="E701" s="404"/>
      <c r="F701" s="404"/>
      <c r="G701" s="404"/>
      <c r="H701" s="404"/>
      <c r="I701" s="404"/>
      <c r="J701" s="404"/>
      <c r="K701" s="404"/>
      <c r="L701" s="404"/>
      <c r="M701" s="404"/>
      <c r="N701" s="404"/>
      <c r="O701" s="404"/>
      <c r="P701" s="404"/>
      <c r="Q701" s="404"/>
      <c r="R701" s="404"/>
      <c r="S701" s="404"/>
      <c r="T701" s="404"/>
      <c r="U701" s="404"/>
      <c r="V701" s="404"/>
      <c r="W701" s="404"/>
      <c r="X701" s="404"/>
      <c r="Y701" s="404"/>
      <c r="Z701" s="404"/>
    </row>
    <row r="702">
      <c r="A702" s="404"/>
      <c r="B702" s="404"/>
      <c r="C702" s="404"/>
      <c r="D702" s="404"/>
      <c r="E702" s="404"/>
      <c r="F702" s="404"/>
      <c r="G702" s="404"/>
      <c r="H702" s="404"/>
      <c r="I702" s="404"/>
      <c r="J702" s="404"/>
      <c r="K702" s="404"/>
      <c r="L702" s="404"/>
      <c r="M702" s="404"/>
      <c r="N702" s="404"/>
      <c r="O702" s="404"/>
      <c r="P702" s="404"/>
      <c r="Q702" s="404"/>
      <c r="R702" s="404"/>
      <c r="S702" s="404"/>
      <c r="T702" s="404"/>
      <c r="U702" s="404"/>
      <c r="V702" s="404"/>
      <c r="W702" s="404"/>
      <c r="X702" s="404"/>
      <c r="Y702" s="404"/>
      <c r="Z702" s="404"/>
    </row>
    <row r="703">
      <c r="A703" s="404"/>
      <c r="B703" s="404"/>
      <c r="C703" s="404"/>
      <c r="D703" s="404"/>
      <c r="E703" s="404"/>
      <c r="F703" s="404"/>
      <c r="G703" s="404"/>
      <c r="H703" s="404"/>
      <c r="I703" s="404"/>
      <c r="J703" s="404"/>
      <c r="K703" s="404"/>
      <c r="L703" s="404"/>
      <c r="M703" s="404"/>
      <c r="N703" s="404"/>
      <c r="O703" s="404"/>
      <c r="P703" s="404"/>
      <c r="Q703" s="404"/>
      <c r="R703" s="404"/>
      <c r="S703" s="404"/>
      <c r="T703" s="404"/>
      <c r="U703" s="404"/>
      <c r="V703" s="404"/>
      <c r="W703" s="404"/>
      <c r="X703" s="404"/>
      <c r="Y703" s="404"/>
      <c r="Z703" s="404"/>
    </row>
    <row r="704">
      <c r="A704" s="404"/>
      <c r="B704" s="404"/>
      <c r="C704" s="404"/>
      <c r="D704" s="404"/>
      <c r="E704" s="404"/>
      <c r="F704" s="404"/>
      <c r="G704" s="404"/>
      <c r="H704" s="404"/>
      <c r="I704" s="404"/>
      <c r="J704" s="404"/>
      <c r="K704" s="404"/>
      <c r="L704" s="404"/>
      <c r="M704" s="404"/>
      <c r="N704" s="404"/>
      <c r="O704" s="404"/>
      <c r="P704" s="404"/>
      <c r="Q704" s="404"/>
      <c r="R704" s="404"/>
      <c r="S704" s="404"/>
      <c r="T704" s="404"/>
      <c r="U704" s="404"/>
      <c r="V704" s="404"/>
      <c r="W704" s="404"/>
      <c r="X704" s="404"/>
      <c r="Y704" s="404"/>
      <c r="Z704" s="404"/>
    </row>
    <row r="705">
      <c r="A705" s="404"/>
      <c r="B705" s="404"/>
      <c r="C705" s="404"/>
      <c r="D705" s="404"/>
      <c r="E705" s="404"/>
      <c r="F705" s="404"/>
      <c r="G705" s="404"/>
      <c r="H705" s="404"/>
      <c r="I705" s="404"/>
      <c r="J705" s="404"/>
      <c r="K705" s="404"/>
      <c r="L705" s="404"/>
      <c r="M705" s="404"/>
      <c r="N705" s="404"/>
      <c r="O705" s="404"/>
      <c r="P705" s="404"/>
      <c r="Q705" s="404"/>
      <c r="R705" s="404"/>
      <c r="S705" s="404"/>
      <c r="T705" s="404"/>
      <c r="U705" s="404"/>
      <c r="V705" s="404"/>
      <c r="W705" s="404"/>
      <c r="X705" s="404"/>
      <c r="Y705" s="404"/>
      <c r="Z705" s="404"/>
    </row>
    <row r="706">
      <c r="A706" s="404"/>
      <c r="B706" s="404"/>
      <c r="C706" s="404"/>
      <c r="D706" s="404"/>
      <c r="E706" s="404"/>
      <c r="F706" s="404"/>
      <c r="G706" s="404"/>
      <c r="H706" s="404"/>
      <c r="I706" s="404"/>
      <c r="J706" s="404"/>
      <c r="K706" s="404"/>
      <c r="L706" s="404"/>
      <c r="M706" s="404"/>
      <c r="N706" s="404"/>
      <c r="O706" s="404"/>
      <c r="P706" s="404"/>
      <c r="Q706" s="404"/>
      <c r="R706" s="404"/>
      <c r="S706" s="404"/>
      <c r="T706" s="404"/>
      <c r="U706" s="404"/>
      <c r="V706" s="404"/>
      <c r="W706" s="404"/>
      <c r="X706" s="404"/>
      <c r="Y706" s="404"/>
      <c r="Z706" s="404"/>
    </row>
    <row r="707">
      <c r="A707" s="404"/>
      <c r="B707" s="404"/>
      <c r="C707" s="404"/>
      <c r="D707" s="404"/>
      <c r="E707" s="404"/>
      <c r="F707" s="404"/>
      <c r="G707" s="404"/>
      <c r="H707" s="404"/>
      <c r="I707" s="404"/>
      <c r="J707" s="404"/>
      <c r="K707" s="404"/>
      <c r="L707" s="404"/>
      <c r="M707" s="404"/>
      <c r="N707" s="404"/>
      <c r="O707" s="404"/>
      <c r="P707" s="404"/>
      <c r="Q707" s="404"/>
      <c r="R707" s="404"/>
      <c r="S707" s="404"/>
      <c r="T707" s="404"/>
      <c r="U707" s="404"/>
      <c r="V707" s="404"/>
      <c r="W707" s="404"/>
      <c r="X707" s="404"/>
      <c r="Y707" s="404"/>
      <c r="Z707" s="404"/>
    </row>
    <row r="708">
      <c r="A708" s="404"/>
      <c r="B708" s="404"/>
      <c r="C708" s="404"/>
      <c r="D708" s="404"/>
      <c r="E708" s="404"/>
      <c r="F708" s="404"/>
      <c r="G708" s="404"/>
      <c r="H708" s="404"/>
      <c r="I708" s="404"/>
      <c r="J708" s="404"/>
      <c r="K708" s="404"/>
      <c r="L708" s="404"/>
      <c r="M708" s="404"/>
      <c r="N708" s="404"/>
      <c r="O708" s="404"/>
      <c r="P708" s="404"/>
      <c r="Q708" s="404"/>
      <c r="R708" s="404"/>
      <c r="S708" s="404"/>
      <c r="T708" s="404"/>
      <c r="U708" s="404"/>
      <c r="V708" s="404"/>
      <c r="W708" s="404"/>
      <c r="X708" s="404"/>
      <c r="Y708" s="404"/>
      <c r="Z708" s="404"/>
    </row>
    <row r="709">
      <c r="A709" s="404"/>
      <c r="B709" s="404"/>
      <c r="C709" s="404"/>
      <c r="D709" s="404"/>
      <c r="E709" s="404"/>
      <c r="F709" s="404"/>
      <c r="G709" s="404"/>
      <c r="H709" s="404"/>
      <c r="I709" s="404"/>
      <c r="J709" s="404"/>
      <c r="K709" s="404"/>
      <c r="L709" s="404"/>
      <c r="M709" s="404"/>
      <c r="N709" s="404"/>
      <c r="O709" s="404"/>
      <c r="P709" s="404"/>
      <c r="Q709" s="404"/>
      <c r="R709" s="404"/>
      <c r="S709" s="404"/>
      <c r="T709" s="404"/>
      <c r="U709" s="404"/>
      <c r="V709" s="404"/>
      <c r="W709" s="404"/>
      <c r="X709" s="404"/>
      <c r="Y709" s="404"/>
      <c r="Z709" s="404"/>
    </row>
    <row r="710">
      <c r="A710" s="404"/>
      <c r="B710" s="404"/>
      <c r="C710" s="404"/>
      <c r="D710" s="404"/>
      <c r="E710" s="404"/>
      <c r="F710" s="404"/>
      <c r="G710" s="404"/>
      <c r="H710" s="404"/>
      <c r="I710" s="404"/>
      <c r="J710" s="404"/>
      <c r="K710" s="404"/>
      <c r="L710" s="404"/>
      <c r="M710" s="404"/>
      <c r="N710" s="404"/>
      <c r="O710" s="404"/>
      <c r="P710" s="404"/>
      <c r="Q710" s="404"/>
      <c r="R710" s="404"/>
      <c r="S710" s="404"/>
      <c r="T710" s="404"/>
      <c r="U710" s="404"/>
      <c r="V710" s="404"/>
      <c r="W710" s="404"/>
      <c r="X710" s="404"/>
      <c r="Y710" s="404"/>
      <c r="Z710" s="404"/>
    </row>
    <row r="711">
      <c r="A711" s="404"/>
      <c r="B711" s="404"/>
      <c r="C711" s="404"/>
      <c r="D711" s="404"/>
      <c r="E711" s="404"/>
      <c r="F711" s="404"/>
      <c r="G711" s="404"/>
      <c r="H711" s="404"/>
      <c r="I711" s="404"/>
      <c r="J711" s="404"/>
      <c r="K711" s="404"/>
      <c r="L711" s="404"/>
      <c r="M711" s="404"/>
      <c r="N711" s="404"/>
      <c r="O711" s="404"/>
      <c r="P711" s="404"/>
      <c r="Q711" s="404"/>
      <c r="R711" s="404"/>
      <c r="S711" s="404"/>
      <c r="T711" s="404"/>
      <c r="U711" s="404"/>
      <c r="V711" s="404"/>
      <c r="W711" s="404"/>
      <c r="X711" s="404"/>
      <c r="Y711" s="404"/>
      <c r="Z711" s="404"/>
    </row>
    <row r="712">
      <c r="A712" s="404"/>
      <c r="B712" s="404"/>
      <c r="C712" s="404"/>
      <c r="D712" s="404"/>
      <c r="E712" s="404"/>
      <c r="F712" s="404"/>
      <c r="G712" s="404"/>
      <c r="H712" s="404"/>
      <c r="I712" s="404"/>
      <c r="J712" s="404"/>
      <c r="K712" s="404"/>
      <c r="L712" s="404"/>
      <c r="M712" s="404"/>
      <c r="N712" s="404"/>
      <c r="O712" s="404"/>
      <c r="P712" s="404"/>
      <c r="Q712" s="404"/>
      <c r="R712" s="404"/>
      <c r="S712" s="404"/>
      <c r="T712" s="404"/>
      <c r="U712" s="404"/>
      <c r="V712" s="404"/>
      <c r="W712" s="404"/>
      <c r="X712" s="404"/>
      <c r="Y712" s="404"/>
      <c r="Z712" s="404"/>
    </row>
    <row r="713">
      <c r="A713" s="404"/>
      <c r="B713" s="404"/>
      <c r="C713" s="404"/>
      <c r="D713" s="404"/>
      <c r="E713" s="404"/>
      <c r="F713" s="404"/>
      <c r="G713" s="404"/>
      <c r="H713" s="404"/>
      <c r="I713" s="404"/>
      <c r="J713" s="404"/>
      <c r="K713" s="404"/>
      <c r="L713" s="404"/>
      <c r="M713" s="404"/>
      <c r="N713" s="404"/>
      <c r="O713" s="404"/>
      <c r="P713" s="404"/>
      <c r="Q713" s="404"/>
      <c r="R713" s="404"/>
      <c r="S713" s="404"/>
      <c r="T713" s="404"/>
      <c r="U713" s="404"/>
      <c r="V713" s="404"/>
      <c r="W713" s="404"/>
      <c r="X713" s="404"/>
      <c r="Y713" s="404"/>
      <c r="Z713" s="404"/>
    </row>
    <row r="714">
      <c r="A714" s="404"/>
      <c r="B714" s="404"/>
      <c r="C714" s="404"/>
      <c r="D714" s="404"/>
      <c r="E714" s="404"/>
      <c r="F714" s="404"/>
      <c r="G714" s="404"/>
      <c r="H714" s="404"/>
      <c r="I714" s="404"/>
      <c r="J714" s="404"/>
      <c r="K714" s="404"/>
      <c r="L714" s="404"/>
      <c r="M714" s="404"/>
      <c r="N714" s="404"/>
      <c r="O714" s="404"/>
      <c r="P714" s="404"/>
      <c r="Q714" s="404"/>
      <c r="R714" s="404"/>
      <c r="S714" s="404"/>
      <c r="T714" s="404"/>
      <c r="U714" s="404"/>
      <c r="V714" s="404"/>
      <c r="W714" s="404"/>
      <c r="X714" s="404"/>
      <c r="Y714" s="404"/>
      <c r="Z714" s="404"/>
    </row>
    <row r="715">
      <c r="A715" s="404"/>
      <c r="B715" s="404"/>
      <c r="C715" s="404"/>
      <c r="D715" s="404"/>
      <c r="E715" s="404"/>
      <c r="F715" s="404"/>
      <c r="G715" s="404"/>
      <c r="H715" s="404"/>
      <c r="I715" s="404"/>
      <c r="J715" s="404"/>
      <c r="K715" s="404"/>
      <c r="L715" s="404"/>
      <c r="M715" s="404"/>
      <c r="N715" s="404"/>
      <c r="O715" s="404"/>
      <c r="P715" s="404"/>
      <c r="Q715" s="404"/>
      <c r="R715" s="404"/>
      <c r="S715" s="404"/>
      <c r="T715" s="404"/>
      <c r="U715" s="404"/>
      <c r="V715" s="404"/>
      <c r="W715" s="404"/>
      <c r="X715" s="404"/>
      <c r="Y715" s="404"/>
      <c r="Z715" s="404"/>
    </row>
    <row r="716">
      <c r="A716" s="404"/>
      <c r="B716" s="404"/>
      <c r="C716" s="404"/>
      <c r="D716" s="404"/>
      <c r="E716" s="404"/>
      <c r="F716" s="404"/>
      <c r="G716" s="404"/>
      <c r="H716" s="404"/>
      <c r="I716" s="404"/>
      <c r="J716" s="404"/>
      <c r="K716" s="404"/>
      <c r="L716" s="404"/>
      <c r="M716" s="404"/>
      <c r="N716" s="404"/>
      <c r="O716" s="404"/>
      <c r="P716" s="404"/>
      <c r="Q716" s="404"/>
      <c r="R716" s="404"/>
      <c r="S716" s="404"/>
      <c r="T716" s="404"/>
      <c r="U716" s="404"/>
      <c r="V716" s="404"/>
      <c r="W716" s="404"/>
      <c r="X716" s="404"/>
      <c r="Y716" s="404"/>
      <c r="Z716" s="404"/>
    </row>
    <row r="717">
      <c r="A717" s="404"/>
      <c r="B717" s="404"/>
      <c r="C717" s="404"/>
      <c r="D717" s="404"/>
      <c r="E717" s="404"/>
      <c r="F717" s="404"/>
      <c r="G717" s="404"/>
      <c r="H717" s="404"/>
      <c r="I717" s="404"/>
      <c r="J717" s="404"/>
      <c r="K717" s="404"/>
      <c r="L717" s="404"/>
      <c r="M717" s="404"/>
      <c r="N717" s="404"/>
      <c r="O717" s="404"/>
      <c r="P717" s="404"/>
      <c r="Q717" s="404"/>
      <c r="R717" s="404"/>
      <c r="S717" s="404"/>
      <c r="T717" s="404"/>
      <c r="U717" s="404"/>
      <c r="V717" s="404"/>
      <c r="W717" s="404"/>
      <c r="X717" s="404"/>
      <c r="Y717" s="404"/>
      <c r="Z717" s="404"/>
    </row>
    <row r="718">
      <c r="A718" s="404"/>
      <c r="B718" s="404"/>
      <c r="C718" s="404"/>
      <c r="D718" s="404"/>
      <c r="E718" s="404"/>
      <c r="F718" s="404"/>
      <c r="G718" s="404"/>
      <c r="H718" s="404"/>
      <c r="I718" s="404"/>
      <c r="J718" s="404"/>
      <c r="K718" s="404"/>
      <c r="L718" s="404"/>
      <c r="M718" s="404"/>
      <c r="N718" s="404"/>
      <c r="O718" s="404"/>
      <c r="P718" s="404"/>
      <c r="Q718" s="404"/>
      <c r="R718" s="404"/>
      <c r="S718" s="404"/>
      <c r="T718" s="404"/>
      <c r="U718" s="404"/>
      <c r="V718" s="404"/>
      <c r="W718" s="404"/>
      <c r="X718" s="404"/>
      <c r="Y718" s="404"/>
      <c r="Z718" s="404"/>
    </row>
    <row r="719">
      <c r="A719" s="404"/>
      <c r="B719" s="404"/>
      <c r="C719" s="404"/>
      <c r="D719" s="404"/>
      <c r="E719" s="404"/>
      <c r="F719" s="404"/>
      <c r="G719" s="404"/>
      <c r="H719" s="404"/>
      <c r="I719" s="404"/>
      <c r="J719" s="404"/>
      <c r="K719" s="404"/>
      <c r="L719" s="404"/>
      <c r="M719" s="404"/>
      <c r="N719" s="404"/>
      <c r="O719" s="404"/>
      <c r="P719" s="404"/>
      <c r="Q719" s="404"/>
      <c r="R719" s="404"/>
      <c r="S719" s="404"/>
      <c r="T719" s="404"/>
      <c r="U719" s="404"/>
      <c r="V719" s="404"/>
      <c r="W719" s="404"/>
      <c r="X719" s="404"/>
      <c r="Y719" s="404"/>
      <c r="Z719" s="404"/>
    </row>
    <row r="720">
      <c r="A720" s="404"/>
      <c r="B720" s="404"/>
      <c r="C720" s="404"/>
      <c r="D720" s="404"/>
      <c r="E720" s="404"/>
      <c r="F720" s="404"/>
      <c r="G720" s="404"/>
      <c r="H720" s="404"/>
      <c r="I720" s="404"/>
      <c r="J720" s="404"/>
      <c r="K720" s="404"/>
      <c r="L720" s="404"/>
      <c r="M720" s="404"/>
      <c r="N720" s="404"/>
      <c r="O720" s="404"/>
      <c r="P720" s="404"/>
      <c r="Q720" s="404"/>
      <c r="R720" s="404"/>
      <c r="S720" s="404"/>
      <c r="T720" s="404"/>
      <c r="U720" s="404"/>
      <c r="V720" s="404"/>
      <c r="W720" s="404"/>
      <c r="X720" s="404"/>
      <c r="Y720" s="404"/>
      <c r="Z720" s="404"/>
    </row>
    <row r="721">
      <c r="A721" s="404"/>
      <c r="B721" s="404"/>
      <c r="C721" s="404"/>
      <c r="D721" s="404"/>
      <c r="E721" s="404"/>
      <c r="F721" s="404"/>
      <c r="G721" s="404"/>
      <c r="H721" s="404"/>
      <c r="I721" s="404"/>
      <c r="J721" s="404"/>
      <c r="K721" s="404"/>
      <c r="L721" s="404"/>
      <c r="M721" s="404"/>
      <c r="N721" s="404"/>
      <c r="O721" s="404"/>
      <c r="P721" s="404"/>
      <c r="Q721" s="404"/>
      <c r="R721" s="404"/>
      <c r="S721" s="404"/>
      <c r="T721" s="404"/>
      <c r="U721" s="404"/>
      <c r="V721" s="404"/>
      <c r="W721" s="404"/>
      <c r="X721" s="404"/>
      <c r="Y721" s="404"/>
      <c r="Z721" s="404"/>
    </row>
    <row r="722">
      <c r="A722" s="404"/>
      <c r="B722" s="404"/>
      <c r="C722" s="404"/>
      <c r="D722" s="404"/>
      <c r="E722" s="404"/>
      <c r="F722" s="404"/>
      <c r="G722" s="404"/>
      <c r="H722" s="404"/>
      <c r="I722" s="404"/>
      <c r="J722" s="404"/>
      <c r="K722" s="404"/>
      <c r="L722" s="404"/>
      <c r="M722" s="404"/>
      <c r="N722" s="404"/>
      <c r="O722" s="404"/>
      <c r="P722" s="404"/>
      <c r="Q722" s="404"/>
      <c r="R722" s="404"/>
      <c r="S722" s="404"/>
      <c r="T722" s="404"/>
      <c r="U722" s="404"/>
      <c r="V722" s="404"/>
      <c r="W722" s="404"/>
      <c r="X722" s="404"/>
      <c r="Y722" s="404"/>
      <c r="Z722" s="404"/>
    </row>
    <row r="723">
      <c r="A723" s="404"/>
      <c r="B723" s="404"/>
      <c r="C723" s="404"/>
      <c r="D723" s="404"/>
      <c r="E723" s="404"/>
      <c r="F723" s="404"/>
      <c r="G723" s="404"/>
      <c r="H723" s="404"/>
      <c r="I723" s="404"/>
      <c r="J723" s="404"/>
      <c r="K723" s="404"/>
      <c r="L723" s="404"/>
      <c r="M723" s="404"/>
      <c r="N723" s="404"/>
      <c r="O723" s="404"/>
      <c r="P723" s="404"/>
      <c r="Q723" s="404"/>
      <c r="R723" s="404"/>
      <c r="S723" s="404"/>
      <c r="T723" s="404"/>
      <c r="U723" s="404"/>
      <c r="V723" s="404"/>
      <c r="W723" s="404"/>
      <c r="X723" s="404"/>
      <c r="Y723" s="404"/>
      <c r="Z723" s="404"/>
    </row>
    <row r="724">
      <c r="A724" s="404"/>
      <c r="B724" s="404"/>
      <c r="C724" s="404"/>
      <c r="D724" s="404"/>
      <c r="E724" s="404"/>
      <c r="F724" s="404"/>
      <c r="G724" s="404"/>
      <c r="H724" s="404"/>
      <c r="I724" s="404"/>
      <c r="J724" s="404"/>
      <c r="K724" s="404"/>
      <c r="L724" s="404"/>
      <c r="M724" s="404"/>
      <c r="N724" s="404"/>
      <c r="O724" s="404"/>
      <c r="P724" s="404"/>
      <c r="Q724" s="404"/>
      <c r="R724" s="404"/>
      <c r="S724" s="404"/>
      <c r="T724" s="404"/>
      <c r="U724" s="404"/>
      <c r="V724" s="404"/>
      <c r="W724" s="404"/>
      <c r="X724" s="404"/>
      <c r="Y724" s="404"/>
      <c r="Z724" s="404"/>
    </row>
    <row r="725">
      <c r="A725" s="404"/>
      <c r="B725" s="404"/>
      <c r="C725" s="404"/>
      <c r="D725" s="404"/>
      <c r="E725" s="404"/>
      <c r="F725" s="404"/>
      <c r="G725" s="404"/>
      <c r="H725" s="404"/>
      <c r="I725" s="404"/>
      <c r="J725" s="404"/>
      <c r="K725" s="404"/>
      <c r="L725" s="404"/>
      <c r="M725" s="404"/>
      <c r="N725" s="404"/>
      <c r="O725" s="404"/>
      <c r="P725" s="404"/>
      <c r="Q725" s="404"/>
      <c r="R725" s="404"/>
      <c r="S725" s="404"/>
      <c r="T725" s="404"/>
      <c r="U725" s="404"/>
      <c r="V725" s="404"/>
      <c r="W725" s="404"/>
      <c r="X725" s="404"/>
      <c r="Y725" s="404"/>
      <c r="Z725" s="404"/>
    </row>
    <row r="726">
      <c r="A726" s="404"/>
      <c r="B726" s="404"/>
      <c r="C726" s="404"/>
      <c r="D726" s="404"/>
      <c r="E726" s="404"/>
      <c r="F726" s="404"/>
      <c r="G726" s="404"/>
      <c r="H726" s="404"/>
      <c r="I726" s="404"/>
      <c r="J726" s="404"/>
      <c r="K726" s="404"/>
      <c r="L726" s="404"/>
      <c r="M726" s="404"/>
      <c r="N726" s="404"/>
      <c r="O726" s="404"/>
      <c r="P726" s="404"/>
      <c r="Q726" s="404"/>
      <c r="R726" s="404"/>
      <c r="S726" s="404"/>
      <c r="T726" s="404"/>
      <c r="U726" s="404"/>
      <c r="V726" s="404"/>
      <c r="W726" s="404"/>
      <c r="X726" s="404"/>
      <c r="Y726" s="404"/>
      <c r="Z726" s="404"/>
    </row>
    <row r="727">
      <c r="A727" s="404"/>
      <c r="B727" s="404"/>
      <c r="C727" s="404"/>
      <c r="D727" s="404"/>
      <c r="E727" s="404"/>
      <c r="F727" s="404"/>
      <c r="G727" s="404"/>
      <c r="H727" s="404"/>
      <c r="I727" s="404"/>
      <c r="J727" s="404"/>
      <c r="K727" s="404"/>
      <c r="L727" s="404"/>
      <c r="M727" s="404"/>
      <c r="N727" s="404"/>
      <c r="O727" s="404"/>
      <c r="P727" s="404"/>
      <c r="Q727" s="404"/>
      <c r="R727" s="404"/>
      <c r="S727" s="404"/>
      <c r="T727" s="404"/>
      <c r="U727" s="404"/>
      <c r="V727" s="404"/>
      <c r="W727" s="404"/>
      <c r="X727" s="404"/>
      <c r="Y727" s="404"/>
      <c r="Z727" s="404"/>
    </row>
    <row r="728">
      <c r="A728" s="404"/>
      <c r="B728" s="404"/>
      <c r="C728" s="404"/>
      <c r="D728" s="404"/>
      <c r="E728" s="404"/>
      <c r="F728" s="404"/>
      <c r="G728" s="404"/>
      <c r="H728" s="404"/>
      <c r="I728" s="404"/>
      <c r="J728" s="404"/>
      <c r="K728" s="404"/>
      <c r="L728" s="404"/>
      <c r="M728" s="404"/>
      <c r="N728" s="404"/>
      <c r="O728" s="404"/>
      <c r="P728" s="404"/>
      <c r="Q728" s="404"/>
      <c r="R728" s="404"/>
      <c r="S728" s="404"/>
      <c r="T728" s="404"/>
      <c r="U728" s="404"/>
      <c r="V728" s="404"/>
      <c r="W728" s="404"/>
      <c r="X728" s="404"/>
      <c r="Y728" s="404"/>
      <c r="Z728" s="404"/>
    </row>
    <row r="729">
      <c r="A729" s="404"/>
      <c r="B729" s="404"/>
      <c r="C729" s="404"/>
      <c r="D729" s="404"/>
      <c r="E729" s="404"/>
      <c r="F729" s="404"/>
      <c r="G729" s="404"/>
      <c r="H729" s="404"/>
      <c r="I729" s="404"/>
      <c r="J729" s="404"/>
      <c r="K729" s="404"/>
      <c r="L729" s="404"/>
      <c r="M729" s="404"/>
      <c r="N729" s="404"/>
      <c r="O729" s="404"/>
      <c r="P729" s="404"/>
      <c r="Q729" s="404"/>
      <c r="R729" s="404"/>
      <c r="S729" s="404"/>
      <c r="T729" s="404"/>
      <c r="U729" s="404"/>
      <c r="V729" s="404"/>
      <c r="W729" s="404"/>
      <c r="X729" s="404"/>
      <c r="Y729" s="404"/>
      <c r="Z729" s="404"/>
    </row>
    <row r="730">
      <c r="A730" s="404"/>
      <c r="B730" s="404"/>
      <c r="C730" s="404"/>
      <c r="D730" s="404"/>
      <c r="E730" s="404"/>
      <c r="F730" s="404"/>
      <c r="G730" s="404"/>
      <c r="H730" s="404"/>
      <c r="I730" s="404"/>
      <c r="J730" s="404"/>
      <c r="K730" s="404"/>
      <c r="L730" s="404"/>
      <c r="M730" s="404"/>
      <c r="N730" s="404"/>
      <c r="O730" s="404"/>
      <c r="P730" s="404"/>
      <c r="Q730" s="404"/>
      <c r="R730" s="404"/>
      <c r="S730" s="404"/>
      <c r="T730" s="404"/>
      <c r="U730" s="404"/>
      <c r="V730" s="404"/>
      <c r="W730" s="404"/>
      <c r="X730" s="404"/>
      <c r="Y730" s="404"/>
      <c r="Z730" s="404"/>
    </row>
    <row r="731">
      <c r="A731" s="404"/>
      <c r="B731" s="404"/>
      <c r="C731" s="404"/>
      <c r="D731" s="404"/>
      <c r="E731" s="404"/>
      <c r="F731" s="404"/>
      <c r="G731" s="404"/>
      <c r="H731" s="404"/>
      <c r="I731" s="404"/>
      <c r="J731" s="404"/>
      <c r="K731" s="404"/>
      <c r="L731" s="404"/>
      <c r="M731" s="404"/>
      <c r="N731" s="404"/>
      <c r="O731" s="404"/>
      <c r="P731" s="404"/>
      <c r="Q731" s="404"/>
      <c r="R731" s="404"/>
      <c r="S731" s="404"/>
      <c r="T731" s="404"/>
      <c r="U731" s="404"/>
      <c r="V731" s="404"/>
      <c r="W731" s="404"/>
      <c r="X731" s="404"/>
      <c r="Y731" s="404"/>
      <c r="Z731" s="404"/>
    </row>
    <row r="732">
      <c r="A732" s="404"/>
      <c r="B732" s="404"/>
      <c r="C732" s="404"/>
      <c r="D732" s="404"/>
      <c r="E732" s="404"/>
      <c r="F732" s="404"/>
      <c r="G732" s="404"/>
      <c r="H732" s="404"/>
      <c r="I732" s="404"/>
      <c r="J732" s="404"/>
      <c r="K732" s="404"/>
      <c r="L732" s="404"/>
      <c r="M732" s="404"/>
      <c r="N732" s="404"/>
      <c r="O732" s="404"/>
      <c r="P732" s="404"/>
      <c r="Q732" s="404"/>
      <c r="R732" s="404"/>
      <c r="S732" s="404"/>
      <c r="T732" s="404"/>
      <c r="U732" s="404"/>
      <c r="V732" s="404"/>
      <c r="W732" s="404"/>
      <c r="X732" s="404"/>
      <c r="Y732" s="404"/>
      <c r="Z732" s="404"/>
    </row>
    <row r="733">
      <c r="A733" s="404"/>
      <c r="B733" s="404"/>
      <c r="C733" s="404"/>
      <c r="D733" s="404"/>
      <c r="E733" s="404"/>
      <c r="F733" s="404"/>
      <c r="G733" s="404"/>
      <c r="H733" s="404"/>
      <c r="I733" s="404"/>
      <c r="J733" s="404"/>
      <c r="K733" s="404"/>
      <c r="L733" s="404"/>
      <c r="M733" s="404"/>
      <c r="N733" s="404"/>
      <c r="O733" s="404"/>
      <c r="P733" s="404"/>
      <c r="Q733" s="404"/>
      <c r="R733" s="404"/>
      <c r="S733" s="404"/>
      <c r="T733" s="404"/>
      <c r="U733" s="404"/>
      <c r="V733" s="404"/>
      <c r="W733" s="404"/>
      <c r="X733" s="404"/>
      <c r="Y733" s="404"/>
      <c r="Z733" s="404"/>
    </row>
    <row r="734">
      <c r="A734" s="404"/>
      <c r="B734" s="404"/>
      <c r="C734" s="404"/>
      <c r="D734" s="404"/>
      <c r="E734" s="404"/>
      <c r="F734" s="404"/>
      <c r="G734" s="404"/>
      <c r="H734" s="404"/>
      <c r="I734" s="404"/>
      <c r="J734" s="404"/>
      <c r="K734" s="404"/>
      <c r="L734" s="404"/>
      <c r="M734" s="404"/>
      <c r="N734" s="404"/>
      <c r="O734" s="404"/>
      <c r="P734" s="404"/>
      <c r="Q734" s="404"/>
      <c r="R734" s="404"/>
      <c r="S734" s="404"/>
      <c r="T734" s="404"/>
      <c r="U734" s="404"/>
      <c r="V734" s="404"/>
      <c r="W734" s="404"/>
      <c r="X734" s="404"/>
      <c r="Y734" s="404"/>
      <c r="Z734" s="404"/>
    </row>
    <row r="735">
      <c r="A735" s="404"/>
      <c r="B735" s="404"/>
      <c r="C735" s="404"/>
      <c r="D735" s="404"/>
      <c r="E735" s="404"/>
      <c r="F735" s="404"/>
      <c r="G735" s="404"/>
      <c r="H735" s="404"/>
      <c r="I735" s="404"/>
      <c r="J735" s="404"/>
      <c r="K735" s="404"/>
      <c r="L735" s="404"/>
      <c r="M735" s="404"/>
      <c r="N735" s="404"/>
      <c r="O735" s="404"/>
      <c r="P735" s="404"/>
      <c r="Q735" s="404"/>
      <c r="R735" s="404"/>
      <c r="S735" s="404"/>
      <c r="T735" s="404"/>
      <c r="U735" s="404"/>
      <c r="V735" s="404"/>
      <c r="W735" s="404"/>
      <c r="X735" s="404"/>
      <c r="Y735" s="404"/>
      <c r="Z735" s="404"/>
    </row>
    <row r="736">
      <c r="A736" s="404"/>
      <c r="B736" s="404"/>
      <c r="C736" s="404"/>
      <c r="D736" s="404"/>
      <c r="E736" s="404"/>
      <c r="F736" s="404"/>
      <c r="G736" s="404"/>
      <c r="H736" s="404"/>
      <c r="I736" s="404"/>
      <c r="J736" s="404"/>
      <c r="K736" s="404"/>
      <c r="L736" s="404"/>
      <c r="M736" s="404"/>
      <c r="N736" s="404"/>
      <c r="O736" s="404"/>
      <c r="P736" s="404"/>
      <c r="Q736" s="404"/>
      <c r="R736" s="404"/>
      <c r="S736" s="404"/>
      <c r="T736" s="404"/>
      <c r="U736" s="404"/>
      <c r="V736" s="404"/>
      <c r="W736" s="404"/>
      <c r="X736" s="404"/>
      <c r="Y736" s="404"/>
      <c r="Z736" s="404"/>
    </row>
    <row r="737">
      <c r="A737" s="404"/>
      <c r="B737" s="404"/>
      <c r="C737" s="404"/>
      <c r="D737" s="404"/>
      <c r="E737" s="404"/>
      <c r="F737" s="404"/>
      <c r="G737" s="404"/>
      <c r="H737" s="404"/>
      <c r="I737" s="404"/>
      <c r="J737" s="404"/>
      <c r="K737" s="404"/>
      <c r="L737" s="404"/>
      <c r="M737" s="404"/>
      <c r="N737" s="404"/>
      <c r="O737" s="404"/>
      <c r="P737" s="404"/>
      <c r="Q737" s="404"/>
      <c r="R737" s="404"/>
      <c r="S737" s="404"/>
      <c r="T737" s="404"/>
      <c r="U737" s="404"/>
      <c r="V737" s="404"/>
      <c r="W737" s="404"/>
      <c r="X737" s="404"/>
      <c r="Y737" s="404"/>
      <c r="Z737" s="404"/>
    </row>
    <row r="738">
      <c r="A738" s="404"/>
      <c r="B738" s="404"/>
      <c r="C738" s="404"/>
      <c r="D738" s="404"/>
      <c r="E738" s="404"/>
      <c r="F738" s="404"/>
      <c r="G738" s="404"/>
      <c r="H738" s="404"/>
      <c r="I738" s="404"/>
      <c r="J738" s="404"/>
      <c r="K738" s="404"/>
      <c r="L738" s="404"/>
      <c r="M738" s="404"/>
      <c r="N738" s="404"/>
      <c r="O738" s="404"/>
      <c r="P738" s="404"/>
      <c r="Q738" s="404"/>
      <c r="R738" s="404"/>
      <c r="S738" s="404"/>
      <c r="T738" s="404"/>
      <c r="U738" s="404"/>
      <c r="V738" s="404"/>
      <c r="W738" s="404"/>
      <c r="X738" s="404"/>
      <c r="Y738" s="404"/>
      <c r="Z738" s="404"/>
    </row>
    <row r="739">
      <c r="A739" s="404"/>
      <c r="B739" s="404"/>
      <c r="C739" s="404"/>
      <c r="D739" s="404"/>
      <c r="E739" s="404"/>
      <c r="F739" s="404"/>
      <c r="G739" s="404"/>
      <c r="H739" s="404"/>
      <c r="I739" s="404"/>
      <c r="J739" s="404"/>
      <c r="K739" s="404"/>
      <c r="L739" s="404"/>
      <c r="M739" s="404"/>
      <c r="N739" s="404"/>
      <c r="O739" s="404"/>
      <c r="P739" s="404"/>
      <c r="Q739" s="404"/>
      <c r="R739" s="404"/>
      <c r="S739" s="404"/>
      <c r="T739" s="404"/>
      <c r="U739" s="404"/>
      <c r="V739" s="404"/>
      <c r="W739" s="404"/>
      <c r="X739" s="404"/>
      <c r="Y739" s="404"/>
      <c r="Z739" s="404"/>
    </row>
    <row r="740">
      <c r="A740" s="404"/>
      <c r="B740" s="404"/>
      <c r="C740" s="404"/>
      <c r="D740" s="404"/>
      <c r="E740" s="404"/>
      <c r="F740" s="404"/>
      <c r="G740" s="404"/>
      <c r="H740" s="404"/>
      <c r="I740" s="404"/>
      <c r="J740" s="404"/>
      <c r="K740" s="404"/>
      <c r="L740" s="404"/>
      <c r="M740" s="404"/>
      <c r="N740" s="404"/>
      <c r="O740" s="404"/>
      <c r="P740" s="404"/>
      <c r="Q740" s="404"/>
      <c r="R740" s="404"/>
      <c r="S740" s="404"/>
      <c r="T740" s="404"/>
      <c r="U740" s="404"/>
      <c r="V740" s="404"/>
      <c r="W740" s="404"/>
      <c r="X740" s="404"/>
      <c r="Y740" s="404"/>
      <c r="Z740" s="404"/>
    </row>
    <row r="741">
      <c r="A741" s="404"/>
      <c r="B741" s="404"/>
      <c r="C741" s="404"/>
      <c r="D741" s="404"/>
      <c r="E741" s="404"/>
      <c r="F741" s="404"/>
      <c r="G741" s="404"/>
      <c r="H741" s="404"/>
      <c r="I741" s="404"/>
      <c r="J741" s="404"/>
      <c r="K741" s="404"/>
      <c r="L741" s="404"/>
      <c r="M741" s="404"/>
      <c r="N741" s="404"/>
      <c r="O741" s="404"/>
      <c r="P741" s="404"/>
      <c r="Q741" s="404"/>
      <c r="R741" s="404"/>
      <c r="S741" s="404"/>
      <c r="T741" s="404"/>
      <c r="U741" s="404"/>
      <c r="V741" s="404"/>
      <c r="W741" s="404"/>
      <c r="X741" s="404"/>
      <c r="Y741" s="404"/>
      <c r="Z741" s="404"/>
    </row>
    <row r="742">
      <c r="A742" s="404"/>
      <c r="B742" s="404"/>
      <c r="C742" s="404"/>
      <c r="D742" s="404"/>
      <c r="E742" s="404"/>
      <c r="F742" s="404"/>
      <c r="G742" s="404"/>
      <c r="H742" s="404"/>
      <c r="I742" s="404"/>
      <c r="J742" s="404"/>
      <c r="K742" s="404"/>
      <c r="L742" s="404"/>
      <c r="M742" s="404"/>
      <c r="N742" s="404"/>
      <c r="O742" s="404"/>
      <c r="P742" s="404"/>
      <c r="Q742" s="404"/>
      <c r="R742" s="404"/>
      <c r="S742" s="404"/>
      <c r="T742" s="404"/>
      <c r="U742" s="404"/>
      <c r="V742" s="404"/>
      <c r="W742" s="404"/>
      <c r="X742" s="404"/>
      <c r="Y742" s="404"/>
      <c r="Z742" s="404"/>
    </row>
    <row r="743">
      <c r="A743" s="404"/>
      <c r="B743" s="404"/>
      <c r="C743" s="404"/>
      <c r="D743" s="404"/>
      <c r="E743" s="404"/>
      <c r="F743" s="404"/>
      <c r="G743" s="404"/>
      <c r="H743" s="404"/>
      <c r="I743" s="404"/>
      <c r="J743" s="404"/>
      <c r="K743" s="404"/>
      <c r="L743" s="404"/>
      <c r="M743" s="404"/>
      <c r="N743" s="404"/>
      <c r="O743" s="404"/>
      <c r="P743" s="404"/>
      <c r="Q743" s="404"/>
      <c r="R743" s="404"/>
      <c r="S743" s="404"/>
      <c r="T743" s="404"/>
      <c r="U743" s="404"/>
      <c r="V743" s="404"/>
      <c r="W743" s="404"/>
      <c r="X743" s="404"/>
      <c r="Y743" s="404"/>
      <c r="Z743" s="404"/>
    </row>
    <row r="744">
      <c r="A744" s="404"/>
      <c r="B744" s="404"/>
      <c r="C744" s="404"/>
      <c r="D744" s="404"/>
      <c r="E744" s="404"/>
      <c r="F744" s="404"/>
      <c r="G744" s="404"/>
      <c r="H744" s="404"/>
      <c r="I744" s="404"/>
      <c r="J744" s="404"/>
      <c r="K744" s="404"/>
      <c r="L744" s="404"/>
      <c r="M744" s="404"/>
      <c r="N744" s="404"/>
      <c r="O744" s="404"/>
      <c r="P744" s="404"/>
      <c r="Q744" s="404"/>
      <c r="R744" s="404"/>
      <c r="S744" s="404"/>
      <c r="T744" s="404"/>
      <c r="U744" s="404"/>
      <c r="V744" s="404"/>
      <c r="W744" s="404"/>
      <c r="X744" s="404"/>
      <c r="Y744" s="404"/>
      <c r="Z744" s="404"/>
    </row>
    <row r="745">
      <c r="A745" s="404"/>
      <c r="B745" s="404"/>
      <c r="C745" s="404"/>
      <c r="D745" s="404"/>
      <c r="E745" s="404"/>
      <c r="F745" s="404"/>
      <c r="G745" s="404"/>
      <c r="H745" s="404"/>
      <c r="I745" s="404"/>
      <c r="J745" s="404"/>
      <c r="K745" s="404"/>
      <c r="L745" s="404"/>
      <c r="M745" s="404"/>
      <c r="N745" s="404"/>
      <c r="O745" s="404"/>
      <c r="P745" s="404"/>
      <c r="Q745" s="404"/>
      <c r="R745" s="404"/>
      <c r="S745" s="404"/>
      <c r="T745" s="404"/>
      <c r="U745" s="404"/>
      <c r="V745" s="404"/>
      <c r="W745" s="404"/>
      <c r="X745" s="404"/>
      <c r="Y745" s="404"/>
      <c r="Z745" s="404"/>
    </row>
    <row r="746">
      <c r="A746" s="404"/>
      <c r="B746" s="404"/>
      <c r="C746" s="404"/>
      <c r="D746" s="404"/>
      <c r="E746" s="404"/>
      <c r="F746" s="404"/>
      <c r="G746" s="404"/>
      <c r="H746" s="404"/>
      <c r="I746" s="404"/>
      <c r="J746" s="404"/>
      <c r="K746" s="404"/>
      <c r="L746" s="404"/>
      <c r="M746" s="404"/>
      <c r="N746" s="404"/>
      <c r="O746" s="404"/>
      <c r="P746" s="404"/>
      <c r="Q746" s="404"/>
      <c r="R746" s="404"/>
      <c r="S746" s="404"/>
      <c r="T746" s="404"/>
      <c r="U746" s="404"/>
      <c r="V746" s="404"/>
      <c r="W746" s="404"/>
      <c r="X746" s="404"/>
      <c r="Y746" s="404"/>
      <c r="Z746" s="404"/>
    </row>
    <row r="747">
      <c r="A747" s="404"/>
      <c r="B747" s="404"/>
      <c r="C747" s="404"/>
      <c r="D747" s="404"/>
      <c r="E747" s="404"/>
      <c r="F747" s="404"/>
      <c r="G747" s="404"/>
      <c r="H747" s="404"/>
      <c r="I747" s="404"/>
      <c r="J747" s="404"/>
      <c r="K747" s="404"/>
      <c r="L747" s="404"/>
      <c r="M747" s="404"/>
      <c r="N747" s="404"/>
      <c r="O747" s="404"/>
      <c r="P747" s="404"/>
      <c r="Q747" s="404"/>
      <c r="R747" s="404"/>
      <c r="S747" s="404"/>
      <c r="T747" s="404"/>
      <c r="U747" s="404"/>
      <c r="V747" s="404"/>
      <c r="W747" s="404"/>
      <c r="X747" s="404"/>
      <c r="Y747" s="404"/>
      <c r="Z747" s="404"/>
    </row>
    <row r="748">
      <c r="A748" s="404"/>
      <c r="B748" s="404"/>
      <c r="C748" s="404"/>
      <c r="D748" s="404"/>
      <c r="E748" s="404"/>
      <c r="F748" s="404"/>
      <c r="G748" s="404"/>
      <c r="H748" s="404"/>
      <c r="I748" s="404"/>
      <c r="J748" s="404"/>
      <c r="K748" s="404"/>
      <c r="L748" s="404"/>
      <c r="M748" s="404"/>
      <c r="N748" s="404"/>
      <c r="O748" s="404"/>
      <c r="P748" s="404"/>
      <c r="Q748" s="404"/>
      <c r="R748" s="404"/>
      <c r="S748" s="404"/>
      <c r="T748" s="404"/>
      <c r="U748" s="404"/>
      <c r="V748" s="404"/>
      <c r="W748" s="404"/>
      <c r="X748" s="404"/>
      <c r="Y748" s="404"/>
      <c r="Z748" s="404"/>
    </row>
    <row r="749">
      <c r="A749" s="404"/>
      <c r="B749" s="404"/>
      <c r="C749" s="404"/>
      <c r="D749" s="404"/>
      <c r="E749" s="404"/>
      <c r="F749" s="404"/>
      <c r="G749" s="404"/>
      <c r="H749" s="404"/>
      <c r="I749" s="404"/>
      <c r="J749" s="404"/>
      <c r="K749" s="404"/>
      <c r="L749" s="404"/>
      <c r="M749" s="404"/>
      <c r="N749" s="404"/>
      <c r="O749" s="404"/>
      <c r="P749" s="404"/>
      <c r="Q749" s="404"/>
      <c r="R749" s="404"/>
      <c r="S749" s="404"/>
      <c r="T749" s="404"/>
      <c r="U749" s="404"/>
      <c r="V749" s="404"/>
      <c r="W749" s="404"/>
      <c r="X749" s="404"/>
      <c r="Y749" s="404"/>
      <c r="Z749" s="404"/>
    </row>
    <row r="750">
      <c r="A750" s="404"/>
      <c r="B750" s="404"/>
      <c r="C750" s="404"/>
      <c r="D750" s="404"/>
      <c r="E750" s="404"/>
      <c r="F750" s="404"/>
      <c r="G750" s="404"/>
      <c r="H750" s="404"/>
      <c r="I750" s="404"/>
      <c r="J750" s="404"/>
      <c r="K750" s="404"/>
      <c r="L750" s="404"/>
      <c r="M750" s="404"/>
      <c r="N750" s="404"/>
      <c r="O750" s="404"/>
      <c r="P750" s="404"/>
      <c r="Q750" s="404"/>
      <c r="R750" s="404"/>
      <c r="S750" s="404"/>
      <c r="T750" s="404"/>
      <c r="U750" s="404"/>
      <c r="V750" s="404"/>
      <c r="W750" s="404"/>
      <c r="X750" s="404"/>
      <c r="Y750" s="404"/>
      <c r="Z750" s="404"/>
    </row>
    <row r="751">
      <c r="A751" s="404"/>
      <c r="B751" s="404"/>
      <c r="C751" s="404"/>
      <c r="D751" s="404"/>
      <c r="E751" s="404"/>
      <c r="F751" s="404"/>
      <c r="G751" s="404"/>
      <c r="H751" s="404"/>
      <c r="I751" s="404"/>
      <c r="J751" s="404"/>
      <c r="K751" s="404"/>
      <c r="L751" s="404"/>
      <c r="M751" s="404"/>
      <c r="N751" s="404"/>
      <c r="O751" s="404"/>
      <c r="P751" s="404"/>
      <c r="Q751" s="404"/>
      <c r="R751" s="404"/>
      <c r="S751" s="404"/>
      <c r="T751" s="404"/>
      <c r="U751" s="404"/>
      <c r="V751" s="404"/>
      <c r="W751" s="404"/>
      <c r="X751" s="404"/>
      <c r="Y751" s="404"/>
      <c r="Z751" s="404"/>
    </row>
    <row r="752">
      <c r="A752" s="404"/>
      <c r="B752" s="404"/>
      <c r="C752" s="404"/>
      <c r="D752" s="404"/>
      <c r="E752" s="404"/>
      <c r="F752" s="404"/>
      <c r="G752" s="404"/>
      <c r="H752" s="404"/>
      <c r="I752" s="404"/>
      <c r="J752" s="404"/>
      <c r="K752" s="404"/>
      <c r="L752" s="404"/>
      <c r="M752" s="404"/>
      <c r="N752" s="404"/>
      <c r="O752" s="404"/>
      <c r="P752" s="404"/>
      <c r="Q752" s="404"/>
      <c r="R752" s="404"/>
      <c r="S752" s="404"/>
      <c r="T752" s="404"/>
      <c r="U752" s="404"/>
      <c r="V752" s="404"/>
      <c r="W752" s="404"/>
      <c r="X752" s="404"/>
      <c r="Y752" s="404"/>
      <c r="Z752" s="404"/>
    </row>
    <row r="753">
      <c r="A753" s="404"/>
      <c r="B753" s="404"/>
      <c r="C753" s="404"/>
      <c r="D753" s="404"/>
      <c r="E753" s="404"/>
      <c r="F753" s="404"/>
      <c r="G753" s="404"/>
      <c r="H753" s="404"/>
      <c r="I753" s="404"/>
      <c r="J753" s="404"/>
      <c r="K753" s="404"/>
      <c r="L753" s="404"/>
      <c r="M753" s="404"/>
      <c r="N753" s="404"/>
      <c r="O753" s="404"/>
      <c r="P753" s="404"/>
      <c r="Q753" s="404"/>
      <c r="R753" s="404"/>
      <c r="S753" s="404"/>
      <c r="T753" s="404"/>
      <c r="U753" s="404"/>
      <c r="V753" s="404"/>
      <c r="W753" s="404"/>
      <c r="X753" s="404"/>
      <c r="Y753" s="404"/>
      <c r="Z753" s="404"/>
    </row>
    <row r="754">
      <c r="A754" s="404"/>
      <c r="B754" s="404"/>
      <c r="C754" s="404"/>
      <c r="D754" s="404"/>
      <c r="E754" s="404"/>
      <c r="F754" s="404"/>
      <c r="G754" s="404"/>
      <c r="H754" s="404"/>
      <c r="I754" s="404"/>
      <c r="J754" s="404"/>
      <c r="K754" s="404"/>
      <c r="L754" s="404"/>
      <c r="M754" s="404"/>
      <c r="N754" s="404"/>
      <c r="O754" s="404"/>
      <c r="P754" s="404"/>
      <c r="Q754" s="404"/>
      <c r="R754" s="404"/>
      <c r="S754" s="404"/>
      <c r="T754" s="404"/>
      <c r="U754" s="404"/>
      <c r="V754" s="404"/>
      <c r="W754" s="404"/>
      <c r="X754" s="404"/>
      <c r="Y754" s="404"/>
      <c r="Z754" s="404"/>
    </row>
    <row r="755">
      <c r="A755" s="404"/>
      <c r="B755" s="404"/>
      <c r="C755" s="404"/>
      <c r="D755" s="404"/>
      <c r="E755" s="404"/>
      <c r="F755" s="404"/>
      <c r="G755" s="404"/>
      <c r="H755" s="404"/>
      <c r="I755" s="404"/>
      <c r="J755" s="404"/>
      <c r="K755" s="404"/>
      <c r="L755" s="404"/>
      <c r="M755" s="404"/>
      <c r="N755" s="404"/>
      <c r="O755" s="404"/>
      <c r="P755" s="404"/>
      <c r="Q755" s="404"/>
      <c r="R755" s="404"/>
      <c r="S755" s="404"/>
      <c r="T755" s="404"/>
      <c r="U755" s="404"/>
      <c r="V755" s="404"/>
      <c r="W755" s="404"/>
      <c r="X755" s="404"/>
      <c r="Y755" s="404"/>
      <c r="Z755" s="404"/>
    </row>
    <row r="756">
      <c r="A756" s="404"/>
      <c r="B756" s="404"/>
      <c r="C756" s="404"/>
      <c r="D756" s="404"/>
      <c r="E756" s="404"/>
      <c r="F756" s="404"/>
      <c r="G756" s="404"/>
      <c r="H756" s="404"/>
      <c r="I756" s="404"/>
      <c r="J756" s="404"/>
      <c r="K756" s="404"/>
      <c r="L756" s="404"/>
      <c r="M756" s="404"/>
      <c r="N756" s="404"/>
      <c r="O756" s="404"/>
      <c r="P756" s="404"/>
      <c r="Q756" s="404"/>
      <c r="R756" s="404"/>
      <c r="S756" s="404"/>
      <c r="T756" s="404"/>
      <c r="U756" s="404"/>
      <c r="V756" s="404"/>
      <c r="W756" s="404"/>
      <c r="X756" s="404"/>
      <c r="Y756" s="404"/>
      <c r="Z756" s="404"/>
    </row>
    <row r="757">
      <c r="A757" s="404"/>
      <c r="B757" s="404"/>
      <c r="C757" s="404"/>
      <c r="D757" s="404"/>
      <c r="E757" s="404"/>
      <c r="F757" s="404"/>
      <c r="G757" s="404"/>
      <c r="H757" s="404"/>
      <c r="I757" s="404"/>
      <c r="J757" s="404"/>
      <c r="K757" s="404"/>
      <c r="L757" s="404"/>
      <c r="M757" s="404"/>
      <c r="N757" s="404"/>
      <c r="O757" s="404"/>
      <c r="P757" s="404"/>
      <c r="Q757" s="404"/>
      <c r="R757" s="404"/>
      <c r="S757" s="404"/>
      <c r="T757" s="404"/>
      <c r="U757" s="404"/>
      <c r="V757" s="404"/>
      <c r="W757" s="404"/>
      <c r="X757" s="404"/>
      <c r="Y757" s="404"/>
      <c r="Z757" s="404"/>
    </row>
    <row r="758">
      <c r="A758" s="404"/>
      <c r="B758" s="404"/>
      <c r="C758" s="404"/>
      <c r="D758" s="404"/>
      <c r="E758" s="404"/>
      <c r="F758" s="404"/>
      <c r="G758" s="404"/>
      <c r="H758" s="404"/>
      <c r="I758" s="404"/>
      <c r="J758" s="404"/>
      <c r="K758" s="404"/>
      <c r="L758" s="404"/>
      <c r="M758" s="404"/>
      <c r="N758" s="404"/>
      <c r="O758" s="404"/>
      <c r="P758" s="404"/>
      <c r="Q758" s="404"/>
      <c r="R758" s="404"/>
      <c r="S758" s="404"/>
      <c r="T758" s="404"/>
      <c r="U758" s="404"/>
      <c r="V758" s="404"/>
      <c r="W758" s="404"/>
      <c r="X758" s="404"/>
      <c r="Y758" s="404"/>
      <c r="Z758" s="404"/>
    </row>
    <row r="759">
      <c r="A759" s="404"/>
      <c r="B759" s="404"/>
      <c r="C759" s="404"/>
      <c r="D759" s="404"/>
      <c r="E759" s="404"/>
      <c r="F759" s="404"/>
      <c r="G759" s="404"/>
      <c r="H759" s="404"/>
      <c r="I759" s="404"/>
      <c r="J759" s="404"/>
      <c r="K759" s="404"/>
      <c r="L759" s="404"/>
      <c r="M759" s="404"/>
      <c r="N759" s="404"/>
      <c r="O759" s="404"/>
      <c r="P759" s="404"/>
      <c r="Q759" s="404"/>
      <c r="R759" s="404"/>
      <c r="S759" s="404"/>
      <c r="T759" s="404"/>
      <c r="U759" s="404"/>
      <c r="V759" s="404"/>
      <c r="W759" s="404"/>
      <c r="X759" s="404"/>
      <c r="Y759" s="404"/>
      <c r="Z759" s="404"/>
    </row>
    <row r="760">
      <c r="A760" s="404"/>
      <c r="B760" s="404"/>
      <c r="C760" s="404"/>
      <c r="D760" s="404"/>
      <c r="E760" s="404"/>
      <c r="F760" s="404"/>
      <c r="G760" s="404"/>
      <c r="H760" s="404"/>
      <c r="I760" s="404"/>
      <c r="J760" s="404"/>
      <c r="K760" s="404"/>
      <c r="L760" s="404"/>
      <c r="M760" s="404"/>
      <c r="N760" s="404"/>
      <c r="O760" s="404"/>
      <c r="P760" s="404"/>
      <c r="Q760" s="404"/>
      <c r="R760" s="404"/>
      <c r="S760" s="404"/>
      <c r="T760" s="404"/>
      <c r="U760" s="404"/>
      <c r="V760" s="404"/>
      <c r="W760" s="404"/>
      <c r="X760" s="404"/>
      <c r="Y760" s="404"/>
      <c r="Z760" s="404"/>
    </row>
    <row r="761">
      <c r="A761" s="404"/>
      <c r="B761" s="404"/>
      <c r="C761" s="404"/>
      <c r="D761" s="404"/>
      <c r="E761" s="404"/>
      <c r="F761" s="404"/>
      <c r="G761" s="404"/>
      <c r="H761" s="404"/>
      <c r="I761" s="404"/>
      <c r="J761" s="404"/>
      <c r="K761" s="404"/>
      <c r="L761" s="404"/>
      <c r="M761" s="404"/>
      <c r="N761" s="404"/>
      <c r="O761" s="404"/>
      <c r="P761" s="404"/>
      <c r="Q761" s="404"/>
      <c r="R761" s="404"/>
      <c r="S761" s="404"/>
      <c r="T761" s="404"/>
      <c r="U761" s="404"/>
      <c r="V761" s="404"/>
      <c r="W761" s="404"/>
      <c r="X761" s="404"/>
      <c r="Y761" s="404"/>
      <c r="Z761" s="404"/>
    </row>
    <row r="762">
      <c r="A762" s="404"/>
      <c r="B762" s="404"/>
      <c r="C762" s="404"/>
      <c r="D762" s="404"/>
      <c r="E762" s="404"/>
      <c r="F762" s="404"/>
      <c r="G762" s="404"/>
      <c r="H762" s="404"/>
      <c r="I762" s="404"/>
      <c r="J762" s="404"/>
      <c r="K762" s="404"/>
      <c r="L762" s="404"/>
      <c r="M762" s="404"/>
      <c r="N762" s="404"/>
      <c r="O762" s="404"/>
      <c r="P762" s="404"/>
      <c r="Q762" s="404"/>
      <c r="R762" s="404"/>
      <c r="S762" s="404"/>
      <c r="T762" s="404"/>
      <c r="U762" s="404"/>
      <c r="V762" s="404"/>
      <c r="W762" s="404"/>
      <c r="X762" s="404"/>
      <c r="Y762" s="404"/>
      <c r="Z762" s="404"/>
    </row>
    <row r="763">
      <c r="A763" s="404"/>
      <c r="B763" s="404"/>
      <c r="C763" s="404"/>
      <c r="D763" s="404"/>
      <c r="E763" s="404"/>
      <c r="F763" s="404"/>
      <c r="G763" s="404"/>
      <c r="H763" s="404"/>
      <c r="I763" s="404"/>
      <c r="J763" s="404"/>
      <c r="K763" s="404"/>
      <c r="L763" s="404"/>
      <c r="M763" s="404"/>
      <c r="N763" s="404"/>
      <c r="O763" s="404"/>
      <c r="P763" s="404"/>
      <c r="Q763" s="404"/>
      <c r="R763" s="404"/>
      <c r="S763" s="404"/>
      <c r="T763" s="404"/>
      <c r="U763" s="404"/>
      <c r="V763" s="404"/>
      <c r="W763" s="404"/>
      <c r="X763" s="404"/>
      <c r="Y763" s="404"/>
      <c r="Z763" s="404"/>
    </row>
    <row r="764">
      <c r="A764" s="404"/>
      <c r="B764" s="404"/>
      <c r="C764" s="404"/>
      <c r="D764" s="404"/>
      <c r="E764" s="404"/>
      <c r="F764" s="404"/>
      <c r="G764" s="404"/>
      <c r="H764" s="404"/>
      <c r="I764" s="404"/>
      <c r="J764" s="404"/>
      <c r="K764" s="404"/>
      <c r="L764" s="404"/>
      <c r="M764" s="404"/>
      <c r="N764" s="404"/>
      <c r="O764" s="404"/>
      <c r="P764" s="404"/>
      <c r="Q764" s="404"/>
      <c r="R764" s="404"/>
      <c r="S764" s="404"/>
      <c r="T764" s="404"/>
      <c r="U764" s="404"/>
      <c r="V764" s="404"/>
      <c r="W764" s="404"/>
      <c r="X764" s="404"/>
      <c r="Y764" s="404"/>
      <c r="Z764" s="404"/>
    </row>
    <row r="765">
      <c r="A765" s="404"/>
      <c r="B765" s="404"/>
      <c r="C765" s="404"/>
      <c r="D765" s="404"/>
      <c r="E765" s="404"/>
      <c r="F765" s="404"/>
      <c r="G765" s="404"/>
      <c r="H765" s="404"/>
      <c r="I765" s="404"/>
      <c r="J765" s="404"/>
      <c r="K765" s="404"/>
      <c r="L765" s="404"/>
      <c r="M765" s="404"/>
      <c r="N765" s="404"/>
      <c r="O765" s="404"/>
      <c r="P765" s="404"/>
      <c r="Q765" s="404"/>
      <c r="R765" s="404"/>
      <c r="S765" s="404"/>
      <c r="T765" s="404"/>
      <c r="U765" s="404"/>
      <c r="V765" s="404"/>
      <c r="W765" s="404"/>
      <c r="X765" s="404"/>
      <c r="Y765" s="404"/>
      <c r="Z765" s="404"/>
    </row>
    <row r="766">
      <c r="A766" s="404"/>
      <c r="B766" s="404"/>
      <c r="C766" s="404"/>
      <c r="D766" s="404"/>
      <c r="E766" s="404"/>
      <c r="F766" s="404"/>
      <c r="G766" s="404"/>
      <c r="H766" s="404"/>
      <c r="I766" s="404"/>
      <c r="J766" s="404"/>
      <c r="K766" s="404"/>
      <c r="L766" s="404"/>
      <c r="M766" s="404"/>
      <c r="N766" s="404"/>
      <c r="O766" s="404"/>
      <c r="P766" s="404"/>
      <c r="Q766" s="404"/>
      <c r="R766" s="404"/>
      <c r="S766" s="404"/>
      <c r="T766" s="404"/>
      <c r="U766" s="404"/>
      <c r="V766" s="404"/>
      <c r="W766" s="404"/>
      <c r="X766" s="404"/>
      <c r="Y766" s="404"/>
      <c r="Z766" s="404"/>
    </row>
    <row r="767">
      <c r="A767" s="404"/>
      <c r="B767" s="404"/>
      <c r="C767" s="404"/>
      <c r="D767" s="404"/>
      <c r="E767" s="404"/>
      <c r="F767" s="404"/>
      <c r="G767" s="404"/>
      <c r="H767" s="404"/>
      <c r="I767" s="404"/>
      <c r="J767" s="404"/>
      <c r="K767" s="404"/>
      <c r="L767" s="404"/>
      <c r="M767" s="404"/>
      <c r="N767" s="404"/>
      <c r="O767" s="404"/>
      <c r="P767" s="404"/>
      <c r="Q767" s="404"/>
      <c r="R767" s="404"/>
      <c r="S767" s="404"/>
      <c r="T767" s="404"/>
      <c r="U767" s="404"/>
      <c r="V767" s="404"/>
      <c r="W767" s="404"/>
      <c r="X767" s="404"/>
      <c r="Y767" s="404"/>
      <c r="Z767" s="404"/>
    </row>
    <row r="768">
      <c r="A768" s="404"/>
      <c r="B768" s="404"/>
      <c r="C768" s="404"/>
      <c r="D768" s="404"/>
      <c r="E768" s="404"/>
      <c r="F768" s="404"/>
      <c r="G768" s="404"/>
      <c r="H768" s="404"/>
      <c r="I768" s="404"/>
      <c r="J768" s="404"/>
      <c r="K768" s="404"/>
      <c r="L768" s="404"/>
      <c r="M768" s="404"/>
      <c r="N768" s="404"/>
      <c r="O768" s="404"/>
      <c r="P768" s="404"/>
      <c r="Q768" s="404"/>
      <c r="R768" s="404"/>
      <c r="S768" s="404"/>
      <c r="T768" s="404"/>
      <c r="U768" s="404"/>
      <c r="V768" s="404"/>
      <c r="W768" s="404"/>
      <c r="X768" s="404"/>
      <c r="Y768" s="404"/>
      <c r="Z768" s="404"/>
    </row>
    <row r="769">
      <c r="A769" s="404"/>
      <c r="B769" s="404"/>
      <c r="C769" s="404"/>
      <c r="D769" s="404"/>
      <c r="E769" s="404"/>
      <c r="F769" s="404"/>
      <c r="G769" s="404"/>
      <c r="H769" s="404"/>
      <c r="I769" s="404"/>
      <c r="J769" s="404"/>
      <c r="K769" s="404"/>
      <c r="L769" s="404"/>
      <c r="M769" s="404"/>
      <c r="N769" s="404"/>
      <c r="O769" s="404"/>
      <c r="P769" s="404"/>
      <c r="Q769" s="404"/>
      <c r="R769" s="404"/>
      <c r="S769" s="404"/>
      <c r="T769" s="404"/>
      <c r="U769" s="404"/>
      <c r="V769" s="404"/>
      <c r="W769" s="404"/>
      <c r="X769" s="404"/>
      <c r="Y769" s="404"/>
      <c r="Z769" s="404"/>
    </row>
    <row r="770">
      <c r="A770" s="404"/>
      <c r="B770" s="404"/>
      <c r="C770" s="404"/>
      <c r="D770" s="404"/>
      <c r="E770" s="404"/>
      <c r="F770" s="404"/>
      <c r="G770" s="404"/>
      <c r="H770" s="404"/>
      <c r="I770" s="404"/>
      <c r="J770" s="404"/>
      <c r="K770" s="404"/>
      <c r="L770" s="404"/>
      <c r="M770" s="404"/>
      <c r="N770" s="404"/>
      <c r="O770" s="404"/>
      <c r="P770" s="404"/>
      <c r="Q770" s="404"/>
      <c r="R770" s="404"/>
      <c r="S770" s="404"/>
      <c r="T770" s="404"/>
      <c r="U770" s="404"/>
      <c r="V770" s="404"/>
      <c r="W770" s="404"/>
      <c r="X770" s="404"/>
      <c r="Y770" s="404"/>
      <c r="Z770" s="404"/>
    </row>
    <row r="771">
      <c r="A771" s="404"/>
      <c r="B771" s="404"/>
      <c r="C771" s="404"/>
      <c r="D771" s="404"/>
      <c r="E771" s="404"/>
      <c r="F771" s="404"/>
      <c r="G771" s="404"/>
      <c r="H771" s="404"/>
      <c r="I771" s="404"/>
      <c r="J771" s="404"/>
      <c r="K771" s="404"/>
      <c r="L771" s="404"/>
      <c r="M771" s="404"/>
      <c r="N771" s="404"/>
      <c r="O771" s="404"/>
      <c r="P771" s="404"/>
      <c r="Q771" s="404"/>
      <c r="R771" s="404"/>
      <c r="S771" s="404"/>
      <c r="T771" s="404"/>
      <c r="U771" s="404"/>
      <c r="V771" s="404"/>
      <c r="W771" s="404"/>
      <c r="X771" s="404"/>
      <c r="Y771" s="404"/>
      <c r="Z771" s="404"/>
    </row>
    <row r="772">
      <c r="A772" s="404"/>
      <c r="B772" s="404"/>
      <c r="C772" s="404"/>
      <c r="D772" s="404"/>
      <c r="E772" s="404"/>
      <c r="F772" s="404"/>
      <c r="G772" s="404"/>
      <c r="H772" s="404"/>
      <c r="I772" s="404"/>
      <c r="J772" s="404"/>
      <c r="K772" s="404"/>
      <c r="L772" s="404"/>
      <c r="M772" s="404"/>
      <c r="N772" s="404"/>
      <c r="O772" s="404"/>
      <c r="P772" s="404"/>
      <c r="Q772" s="404"/>
      <c r="R772" s="404"/>
      <c r="S772" s="404"/>
      <c r="T772" s="404"/>
      <c r="U772" s="404"/>
      <c r="V772" s="404"/>
      <c r="W772" s="404"/>
      <c r="X772" s="404"/>
      <c r="Y772" s="404"/>
      <c r="Z772" s="404"/>
    </row>
    <row r="773">
      <c r="A773" s="404"/>
      <c r="B773" s="404"/>
      <c r="C773" s="404"/>
      <c r="D773" s="404"/>
      <c r="E773" s="404"/>
      <c r="F773" s="404"/>
      <c r="G773" s="404"/>
      <c r="H773" s="404"/>
      <c r="I773" s="404"/>
      <c r="J773" s="404"/>
      <c r="K773" s="404"/>
      <c r="L773" s="404"/>
      <c r="M773" s="404"/>
      <c r="N773" s="404"/>
      <c r="O773" s="404"/>
      <c r="P773" s="404"/>
      <c r="Q773" s="404"/>
      <c r="R773" s="404"/>
      <c r="S773" s="404"/>
      <c r="T773" s="404"/>
      <c r="U773" s="404"/>
      <c r="V773" s="404"/>
      <c r="W773" s="404"/>
      <c r="X773" s="404"/>
      <c r="Y773" s="404"/>
      <c r="Z773" s="404"/>
    </row>
    <row r="774">
      <c r="A774" s="404"/>
      <c r="B774" s="404"/>
      <c r="C774" s="404"/>
      <c r="D774" s="404"/>
      <c r="E774" s="404"/>
      <c r="F774" s="404"/>
      <c r="G774" s="404"/>
      <c r="H774" s="404"/>
      <c r="I774" s="404"/>
      <c r="J774" s="404"/>
      <c r="K774" s="404"/>
      <c r="L774" s="404"/>
      <c r="M774" s="404"/>
      <c r="N774" s="404"/>
      <c r="O774" s="404"/>
      <c r="P774" s="404"/>
      <c r="Q774" s="404"/>
      <c r="R774" s="404"/>
      <c r="S774" s="404"/>
      <c r="T774" s="404"/>
      <c r="U774" s="404"/>
      <c r="V774" s="404"/>
      <c r="W774" s="404"/>
      <c r="X774" s="404"/>
      <c r="Y774" s="404"/>
      <c r="Z774" s="404"/>
    </row>
    <row r="775">
      <c r="A775" s="404"/>
      <c r="B775" s="404"/>
      <c r="C775" s="404"/>
      <c r="D775" s="404"/>
      <c r="E775" s="404"/>
      <c r="F775" s="404"/>
      <c r="G775" s="404"/>
      <c r="H775" s="404"/>
      <c r="I775" s="404"/>
      <c r="J775" s="404"/>
      <c r="K775" s="404"/>
      <c r="L775" s="404"/>
      <c r="M775" s="404"/>
      <c r="N775" s="404"/>
      <c r="O775" s="404"/>
      <c r="P775" s="404"/>
      <c r="Q775" s="404"/>
      <c r="R775" s="404"/>
      <c r="S775" s="404"/>
      <c r="T775" s="404"/>
      <c r="U775" s="404"/>
      <c r="V775" s="404"/>
      <c r="W775" s="404"/>
      <c r="X775" s="404"/>
      <c r="Y775" s="404"/>
      <c r="Z775" s="404"/>
    </row>
    <row r="776">
      <c r="A776" s="404"/>
      <c r="B776" s="404"/>
      <c r="C776" s="404"/>
      <c r="D776" s="404"/>
      <c r="E776" s="404"/>
      <c r="F776" s="404"/>
      <c r="G776" s="404"/>
      <c r="H776" s="404"/>
      <c r="I776" s="404"/>
      <c r="J776" s="404"/>
      <c r="K776" s="404"/>
      <c r="L776" s="404"/>
      <c r="M776" s="404"/>
      <c r="N776" s="404"/>
      <c r="O776" s="404"/>
      <c r="P776" s="404"/>
      <c r="Q776" s="404"/>
      <c r="R776" s="404"/>
      <c r="S776" s="404"/>
      <c r="T776" s="404"/>
      <c r="U776" s="404"/>
      <c r="V776" s="404"/>
      <c r="W776" s="404"/>
      <c r="X776" s="404"/>
      <c r="Y776" s="404"/>
      <c r="Z776" s="404"/>
    </row>
    <row r="777">
      <c r="A777" s="404"/>
      <c r="B777" s="404"/>
      <c r="C777" s="404"/>
      <c r="D777" s="404"/>
      <c r="E777" s="404"/>
      <c r="F777" s="404"/>
      <c r="G777" s="404"/>
      <c r="H777" s="404"/>
      <c r="I777" s="404"/>
      <c r="J777" s="404"/>
      <c r="K777" s="404"/>
      <c r="L777" s="404"/>
      <c r="M777" s="404"/>
      <c r="N777" s="404"/>
      <c r="O777" s="404"/>
      <c r="P777" s="404"/>
      <c r="Q777" s="404"/>
      <c r="R777" s="404"/>
      <c r="S777" s="404"/>
      <c r="T777" s="404"/>
      <c r="U777" s="404"/>
      <c r="V777" s="404"/>
      <c r="W777" s="404"/>
      <c r="X777" s="404"/>
      <c r="Y777" s="404"/>
      <c r="Z777" s="404"/>
    </row>
    <row r="778">
      <c r="A778" s="404"/>
      <c r="B778" s="404"/>
      <c r="C778" s="404"/>
      <c r="D778" s="404"/>
      <c r="E778" s="404"/>
      <c r="F778" s="404"/>
      <c r="G778" s="404"/>
      <c r="H778" s="404"/>
      <c r="I778" s="404"/>
      <c r="J778" s="404"/>
      <c r="K778" s="404"/>
      <c r="L778" s="404"/>
      <c r="M778" s="404"/>
      <c r="N778" s="404"/>
      <c r="O778" s="404"/>
      <c r="P778" s="404"/>
      <c r="Q778" s="404"/>
      <c r="R778" s="404"/>
      <c r="S778" s="404"/>
      <c r="T778" s="404"/>
      <c r="U778" s="404"/>
      <c r="V778" s="404"/>
      <c r="W778" s="404"/>
      <c r="X778" s="404"/>
      <c r="Y778" s="404"/>
      <c r="Z778" s="404"/>
    </row>
    <row r="779">
      <c r="A779" s="404"/>
      <c r="B779" s="404"/>
      <c r="C779" s="404"/>
      <c r="D779" s="404"/>
      <c r="E779" s="404"/>
      <c r="F779" s="404"/>
      <c r="G779" s="404"/>
      <c r="H779" s="404"/>
      <c r="I779" s="404"/>
      <c r="J779" s="404"/>
      <c r="K779" s="404"/>
      <c r="L779" s="404"/>
      <c r="M779" s="404"/>
      <c r="N779" s="404"/>
      <c r="O779" s="404"/>
      <c r="P779" s="404"/>
      <c r="Q779" s="404"/>
      <c r="R779" s="404"/>
      <c r="S779" s="404"/>
      <c r="T779" s="404"/>
      <c r="U779" s="404"/>
      <c r="V779" s="404"/>
      <c r="W779" s="404"/>
      <c r="X779" s="404"/>
      <c r="Y779" s="404"/>
      <c r="Z779" s="404"/>
    </row>
    <row r="780">
      <c r="A780" s="404"/>
      <c r="B780" s="404"/>
      <c r="C780" s="404"/>
      <c r="D780" s="404"/>
      <c r="E780" s="404"/>
      <c r="F780" s="404"/>
      <c r="G780" s="404"/>
      <c r="H780" s="404"/>
      <c r="I780" s="404"/>
      <c r="J780" s="404"/>
      <c r="K780" s="404"/>
      <c r="L780" s="404"/>
      <c r="M780" s="404"/>
      <c r="N780" s="404"/>
      <c r="O780" s="404"/>
      <c r="P780" s="404"/>
      <c r="Q780" s="404"/>
      <c r="R780" s="404"/>
      <c r="S780" s="404"/>
      <c r="T780" s="404"/>
      <c r="U780" s="404"/>
      <c r="V780" s="404"/>
      <c r="W780" s="404"/>
      <c r="X780" s="404"/>
      <c r="Y780" s="404"/>
      <c r="Z780" s="404"/>
    </row>
    <row r="781">
      <c r="A781" s="404"/>
      <c r="B781" s="404"/>
      <c r="C781" s="404"/>
      <c r="D781" s="404"/>
      <c r="E781" s="404"/>
      <c r="F781" s="404"/>
      <c r="G781" s="404"/>
      <c r="H781" s="404"/>
      <c r="I781" s="404"/>
      <c r="J781" s="404"/>
      <c r="K781" s="404"/>
      <c r="L781" s="404"/>
      <c r="M781" s="404"/>
      <c r="N781" s="404"/>
      <c r="O781" s="404"/>
      <c r="P781" s="404"/>
      <c r="Q781" s="404"/>
      <c r="R781" s="404"/>
      <c r="S781" s="404"/>
      <c r="T781" s="404"/>
      <c r="U781" s="404"/>
      <c r="V781" s="404"/>
      <c r="W781" s="404"/>
      <c r="X781" s="404"/>
      <c r="Y781" s="404"/>
      <c r="Z781" s="404"/>
    </row>
    <row r="782">
      <c r="A782" s="404"/>
      <c r="B782" s="404"/>
      <c r="C782" s="404"/>
      <c r="D782" s="404"/>
      <c r="E782" s="404"/>
      <c r="F782" s="404"/>
      <c r="G782" s="404"/>
      <c r="H782" s="404"/>
      <c r="I782" s="404"/>
      <c r="J782" s="404"/>
      <c r="K782" s="404"/>
      <c r="L782" s="404"/>
      <c r="M782" s="404"/>
      <c r="N782" s="404"/>
      <c r="O782" s="404"/>
      <c r="P782" s="404"/>
      <c r="Q782" s="404"/>
      <c r="R782" s="404"/>
      <c r="S782" s="404"/>
      <c r="T782" s="404"/>
      <c r="U782" s="404"/>
      <c r="V782" s="404"/>
      <c r="W782" s="404"/>
      <c r="X782" s="404"/>
      <c r="Y782" s="404"/>
      <c r="Z782" s="404"/>
    </row>
    <row r="783">
      <c r="A783" s="404"/>
      <c r="B783" s="404"/>
      <c r="C783" s="404"/>
      <c r="D783" s="404"/>
      <c r="E783" s="404"/>
      <c r="F783" s="404"/>
      <c r="G783" s="404"/>
      <c r="H783" s="404"/>
      <c r="I783" s="404"/>
      <c r="J783" s="404"/>
      <c r="K783" s="404"/>
      <c r="L783" s="404"/>
      <c r="M783" s="404"/>
      <c r="N783" s="404"/>
      <c r="O783" s="404"/>
      <c r="P783" s="404"/>
      <c r="Q783" s="404"/>
      <c r="R783" s="404"/>
      <c r="S783" s="404"/>
      <c r="T783" s="404"/>
      <c r="U783" s="404"/>
      <c r="V783" s="404"/>
      <c r="W783" s="404"/>
      <c r="X783" s="404"/>
      <c r="Y783" s="404"/>
      <c r="Z783" s="404"/>
    </row>
    <row r="784">
      <c r="A784" s="404"/>
      <c r="B784" s="404"/>
      <c r="C784" s="404"/>
      <c r="D784" s="404"/>
      <c r="E784" s="404"/>
      <c r="F784" s="404"/>
      <c r="G784" s="404"/>
      <c r="H784" s="404"/>
      <c r="I784" s="404"/>
      <c r="J784" s="404"/>
      <c r="K784" s="404"/>
      <c r="L784" s="404"/>
      <c r="M784" s="404"/>
      <c r="N784" s="404"/>
      <c r="O784" s="404"/>
      <c r="P784" s="404"/>
      <c r="Q784" s="404"/>
      <c r="R784" s="404"/>
      <c r="S784" s="404"/>
      <c r="T784" s="404"/>
      <c r="U784" s="404"/>
      <c r="V784" s="404"/>
      <c r="W784" s="404"/>
      <c r="X784" s="404"/>
      <c r="Y784" s="404"/>
      <c r="Z784" s="404"/>
    </row>
    <row r="785">
      <c r="A785" s="404"/>
      <c r="B785" s="404"/>
      <c r="C785" s="404"/>
      <c r="D785" s="404"/>
      <c r="E785" s="404"/>
      <c r="F785" s="404"/>
      <c r="G785" s="404"/>
      <c r="H785" s="404"/>
      <c r="I785" s="404"/>
      <c r="J785" s="404"/>
      <c r="K785" s="404"/>
      <c r="L785" s="404"/>
      <c r="M785" s="404"/>
      <c r="N785" s="404"/>
      <c r="O785" s="404"/>
      <c r="P785" s="404"/>
      <c r="Q785" s="404"/>
      <c r="R785" s="404"/>
      <c r="S785" s="404"/>
      <c r="T785" s="404"/>
      <c r="U785" s="404"/>
      <c r="V785" s="404"/>
      <c r="W785" s="404"/>
      <c r="X785" s="404"/>
      <c r="Y785" s="404"/>
      <c r="Z785" s="404"/>
    </row>
    <row r="786">
      <c r="A786" s="404"/>
      <c r="B786" s="404"/>
      <c r="C786" s="404"/>
      <c r="D786" s="404"/>
      <c r="E786" s="404"/>
      <c r="F786" s="404"/>
      <c r="G786" s="404"/>
      <c r="H786" s="404"/>
      <c r="I786" s="404"/>
      <c r="J786" s="404"/>
      <c r="K786" s="404"/>
      <c r="L786" s="404"/>
      <c r="M786" s="404"/>
      <c r="N786" s="404"/>
      <c r="O786" s="404"/>
      <c r="P786" s="404"/>
      <c r="Q786" s="404"/>
      <c r="R786" s="404"/>
      <c r="S786" s="404"/>
      <c r="T786" s="404"/>
      <c r="U786" s="404"/>
      <c r="V786" s="404"/>
      <c r="W786" s="404"/>
      <c r="X786" s="404"/>
      <c r="Y786" s="404"/>
      <c r="Z786" s="404"/>
    </row>
    <row r="787">
      <c r="A787" s="404"/>
      <c r="B787" s="404"/>
      <c r="C787" s="404"/>
      <c r="D787" s="404"/>
      <c r="E787" s="404"/>
      <c r="F787" s="404"/>
      <c r="G787" s="404"/>
      <c r="H787" s="404"/>
      <c r="I787" s="404"/>
      <c r="J787" s="404"/>
      <c r="K787" s="404"/>
      <c r="L787" s="404"/>
      <c r="M787" s="404"/>
      <c r="N787" s="404"/>
      <c r="O787" s="404"/>
      <c r="P787" s="404"/>
      <c r="Q787" s="404"/>
      <c r="R787" s="404"/>
      <c r="S787" s="404"/>
      <c r="T787" s="404"/>
      <c r="U787" s="404"/>
      <c r="V787" s="404"/>
      <c r="W787" s="404"/>
      <c r="X787" s="404"/>
      <c r="Y787" s="404"/>
      <c r="Z787" s="404"/>
    </row>
    <row r="788">
      <c r="A788" s="404"/>
      <c r="B788" s="404"/>
      <c r="C788" s="404"/>
      <c r="D788" s="404"/>
      <c r="E788" s="404"/>
      <c r="F788" s="404"/>
      <c r="G788" s="404"/>
      <c r="H788" s="404"/>
      <c r="I788" s="404"/>
      <c r="J788" s="404"/>
      <c r="K788" s="404"/>
      <c r="L788" s="404"/>
      <c r="M788" s="404"/>
      <c r="N788" s="404"/>
      <c r="O788" s="404"/>
      <c r="P788" s="404"/>
      <c r="Q788" s="404"/>
      <c r="R788" s="404"/>
      <c r="S788" s="404"/>
      <c r="T788" s="404"/>
      <c r="U788" s="404"/>
      <c r="V788" s="404"/>
      <c r="W788" s="404"/>
      <c r="X788" s="404"/>
      <c r="Y788" s="404"/>
      <c r="Z788" s="404"/>
    </row>
    <row r="789">
      <c r="A789" s="404"/>
      <c r="B789" s="404"/>
      <c r="C789" s="404"/>
      <c r="D789" s="404"/>
      <c r="E789" s="404"/>
      <c r="F789" s="404"/>
      <c r="G789" s="404"/>
      <c r="H789" s="404"/>
      <c r="I789" s="404"/>
      <c r="J789" s="404"/>
      <c r="K789" s="404"/>
      <c r="L789" s="404"/>
      <c r="M789" s="404"/>
      <c r="N789" s="404"/>
      <c r="O789" s="404"/>
      <c r="P789" s="404"/>
      <c r="Q789" s="404"/>
      <c r="R789" s="404"/>
      <c r="S789" s="404"/>
      <c r="T789" s="404"/>
      <c r="U789" s="404"/>
      <c r="V789" s="404"/>
      <c r="W789" s="404"/>
      <c r="X789" s="404"/>
      <c r="Y789" s="404"/>
      <c r="Z789" s="404"/>
    </row>
    <row r="790">
      <c r="A790" s="404"/>
      <c r="B790" s="404"/>
      <c r="C790" s="404"/>
      <c r="D790" s="404"/>
      <c r="E790" s="404"/>
      <c r="F790" s="404"/>
      <c r="G790" s="404"/>
      <c r="H790" s="404"/>
      <c r="I790" s="404"/>
      <c r="J790" s="404"/>
      <c r="K790" s="404"/>
      <c r="L790" s="404"/>
      <c r="M790" s="404"/>
      <c r="N790" s="404"/>
      <c r="O790" s="404"/>
      <c r="P790" s="404"/>
      <c r="Q790" s="404"/>
      <c r="R790" s="404"/>
      <c r="S790" s="404"/>
      <c r="T790" s="404"/>
      <c r="U790" s="404"/>
      <c r="V790" s="404"/>
      <c r="W790" s="404"/>
      <c r="X790" s="404"/>
      <c r="Y790" s="404"/>
      <c r="Z790" s="404"/>
    </row>
    <row r="791">
      <c r="A791" s="404"/>
      <c r="B791" s="404"/>
      <c r="C791" s="404"/>
      <c r="D791" s="404"/>
      <c r="E791" s="404"/>
      <c r="F791" s="404"/>
      <c r="G791" s="404"/>
      <c r="H791" s="404"/>
      <c r="I791" s="404"/>
      <c r="J791" s="404"/>
      <c r="K791" s="404"/>
      <c r="L791" s="404"/>
      <c r="M791" s="404"/>
      <c r="N791" s="404"/>
      <c r="O791" s="404"/>
      <c r="P791" s="404"/>
      <c r="Q791" s="404"/>
      <c r="R791" s="404"/>
      <c r="S791" s="404"/>
      <c r="T791" s="404"/>
      <c r="U791" s="404"/>
      <c r="V791" s="404"/>
      <c r="W791" s="404"/>
      <c r="X791" s="404"/>
      <c r="Y791" s="404"/>
      <c r="Z791" s="404"/>
    </row>
    <row r="792">
      <c r="A792" s="404"/>
      <c r="B792" s="404"/>
      <c r="C792" s="404"/>
      <c r="D792" s="404"/>
      <c r="E792" s="404"/>
      <c r="F792" s="404"/>
      <c r="G792" s="404"/>
      <c r="H792" s="404"/>
      <c r="I792" s="404"/>
      <c r="J792" s="404"/>
      <c r="K792" s="404"/>
      <c r="L792" s="404"/>
      <c r="M792" s="404"/>
      <c r="N792" s="404"/>
      <c r="O792" s="404"/>
      <c r="P792" s="404"/>
      <c r="Q792" s="404"/>
      <c r="R792" s="404"/>
      <c r="S792" s="404"/>
      <c r="T792" s="404"/>
      <c r="U792" s="404"/>
      <c r="V792" s="404"/>
      <c r="W792" s="404"/>
      <c r="X792" s="404"/>
      <c r="Y792" s="404"/>
      <c r="Z792" s="404"/>
    </row>
    <row r="793">
      <c r="A793" s="404"/>
      <c r="B793" s="404"/>
      <c r="C793" s="404"/>
      <c r="D793" s="404"/>
      <c r="E793" s="404"/>
      <c r="F793" s="404"/>
      <c r="G793" s="404"/>
      <c r="H793" s="404"/>
      <c r="I793" s="404"/>
      <c r="J793" s="404"/>
      <c r="K793" s="404"/>
      <c r="L793" s="404"/>
      <c r="M793" s="404"/>
      <c r="N793" s="404"/>
      <c r="O793" s="404"/>
      <c r="P793" s="404"/>
      <c r="Q793" s="404"/>
      <c r="R793" s="404"/>
      <c r="S793" s="404"/>
      <c r="T793" s="404"/>
      <c r="U793" s="404"/>
      <c r="V793" s="404"/>
      <c r="W793" s="404"/>
      <c r="X793" s="404"/>
      <c r="Y793" s="404"/>
      <c r="Z793" s="404"/>
    </row>
    <row r="794">
      <c r="A794" s="404"/>
      <c r="B794" s="404"/>
      <c r="C794" s="404"/>
      <c r="D794" s="404"/>
      <c r="E794" s="404"/>
      <c r="F794" s="404"/>
      <c r="G794" s="404"/>
      <c r="H794" s="404"/>
      <c r="I794" s="404"/>
      <c r="J794" s="404"/>
      <c r="K794" s="404"/>
      <c r="L794" s="404"/>
      <c r="M794" s="404"/>
      <c r="N794" s="404"/>
      <c r="O794" s="404"/>
      <c r="P794" s="404"/>
      <c r="Q794" s="404"/>
      <c r="R794" s="404"/>
      <c r="S794" s="404"/>
      <c r="T794" s="404"/>
      <c r="U794" s="404"/>
      <c r="V794" s="404"/>
      <c r="W794" s="404"/>
      <c r="X794" s="404"/>
      <c r="Y794" s="404"/>
      <c r="Z794" s="404"/>
    </row>
    <row r="795">
      <c r="A795" s="404"/>
      <c r="B795" s="404"/>
      <c r="C795" s="404"/>
      <c r="D795" s="404"/>
      <c r="E795" s="404"/>
      <c r="F795" s="404"/>
      <c r="G795" s="404"/>
      <c r="H795" s="404"/>
      <c r="I795" s="404"/>
      <c r="J795" s="404"/>
      <c r="K795" s="404"/>
      <c r="L795" s="404"/>
      <c r="M795" s="404"/>
      <c r="N795" s="404"/>
      <c r="O795" s="404"/>
      <c r="P795" s="404"/>
      <c r="Q795" s="404"/>
      <c r="R795" s="404"/>
      <c r="S795" s="404"/>
      <c r="T795" s="404"/>
      <c r="U795" s="404"/>
      <c r="V795" s="404"/>
      <c r="W795" s="404"/>
      <c r="X795" s="404"/>
      <c r="Y795" s="404"/>
      <c r="Z795" s="404"/>
    </row>
    <row r="796">
      <c r="A796" s="404"/>
      <c r="B796" s="404"/>
      <c r="C796" s="404"/>
      <c r="D796" s="404"/>
      <c r="E796" s="404"/>
      <c r="F796" s="404"/>
      <c r="G796" s="404"/>
      <c r="H796" s="404"/>
      <c r="I796" s="404"/>
      <c r="J796" s="404"/>
      <c r="K796" s="404"/>
      <c r="L796" s="404"/>
      <c r="M796" s="404"/>
      <c r="N796" s="404"/>
      <c r="O796" s="404"/>
      <c r="P796" s="404"/>
      <c r="Q796" s="404"/>
      <c r="R796" s="404"/>
      <c r="S796" s="404"/>
      <c r="T796" s="404"/>
      <c r="U796" s="404"/>
      <c r="V796" s="404"/>
      <c r="W796" s="404"/>
      <c r="X796" s="404"/>
      <c r="Y796" s="404"/>
      <c r="Z796" s="404"/>
    </row>
    <row r="797">
      <c r="A797" s="404"/>
      <c r="B797" s="404"/>
      <c r="C797" s="404"/>
      <c r="D797" s="404"/>
      <c r="E797" s="404"/>
      <c r="F797" s="404"/>
      <c r="G797" s="404"/>
      <c r="H797" s="404"/>
      <c r="I797" s="404"/>
      <c r="J797" s="404"/>
      <c r="K797" s="404"/>
      <c r="L797" s="404"/>
      <c r="M797" s="404"/>
      <c r="N797" s="404"/>
      <c r="O797" s="404"/>
      <c r="P797" s="404"/>
      <c r="Q797" s="404"/>
      <c r="R797" s="404"/>
      <c r="S797" s="404"/>
      <c r="T797" s="404"/>
      <c r="U797" s="404"/>
      <c r="V797" s="404"/>
      <c r="W797" s="404"/>
      <c r="X797" s="404"/>
      <c r="Y797" s="404"/>
      <c r="Z797" s="404"/>
    </row>
    <row r="798">
      <c r="A798" s="404"/>
      <c r="B798" s="404"/>
      <c r="C798" s="404"/>
      <c r="D798" s="404"/>
      <c r="E798" s="404"/>
      <c r="F798" s="404"/>
      <c r="G798" s="404"/>
      <c r="H798" s="404"/>
      <c r="I798" s="404"/>
      <c r="J798" s="404"/>
      <c r="K798" s="404"/>
      <c r="L798" s="404"/>
      <c r="M798" s="404"/>
      <c r="N798" s="404"/>
      <c r="O798" s="404"/>
      <c r="P798" s="404"/>
      <c r="Q798" s="404"/>
      <c r="R798" s="404"/>
      <c r="S798" s="404"/>
      <c r="T798" s="404"/>
      <c r="U798" s="404"/>
      <c r="V798" s="404"/>
      <c r="W798" s="404"/>
      <c r="X798" s="404"/>
      <c r="Y798" s="404"/>
      <c r="Z798" s="404"/>
    </row>
    <row r="799">
      <c r="A799" s="404"/>
      <c r="B799" s="404"/>
      <c r="C799" s="404"/>
      <c r="D799" s="404"/>
      <c r="E799" s="404"/>
      <c r="F799" s="404"/>
      <c r="G799" s="404"/>
      <c r="H799" s="404"/>
      <c r="I799" s="404"/>
      <c r="J799" s="404"/>
      <c r="K799" s="404"/>
      <c r="L799" s="404"/>
      <c r="M799" s="404"/>
      <c r="N799" s="404"/>
      <c r="O799" s="404"/>
      <c r="P799" s="404"/>
      <c r="Q799" s="404"/>
      <c r="R799" s="404"/>
      <c r="S799" s="404"/>
      <c r="T799" s="404"/>
      <c r="U799" s="404"/>
      <c r="V799" s="404"/>
      <c r="W799" s="404"/>
      <c r="X799" s="404"/>
      <c r="Y799" s="404"/>
      <c r="Z799" s="404"/>
    </row>
    <row r="800">
      <c r="A800" s="404"/>
      <c r="B800" s="404"/>
      <c r="C800" s="404"/>
      <c r="D800" s="404"/>
      <c r="E800" s="404"/>
      <c r="F800" s="404"/>
      <c r="G800" s="404"/>
      <c r="H800" s="404"/>
      <c r="I800" s="404"/>
      <c r="J800" s="404"/>
      <c r="K800" s="404"/>
      <c r="L800" s="404"/>
      <c r="M800" s="404"/>
      <c r="N800" s="404"/>
      <c r="O800" s="404"/>
      <c r="P800" s="404"/>
      <c r="Q800" s="404"/>
      <c r="R800" s="404"/>
      <c r="S800" s="404"/>
      <c r="T800" s="404"/>
      <c r="U800" s="404"/>
      <c r="V800" s="404"/>
      <c r="W800" s="404"/>
      <c r="X800" s="404"/>
      <c r="Y800" s="404"/>
      <c r="Z800" s="404"/>
    </row>
    <row r="801">
      <c r="A801" s="404"/>
      <c r="B801" s="404"/>
      <c r="C801" s="404"/>
      <c r="D801" s="404"/>
      <c r="E801" s="404"/>
      <c r="F801" s="404"/>
      <c r="G801" s="404"/>
      <c r="H801" s="404"/>
      <c r="I801" s="404"/>
      <c r="J801" s="404"/>
      <c r="K801" s="404"/>
      <c r="L801" s="404"/>
      <c r="M801" s="404"/>
      <c r="N801" s="404"/>
      <c r="O801" s="404"/>
      <c r="P801" s="404"/>
      <c r="Q801" s="404"/>
      <c r="R801" s="404"/>
      <c r="S801" s="404"/>
      <c r="T801" s="404"/>
      <c r="U801" s="404"/>
      <c r="V801" s="404"/>
      <c r="W801" s="404"/>
      <c r="X801" s="404"/>
      <c r="Y801" s="404"/>
      <c r="Z801" s="404"/>
    </row>
    <row r="802">
      <c r="A802" s="404"/>
      <c r="B802" s="404"/>
      <c r="C802" s="404"/>
      <c r="D802" s="404"/>
      <c r="E802" s="404"/>
      <c r="F802" s="404"/>
      <c r="G802" s="404"/>
      <c r="H802" s="404"/>
      <c r="I802" s="404"/>
      <c r="J802" s="404"/>
      <c r="K802" s="404"/>
      <c r="L802" s="404"/>
      <c r="M802" s="404"/>
      <c r="N802" s="404"/>
      <c r="O802" s="404"/>
      <c r="P802" s="404"/>
      <c r="Q802" s="404"/>
      <c r="R802" s="404"/>
      <c r="S802" s="404"/>
      <c r="T802" s="404"/>
      <c r="U802" s="404"/>
      <c r="V802" s="404"/>
      <c r="W802" s="404"/>
      <c r="X802" s="404"/>
      <c r="Y802" s="404"/>
      <c r="Z802" s="404"/>
    </row>
    <row r="803">
      <c r="A803" s="404"/>
      <c r="B803" s="404"/>
      <c r="C803" s="404"/>
      <c r="D803" s="404"/>
      <c r="E803" s="404"/>
      <c r="F803" s="404"/>
      <c r="G803" s="404"/>
      <c r="H803" s="404"/>
      <c r="I803" s="404"/>
      <c r="J803" s="404"/>
      <c r="K803" s="404"/>
      <c r="L803" s="404"/>
      <c r="M803" s="404"/>
      <c r="N803" s="404"/>
      <c r="O803" s="404"/>
      <c r="P803" s="404"/>
      <c r="Q803" s="404"/>
      <c r="R803" s="404"/>
      <c r="S803" s="404"/>
      <c r="T803" s="404"/>
      <c r="U803" s="404"/>
      <c r="V803" s="404"/>
      <c r="W803" s="404"/>
      <c r="X803" s="404"/>
      <c r="Y803" s="404"/>
      <c r="Z803" s="404"/>
    </row>
    <row r="804">
      <c r="A804" s="404"/>
      <c r="B804" s="404"/>
      <c r="C804" s="404"/>
      <c r="D804" s="404"/>
      <c r="E804" s="404"/>
      <c r="F804" s="404"/>
      <c r="G804" s="404"/>
      <c r="H804" s="404"/>
      <c r="I804" s="404"/>
      <c r="J804" s="404"/>
      <c r="K804" s="404"/>
      <c r="L804" s="404"/>
      <c r="M804" s="404"/>
      <c r="N804" s="404"/>
      <c r="O804" s="404"/>
      <c r="P804" s="404"/>
      <c r="Q804" s="404"/>
      <c r="R804" s="404"/>
      <c r="S804" s="404"/>
      <c r="T804" s="404"/>
      <c r="U804" s="404"/>
      <c r="V804" s="404"/>
      <c r="W804" s="404"/>
      <c r="X804" s="404"/>
      <c r="Y804" s="404"/>
      <c r="Z804" s="404"/>
    </row>
    <row r="805">
      <c r="A805" s="404"/>
      <c r="B805" s="404"/>
      <c r="C805" s="404"/>
      <c r="D805" s="404"/>
      <c r="E805" s="404"/>
      <c r="F805" s="404"/>
      <c r="G805" s="404"/>
      <c r="H805" s="404"/>
      <c r="I805" s="404"/>
      <c r="J805" s="404"/>
      <c r="K805" s="404"/>
      <c r="L805" s="404"/>
      <c r="M805" s="404"/>
      <c r="N805" s="404"/>
      <c r="O805" s="404"/>
      <c r="P805" s="404"/>
      <c r="Q805" s="404"/>
      <c r="R805" s="404"/>
      <c r="S805" s="404"/>
      <c r="T805" s="404"/>
      <c r="U805" s="404"/>
      <c r="V805" s="404"/>
      <c r="W805" s="404"/>
      <c r="X805" s="404"/>
      <c r="Y805" s="404"/>
      <c r="Z805" s="404"/>
    </row>
    <row r="806">
      <c r="A806" s="404"/>
      <c r="B806" s="404"/>
      <c r="C806" s="404"/>
      <c r="D806" s="404"/>
      <c r="E806" s="404"/>
      <c r="F806" s="404"/>
      <c r="G806" s="404"/>
      <c r="H806" s="404"/>
      <c r="I806" s="404"/>
      <c r="J806" s="404"/>
      <c r="K806" s="404"/>
      <c r="L806" s="404"/>
      <c r="M806" s="404"/>
      <c r="N806" s="404"/>
      <c r="O806" s="404"/>
      <c r="P806" s="404"/>
      <c r="Q806" s="404"/>
      <c r="R806" s="404"/>
      <c r="S806" s="404"/>
      <c r="T806" s="404"/>
      <c r="U806" s="404"/>
      <c r="V806" s="404"/>
      <c r="W806" s="404"/>
      <c r="X806" s="404"/>
      <c r="Y806" s="404"/>
      <c r="Z806" s="404"/>
    </row>
    <row r="807">
      <c r="A807" s="404"/>
      <c r="B807" s="404"/>
      <c r="C807" s="404"/>
      <c r="D807" s="404"/>
      <c r="E807" s="404"/>
      <c r="F807" s="404"/>
      <c r="G807" s="404"/>
      <c r="H807" s="404"/>
      <c r="I807" s="404"/>
      <c r="J807" s="404"/>
      <c r="K807" s="404"/>
      <c r="L807" s="404"/>
      <c r="M807" s="404"/>
      <c r="N807" s="404"/>
      <c r="O807" s="404"/>
      <c r="P807" s="404"/>
      <c r="Q807" s="404"/>
      <c r="R807" s="404"/>
      <c r="S807" s="404"/>
      <c r="T807" s="404"/>
      <c r="U807" s="404"/>
      <c r="V807" s="404"/>
      <c r="W807" s="404"/>
      <c r="X807" s="404"/>
      <c r="Y807" s="404"/>
      <c r="Z807" s="404"/>
    </row>
    <row r="808">
      <c r="A808" s="404"/>
      <c r="B808" s="404"/>
      <c r="C808" s="404"/>
      <c r="D808" s="404"/>
      <c r="E808" s="404"/>
      <c r="F808" s="404"/>
      <c r="G808" s="404"/>
      <c r="H808" s="404"/>
      <c r="I808" s="404"/>
      <c r="J808" s="404"/>
      <c r="K808" s="404"/>
      <c r="L808" s="404"/>
      <c r="M808" s="404"/>
      <c r="N808" s="404"/>
      <c r="O808" s="404"/>
      <c r="P808" s="404"/>
      <c r="Q808" s="404"/>
      <c r="R808" s="404"/>
      <c r="S808" s="404"/>
      <c r="T808" s="404"/>
      <c r="U808" s="404"/>
      <c r="V808" s="404"/>
      <c r="W808" s="404"/>
      <c r="X808" s="404"/>
      <c r="Y808" s="404"/>
      <c r="Z808" s="404"/>
    </row>
    <row r="809">
      <c r="A809" s="404"/>
      <c r="B809" s="404"/>
      <c r="C809" s="404"/>
      <c r="D809" s="404"/>
      <c r="E809" s="404"/>
      <c r="F809" s="404"/>
      <c r="G809" s="404"/>
      <c r="H809" s="404"/>
      <c r="I809" s="404"/>
      <c r="J809" s="404"/>
      <c r="K809" s="404"/>
      <c r="L809" s="404"/>
      <c r="M809" s="404"/>
      <c r="N809" s="404"/>
      <c r="O809" s="404"/>
      <c r="P809" s="404"/>
      <c r="Q809" s="404"/>
      <c r="R809" s="404"/>
      <c r="S809" s="404"/>
      <c r="T809" s="404"/>
      <c r="U809" s="404"/>
      <c r="V809" s="404"/>
      <c r="W809" s="404"/>
      <c r="X809" s="404"/>
      <c r="Y809" s="404"/>
      <c r="Z809" s="404"/>
    </row>
    <row r="810">
      <c r="A810" s="404"/>
      <c r="B810" s="404"/>
      <c r="C810" s="404"/>
      <c r="D810" s="404"/>
      <c r="E810" s="404"/>
      <c r="F810" s="404"/>
      <c r="G810" s="404"/>
      <c r="H810" s="404"/>
      <c r="I810" s="404"/>
      <c r="J810" s="404"/>
      <c r="K810" s="404"/>
      <c r="L810" s="404"/>
      <c r="M810" s="404"/>
      <c r="N810" s="404"/>
      <c r="O810" s="404"/>
      <c r="P810" s="404"/>
      <c r="Q810" s="404"/>
      <c r="R810" s="404"/>
      <c r="S810" s="404"/>
      <c r="T810" s="404"/>
      <c r="U810" s="404"/>
      <c r="V810" s="404"/>
      <c r="W810" s="404"/>
      <c r="X810" s="404"/>
      <c r="Y810" s="404"/>
      <c r="Z810" s="404"/>
    </row>
    <row r="811">
      <c r="A811" s="404"/>
      <c r="B811" s="404"/>
      <c r="C811" s="404"/>
      <c r="D811" s="404"/>
      <c r="E811" s="404"/>
      <c r="F811" s="404"/>
      <c r="G811" s="404"/>
      <c r="H811" s="404"/>
      <c r="I811" s="404"/>
      <c r="J811" s="404"/>
      <c r="K811" s="404"/>
      <c r="L811" s="404"/>
      <c r="M811" s="404"/>
      <c r="N811" s="404"/>
      <c r="O811" s="404"/>
      <c r="P811" s="404"/>
      <c r="Q811" s="404"/>
      <c r="R811" s="404"/>
      <c r="S811" s="404"/>
      <c r="T811" s="404"/>
      <c r="U811" s="404"/>
      <c r="V811" s="404"/>
      <c r="W811" s="404"/>
      <c r="X811" s="404"/>
      <c r="Y811" s="404"/>
      <c r="Z811" s="404"/>
    </row>
    <row r="812">
      <c r="A812" s="404"/>
      <c r="B812" s="404"/>
      <c r="C812" s="404"/>
      <c r="D812" s="404"/>
      <c r="E812" s="404"/>
      <c r="F812" s="404"/>
      <c r="G812" s="404"/>
      <c r="H812" s="404"/>
      <c r="I812" s="404"/>
      <c r="J812" s="404"/>
      <c r="K812" s="404"/>
      <c r="L812" s="404"/>
      <c r="M812" s="404"/>
      <c r="N812" s="404"/>
      <c r="O812" s="404"/>
      <c r="P812" s="404"/>
      <c r="Q812" s="404"/>
      <c r="R812" s="404"/>
      <c r="S812" s="404"/>
      <c r="T812" s="404"/>
      <c r="U812" s="404"/>
      <c r="V812" s="404"/>
      <c r="W812" s="404"/>
      <c r="X812" s="404"/>
      <c r="Y812" s="404"/>
      <c r="Z812" s="404"/>
    </row>
    <row r="813">
      <c r="A813" s="404"/>
      <c r="B813" s="404"/>
      <c r="C813" s="404"/>
      <c r="D813" s="404"/>
      <c r="E813" s="404"/>
      <c r="F813" s="404"/>
      <c r="G813" s="404"/>
      <c r="H813" s="404"/>
      <c r="I813" s="404"/>
      <c r="J813" s="404"/>
      <c r="K813" s="404"/>
      <c r="L813" s="404"/>
      <c r="M813" s="404"/>
      <c r="N813" s="404"/>
      <c r="O813" s="404"/>
      <c r="P813" s="404"/>
      <c r="Q813" s="404"/>
      <c r="R813" s="404"/>
      <c r="S813" s="404"/>
      <c r="T813" s="404"/>
      <c r="U813" s="404"/>
      <c r="V813" s="404"/>
      <c r="W813" s="404"/>
      <c r="X813" s="404"/>
      <c r="Y813" s="404"/>
      <c r="Z813" s="404"/>
    </row>
    <row r="814">
      <c r="A814" s="404"/>
      <c r="B814" s="404"/>
      <c r="C814" s="404"/>
      <c r="D814" s="404"/>
      <c r="E814" s="404"/>
      <c r="F814" s="404"/>
      <c r="G814" s="404"/>
      <c r="H814" s="404"/>
      <c r="I814" s="404"/>
      <c r="J814" s="404"/>
      <c r="K814" s="404"/>
      <c r="L814" s="404"/>
      <c r="M814" s="404"/>
      <c r="N814" s="404"/>
      <c r="O814" s="404"/>
      <c r="P814" s="404"/>
      <c r="Q814" s="404"/>
      <c r="R814" s="404"/>
      <c r="S814" s="404"/>
      <c r="T814" s="404"/>
      <c r="U814" s="404"/>
      <c r="V814" s="404"/>
      <c r="W814" s="404"/>
      <c r="X814" s="404"/>
      <c r="Y814" s="404"/>
      <c r="Z814" s="404"/>
    </row>
    <row r="815">
      <c r="A815" s="404"/>
      <c r="B815" s="404"/>
      <c r="C815" s="404"/>
      <c r="D815" s="404"/>
      <c r="E815" s="404"/>
      <c r="F815" s="404"/>
      <c r="G815" s="404"/>
      <c r="H815" s="404"/>
      <c r="I815" s="404"/>
      <c r="J815" s="404"/>
      <c r="K815" s="404"/>
      <c r="L815" s="404"/>
      <c r="M815" s="404"/>
      <c r="N815" s="404"/>
      <c r="O815" s="404"/>
      <c r="P815" s="404"/>
      <c r="Q815" s="404"/>
      <c r="R815" s="404"/>
      <c r="S815" s="404"/>
      <c r="T815" s="404"/>
      <c r="U815" s="404"/>
      <c r="V815" s="404"/>
      <c r="W815" s="404"/>
      <c r="X815" s="404"/>
      <c r="Y815" s="404"/>
      <c r="Z815" s="404"/>
    </row>
    <row r="816">
      <c r="A816" s="404"/>
      <c r="B816" s="404"/>
      <c r="C816" s="404"/>
      <c r="D816" s="404"/>
      <c r="E816" s="404"/>
      <c r="F816" s="404"/>
      <c r="G816" s="404"/>
      <c r="H816" s="404"/>
      <c r="I816" s="404"/>
      <c r="J816" s="404"/>
      <c r="K816" s="404"/>
      <c r="L816" s="404"/>
      <c r="M816" s="404"/>
      <c r="N816" s="404"/>
      <c r="O816" s="404"/>
      <c r="P816" s="404"/>
      <c r="Q816" s="404"/>
      <c r="R816" s="404"/>
      <c r="S816" s="404"/>
      <c r="T816" s="404"/>
      <c r="U816" s="404"/>
      <c r="V816" s="404"/>
      <c r="W816" s="404"/>
      <c r="X816" s="404"/>
      <c r="Y816" s="404"/>
      <c r="Z816" s="404"/>
    </row>
    <row r="817">
      <c r="A817" s="404"/>
      <c r="B817" s="404"/>
      <c r="C817" s="404"/>
      <c r="D817" s="404"/>
      <c r="E817" s="404"/>
      <c r="F817" s="404"/>
      <c r="G817" s="404"/>
      <c r="H817" s="404"/>
      <c r="I817" s="404"/>
      <c r="J817" s="404"/>
      <c r="K817" s="404"/>
      <c r="L817" s="404"/>
      <c r="M817" s="404"/>
      <c r="N817" s="404"/>
      <c r="O817" s="404"/>
      <c r="P817" s="404"/>
      <c r="Q817" s="404"/>
      <c r="R817" s="404"/>
      <c r="S817" s="404"/>
      <c r="T817" s="404"/>
      <c r="U817" s="404"/>
      <c r="V817" s="404"/>
      <c r="W817" s="404"/>
      <c r="X817" s="404"/>
      <c r="Y817" s="404"/>
      <c r="Z817" s="404"/>
    </row>
    <row r="818">
      <c r="A818" s="404"/>
      <c r="B818" s="404"/>
      <c r="C818" s="404"/>
      <c r="D818" s="404"/>
      <c r="E818" s="404"/>
      <c r="F818" s="404"/>
      <c r="G818" s="404"/>
      <c r="H818" s="404"/>
      <c r="I818" s="404"/>
      <c r="J818" s="404"/>
      <c r="K818" s="404"/>
      <c r="L818" s="404"/>
      <c r="M818" s="404"/>
      <c r="N818" s="404"/>
      <c r="O818" s="404"/>
      <c r="P818" s="404"/>
      <c r="Q818" s="404"/>
      <c r="R818" s="404"/>
      <c r="S818" s="404"/>
      <c r="T818" s="404"/>
      <c r="U818" s="404"/>
      <c r="V818" s="404"/>
      <c r="W818" s="404"/>
      <c r="X818" s="404"/>
      <c r="Y818" s="404"/>
      <c r="Z818" s="404"/>
    </row>
    <row r="819">
      <c r="A819" s="404"/>
      <c r="B819" s="404"/>
      <c r="C819" s="404"/>
      <c r="D819" s="404"/>
      <c r="E819" s="404"/>
      <c r="F819" s="404"/>
      <c r="G819" s="404"/>
      <c r="H819" s="404"/>
      <c r="I819" s="404"/>
      <c r="J819" s="404"/>
      <c r="K819" s="404"/>
      <c r="L819" s="404"/>
      <c r="M819" s="404"/>
      <c r="N819" s="404"/>
      <c r="O819" s="404"/>
      <c r="P819" s="404"/>
      <c r="Q819" s="404"/>
      <c r="R819" s="404"/>
      <c r="S819" s="404"/>
      <c r="T819" s="404"/>
      <c r="U819" s="404"/>
      <c r="V819" s="404"/>
      <c r="W819" s="404"/>
      <c r="X819" s="404"/>
      <c r="Y819" s="404"/>
      <c r="Z819" s="404"/>
    </row>
    <row r="820">
      <c r="A820" s="404"/>
      <c r="B820" s="404"/>
      <c r="C820" s="404"/>
      <c r="D820" s="404"/>
      <c r="E820" s="404"/>
      <c r="F820" s="404"/>
      <c r="G820" s="404"/>
      <c r="H820" s="404"/>
      <c r="I820" s="404"/>
      <c r="J820" s="404"/>
      <c r="K820" s="404"/>
      <c r="L820" s="404"/>
      <c r="M820" s="404"/>
      <c r="N820" s="404"/>
      <c r="O820" s="404"/>
      <c r="P820" s="404"/>
      <c r="Q820" s="404"/>
      <c r="R820" s="404"/>
      <c r="S820" s="404"/>
      <c r="T820" s="404"/>
      <c r="U820" s="404"/>
      <c r="V820" s="404"/>
      <c r="W820" s="404"/>
      <c r="X820" s="404"/>
      <c r="Y820" s="404"/>
      <c r="Z820" s="404"/>
    </row>
    <row r="821">
      <c r="A821" s="404"/>
      <c r="B821" s="404"/>
      <c r="C821" s="404"/>
      <c r="D821" s="404"/>
      <c r="E821" s="404"/>
      <c r="F821" s="404"/>
      <c r="G821" s="404"/>
      <c r="H821" s="404"/>
      <c r="I821" s="404"/>
      <c r="J821" s="404"/>
      <c r="K821" s="404"/>
      <c r="L821" s="404"/>
      <c r="M821" s="404"/>
      <c r="N821" s="404"/>
      <c r="O821" s="404"/>
      <c r="P821" s="404"/>
      <c r="Q821" s="404"/>
      <c r="R821" s="404"/>
      <c r="S821" s="404"/>
      <c r="T821" s="404"/>
      <c r="U821" s="404"/>
      <c r="V821" s="404"/>
      <c r="W821" s="404"/>
      <c r="X821" s="404"/>
      <c r="Y821" s="404"/>
      <c r="Z821" s="404"/>
    </row>
    <row r="822">
      <c r="A822" s="404"/>
      <c r="B822" s="404"/>
      <c r="C822" s="404"/>
      <c r="D822" s="404"/>
      <c r="E822" s="404"/>
      <c r="F822" s="404"/>
      <c r="G822" s="404"/>
      <c r="H822" s="404"/>
      <c r="I822" s="404"/>
      <c r="J822" s="404"/>
      <c r="K822" s="404"/>
      <c r="L822" s="404"/>
      <c r="M822" s="404"/>
      <c r="N822" s="404"/>
      <c r="O822" s="404"/>
      <c r="P822" s="404"/>
      <c r="Q822" s="404"/>
      <c r="R822" s="404"/>
      <c r="S822" s="404"/>
      <c r="T822" s="404"/>
      <c r="U822" s="404"/>
      <c r="V822" s="404"/>
      <c r="W822" s="404"/>
      <c r="X822" s="404"/>
      <c r="Y822" s="404"/>
      <c r="Z822" s="404"/>
    </row>
    <row r="823">
      <c r="A823" s="404"/>
      <c r="B823" s="404"/>
      <c r="C823" s="404"/>
      <c r="D823" s="404"/>
      <c r="E823" s="404"/>
      <c r="F823" s="404"/>
      <c r="G823" s="404"/>
      <c r="H823" s="404"/>
      <c r="I823" s="404"/>
      <c r="J823" s="404"/>
      <c r="K823" s="404"/>
      <c r="L823" s="404"/>
      <c r="M823" s="404"/>
      <c r="N823" s="404"/>
      <c r="O823" s="404"/>
      <c r="P823" s="404"/>
      <c r="Q823" s="404"/>
      <c r="R823" s="404"/>
      <c r="S823" s="404"/>
      <c r="T823" s="404"/>
      <c r="U823" s="404"/>
      <c r="V823" s="404"/>
      <c r="W823" s="404"/>
      <c r="X823" s="404"/>
      <c r="Y823" s="404"/>
      <c r="Z823" s="404"/>
    </row>
    <row r="824">
      <c r="A824" s="404"/>
      <c r="B824" s="404"/>
      <c r="C824" s="404"/>
      <c r="D824" s="404"/>
      <c r="E824" s="404"/>
      <c r="F824" s="404"/>
      <c r="G824" s="404"/>
      <c r="H824" s="404"/>
      <c r="I824" s="404"/>
      <c r="J824" s="404"/>
      <c r="K824" s="404"/>
      <c r="L824" s="404"/>
      <c r="M824" s="404"/>
      <c r="N824" s="404"/>
      <c r="O824" s="404"/>
      <c r="P824" s="404"/>
      <c r="Q824" s="404"/>
      <c r="R824" s="404"/>
      <c r="S824" s="404"/>
      <c r="T824" s="404"/>
      <c r="U824" s="404"/>
      <c r="V824" s="404"/>
      <c r="W824" s="404"/>
      <c r="X824" s="404"/>
      <c r="Y824" s="404"/>
      <c r="Z824" s="404"/>
    </row>
    <row r="825">
      <c r="A825" s="404"/>
      <c r="B825" s="404"/>
      <c r="C825" s="404"/>
      <c r="D825" s="404"/>
      <c r="E825" s="404"/>
      <c r="F825" s="404"/>
      <c r="G825" s="404"/>
      <c r="H825" s="404"/>
      <c r="I825" s="404"/>
      <c r="J825" s="404"/>
      <c r="K825" s="404"/>
      <c r="L825" s="404"/>
      <c r="M825" s="404"/>
      <c r="N825" s="404"/>
      <c r="O825" s="404"/>
      <c r="P825" s="404"/>
      <c r="Q825" s="404"/>
      <c r="R825" s="404"/>
      <c r="S825" s="404"/>
      <c r="T825" s="404"/>
      <c r="U825" s="404"/>
      <c r="V825" s="404"/>
      <c r="W825" s="404"/>
      <c r="X825" s="404"/>
      <c r="Y825" s="404"/>
      <c r="Z825" s="404"/>
    </row>
    <row r="826">
      <c r="A826" s="404"/>
      <c r="B826" s="404"/>
      <c r="C826" s="404"/>
      <c r="D826" s="404"/>
      <c r="E826" s="404"/>
      <c r="F826" s="404"/>
      <c r="G826" s="404"/>
      <c r="H826" s="404"/>
      <c r="I826" s="404"/>
      <c r="J826" s="404"/>
      <c r="K826" s="404"/>
      <c r="L826" s="404"/>
      <c r="M826" s="404"/>
      <c r="N826" s="404"/>
      <c r="O826" s="404"/>
      <c r="P826" s="404"/>
      <c r="Q826" s="404"/>
      <c r="R826" s="404"/>
      <c r="S826" s="404"/>
      <c r="T826" s="404"/>
      <c r="U826" s="404"/>
      <c r="V826" s="404"/>
      <c r="W826" s="404"/>
      <c r="X826" s="404"/>
      <c r="Y826" s="404"/>
      <c r="Z826" s="404"/>
    </row>
    <row r="827">
      <c r="A827" s="404"/>
      <c r="B827" s="404"/>
      <c r="C827" s="404"/>
      <c r="D827" s="404"/>
      <c r="E827" s="404"/>
      <c r="F827" s="404"/>
      <c r="G827" s="404"/>
      <c r="H827" s="404"/>
      <c r="I827" s="404"/>
      <c r="J827" s="404"/>
      <c r="K827" s="404"/>
      <c r="L827" s="404"/>
      <c r="M827" s="404"/>
      <c r="N827" s="404"/>
      <c r="O827" s="404"/>
      <c r="P827" s="404"/>
      <c r="Q827" s="404"/>
      <c r="R827" s="404"/>
      <c r="S827" s="404"/>
      <c r="T827" s="404"/>
      <c r="U827" s="404"/>
      <c r="V827" s="404"/>
      <c r="W827" s="404"/>
      <c r="X827" s="404"/>
      <c r="Y827" s="404"/>
      <c r="Z827" s="404"/>
    </row>
    <row r="828">
      <c r="A828" s="404"/>
      <c r="B828" s="404"/>
      <c r="C828" s="404"/>
      <c r="D828" s="404"/>
      <c r="E828" s="404"/>
      <c r="F828" s="404"/>
      <c r="G828" s="404"/>
      <c r="H828" s="404"/>
      <c r="I828" s="404"/>
      <c r="J828" s="404"/>
      <c r="K828" s="404"/>
      <c r="L828" s="404"/>
      <c r="M828" s="404"/>
      <c r="N828" s="404"/>
      <c r="O828" s="404"/>
      <c r="P828" s="404"/>
      <c r="Q828" s="404"/>
      <c r="R828" s="404"/>
      <c r="S828" s="404"/>
      <c r="T828" s="404"/>
      <c r="U828" s="404"/>
      <c r="V828" s="404"/>
      <c r="W828" s="404"/>
      <c r="X828" s="404"/>
      <c r="Y828" s="404"/>
      <c r="Z828" s="404"/>
    </row>
    <row r="829">
      <c r="A829" s="404"/>
      <c r="B829" s="404"/>
      <c r="C829" s="404"/>
      <c r="D829" s="404"/>
      <c r="E829" s="404"/>
      <c r="F829" s="404"/>
      <c r="G829" s="404"/>
      <c r="H829" s="404"/>
      <c r="I829" s="404"/>
      <c r="J829" s="404"/>
      <c r="K829" s="404"/>
      <c r="L829" s="404"/>
      <c r="M829" s="404"/>
      <c r="N829" s="404"/>
      <c r="O829" s="404"/>
      <c r="P829" s="404"/>
      <c r="Q829" s="404"/>
      <c r="R829" s="404"/>
      <c r="S829" s="404"/>
      <c r="T829" s="404"/>
      <c r="U829" s="404"/>
      <c r="V829" s="404"/>
      <c r="W829" s="404"/>
      <c r="X829" s="404"/>
      <c r="Y829" s="404"/>
      <c r="Z829" s="404"/>
    </row>
    <row r="830">
      <c r="A830" s="404"/>
      <c r="B830" s="404"/>
      <c r="C830" s="404"/>
      <c r="D830" s="404"/>
      <c r="E830" s="404"/>
      <c r="F830" s="404"/>
      <c r="G830" s="404"/>
      <c r="H830" s="404"/>
      <c r="I830" s="404"/>
      <c r="J830" s="404"/>
      <c r="K830" s="404"/>
      <c r="L830" s="404"/>
      <c r="M830" s="404"/>
      <c r="N830" s="404"/>
      <c r="O830" s="404"/>
      <c r="P830" s="404"/>
      <c r="Q830" s="404"/>
      <c r="R830" s="404"/>
      <c r="S830" s="404"/>
      <c r="T830" s="404"/>
      <c r="U830" s="404"/>
      <c r="V830" s="404"/>
      <c r="W830" s="404"/>
      <c r="X830" s="404"/>
      <c r="Y830" s="404"/>
      <c r="Z830" s="404"/>
    </row>
    <row r="831">
      <c r="A831" s="404"/>
      <c r="B831" s="404"/>
      <c r="C831" s="404"/>
      <c r="D831" s="404"/>
      <c r="E831" s="404"/>
      <c r="F831" s="404"/>
      <c r="G831" s="404"/>
      <c r="H831" s="404"/>
      <c r="I831" s="404"/>
      <c r="J831" s="404"/>
      <c r="K831" s="404"/>
      <c r="L831" s="404"/>
      <c r="M831" s="404"/>
      <c r="N831" s="404"/>
      <c r="O831" s="404"/>
      <c r="P831" s="404"/>
      <c r="Q831" s="404"/>
      <c r="R831" s="404"/>
      <c r="S831" s="404"/>
      <c r="T831" s="404"/>
      <c r="U831" s="404"/>
      <c r="V831" s="404"/>
      <c r="W831" s="404"/>
      <c r="X831" s="404"/>
      <c r="Y831" s="404"/>
      <c r="Z831" s="404"/>
    </row>
    <row r="832">
      <c r="A832" s="404"/>
      <c r="B832" s="404"/>
      <c r="C832" s="404"/>
      <c r="D832" s="404"/>
      <c r="E832" s="404"/>
      <c r="F832" s="404"/>
      <c r="G832" s="404"/>
      <c r="H832" s="404"/>
      <c r="I832" s="404"/>
      <c r="J832" s="404"/>
      <c r="K832" s="404"/>
      <c r="L832" s="404"/>
      <c r="M832" s="404"/>
      <c r="N832" s="404"/>
      <c r="O832" s="404"/>
      <c r="P832" s="404"/>
      <c r="Q832" s="404"/>
      <c r="R832" s="404"/>
      <c r="S832" s="404"/>
      <c r="T832" s="404"/>
      <c r="U832" s="404"/>
      <c r="V832" s="404"/>
      <c r="W832" s="404"/>
      <c r="X832" s="404"/>
      <c r="Y832" s="404"/>
      <c r="Z832" s="404"/>
    </row>
    <row r="833">
      <c r="A833" s="404"/>
      <c r="B833" s="404"/>
      <c r="C833" s="404"/>
      <c r="D833" s="404"/>
      <c r="E833" s="404"/>
      <c r="F833" s="404"/>
      <c r="G833" s="404"/>
      <c r="H833" s="404"/>
      <c r="I833" s="404"/>
      <c r="J833" s="404"/>
      <c r="K833" s="404"/>
      <c r="L833" s="404"/>
      <c r="M833" s="404"/>
      <c r="N833" s="404"/>
      <c r="O833" s="404"/>
      <c r="P833" s="404"/>
      <c r="Q833" s="404"/>
      <c r="R833" s="404"/>
      <c r="S833" s="404"/>
      <c r="T833" s="404"/>
      <c r="U833" s="404"/>
      <c r="V833" s="404"/>
      <c r="W833" s="404"/>
      <c r="X833" s="404"/>
      <c r="Y833" s="404"/>
      <c r="Z833" s="404"/>
    </row>
    <row r="834">
      <c r="A834" s="404"/>
      <c r="B834" s="404"/>
      <c r="C834" s="404"/>
      <c r="D834" s="404"/>
      <c r="E834" s="404"/>
      <c r="F834" s="404"/>
      <c r="G834" s="404"/>
      <c r="H834" s="404"/>
      <c r="I834" s="404"/>
      <c r="J834" s="404"/>
      <c r="K834" s="404"/>
      <c r="L834" s="404"/>
      <c r="M834" s="404"/>
      <c r="N834" s="404"/>
      <c r="O834" s="404"/>
      <c r="P834" s="404"/>
      <c r="Q834" s="404"/>
      <c r="R834" s="404"/>
      <c r="S834" s="404"/>
      <c r="T834" s="404"/>
      <c r="U834" s="404"/>
      <c r="V834" s="404"/>
      <c r="W834" s="404"/>
      <c r="X834" s="404"/>
      <c r="Y834" s="404"/>
      <c r="Z834" s="404"/>
    </row>
    <row r="835">
      <c r="A835" s="404"/>
      <c r="B835" s="404"/>
      <c r="C835" s="404"/>
      <c r="D835" s="404"/>
      <c r="E835" s="404"/>
      <c r="F835" s="404"/>
      <c r="G835" s="404"/>
      <c r="H835" s="404"/>
      <c r="I835" s="404"/>
      <c r="J835" s="404"/>
      <c r="K835" s="404"/>
      <c r="L835" s="404"/>
      <c r="M835" s="404"/>
      <c r="N835" s="404"/>
      <c r="O835" s="404"/>
      <c r="P835" s="404"/>
      <c r="Q835" s="404"/>
      <c r="R835" s="404"/>
      <c r="S835" s="404"/>
      <c r="T835" s="404"/>
      <c r="U835" s="404"/>
      <c r="V835" s="404"/>
      <c r="W835" s="404"/>
      <c r="X835" s="404"/>
      <c r="Y835" s="404"/>
      <c r="Z835" s="404"/>
    </row>
    <row r="836">
      <c r="A836" s="404"/>
      <c r="B836" s="404"/>
      <c r="C836" s="404"/>
      <c r="D836" s="404"/>
      <c r="E836" s="404"/>
      <c r="F836" s="404"/>
      <c r="G836" s="404"/>
      <c r="H836" s="404"/>
      <c r="I836" s="404"/>
      <c r="J836" s="404"/>
      <c r="K836" s="404"/>
      <c r="L836" s="404"/>
      <c r="M836" s="404"/>
      <c r="N836" s="404"/>
      <c r="O836" s="404"/>
      <c r="P836" s="404"/>
      <c r="Q836" s="404"/>
      <c r="R836" s="404"/>
      <c r="S836" s="404"/>
      <c r="T836" s="404"/>
      <c r="U836" s="404"/>
      <c r="V836" s="404"/>
      <c r="W836" s="404"/>
      <c r="X836" s="404"/>
      <c r="Y836" s="404"/>
      <c r="Z836" s="404"/>
    </row>
    <row r="837">
      <c r="A837" s="404"/>
      <c r="B837" s="404"/>
      <c r="C837" s="404"/>
      <c r="D837" s="404"/>
      <c r="E837" s="404"/>
      <c r="F837" s="404"/>
      <c r="G837" s="404"/>
      <c r="H837" s="404"/>
      <c r="I837" s="404"/>
      <c r="J837" s="404"/>
      <c r="K837" s="404"/>
      <c r="L837" s="404"/>
      <c r="M837" s="404"/>
      <c r="N837" s="404"/>
      <c r="O837" s="404"/>
      <c r="P837" s="404"/>
      <c r="Q837" s="404"/>
      <c r="R837" s="404"/>
      <c r="S837" s="404"/>
      <c r="T837" s="404"/>
      <c r="U837" s="404"/>
      <c r="V837" s="404"/>
      <c r="W837" s="404"/>
      <c r="X837" s="404"/>
      <c r="Y837" s="404"/>
      <c r="Z837" s="404"/>
    </row>
    <row r="838">
      <c r="A838" s="404"/>
      <c r="B838" s="404"/>
      <c r="C838" s="404"/>
      <c r="D838" s="404"/>
      <c r="E838" s="404"/>
      <c r="F838" s="404"/>
      <c r="G838" s="404"/>
      <c r="H838" s="404"/>
      <c r="I838" s="404"/>
      <c r="J838" s="404"/>
      <c r="K838" s="404"/>
      <c r="L838" s="404"/>
      <c r="M838" s="404"/>
      <c r="N838" s="404"/>
      <c r="O838" s="404"/>
      <c r="P838" s="404"/>
      <c r="Q838" s="404"/>
      <c r="R838" s="404"/>
      <c r="S838" s="404"/>
      <c r="T838" s="404"/>
      <c r="U838" s="404"/>
      <c r="V838" s="404"/>
      <c r="W838" s="404"/>
      <c r="X838" s="404"/>
      <c r="Y838" s="404"/>
      <c r="Z838" s="404"/>
    </row>
    <row r="839">
      <c r="A839" s="404"/>
      <c r="B839" s="404"/>
      <c r="C839" s="404"/>
      <c r="D839" s="404"/>
      <c r="E839" s="404"/>
      <c r="F839" s="404"/>
      <c r="G839" s="404"/>
      <c r="H839" s="404"/>
      <c r="I839" s="404"/>
      <c r="J839" s="404"/>
      <c r="K839" s="404"/>
      <c r="L839" s="404"/>
      <c r="M839" s="404"/>
      <c r="N839" s="404"/>
      <c r="O839" s="404"/>
      <c r="P839" s="404"/>
      <c r="Q839" s="404"/>
      <c r="R839" s="404"/>
      <c r="S839" s="404"/>
      <c r="T839" s="404"/>
      <c r="U839" s="404"/>
      <c r="V839" s="404"/>
      <c r="W839" s="404"/>
      <c r="X839" s="404"/>
      <c r="Y839" s="404"/>
      <c r="Z839" s="404"/>
    </row>
    <row r="840">
      <c r="A840" s="404"/>
      <c r="B840" s="404"/>
      <c r="C840" s="404"/>
      <c r="D840" s="404"/>
      <c r="E840" s="404"/>
      <c r="F840" s="404"/>
      <c r="G840" s="404"/>
      <c r="H840" s="404"/>
      <c r="I840" s="404"/>
      <c r="J840" s="404"/>
      <c r="K840" s="404"/>
      <c r="L840" s="404"/>
      <c r="M840" s="404"/>
      <c r="N840" s="404"/>
      <c r="O840" s="404"/>
      <c r="P840" s="404"/>
      <c r="Q840" s="404"/>
      <c r="R840" s="404"/>
      <c r="S840" s="404"/>
      <c r="T840" s="404"/>
      <c r="U840" s="404"/>
      <c r="V840" s="404"/>
      <c r="W840" s="404"/>
      <c r="X840" s="404"/>
      <c r="Y840" s="404"/>
      <c r="Z840" s="404"/>
    </row>
    <row r="841">
      <c r="A841" s="404"/>
      <c r="B841" s="404"/>
      <c r="C841" s="404"/>
      <c r="D841" s="404"/>
      <c r="E841" s="404"/>
      <c r="F841" s="404"/>
      <c r="G841" s="404"/>
      <c r="H841" s="404"/>
      <c r="I841" s="404"/>
      <c r="J841" s="404"/>
      <c r="K841" s="404"/>
      <c r="L841" s="404"/>
      <c r="M841" s="404"/>
      <c r="N841" s="404"/>
      <c r="O841" s="404"/>
      <c r="P841" s="404"/>
      <c r="Q841" s="404"/>
      <c r="R841" s="404"/>
      <c r="S841" s="404"/>
      <c r="T841" s="404"/>
      <c r="U841" s="404"/>
      <c r="V841" s="404"/>
      <c r="W841" s="404"/>
      <c r="X841" s="404"/>
      <c r="Y841" s="404"/>
      <c r="Z841" s="404"/>
    </row>
    <row r="842">
      <c r="A842" s="404"/>
      <c r="B842" s="404"/>
      <c r="C842" s="404"/>
      <c r="D842" s="404"/>
      <c r="E842" s="404"/>
      <c r="F842" s="404"/>
      <c r="G842" s="404"/>
      <c r="H842" s="404"/>
      <c r="I842" s="404"/>
      <c r="J842" s="404"/>
      <c r="K842" s="404"/>
      <c r="L842" s="404"/>
      <c r="M842" s="404"/>
      <c r="N842" s="404"/>
      <c r="O842" s="404"/>
      <c r="P842" s="404"/>
      <c r="Q842" s="404"/>
      <c r="R842" s="404"/>
      <c r="S842" s="404"/>
      <c r="T842" s="404"/>
      <c r="U842" s="404"/>
      <c r="V842" s="404"/>
      <c r="W842" s="404"/>
      <c r="X842" s="404"/>
      <c r="Y842" s="404"/>
      <c r="Z842" s="404"/>
    </row>
    <row r="843">
      <c r="A843" s="404"/>
      <c r="B843" s="404"/>
      <c r="C843" s="404"/>
      <c r="D843" s="404"/>
      <c r="E843" s="404"/>
      <c r="F843" s="404"/>
      <c r="G843" s="404"/>
      <c r="H843" s="404"/>
      <c r="I843" s="404"/>
      <c r="J843" s="404"/>
      <c r="K843" s="404"/>
      <c r="L843" s="404"/>
      <c r="M843" s="404"/>
      <c r="N843" s="404"/>
      <c r="O843" s="404"/>
      <c r="P843" s="404"/>
      <c r="Q843" s="404"/>
      <c r="R843" s="404"/>
      <c r="S843" s="404"/>
      <c r="T843" s="404"/>
      <c r="U843" s="404"/>
      <c r="V843" s="404"/>
      <c r="W843" s="404"/>
      <c r="X843" s="404"/>
      <c r="Y843" s="404"/>
      <c r="Z843" s="404"/>
    </row>
    <row r="844">
      <c r="A844" s="404"/>
      <c r="B844" s="404"/>
      <c r="C844" s="404"/>
      <c r="D844" s="404"/>
      <c r="E844" s="404"/>
      <c r="F844" s="404"/>
      <c r="G844" s="404"/>
      <c r="H844" s="404"/>
      <c r="I844" s="404"/>
      <c r="J844" s="404"/>
      <c r="K844" s="404"/>
      <c r="L844" s="404"/>
      <c r="M844" s="404"/>
      <c r="N844" s="404"/>
      <c r="O844" s="404"/>
      <c r="P844" s="404"/>
      <c r="Q844" s="404"/>
      <c r="R844" s="404"/>
      <c r="S844" s="404"/>
      <c r="T844" s="404"/>
      <c r="U844" s="404"/>
      <c r="V844" s="404"/>
      <c r="W844" s="404"/>
      <c r="X844" s="404"/>
      <c r="Y844" s="404"/>
      <c r="Z844" s="404"/>
    </row>
    <row r="845">
      <c r="A845" s="404"/>
      <c r="B845" s="404"/>
      <c r="C845" s="404"/>
      <c r="D845" s="404"/>
      <c r="E845" s="404"/>
      <c r="F845" s="404"/>
      <c r="G845" s="404"/>
      <c r="H845" s="404"/>
      <c r="I845" s="404"/>
      <c r="J845" s="404"/>
      <c r="K845" s="404"/>
      <c r="L845" s="404"/>
      <c r="M845" s="404"/>
      <c r="N845" s="404"/>
      <c r="O845" s="404"/>
      <c r="P845" s="404"/>
      <c r="Q845" s="404"/>
      <c r="R845" s="404"/>
      <c r="S845" s="404"/>
      <c r="T845" s="404"/>
      <c r="U845" s="404"/>
      <c r="V845" s="404"/>
      <c r="W845" s="404"/>
      <c r="X845" s="404"/>
      <c r="Y845" s="404"/>
      <c r="Z845" s="404"/>
    </row>
    <row r="846">
      <c r="A846" s="404"/>
      <c r="B846" s="404"/>
      <c r="C846" s="404"/>
      <c r="D846" s="404"/>
      <c r="E846" s="404"/>
      <c r="F846" s="404"/>
      <c r="G846" s="404"/>
      <c r="H846" s="404"/>
      <c r="I846" s="404"/>
      <c r="J846" s="404"/>
      <c r="K846" s="404"/>
      <c r="L846" s="404"/>
      <c r="M846" s="404"/>
      <c r="N846" s="404"/>
      <c r="O846" s="404"/>
      <c r="P846" s="404"/>
      <c r="Q846" s="404"/>
      <c r="R846" s="404"/>
      <c r="S846" s="404"/>
      <c r="T846" s="404"/>
      <c r="U846" s="404"/>
      <c r="V846" s="404"/>
      <c r="W846" s="404"/>
      <c r="X846" s="404"/>
      <c r="Y846" s="404"/>
      <c r="Z846" s="404"/>
    </row>
    <row r="847">
      <c r="A847" s="404"/>
      <c r="B847" s="404"/>
      <c r="C847" s="404"/>
      <c r="D847" s="404"/>
      <c r="E847" s="404"/>
      <c r="F847" s="404"/>
      <c r="G847" s="404"/>
      <c r="H847" s="404"/>
      <c r="I847" s="404"/>
      <c r="J847" s="404"/>
      <c r="K847" s="404"/>
      <c r="L847" s="404"/>
      <c r="M847" s="404"/>
      <c r="N847" s="404"/>
      <c r="O847" s="404"/>
      <c r="P847" s="404"/>
      <c r="Q847" s="404"/>
      <c r="R847" s="404"/>
      <c r="S847" s="404"/>
      <c r="T847" s="404"/>
      <c r="U847" s="404"/>
      <c r="V847" s="404"/>
      <c r="W847" s="404"/>
      <c r="X847" s="404"/>
      <c r="Y847" s="404"/>
      <c r="Z847" s="404"/>
    </row>
    <row r="848">
      <c r="A848" s="404"/>
      <c r="B848" s="404"/>
      <c r="C848" s="404"/>
      <c r="D848" s="404"/>
      <c r="E848" s="404"/>
      <c r="F848" s="404"/>
      <c r="G848" s="404"/>
      <c r="H848" s="404"/>
      <c r="I848" s="404"/>
      <c r="J848" s="404"/>
      <c r="K848" s="404"/>
      <c r="L848" s="404"/>
      <c r="M848" s="404"/>
      <c r="N848" s="404"/>
      <c r="O848" s="404"/>
      <c r="P848" s="404"/>
      <c r="Q848" s="404"/>
      <c r="R848" s="404"/>
      <c r="S848" s="404"/>
      <c r="T848" s="404"/>
      <c r="U848" s="404"/>
      <c r="V848" s="404"/>
      <c r="W848" s="404"/>
      <c r="X848" s="404"/>
      <c r="Y848" s="404"/>
      <c r="Z848" s="404"/>
    </row>
    <row r="849">
      <c r="A849" s="404"/>
      <c r="B849" s="404"/>
      <c r="C849" s="404"/>
      <c r="D849" s="404"/>
      <c r="E849" s="404"/>
      <c r="F849" s="404"/>
      <c r="G849" s="404"/>
      <c r="H849" s="404"/>
      <c r="I849" s="404"/>
      <c r="J849" s="404"/>
      <c r="K849" s="404"/>
      <c r="L849" s="404"/>
      <c r="M849" s="404"/>
      <c r="N849" s="404"/>
      <c r="O849" s="404"/>
      <c r="P849" s="404"/>
      <c r="Q849" s="404"/>
      <c r="R849" s="404"/>
      <c r="S849" s="404"/>
      <c r="T849" s="404"/>
      <c r="U849" s="404"/>
      <c r="V849" s="404"/>
      <c r="W849" s="404"/>
      <c r="X849" s="404"/>
      <c r="Y849" s="404"/>
      <c r="Z849" s="404"/>
    </row>
    <row r="850">
      <c r="A850" s="404"/>
      <c r="B850" s="404"/>
      <c r="C850" s="404"/>
      <c r="D850" s="404"/>
      <c r="E850" s="404"/>
      <c r="F850" s="404"/>
      <c r="G850" s="404"/>
      <c r="H850" s="404"/>
      <c r="I850" s="404"/>
      <c r="J850" s="404"/>
      <c r="K850" s="404"/>
      <c r="L850" s="404"/>
      <c r="M850" s="404"/>
      <c r="N850" s="404"/>
      <c r="O850" s="404"/>
      <c r="P850" s="404"/>
      <c r="Q850" s="404"/>
      <c r="R850" s="404"/>
      <c r="S850" s="404"/>
      <c r="T850" s="404"/>
      <c r="U850" s="404"/>
      <c r="V850" s="404"/>
      <c r="W850" s="404"/>
      <c r="X850" s="404"/>
      <c r="Y850" s="404"/>
      <c r="Z850" s="404"/>
    </row>
    <row r="851">
      <c r="A851" s="404"/>
      <c r="B851" s="404"/>
      <c r="C851" s="404"/>
      <c r="D851" s="404"/>
      <c r="E851" s="404"/>
      <c r="F851" s="404"/>
      <c r="G851" s="404"/>
      <c r="H851" s="404"/>
      <c r="I851" s="404"/>
      <c r="J851" s="404"/>
      <c r="K851" s="404"/>
      <c r="L851" s="404"/>
      <c r="M851" s="404"/>
      <c r="N851" s="404"/>
      <c r="O851" s="404"/>
      <c r="P851" s="404"/>
      <c r="Q851" s="404"/>
      <c r="R851" s="404"/>
      <c r="S851" s="404"/>
      <c r="T851" s="404"/>
      <c r="U851" s="404"/>
      <c r="V851" s="404"/>
      <c r="W851" s="404"/>
      <c r="X851" s="404"/>
      <c r="Y851" s="404"/>
      <c r="Z851" s="404"/>
    </row>
    <row r="852">
      <c r="A852" s="404"/>
      <c r="B852" s="404"/>
      <c r="C852" s="404"/>
      <c r="D852" s="404"/>
      <c r="E852" s="404"/>
      <c r="F852" s="404"/>
      <c r="G852" s="404"/>
      <c r="H852" s="404"/>
      <c r="I852" s="404"/>
      <c r="J852" s="404"/>
      <c r="K852" s="404"/>
      <c r="L852" s="404"/>
      <c r="M852" s="404"/>
      <c r="N852" s="404"/>
      <c r="O852" s="404"/>
      <c r="P852" s="404"/>
      <c r="Q852" s="404"/>
      <c r="R852" s="404"/>
      <c r="S852" s="404"/>
      <c r="T852" s="404"/>
      <c r="U852" s="404"/>
      <c r="V852" s="404"/>
      <c r="W852" s="404"/>
      <c r="X852" s="404"/>
      <c r="Y852" s="404"/>
      <c r="Z852" s="404"/>
    </row>
    <row r="853">
      <c r="A853" s="404"/>
      <c r="B853" s="404"/>
      <c r="C853" s="404"/>
      <c r="D853" s="404"/>
      <c r="E853" s="404"/>
      <c r="F853" s="404"/>
      <c r="G853" s="404"/>
      <c r="H853" s="404"/>
      <c r="I853" s="404"/>
      <c r="J853" s="404"/>
      <c r="K853" s="404"/>
      <c r="L853" s="404"/>
      <c r="M853" s="404"/>
      <c r="N853" s="404"/>
      <c r="O853" s="404"/>
      <c r="P853" s="404"/>
      <c r="Q853" s="404"/>
      <c r="R853" s="404"/>
      <c r="S853" s="404"/>
      <c r="T853" s="404"/>
      <c r="U853" s="404"/>
      <c r="V853" s="404"/>
      <c r="W853" s="404"/>
      <c r="X853" s="404"/>
      <c r="Y853" s="404"/>
      <c r="Z853" s="404"/>
    </row>
    <row r="854">
      <c r="A854" s="404"/>
      <c r="B854" s="404"/>
      <c r="C854" s="404"/>
      <c r="D854" s="404"/>
      <c r="E854" s="404"/>
      <c r="F854" s="404"/>
      <c r="G854" s="404"/>
      <c r="H854" s="404"/>
      <c r="I854" s="404"/>
      <c r="J854" s="404"/>
      <c r="K854" s="404"/>
      <c r="L854" s="404"/>
      <c r="M854" s="404"/>
      <c r="N854" s="404"/>
      <c r="O854" s="404"/>
      <c r="P854" s="404"/>
      <c r="Q854" s="404"/>
      <c r="R854" s="404"/>
      <c r="S854" s="404"/>
      <c r="T854" s="404"/>
      <c r="U854" s="404"/>
      <c r="V854" s="404"/>
      <c r="W854" s="404"/>
      <c r="X854" s="404"/>
      <c r="Y854" s="404"/>
      <c r="Z854" s="404"/>
    </row>
    <row r="855">
      <c r="A855" s="404"/>
      <c r="B855" s="404"/>
      <c r="C855" s="404"/>
      <c r="D855" s="404"/>
      <c r="E855" s="404"/>
      <c r="F855" s="404"/>
      <c r="G855" s="404"/>
      <c r="H855" s="404"/>
      <c r="I855" s="404"/>
      <c r="J855" s="404"/>
      <c r="K855" s="404"/>
      <c r="L855" s="404"/>
      <c r="M855" s="404"/>
      <c r="N855" s="404"/>
      <c r="O855" s="404"/>
      <c r="P855" s="404"/>
      <c r="Q855" s="404"/>
      <c r="R855" s="404"/>
      <c r="S855" s="404"/>
      <c r="T855" s="404"/>
      <c r="U855" s="404"/>
      <c r="V855" s="404"/>
      <c r="W855" s="404"/>
      <c r="X855" s="404"/>
      <c r="Y855" s="404"/>
      <c r="Z855" s="404"/>
    </row>
    <row r="856">
      <c r="A856" s="404"/>
      <c r="B856" s="404"/>
      <c r="C856" s="404"/>
      <c r="D856" s="404"/>
      <c r="E856" s="404"/>
      <c r="F856" s="404"/>
      <c r="G856" s="404"/>
      <c r="H856" s="404"/>
      <c r="I856" s="404"/>
      <c r="J856" s="404"/>
      <c r="K856" s="404"/>
      <c r="L856" s="404"/>
      <c r="M856" s="404"/>
      <c r="N856" s="404"/>
      <c r="O856" s="404"/>
      <c r="P856" s="404"/>
      <c r="Q856" s="404"/>
      <c r="R856" s="404"/>
      <c r="S856" s="404"/>
      <c r="T856" s="404"/>
      <c r="U856" s="404"/>
      <c r="V856" s="404"/>
      <c r="W856" s="404"/>
      <c r="X856" s="404"/>
      <c r="Y856" s="404"/>
      <c r="Z856" s="404"/>
    </row>
    <row r="857">
      <c r="A857" s="404"/>
      <c r="B857" s="404"/>
      <c r="C857" s="404"/>
      <c r="D857" s="404"/>
      <c r="E857" s="404"/>
      <c r="F857" s="404"/>
      <c r="G857" s="404"/>
      <c r="H857" s="404"/>
      <c r="I857" s="404"/>
      <c r="J857" s="404"/>
      <c r="K857" s="404"/>
      <c r="L857" s="404"/>
      <c r="M857" s="404"/>
      <c r="N857" s="404"/>
      <c r="O857" s="404"/>
      <c r="P857" s="404"/>
      <c r="Q857" s="404"/>
      <c r="R857" s="404"/>
      <c r="S857" s="404"/>
      <c r="T857" s="404"/>
      <c r="U857" s="404"/>
      <c r="V857" s="404"/>
      <c r="W857" s="404"/>
      <c r="X857" s="404"/>
      <c r="Y857" s="404"/>
      <c r="Z857" s="404"/>
    </row>
    <row r="858">
      <c r="A858" s="404"/>
      <c r="B858" s="404"/>
      <c r="C858" s="404"/>
      <c r="D858" s="404"/>
      <c r="E858" s="404"/>
      <c r="F858" s="404"/>
      <c r="G858" s="404"/>
      <c r="H858" s="404"/>
      <c r="I858" s="404"/>
      <c r="J858" s="404"/>
      <c r="K858" s="404"/>
      <c r="L858" s="404"/>
      <c r="M858" s="404"/>
      <c r="N858" s="404"/>
      <c r="O858" s="404"/>
      <c r="P858" s="404"/>
      <c r="Q858" s="404"/>
      <c r="R858" s="404"/>
      <c r="S858" s="404"/>
      <c r="T858" s="404"/>
      <c r="U858" s="404"/>
      <c r="V858" s="404"/>
      <c r="W858" s="404"/>
      <c r="X858" s="404"/>
      <c r="Y858" s="404"/>
      <c r="Z858" s="404"/>
    </row>
    <row r="859">
      <c r="A859" s="404"/>
      <c r="B859" s="404"/>
      <c r="C859" s="404"/>
      <c r="D859" s="404"/>
      <c r="E859" s="404"/>
      <c r="F859" s="404"/>
      <c r="G859" s="404"/>
      <c r="H859" s="404"/>
      <c r="I859" s="404"/>
      <c r="J859" s="404"/>
      <c r="K859" s="404"/>
      <c r="L859" s="404"/>
      <c r="M859" s="404"/>
      <c r="N859" s="404"/>
      <c r="O859" s="404"/>
      <c r="P859" s="404"/>
      <c r="Q859" s="404"/>
      <c r="R859" s="404"/>
      <c r="S859" s="404"/>
      <c r="T859" s="404"/>
      <c r="U859" s="404"/>
      <c r="V859" s="404"/>
      <c r="W859" s="404"/>
      <c r="X859" s="404"/>
      <c r="Y859" s="404"/>
      <c r="Z859" s="404"/>
    </row>
    <row r="860">
      <c r="A860" s="404"/>
      <c r="B860" s="404"/>
      <c r="C860" s="404"/>
      <c r="D860" s="404"/>
      <c r="E860" s="404"/>
      <c r="F860" s="404"/>
      <c r="G860" s="404"/>
      <c r="H860" s="404"/>
      <c r="I860" s="404"/>
      <c r="J860" s="404"/>
      <c r="K860" s="404"/>
      <c r="L860" s="404"/>
      <c r="M860" s="404"/>
      <c r="N860" s="404"/>
      <c r="O860" s="404"/>
      <c r="P860" s="404"/>
      <c r="Q860" s="404"/>
      <c r="R860" s="404"/>
      <c r="S860" s="404"/>
      <c r="T860" s="404"/>
      <c r="U860" s="404"/>
      <c r="V860" s="404"/>
      <c r="W860" s="404"/>
      <c r="X860" s="404"/>
      <c r="Y860" s="404"/>
      <c r="Z860" s="404"/>
    </row>
    <row r="861">
      <c r="A861" s="404"/>
      <c r="B861" s="404"/>
      <c r="C861" s="404"/>
      <c r="D861" s="404"/>
      <c r="E861" s="404"/>
      <c r="F861" s="404"/>
      <c r="G861" s="404"/>
      <c r="H861" s="404"/>
      <c r="I861" s="404"/>
      <c r="J861" s="404"/>
      <c r="K861" s="404"/>
      <c r="L861" s="404"/>
      <c r="M861" s="404"/>
      <c r="N861" s="404"/>
      <c r="O861" s="404"/>
      <c r="P861" s="404"/>
      <c r="Q861" s="404"/>
      <c r="R861" s="404"/>
      <c r="S861" s="404"/>
      <c r="T861" s="404"/>
      <c r="U861" s="404"/>
      <c r="V861" s="404"/>
      <c r="W861" s="404"/>
      <c r="X861" s="404"/>
      <c r="Y861" s="404"/>
      <c r="Z861" s="404"/>
    </row>
    <row r="862">
      <c r="A862" s="404"/>
      <c r="B862" s="404"/>
      <c r="C862" s="404"/>
      <c r="D862" s="404"/>
      <c r="E862" s="404"/>
      <c r="F862" s="404"/>
      <c r="G862" s="404"/>
      <c r="H862" s="404"/>
      <c r="I862" s="404"/>
      <c r="J862" s="404"/>
      <c r="K862" s="404"/>
      <c r="L862" s="404"/>
      <c r="M862" s="404"/>
      <c r="N862" s="404"/>
      <c r="O862" s="404"/>
      <c r="P862" s="404"/>
      <c r="Q862" s="404"/>
      <c r="R862" s="404"/>
      <c r="S862" s="404"/>
      <c r="T862" s="404"/>
      <c r="U862" s="404"/>
      <c r="V862" s="404"/>
      <c r="W862" s="404"/>
      <c r="X862" s="404"/>
      <c r="Y862" s="404"/>
      <c r="Z862" s="404"/>
    </row>
    <row r="863">
      <c r="A863" s="404"/>
      <c r="B863" s="404"/>
      <c r="C863" s="404"/>
      <c r="D863" s="404"/>
      <c r="E863" s="404"/>
      <c r="F863" s="404"/>
      <c r="G863" s="404"/>
      <c r="H863" s="404"/>
      <c r="I863" s="404"/>
      <c r="J863" s="404"/>
      <c r="K863" s="404"/>
      <c r="L863" s="404"/>
      <c r="M863" s="404"/>
      <c r="N863" s="404"/>
      <c r="O863" s="404"/>
      <c r="P863" s="404"/>
      <c r="Q863" s="404"/>
      <c r="R863" s="404"/>
      <c r="S863" s="404"/>
      <c r="T863" s="404"/>
      <c r="U863" s="404"/>
      <c r="V863" s="404"/>
      <c r="W863" s="404"/>
      <c r="X863" s="404"/>
      <c r="Y863" s="404"/>
      <c r="Z863" s="404"/>
    </row>
    <row r="864">
      <c r="A864" s="404"/>
      <c r="B864" s="404"/>
      <c r="C864" s="404"/>
      <c r="D864" s="404"/>
      <c r="E864" s="404"/>
      <c r="F864" s="404"/>
      <c r="G864" s="404"/>
      <c r="H864" s="404"/>
      <c r="I864" s="404"/>
      <c r="J864" s="404"/>
      <c r="K864" s="404"/>
      <c r="L864" s="404"/>
      <c r="M864" s="404"/>
      <c r="N864" s="404"/>
      <c r="O864" s="404"/>
      <c r="P864" s="404"/>
      <c r="Q864" s="404"/>
      <c r="R864" s="404"/>
      <c r="S864" s="404"/>
      <c r="T864" s="404"/>
      <c r="U864" s="404"/>
      <c r="V864" s="404"/>
      <c r="W864" s="404"/>
      <c r="X864" s="404"/>
      <c r="Y864" s="404"/>
      <c r="Z864" s="404"/>
    </row>
    <row r="865">
      <c r="A865" s="404"/>
      <c r="B865" s="404"/>
      <c r="C865" s="404"/>
      <c r="D865" s="404"/>
      <c r="E865" s="404"/>
      <c r="F865" s="404"/>
      <c r="G865" s="404"/>
      <c r="H865" s="404"/>
      <c r="I865" s="404"/>
      <c r="J865" s="404"/>
      <c r="K865" s="404"/>
      <c r="L865" s="404"/>
      <c r="M865" s="404"/>
      <c r="N865" s="404"/>
      <c r="O865" s="404"/>
      <c r="P865" s="404"/>
      <c r="Q865" s="404"/>
      <c r="R865" s="404"/>
      <c r="S865" s="404"/>
      <c r="T865" s="404"/>
      <c r="U865" s="404"/>
      <c r="V865" s="404"/>
      <c r="W865" s="404"/>
      <c r="X865" s="404"/>
      <c r="Y865" s="404"/>
      <c r="Z865" s="404"/>
    </row>
    <row r="866">
      <c r="A866" s="404"/>
      <c r="B866" s="404"/>
      <c r="C866" s="404"/>
      <c r="D866" s="404"/>
      <c r="E866" s="404"/>
      <c r="F866" s="404"/>
      <c r="G866" s="404"/>
      <c r="H866" s="404"/>
      <c r="I866" s="404"/>
      <c r="J866" s="404"/>
      <c r="K866" s="404"/>
      <c r="L866" s="404"/>
      <c r="M866" s="404"/>
      <c r="N866" s="404"/>
      <c r="O866" s="404"/>
      <c r="P866" s="404"/>
      <c r="Q866" s="404"/>
      <c r="R866" s="404"/>
      <c r="S866" s="404"/>
      <c r="T866" s="404"/>
      <c r="U866" s="404"/>
      <c r="V866" s="404"/>
      <c r="W866" s="404"/>
      <c r="X866" s="404"/>
      <c r="Y866" s="404"/>
      <c r="Z866" s="404"/>
    </row>
    <row r="867">
      <c r="A867" s="404"/>
      <c r="B867" s="404"/>
      <c r="C867" s="404"/>
      <c r="D867" s="404"/>
      <c r="E867" s="404"/>
      <c r="F867" s="404"/>
      <c r="G867" s="404"/>
      <c r="H867" s="404"/>
      <c r="I867" s="404"/>
      <c r="J867" s="404"/>
      <c r="K867" s="404"/>
      <c r="L867" s="404"/>
      <c r="M867" s="404"/>
      <c r="N867" s="404"/>
      <c r="O867" s="404"/>
      <c r="P867" s="404"/>
      <c r="Q867" s="404"/>
      <c r="R867" s="404"/>
      <c r="S867" s="404"/>
      <c r="T867" s="404"/>
      <c r="U867" s="404"/>
      <c r="V867" s="404"/>
      <c r="W867" s="404"/>
      <c r="X867" s="404"/>
      <c r="Y867" s="404"/>
      <c r="Z867" s="404"/>
    </row>
    <row r="868">
      <c r="A868" s="404"/>
      <c r="B868" s="404"/>
      <c r="C868" s="404"/>
      <c r="D868" s="404"/>
      <c r="E868" s="404"/>
      <c r="F868" s="404"/>
      <c r="G868" s="404"/>
      <c r="H868" s="404"/>
      <c r="I868" s="404"/>
      <c r="J868" s="404"/>
      <c r="K868" s="404"/>
      <c r="L868" s="404"/>
      <c r="M868" s="404"/>
      <c r="N868" s="404"/>
      <c r="O868" s="404"/>
      <c r="P868" s="404"/>
      <c r="Q868" s="404"/>
      <c r="R868" s="404"/>
      <c r="S868" s="404"/>
      <c r="T868" s="404"/>
      <c r="U868" s="404"/>
      <c r="V868" s="404"/>
      <c r="W868" s="404"/>
      <c r="X868" s="404"/>
      <c r="Y868" s="404"/>
      <c r="Z868" s="404"/>
    </row>
    <row r="869">
      <c r="A869" s="404"/>
      <c r="B869" s="404"/>
      <c r="C869" s="404"/>
      <c r="D869" s="404"/>
      <c r="E869" s="404"/>
      <c r="F869" s="404"/>
      <c r="G869" s="404"/>
      <c r="H869" s="404"/>
      <c r="I869" s="404"/>
      <c r="J869" s="404"/>
      <c r="K869" s="404"/>
      <c r="L869" s="404"/>
      <c r="M869" s="404"/>
      <c r="N869" s="404"/>
      <c r="O869" s="404"/>
      <c r="P869" s="404"/>
      <c r="Q869" s="404"/>
      <c r="R869" s="404"/>
      <c r="S869" s="404"/>
      <c r="T869" s="404"/>
      <c r="U869" s="404"/>
      <c r="V869" s="404"/>
      <c r="W869" s="404"/>
      <c r="X869" s="404"/>
      <c r="Y869" s="404"/>
      <c r="Z869" s="404"/>
    </row>
    <row r="870">
      <c r="A870" s="404"/>
      <c r="B870" s="404"/>
      <c r="C870" s="404"/>
      <c r="D870" s="404"/>
      <c r="E870" s="404"/>
      <c r="F870" s="404"/>
      <c r="G870" s="404"/>
      <c r="H870" s="404"/>
      <c r="I870" s="404"/>
      <c r="J870" s="404"/>
      <c r="K870" s="404"/>
      <c r="L870" s="404"/>
      <c r="M870" s="404"/>
      <c r="N870" s="404"/>
      <c r="O870" s="404"/>
      <c r="P870" s="404"/>
      <c r="Q870" s="404"/>
      <c r="R870" s="404"/>
      <c r="S870" s="404"/>
      <c r="T870" s="404"/>
      <c r="U870" s="404"/>
      <c r="V870" s="404"/>
      <c r="W870" s="404"/>
      <c r="X870" s="404"/>
      <c r="Y870" s="404"/>
      <c r="Z870" s="404"/>
    </row>
    <row r="871">
      <c r="A871" s="404"/>
      <c r="B871" s="404"/>
      <c r="C871" s="404"/>
      <c r="D871" s="404"/>
      <c r="E871" s="404"/>
      <c r="F871" s="404"/>
      <c r="G871" s="404"/>
      <c r="H871" s="404"/>
      <c r="I871" s="404"/>
      <c r="J871" s="404"/>
      <c r="K871" s="404"/>
      <c r="L871" s="404"/>
      <c r="M871" s="404"/>
      <c r="N871" s="404"/>
      <c r="O871" s="404"/>
      <c r="P871" s="404"/>
      <c r="Q871" s="404"/>
      <c r="R871" s="404"/>
      <c r="S871" s="404"/>
      <c r="T871" s="404"/>
      <c r="U871" s="404"/>
      <c r="V871" s="404"/>
      <c r="W871" s="404"/>
      <c r="X871" s="404"/>
      <c r="Y871" s="404"/>
      <c r="Z871" s="404"/>
    </row>
    <row r="872">
      <c r="A872" s="404"/>
      <c r="B872" s="404"/>
      <c r="C872" s="404"/>
      <c r="D872" s="404"/>
      <c r="E872" s="404"/>
      <c r="F872" s="404"/>
      <c r="G872" s="404"/>
      <c r="H872" s="404"/>
      <c r="I872" s="404"/>
      <c r="J872" s="404"/>
      <c r="K872" s="404"/>
      <c r="L872" s="404"/>
      <c r="M872" s="404"/>
      <c r="N872" s="404"/>
      <c r="O872" s="404"/>
      <c r="P872" s="404"/>
      <c r="Q872" s="404"/>
      <c r="R872" s="404"/>
      <c r="S872" s="404"/>
      <c r="T872" s="404"/>
      <c r="U872" s="404"/>
      <c r="V872" s="404"/>
      <c r="W872" s="404"/>
      <c r="X872" s="404"/>
      <c r="Y872" s="404"/>
      <c r="Z872" s="404"/>
    </row>
    <row r="873">
      <c r="A873" s="404"/>
      <c r="B873" s="404"/>
      <c r="C873" s="404"/>
      <c r="D873" s="404"/>
      <c r="E873" s="404"/>
      <c r="F873" s="404"/>
      <c r="G873" s="404"/>
      <c r="H873" s="404"/>
      <c r="I873" s="404"/>
      <c r="J873" s="404"/>
      <c r="K873" s="404"/>
      <c r="L873" s="404"/>
      <c r="M873" s="404"/>
      <c r="N873" s="404"/>
      <c r="O873" s="404"/>
      <c r="P873" s="404"/>
      <c r="Q873" s="404"/>
      <c r="R873" s="404"/>
      <c r="S873" s="404"/>
      <c r="T873" s="404"/>
      <c r="U873" s="404"/>
      <c r="V873" s="404"/>
      <c r="W873" s="404"/>
      <c r="X873" s="404"/>
      <c r="Y873" s="404"/>
      <c r="Z873" s="404"/>
    </row>
    <row r="874">
      <c r="A874" s="404"/>
      <c r="B874" s="404"/>
      <c r="C874" s="404"/>
      <c r="D874" s="404"/>
      <c r="E874" s="404"/>
      <c r="F874" s="404"/>
      <c r="G874" s="404"/>
      <c r="H874" s="404"/>
      <c r="I874" s="404"/>
      <c r="J874" s="404"/>
      <c r="K874" s="404"/>
      <c r="L874" s="404"/>
      <c r="M874" s="404"/>
      <c r="N874" s="404"/>
      <c r="O874" s="404"/>
      <c r="P874" s="404"/>
      <c r="Q874" s="404"/>
      <c r="R874" s="404"/>
      <c r="S874" s="404"/>
      <c r="T874" s="404"/>
      <c r="U874" s="404"/>
      <c r="V874" s="404"/>
      <c r="W874" s="404"/>
      <c r="X874" s="404"/>
      <c r="Y874" s="404"/>
      <c r="Z874" s="404"/>
    </row>
    <row r="875">
      <c r="A875" s="404"/>
      <c r="B875" s="404"/>
      <c r="C875" s="404"/>
      <c r="D875" s="404"/>
      <c r="E875" s="404"/>
      <c r="F875" s="404"/>
      <c r="G875" s="404"/>
      <c r="H875" s="404"/>
      <c r="I875" s="404"/>
      <c r="J875" s="404"/>
      <c r="K875" s="404"/>
      <c r="L875" s="404"/>
      <c r="M875" s="404"/>
      <c r="N875" s="404"/>
      <c r="O875" s="404"/>
      <c r="P875" s="404"/>
      <c r="Q875" s="404"/>
      <c r="R875" s="404"/>
      <c r="S875" s="404"/>
      <c r="T875" s="404"/>
      <c r="U875" s="404"/>
      <c r="V875" s="404"/>
      <c r="W875" s="404"/>
      <c r="X875" s="404"/>
      <c r="Y875" s="404"/>
      <c r="Z875" s="404"/>
    </row>
    <row r="876">
      <c r="A876" s="404"/>
      <c r="B876" s="404"/>
      <c r="C876" s="404"/>
      <c r="D876" s="404"/>
      <c r="E876" s="404"/>
      <c r="F876" s="404"/>
      <c r="G876" s="404"/>
      <c r="H876" s="404"/>
      <c r="I876" s="404"/>
      <c r="J876" s="404"/>
      <c r="K876" s="404"/>
      <c r="L876" s="404"/>
      <c r="M876" s="404"/>
      <c r="N876" s="404"/>
      <c r="O876" s="404"/>
      <c r="P876" s="404"/>
      <c r="Q876" s="404"/>
      <c r="R876" s="404"/>
      <c r="S876" s="404"/>
      <c r="T876" s="404"/>
      <c r="U876" s="404"/>
      <c r="V876" s="404"/>
      <c r="W876" s="404"/>
      <c r="X876" s="404"/>
      <c r="Y876" s="404"/>
      <c r="Z876" s="404"/>
    </row>
    <row r="877">
      <c r="A877" s="404"/>
      <c r="B877" s="404"/>
      <c r="C877" s="404"/>
      <c r="D877" s="404"/>
      <c r="E877" s="404"/>
      <c r="F877" s="404"/>
      <c r="G877" s="404"/>
      <c r="H877" s="404"/>
      <c r="I877" s="404"/>
      <c r="J877" s="404"/>
      <c r="K877" s="404"/>
      <c r="L877" s="404"/>
      <c r="M877" s="404"/>
      <c r="N877" s="404"/>
      <c r="O877" s="404"/>
      <c r="P877" s="404"/>
      <c r="Q877" s="404"/>
      <c r="R877" s="404"/>
      <c r="S877" s="404"/>
      <c r="T877" s="404"/>
      <c r="U877" s="404"/>
      <c r="V877" s="404"/>
      <c r="W877" s="404"/>
      <c r="X877" s="404"/>
      <c r="Y877" s="404"/>
      <c r="Z877" s="404"/>
    </row>
    <row r="878">
      <c r="A878" s="404"/>
      <c r="B878" s="404"/>
      <c r="C878" s="404"/>
      <c r="D878" s="404"/>
      <c r="E878" s="404"/>
      <c r="F878" s="404"/>
      <c r="G878" s="404"/>
      <c r="H878" s="404"/>
      <c r="I878" s="404"/>
      <c r="J878" s="404"/>
      <c r="K878" s="404"/>
      <c r="L878" s="404"/>
      <c r="M878" s="404"/>
      <c r="N878" s="404"/>
      <c r="O878" s="404"/>
      <c r="P878" s="404"/>
      <c r="Q878" s="404"/>
      <c r="R878" s="404"/>
      <c r="S878" s="404"/>
      <c r="T878" s="404"/>
      <c r="U878" s="404"/>
      <c r="V878" s="404"/>
      <c r="W878" s="404"/>
      <c r="X878" s="404"/>
      <c r="Y878" s="404"/>
      <c r="Z878" s="404"/>
    </row>
    <row r="879">
      <c r="A879" s="404"/>
      <c r="B879" s="404"/>
      <c r="C879" s="404"/>
      <c r="D879" s="404"/>
      <c r="E879" s="404"/>
      <c r="F879" s="404"/>
      <c r="G879" s="404"/>
      <c r="H879" s="404"/>
      <c r="I879" s="404"/>
      <c r="J879" s="404"/>
      <c r="K879" s="404"/>
      <c r="L879" s="404"/>
      <c r="M879" s="404"/>
      <c r="N879" s="404"/>
      <c r="O879" s="404"/>
      <c r="P879" s="404"/>
      <c r="Q879" s="404"/>
      <c r="R879" s="404"/>
      <c r="S879" s="404"/>
      <c r="T879" s="404"/>
      <c r="U879" s="404"/>
      <c r="V879" s="404"/>
      <c r="W879" s="404"/>
      <c r="X879" s="404"/>
      <c r="Y879" s="404"/>
      <c r="Z879" s="404"/>
    </row>
    <row r="880">
      <c r="A880" s="404"/>
      <c r="B880" s="404"/>
      <c r="C880" s="404"/>
      <c r="D880" s="404"/>
      <c r="E880" s="404"/>
      <c r="F880" s="404"/>
      <c r="G880" s="404"/>
      <c r="H880" s="404"/>
      <c r="I880" s="404"/>
      <c r="J880" s="404"/>
      <c r="K880" s="404"/>
      <c r="L880" s="404"/>
      <c r="M880" s="404"/>
      <c r="N880" s="404"/>
      <c r="O880" s="404"/>
      <c r="P880" s="404"/>
      <c r="Q880" s="404"/>
      <c r="R880" s="404"/>
      <c r="S880" s="404"/>
      <c r="T880" s="404"/>
      <c r="U880" s="404"/>
      <c r="V880" s="404"/>
      <c r="W880" s="404"/>
      <c r="X880" s="404"/>
      <c r="Y880" s="404"/>
      <c r="Z880" s="404"/>
    </row>
    <row r="881">
      <c r="A881" s="404"/>
      <c r="B881" s="404"/>
      <c r="C881" s="404"/>
      <c r="D881" s="404"/>
      <c r="E881" s="404"/>
      <c r="F881" s="404"/>
      <c r="G881" s="404"/>
      <c r="H881" s="404"/>
      <c r="I881" s="404"/>
      <c r="J881" s="404"/>
      <c r="K881" s="404"/>
      <c r="L881" s="404"/>
      <c r="M881" s="404"/>
      <c r="N881" s="404"/>
      <c r="O881" s="404"/>
      <c r="P881" s="404"/>
      <c r="Q881" s="404"/>
      <c r="R881" s="404"/>
      <c r="S881" s="404"/>
      <c r="T881" s="404"/>
      <c r="U881" s="404"/>
      <c r="V881" s="404"/>
      <c r="W881" s="404"/>
      <c r="X881" s="404"/>
      <c r="Y881" s="404"/>
      <c r="Z881" s="404"/>
    </row>
    <row r="882">
      <c r="A882" s="404"/>
      <c r="B882" s="404"/>
      <c r="C882" s="404"/>
      <c r="D882" s="404"/>
      <c r="E882" s="404"/>
      <c r="F882" s="404"/>
      <c r="G882" s="404"/>
      <c r="H882" s="404"/>
      <c r="I882" s="404"/>
      <c r="J882" s="404"/>
      <c r="K882" s="404"/>
      <c r="L882" s="404"/>
      <c r="M882" s="404"/>
      <c r="N882" s="404"/>
      <c r="O882" s="404"/>
      <c r="P882" s="404"/>
      <c r="Q882" s="404"/>
      <c r="R882" s="404"/>
      <c r="S882" s="404"/>
      <c r="T882" s="404"/>
      <c r="U882" s="404"/>
      <c r="V882" s="404"/>
      <c r="W882" s="404"/>
      <c r="X882" s="404"/>
      <c r="Y882" s="404"/>
      <c r="Z882" s="404"/>
    </row>
    <row r="883">
      <c r="A883" s="404"/>
      <c r="B883" s="404"/>
      <c r="C883" s="404"/>
      <c r="D883" s="404"/>
      <c r="E883" s="404"/>
      <c r="F883" s="404"/>
      <c r="G883" s="404"/>
      <c r="H883" s="404"/>
      <c r="I883" s="404"/>
      <c r="J883" s="404"/>
      <c r="K883" s="404"/>
      <c r="L883" s="404"/>
      <c r="M883" s="404"/>
      <c r="N883" s="404"/>
      <c r="O883" s="404"/>
      <c r="P883" s="404"/>
      <c r="Q883" s="404"/>
      <c r="R883" s="404"/>
      <c r="S883" s="404"/>
      <c r="T883" s="404"/>
      <c r="U883" s="404"/>
      <c r="V883" s="404"/>
      <c r="W883" s="404"/>
      <c r="X883" s="404"/>
      <c r="Y883" s="404"/>
      <c r="Z883" s="404"/>
    </row>
    <row r="884">
      <c r="A884" s="404"/>
      <c r="B884" s="404"/>
      <c r="C884" s="404"/>
      <c r="D884" s="404"/>
      <c r="E884" s="404"/>
      <c r="F884" s="404"/>
      <c r="G884" s="404"/>
      <c r="H884" s="404"/>
      <c r="I884" s="404"/>
      <c r="J884" s="404"/>
      <c r="K884" s="404"/>
      <c r="L884" s="404"/>
      <c r="M884" s="404"/>
      <c r="N884" s="404"/>
      <c r="O884" s="404"/>
      <c r="P884" s="404"/>
      <c r="Q884" s="404"/>
      <c r="R884" s="404"/>
      <c r="S884" s="404"/>
      <c r="T884" s="404"/>
      <c r="U884" s="404"/>
      <c r="V884" s="404"/>
      <c r="W884" s="404"/>
      <c r="X884" s="404"/>
      <c r="Y884" s="404"/>
      <c r="Z884" s="404"/>
    </row>
    <row r="885">
      <c r="A885" s="404"/>
      <c r="B885" s="404"/>
      <c r="C885" s="404"/>
      <c r="D885" s="404"/>
      <c r="E885" s="404"/>
      <c r="F885" s="404"/>
      <c r="G885" s="404"/>
      <c r="H885" s="404"/>
      <c r="I885" s="404"/>
      <c r="J885" s="404"/>
      <c r="K885" s="404"/>
      <c r="L885" s="404"/>
      <c r="M885" s="404"/>
      <c r="N885" s="404"/>
      <c r="O885" s="404"/>
      <c r="P885" s="404"/>
      <c r="Q885" s="404"/>
      <c r="R885" s="404"/>
      <c r="S885" s="404"/>
      <c r="T885" s="404"/>
      <c r="U885" s="404"/>
      <c r="V885" s="404"/>
      <c r="W885" s="404"/>
      <c r="X885" s="404"/>
      <c r="Y885" s="404"/>
      <c r="Z885" s="404"/>
    </row>
    <row r="886">
      <c r="A886" s="404"/>
      <c r="B886" s="404"/>
      <c r="C886" s="404"/>
      <c r="D886" s="404"/>
      <c r="E886" s="404"/>
      <c r="F886" s="404"/>
      <c r="G886" s="404"/>
      <c r="H886" s="404"/>
      <c r="I886" s="404"/>
      <c r="J886" s="404"/>
      <c r="K886" s="404"/>
      <c r="L886" s="404"/>
      <c r="M886" s="404"/>
      <c r="N886" s="404"/>
      <c r="O886" s="404"/>
      <c r="P886" s="404"/>
      <c r="Q886" s="404"/>
      <c r="R886" s="404"/>
      <c r="S886" s="404"/>
      <c r="T886" s="404"/>
      <c r="U886" s="404"/>
      <c r="V886" s="404"/>
      <c r="W886" s="404"/>
      <c r="X886" s="404"/>
      <c r="Y886" s="404"/>
      <c r="Z886" s="404"/>
    </row>
    <row r="887">
      <c r="A887" s="404"/>
      <c r="B887" s="404"/>
      <c r="C887" s="404"/>
      <c r="D887" s="404"/>
      <c r="E887" s="404"/>
      <c r="F887" s="404"/>
      <c r="G887" s="404"/>
      <c r="H887" s="404"/>
      <c r="I887" s="404"/>
      <c r="J887" s="404"/>
      <c r="K887" s="404"/>
      <c r="L887" s="404"/>
      <c r="M887" s="404"/>
      <c r="N887" s="404"/>
      <c r="O887" s="404"/>
      <c r="P887" s="404"/>
      <c r="Q887" s="404"/>
      <c r="R887" s="404"/>
      <c r="S887" s="404"/>
      <c r="T887" s="404"/>
      <c r="U887" s="404"/>
      <c r="V887" s="404"/>
      <c r="W887" s="404"/>
      <c r="X887" s="404"/>
      <c r="Y887" s="404"/>
      <c r="Z887" s="404"/>
    </row>
    <row r="888">
      <c r="A888" s="404"/>
      <c r="B888" s="404"/>
      <c r="C888" s="404"/>
      <c r="D888" s="404"/>
      <c r="E888" s="404"/>
      <c r="F888" s="404"/>
      <c r="G888" s="404"/>
      <c r="H888" s="404"/>
      <c r="I888" s="404"/>
      <c r="J888" s="404"/>
      <c r="K888" s="404"/>
      <c r="L888" s="404"/>
      <c r="M888" s="404"/>
      <c r="N888" s="404"/>
      <c r="O888" s="404"/>
      <c r="P888" s="404"/>
      <c r="Q888" s="404"/>
      <c r="R888" s="404"/>
      <c r="S888" s="404"/>
      <c r="T888" s="404"/>
      <c r="U888" s="404"/>
      <c r="V888" s="404"/>
      <c r="W888" s="404"/>
      <c r="X888" s="404"/>
      <c r="Y888" s="404"/>
      <c r="Z888" s="404"/>
    </row>
    <row r="889">
      <c r="A889" s="404"/>
      <c r="B889" s="404"/>
      <c r="C889" s="404"/>
      <c r="D889" s="404"/>
      <c r="E889" s="404"/>
      <c r="F889" s="404"/>
      <c r="G889" s="404"/>
      <c r="H889" s="404"/>
      <c r="I889" s="404"/>
      <c r="J889" s="404"/>
      <c r="K889" s="404"/>
      <c r="L889" s="404"/>
      <c r="M889" s="404"/>
      <c r="N889" s="404"/>
      <c r="O889" s="404"/>
      <c r="P889" s="404"/>
      <c r="Q889" s="404"/>
      <c r="R889" s="404"/>
      <c r="S889" s="404"/>
      <c r="T889" s="404"/>
      <c r="U889" s="404"/>
      <c r="V889" s="404"/>
      <c r="W889" s="404"/>
      <c r="X889" s="404"/>
      <c r="Y889" s="404"/>
      <c r="Z889" s="404"/>
    </row>
    <row r="890">
      <c r="A890" s="404"/>
      <c r="B890" s="404"/>
      <c r="C890" s="404"/>
      <c r="D890" s="404"/>
      <c r="E890" s="404"/>
      <c r="F890" s="404"/>
      <c r="G890" s="404"/>
      <c r="H890" s="404"/>
      <c r="I890" s="404"/>
      <c r="J890" s="404"/>
      <c r="K890" s="404"/>
      <c r="L890" s="404"/>
      <c r="M890" s="404"/>
      <c r="N890" s="404"/>
      <c r="O890" s="404"/>
      <c r="P890" s="404"/>
      <c r="Q890" s="404"/>
      <c r="R890" s="404"/>
      <c r="S890" s="404"/>
      <c r="T890" s="404"/>
      <c r="U890" s="404"/>
      <c r="V890" s="404"/>
      <c r="W890" s="404"/>
      <c r="X890" s="404"/>
      <c r="Y890" s="404"/>
      <c r="Z890" s="404"/>
    </row>
    <row r="891">
      <c r="A891" s="404"/>
      <c r="B891" s="404"/>
      <c r="C891" s="404"/>
      <c r="D891" s="404"/>
      <c r="E891" s="404"/>
      <c r="F891" s="404"/>
      <c r="G891" s="404"/>
      <c r="H891" s="404"/>
      <c r="I891" s="404"/>
      <c r="J891" s="404"/>
      <c r="K891" s="404"/>
      <c r="L891" s="404"/>
      <c r="M891" s="404"/>
      <c r="N891" s="404"/>
      <c r="O891" s="404"/>
      <c r="P891" s="404"/>
      <c r="Q891" s="404"/>
      <c r="R891" s="404"/>
      <c r="S891" s="404"/>
      <c r="T891" s="404"/>
      <c r="U891" s="404"/>
      <c r="V891" s="404"/>
      <c r="W891" s="404"/>
      <c r="X891" s="404"/>
      <c r="Y891" s="404"/>
      <c r="Z891" s="404"/>
    </row>
    <row r="892">
      <c r="A892" s="404"/>
      <c r="B892" s="404"/>
      <c r="C892" s="404"/>
      <c r="D892" s="404"/>
      <c r="E892" s="404"/>
      <c r="F892" s="404"/>
      <c r="G892" s="404"/>
      <c r="H892" s="404"/>
      <c r="I892" s="404"/>
      <c r="J892" s="404"/>
      <c r="K892" s="404"/>
      <c r="L892" s="404"/>
      <c r="M892" s="404"/>
      <c r="N892" s="404"/>
      <c r="O892" s="404"/>
      <c r="P892" s="404"/>
      <c r="Q892" s="404"/>
      <c r="R892" s="404"/>
      <c r="S892" s="404"/>
      <c r="T892" s="404"/>
      <c r="U892" s="404"/>
      <c r="V892" s="404"/>
      <c r="W892" s="404"/>
      <c r="X892" s="404"/>
      <c r="Y892" s="404"/>
      <c r="Z892" s="404"/>
    </row>
    <row r="893">
      <c r="A893" s="404"/>
      <c r="B893" s="404"/>
      <c r="C893" s="404"/>
      <c r="D893" s="404"/>
      <c r="E893" s="404"/>
      <c r="F893" s="404"/>
      <c r="G893" s="404"/>
      <c r="H893" s="404"/>
      <c r="I893" s="404"/>
      <c r="J893" s="404"/>
      <c r="K893" s="404"/>
      <c r="L893" s="404"/>
      <c r="M893" s="404"/>
      <c r="N893" s="404"/>
      <c r="O893" s="404"/>
      <c r="P893" s="404"/>
      <c r="Q893" s="404"/>
      <c r="R893" s="404"/>
      <c r="S893" s="404"/>
      <c r="T893" s="404"/>
      <c r="U893" s="404"/>
      <c r="V893" s="404"/>
      <c r="W893" s="404"/>
      <c r="X893" s="404"/>
      <c r="Y893" s="404"/>
      <c r="Z893" s="404"/>
    </row>
    <row r="894">
      <c r="A894" s="404"/>
      <c r="B894" s="404"/>
      <c r="C894" s="404"/>
      <c r="D894" s="404"/>
      <c r="E894" s="404"/>
      <c r="F894" s="404"/>
      <c r="G894" s="404"/>
      <c r="H894" s="404"/>
      <c r="I894" s="404"/>
      <c r="J894" s="404"/>
      <c r="K894" s="404"/>
      <c r="L894" s="404"/>
      <c r="M894" s="404"/>
      <c r="N894" s="404"/>
      <c r="O894" s="404"/>
      <c r="P894" s="404"/>
      <c r="Q894" s="404"/>
      <c r="R894" s="404"/>
      <c r="S894" s="404"/>
      <c r="T894" s="404"/>
      <c r="U894" s="404"/>
      <c r="V894" s="404"/>
      <c r="W894" s="404"/>
      <c r="X894" s="404"/>
      <c r="Y894" s="404"/>
      <c r="Z894" s="404"/>
    </row>
    <row r="895">
      <c r="A895" s="404"/>
      <c r="B895" s="404"/>
      <c r="C895" s="404"/>
      <c r="D895" s="404"/>
      <c r="E895" s="404"/>
      <c r="F895" s="404"/>
      <c r="G895" s="404"/>
      <c r="H895" s="404"/>
      <c r="I895" s="404"/>
      <c r="J895" s="404"/>
      <c r="K895" s="404"/>
      <c r="L895" s="404"/>
      <c r="M895" s="404"/>
      <c r="N895" s="404"/>
      <c r="O895" s="404"/>
      <c r="P895" s="404"/>
      <c r="Q895" s="404"/>
      <c r="R895" s="404"/>
      <c r="S895" s="404"/>
      <c r="T895" s="404"/>
      <c r="U895" s="404"/>
      <c r="V895" s="404"/>
      <c r="W895" s="404"/>
      <c r="X895" s="404"/>
      <c r="Y895" s="404"/>
      <c r="Z895" s="404"/>
    </row>
    <row r="896">
      <c r="A896" s="404"/>
      <c r="B896" s="404"/>
      <c r="C896" s="404"/>
      <c r="D896" s="404"/>
      <c r="E896" s="404"/>
      <c r="F896" s="404"/>
      <c r="G896" s="404"/>
      <c r="H896" s="404"/>
      <c r="I896" s="404"/>
      <c r="J896" s="404"/>
      <c r="K896" s="404"/>
      <c r="L896" s="404"/>
      <c r="M896" s="404"/>
      <c r="N896" s="404"/>
      <c r="O896" s="404"/>
      <c r="P896" s="404"/>
      <c r="Q896" s="404"/>
      <c r="R896" s="404"/>
      <c r="S896" s="404"/>
      <c r="T896" s="404"/>
      <c r="U896" s="404"/>
      <c r="V896" s="404"/>
      <c r="W896" s="404"/>
      <c r="X896" s="404"/>
      <c r="Y896" s="404"/>
      <c r="Z896" s="404"/>
    </row>
    <row r="897">
      <c r="A897" s="404"/>
      <c r="B897" s="404"/>
      <c r="C897" s="404"/>
      <c r="D897" s="404"/>
      <c r="E897" s="404"/>
      <c r="F897" s="404"/>
      <c r="G897" s="404"/>
      <c r="H897" s="404"/>
      <c r="I897" s="404"/>
      <c r="J897" s="404"/>
      <c r="K897" s="404"/>
      <c r="L897" s="404"/>
      <c r="M897" s="404"/>
      <c r="N897" s="404"/>
      <c r="O897" s="404"/>
      <c r="P897" s="404"/>
      <c r="Q897" s="404"/>
      <c r="R897" s="404"/>
      <c r="S897" s="404"/>
      <c r="T897" s="404"/>
      <c r="U897" s="404"/>
      <c r="V897" s="404"/>
      <c r="W897" s="404"/>
      <c r="X897" s="404"/>
      <c r="Y897" s="404"/>
      <c r="Z897" s="404"/>
    </row>
    <row r="898">
      <c r="A898" s="404"/>
      <c r="B898" s="404"/>
      <c r="C898" s="404"/>
      <c r="D898" s="404"/>
      <c r="E898" s="404"/>
      <c r="F898" s="404"/>
      <c r="G898" s="404"/>
      <c r="H898" s="404"/>
      <c r="I898" s="404"/>
      <c r="J898" s="404"/>
      <c r="K898" s="404"/>
      <c r="L898" s="404"/>
      <c r="M898" s="404"/>
      <c r="N898" s="404"/>
      <c r="O898" s="404"/>
      <c r="P898" s="404"/>
      <c r="Q898" s="404"/>
      <c r="R898" s="404"/>
      <c r="S898" s="404"/>
      <c r="T898" s="404"/>
      <c r="U898" s="404"/>
      <c r="V898" s="404"/>
      <c r="W898" s="404"/>
      <c r="X898" s="404"/>
      <c r="Y898" s="404"/>
      <c r="Z898" s="404"/>
    </row>
    <row r="899">
      <c r="A899" s="404"/>
      <c r="B899" s="404"/>
      <c r="C899" s="404"/>
      <c r="D899" s="404"/>
      <c r="E899" s="404"/>
      <c r="F899" s="404"/>
      <c r="G899" s="404"/>
      <c r="H899" s="404"/>
      <c r="I899" s="404"/>
      <c r="J899" s="404"/>
      <c r="K899" s="404"/>
      <c r="L899" s="404"/>
      <c r="M899" s="404"/>
      <c r="N899" s="404"/>
      <c r="O899" s="404"/>
      <c r="P899" s="404"/>
      <c r="Q899" s="404"/>
      <c r="R899" s="404"/>
      <c r="S899" s="404"/>
      <c r="T899" s="404"/>
      <c r="U899" s="404"/>
      <c r="V899" s="404"/>
      <c r="W899" s="404"/>
      <c r="X899" s="404"/>
      <c r="Y899" s="404"/>
      <c r="Z899" s="404"/>
    </row>
    <row r="900">
      <c r="A900" s="404"/>
      <c r="B900" s="404"/>
      <c r="C900" s="404"/>
      <c r="D900" s="404"/>
      <c r="E900" s="404"/>
      <c r="F900" s="404"/>
      <c r="G900" s="404"/>
      <c r="H900" s="404"/>
      <c r="I900" s="404"/>
      <c r="J900" s="404"/>
      <c r="K900" s="404"/>
      <c r="L900" s="404"/>
      <c r="M900" s="404"/>
      <c r="N900" s="404"/>
      <c r="O900" s="404"/>
      <c r="P900" s="404"/>
      <c r="Q900" s="404"/>
      <c r="R900" s="404"/>
      <c r="S900" s="404"/>
      <c r="T900" s="404"/>
      <c r="U900" s="404"/>
      <c r="V900" s="404"/>
      <c r="W900" s="404"/>
      <c r="X900" s="404"/>
      <c r="Y900" s="404"/>
      <c r="Z900" s="404"/>
    </row>
    <row r="901">
      <c r="A901" s="404"/>
      <c r="B901" s="404"/>
      <c r="C901" s="404"/>
      <c r="D901" s="404"/>
      <c r="E901" s="404"/>
      <c r="F901" s="404"/>
      <c r="G901" s="404"/>
      <c r="H901" s="404"/>
      <c r="I901" s="404"/>
      <c r="J901" s="404"/>
      <c r="K901" s="404"/>
      <c r="L901" s="404"/>
      <c r="M901" s="404"/>
      <c r="N901" s="404"/>
      <c r="O901" s="404"/>
      <c r="P901" s="404"/>
      <c r="Q901" s="404"/>
      <c r="R901" s="404"/>
      <c r="S901" s="404"/>
      <c r="T901" s="404"/>
      <c r="U901" s="404"/>
      <c r="V901" s="404"/>
      <c r="W901" s="404"/>
      <c r="X901" s="404"/>
      <c r="Y901" s="404"/>
      <c r="Z901" s="404"/>
    </row>
    <row r="902">
      <c r="A902" s="404"/>
      <c r="B902" s="404"/>
      <c r="C902" s="404"/>
      <c r="D902" s="404"/>
      <c r="E902" s="404"/>
      <c r="F902" s="404"/>
      <c r="G902" s="404"/>
      <c r="H902" s="404"/>
      <c r="I902" s="404"/>
      <c r="J902" s="404"/>
      <c r="K902" s="404"/>
      <c r="L902" s="404"/>
      <c r="M902" s="404"/>
      <c r="N902" s="404"/>
      <c r="O902" s="404"/>
      <c r="P902" s="404"/>
      <c r="Q902" s="404"/>
      <c r="R902" s="404"/>
      <c r="S902" s="404"/>
      <c r="T902" s="404"/>
      <c r="U902" s="404"/>
      <c r="V902" s="404"/>
      <c r="W902" s="404"/>
      <c r="X902" s="404"/>
      <c r="Y902" s="404"/>
      <c r="Z902" s="404"/>
    </row>
    <row r="903">
      <c r="A903" s="404"/>
      <c r="B903" s="404"/>
      <c r="C903" s="404"/>
      <c r="D903" s="404"/>
      <c r="E903" s="404"/>
      <c r="F903" s="404"/>
      <c r="G903" s="404"/>
      <c r="H903" s="404"/>
      <c r="I903" s="404"/>
      <c r="J903" s="404"/>
      <c r="K903" s="404"/>
      <c r="L903" s="404"/>
      <c r="M903" s="404"/>
      <c r="N903" s="404"/>
      <c r="O903" s="404"/>
      <c r="P903" s="404"/>
      <c r="Q903" s="404"/>
      <c r="R903" s="404"/>
      <c r="S903" s="404"/>
      <c r="T903" s="404"/>
      <c r="U903" s="404"/>
      <c r="V903" s="404"/>
      <c r="W903" s="404"/>
      <c r="X903" s="404"/>
      <c r="Y903" s="404"/>
      <c r="Z903" s="404"/>
    </row>
    <row r="904">
      <c r="A904" s="404"/>
      <c r="B904" s="404"/>
      <c r="C904" s="404"/>
      <c r="D904" s="404"/>
      <c r="E904" s="404"/>
      <c r="F904" s="404"/>
      <c r="G904" s="404"/>
      <c r="H904" s="404"/>
      <c r="I904" s="404"/>
      <c r="J904" s="404"/>
      <c r="K904" s="404"/>
      <c r="L904" s="404"/>
      <c r="M904" s="404"/>
      <c r="N904" s="404"/>
      <c r="O904" s="404"/>
      <c r="P904" s="404"/>
      <c r="Q904" s="404"/>
      <c r="R904" s="404"/>
      <c r="S904" s="404"/>
      <c r="T904" s="404"/>
      <c r="U904" s="404"/>
      <c r="V904" s="404"/>
      <c r="W904" s="404"/>
      <c r="X904" s="404"/>
      <c r="Y904" s="404"/>
      <c r="Z904" s="404"/>
    </row>
    <row r="905">
      <c r="A905" s="404"/>
      <c r="B905" s="404"/>
      <c r="C905" s="404"/>
      <c r="D905" s="404"/>
      <c r="E905" s="404"/>
      <c r="F905" s="404"/>
      <c r="G905" s="404"/>
      <c r="H905" s="404"/>
      <c r="I905" s="404"/>
      <c r="J905" s="404"/>
      <c r="K905" s="404"/>
      <c r="L905" s="404"/>
      <c r="M905" s="404"/>
      <c r="N905" s="404"/>
      <c r="O905" s="404"/>
      <c r="P905" s="404"/>
      <c r="Q905" s="404"/>
      <c r="R905" s="404"/>
      <c r="S905" s="404"/>
      <c r="T905" s="404"/>
      <c r="U905" s="404"/>
      <c r="V905" s="404"/>
      <c r="W905" s="404"/>
      <c r="X905" s="404"/>
      <c r="Y905" s="404"/>
      <c r="Z905" s="404"/>
    </row>
    <row r="906">
      <c r="A906" s="404"/>
      <c r="B906" s="404"/>
      <c r="C906" s="404"/>
      <c r="D906" s="404"/>
      <c r="E906" s="404"/>
      <c r="F906" s="404"/>
      <c r="G906" s="404"/>
      <c r="H906" s="404"/>
      <c r="I906" s="404"/>
      <c r="J906" s="404"/>
      <c r="K906" s="404"/>
      <c r="L906" s="404"/>
      <c r="M906" s="404"/>
      <c r="N906" s="404"/>
      <c r="O906" s="404"/>
      <c r="P906" s="404"/>
      <c r="Q906" s="404"/>
      <c r="R906" s="404"/>
      <c r="S906" s="404"/>
      <c r="T906" s="404"/>
      <c r="U906" s="404"/>
      <c r="V906" s="404"/>
      <c r="W906" s="404"/>
      <c r="X906" s="404"/>
      <c r="Y906" s="404"/>
      <c r="Z906" s="404"/>
    </row>
    <row r="907">
      <c r="A907" s="404"/>
      <c r="B907" s="404"/>
      <c r="C907" s="404"/>
      <c r="D907" s="404"/>
      <c r="E907" s="404"/>
      <c r="F907" s="404"/>
      <c r="G907" s="404"/>
      <c r="H907" s="404"/>
      <c r="I907" s="404"/>
      <c r="J907" s="404"/>
      <c r="K907" s="404"/>
      <c r="L907" s="404"/>
      <c r="M907" s="404"/>
      <c r="N907" s="404"/>
      <c r="O907" s="404"/>
      <c r="P907" s="404"/>
      <c r="Q907" s="404"/>
      <c r="R907" s="404"/>
      <c r="S907" s="404"/>
      <c r="T907" s="404"/>
      <c r="U907" s="404"/>
      <c r="V907" s="404"/>
      <c r="W907" s="404"/>
      <c r="X907" s="404"/>
      <c r="Y907" s="404"/>
      <c r="Z907" s="404"/>
    </row>
    <row r="908">
      <c r="A908" s="404"/>
      <c r="B908" s="404"/>
      <c r="C908" s="404"/>
      <c r="D908" s="404"/>
      <c r="E908" s="404"/>
      <c r="F908" s="404"/>
      <c r="G908" s="404"/>
      <c r="H908" s="404"/>
      <c r="I908" s="404"/>
      <c r="J908" s="404"/>
      <c r="K908" s="404"/>
      <c r="L908" s="404"/>
      <c r="M908" s="404"/>
      <c r="N908" s="404"/>
      <c r="O908" s="404"/>
      <c r="P908" s="404"/>
      <c r="Q908" s="404"/>
      <c r="R908" s="404"/>
      <c r="S908" s="404"/>
      <c r="T908" s="404"/>
      <c r="U908" s="404"/>
      <c r="V908" s="404"/>
      <c r="W908" s="404"/>
      <c r="X908" s="404"/>
      <c r="Y908" s="404"/>
      <c r="Z908" s="404"/>
    </row>
    <row r="909">
      <c r="A909" s="404"/>
      <c r="B909" s="404"/>
      <c r="C909" s="404"/>
      <c r="D909" s="404"/>
      <c r="E909" s="404"/>
      <c r="F909" s="404"/>
      <c r="G909" s="404"/>
      <c r="H909" s="404"/>
      <c r="I909" s="404"/>
      <c r="J909" s="404"/>
      <c r="K909" s="404"/>
      <c r="L909" s="404"/>
      <c r="M909" s="404"/>
      <c r="N909" s="404"/>
      <c r="O909" s="404"/>
      <c r="P909" s="404"/>
      <c r="Q909" s="404"/>
      <c r="R909" s="404"/>
      <c r="S909" s="404"/>
      <c r="T909" s="404"/>
      <c r="U909" s="404"/>
      <c r="V909" s="404"/>
      <c r="W909" s="404"/>
      <c r="X909" s="404"/>
      <c r="Y909" s="404"/>
      <c r="Z909" s="404"/>
    </row>
    <row r="910">
      <c r="A910" s="404"/>
      <c r="B910" s="404"/>
      <c r="C910" s="404"/>
      <c r="D910" s="404"/>
      <c r="E910" s="404"/>
      <c r="F910" s="404"/>
      <c r="G910" s="404"/>
      <c r="H910" s="404"/>
      <c r="I910" s="404"/>
      <c r="J910" s="404"/>
      <c r="K910" s="404"/>
      <c r="L910" s="404"/>
      <c r="M910" s="404"/>
      <c r="N910" s="404"/>
      <c r="O910" s="404"/>
      <c r="P910" s="404"/>
      <c r="Q910" s="404"/>
      <c r="R910" s="404"/>
      <c r="S910" s="404"/>
      <c r="T910" s="404"/>
      <c r="U910" s="404"/>
      <c r="V910" s="404"/>
      <c r="W910" s="404"/>
      <c r="X910" s="404"/>
      <c r="Y910" s="404"/>
      <c r="Z910" s="404"/>
    </row>
    <row r="911">
      <c r="A911" s="404"/>
      <c r="B911" s="404"/>
      <c r="C911" s="404"/>
      <c r="D911" s="404"/>
      <c r="E911" s="404"/>
      <c r="F911" s="404"/>
      <c r="G911" s="404"/>
      <c r="H911" s="404"/>
      <c r="I911" s="404"/>
      <c r="J911" s="404"/>
      <c r="K911" s="404"/>
      <c r="L911" s="404"/>
      <c r="M911" s="404"/>
      <c r="N911" s="404"/>
      <c r="O911" s="404"/>
      <c r="P911" s="404"/>
      <c r="Q911" s="404"/>
      <c r="R911" s="404"/>
      <c r="S911" s="404"/>
      <c r="T911" s="404"/>
      <c r="U911" s="404"/>
      <c r="V911" s="404"/>
      <c r="W911" s="404"/>
      <c r="X911" s="404"/>
      <c r="Y911" s="404"/>
      <c r="Z911" s="404"/>
    </row>
    <row r="912">
      <c r="A912" s="404"/>
      <c r="B912" s="404"/>
      <c r="C912" s="404"/>
      <c r="D912" s="404"/>
      <c r="E912" s="404"/>
      <c r="F912" s="404"/>
      <c r="G912" s="404"/>
      <c r="H912" s="404"/>
      <c r="I912" s="404"/>
      <c r="J912" s="404"/>
      <c r="K912" s="404"/>
      <c r="L912" s="404"/>
      <c r="M912" s="404"/>
      <c r="N912" s="404"/>
      <c r="O912" s="404"/>
      <c r="P912" s="404"/>
      <c r="Q912" s="404"/>
      <c r="R912" s="404"/>
      <c r="S912" s="404"/>
      <c r="T912" s="404"/>
      <c r="U912" s="404"/>
      <c r="V912" s="404"/>
      <c r="W912" s="404"/>
      <c r="X912" s="404"/>
      <c r="Y912" s="404"/>
      <c r="Z912" s="404"/>
    </row>
    <row r="913">
      <c r="A913" s="404"/>
      <c r="B913" s="404"/>
      <c r="C913" s="404"/>
      <c r="D913" s="404"/>
      <c r="E913" s="404"/>
      <c r="F913" s="404"/>
      <c r="G913" s="404"/>
      <c r="H913" s="404"/>
      <c r="I913" s="404"/>
      <c r="J913" s="404"/>
      <c r="K913" s="404"/>
      <c r="L913" s="404"/>
      <c r="M913" s="404"/>
      <c r="N913" s="404"/>
      <c r="O913" s="404"/>
      <c r="P913" s="404"/>
      <c r="Q913" s="404"/>
      <c r="R913" s="404"/>
      <c r="S913" s="404"/>
      <c r="T913" s="404"/>
      <c r="U913" s="404"/>
      <c r="V913" s="404"/>
      <c r="W913" s="404"/>
      <c r="X913" s="404"/>
      <c r="Y913" s="404"/>
      <c r="Z913" s="404"/>
    </row>
    <row r="914">
      <c r="A914" s="404"/>
      <c r="B914" s="404"/>
      <c r="C914" s="404"/>
      <c r="D914" s="404"/>
      <c r="E914" s="404"/>
      <c r="F914" s="404"/>
      <c r="G914" s="404"/>
      <c r="H914" s="404"/>
      <c r="I914" s="404"/>
      <c r="J914" s="404"/>
      <c r="K914" s="404"/>
      <c r="L914" s="404"/>
      <c r="M914" s="404"/>
      <c r="N914" s="404"/>
      <c r="O914" s="404"/>
      <c r="P914" s="404"/>
      <c r="Q914" s="404"/>
      <c r="R914" s="404"/>
      <c r="S914" s="404"/>
      <c r="T914" s="404"/>
      <c r="U914" s="404"/>
      <c r="V914" s="404"/>
      <c r="W914" s="404"/>
      <c r="X914" s="404"/>
      <c r="Y914" s="404"/>
      <c r="Z914" s="404"/>
    </row>
    <row r="915">
      <c r="A915" s="404"/>
      <c r="B915" s="404"/>
      <c r="C915" s="404"/>
      <c r="D915" s="404"/>
      <c r="E915" s="404"/>
      <c r="F915" s="404"/>
      <c r="G915" s="404"/>
      <c r="H915" s="404"/>
      <c r="I915" s="404"/>
      <c r="J915" s="404"/>
      <c r="K915" s="404"/>
      <c r="L915" s="404"/>
      <c r="M915" s="404"/>
      <c r="N915" s="404"/>
      <c r="O915" s="404"/>
      <c r="P915" s="404"/>
      <c r="Q915" s="404"/>
      <c r="R915" s="404"/>
      <c r="S915" s="404"/>
      <c r="T915" s="404"/>
      <c r="U915" s="404"/>
      <c r="V915" s="404"/>
      <c r="W915" s="404"/>
      <c r="X915" s="404"/>
      <c r="Y915" s="404"/>
      <c r="Z915" s="404"/>
    </row>
    <row r="916">
      <c r="A916" s="404"/>
      <c r="B916" s="404"/>
      <c r="C916" s="404"/>
      <c r="D916" s="404"/>
      <c r="E916" s="404"/>
      <c r="F916" s="404"/>
      <c r="G916" s="404"/>
      <c r="H916" s="404"/>
      <c r="I916" s="404"/>
      <c r="J916" s="404"/>
      <c r="K916" s="404"/>
      <c r="L916" s="404"/>
      <c r="M916" s="404"/>
      <c r="N916" s="404"/>
      <c r="O916" s="404"/>
      <c r="P916" s="404"/>
      <c r="Q916" s="404"/>
      <c r="R916" s="404"/>
      <c r="S916" s="404"/>
      <c r="T916" s="404"/>
      <c r="U916" s="404"/>
      <c r="V916" s="404"/>
      <c r="W916" s="404"/>
      <c r="X916" s="404"/>
      <c r="Y916" s="404"/>
      <c r="Z916" s="404"/>
    </row>
    <row r="917">
      <c r="A917" s="404"/>
      <c r="B917" s="404"/>
      <c r="C917" s="404"/>
      <c r="D917" s="404"/>
      <c r="E917" s="404"/>
      <c r="F917" s="404"/>
      <c r="G917" s="404"/>
      <c r="H917" s="404"/>
      <c r="I917" s="404"/>
      <c r="J917" s="404"/>
      <c r="K917" s="404"/>
      <c r="L917" s="404"/>
      <c r="M917" s="404"/>
      <c r="N917" s="404"/>
      <c r="O917" s="404"/>
      <c r="P917" s="404"/>
      <c r="Q917" s="404"/>
      <c r="R917" s="404"/>
      <c r="S917" s="404"/>
      <c r="T917" s="404"/>
      <c r="U917" s="404"/>
      <c r="V917" s="404"/>
      <c r="W917" s="404"/>
      <c r="X917" s="404"/>
      <c r="Y917" s="404"/>
      <c r="Z917" s="404"/>
    </row>
    <row r="918">
      <c r="A918" s="404"/>
      <c r="B918" s="404"/>
      <c r="C918" s="404"/>
      <c r="D918" s="404"/>
      <c r="E918" s="404"/>
      <c r="F918" s="404"/>
      <c r="G918" s="404"/>
      <c r="H918" s="404"/>
      <c r="I918" s="404"/>
      <c r="J918" s="404"/>
      <c r="K918" s="404"/>
      <c r="L918" s="404"/>
      <c r="M918" s="404"/>
      <c r="N918" s="404"/>
      <c r="O918" s="404"/>
      <c r="P918" s="404"/>
      <c r="Q918" s="404"/>
      <c r="R918" s="404"/>
      <c r="S918" s="404"/>
      <c r="T918" s="404"/>
      <c r="U918" s="404"/>
      <c r="V918" s="404"/>
      <c r="W918" s="404"/>
      <c r="X918" s="404"/>
      <c r="Y918" s="404"/>
      <c r="Z918" s="404"/>
    </row>
    <row r="919">
      <c r="A919" s="404"/>
      <c r="B919" s="404"/>
      <c r="C919" s="404"/>
      <c r="D919" s="404"/>
      <c r="E919" s="404"/>
      <c r="F919" s="404"/>
      <c r="G919" s="404"/>
      <c r="H919" s="404"/>
      <c r="I919" s="404"/>
      <c r="J919" s="404"/>
      <c r="K919" s="404"/>
      <c r="L919" s="404"/>
      <c r="M919" s="404"/>
      <c r="N919" s="404"/>
      <c r="O919" s="404"/>
      <c r="P919" s="404"/>
      <c r="Q919" s="404"/>
      <c r="R919" s="404"/>
      <c r="S919" s="404"/>
      <c r="T919" s="404"/>
      <c r="U919" s="404"/>
      <c r="V919" s="404"/>
      <c r="W919" s="404"/>
      <c r="X919" s="404"/>
      <c r="Y919" s="404"/>
      <c r="Z919" s="404"/>
    </row>
    <row r="920">
      <c r="A920" s="404"/>
      <c r="B920" s="404"/>
      <c r="C920" s="404"/>
      <c r="D920" s="404"/>
      <c r="E920" s="404"/>
      <c r="F920" s="404"/>
      <c r="G920" s="404"/>
      <c r="H920" s="404"/>
      <c r="I920" s="404"/>
      <c r="J920" s="404"/>
      <c r="K920" s="404"/>
      <c r="L920" s="404"/>
      <c r="M920" s="404"/>
      <c r="N920" s="404"/>
      <c r="O920" s="404"/>
      <c r="P920" s="404"/>
      <c r="Q920" s="404"/>
      <c r="R920" s="404"/>
      <c r="S920" s="404"/>
      <c r="T920" s="404"/>
      <c r="U920" s="404"/>
      <c r="V920" s="404"/>
      <c r="W920" s="404"/>
      <c r="X920" s="404"/>
      <c r="Y920" s="404"/>
      <c r="Z920" s="404"/>
    </row>
    <row r="921">
      <c r="A921" s="404"/>
      <c r="B921" s="404"/>
      <c r="C921" s="404"/>
      <c r="D921" s="404"/>
      <c r="E921" s="404"/>
      <c r="F921" s="404"/>
      <c r="G921" s="404"/>
      <c r="H921" s="404"/>
      <c r="I921" s="404"/>
      <c r="J921" s="404"/>
      <c r="K921" s="404"/>
      <c r="L921" s="404"/>
      <c r="M921" s="404"/>
      <c r="N921" s="404"/>
      <c r="O921" s="404"/>
      <c r="P921" s="404"/>
      <c r="Q921" s="404"/>
      <c r="R921" s="404"/>
      <c r="S921" s="404"/>
      <c r="T921" s="404"/>
      <c r="U921" s="404"/>
      <c r="V921" s="404"/>
      <c r="W921" s="404"/>
      <c r="X921" s="404"/>
      <c r="Y921" s="404"/>
      <c r="Z921" s="404"/>
    </row>
    <row r="922">
      <c r="A922" s="404"/>
      <c r="B922" s="404"/>
      <c r="C922" s="404"/>
      <c r="D922" s="404"/>
      <c r="E922" s="404"/>
      <c r="F922" s="404"/>
      <c r="G922" s="404"/>
      <c r="H922" s="404"/>
      <c r="I922" s="404"/>
      <c r="J922" s="404"/>
      <c r="K922" s="404"/>
      <c r="L922" s="404"/>
      <c r="M922" s="404"/>
      <c r="N922" s="404"/>
      <c r="O922" s="404"/>
      <c r="P922" s="404"/>
      <c r="Q922" s="404"/>
      <c r="R922" s="404"/>
      <c r="S922" s="404"/>
      <c r="T922" s="404"/>
      <c r="U922" s="404"/>
      <c r="V922" s="404"/>
      <c r="W922" s="404"/>
      <c r="X922" s="404"/>
      <c r="Y922" s="404"/>
      <c r="Z922" s="404"/>
    </row>
    <row r="923">
      <c r="A923" s="404"/>
      <c r="B923" s="404"/>
      <c r="C923" s="404"/>
      <c r="D923" s="404"/>
      <c r="E923" s="404"/>
      <c r="F923" s="404"/>
      <c r="G923" s="404"/>
      <c r="H923" s="404"/>
      <c r="I923" s="404"/>
      <c r="J923" s="404"/>
      <c r="K923" s="404"/>
      <c r="L923" s="404"/>
      <c r="M923" s="404"/>
      <c r="N923" s="404"/>
      <c r="O923" s="404"/>
      <c r="P923" s="404"/>
      <c r="Q923" s="404"/>
      <c r="R923" s="404"/>
      <c r="S923" s="404"/>
      <c r="T923" s="404"/>
      <c r="U923" s="404"/>
      <c r="V923" s="404"/>
      <c r="W923" s="404"/>
      <c r="X923" s="404"/>
      <c r="Y923" s="404"/>
      <c r="Z923" s="404"/>
    </row>
    <row r="924">
      <c r="A924" s="404"/>
      <c r="B924" s="404"/>
      <c r="C924" s="404"/>
      <c r="D924" s="404"/>
      <c r="E924" s="404"/>
      <c r="F924" s="404"/>
      <c r="G924" s="404"/>
      <c r="H924" s="404"/>
      <c r="I924" s="404"/>
      <c r="J924" s="404"/>
      <c r="K924" s="404"/>
      <c r="L924" s="404"/>
      <c r="M924" s="404"/>
      <c r="N924" s="404"/>
      <c r="O924" s="404"/>
      <c r="P924" s="404"/>
      <c r="Q924" s="404"/>
      <c r="R924" s="404"/>
      <c r="S924" s="404"/>
      <c r="T924" s="404"/>
      <c r="U924" s="404"/>
      <c r="V924" s="404"/>
      <c r="W924" s="404"/>
      <c r="X924" s="404"/>
      <c r="Y924" s="404"/>
      <c r="Z924" s="404"/>
    </row>
    <row r="925">
      <c r="A925" s="404"/>
      <c r="B925" s="404"/>
      <c r="C925" s="404"/>
      <c r="D925" s="404"/>
      <c r="E925" s="404"/>
      <c r="F925" s="404"/>
      <c r="G925" s="404"/>
      <c r="H925" s="404"/>
      <c r="I925" s="404"/>
      <c r="J925" s="404"/>
      <c r="K925" s="404"/>
      <c r="L925" s="404"/>
      <c r="M925" s="404"/>
      <c r="N925" s="404"/>
      <c r="O925" s="404"/>
      <c r="P925" s="404"/>
      <c r="Q925" s="404"/>
      <c r="R925" s="404"/>
      <c r="S925" s="404"/>
      <c r="T925" s="404"/>
      <c r="U925" s="404"/>
      <c r="V925" s="404"/>
      <c r="W925" s="404"/>
      <c r="X925" s="404"/>
      <c r="Y925" s="404"/>
      <c r="Z925" s="404"/>
    </row>
    <row r="926">
      <c r="A926" s="404"/>
      <c r="B926" s="404"/>
      <c r="C926" s="404"/>
      <c r="D926" s="404"/>
      <c r="E926" s="404"/>
      <c r="F926" s="404"/>
      <c r="G926" s="404"/>
      <c r="H926" s="404"/>
      <c r="I926" s="404"/>
      <c r="J926" s="404"/>
      <c r="K926" s="404"/>
      <c r="L926" s="404"/>
      <c r="M926" s="404"/>
      <c r="N926" s="404"/>
      <c r="O926" s="404"/>
      <c r="P926" s="404"/>
      <c r="Q926" s="404"/>
      <c r="R926" s="404"/>
      <c r="S926" s="404"/>
      <c r="T926" s="404"/>
      <c r="U926" s="404"/>
      <c r="V926" s="404"/>
      <c r="W926" s="404"/>
      <c r="X926" s="404"/>
      <c r="Y926" s="404"/>
      <c r="Z926" s="404"/>
    </row>
    <row r="927">
      <c r="A927" s="404"/>
      <c r="B927" s="404"/>
      <c r="C927" s="404"/>
      <c r="D927" s="404"/>
      <c r="E927" s="404"/>
      <c r="F927" s="404"/>
      <c r="G927" s="404"/>
      <c r="H927" s="404"/>
      <c r="I927" s="404"/>
      <c r="J927" s="404"/>
      <c r="K927" s="404"/>
      <c r="L927" s="404"/>
      <c r="M927" s="404"/>
      <c r="N927" s="404"/>
      <c r="O927" s="404"/>
      <c r="P927" s="404"/>
      <c r="Q927" s="404"/>
      <c r="R927" s="404"/>
      <c r="S927" s="404"/>
      <c r="T927" s="404"/>
      <c r="U927" s="404"/>
      <c r="V927" s="404"/>
      <c r="W927" s="404"/>
      <c r="X927" s="404"/>
      <c r="Y927" s="404"/>
      <c r="Z927" s="404"/>
    </row>
    <row r="928">
      <c r="A928" s="404"/>
      <c r="B928" s="404"/>
      <c r="C928" s="404"/>
      <c r="D928" s="404"/>
      <c r="E928" s="404"/>
      <c r="F928" s="404"/>
      <c r="G928" s="404"/>
      <c r="H928" s="404"/>
      <c r="I928" s="404"/>
      <c r="J928" s="404"/>
      <c r="K928" s="404"/>
      <c r="L928" s="404"/>
      <c r="M928" s="404"/>
      <c r="N928" s="404"/>
      <c r="O928" s="404"/>
      <c r="P928" s="404"/>
      <c r="Q928" s="404"/>
      <c r="R928" s="404"/>
      <c r="S928" s="404"/>
      <c r="T928" s="404"/>
      <c r="U928" s="404"/>
      <c r="V928" s="404"/>
      <c r="W928" s="404"/>
      <c r="X928" s="404"/>
      <c r="Y928" s="404"/>
      <c r="Z928" s="404"/>
    </row>
    <row r="929">
      <c r="A929" s="404"/>
      <c r="B929" s="404"/>
      <c r="C929" s="404"/>
      <c r="D929" s="404"/>
      <c r="E929" s="404"/>
      <c r="F929" s="404"/>
      <c r="G929" s="404"/>
      <c r="H929" s="404"/>
      <c r="I929" s="404"/>
      <c r="J929" s="404"/>
      <c r="K929" s="404"/>
      <c r="L929" s="404"/>
      <c r="M929" s="404"/>
      <c r="N929" s="404"/>
      <c r="O929" s="404"/>
      <c r="P929" s="404"/>
      <c r="Q929" s="404"/>
      <c r="R929" s="404"/>
      <c r="S929" s="404"/>
      <c r="T929" s="404"/>
      <c r="U929" s="404"/>
      <c r="V929" s="404"/>
      <c r="W929" s="404"/>
      <c r="X929" s="404"/>
      <c r="Y929" s="404"/>
      <c r="Z929" s="404"/>
    </row>
    <row r="930">
      <c r="A930" s="404"/>
      <c r="B930" s="404"/>
      <c r="C930" s="404"/>
      <c r="D930" s="404"/>
      <c r="E930" s="404"/>
      <c r="F930" s="404"/>
      <c r="G930" s="404"/>
      <c r="H930" s="404"/>
      <c r="I930" s="404"/>
      <c r="J930" s="404"/>
      <c r="K930" s="404"/>
      <c r="L930" s="404"/>
      <c r="M930" s="404"/>
      <c r="N930" s="404"/>
      <c r="O930" s="404"/>
      <c r="P930" s="404"/>
      <c r="Q930" s="404"/>
      <c r="R930" s="404"/>
      <c r="S930" s="404"/>
      <c r="T930" s="404"/>
      <c r="U930" s="404"/>
      <c r="V930" s="404"/>
      <c r="W930" s="404"/>
      <c r="X930" s="404"/>
      <c r="Y930" s="404"/>
      <c r="Z930" s="404"/>
    </row>
    <row r="931">
      <c r="A931" s="404"/>
      <c r="B931" s="404"/>
      <c r="C931" s="404"/>
      <c r="D931" s="404"/>
      <c r="E931" s="404"/>
      <c r="F931" s="404"/>
      <c r="G931" s="404"/>
      <c r="H931" s="404"/>
      <c r="I931" s="404"/>
      <c r="J931" s="404"/>
      <c r="K931" s="404"/>
      <c r="L931" s="404"/>
      <c r="M931" s="404"/>
      <c r="N931" s="404"/>
      <c r="O931" s="404"/>
      <c r="P931" s="404"/>
      <c r="Q931" s="404"/>
      <c r="R931" s="404"/>
      <c r="S931" s="404"/>
      <c r="T931" s="404"/>
      <c r="U931" s="404"/>
      <c r="V931" s="404"/>
      <c r="W931" s="404"/>
      <c r="X931" s="404"/>
      <c r="Y931" s="404"/>
      <c r="Z931" s="404"/>
    </row>
    <row r="932">
      <c r="A932" s="404"/>
      <c r="B932" s="404"/>
      <c r="C932" s="404"/>
      <c r="D932" s="404"/>
      <c r="E932" s="404"/>
      <c r="F932" s="404"/>
      <c r="G932" s="404"/>
      <c r="H932" s="404"/>
      <c r="I932" s="404"/>
      <c r="J932" s="404"/>
      <c r="K932" s="404"/>
      <c r="L932" s="404"/>
      <c r="M932" s="404"/>
      <c r="N932" s="404"/>
      <c r="O932" s="404"/>
      <c r="P932" s="404"/>
      <c r="Q932" s="404"/>
      <c r="R932" s="404"/>
      <c r="S932" s="404"/>
      <c r="T932" s="404"/>
      <c r="U932" s="404"/>
      <c r="V932" s="404"/>
      <c r="W932" s="404"/>
      <c r="X932" s="404"/>
      <c r="Y932" s="404"/>
      <c r="Z932" s="404"/>
    </row>
    <row r="933">
      <c r="A933" s="404"/>
      <c r="B933" s="404"/>
      <c r="C933" s="404"/>
      <c r="D933" s="404"/>
      <c r="E933" s="404"/>
      <c r="F933" s="404"/>
      <c r="G933" s="404"/>
      <c r="H933" s="404"/>
      <c r="I933" s="404"/>
      <c r="J933" s="404"/>
      <c r="K933" s="404"/>
      <c r="L933" s="404"/>
      <c r="M933" s="404"/>
      <c r="N933" s="404"/>
      <c r="O933" s="404"/>
      <c r="P933" s="404"/>
      <c r="Q933" s="404"/>
      <c r="R933" s="404"/>
      <c r="S933" s="404"/>
      <c r="T933" s="404"/>
      <c r="U933" s="404"/>
      <c r="V933" s="404"/>
      <c r="W933" s="404"/>
      <c r="X933" s="404"/>
      <c r="Y933" s="404"/>
      <c r="Z933" s="404"/>
    </row>
    <row r="934">
      <c r="A934" s="404"/>
      <c r="B934" s="404"/>
      <c r="C934" s="404"/>
      <c r="D934" s="404"/>
      <c r="E934" s="404"/>
      <c r="F934" s="404"/>
      <c r="G934" s="404"/>
      <c r="H934" s="404"/>
      <c r="I934" s="404"/>
      <c r="J934" s="404"/>
      <c r="K934" s="404"/>
      <c r="L934" s="404"/>
      <c r="M934" s="404"/>
      <c r="N934" s="404"/>
      <c r="O934" s="404"/>
      <c r="P934" s="404"/>
      <c r="Q934" s="404"/>
      <c r="R934" s="404"/>
      <c r="S934" s="404"/>
      <c r="T934" s="404"/>
      <c r="U934" s="404"/>
      <c r="V934" s="404"/>
      <c r="W934" s="404"/>
      <c r="X934" s="404"/>
      <c r="Y934" s="404"/>
      <c r="Z934" s="404"/>
    </row>
    <row r="935">
      <c r="A935" s="404"/>
      <c r="B935" s="404"/>
      <c r="C935" s="404"/>
      <c r="D935" s="404"/>
      <c r="E935" s="404"/>
      <c r="F935" s="404"/>
      <c r="G935" s="404"/>
      <c r="H935" s="404"/>
      <c r="I935" s="404"/>
      <c r="J935" s="404"/>
      <c r="K935" s="404"/>
      <c r="L935" s="404"/>
      <c r="M935" s="404"/>
      <c r="N935" s="404"/>
      <c r="O935" s="404"/>
      <c r="P935" s="404"/>
      <c r="Q935" s="404"/>
      <c r="R935" s="404"/>
      <c r="S935" s="404"/>
      <c r="T935" s="404"/>
      <c r="U935" s="404"/>
      <c r="V935" s="404"/>
      <c r="W935" s="404"/>
      <c r="X935" s="404"/>
      <c r="Y935" s="404"/>
      <c r="Z935" s="404"/>
    </row>
    <row r="936">
      <c r="A936" s="404"/>
      <c r="B936" s="404"/>
      <c r="C936" s="404"/>
      <c r="D936" s="404"/>
      <c r="E936" s="404"/>
      <c r="F936" s="404"/>
      <c r="G936" s="404"/>
      <c r="H936" s="404"/>
      <c r="I936" s="404"/>
      <c r="J936" s="404"/>
      <c r="K936" s="404"/>
      <c r="L936" s="404"/>
      <c r="M936" s="404"/>
      <c r="N936" s="404"/>
      <c r="O936" s="404"/>
      <c r="P936" s="404"/>
      <c r="Q936" s="404"/>
      <c r="R936" s="404"/>
      <c r="S936" s="404"/>
      <c r="T936" s="404"/>
      <c r="U936" s="404"/>
      <c r="V936" s="404"/>
      <c r="W936" s="404"/>
      <c r="X936" s="404"/>
      <c r="Y936" s="404"/>
      <c r="Z936" s="404"/>
    </row>
    <row r="937">
      <c r="A937" s="404"/>
      <c r="B937" s="404"/>
      <c r="C937" s="404"/>
      <c r="D937" s="404"/>
      <c r="E937" s="404"/>
      <c r="F937" s="404"/>
      <c r="G937" s="404"/>
      <c r="H937" s="404"/>
      <c r="I937" s="404"/>
      <c r="J937" s="404"/>
      <c r="K937" s="404"/>
      <c r="L937" s="404"/>
      <c r="M937" s="404"/>
      <c r="N937" s="404"/>
      <c r="O937" s="404"/>
      <c r="P937" s="404"/>
      <c r="Q937" s="404"/>
      <c r="R937" s="404"/>
      <c r="S937" s="404"/>
      <c r="T937" s="404"/>
      <c r="U937" s="404"/>
      <c r="V937" s="404"/>
      <c r="W937" s="404"/>
      <c r="X937" s="404"/>
      <c r="Y937" s="404"/>
      <c r="Z937" s="404"/>
    </row>
    <row r="938">
      <c r="A938" s="404"/>
      <c r="B938" s="404"/>
      <c r="C938" s="404"/>
      <c r="D938" s="404"/>
      <c r="E938" s="404"/>
      <c r="F938" s="404"/>
      <c r="G938" s="404"/>
      <c r="H938" s="404"/>
      <c r="I938" s="404"/>
      <c r="J938" s="404"/>
      <c r="K938" s="404"/>
      <c r="L938" s="404"/>
      <c r="M938" s="404"/>
      <c r="N938" s="404"/>
      <c r="O938" s="404"/>
      <c r="P938" s="404"/>
      <c r="Q938" s="404"/>
      <c r="R938" s="404"/>
      <c r="S938" s="404"/>
      <c r="T938" s="404"/>
      <c r="U938" s="404"/>
      <c r="V938" s="404"/>
      <c r="W938" s="404"/>
      <c r="X938" s="404"/>
      <c r="Y938" s="404"/>
      <c r="Z938" s="404"/>
    </row>
    <row r="939">
      <c r="A939" s="404"/>
      <c r="B939" s="404"/>
      <c r="C939" s="404"/>
      <c r="D939" s="404"/>
      <c r="E939" s="404"/>
      <c r="F939" s="404"/>
      <c r="G939" s="404"/>
      <c r="H939" s="404"/>
      <c r="I939" s="404"/>
      <c r="J939" s="404"/>
      <c r="K939" s="404"/>
      <c r="L939" s="404"/>
      <c r="M939" s="404"/>
      <c r="N939" s="404"/>
      <c r="O939" s="404"/>
      <c r="P939" s="404"/>
      <c r="Q939" s="404"/>
      <c r="R939" s="404"/>
      <c r="S939" s="404"/>
      <c r="T939" s="404"/>
      <c r="U939" s="404"/>
      <c r="V939" s="404"/>
      <c r="W939" s="404"/>
      <c r="X939" s="404"/>
      <c r="Y939" s="404"/>
      <c r="Z939" s="404"/>
    </row>
    <row r="940">
      <c r="A940" s="404"/>
      <c r="B940" s="404"/>
      <c r="C940" s="404"/>
      <c r="D940" s="404"/>
      <c r="E940" s="404"/>
      <c r="F940" s="404"/>
      <c r="G940" s="404"/>
      <c r="H940" s="404"/>
      <c r="I940" s="404"/>
      <c r="J940" s="404"/>
      <c r="K940" s="404"/>
      <c r="L940" s="404"/>
      <c r="M940" s="404"/>
      <c r="N940" s="404"/>
      <c r="O940" s="404"/>
      <c r="P940" s="404"/>
      <c r="Q940" s="404"/>
      <c r="R940" s="404"/>
      <c r="S940" s="404"/>
      <c r="T940" s="404"/>
      <c r="U940" s="404"/>
      <c r="V940" s="404"/>
      <c r="W940" s="404"/>
      <c r="X940" s="404"/>
      <c r="Y940" s="404"/>
      <c r="Z940" s="404"/>
    </row>
    <row r="941">
      <c r="A941" s="404"/>
      <c r="B941" s="404"/>
      <c r="C941" s="404"/>
      <c r="D941" s="404"/>
      <c r="E941" s="404"/>
      <c r="F941" s="404"/>
      <c r="G941" s="404"/>
      <c r="H941" s="404"/>
      <c r="I941" s="404"/>
      <c r="J941" s="404"/>
      <c r="K941" s="404"/>
      <c r="L941" s="404"/>
      <c r="M941" s="404"/>
      <c r="N941" s="404"/>
      <c r="O941" s="404"/>
      <c r="P941" s="404"/>
      <c r="Q941" s="404"/>
      <c r="R941" s="404"/>
      <c r="S941" s="404"/>
      <c r="T941" s="404"/>
      <c r="U941" s="404"/>
      <c r="V941" s="404"/>
      <c r="W941" s="404"/>
      <c r="X941" s="404"/>
      <c r="Y941" s="404"/>
      <c r="Z941" s="404"/>
    </row>
    <row r="942">
      <c r="A942" s="404"/>
      <c r="B942" s="404"/>
      <c r="C942" s="404"/>
      <c r="D942" s="404"/>
      <c r="E942" s="404"/>
      <c r="F942" s="404"/>
      <c r="G942" s="404"/>
      <c r="H942" s="404"/>
      <c r="I942" s="404"/>
      <c r="J942" s="404"/>
      <c r="K942" s="404"/>
      <c r="L942" s="404"/>
      <c r="M942" s="404"/>
      <c r="N942" s="404"/>
      <c r="O942" s="404"/>
      <c r="P942" s="404"/>
      <c r="Q942" s="404"/>
      <c r="R942" s="404"/>
      <c r="S942" s="404"/>
      <c r="T942" s="404"/>
      <c r="U942" s="404"/>
      <c r="V942" s="404"/>
      <c r="W942" s="404"/>
      <c r="X942" s="404"/>
      <c r="Y942" s="404"/>
      <c r="Z942" s="404"/>
    </row>
    <row r="943">
      <c r="A943" s="404"/>
      <c r="B943" s="404"/>
      <c r="C943" s="404"/>
      <c r="D943" s="404"/>
      <c r="E943" s="404"/>
      <c r="F943" s="404"/>
      <c r="G943" s="404"/>
      <c r="H943" s="404"/>
      <c r="I943" s="404"/>
      <c r="J943" s="404"/>
      <c r="K943" s="404"/>
      <c r="L943" s="404"/>
      <c r="M943" s="404"/>
      <c r="N943" s="404"/>
      <c r="O943" s="404"/>
      <c r="P943" s="404"/>
      <c r="Q943" s="404"/>
      <c r="R943" s="404"/>
      <c r="S943" s="404"/>
      <c r="T943" s="404"/>
      <c r="U943" s="404"/>
      <c r="V943" s="404"/>
      <c r="W943" s="404"/>
      <c r="X943" s="404"/>
      <c r="Y943" s="404"/>
      <c r="Z943" s="404"/>
    </row>
    <row r="944">
      <c r="A944" s="404"/>
      <c r="B944" s="404"/>
      <c r="C944" s="404"/>
      <c r="D944" s="404"/>
      <c r="E944" s="404"/>
      <c r="F944" s="404"/>
      <c r="G944" s="404"/>
      <c r="H944" s="404"/>
      <c r="I944" s="404"/>
      <c r="J944" s="404"/>
      <c r="K944" s="404"/>
      <c r="L944" s="404"/>
      <c r="M944" s="404"/>
      <c r="N944" s="404"/>
      <c r="O944" s="404"/>
      <c r="P944" s="404"/>
      <c r="Q944" s="404"/>
      <c r="R944" s="404"/>
      <c r="S944" s="404"/>
      <c r="T944" s="404"/>
      <c r="U944" s="404"/>
      <c r="V944" s="404"/>
      <c r="W944" s="404"/>
      <c r="X944" s="404"/>
      <c r="Y944" s="404"/>
      <c r="Z944" s="404"/>
    </row>
    <row r="945">
      <c r="A945" s="404"/>
      <c r="B945" s="404"/>
      <c r="C945" s="404"/>
      <c r="D945" s="404"/>
      <c r="E945" s="404"/>
      <c r="F945" s="404"/>
      <c r="G945" s="404"/>
      <c r="H945" s="404"/>
      <c r="I945" s="404"/>
      <c r="J945" s="404"/>
      <c r="K945" s="404"/>
      <c r="L945" s="404"/>
      <c r="M945" s="404"/>
      <c r="N945" s="404"/>
      <c r="O945" s="404"/>
      <c r="P945" s="404"/>
      <c r="Q945" s="404"/>
      <c r="R945" s="404"/>
      <c r="S945" s="404"/>
      <c r="T945" s="404"/>
      <c r="U945" s="404"/>
      <c r="V945" s="404"/>
      <c r="W945" s="404"/>
      <c r="X945" s="404"/>
      <c r="Y945" s="404"/>
      <c r="Z945" s="404"/>
    </row>
    <row r="946">
      <c r="A946" s="404"/>
      <c r="B946" s="404"/>
      <c r="C946" s="404"/>
      <c r="D946" s="404"/>
      <c r="E946" s="404"/>
      <c r="F946" s="404"/>
      <c r="G946" s="404"/>
      <c r="H946" s="404"/>
      <c r="I946" s="404"/>
      <c r="J946" s="404"/>
      <c r="K946" s="404"/>
      <c r="L946" s="404"/>
      <c r="M946" s="404"/>
      <c r="N946" s="404"/>
      <c r="O946" s="404"/>
      <c r="P946" s="404"/>
      <c r="Q946" s="404"/>
      <c r="R946" s="404"/>
      <c r="S946" s="404"/>
      <c r="T946" s="404"/>
      <c r="U946" s="404"/>
      <c r="V946" s="404"/>
      <c r="W946" s="404"/>
      <c r="X946" s="404"/>
      <c r="Y946" s="404"/>
      <c r="Z946" s="404"/>
    </row>
    <row r="947">
      <c r="A947" s="404"/>
      <c r="B947" s="404"/>
      <c r="C947" s="404"/>
      <c r="D947" s="404"/>
      <c r="E947" s="404"/>
      <c r="F947" s="404"/>
      <c r="G947" s="404"/>
      <c r="H947" s="404"/>
      <c r="I947" s="404"/>
      <c r="J947" s="404"/>
      <c r="K947" s="404"/>
      <c r="L947" s="404"/>
      <c r="M947" s="404"/>
      <c r="N947" s="404"/>
      <c r="O947" s="404"/>
      <c r="P947" s="404"/>
      <c r="Q947" s="404"/>
      <c r="R947" s="404"/>
      <c r="S947" s="404"/>
      <c r="T947" s="404"/>
      <c r="U947" s="404"/>
      <c r="V947" s="404"/>
      <c r="W947" s="404"/>
      <c r="X947" s="404"/>
      <c r="Y947" s="404"/>
      <c r="Z947" s="404"/>
    </row>
    <row r="948">
      <c r="A948" s="404"/>
      <c r="B948" s="404"/>
      <c r="C948" s="404"/>
      <c r="D948" s="404"/>
      <c r="E948" s="404"/>
      <c r="F948" s="404"/>
      <c r="G948" s="404"/>
      <c r="H948" s="404"/>
      <c r="I948" s="404"/>
      <c r="J948" s="404"/>
      <c r="K948" s="404"/>
      <c r="L948" s="404"/>
      <c r="M948" s="404"/>
      <c r="N948" s="404"/>
      <c r="O948" s="404"/>
      <c r="P948" s="404"/>
      <c r="Q948" s="404"/>
      <c r="R948" s="404"/>
      <c r="S948" s="404"/>
      <c r="T948" s="404"/>
      <c r="U948" s="404"/>
      <c r="V948" s="404"/>
      <c r="W948" s="404"/>
      <c r="X948" s="404"/>
      <c r="Y948" s="404"/>
      <c r="Z948" s="404"/>
    </row>
    <row r="949">
      <c r="A949" s="404"/>
      <c r="B949" s="404"/>
      <c r="C949" s="404"/>
      <c r="D949" s="404"/>
      <c r="E949" s="404"/>
      <c r="F949" s="404"/>
      <c r="G949" s="404"/>
      <c r="H949" s="404"/>
      <c r="I949" s="404"/>
      <c r="J949" s="404"/>
      <c r="K949" s="404"/>
      <c r="L949" s="404"/>
      <c r="M949" s="404"/>
      <c r="N949" s="404"/>
      <c r="O949" s="404"/>
      <c r="P949" s="404"/>
      <c r="Q949" s="404"/>
      <c r="R949" s="404"/>
      <c r="S949" s="404"/>
      <c r="T949" s="404"/>
      <c r="U949" s="404"/>
      <c r="V949" s="404"/>
      <c r="W949" s="404"/>
      <c r="X949" s="404"/>
      <c r="Y949" s="404"/>
      <c r="Z949" s="404"/>
    </row>
    <row r="950">
      <c r="A950" s="404"/>
      <c r="B950" s="404"/>
      <c r="C950" s="404"/>
      <c r="D950" s="404"/>
      <c r="E950" s="404"/>
      <c r="F950" s="404"/>
      <c r="G950" s="404"/>
      <c r="H950" s="404"/>
      <c r="I950" s="404"/>
      <c r="J950" s="404"/>
      <c r="K950" s="404"/>
      <c r="L950" s="404"/>
      <c r="M950" s="404"/>
      <c r="N950" s="404"/>
      <c r="O950" s="404"/>
      <c r="P950" s="404"/>
      <c r="Q950" s="404"/>
      <c r="R950" s="404"/>
      <c r="S950" s="404"/>
      <c r="T950" s="404"/>
      <c r="U950" s="404"/>
      <c r="V950" s="404"/>
      <c r="W950" s="404"/>
      <c r="X950" s="404"/>
      <c r="Y950" s="404"/>
      <c r="Z950" s="404"/>
    </row>
    <row r="951">
      <c r="A951" s="404"/>
      <c r="B951" s="404"/>
      <c r="C951" s="404"/>
      <c r="D951" s="404"/>
      <c r="E951" s="404"/>
      <c r="F951" s="404"/>
      <c r="G951" s="404"/>
      <c r="H951" s="404"/>
      <c r="I951" s="404"/>
      <c r="J951" s="404"/>
      <c r="K951" s="404"/>
      <c r="L951" s="404"/>
      <c r="M951" s="404"/>
      <c r="N951" s="404"/>
      <c r="O951" s="404"/>
      <c r="P951" s="404"/>
      <c r="Q951" s="404"/>
      <c r="R951" s="404"/>
      <c r="S951" s="404"/>
      <c r="T951" s="404"/>
      <c r="U951" s="404"/>
      <c r="V951" s="404"/>
      <c r="W951" s="404"/>
      <c r="X951" s="404"/>
      <c r="Y951" s="404"/>
      <c r="Z951" s="404"/>
    </row>
    <row r="952">
      <c r="A952" s="404"/>
      <c r="B952" s="404"/>
      <c r="C952" s="404"/>
      <c r="D952" s="404"/>
      <c r="E952" s="404"/>
      <c r="F952" s="404"/>
      <c r="G952" s="404"/>
      <c r="H952" s="404"/>
      <c r="I952" s="404"/>
      <c r="J952" s="404"/>
      <c r="K952" s="404"/>
      <c r="L952" s="404"/>
      <c r="M952" s="404"/>
      <c r="N952" s="404"/>
      <c r="O952" s="404"/>
      <c r="P952" s="404"/>
      <c r="Q952" s="404"/>
      <c r="R952" s="404"/>
      <c r="S952" s="404"/>
      <c r="T952" s="404"/>
      <c r="U952" s="404"/>
      <c r="V952" s="404"/>
      <c r="W952" s="404"/>
      <c r="X952" s="404"/>
      <c r="Y952" s="404"/>
      <c r="Z952" s="404"/>
    </row>
    <row r="953">
      <c r="A953" s="404"/>
      <c r="B953" s="404"/>
      <c r="C953" s="404"/>
      <c r="D953" s="404"/>
      <c r="E953" s="404"/>
      <c r="F953" s="404"/>
      <c r="G953" s="404"/>
      <c r="H953" s="404"/>
      <c r="I953" s="404"/>
      <c r="J953" s="404"/>
      <c r="K953" s="404"/>
      <c r="L953" s="404"/>
      <c r="M953" s="404"/>
      <c r="N953" s="404"/>
      <c r="O953" s="404"/>
      <c r="P953" s="404"/>
      <c r="Q953" s="404"/>
      <c r="R953" s="404"/>
      <c r="S953" s="404"/>
      <c r="T953" s="404"/>
      <c r="U953" s="404"/>
      <c r="V953" s="404"/>
      <c r="W953" s="404"/>
      <c r="X953" s="404"/>
      <c r="Y953" s="404"/>
      <c r="Z953" s="404"/>
    </row>
    <row r="954">
      <c r="A954" s="404"/>
      <c r="B954" s="404"/>
      <c r="C954" s="404"/>
      <c r="D954" s="404"/>
      <c r="E954" s="404"/>
      <c r="F954" s="404"/>
      <c r="G954" s="404"/>
      <c r="H954" s="404"/>
      <c r="I954" s="404"/>
      <c r="J954" s="404"/>
      <c r="K954" s="404"/>
      <c r="L954" s="404"/>
      <c r="M954" s="404"/>
      <c r="N954" s="404"/>
      <c r="O954" s="404"/>
      <c r="P954" s="404"/>
      <c r="Q954" s="404"/>
      <c r="R954" s="404"/>
      <c r="S954" s="404"/>
      <c r="T954" s="404"/>
      <c r="U954" s="404"/>
      <c r="V954" s="404"/>
      <c r="W954" s="404"/>
      <c r="X954" s="404"/>
      <c r="Y954" s="404"/>
      <c r="Z954" s="404"/>
    </row>
    <row r="955">
      <c r="A955" s="404"/>
      <c r="B955" s="404"/>
      <c r="C955" s="404"/>
      <c r="D955" s="404"/>
      <c r="E955" s="404"/>
      <c r="F955" s="404"/>
      <c r="G955" s="404"/>
      <c r="H955" s="404"/>
      <c r="I955" s="404"/>
      <c r="J955" s="404"/>
      <c r="K955" s="404"/>
      <c r="L955" s="404"/>
      <c r="M955" s="404"/>
      <c r="N955" s="404"/>
      <c r="O955" s="404"/>
      <c r="P955" s="404"/>
      <c r="Q955" s="404"/>
      <c r="R955" s="404"/>
      <c r="S955" s="404"/>
      <c r="T955" s="404"/>
      <c r="U955" s="404"/>
      <c r="V955" s="404"/>
      <c r="W955" s="404"/>
      <c r="X955" s="404"/>
      <c r="Y955" s="404"/>
      <c r="Z955" s="404"/>
    </row>
    <row r="956">
      <c r="A956" s="404"/>
      <c r="B956" s="404"/>
      <c r="C956" s="404"/>
      <c r="D956" s="404"/>
      <c r="E956" s="404"/>
      <c r="F956" s="404"/>
      <c r="G956" s="404"/>
      <c r="H956" s="404"/>
      <c r="I956" s="404"/>
      <c r="J956" s="404"/>
      <c r="K956" s="404"/>
      <c r="L956" s="404"/>
      <c r="M956" s="404"/>
      <c r="N956" s="404"/>
      <c r="O956" s="404"/>
      <c r="P956" s="404"/>
      <c r="Q956" s="404"/>
      <c r="R956" s="404"/>
      <c r="S956" s="404"/>
      <c r="T956" s="404"/>
      <c r="U956" s="404"/>
      <c r="V956" s="404"/>
      <c r="W956" s="404"/>
      <c r="X956" s="404"/>
      <c r="Y956" s="404"/>
      <c r="Z956" s="404"/>
    </row>
    <row r="957">
      <c r="A957" s="404"/>
      <c r="B957" s="404"/>
      <c r="C957" s="404"/>
      <c r="D957" s="404"/>
      <c r="E957" s="404"/>
      <c r="F957" s="404"/>
      <c r="G957" s="404"/>
      <c r="H957" s="404"/>
      <c r="I957" s="404"/>
      <c r="J957" s="404"/>
      <c r="K957" s="404"/>
      <c r="L957" s="404"/>
      <c r="M957" s="404"/>
      <c r="N957" s="404"/>
      <c r="O957" s="404"/>
      <c r="P957" s="404"/>
      <c r="Q957" s="404"/>
      <c r="R957" s="404"/>
      <c r="S957" s="404"/>
      <c r="T957" s="404"/>
      <c r="U957" s="404"/>
      <c r="V957" s="404"/>
      <c r="W957" s="404"/>
      <c r="X957" s="404"/>
      <c r="Y957" s="404"/>
      <c r="Z957" s="404"/>
    </row>
    <row r="958">
      <c r="A958" s="404"/>
      <c r="B958" s="404"/>
      <c r="C958" s="404"/>
      <c r="D958" s="404"/>
      <c r="E958" s="404"/>
      <c r="F958" s="404"/>
      <c r="G958" s="404"/>
      <c r="H958" s="404"/>
      <c r="I958" s="404"/>
      <c r="J958" s="404"/>
      <c r="K958" s="404"/>
      <c r="L958" s="404"/>
      <c r="M958" s="404"/>
      <c r="N958" s="404"/>
      <c r="O958" s="404"/>
      <c r="P958" s="404"/>
      <c r="Q958" s="404"/>
      <c r="R958" s="404"/>
      <c r="S958" s="404"/>
      <c r="T958" s="404"/>
      <c r="U958" s="404"/>
      <c r="V958" s="404"/>
      <c r="W958" s="404"/>
      <c r="X958" s="404"/>
      <c r="Y958" s="404"/>
      <c r="Z958" s="404"/>
    </row>
    <row r="959">
      <c r="A959" s="404"/>
      <c r="B959" s="404"/>
      <c r="C959" s="404"/>
      <c r="D959" s="404"/>
      <c r="E959" s="404"/>
      <c r="F959" s="404"/>
      <c r="G959" s="404"/>
      <c r="H959" s="404"/>
      <c r="I959" s="404"/>
      <c r="J959" s="404"/>
      <c r="K959" s="404"/>
      <c r="L959" s="404"/>
      <c r="M959" s="404"/>
      <c r="N959" s="404"/>
      <c r="O959" s="404"/>
      <c r="P959" s="404"/>
      <c r="Q959" s="404"/>
      <c r="R959" s="404"/>
      <c r="S959" s="404"/>
      <c r="T959" s="404"/>
      <c r="U959" s="404"/>
      <c r="V959" s="404"/>
      <c r="W959" s="404"/>
      <c r="X959" s="404"/>
      <c r="Y959" s="404"/>
      <c r="Z959" s="404"/>
    </row>
    <row r="960">
      <c r="A960" s="404"/>
      <c r="B960" s="404"/>
      <c r="C960" s="404"/>
      <c r="D960" s="404"/>
      <c r="E960" s="404"/>
      <c r="F960" s="404"/>
      <c r="G960" s="404"/>
      <c r="H960" s="404"/>
      <c r="I960" s="404"/>
      <c r="J960" s="404"/>
      <c r="K960" s="404"/>
      <c r="L960" s="404"/>
      <c r="M960" s="404"/>
      <c r="N960" s="404"/>
      <c r="O960" s="404"/>
      <c r="P960" s="404"/>
      <c r="Q960" s="404"/>
      <c r="R960" s="404"/>
      <c r="S960" s="404"/>
      <c r="T960" s="404"/>
      <c r="U960" s="404"/>
      <c r="V960" s="404"/>
      <c r="W960" s="404"/>
      <c r="X960" s="404"/>
      <c r="Y960" s="404"/>
      <c r="Z960" s="404"/>
    </row>
    <row r="961">
      <c r="A961" s="404"/>
      <c r="B961" s="404"/>
      <c r="C961" s="404"/>
      <c r="D961" s="404"/>
      <c r="E961" s="404"/>
      <c r="F961" s="404"/>
      <c r="G961" s="404"/>
      <c r="H961" s="404"/>
      <c r="I961" s="404"/>
      <c r="J961" s="404"/>
      <c r="K961" s="404"/>
      <c r="L961" s="404"/>
      <c r="M961" s="404"/>
      <c r="N961" s="404"/>
      <c r="O961" s="404"/>
      <c r="P961" s="404"/>
      <c r="Q961" s="404"/>
      <c r="R961" s="404"/>
      <c r="S961" s="404"/>
      <c r="T961" s="404"/>
      <c r="U961" s="404"/>
      <c r="V961" s="404"/>
      <c r="W961" s="404"/>
      <c r="X961" s="404"/>
      <c r="Y961" s="404"/>
      <c r="Z961" s="404"/>
    </row>
    <row r="962">
      <c r="A962" s="404"/>
      <c r="B962" s="404"/>
      <c r="C962" s="404"/>
      <c r="D962" s="404"/>
      <c r="E962" s="404"/>
      <c r="F962" s="404"/>
      <c r="G962" s="404"/>
      <c r="H962" s="404"/>
      <c r="I962" s="404"/>
      <c r="J962" s="404"/>
      <c r="K962" s="404"/>
      <c r="L962" s="404"/>
      <c r="M962" s="404"/>
      <c r="N962" s="404"/>
      <c r="O962" s="404"/>
      <c r="P962" s="404"/>
      <c r="Q962" s="404"/>
      <c r="R962" s="404"/>
      <c r="S962" s="404"/>
      <c r="T962" s="404"/>
      <c r="U962" s="404"/>
      <c r="V962" s="404"/>
      <c r="W962" s="404"/>
      <c r="X962" s="404"/>
      <c r="Y962" s="404"/>
      <c r="Z962" s="404"/>
    </row>
    <row r="963">
      <c r="A963" s="404"/>
      <c r="B963" s="404"/>
      <c r="C963" s="404"/>
      <c r="D963" s="404"/>
      <c r="E963" s="404"/>
      <c r="F963" s="404"/>
      <c r="G963" s="404"/>
      <c r="H963" s="404"/>
      <c r="I963" s="404"/>
      <c r="J963" s="404"/>
      <c r="K963" s="404"/>
      <c r="L963" s="404"/>
      <c r="M963" s="404"/>
      <c r="N963" s="404"/>
      <c r="O963" s="404"/>
      <c r="P963" s="404"/>
      <c r="Q963" s="404"/>
      <c r="R963" s="404"/>
      <c r="S963" s="404"/>
      <c r="T963" s="404"/>
      <c r="U963" s="404"/>
      <c r="V963" s="404"/>
      <c r="W963" s="404"/>
      <c r="X963" s="404"/>
      <c r="Y963" s="404"/>
      <c r="Z963" s="404"/>
    </row>
    <row r="964">
      <c r="A964" s="404"/>
      <c r="B964" s="404"/>
      <c r="C964" s="404"/>
      <c r="D964" s="404"/>
      <c r="E964" s="404"/>
      <c r="F964" s="404"/>
      <c r="G964" s="404"/>
      <c r="H964" s="404"/>
      <c r="I964" s="404"/>
      <c r="J964" s="404"/>
      <c r="K964" s="404"/>
      <c r="L964" s="404"/>
      <c r="M964" s="404"/>
      <c r="N964" s="404"/>
      <c r="O964" s="404"/>
      <c r="P964" s="404"/>
      <c r="Q964" s="404"/>
      <c r="R964" s="404"/>
      <c r="S964" s="404"/>
      <c r="T964" s="404"/>
      <c r="U964" s="404"/>
      <c r="V964" s="404"/>
      <c r="W964" s="404"/>
      <c r="X964" s="404"/>
      <c r="Y964" s="404"/>
      <c r="Z964" s="404"/>
    </row>
    <row r="965">
      <c r="A965" s="404"/>
      <c r="B965" s="404"/>
      <c r="C965" s="404"/>
      <c r="D965" s="404"/>
      <c r="E965" s="404"/>
      <c r="F965" s="404"/>
      <c r="G965" s="404"/>
      <c r="H965" s="404"/>
      <c r="I965" s="404"/>
      <c r="J965" s="404"/>
      <c r="K965" s="404"/>
      <c r="L965" s="404"/>
      <c r="M965" s="404"/>
      <c r="N965" s="404"/>
      <c r="O965" s="404"/>
      <c r="P965" s="404"/>
      <c r="Q965" s="404"/>
      <c r="R965" s="404"/>
      <c r="S965" s="404"/>
      <c r="T965" s="404"/>
      <c r="U965" s="404"/>
      <c r="V965" s="404"/>
      <c r="W965" s="404"/>
      <c r="X965" s="404"/>
      <c r="Y965" s="404"/>
      <c r="Z965" s="404"/>
    </row>
    <row r="966">
      <c r="A966" s="404"/>
      <c r="B966" s="404"/>
      <c r="C966" s="404"/>
      <c r="D966" s="404"/>
      <c r="E966" s="404"/>
      <c r="F966" s="404"/>
      <c r="G966" s="404"/>
      <c r="H966" s="404"/>
      <c r="I966" s="404"/>
      <c r="J966" s="404"/>
      <c r="K966" s="404"/>
      <c r="L966" s="404"/>
      <c r="M966" s="404"/>
      <c r="N966" s="404"/>
      <c r="O966" s="404"/>
      <c r="P966" s="404"/>
      <c r="Q966" s="404"/>
      <c r="R966" s="404"/>
      <c r="S966" s="404"/>
      <c r="T966" s="404"/>
      <c r="U966" s="404"/>
      <c r="V966" s="404"/>
      <c r="W966" s="404"/>
      <c r="X966" s="404"/>
      <c r="Y966" s="404"/>
      <c r="Z966" s="404"/>
    </row>
    <row r="967">
      <c r="A967" s="404"/>
      <c r="B967" s="404"/>
      <c r="C967" s="404"/>
      <c r="D967" s="404"/>
      <c r="E967" s="404"/>
      <c r="F967" s="404"/>
      <c r="G967" s="404"/>
      <c r="H967" s="404"/>
      <c r="I967" s="404"/>
      <c r="J967" s="404"/>
      <c r="K967" s="404"/>
      <c r="L967" s="404"/>
      <c r="M967" s="404"/>
      <c r="N967" s="404"/>
      <c r="O967" s="404"/>
      <c r="P967" s="404"/>
      <c r="Q967" s="404"/>
      <c r="R967" s="404"/>
      <c r="S967" s="404"/>
      <c r="T967" s="404"/>
      <c r="U967" s="404"/>
      <c r="V967" s="404"/>
      <c r="W967" s="404"/>
      <c r="X967" s="404"/>
      <c r="Y967" s="404"/>
      <c r="Z967" s="404"/>
    </row>
    <row r="968">
      <c r="A968" s="404"/>
      <c r="B968" s="404"/>
      <c r="C968" s="404"/>
      <c r="D968" s="404"/>
      <c r="E968" s="404"/>
      <c r="F968" s="404"/>
      <c r="G968" s="404"/>
      <c r="H968" s="404"/>
      <c r="I968" s="404"/>
      <c r="J968" s="404"/>
      <c r="K968" s="404"/>
      <c r="L968" s="404"/>
      <c r="M968" s="404"/>
      <c r="N968" s="404"/>
      <c r="O968" s="404"/>
      <c r="P968" s="404"/>
      <c r="Q968" s="404"/>
      <c r="R968" s="404"/>
      <c r="S968" s="404"/>
      <c r="T968" s="404"/>
      <c r="U968" s="404"/>
      <c r="V968" s="404"/>
      <c r="W968" s="404"/>
      <c r="X968" s="404"/>
      <c r="Y968" s="404"/>
      <c r="Z968" s="404"/>
    </row>
    <row r="969">
      <c r="A969" s="404"/>
      <c r="B969" s="404"/>
      <c r="C969" s="404"/>
      <c r="D969" s="404"/>
      <c r="E969" s="404"/>
      <c r="F969" s="404"/>
      <c r="G969" s="404"/>
      <c r="H969" s="404"/>
      <c r="I969" s="404"/>
      <c r="J969" s="404"/>
      <c r="K969" s="404"/>
      <c r="L969" s="404"/>
      <c r="M969" s="404"/>
      <c r="N969" s="404"/>
      <c r="O969" s="404"/>
      <c r="P969" s="404"/>
      <c r="Q969" s="404"/>
      <c r="R969" s="404"/>
      <c r="S969" s="404"/>
      <c r="T969" s="404"/>
      <c r="U969" s="404"/>
      <c r="V969" s="404"/>
      <c r="W969" s="404"/>
      <c r="X969" s="404"/>
      <c r="Y969" s="404"/>
      <c r="Z969" s="404"/>
    </row>
    <row r="970">
      <c r="A970" s="404"/>
      <c r="B970" s="404"/>
      <c r="C970" s="404"/>
      <c r="D970" s="404"/>
      <c r="E970" s="404"/>
      <c r="F970" s="404"/>
      <c r="G970" s="404"/>
      <c r="H970" s="404"/>
      <c r="I970" s="404"/>
      <c r="J970" s="404"/>
      <c r="K970" s="404"/>
      <c r="L970" s="404"/>
      <c r="M970" s="404"/>
      <c r="N970" s="404"/>
      <c r="O970" s="404"/>
      <c r="P970" s="404"/>
      <c r="Q970" s="404"/>
      <c r="R970" s="404"/>
      <c r="S970" s="404"/>
      <c r="T970" s="404"/>
      <c r="U970" s="404"/>
      <c r="V970" s="404"/>
      <c r="W970" s="404"/>
      <c r="X970" s="404"/>
      <c r="Y970" s="404"/>
      <c r="Z970" s="404"/>
    </row>
    <row r="971">
      <c r="A971" s="404"/>
      <c r="B971" s="404"/>
      <c r="C971" s="404"/>
      <c r="D971" s="404"/>
      <c r="E971" s="404"/>
      <c r="F971" s="404"/>
      <c r="G971" s="404"/>
      <c r="H971" s="404"/>
      <c r="I971" s="404"/>
      <c r="J971" s="404"/>
      <c r="K971" s="404"/>
      <c r="L971" s="404"/>
      <c r="M971" s="404"/>
      <c r="N971" s="404"/>
      <c r="O971" s="404"/>
      <c r="P971" s="404"/>
      <c r="Q971" s="404"/>
      <c r="R971" s="404"/>
      <c r="S971" s="404"/>
      <c r="T971" s="404"/>
      <c r="U971" s="404"/>
      <c r="V971" s="404"/>
      <c r="W971" s="404"/>
      <c r="X971" s="404"/>
      <c r="Y971" s="404"/>
      <c r="Z971" s="404"/>
    </row>
    <row r="972">
      <c r="A972" s="404"/>
      <c r="B972" s="404"/>
      <c r="C972" s="404"/>
      <c r="D972" s="404"/>
      <c r="E972" s="404"/>
      <c r="F972" s="404"/>
      <c r="G972" s="404"/>
      <c r="H972" s="404"/>
      <c r="I972" s="404"/>
      <c r="J972" s="404"/>
      <c r="K972" s="404"/>
      <c r="L972" s="404"/>
      <c r="M972" s="404"/>
      <c r="N972" s="404"/>
      <c r="O972" s="404"/>
      <c r="P972" s="404"/>
      <c r="Q972" s="404"/>
      <c r="R972" s="404"/>
      <c r="S972" s="404"/>
      <c r="T972" s="404"/>
      <c r="U972" s="404"/>
      <c r="V972" s="404"/>
      <c r="W972" s="404"/>
      <c r="X972" s="404"/>
      <c r="Y972" s="404"/>
      <c r="Z972" s="404"/>
    </row>
    <row r="973">
      <c r="A973" s="404"/>
      <c r="B973" s="404"/>
      <c r="C973" s="404"/>
      <c r="D973" s="404"/>
      <c r="E973" s="404"/>
      <c r="F973" s="404"/>
      <c r="G973" s="404"/>
      <c r="H973" s="404"/>
      <c r="I973" s="404"/>
      <c r="J973" s="404"/>
      <c r="K973" s="404"/>
      <c r="L973" s="404"/>
      <c r="M973" s="404"/>
      <c r="N973" s="404"/>
      <c r="O973" s="404"/>
      <c r="P973" s="404"/>
      <c r="Q973" s="404"/>
      <c r="R973" s="404"/>
      <c r="S973" s="404"/>
      <c r="T973" s="404"/>
      <c r="U973" s="404"/>
      <c r="V973" s="404"/>
      <c r="W973" s="404"/>
      <c r="X973" s="404"/>
      <c r="Y973" s="404"/>
      <c r="Z973" s="404"/>
    </row>
    <row r="974">
      <c r="A974" s="404"/>
      <c r="B974" s="404"/>
      <c r="C974" s="404"/>
      <c r="D974" s="404"/>
      <c r="E974" s="404"/>
      <c r="F974" s="404"/>
      <c r="G974" s="404"/>
      <c r="H974" s="404"/>
      <c r="I974" s="404"/>
      <c r="J974" s="404"/>
      <c r="K974" s="404"/>
      <c r="L974" s="404"/>
      <c r="M974" s="404"/>
      <c r="N974" s="404"/>
      <c r="O974" s="404"/>
      <c r="P974" s="404"/>
      <c r="Q974" s="404"/>
      <c r="R974" s="404"/>
      <c r="S974" s="404"/>
      <c r="T974" s="404"/>
      <c r="U974" s="404"/>
      <c r="V974" s="404"/>
      <c r="W974" s="404"/>
      <c r="X974" s="404"/>
      <c r="Y974" s="404"/>
      <c r="Z974" s="404"/>
    </row>
    <row r="975">
      <c r="A975" s="404"/>
      <c r="B975" s="404"/>
      <c r="C975" s="404"/>
      <c r="D975" s="404"/>
      <c r="E975" s="404"/>
      <c r="F975" s="404"/>
      <c r="G975" s="404"/>
      <c r="H975" s="404"/>
      <c r="I975" s="404"/>
      <c r="J975" s="404"/>
      <c r="K975" s="404"/>
      <c r="L975" s="404"/>
      <c r="M975" s="404"/>
      <c r="N975" s="404"/>
      <c r="O975" s="404"/>
      <c r="P975" s="404"/>
      <c r="Q975" s="404"/>
      <c r="R975" s="404"/>
      <c r="S975" s="404"/>
      <c r="T975" s="404"/>
      <c r="U975" s="404"/>
      <c r="V975" s="404"/>
      <c r="W975" s="404"/>
      <c r="X975" s="404"/>
      <c r="Y975" s="404"/>
      <c r="Z975" s="404"/>
    </row>
    <row r="976">
      <c r="A976" s="404"/>
      <c r="B976" s="404"/>
      <c r="C976" s="404"/>
      <c r="D976" s="404"/>
      <c r="E976" s="404"/>
      <c r="F976" s="404"/>
      <c r="G976" s="404"/>
      <c r="H976" s="404"/>
      <c r="I976" s="404"/>
      <c r="J976" s="404"/>
      <c r="K976" s="404"/>
      <c r="L976" s="404"/>
      <c r="M976" s="404"/>
      <c r="N976" s="404"/>
      <c r="O976" s="404"/>
      <c r="P976" s="404"/>
      <c r="Q976" s="404"/>
      <c r="R976" s="404"/>
      <c r="S976" s="404"/>
      <c r="T976" s="404"/>
      <c r="U976" s="404"/>
      <c r="V976" s="404"/>
      <c r="W976" s="404"/>
      <c r="X976" s="404"/>
      <c r="Y976" s="404"/>
      <c r="Z976" s="404"/>
    </row>
    <row r="977">
      <c r="A977" s="404"/>
      <c r="B977" s="404"/>
      <c r="C977" s="404"/>
      <c r="D977" s="404"/>
      <c r="E977" s="404"/>
      <c r="F977" s="404"/>
      <c r="G977" s="404"/>
      <c r="H977" s="404"/>
      <c r="I977" s="404"/>
      <c r="J977" s="404"/>
      <c r="K977" s="404"/>
      <c r="L977" s="404"/>
      <c r="M977" s="404"/>
      <c r="N977" s="404"/>
      <c r="O977" s="404"/>
      <c r="P977" s="404"/>
      <c r="Q977" s="404"/>
      <c r="R977" s="404"/>
      <c r="S977" s="404"/>
      <c r="T977" s="404"/>
      <c r="U977" s="404"/>
      <c r="V977" s="404"/>
      <c r="W977" s="404"/>
      <c r="X977" s="404"/>
      <c r="Y977" s="404"/>
      <c r="Z977" s="404"/>
    </row>
    <row r="978">
      <c r="A978" s="404"/>
      <c r="B978" s="404"/>
      <c r="C978" s="404"/>
      <c r="D978" s="404"/>
      <c r="E978" s="404"/>
      <c r="F978" s="404"/>
      <c r="G978" s="404"/>
      <c r="H978" s="404"/>
      <c r="I978" s="404"/>
      <c r="J978" s="404"/>
      <c r="K978" s="404"/>
      <c r="L978" s="404"/>
      <c r="M978" s="404"/>
      <c r="N978" s="404"/>
      <c r="O978" s="404"/>
      <c r="P978" s="404"/>
      <c r="Q978" s="404"/>
      <c r="R978" s="404"/>
      <c r="S978" s="404"/>
      <c r="T978" s="404"/>
      <c r="U978" s="404"/>
      <c r="V978" s="404"/>
      <c r="W978" s="404"/>
      <c r="X978" s="404"/>
      <c r="Y978" s="404"/>
      <c r="Z978" s="404"/>
    </row>
    <row r="979">
      <c r="A979" s="404"/>
      <c r="B979" s="404"/>
      <c r="C979" s="404"/>
      <c r="D979" s="404"/>
      <c r="E979" s="404"/>
      <c r="F979" s="404"/>
      <c r="G979" s="404"/>
      <c r="H979" s="404"/>
      <c r="I979" s="404"/>
      <c r="J979" s="404"/>
      <c r="K979" s="404"/>
      <c r="L979" s="404"/>
      <c r="M979" s="404"/>
      <c r="N979" s="404"/>
      <c r="O979" s="404"/>
      <c r="P979" s="404"/>
      <c r="Q979" s="404"/>
      <c r="R979" s="404"/>
      <c r="S979" s="404"/>
      <c r="T979" s="404"/>
      <c r="U979" s="404"/>
      <c r="V979" s="404"/>
      <c r="W979" s="404"/>
      <c r="X979" s="404"/>
      <c r="Y979" s="404"/>
      <c r="Z979" s="404"/>
    </row>
    <row r="980">
      <c r="A980" s="404"/>
      <c r="B980" s="404"/>
      <c r="C980" s="404"/>
      <c r="D980" s="404"/>
      <c r="E980" s="404"/>
      <c r="F980" s="404"/>
      <c r="G980" s="404"/>
      <c r="H980" s="404"/>
      <c r="I980" s="404"/>
      <c r="J980" s="404"/>
      <c r="K980" s="404"/>
      <c r="L980" s="404"/>
      <c r="M980" s="404"/>
      <c r="N980" s="404"/>
      <c r="O980" s="404"/>
      <c r="P980" s="404"/>
      <c r="Q980" s="404"/>
      <c r="R980" s="404"/>
      <c r="S980" s="404"/>
      <c r="T980" s="404"/>
      <c r="U980" s="404"/>
      <c r="V980" s="404"/>
      <c r="W980" s="404"/>
      <c r="X980" s="404"/>
      <c r="Y980" s="404"/>
      <c r="Z980" s="404"/>
    </row>
    <row r="981">
      <c r="A981" s="404"/>
      <c r="B981" s="404"/>
      <c r="C981" s="404"/>
      <c r="D981" s="404"/>
      <c r="E981" s="404"/>
      <c r="F981" s="404"/>
      <c r="G981" s="404"/>
      <c r="H981" s="404"/>
      <c r="I981" s="404"/>
      <c r="J981" s="404"/>
      <c r="K981" s="404"/>
      <c r="L981" s="404"/>
      <c r="M981" s="404"/>
      <c r="N981" s="404"/>
      <c r="O981" s="404"/>
      <c r="P981" s="404"/>
      <c r="Q981" s="404"/>
      <c r="R981" s="404"/>
      <c r="S981" s="404"/>
      <c r="T981" s="404"/>
      <c r="U981" s="404"/>
      <c r="V981" s="404"/>
      <c r="W981" s="404"/>
      <c r="X981" s="404"/>
      <c r="Y981" s="404"/>
      <c r="Z981" s="404"/>
    </row>
    <row r="982">
      <c r="A982" s="404"/>
      <c r="B982" s="404"/>
      <c r="C982" s="404"/>
      <c r="D982" s="404"/>
      <c r="E982" s="404"/>
      <c r="F982" s="404"/>
      <c r="G982" s="404"/>
      <c r="H982" s="404"/>
      <c r="I982" s="404"/>
      <c r="J982" s="404"/>
      <c r="K982" s="404"/>
      <c r="L982" s="404"/>
      <c r="M982" s="404"/>
      <c r="N982" s="404"/>
      <c r="O982" s="404"/>
      <c r="P982" s="404"/>
      <c r="Q982" s="404"/>
      <c r="R982" s="404"/>
      <c r="S982" s="404"/>
      <c r="T982" s="404"/>
      <c r="U982" s="404"/>
      <c r="V982" s="404"/>
      <c r="W982" s="404"/>
      <c r="X982" s="404"/>
      <c r="Y982" s="404"/>
      <c r="Z982" s="404"/>
    </row>
    <row r="983">
      <c r="A983" s="404"/>
      <c r="B983" s="404"/>
      <c r="C983" s="404"/>
      <c r="D983" s="404"/>
      <c r="E983" s="404"/>
      <c r="F983" s="404"/>
      <c r="G983" s="404"/>
      <c r="H983" s="404"/>
      <c r="I983" s="404"/>
      <c r="J983" s="404"/>
      <c r="K983" s="404"/>
      <c r="L983" s="404"/>
      <c r="M983" s="404"/>
      <c r="N983" s="404"/>
      <c r="O983" s="404"/>
      <c r="P983" s="404"/>
      <c r="Q983" s="404"/>
      <c r="R983" s="404"/>
      <c r="S983" s="404"/>
      <c r="T983" s="404"/>
      <c r="U983" s="404"/>
      <c r="V983" s="404"/>
      <c r="W983" s="404"/>
      <c r="X983" s="404"/>
      <c r="Y983" s="404"/>
      <c r="Z983" s="404"/>
    </row>
    <row r="984">
      <c r="A984" s="404"/>
      <c r="B984" s="404"/>
      <c r="C984" s="404"/>
      <c r="D984" s="404"/>
      <c r="E984" s="404"/>
      <c r="F984" s="404"/>
      <c r="G984" s="404"/>
      <c r="H984" s="404"/>
      <c r="I984" s="404"/>
      <c r="J984" s="404"/>
      <c r="K984" s="404"/>
      <c r="L984" s="404"/>
      <c r="M984" s="404"/>
      <c r="N984" s="404"/>
      <c r="O984" s="404"/>
      <c r="P984" s="404"/>
      <c r="Q984" s="404"/>
      <c r="R984" s="404"/>
      <c r="S984" s="404"/>
      <c r="T984" s="404"/>
      <c r="U984" s="404"/>
      <c r="V984" s="404"/>
      <c r="W984" s="404"/>
      <c r="X984" s="404"/>
      <c r="Y984" s="404"/>
      <c r="Z984" s="404"/>
    </row>
    <row r="985">
      <c r="A985" s="404"/>
      <c r="B985" s="404"/>
      <c r="C985" s="404"/>
      <c r="D985" s="404"/>
      <c r="E985" s="404"/>
      <c r="F985" s="404"/>
      <c r="G985" s="404"/>
      <c r="H985" s="404"/>
      <c r="I985" s="404"/>
      <c r="J985" s="404"/>
      <c r="K985" s="404"/>
      <c r="L985" s="404"/>
      <c r="M985" s="404"/>
      <c r="N985" s="404"/>
      <c r="O985" s="404"/>
      <c r="P985" s="404"/>
      <c r="Q985" s="404"/>
      <c r="R985" s="404"/>
      <c r="S985" s="404"/>
      <c r="T985" s="404"/>
      <c r="U985" s="404"/>
      <c r="V985" s="404"/>
      <c r="W985" s="404"/>
      <c r="X985" s="404"/>
      <c r="Y985" s="404"/>
      <c r="Z985" s="404"/>
    </row>
    <row r="986">
      <c r="A986" s="404"/>
      <c r="B986" s="404"/>
      <c r="C986" s="404"/>
      <c r="D986" s="404"/>
      <c r="E986" s="404"/>
      <c r="F986" s="404"/>
      <c r="G986" s="404"/>
      <c r="H986" s="404"/>
      <c r="I986" s="404"/>
      <c r="J986" s="404"/>
      <c r="K986" s="404"/>
      <c r="L986" s="404"/>
      <c r="M986" s="404"/>
      <c r="N986" s="404"/>
      <c r="O986" s="404"/>
      <c r="P986" s="404"/>
      <c r="Q986" s="404"/>
      <c r="R986" s="404"/>
      <c r="S986" s="404"/>
      <c r="T986" s="404"/>
      <c r="U986" s="404"/>
      <c r="V986" s="404"/>
      <c r="W986" s="404"/>
      <c r="X986" s="404"/>
      <c r="Y986" s="404"/>
      <c r="Z986" s="404"/>
    </row>
    <row r="987">
      <c r="A987" s="404"/>
      <c r="B987" s="404"/>
      <c r="C987" s="404"/>
      <c r="D987" s="404"/>
      <c r="E987" s="404"/>
      <c r="F987" s="404"/>
      <c r="G987" s="404"/>
      <c r="H987" s="404"/>
      <c r="I987" s="404"/>
      <c r="J987" s="404"/>
      <c r="K987" s="404"/>
      <c r="L987" s="404"/>
      <c r="M987" s="404"/>
      <c r="N987" s="404"/>
      <c r="O987" s="404"/>
      <c r="P987" s="404"/>
      <c r="Q987" s="404"/>
      <c r="R987" s="404"/>
      <c r="S987" s="404"/>
      <c r="T987" s="404"/>
      <c r="U987" s="404"/>
      <c r="V987" s="404"/>
      <c r="W987" s="404"/>
      <c r="X987" s="404"/>
      <c r="Y987" s="404"/>
      <c r="Z987" s="404"/>
    </row>
    <row r="988">
      <c r="A988" s="404"/>
      <c r="B988" s="404"/>
      <c r="C988" s="404"/>
      <c r="D988" s="404"/>
      <c r="E988" s="404"/>
      <c r="F988" s="404"/>
      <c r="G988" s="404"/>
      <c r="H988" s="404"/>
      <c r="I988" s="404"/>
      <c r="J988" s="404"/>
      <c r="K988" s="404"/>
      <c r="L988" s="404"/>
      <c r="M988" s="404"/>
      <c r="N988" s="404"/>
      <c r="O988" s="404"/>
      <c r="P988" s="404"/>
      <c r="Q988" s="404"/>
      <c r="R988" s="404"/>
      <c r="S988" s="404"/>
      <c r="T988" s="404"/>
      <c r="U988" s="404"/>
      <c r="V988" s="404"/>
      <c r="W988" s="404"/>
      <c r="X988" s="404"/>
      <c r="Y988" s="404"/>
      <c r="Z988" s="404"/>
    </row>
    <row r="989">
      <c r="A989" s="404"/>
      <c r="B989" s="404"/>
      <c r="C989" s="404"/>
      <c r="D989" s="404"/>
      <c r="E989" s="404"/>
      <c r="F989" s="404"/>
      <c r="G989" s="404"/>
      <c r="H989" s="404"/>
      <c r="I989" s="404"/>
      <c r="J989" s="404"/>
      <c r="K989" s="404"/>
      <c r="L989" s="404"/>
      <c r="M989" s="404"/>
      <c r="N989" s="404"/>
      <c r="O989" s="404"/>
      <c r="P989" s="404"/>
      <c r="Q989" s="404"/>
      <c r="R989" s="404"/>
      <c r="S989" s="404"/>
      <c r="T989" s="404"/>
      <c r="U989" s="404"/>
      <c r="V989" s="404"/>
      <c r="W989" s="404"/>
      <c r="X989" s="404"/>
      <c r="Y989" s="404"/>
      <c r="Z989" s="404"/>
    </row>
    <row r="990">
      <c r="A990" s="404"/>
      <c r="B990" s="404"/>
      <c r="C990" s="404"/>
      <c r="D990" s="404"/>
      <c r="E990" s="404"/>
      <c r="F990" s="404"/>
      <c r="G990" s="404"/>
      <c r="H990" s="404"/>
      <c r="I990" s="404"/>
      <c r="J990" s="404"/>
      <c r="K990" s="404"/>
      <c r="L990" s="404"/>
      <c r="M990" s="404"/>
      <c r="N990" s="404"/>
      <c r="O990" s="404"/>
      <c r="P990" s="404"/>
      <c r="Q990" s="404"/>
      <c r="R990" s="404"/>
      <c r="S990" s="404"/>
      <c r="T990" s="404"/>
      <c r="U990" s="404"/>
      <c r="V990" s="404"/>
      <c r="W990" s="404"/>
      <c r="X990" s="404"/>
      <c r="Y990" s="404"/>
      <c r="Z990" s="404"/>
    </row>
    <row r="991">
      <c r="A991" s="404"/>
      <c r="B991" s="404"/>
      <c r="C991" s="404"/>
      <c r="D991" s="404"/>
      <c r="E991" s="404"/>
      <c r="F991" s="404"/>
      <c r="G991" s="404"/>
      <c r="H991" s="404"/>
      <c r="I991" s="404"/>
      <c r="J991" s="404"/>
      <c r="K991" s="404"/>
      <c r="L991" s="404"/>
      <c r="M991" s="404"/>
      <c r="N991" s="404"/>
      <c r="O991" s="404"/>
      <c r="P991" s="404"/>
      <c r="Q991" s="404"/>
      <c r="R991" s="404"/>
      <c r="S991" s="404"/>
      <c r="T991" s="404"/>
      <c r="U991" s="404"/>
      <c r="V991" s="404"/>
      <c r="W991" s="404"/>
      <c r="X991" s="404"/>
      <c r="Y991" s="404"/>
      <c r="Z991" s="404"/>
    </row>
    <row r="992">
      <c r="A992" s="404"/>
      <c r="B992" s="404"/>
      <c r="C992" s="404"/>
      <c r="D992" s="404"/>
      <c r="E992" s="404"/>
      <c r="F992" s="404"/>
      <c r="G992" s="404"/>
      <c r="H992" s="404"/>
      <c r="I992" s="404"/>
      <c r="J992" s="404"/>
      <c r="K992" s="404"/>
      <c r="L992" s="404"/>
      <c r="M992" s="404"/>
      <c r="N992" s="404"/>
      <c r="O992" s="404"/>
      <c r="P992" s="404"/>
      <c r="Q992" s="404"/>
      <c r="R992" s="404"/>
      <c r="S992" s="404"/>
      <c r="T992" s="404"/>
      <c r="U992" s="404"/>
      <c r="V992" s="404"/>
      <c r="W992" s="404"/>
      <c r="X992" s="404"/>
      <c r="Y992" s="404"/>
      <c r="Z992" s="404"/>
    </row>
    <row r="993">
      <c r="A993" s="404"/>
      <c r="B993" s="404"/>
      <c r="C993" s="404"/>
      <c r="D993" s="404"/>
      <c r="E993" s="404"/>
      <c r="F993" s="404"/>
      <c r="G993" s="404"/>
      <c r="H993" s="404"/>
      <c r="I993" s="404"/>
      <c r="J993" s="404"/>
      <c r="K993" s="404"/>
      <c r="L993" s="404"/>
      <c r="M993" s="404"/>
      <c r="N993" s="404"/>
      <c r="O993" s="404"/>
      <c r="P993" s="404"/>
      <c r="Q993" s="404"/>
      <c r="R993" s="404"/>
      <c r="S993" s="404"/>
      <c r="T993" s="404"/>
      <c r="U993" s="404"/>
      <c r="V993" s="404"/>
      <c r="W993" s="404"/>
      <c r="X993" s="404"/>
      <c r="Y993" s="404"/>
      <c r="Z993" s="404"/>
    </row>
    <row r="994">
      <c r="A994" s="404"/>
      <c r="B994" s="404"/>
      <c r="C994" s="404"/>
      <c r="D994" s="404"/>
      <c r="E994" s="404"/>
      <c r="F994" s="404"/>
      <c r="G994" s="404"/>
      <c r="H994" s="404"/>
      <c r="I994" s="404"/>
      <c r="J994" s="404"/>
      <c r="K994" s="404"/>
      <c r="L994" s="404"/>
      <c r="M994" s="404"/>
      <c r="N994" s="404"/>
      <c r="O994" s="404"/>
      <c r="P994" s="404"/>
      <c r="Q994" s="404"/>
      <c r="R994" s="404"/>
      <c r="S994" s="404"/>
      <c r="T994" s="404"/>
      <c r="U994" s="404"/>
      <c r="V994" s="404"/>
      <c r="W994" s="404"/>
      <c r="X994" s="404"/>
      <c r="Y994" s="404"/>
      <c r="Z994" s="404"/>
    </row>
    <row r="995">
      <c r="A995" s="404"/>
      <c r="B995" s="404"/>
      <c r="C995" s="404"/>
      <c r="D995" s="404"/>
      <c r="E995" s="404"/>
      <c r="F995" s="404"/>
      <c r="G995" s="404"/>
      <c r="H995" s="404"/>
      <c r="I995" s="404"/>
      <c r="J995" s="404"/>
      <c r="K995" s="404"/>
      <c r="L995" s="404"/>
      <c r="M995" s="404"/>
      <c r="N995" s="404"/>
      <c r="O995" s="404"/>
      <c r="P995" s="404"/>
      <c r="Q995" s="404"/>
      <c r="R995" s="404"/>
      <c r="S995" s="404"/>
      <c r="T995" s="404"/>
      <c r="U995" s="404"/>
      <c r="V995" s="404"/>
      <c r="W995" s="404"/>
      <c r="X995" s="404"/>
      <c r="Y995" s="404"/>
      <c r="Z995" s="404"/>
    </row>
    <row r="996">
      <c r="A996" s="404"/>
      <c r="B996" s="404"/>
      <c r="C996" s="404"/>
      <c r="D996" s="404"/>
      <c r="E996" s="404"/>
      <c r="F996" s="404"/>
      <c r="G996" s="404"/>
      <c r="H996" s="404"/>
      <c r="I996" s="404"/>
      <c r="J996" s="404"/>
      <c r="K996" s="404"/>
      <c r="L996" s="404"/>
      <c r="M996" s="404"/>
      <c r="N996" s="404"/>
      <c r="O996" s="404"/>
      <c r="P996" s="404"/>
      <c r="Q996" s="404"/>
      <c r="R996" s="404"/>
      <c r="S996" s="404"/>
      <c r="T996" s="404"/>
      <c r="U996" s="404"/>
      <c r="V996" s="404"/>
      <c r="W996" s="404"/>
      <c r="X996" s="404"/>
      <c r="Y996" s="404"/>
      <c r="Z996" s="404"/>
    </row>
    <row r="997">
      <c r="A997" s="404"/>
      <c r="B997" s="404"/>
      <c r="C997" s="404"/>
      <c r="D997" s="404"/>
      <c r="E997" s="404"/>
      <c r="F997" s="404"/>
      <c r="G997" s="404"/>
      <c r="H997" s="404"/>
      <c r="I997" s="404"/>
      <c r="J997" s="404"/>
      <c r="K997" s="404"/>
      <c r="L997" s="404"/>
      <c r="M997" s="404"/>
      <c r="N997" s="404"/>
      <c r="O997" s="404"/>
      <c r="P997" s="404"/>
      <c r="Q997" s="404"/>
      <c r="R997" s="404"/>
      <c r="S997" s="404"/>
      <c r="T997" s="404"/>
      <c r="U997" s="404"/>
      <c r="V997" s="404"/>
      <c r="W997" s="404"/>
      <c r="X997" s="404"/>
      <c r="Y997" s="404"/>
      <c r="Z997" s="404"/>
    </row>
    <row r="998">
      <c r="A998" s="404"/>
      <c r="B998" s="404"/>
      <c r="C998" s="404"/>
      <c r="D998" s="404"/>
      <c r="E998" s="404"/>
      <c r="F998" s="404"/>
      <c r="G998" s="404"/>
      <c r="H998" s="404"/>
      <c r="I998" s="404"/>
      <c r="J998" s="404"/>
      <c r="K998" s="404"/>
      <c r="L998" s="404"/>
      <c r="M998" s="404"/>
      <c r="N998" s="404"/>
      <c r="O998" s="404"/>
      <c r="P998" s="404"/>
      <c r="Q998" s="404"/>
      <c r="R998" s="404"/>
      <c r="S998" s="404"/>
      <c r="T998" s="404"/>
      <c r="U998" s="404"/>
      <c r="V998" s="404"/>
      <c r="W998" s="404"/>
      <c r="X998" s="404"/>
      <c r="Y998" s="404"/>
      <c r="Z998" s="404"/>
    </row>
    <row r="999">
      <c r="A999" s="404"/>
      <c r="B999" s="404"/>
      <c r="C999" s="404"/>
      <c r="D999" s="404"/>
      <c r="E999" s="404"/>
      <c r="F999" s="404"/>
      <c r="G999" s="404"/>
      <c r="H999" s="404"/>
      <c r="I999" s="404"/>
      <c r="J999" s="404"/>
      <c r="K999" s="404"/>
      <c r="L999" s="404"/>
      <c r="M999" s="404"/>
      <c r="N999" s="404"/>
      <c r="O999" s="404"/>
      <c r="P999" s="404"/>
      <c r="Q999" s="404"/>
      <c r="R999" s="404"/>
      <c r="S999" s="404"/>
      <c r="T999" s="404"/>
      <c r="U999" s="404"/>
      <c r="V999" s="404"/>
      <c r="W999" s="404"/>
      <c r="X999" s="404"/>
      <c r="Y999" s="404"/>
      <c r="Z999" s="404"/>
    </row>
    <row r="1000">
      <c r="A1000" s="404"/>
      <c r="B1000" s="404"/>
      <c r="C1000" s="404"/>
      <c r="D1000" s="404"/>
      <c r="E1000" s="404"/>
      <c r="F1000" s="404"/>
      <c r="G1000" s="404"/>
      <c r="H1000" s="404"/>
      <c r="I1000" s="404"/>
      <c r="J1000" s="404"/>
      <c r="K1000" s="404"/>
      <c r="L1000" s="404"/>
      <c r="M1000" s="404"/>
      <c r="N1000" s="404"/>
      <c r="O1000" s="404"/>
      <c r="P1000" s="404"/>
      <c r="Q1000" s="404"/>
      <c r="R1000" s="404"/>
      <c r="S1000" s="404"/>
      <c r="T1000" s="404"/>
      <c r="U1000" s="404"/>
      <c r="V1000" s="404"/>
      <c r="W1000" s="404"/>
      <c r="X1000" s="404"/>
      <c r="Y1000" s="404"/>
      <c r="Z1000" s="404"/>
    </row>
    <row r="1001">
      <c r="A1001" s="404"/>
      <c r="B1001" s="404"/>
      <c r="C1001" s="404"/>
      <c r="D1001" s="404"/>
      <c r="E1001" s="404"/>
      <c r="F1001" s="404"/>
      <c r="G1001" s="404"/>
      <c r="H1001" s="404"/>
      <c r="I1001" s="404"/>
      <c r="J1001" s="404"/>
      <c r="K1001" s="404"/>
      <c r="L1001" s="404"/>
      <c r="M1001" s="404"/>
      <c r="N1001" s="404"/>
      <c r="O1001" s="404"/>
      <c r="P1001" s="404"/>
      <c r="Q1001" s="404"/>
      <c r="R1001" s="404"/>
      <c r="S1001" s="404"/>
      <c r="T1001" s="404"/>
      <c r="U1001" s="404"/>
      <c r="V1001" s="404"/>
      <c r="W1001" s="404"/>
      <c r="X1001" s="404"/>
      <c r="Y1001" s="404"/>
      <c r="Z1001" s="404"/>
    </row>
    <row r="1002">
      <c r="A1002" s="404"/>
      <c r="B1002" s="404"/>
      <c r="C1002" s="404"/>
      <c r="D1002" s="404"/>
      <c r="E1002" s="404"/>
      <c r="F1002" s="404"/>
      <c r="G1002" s="404"/>
      <c r="H1002" s="404"/>
      <c r="I1002" s="404"/>
      <c r="J1002" s="404"/>
      <c r="K1002" s="404"/>
      <c r="L1002" s="404"/>
      <c r="M1002" s="404"/>
      <c r="N1002" s="404"/>
      <c r="O1002" s="404"/>
      <c r="P1002" s="404"/>
      <c r="Q1002" s="404"/>
      <c r="R1002" s="404"/>
      <c r="S1002" s="404"/>
      <c r="T1002" s="404"/>
      <c r="U1002" s="404"/>
      <c r="V1002" s="404"/>
      <c r="W1002" s="404"/>
      <c r="X1002" s="404"/>
      <c r="Y1002" s="404"/>
      <c r="Z1002" s="404"/>
    </row>
    <row r="1003">
      <c r="A1003" s="404"/>
      <c r="B1003" s="404"/>
      <c r="C1003" s="404"/>
      <c r="D1003" s="404"/>
      <c r="E1003" s="404"/>
      <c r="F1003" s="404"/>
      <c r="G1003" s="404"/>
      <c r="H1003" s="404"/>
      <c r="I1003" s="404"/>
      <c r="J1003" s="404"/>
      <c r="K1003" s="404"/>
      <c r="L1003" s="404"/>
      <c r="M1003" s="404"/>
      <c r="N1003" s="404"/>
      <c r="O1003" s="404"/>
      <c r="P1003" s="404"/>
      <c r="Q1003" s="404"/>
      <c r="R1003" s="404"/>
      <c r="S1003" s="404"/>
      <c r="T1003" s="404"/>
      <c r="U1003" s="404"/>
      <c r="V1003" s="404"/>
      <c r="W1003" s="404"/>
      <c r="X1003" s="404"/>
      <c r="Y1003" s="404"/>
      <c r="Z1003" s="404"/>
    </row>
  </sheetData>
  <mergeCells count="13">
    <mergeCell ref="L21:S21"/>
    <mergeCell ref="A22:E22"/>
    <mergeCell ref="L22:R22"/>
    <mergeCell ref="A65:E65"/>
    <mergeCell ref="A115:E115"/>
    <mergeCell ref="A127:E127"/>
    <mergeCell ref="G13:L13"/>
    <mergeCell ref="L15:R15"/>
    <mergeCell ref="L16:T16"/>
    <mergeCell ref="L17:R17"/>
    <mergeCell ref="L18:T18"/>
    <mergeCell ref="L19:P19"/>
    <mergeCell ref="L20:R20"/>
  </mergeCells>
  <hyperlinks>
    <hyperlink r:id="rId2" ref="B3"/>
    <hyperlink r:id="rId3" ref="I3"/>
    <hyperlink r:id="rId4" ref="B4"/>
    <hyperlink r:id="rId5" ref="I4"/>
    <hyperlink r:id="rId6" ref="B5"/>
    <hyperlink r:id="rId7" ref="I5"/>
    <hyperlink r:id="rId8" ref="B6"/>
    <hyperlink r:id="rId9" ref="I6"/>
    <hyperlink r:id="rId10" ref="B7"/>
    <hyperlink r:id="rId11" ref="I7"/>
    <hyperlink r:id="rId12" ref="B8"/>
    <hyperlink r:id="rId13" ref="G8"/>
    <hyperlink r:id="rId14" ref="B9"/>
    <hyperlink r:id="rId15" ref="B10"/>
    <hyperlink r:id="rId16" ref="G10"/>
    <hyperlink r:id="rId17" ref="B11"/>
    <hyperlink r:id="rId18" ref="B12"/>
    <hyperlink r:id="rId19" ref="B13"/>
    <hyperlink r:id="rId20" ref="C13"/>
    <hyperlink r:id="rId21" ref="B14"/>
    <hyperlink r:id="rId22" ref="C14"/>
    <hyperlink r:id="rId23" ref="B15"/>
    <hyperlink r:id="rId24" ref="I15"/>
    <hyperlink r:id="rId25" ref="B16"/>
    <hyperlink r:id="rId26" ref="C16"/>
    <hyperlink r:id="rId27" ref="I16"/>
    <hyperlink r:id="rId28" ref="B17"/>
    <hyperlink r:id="rId29" ref="I17"/>
    <hyperlink r:id="rId30" ref="B18"/>
    <hyperlink r:id="rId31" ref="C18"/>
    <hyperlink r:id="rId32" ref="I18"/>
    <hyperlink r:id="rId33" ref="B19"/>
    <hyperlink r:id="rId34" ref="I19"/>
    <hyperlink r:id="rId35" ref="B20"/>
    <hyperlink r:id="rId36" ref="I20"/>
    <hyperlink r:id="rId37" ref="I21"/>
    <hyperlink r:id="rId38" ref="I22"/>
    <hyperlink r:id="rId39" ref="B24"/>
    <hyperlink r:id="rId40" ref="C24"/>
    <hyperlink r:id="rId41" ref="B25"/>
    <hyperlink r:id="rId42" ref="C25"/>
    <hyperlink r:id="rId43" ref="B26"/>
    <hyperlink r:id="rId44" ref="C26"/>
    <hyperlink r:id="rId45" ref="B27"/>
    <hyperlink r:id="rId46" ref="B28"/>
    <hyperlink r:id="rId47" ref="B29"/>
    <hyperlink r:id="rId48" ref="B30"/>
    <hyperlink r:id="rId49" ref="C30"/>
    <hyperlink r:id="rId50" ref="B31"/>
    <hyperlink r:id="rId51" ref="B32"/>
    <hyperlink r:id="rId52" ref="B33"/>
    <hyperlink r:id="rId53" ref="B34"/>
    <hyperlink r:id="rId54" ref="B35"/>
    <hyperlink r:id="rId55" ref="B36"/>
    <hyperlink r:id="rId56" ref="B37"/>
    <hyperlink r:id="rId57" ref="B38"/>
    <hyperlink r:id="rId58" ref="B39"/>
    <hyperlink r:id="rId59" ref="B40"/>
    <hyperlink r:id="rId60" ref="B41"/>
    <hyperlink r:id="rId61" ref="B42"/>
    <hyperlink r:id="rId62" ref="B43"/>
    <hyperlink r:id="rId63" ref="B44"/>
    <hyperlink r:id="rId64" ref="B45"/>
    <hyperlink r:id="rId65" ref="B47"/>
    <hyperlink r:id="rId66" ref="B48"/>
    <hyperlink r:id="rId67" ref="B49"/>
    <hyperlink r:id="rId68" ref="B50"/>
    <hyperlink r:id="rId69" ref="B51"/>
    <hyperlink r:id="rId70" ref="A57"/>
    <hyperlink r:id="rId71" ref="B67"/>
    <hyperlink r:id="rId72" ref="D67"/>
    <hyperlink r:id="rId73" ref="D68"/>
    <hyperlink r:id="rId74" ref="B69"/>
    <hyperlink r:id="rId75" ref="D69"/>
    <hyperlink r:id="rId76" ref="D70"/>
    <hyperlink r:id="rId77" ref="D71"/>
    <hyperlink r:id="rId78" ref="D72"/>
    <hyperlink r:id="rId79" ref="D73"/>
    <hyperlink r:id="rId80" ref="C76"/>
    <hyperlink r:id="rId81" ref="D76"/>
    <hyperlink r:id="rId82" ref="C77"/>
    <hyperlink r:id="rId83" ref="D77"/>
    <hyperlink r:id="rId84" ref="C78"/>
    <hyperlink r:id="rId85" ref="D78"/>
    <hyperlink r:id="rId86" ref="C79"/>
    <hyperlink r:id="rId87" ref="D79"/>
    <hyperlink r:id="rId88" ref="C80"/>
    <hyperlink r:id="rId89" ref="D80"/>
    <hyperlink r:id="rId90" ref="C81"/>
    <hyperlink r:id="rId91" ref="D81"/>
    <hyperlink r:id="rId92" ref="C82"/>
    <hyperlink r:id="rId93" ref="D82"/>
    <hyperlink r:id="rId94" ref="C83"/>
    <hyperlink r:id="rId95" ref="D83"/>
    <hyperlink r:id="rId96" ref="C84"/>
    <hyperlink r:id="rId97" ref="D84"/>
    <hyperlink r:id="rId98" ref="C85"/>
    <hyperlink r:id="rId99" ref="D85"/>
    <hyperlink r:id="rId100" ref="C86"/>
    <hyperlink r:id="rId101" ref="D86"/>
    <hyperlink r:id="rId102" ref="C87"/>
    <hyperlink r:id="rId103" ref="D87"/>
    <hyperlink r:id="rId104" ref="C88"/>
    <hyperlink r:id="rId105" ref="D88"/>
    <hyperlink r:id="rId106" ref="C89"/>
    <hyperlink r:id="rId107" ref="D89"/>
    <hyperlink r:id="rId108" ref="C90"/>
    <hyperlink r:id="rId109" ref="D90"/>
    <hyperlink r:id="rId110" ref="C91"/>
    <hyperlink r:id="rId111" ref="D91"/>
    <hyperlink r:id="rId112" ref="C92"/>
    <hyperlink r:id="rId113" ref="D92"/>
    <hyperlink r:id="rId114" ref="C93"/>
    <hyperlink r:id="rId115" ref="D93"/>
    <hyperlink r:id="rId116" ref="C94"/>
    <hyperlink r:id="rId117" ref="D94"/>
    <hyperlink r:id="rId118" ref="C95"/>
    <hyperlink r:id="rId119" ref="D95"/>
    <hyperlink r:id="rId120" ref="C96"/>
    <hyperlink r:id="rId121" ref="D96"/>
    <hyperlink r:id="rId122" ref="C97"/>
    <hyperlink r:id="rId123" ref="D97"/>
    <hyperlink r:id="rId124" ref="C98"/>
    <hyperlink r:id="rId125" ref="D98"/>
    <hyperlink r:id="rId126" ref="C99"/>
    <hyperlink r:id="rId127" ref="D99"/>
    <hyperlink r:id="rId128" ref="C100"/>
    <hyperlink r:id="rId129" ref="D100"/>
    <hyperlink r:id="rId130" ref="C101"/>
    <hyperlink r:id="rId131" ref="D101"/>
    <hyperlink r:id="rId132" ref="C102"/>
    <hyperlink r:id="rId133" ref="D102"/>
    <hyperlink r:id="rId134" ref="C103"/>
    <hyperlink r:id="rId135" ref="D103"/>
    <hyperlink r:id="rId136" ref="C104"/>
    <hyperlink r:id="rId137" ref="D104"/>
    <hyperlink r:id="rId138" ref="C105"/>
    <hyperlink r:id="rId139" ref="D105"/>
    <hyperlink r:id="rId140" ref="C106"/>
    <hyperlink r:id="rId141" ref="D106"/>
    <hyperlink r:id="rId142" ref="C107"/>
    <hyperlink r:id="rId143" ref="D107"/>
    <hyperlink r:id="rId144" ref="C108"/>
    <hyperlink r:id="rId145" ref="D108"/>
    <hyperlink r:id="rId146" ref="C109"/>
    <hyperlink r:id="rId147" ref="D109"/>
    <hyperlink r:id="rId148" ref="C110"/>
    <hyperlink r:id="rId149" ref="D110"/>
    <hyperlink r:id="rId150" ref="C111"/>
    <hyperlink r:id="rId151" ref="D111"/>
    <hyperlink r:id="rId152" ref="C112"/>
    <hyperlink r:id="rId153" ref="D112"/>
    <hyperlink r:id="rId154" ref="C113"/>
    <hyperlink r:id="rId155" ref="D113"/>
    <hyperlink r:id="rId156" ref="C114"/>
    <hyperlink r:id="rId157" ref="D114"/>
    <hyperlink r:id="rId158" ref="B117"/>
    <hyperlink r:id="rId159" ref="D117"/>
    <hyperlink r:id="rId160" ref="B118"/>
    <hyperlink r:id="rId161" ref="D118"/>
    <hyperlink r:id="rId162" ref="D119"/>
    <hyperlink r:id="rId163" ref="D120"/>
    <hyperlink r:id="rId164" ref="D121"/>
    <hyperlink r:id="rId165" ref="D122"/>
    <hyperlink r:id="rId166" ref="D123"/>
    <hyperlink r:id="rId167" ref="D124"/>
    <hyperlink r:id="rId168" ref="D129"/>
    <hyperlink r:id="rId169" ref="D130"/>
    <hyperlink r:id="rId170" ref="D132"/>
    <hyperlink r:id="rId171" ref="D133"/>
    <hyperlink r:id="rId172" ref="D134"/>
    <hyperlink r:id="rId173" ref="D135"/>
    <hyperlink r:id="rId174" ref="D136"/>
    <hyperlink r:id="rId175" ref="D137"/>
    <hyperlink r:id="rId176" ref="B138"/>
    <hyperlink r:id="rId177" ref="D138"/>
    <hyperlink r:id="rId178" ref="D139"/>
    <hyperlink r:id="rId179" ref="D142"/>
    <hyperlink r:id="rId180" ref="D144"/>
    <hyperlink r:id="rId181" ref="D145"/>
  </hyperlinks>
  <drawing r:id="rId182"/>
  <legacyDrawing r:id="rId183"/>
  <tableParts count="1">
    <tablePart r:id="rId185"/>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5.75"/>
    <col customWidth="1" min="3" max="4" width="38.63"/>
    <col customWidth="1" min="5" max="5" width="20.13"/>
    <col customWidth="1" min="6" max="6" width="23.5"/>
    <col customWidth="1" min="7" max="7" width="4.75"/>
    <col customWidth="1" min="9" max="9" width="30.75"/>
  </cols>
  <sheetData>
    <row r="1">
      <c r="A1" s="569" t="s">
        <v>5074</v>
      </c>
      <c r="B1" s="369"/>
      <c r="C1" s="369"/>
      <c r="D1" s="369"/>
      <c r="E1" s="369"/>
      <c r="F1" s="369"/>
      <c r="G1" s="369"/>
      <c r="H1" s="369"/>
      <c r="I1" s="370"/>
      <c r="J1" s="371"/>
      <c r="K1" s="371"/>
      <c r="L1" s="371"/>
      <c r="M1" s="371"/>
      <c r="N1" s="371"/>
      <c r="O1" s="371"/>
      <c r="P1" s="371"/>
      <c r="Q1" s="371"/>
    </row>
    <row r="2">
      <c r="A2" s="374"/>
      <c r="B2" s="374" t="s">
        <v>0</v>
      </c>
      <c r="C2" s="570" t="s">
        <v>2994</v>
      </c>
      <c r="D2" s="374" t="s">
        <v>2</v>
      </c>
      <c r="E2" s="571" t="s">
        <v>3</v>
      </c>
      <c r="F2" s="572" t="s">
        <v>4</v>
      </c>
      <c r="G2" s="374"/>
      <c r="H2" s="374" t="s">
        <v>5</v>
      </c>
      <c r="I2" s="375" t="s">
        <v>2733</v>
      </c>
      <c r="J2" s="371"/>
      <c r="K2" s="371"/>
      <c r="L2" s="371"/>
      <c r="M2" s="371"/>
      <c r="N2" s="371"/>
      <c r="O2" s="371"/>
      <c r="P2" s="371"/>
      <c r="Q2" s="371"/>
    </row>
    <row r="3">
      <c r="A3" s="573">
        <v>1.0</v>
      </c>
      <c r="B3" s="574" t="b">
        <v>0</v>
      </c>
      <c r="C3" s="575" t="s">
        <v>5075</v>
      </c>
      <c r="D3" s="576"/>
      <c r="E3" s="577"/>
      <c r="F3" s="578"/>
      <c r="G3" s="574" t="b">
        <v>0</v>
      </c>
      <c r="H3" s="579"/>
      <c r="I3" s="580"/>
      <c r="J3" s="371"/>
      <c r="K3" s="371"/>
      <c r="L3" s="371"/>
      <c r="M3" s="371"/>
      <c r="N3" s="371"/>
      <c r="O3" s="371"/>
      <c r="P3" s="371"/>
      <c r="Q3" s="371"/>
    </row>
    <row r="4">
      <c r="A4" s="581">
        <v>2.0</v>
      </c>
      <c r="B4" s="582" t="b">
        <v>0</v>
      </c>
      <c r="C4" s="583" t="s">
        <v>5076</v>
      </c>
      <c r="D4" s="584"/>
      <c r="E4" s="585"/>
      <c r="F4" s="586" t="s">
        <v>3970</v>
      </c>
      <c r="G4" s="582" t="b">
        <v>1</v>
      </c>
      <c r="H4" s="587"/>
      <c r="I4" s="588" t="s">
        <v>5077</v>
      </c>
      <c r="J4" s="371"/>
      <c r="K4" s="371"/>
      <c r="L4" s="371"/>
      <c r="M4" s="371"/>
      <c r="N4" s="371"/>
      <c r="O4" s="371"/>
      <c r="P4" s="371"/>
      <c r="Q4" s="371"/>
    </row>
    <row r="5">
      <c r="A5" s="573">
        <v>3.0</v>
      </c>
      <c r="B5" s="574" t="b">
        <v>0</v>
      </c>
      <c r="C5" s="575" t="s">
        <v>5078</v>
      </c>
      <c r="D5" s="576"/>
      <c r="E5" s="589"/>
      <c r="F5" s="578" t="s">
        <v>5079</v>
      </c>
      <c r="G5" s="574" t="b">
        <v>1</v>
      </c>
      <c r="H5" s="579"/>
      <c r="I5" s="590" t="s">
        <v>5080</v>
      </c>
      <c r="J5" s="371"/>
      <c r="K5" s="371"/>
      <c r="L5" s="371"/>
      <c r="M5" s="371"/>
      <c r="N5" s="371"/>
      <c r="O5" s="371"/>
      <c r="P5" s="371"/>
      <c r="Q5" s="371"/>
    </row>
    <row r="6">
      <c r="A6" s="581">
        <v>4.0</v>
      </c>
      <c r="B6" s="582" t="b">
        <v>0</v>
      </c>
      <c r="C6" s="583" t="s">
        <v>5081</v>
      </c>
      <c r="D6" s="584"/>
      <c r="E6" s="591"/>
      <c r="F6" s="586"/>
      <c r="G6" s="582" t="b">
        <v>1</v>
      </c>
      <c r="H6" s="587"/>
      <c r="I6" s="592"/>
      <c r="J6" s="371"/>
      <c r="K6" s="371"/>
      <c r="L6" s="371"/>
      <c r="M6" s="371"/>
      <c r="N6" s="371"/>
      <c r="O6" s="371"/>
      <c r="P6" s="371"/>
      <c r="Q6" s="371"/>
    </row>
    <row r="7">
      <c r="A7" s="573">
        <v>5.0</v>
      </c>
      <c r="B7" s="574" t="b">
        <v>0</v>
      </c>
      <c r="C7" s="575" t="s">
        <v>5082</v>
      </c>
      <c r="D7" s="576"/>
      <c r="E7" s="577"/>
      <c r="F7" s="578"/>
      <c r="G7" s="574" t="b">
        <v>1</v>
      </c>
      <c r="H7" s="579"/>
      <c r="I7" s="580"/>
      <c r="J7" s="371"/>
      <c r="K7" s="371"/>
      <c r="L7" s="371"/>
      <c r="M7" s="371"/>
      <c r="N7" s="371"/>
      <c r="O7" s="371"/>
      <c r="P7" s="371"/>
      <c r="Q7" s="371"/>
    </row>
    <row r="8">
      <c r="A8" s="581">
        <v>6.0</v>
      </c>
      <c r="B8" s="582" t="b">
        <v>0</v>
      </c>
      <c r="C8" s="583" t="s">
        <v>5083</v>
      </c>
      <c r="D8" s="584"/>
      <c r="E8" s="585"/>
      <c r="F8" s="586"/>
      <c r="G8" s="582" t="b">
        <v>1</v>
      </c>
      <c r="H8" s="587"/>
      <c r="I8" s="592"/>
      <c r="J8" s="371"/>
      <c r="K8" s="371"/>
      <c r="L8" s="371"/>
      <c r="M8" s="371"/>
      <c r="N8" s="371"/>
      <c r="O8" s="371"/>
      <c r="P8" s="371"/>
      <c r="Q8" s="371"/>
    </row>
    <row r="9">
      <c r="A9" s="573">
        <v>16.0</v>
      </c>
      <c r="B9" s="574" t="b">
        <v>0</v>
      </c>
      <c r="C9" s="575" t="s">
        <v>5084</v>
      </c>
      <c r="D9" s="576"/>
      <c r="E9" s="589"/>
      <c r="F9" s="578"/>
      <c r="G9" s="574" t="b">
        <v>1</v>
      </c>
      <c r="H9" s="579"/>
      <c r="I9" s="580"/>
      <c r="J9" s="371"/>
      <c r="K9" s="371"/>
      <c r="L9" s="371"/>
      <c r="M9" s="371"/>
      <c r="N9" s="371"/>
      <c r="O9" s="371"/>
      <c r="P9" s="371"/>
      <c r="Q9" s="371"/>
    </row>
    <row r="10">
      <c r="A10" s="581">
        <v>17.0</v>
      </c>
      <c r="B10" s="582" t="b">
        <v>0</v>
      </c>
      <c r="C10" s="583" t="s">
        <v>5085</v>
      </c>
      <c r="D10" s="584"/>
      <c r="E10" s="585"/>
      <c r="F10" s="586"/>
      <c r="G10" s="582" t="b">
        <v>1</v>
      </c>
      <c r="H10" s="587"/>
      <c r="I10" s="592"/>
      <c r="J10" s="371"/>
      <c r="K10" s="371"/>
      <c r="L10" s="371"/>
      <c r="M10" s="371"/>
      <c r="N10" s="371"/>
      <c r="O10" s="371"/>
      <c r="P10" s="371"/>
      <c r="Q10" s="371"/>
    </row>
    <row r="11">
      <c r="A11" s="573">
        <v>18.0</v>
      </c>
      <c r="B11" s="574" t="b">
        <v>0</v>
      </c>
      <c r="C11" s="575" t="s">
        <v>5086</v>
      </c>
      <c r="D11" s="576"/>
      <c r="E11" s="589" t="s">
        <v>5087</v>
      </c>
      <c r="F11" s="578" t="s">
        <v>5088</v>
      </c>
      <c r="G11" s="574" t="b">
        <v>1</v>
      </c>
      <c r="H11" s="579"/>
      <c r="I11" s="590" t="s">
        <v>5089</v>
      </c>
      <c r="J11" s="371"/>
      <c r="K11" s="371"/>
      <c r="L11" s="371"/>
      <c r="M11" s="371"/>
      <c r="N11" s="371"/>
      <c r="O11" s="371"/>
      <c r="P11" s="371"/>
      <c r="Q11" s="371"/>
    </row>
    <row r="12">
      <c r="A12" s="581">
        <v>19.0</v>
      </c>
      <c r="B12" s="582" t="b">
        <v>0</v>
      </c>
      <c r="C12" s="583" t="s">
        <v>5090</v>
      </c>
      <c r="D12" s="584"/>
      <c r="E12" s="585" t="s">
        <v>5091</v>
      </c>
      <c r="F12" s="586" t="s">
        <v>5092</v>
      </c>
      <c r="G12" s="582" t="b">
        <v>1</v>
      </c>
      <c r="H12" s="587"/>
      <c r="I12" s="593" t="s">
        <v>5093</v>
      </c>
      <c r="J12" s="371"/>
      <c r="K12" s="371"/>
      <c r="L12" s="371"/>
      <c r="M12" s="371"/>
      <c r="N12" s="371"/>
      <c r="O12" s="371"/>
      <c r="P12" s="371"/>
      <c r="Q12" s="371"/>
    </row>
    <row r="13">
      <c r="A13" s="573">
        <v>20.0</v>
      </c>
      <c r="B13" s="574" t="b">
        <v>0</v>
      </c>
      <c r="C13" s="575" t="s">
        <v>5094</v>
      </c>
      <c r="D13" s="576"/>
      <c r="E13" s="589">
        <v>1.281444371E9</v>
      </c>
      <c r="F13" s="578" t="s">
        <v>5095</v>
      </c>
      <c r="G13" s="574" t="b">
        <v>1</v>
      </c>
      <c r="H13" s="579"/>
      <c r="I13" s="590" t="s">
        <v>5096</v>
      </c>
      <c r="J13" s="371"/>
      <c r="K13" s="371"/>
      <c r="L13" s="371"/>
      <c r="M13" s="371"/>
      <c r="N13" s="371"/>
      <c r="O13" s="371"/>
      <c r="P13" s="371"/>
      <c r="Q13" s="371"/>
    </row>
    <row r="14" ht="75.75" customHeight="1">
      <c r="A14" s="581">
        <v>25.0</v>
      </c>
      <c r="B14" s="582" t="b">
        <v>0</v>
      </c>
      <c r="C14" s="583" t="s">
        <v>5097</v>
      </c>
      <c r="D14" s="584"/>
      <c r="E14" s="585" t="s">
        <v>5098</v>
      </c>
      <c r="F14" s="586" t="s">
        <v>5099</v>
      </c>
      <c r="G14" s="582" t="b">
        <v>1</v>
      </c>
      <c r="H14" s="587"/>
      <c r="I14" s="592" t="s">
        <v>5100</v>
      </c>
      <c r="J14" s="371"/>
      <c r="K14" s="371"/>
      <c r="L14" s="371"/>
      <c r="M14" s="371"/>
      <c r="N14" s="371"/>
      <c r="O14" s="371"/>
      <c r="P14" s="371"/>
      <c r="Q14" s="371"/>
    </row>
    <row r="15">
      <c r="A15" s="573">
        <v>26.0</v>
      </c>
      <c r="B15" s="574" t="b">
        <v>0</v>
      </c>
      <c r="C15" s="575" t="s">
        <v>5101</v>
      </c>
      <c r="D15" s="576"/>
      <c r="E15" s="589" t="s">
        <v>5102</v>
      </c>
      <c r="F15" s="578" t="s">
        <v>5103</v>
      </c>
      <c r="G15" s="574" t="b">
        <v>1</v>
      </c>
      <c r="H15" s="579"/>
      <c r="I15" s="580" t="s">
        <v>5104</v>
      </c>
      <c r="J15" s="371"/>
      <c r="K15" s="371"/>
      <c r="L15" s="371"/>
      <c r="M15" s="371"/>
      <c r="N15" s="371"/>
      <c r="O15" s="371"/>
      <c r="P15" s="371"/>
      <c r="Q15" s="371"/>
    </row>
    <row r="16" ht="37.5" customHeight="1">
      <c r="A16" s="581">
        <v>27.0</v>
      </c>
      <c r="B16" s="582" t="b">
        <v>0</v>
      </c>
      <c r="C16" s="583" t="s">
        <v>5105</v>
      </c>
      <c r="D16" s="584" t="s">
        <v>5106</v>
      </c>
      <c r="E16" s="585" t="s">
        <v>5107</v>
      </c>
      <c r="F16" s="586" t="s">
        <v>5108</v>
      </c>
      <c r="G16" s="582" t="b">
        <v>1</v>
      </c>
      <c r="H16" s="587"/>
      <c r="I16" s="592" t="s">
        <v>5109</v>
      </c>
      <c r="J16" s="371"/>
      <c r="K16" s="371"/>
      <c r="L16" s="371"/>
      <c r="M16" s="371"/>
      <c r="N16" s="371"/>
      <c r="O16" s="371"/>
      <c r="P16" s="371"/>
      <c r="Q16" s="371"/>
    </row>
    <row r="17">
      <c r="A17" s="573">
        <v>28.0</v>
      </c>
      <c r="B17" s="574" t="b">
        <v>0</v>
      </c>
      <c r="C17" s="575" t="s">
        <v>5110</v>
      </c>
      <c r="D17" s="576" t="s">
        <v>5111</v>
      </c>
      <c r="E17" s="589" t="s">
        <v>5112</v>
      </c>
      <c r="F17" s="578" t="s">
        <v>5113</v>
      </c>
      <c r="G17" s="574" t="b">
        <v>1</v>
      </c>
      <c r="H17" s="579"/>
      <c r="I17" s="580" t="s">
        <v>5114</v>
      </c>
      <c r="J17" s="371"/>
      <c r="K17" s="371"/>
      <c r="L17" s="371"/>
      <c r="M17" s="371"/>
      <c r="N17" s="371"/>
      <c r="O17" s="371"/>
      <c r="P17" s="371"/>
      <c r="Q17" s="371"/>
    </row>
    <row r="18" ht="22.5" customHeight="1">
      <c r="A18" s="581">
        <v>29.0</v>
      </c>
      <c r="B18" s="582" t="b">
        <v>0</v>
      </c>
      <c r="C18" s="583" t="s">
        <v>5115</v>
      </c>
      <c r="D18" s="584" t="s">
        <v>5116</v>
      </c>
      <c r="E18" s="585" t="s">
        <v>5117</v>
      </c>
      <c r="F18" s="586" t="s">
        <v>5118</v>
      </c>
      <c r="G18" s="582" t="b">
        <v>1</v>
      </c>
      <c r="H18" s="587"/>
      <c r="I18" s="592" t="s">
        <v>5119</v>
      </c>
      <c r="J18" s="371"/>
      <c r="K18" s="371"/>
      <c r="L18" s="371"/>
      <c r="M18" s="371"/>
      <c r="N18" s="371"/>
      <c r="O18" s="371"/>
      <c r="P18" s="371"/>
      <c r="Q18" s="371"/>
    </row>
    <row r="19">
      <c r="A19" s="573">
        <v>30.0</v>
      </c>
      <c r="B19" s="574" t="b">
        <v>0</v>
      </c>
      <c r="C19" s="575" t="s">
        <v>5120</v>
      </c>
      <c r="D19" s="576"/>
      <c r="E19" s="589" t="s">
        <v>5121</v>
      </c>
      <c r="F19" s="578" t="s">
        <v>5122</v>
      </c>
      <c r="G19" s="574" t="b">
        <v>1</v>
      </c>
      <c r="H19" s="579"/>
      <c r="I19" s="580" t="s">
        <v>5123</v>
      </c>
      <c r="J19" s="371"/>
      <c r="K19" s="371"/>
      <c r="L19" s="371"/>
      <c r="M19" s="371"/>
      <c r="N19" s="371"/>
      <c r="O19" s="371"/>
      <c r="P19" s="371"/>
      <c r="Q19" s="371"/>
    </row>
    <row r="20">
      <c r="A20" s="581">
        <v>31.0</v>
      </c>
      <c r="B20" s="582" t="b">
        <v>0</v>
      </c>
      <c r="C20" s="594" t="s">
        <v>5124</v>
      </c>
      <c r="D20" s="584"/>
      <c r="E20" s="585"/>
      <c r="F20" s="586" t="s">
        <v>5125</v>
      </c>
      <c r="G20" s="582" t="b">
        <v>1</v>
      </c>
      <c r="H20" s="587"/>
      <c r="I20" s="592" t="s">
        <v>5126</v>
      </c>
      <c r="J20" s="371"/>
      <c r="K20" s="371"/>
      <c r="L20" s="371"/>
      <c r="M20" s="371"/>
      <c r="N20" s="371"/>
      <c r="O20" s="371"/>
      <c r="P20" s="371"/>
      <c r="Q20" s="371"/>
    </row>
    <row r="21" ht="35.25" customHeight="1">
      <c r="A21" s="573"/>
      <c r="B21" s="574" t="b">
        <v>0</v>
      </c>
      <c r="C21" s="595" t="s">
        <v>5127</v>
      </c>
      <c r="D21" s="596" t="s">
        <v>5128</v>
      </c>
      <c r="E21" s="589" t="s">
        <v>5129</v>
      </c>
      <c r="F21" s="578" t="s">
        <v>5130</v>
      </c>
      <c r="G21" s="574" t="b">
        <v>1</v>
      </c>
      <c r="H21" s="579"/>
      <c r="I21" s="580" t="s">
        <v>5131</v>
      </c>
      <c r="J21" s="371"/>
      <c r="K21" s="371"/>
      <c r="L21" s="371"/>
      <c r="M21" s="371"/>
      <c r="N21" s="371"/>
      <c r="O21" s="371"/>
      <c r="P21" s="371"/>
      <c r="Q21" s="371"/>
    </row>
    <row r="22">
      <c r="A22" s="581"/>
      <c r="B22" s="582" t="b">
        <v>0</v>
      </c>
      <c r="C22" s="594" t="s">
        <v>5132</v>
      </c>
      <c r="D22" s="597" t="s">
        <v>5133</v>
      </c>
      <c r="E22" s="585" t="s">
        <v>5134</v>
      </c>
      <c r="F22" s="586" t="s">
        <v>5135</v>
      </c>
      <c r="G22" s="582" t="b">
        <v>1</v>
      </c>
      <c r="H22" s="587"/>
      <c r="I22" s="588" t="s">
        <v>5136</v>
      </c>
      <c r="J22" s="371"/>
      <c r="K22" s="371"/>
      <c r="L22" s="371"/>
      <c r="M22" s="371"/>
      <c r="N22" s="371"/>
      <c r="O22" s="371"/>
      <c r="P22" s="371"/>
      <c r="Q22" s="371"/>
    </row>
    <row r="23">
      <c r="A23" s="573"/>
      <c r="B23" s="574" t="b">
        <v>0</v>
      </c>
      <c r="C23" s="595" t="s">
        <v>5137</v>
      </c>
      <c r="D23" s="576"/>
      <c r="E23" s="598" t="s">
        <v>5138</v>
      </c>
      <c r="F23" s="578" t="s">
        <v>5139</v>
      </c>
      <c r="G23" s="574" t="b">
        <v>1</v>
      </c>
      <c r="H23" s="579"/>
      <c r="I23" s="590" t="s">
        <v>5140</v>
      </c>
      <c r="J23" s="371"/>
      <c r="K23" s="371"/>
      <c r="L23" s="371"/>
      <c r="M23" s="371"/>
      <c r="N23" s="371"/>
      <c r="O23" s="371"/>
      <c r="P23" s="371"/>
      <c r="Q23" s="371"/>
    </row>
    <row r="24">
      <c r="A24" s="581"/>
      <c r="B24" s="582" t="b">
        <v>0</v>
      </c>
      <c r="C24" s="594" t="s">
        <v>5141</v>
      </c>
      <c r="D24" s="584"/>
      <c r="E24" s="585"/>
      <c r="F24" s="586" t="s">
        <v>5139</v>
      </c>
      <c r="G24" s="582" t="b">
        <v>1</v>
      </c>
      <c r="H24" s="587"/>
      <c r="I24" s="588" t="s">
        <v>5142</v>
      </c>
      <c r="J24" s="371"/>
      <c r="K24" s="371"/>
      <c r="L24" s="371"/>
      <c r="M24" s="371"/>
      <c r="N24" s="371"/>
      <c r="O24" s="371"/>
      <c r="P24" s="371"/>
      <c r="Q24" s="371"/>
    </row>
    <row r="25">
      <c r="A25" s="573"/>
      <c r="B25" s="574" t="b">
        <v>0</v>
      </c>
      <c r="C25" s="595" t="s">
        <v>5143</v>
      </c>
      <c r="D25" s="576"/>
      <c r="E25" s="589" t="s">
        <v>5144</v>
      </c>
      <c r="F25" s="578" t="s">
        <v>5139</v>
      </c>
      <c r="G25" s="574" t="b">
        <v>1</v>
      </c>
      <c r="H25" s="579"/>
      <c r="I25" s="590" t="s">
        <v>5145</v>
      </c>
      <c r="J25" s="371"/>
      <c r="K25" s="371"/>
      <c r="L25" s="371"/>
      <c r="M25" s="371"/>
      <c r="N25" s="371"/>
      <c r="O25" s="371"/>
      <c r="P25" s="371"/>
      <c r="Q25" s="371"/>
    </row>
    <row r="26">
      <c r="A26" s="581"/>
      <c r="B26" s="582" t="b">
        <v>0</v>
      </c>
      <c r="C26" s="594" t="s">
        <v>5146</v>
      </c>
      <c r="D26" s="584"/>
      <c r="E26" s="585" t="s">
        <v>5147</v>
      </c>
      <c r="F26" s="586" t="s">
        <v>5139</v>
      </c>
      <c r="G26" s="582" t="b">
        <v>1</v>
      </c>
      <c r="H26" s="587"/>
      <c r="I26" s="588" t="s">
        <v>5148</v>
      </c>
      <c r="J26" s="371"/>
      <c r="K26" s="371"/>
      <c r="L26" s="371"/>
      <c r="M26" s="371"/>
      <c r="N26" s="371"/>
      <c r="O26" s="371"/>
      <c r="P26" s="371"/>
      <c r="Q26" s="371"/>
    </row>
    <row r="27">
      <c r="A27" s="573"/>
      <c r="B27" s="574" t="b">
        <v>0</v>
      </c>
      <c r="C27" s="595" t="s">
        <v>5149</v>
      </c>
      <c r="D27" s="576"/>
      <c r="E27" s="589" t="s">
        <v>5150</v>
      </c>
      <c r="F27" s="578" t="s">
        <v>5139</v>
      </c>
      <c r="G27" s="574" t="b">
        <v>1</v>
      </c>
      <c r="H27" s="579"/>
      <c r="I27" s="599" t="s">
        <v>5151</v>
      </c>
      <c r="J27" s="371"/>
      <c r="K27" s="371"/>
      <c r="L27" s="371"/>
      <c r="M27" s="371"/>
      <c r="N27" s="371"/>
      <c r="O27" s="371"/>
      <c r="P27" s="371"/>
      <c r="Q27" s="371"/>
    </row>
    <row r="28">
      <c r="A28" s="581"/>
      <c r="B28" s="582" t="b">
        <v>0</v>
      </c>
      <c r="C28" s="594" t="s">
        <v>5152</v>
      </c>
      <c r="D28" s="584"/>
      <c r="E28" s="585"/>
      <c r="F28" s="586" t="s">
        <v>5139</v>
      </c>
      <c r="G28" s="582" t="b">
        <v>1</v>
      </c>
      <c r="H28" s="587"/>
      <c r="I28" s="592"/>
      <c r="J28" s="371"/>
      <c r="K28" s="371"/>
      <c r="L28" s="371"/>
      <c r="M28" s="371"/>
      <c r="N28" s="371"/>
      <c r="O28" s="371"/>
      <c r="P28" s="371"/>
      <c r="Q28" s="371"/>
    </row>
    <row r="29">
      <c r="A29" s="573"/>
      <c r="B29" s="574" t="b">
        <v>0</v>
      </c>
      <c r="C29" s="595" t="s">
        <v>5153</v>
      </c>
      <c r="D29" s="576"/>
      <c r="E29" s="589" t="s">
        <v>5154</v>
      </c>
      <c r="F29" s="578" t="s">
        <v>5139</v>
      </c>
      <c r="G29" s="574" t="b">
        <v>1</v>
      </c>
      <c r="H29" s="579"/>
      <c r="I29" s="590" t="s">
        <v>5155</v>
      </c>
      <c r="J29" s="371"/>
      <c r="K29" s="371"/>
      <c r="L29" s="371"/>
      <c r="M29" s="371"/>
      <c r="N29" s="371"/>
      <c r="O29" s="371"/>
      <c r="P29" s="371"/>
      <c r="Q29" s="371"/>
    </row>
    <row r="30">
      <c r="A30" s="581"/>
      <c r="B30" s="582" t="b">
        <v>0</v>
      </c>
      <c r="C30" s="594" t="s">
        <v>5156</v>
      </c>
      <c r="D30" s="584"/>
      <c r="E30" s="585" t="s">
        <v>5157</v>
      </c>
      <c r="F30" s="586" t="s">
        <v>5139</v>
      </c>
      <c r="G30" s="582" t="b">
        <v>1</v>
      </c>
      <c r="H30" s="587"/>
      <c r="I30" s="592" t="s">
        <v>5158</v>
      </c>
      <c r="J30" s="371"/>
      <c r="K30" s="371"/>
      <c r="L30" s="371"/>
      <c r="M30" s="371"/>
      <c r="N30" s="371"/>
      <c r="O30" s="371"/>
      <c r="P30" s="371"/>
      <c r="Q30" s="371"/>
    </row>
    <row r="31">
      <c r="A31" s="573"/>
      <c r="B31" s="574" t="b">
        <v>0</v>
      </c>
      <c r="C31" s="595" t="s">
        <v>5159</v>
      </c>
      <c r="D31" s="576"/>
      <c r="E31" s="589" t="s">
        <v>5160</v>
      </c>
      <c r="F31" s="578" t="s">
        <v>5139</v>
      </c>
      <c r="G31" s="574" t="b">
        <v>1</v>
      </c>
      <c r="H31" s="579"/>
      <c r="I31" s="590" t="s">
        <v>5161</v>
      </c>
      <c r="J31" s="371"/>
      <c r="K31" s="371"/>
      <c r="L31" s="371"/>
      <c r="M31" s="371"/>
      <c r="N31" s="371"/>
      <c r="O31" s="371"/>
      <c r="P31" s="371"/>
      <c r="Q31" s="371"/>
    </row>
    <row r="32">
      <c r="A32" s="581"/>
      <c r="B32" s="582" t="b">
        <v>0</v>
      </c>
      <c r="C32" s="594" t="s">
        <v>5162</v>
      </c>
      <c r="D32" s="584"/>
      <c r="E32" s="585" t="s">
        <v>5163</v>
      </c>
      <c r="F32" s="586" t="s">
        <v>5139</v>
      </c>
      <c r="G32" s="582" t="b">
        <v>1</v>
      </c>
      <c r="H32" s="587"/>
      <c r="I32" s="600" t="s">
        <v>5164</v>
      </c>
      <c r="J32" s="371"/>
      <c r="K32" s="371"/>
      <c r="L32" s="371"/>
      <c r="M32" s="371"/>
      <c r="N32" s="371"/>
      <c r="O32" s="371"/>
      <c r="P32" s="371"/>
      <c r="Q32" s="371"/>
    </row>
    <row r="33">
      <c r="A33" s="573"/>
      <c r="B33" s="574" t="b">
        <v>0</v>
      </c>
      <c r="C33" s="595" t="s">
        <v>5165</v>
      </c>
      <c r="D33" s="576"/>
      <c r="E33" s="601" t="s">
        <v>5166</v>
      </c>
      <c r="F33" s="578" t="s">
        <v>5139</v>
      </c>
      <c r="G33" s="574" t="b">
        <v>1</v>
      </c>
      <c r="H33" s="579"/>
      <c r="I33" s="602" t="s">
        <v>5167</v>
      </c>
      <c r="J33" s="371"/>
      <c r="K33" s="371"/>
      <c r="L33" s="371"/>
      <c r="M33" s="371"/>
      <c r="N33" s="371"/>
      <c r="O33" s="371"/>
      <c r="P33" s="371"/>
      <c r="Q33" s="371"/>
    </row>
    <row r="34">
      <c r="A34" s="581"/>
      <c r="B34" s="582" t="b">
        <v>0</v>
      </c>
      <c r="C34" s="594" t="s">
        <v>5168</v>
      </c>
      <c r="D34" s="584"/>
      <c r="E34" s="585" t="s">
        <v>5169</v>
      </c>
      <c r="F34" s="586" t="s">
        <v>5139</v>
      </c>
      <c r="G34" s="582" t="b">
        <v>1</v>
      </c>
      <c r="H34" s="587"/>
      <c r="I34" s="600" t="s">
        <v>5170</v>
      </c>
      <c r="J34" s="371"/>
      <c r="K34" s="371"/>
      <c r="L34" s="371"/>
      <c r="M34" s="371"/>
      <c r="N34" s="371"/>
      <c r="O34" s="371"/>
      <c r="P34" s="371"/>
      <c r="Q34" s="371"/>
    </row>
    <row r="35">
      <c r="A35" s="573"/>
      <c r="B35" s="574" t="b">
        <v>0</v>
      </c>
      <c r="C35" s="595" t="s">
        <v>5171</v>
      </c>
      <c r="D35" s="576" t="s">
        <v>5172</v>
      </c>
      <c r="E35" s="589" t="s">
        <v>5173</v>
      </c>
      <c r="F35" s="578" t="s">
        <v>5139</v>
      </c>
      <c r="G35" s="574" t="b">
        <v>1</v>
      </c>
      <c r="H35" s="603" t="s">
        <v>5174</v>
      </c>
      <c r="I35" s="601"/>
      <c r="J35" s="371"/>
      <c r="K35" s="371"/>
      <c r="L35" s="371"/>
      <c r="M35" s="371"/>
      <c r="N35" s="371"/>
      <c r="O35" s="371"/>
      <c r="P35" s="371"/>
      <c r="Q35" s="371"/>
    </row>
    <row r="36">
      <c r="A36" s="581"/>
      <c r="B36" s="582" t="b">
        <v>0</v>
      </c>
      <c r="C36" s="594" t="s">
        <v>5175</v>
      </c>
      <c r="D36" s="584" t="s">
        <v>5176</v>
      </c>
      <c r="E36" s="585" t="s">
        <v>5177</v>
      </c>
      <c r="F36" s="586" t="s">
        <v>5139</v>
      </c>
      <c r="G36" s="582" t="b">
        <v>1</v>
      </c>
      <c r="H36" s="587"/>
      <c r="I36" s="600" t="s">
        <v>5178</v>
      </c>
      <c r="J36" s="371"/>
      <c r="K36" s="371"/>
      <c r="L36" s="371"/>
      <c r="M36" s="371"/>
      <c r="N36" s="371"/>
      <c r="O36" s="371"/>
      <c r="P36" s="371"/>
      <c r="Q36" s="371"/>
    </row>
    <row r="37">
      <c r="A37" s="573"/>
      <c r="B37" s="574" t="b">
        <v>0</v>
      </c>
      <c r="C37" s="595" t="s">
        <v>5179</v>
      </c>
      <c r="D37" s="576"/>
      <c r="E37" s="589"/>
      <c r="F37" s="578" t="s">
        <v>5139</v>
      </c>
      <c r="G37" s="574" t="b">
        <v>1</v>
      </c>
      <c r="H37" s="579"/>
      <c r="I37" s="590" t="s">
        <v>5180</v>
      </c>
      <c r="J37" s="371"/>
      <c r="K37" s="371"/>
      <c r="L37" s="371"/>
      <c r="M37" s="371"/>
      <c r="N37" s="371"/>
      <c r="O37" s="371"/>
      <c r="P37" s="371"/>
      <c r="Q37" s="371"/>
    </row>
    <row r="38">
      <c r="A38" s="581"/>
      <c r="B38" s="582" t="b">
        <v>0</v>
      </c>
      <c r="C38" s="594" t="s">
        <v>5181</v>
      </c>
      <c r="D38" s="584"/>
      <c r="E38" s="585"/>
      <c r="F38" s="586" t="s">
        <v>5139</v>
      </c>
      <c r="G38" s="582" t="b">
        <v>1</v>
      </c>
      <c r="H38" s="587"/>
      <c r="I38" s="593" t="s">
        <v>5182</v>
      </c>
      <c r="J38" s="371"/>
      <c r="K38" s="371"/>
      <c r="L38" s="371"/>
      <c r="M38" s="371"/>
      <c r="N38" s="371"/>
      <c r="O38" s="371"/>
      <c r="P38" s="371"/>
      <c r="Q38" s="371"/>
    </row>
    <row r="39">
      <c r="A39" s="573"/>
      <c r="B39" s="574" t="b">
        <v>0</v>
      </c>
      <c r="C39" s="595" t="s">
        <v>5183</v>
      </c>
      <c r="D39" s="576"/>
      <c r="E39" s="589" t="s">
        <v>5184</v>
      </c>
      <c r="F39" s="601" t="s">
        <v>5185</v>
      </c>
      <c r="G39" s="574" t="b">
        <v>0</v>
      </c>
      <c r="H39" s="579"/>
      <c r="I39" s="590" t="s">
        <v>5186</v>
      </c>
      <c r="J39" s="371"/>
      <c r="K39" s="371"/>
      <c r="L39" s="371"/>
      <c r="M39" s="371"/>
      <c r="N39" s="371"/>
      <c r="O39" s="371"/>
      <c r="P39" s="371"/>
      <c r="Q39" s="371"/>
    </row>
    <row r="40">
      <c r="A40" s="581"/>
      <c r="B40" s="582" t="b">
        <v>0</v>
      </c>
      <c r="C40" s="604"/>
      <c r="D40" s="584"/>
      <c r="E40" s="585"/>
      <c r="F40" s="586"/>
      <c r="G40" s="582" t="b">
        <v>0</v>
      </c>
      <c r="H40" s="587"/>
      <c r="I40" s="592"/>
      <c r="J40" s="371"/>
      <c r="K40" s="371"/>
      <c r="L40" s="371"/>
      <c r="M40" s="371"/>
      <c r="N40" s="371"/>
      <c r="O40" s="371"/>
      <c r="P40" s="371"/>
      <c r="Q40" s="371"/>
    </row>
    <row r="41">
      <c r="A41" s="573"/>
      <c r="B41" s="574" t="b">
        <v>0</v>
      </c>
      <c r="C41" s="605"/>
      <c r="D41" s="576"/>
      <c r="E41" s="589"/>
      <c r="F41" s="578"/>
      <c r="G41" s="574" t="b">
        <v>0</v>
      </c>
      <c r="H41" s="579"/>
      <c r="I41" s="580"/>
      <c r="J41" s="371"/>
      <c r="K41" s="371"/>
      <c r="L41" s="371"/>
      <c r="M41" s="371"/>
      <c r="N41" s="371"/>
      <c r="O41" s="371"/>
      <c r="P41" s="371"/>
      <c r="Q41" s="371"/>
    </row>
    <row r="42">
      <c r="A42" s="581"/>
      <c r="B42" s="582" t="b">
        <v>0</v>
      </c>
      <c r="C42" s="604"/>
      <c r="D42" s="584"/>
      <c r="E42" s="585"/>
      <c r="F42" s="586"/>
      <c r="G42" s="582" t="b">
        <v>0</v>
      </c>
      <c r="H42" s="587"/>
      <c r="I42" s="592"/>
      <c r="J42" s="371"/>
      <c r="K42" s="371"/>
      <c r="L42" s="371"/>
      <c r="M42" s="371"/>
      <c r="N42" s="371"/>
      <c r="O42" s="371"/>
      <c r="P42" s="371"/>
      <c r="Q42" s="371"/>
    </row>
    <row r="43">
      <c r="A43" s="573"/>
      <c r="B43" s="574" t="b">
        <v>0</v>
      </c>
      <c r="C43" s="605"/>
      <c r="D43" s="576"/>
      <c r="E43" s="589"/>
      <c r="F43" s="578"/>
      <c r="G43" s="574" t="b">
        <v>0</v>
      </c>
      <c r="H43" s="579"/>
      <c r="I43" s="580"/>
      <c r="J43" s="371"/>
      <c r="K43" s="371"/>
      <c r="L43" s="371"/>
      <c r="M43" s="371"/>
      <c r="N43" s="371"/>
      <c r="O43" s="371"/>
      <c r="P43" s="371"/>
      <c r="Q43" s="371"/>
    </row>
    <row r="44">
      <c r="A44" s="581"/>
      <c r="B44" s="582" t="b">
        <v>0</v>
      </c>
      <c r="C44" s="604"/>
      <c r="D44" s="584"/>
      <c r="E44" s="585"/>
      <c r="F44" s="586"/>
      <c r="G44" s="582" t="b">
        <v>0</v>
      </c>
      <c r="H44" s="587"/>
      <c r="I44" s="592"/>
      <c r="J44" s="371"/>
      <c r="K44" s="371"/>
      <c r="L44" s="371"/>
      <c r="M44" s="371"/>
      <c r="N44" s="371"/>
      <c r="O44" s="371"/>
      <c r="P44" s="371"/>
      <c r="Q44" s="371"/>
    </row>
    <row r="45">
      <c r="A45" s="573"/>
      <c r="B45" s="574" t="b">
        <v>0</v>
      </c>
      <c r="C45" s="605"/>
      <c r="D45" s="576"/>
      <c r="E45" s="589"/>
      <c r="F45" s="578"/>
      <c r="G45" s="574" t="b">
        <v>0</v>
      </c>
      <c r="H45" s="579"/>
      <c r="I45" s="580"/>
      <c r="J45" s="371"/>
      <c r="K45" s="371"/>
      <c r="L45" s="371"/>
      <c r="M45" s="371"/>
      <c r="N45" s="371"/>
      <c r="O45" s="371"/>
      <c r="P45" s="371"/>
      <c r="Q45" s="371"/>
    </row>
    <row r="46" ht="27.0" customHeight="1">
      <c r="A46" s="606"/>
      <c r="B46" s="607"/>
      <c r="C46" s="608" t="s">
        <v>5187</v>
      </c>
      <c r="D46" s="609" t="s">
        <v>2994</v>
      </c>
      <c r="E46" s="610" t="s">
        <v>2996</v>
      </c>
      <c r="F46" s="611" t="s">
        <v>4</v>
      </c>
      <c r="G46" s="607" t="b">
        <v>0</v>
      </c>
      <c r="H46" s="612"/>
      <c r="I46" s="613"/>
      <c r="J46" s="614"/>
      <c r="K46" s="614"/>
      <c r="L46" s="614"/>
      <c r="M46" s="614"/>
      <c r="N46" s="614"/>
      <c r="O46" s="614"/>
      <c r="P46" s="614"/>
      <c r="Q46" s="614"/>
    </row>
    <row r="47">
      <c r="A47" s="573">
        <v>32.0</v>
      </c>
      <c r="B47" s="574" t="b">
        <v>0</v>
      </c>
      <c r="C47" s="595" t="s">
        <v>5188</v>
      </c>
      <c r="D47" s="596" t="s">
        <v>5189</v>
      </c>
      <c r="E47" s="589" t="s">
        <v>5190</v>
      </c>
      <c r="F47" s="578" t="s">
        <v>5191</v>
      </c>
      <c r="G47" s="574" t="b">
        <v>0</v>
      </c>
      <c r="H47" s="579"/>
      <c r="I47" s="590" t="s">
        <v>5192</v>
      </c>
      <c r="J47" s="371"/>
      <c r="K47" s="371"/>
      <c r="L47" s="371"/>
      <c r="M47" s="371"/>
      <c r="N47" s="371"/>
      <c r="O47" s="371"/>
      <c r="P47" s="371"/>
      <c r="Q47" s="371"/>
    </row>
    <row r="48">
      <c r="A48" s="581">
        <v>33.0</v>
      </c>
      <c r="B48" s="582" t="b">
        <v>0</v>
      </c>
      <c r="C48" s="594" t="s">
        <v>5193</v>
      </c>
      <c r="D48" s="584" t="s">
        <v>5194</v>
      </c>
      <c r="E48" s="585"/>
      <c r="F48" s="586" t="s">
        <v>5195</v>
      </c>
      <c r="G48" s="582" t="b">
        <v>0</v>
      </c>
      <c r="H48" s="587"/>
      <c r="I48" s="588" t="s">
        <v>5196</v>
      </c>
      <c r="J48" s="371"/>
      <c r="K48" s="371"/>
      <c r="L48" s="371"/>
      <c r="M48" s="371"/>
      <c r="N48" s="371"/>
      <c r="O48" s="371"/>
      <c r="P48" s="371"/>
      <c r="Q48" s="371"/>
    </row>
    <row r="49">
      <c r="A49" s="573">
        <v>34.0</v>
      </c>
      <c r="B49" s="574" t="b">
        <v>0</v>
      </c>
      <c r="C49" s="615" t="s">
        <v>5197</v>
      </c>
      <c r="D49" s="576" t="s">
        <v>5198</v>
      </c>
      <c r="E49" s="589" t="s">
        <v>5199</v>
      </c>
      <c r="F49" s="578" t="s">
        <v>5200</v>
      </c>
      <c r="G49" s="574" t="b">
        <v>0</v>
      </c>
      <c r="H49" s="579"/>
      <c r="I49" s="590" t="s">
        <v>5201</v>
      </c>
      <c r="J49" s="371"/>
      <c r="K49" s="371"/>
      <c r="L49" s="371"/>
      <c r="M49" s="371"/>
      <c r="N49" s="371"/>
      <c r="O49" s="371"/>
      <c r="P49" s="371"/>
      <c r="Q49" s="371"/>
    </row>
    <row r="50">
      <c r="A50" s="581">
        <v>35.0</v>
      </c>
      <c r="B50" s="582" t="b">
        <v>0</v>
      </c>
      <c r="C50" s="594" t="s">
        <v>5202</v>
      </c>
      <c r="D50" s="584" t="s">
        <v>5198</v>
      </c>
      <c r="E50" s="585" t="s">
        <v>5203</v>
      </c>
      <c r="F50" s="586"/>
      <c r="G50" s="582" t="b">
        <v>0</v>
      </c>
      <c r="H50" s="587"/>
      <c r="I50" s="592"/>
      <c r="J50" s="371"/>
      <c r="K50" s="371"/>
      <c r="L50" s="371"/>
      <c r="M50" s="371"/>
      <c r="N50" s="371"/>
      <c r="O50" s="371"/>
      <c r="P50" s="371"/>
      <c r="Q50" s="371"/>
    </row>
    <row r="51">
      <c r="A51" s="573">
        <v>36.0</v>
      </c>
      <c r="B51" s="574" t="b">
        <v>0</v>
      </c>
      <c r="C51" s="595" t="s">
        <v>5204</v>
      </c>
      <c r="D51" s="576" t="s">
        <v>5205</v>
      </c>
      <c r="E51" s="589" t="s">
        <v>5206</v>
      </c>
      <c r="F51" s="578"/>
      <c r="G51" s="574" t="b">
        <v>0</v>
      </c>
      <c r="H51" s="579"/>
      <c r="I51" s="590" t="s">
        <v>5207</v>
      </c>
      <c r="J51" s="371"/>
      <c r="K51" s="371"/>
      <c r="L51" s="371"/>
      <c r="M51" s="371"/>
      <c r="N51" s="371"/>
      <c r="O51" s="371"/>
      <c r="P51" s="371"/>
      <c r="Q51" s="371"/>
    </row>
    <row r="52">
      <c r="A52" s="581">
        <v>37.0</v>
      </c>
      <c r="B52" s="582" t="b">
        <v>0</v>
      </c>
      <c r="C52" s="616" t="s">
        <v>5208</v>
      </c>
      <c r="D52" s="597" t="s">
        <v>5209</v>
      </c>
      <c r="E52" s="585" t="s">
        <v>5210</v>
      </c>
      <c r="F52" s="586" t="s">
        <v>5211</v>
      </c>
      <c r="G52" s="582" t="b">
        <v>0</v>
      </c>
      <c r="H52" s="587"/>
      <c r="I52" s="588" t="s">
        <v>5212</v>
      </c>
      <c r="J52" s="371"/>
      <c r="K52" s="371"/>
      <c r="L52" s="371"/>
      <c r="M52" s="371"/>
      <c r="N52" s="371"/>
      <c r="O52" s="371"/>
      <c r="P52" s="371"/>
      <c r="Q52" s="371"/>
    </row>
    <row r="53">
      <c r="A53" s="573">
        <v>38.0</v>
      </c>
      <c r="B53" s="574" t="b">
        <v>0</v>
      </c>
      <c r="C53" s="595" t="s">
        <v>5213</v>
      </c>
      <c r="D53" s="576" t="s">
        <v>5214</v>
      </c>
      <c r="E53" s="589" t="s">
        <v>5215</v>
      </c>
      <c r="F53" s="617"/>
      <c r="G53" s="574" t="b">
        <v>0</v>
      </c>
      <c r="H53" s="579" t="s">
        <v>5216</v>
      </c>
      <c r="I53" s="580"/>
      <c r="J53" s="371"/>
      <c r="K53" s="371"/>
      <c r="L53" s="371"/>
      <c r="M53" s="371"/>
      <c r="N53" s="371"/>
      <c r="O53" s="371"/>
      <c r="P53" s="371"/>
      <c r="Q53" s="371"/>
    </row>
    <row r="54">
      <c r="A54" s="581">
        <v>39.0</v>
      </c>
      <c r="B54" s="582" t="b">
        <v>0</v>
      </c>
      <c r="C54" s="618" t="s">
        <v>5217</v>
      </c>
      <c r="D54" s="584" t="s">
        <v>5218</v>
      </c>
      <c r="E54" s="585" t="s">
        <v>5219</v>
      </c>
      <c r="F54" s="586"/>
      <c r="G54" s="582" t="b">
        <v>0</v>
      </c>
      <c r="H54" s="587"/>
      <c r="I54" s="592" t="s">
        <v>5220</v>
      </c>
      <c r="J54" s="371"/>
      <c r="K54" s="371"/>
      <c r="L54" s="371"/>
      <c r="M54" s="371"/>
      <c r="N54" s="371"/>
      <c r="O54" s="371"/>
      <c r="P54" s="371"/>
      <c r="Q54" s="371"/>
    </row>
    <row r="55">
      <c r="A55" s="573">
        <v>40.0</v>
      </c>
      <c r="B55" s="574" t="b">
        <v>0</v>
      </c>
      <c r="C55" s="595" t="s">
        <v>5221</v>
      </c>
      <c r="D55" s="576" t="s">
        <v>5222</v>
      </c>
      <c r="E55" s="589" t="s">
        <v>5223</v>
      </c>
      <c r="F55" s="578"/>
      <c r="G55" s="574" t="b">
        <v>0</v>
      </c>
      <c r="H55" s="579"/>
      <c r="I55" s="580"/>
      <c r="J55" s="371"/>
      <c r="K55" s="371"/>
      <c r="L55" s="371"/>
      <c r="M55" s="371"/>
      <c r="N55" s="371"/>
      <c r="O55" s="371"/>
      <c r="P55" s="371"/>
      <c r="Q55" s="371"/>
    </row>
    <row r="56">
      <c r="A56" s="581">
        <v>41.0</v>
      </c>
      <c r="B56" s="582" t="b">
        <v>0</v>
      </c>
      <c r="C56" s="594" t="s">
        <v>5224</v>
      </c>
      <c r="D56" s="584" t="s">
        <v>5225</v>
      </c>
      <c r="E56" s="585" t="s">
        <v>5226</v>
      </c>
      <c r="F56" s="586" t="s">
        <v>5227</v>
      </c>
      <c r="G56" s="582" t="b">
        <v>0</v>
      </c>
      <c r="H56" s="587"/>
      <c r="I56" s="592" t="s">
        <v>5228</v>
      </c>
      <c r="J56" s="371"/>
      <c r="K56" s="371"/>
      <c r="L56" s="371"/>
      <c r="M56" s="371"/>
      <c r="N56" s="371"/>
      <c r="O56" s="371"/>
      <c r="P56" s="371"/>
      <c r="Q56" s="371"/>
    </row>
    <row r="57">
      <c r="A57" s="573">
        <v>42.0</v>
      </c>
      <c r="B57" s="574" t="b">
        <v>0</v>
      </c>
      <c r="C57" s="595" t="s">
        <v>5229</v>
      </c>
      <c r="D57" s="576" t="s">
        <v>5230</v>
      </c>
      <c r="E57" s="589" t="s">
        <v>5231</v>
      </c>
      <c r="F57" s="578" t="s">
        <v>5232</v>
      </c>
      <c r="G57" s="574" t="b">
        <v>0</v>
      </c>
      <c r="H57" s="579"/>
      <c r="I57" s="580" t="s">
        <v>5233</v>
      </c>
      <c r="J57" s="371"/>
      <c r="K57" s="371"/>
      <c r="L57" s="371"/>
      <c r="M57" s="371"/>
      <c r="N57" s="371"/>
      <c r="O57" s="371"/>
      <c r="P57" s="371"/>
      <c r="Q57" s="371"/>
    </row>
    <row r="58">
      <c r="A58" s="581">
        <v>43.0</v>
      </c>
      <c r="B58" s="582" t="b">
        <v>0</v>
      </c>
      <c r="C58" s="594" t="s">
        <v>5234</v>
      </c>
      <c r="D58" s="584" t="s">
        <v>5235</v>
      </c>
      <c r="E58" s="585" t="s">
        <v>5236</v>
      </c>
      <c r="F58" s="586" t="s">
        <v>5237</v>
      </c>
      <c r="G58" s="582" t="b">
        <v>0</v>
      </c>
      <c r="H58" s="587"/>
      <c r="I58" s="592" t="s">
        <v>5238</v>
      </c>
      <c r="J58" s="371"/>
      <c r="K58" s="371"/>
      <c r="L58" s="371"/>
      <c r="M58" s="371"/>
      <c r="N58" s="371"/>
      <c r="O58" s="371"/>
      <c r="P58" s="371"/>
      <c r="Q58" s="371"/>
    </row>
    <row r="59" ht="30.75" customHeight="1">
      <c r="A59" s="573">
        <v>44.0</v>
      </c>
      <c r="B59" s="574" t="b">
        <v>0</v>
      </c>
      <c r="C59" s="595" t="s">
        <v>5239</v>
      </c>
      <c r="D59" s="576" t="s">
        <v>5235</v>
      </c>
      <c r="E59" s="589" t="s">
        <v>5240</v>
      </c>
      <c r="F59" s="578" t="s">
        <v>5241</v>
      </c>
      <c r="G59" s="574" t="b">
        <v>0</v>
      </c>
      <c r="H59" s="579"/>
      <c r="I59" s="619" t="s">
        <v>5242</v>
      </c>
      <c r="J59" s="371"/>
      <c r="K59" s="371"/>
      <c r="L59" s="371"/>
      <c r="M59" s="371"/>
      <c r="N59" s="371"/>
      <c r="O59" s="371"/>
      <c r="P59" s="371"/>
      <c r="Q59" s="371"/>
    </row>
    <row r="60">
      <c r="A60" s="581">
        <v>45.0</v>
      </c>
      <c r="B60" s="582" t="b">
        <v>0</v>
      </c>
      <c r="C60" s="616" t="s">
        <v>5243</v>
      </c>
      <c r="D60" s="584" t="s">
        <v>5153</v>
      </c>
      <c r="E60" s="585" t="s">
        <v>5244</v>
      </c>
      <c r="F60" s="586" t="s">
        <v>5245</v>
      </c>
      <c r="G60" s="582" t="b">
        <v>0</v>
      </c>
      <c r="H60" s="587"/>
      <c r="I60" s="592" t="s">
        <v>5246</v>
      </c>
      <c r="J60" s="371"/>
      <c r="K60" s="371"/>
      <c r="L60" s="371"/>
      <c r="M60" s="371"/>
      <c r="N60" s="371"/>
      <c r="O60" s="371"/>
      <c r="P60" s="371"/>
      <c r="Q60" s="371"/>
    </row>
    <row r="61">
      <c r="A61" s="573">
        <v>46.0</v>
      </c>
      <c r="B61" s="574" t="b">
        <v>0</v>
      </c>
      <c r="C61" s="595" t="s">
        <v>5247</v>
      </c>
      <c r="D61" s="576" t="s">
        <v>5248</v>
      </c>
      <c r="E61" s="620" t="s">
        <v>5249</v>
      </c>
      <c r="F61" s="578" t="s">
        <v>5250</v>
      </c>
      <c r="G61" s="574" t="b">
        <v>0</v>
      </c>
      <c r="H61" s="579"/>
      <c r="I61" s="590" t="s">
        <v>5251</v>
      </c>
      <c r="J61" s="371"/>
      <c r="K61" s="371"/>
      <c r="L61" s="371"/>
      <c r="M61" s="371"/>
      <c r="N61" s="371"/>
      <c r="O61" s="371"/>
      <c r="P61" s="371"/>
      <c r="Q61" s="371"/>
    </row>
    <row r="62">
      <c r="A62" s="581">
        <v>47.0</v>
      </c>
      <c r="B62" s="582" t="b">
        <v>0</v>
      </c>
      <c r="C62" s="594" t="s">
        <v>5252</v>
      </c>
      <c r="D62" s="584" t="s">
        <v>5253</v>
      </c>
      <c r="E62" s="585" t="s">
        <v>5254</v>
      </c>
      <c r="F62" s="586" t="s">
        <v>5255</v>
      </c>
      <c r="G62" s="582" t="b">
        <v>0</v>
      </c>
      <c r="H62" s="587"/>
      <c r="I62" s="592" t="s">
        <v>5256</v>
      </c>
      <c r="J62" s="371"/>
      <c r="K62" s="371"/>
      <c r="L62" s="371"/>
      <c r="M62" s="371"/>
      <c r="N62" s="371"/>
      <c r="O62" s="371"/>
      <c r="P62" s="371"/>
      <c r="Q62" s="371"/>
    </row>
    <row r="63">
      <c r="A63" s="573">
        <v>48.0</v>
      </c>
      <c r="B63" s="574" t="b">
        <v>0</v>
      </c>
      <c r="C63" s="595" t="s">
        <v>5257</v>
      </c>
      <c r="D63" s="576" t="s">
        <v>5258</v>
      </c>
      <c r="E63" s="589" t="s">
        <v>5259</v>
      </c>
      <c r="F63" s="578" t="s">
        <v>5260</v>
      </c>
      <c r="G63" s="574" t="b">
        <v>0</v>
      </c>
      <c r="H63" s="579"/>
      <c r="I63" s="580" t="s">
        <v>5261</v>
      </c>
      <c r="J63" s="371"/>
      <c r="K63" s="371"/>
      <c r="L63" s="371"/>
      <c r="M63" s="371"/>
      <c r="N63" s="371"/>
      <c r="O63" s="371"/>
      <c r="P63" s="371"/>
      <c r="Q63" s="371"/>
    </row>
    <row r="64" ht="36.75" customHeight="1">
      <c r="A64" s="581">
        <v>49.0</v>
      </c>
      <c r="B64" s="582" t="b">
        <v>0</v>
      </c>
      <c r="C64" s="594" t="s">
        <v>5262</v>
      </c>
      <c r="D64" s="584" t="s">
        <v>5263</v>
      </c>
      <c r="E64" s="585" t="s">
        <v>5264</v>
      </c>
      <c r="F64" s="586" t="s">
        <v>5265</v>
      </c>
      <c r="G64" s="582" t="b">
        <v>0</v>
      </c>
      <c r="H64" s="587"/>
      <c r="I64" s="593" t="s">
        <v>5266</v>
      </c>
      <c r="J64" s="371"/>
      <c r="K64" s="371"/>
      <c r="L64" s="371"/>
      <c r="M64" s="371"/>
      <c r="N64" s="371"/>
      <c r="O64" s="371"/>
      <c r="P64" s="371"/>
      <c r="Q64" s="371"/>
    </row>
    <row r="65">
      <c r="A65" s="573">
        <v>50.0</v>
      </c>
      <c r="B65" s="574" t="b">
        <v>0</v>
      </c>
      <c r="C65" s="595" t="s">
        <v>5133</v>
      </c>
      <c r="D65" s="576" t="s">
        <v>5267</v>
      </c>
      <c r="E65" s="589" t="s">
        <v>5268</v>
      </c>
      <c r="F65" s="578" t="s">
        <v>5269</v>
      </c>
      <c r="G65" s="574" t="b">
        <v>1</v>
      </c>
      <c r="H65" s="579"/>
      <c r="I65" s="619" t="s">
        <v>5270</v>
      </c>
      <c r="J65" s="371"/>
      <c r="K65" s="371"/>
      <c r="L65" s="371"/>
      <c r="M65" s="371"/>
      <c r="N65" s="371"/>
      <c r="O65" s="371"/>
      <c r="P65" s="371"/>
      <c r="Q65" s="371"/>
    </row>
    <row r="66" ht="36.0" customHeight="1">
      <c r="A66" s="581">
        <v>51.0</v>
      </c>
      <c r="B66" s="582" t="b">
        <v>0</v>
      </c>
      <c r="C66" s="594" t="s">
        <v>5271</v>
      </c>
      <c r="D66" s="584" t="s">
        <v>5272</v>
      </c>
      <c r="E66" s="585"/>
      <c r="F66" s="586"/>
      <c r="G66" s="582" t="b">
        <v>0</v>
      </c>
      <c r="H66" s="587"/>
      <c r="I66" s="592"/>
      <c r="J66" s="371"/>
      <c r="K66" s="371"/>
      <c r="L66" s="371"/>
      <c r="M66" s="371"/>
      <c r="N66" s="371"/>
      <c r="O66" s="371"/>
      <c r="P66" s="371"/>
      <c r="Q66" s="371"/>
    </row>
    <row r="67" ht="34.5" customHeight="1">
      <c r="A67" s="573">
        <v>52.0</v>
      </c>
      <c r="B67" s="574" t="b">
        <v>0</v>
      </c>
      <c r="C67" s="595" t="s">
        <v>5273</v>
      </c>
      <c r="D67" s="576"/>
      <c r="E67" s="589" t="s">
        <v>5274</v>
      </c>
      <c r="F67" s="578" t="s">
        <v>5275</v>
      </c>
      <c r="G67" s="574" t="b">
        <v>1</v>
      </c>
      <c r="H67" s="579"/>
      <c r="I67" s="580"/>
      <c r="J67" s="371"/>
      <c r="K67" s="371"/>
      <c r="L67" s="371"/>
      <c r="M67" s="371"/>
      <c r="N67" s="371"/>
      <c r="O67" s="371"/>
      <c r="P67" s="371"/>
      <c r="Q67" s="371"/>
    </row>
    <row r="68" ht="24.0" customHeight="1">
      <c r="A68" s="581">
        <v>53.0</v>
      </c>
      <c r="B68" s="582" t="b">
        <v>0</v>
      </c>
      <c r="C68" s="594" t="s">
        <v>5276</v>
      </c>
      <c r="D68" s="597" t="s">
        <v>5277</v>
      </c>
      <c r="E68" s="585" t="s">
        <v>5278</v>
      </c>
      <c r="F68" s="586" t="s">
        <v>5279</v>
      </c>
      <c r="G68" s="582" t="b">
        <v>0</v>
      </c>
      <c r="H68" s="587"/>
      <c r="I68" s="593" t="s">
        <v>5280</v>
      </c>
      <c r="J68" s="371"/>
      <c r="K68" s="371"/>
      <c r="L68" s="371"/>
      <c r="M68" s="371"/>
      <c r="N68" s="371"/>
      <c r="O68" s="371"/>
      <c r="P68" s="371"/>
      <c r="Q68" s="371"/>
    </row>
    <row r="69">
      <c r="A69" s="573">
        <v>54.0</v>
      </c>
      <c r="B69" s="574" t="b">
        <v>0</v>
      </c>
      <c r="C69" s="595"/>
      <c r="D69" s="576"/>
      <c r="E69" s="589"/>
      <c r="F69" s="578"/>
      <c r="G69" s="574" t="b">
        <v>0</v>
      </c>
      <c r="H69" s="579"/>
      <c r="I69" s="580"/>
      <c r="J69" s="371"/>
      <c r="K69" s="371"/>
      <c r="L69" s="371"/>
      <c r="M69" s="371"/>
      <c r="N69" s="371"/>
      <c r="O69" s="371"/>
      <c r="P69" s="371"/>
      <c r="Q69" s="371"/>
    </row>
    <row r="70">
      <c r="A70" s="581">
        <v>55.0</v>
      </c>
      <c r="B70" s="582" t="b">
        <v>0</v>
      </c>
      <c r="C70" s="594"/>
      <c r="D70" s="584"/>
      <c r="E70" s="585"/>
      <c r="F70" s="586"/>
      <c r="G70" s="582" t="b">
        <v>0</v>
      </c>
      <c r="H70" s="587"/>
      <c r="I70" s="592"/>
      <c r="J70" s="371"/>
      <c r="K70" s="371"/>
      <c r="L70" s="371"/>
      <c r="M70" s="371"/>
      <c r="N70" s="371"/>
      <c r="O70" s="371"/>
      <c r="P70" s="371"/>
      <c r="Q70" s="371"/>
    </row>
    <row r="71">
      <c r="A71" s="573">
        <v>56.0</v>
      </c>
      <c r="B71" s="574" t="b">
        <v>0</v>
      </c>
      <c r="C71" s="595"/>
      <c r="D71" s="576"/>
      <c r="E71" s="589"/>
      <c r="F71" s="578"/>
      <c r="G71" s="574" t="b">
        <v>0</v>
      </c>
      <c r="H71" s="579"/>
      <c r="I71" s="580"/>
      <c r="J71" s="371"/>
      <c r="K71" s="371"/>
      <c r="L71" s="371"/>
      <c r="M71" s="371"/>
      <c r="N71" s="371"/>
      <c r="O71" s="371"/>
      <c r="P71" s="371"/>
      <c r="Q71" s="371"/>
    </row>
    <row r="72">
      <c r="A72" s="581">
        <v>57.0</v>
      </c>
      <c r="B72" s="582" t="b">
        <v>0</v>
      </c>
      <c r="C72" s="594"/>
      <c r="D72" s="584"/>
      <c r="E72" s="585"/>
      <c r="F72" s="586"/>
      <c r="G72" s="582" t="b">
        <v>0</v>
      </c>
      <c r="H72" s="587"/>
      <c r="I72" s="592"/>
      <c r="J72" s="371"/>
      <c r="K72" s="371"/>
      <c r="L72" s="371"/>
      <c r="M72" s="371"/>
      <c r="N72" s="371"/>
      <c r="O72" s="371"/>
      <c r="P72" s="371"/>
      <c r="Q72" s="371"/>
    </row>
    <row r="73">
      <c r="A73" s="573">
        <v>58.0</v>
      </c>
      <c r="B73" s="574" t="b">
        <v>0</v>
      </c>
      <c r="C73" s="595"/>
      <c r="D73" s="576"/>
      <c r="E73" s="589"/>
      <c r="F73" s="578"/>
      <c r="G73" s="574" t="b">
        <v>0</v>
      </c>
      <c r="H73" s="579"/>
      <c r="I73" s="580"/>
      <c r="J73" s="371"/>
      <c r="K73" s="371"/>
      <c r="L73" s="371"/>
      <c r="M73" s="371"/>
      <c r="N73" s="371"/>
      <c r="O73" s="371"/>
      <c r="P73" s="371"/>
      <c r="Q73" s="371"/>
    </row>
    <row r="74">
      <c r="A74" s="581">
        <v>59.0</v>
      </c>
      <c r="B74" s="582" t="b">
        <v>0</v>
      </c>
      <c r="C74" s="594"/>
      <c r="D74" s="584"/>
      <c r="E74" s="585"/>
      <c r="F74" s="586"/>
      <c r="G74" s="582" t="b">
        <v>0</v>
      </c>
      <c r="H74" s="587"/>
      <c r="I74" s="592"/>
      <c r="J74" s="371"/>
      <c r="K74" s="371"/>
      <c r="L74" s="371"/>
      <c r="M74" s="371"/>
      <c r="N74" s="371"/>
      <c r="O74" s="371"/>
      <c r="P74" s="371"/>
      <c r="Q74" s="371"/>
    </row>
    <row r="75">
      <c r="A75" s="573">
        <v>60.0</v>
      </c>
      <c r="B75" s="574" t="b">
        <v>0</v>
      </c>
      <c r="C75" s="595"/>
      <c r="D75" s="576"/>
      <c r="E75" s="589"/>
      <c r="F75" s="578"/>
      <c r="G75" s="574" t="b">
        <v>0</v>
      </c>
      <c r="H75" s="579"/>
      <c r="I75" s="580"/>
      <c r="J75" s="371"/>
      <c r="K75" s="371"/>
      <c r="L75" s="371"/>
      <c r="M75" s="371"/>
      <c r="N75" s="371"/>
      <c r="O75" s="371"/>
      <c r="P75" s="371"/>
      <c r="Q75" s="371"/>
    </row>
    <row r="76">
      <c r="A76" s="581">
        <v>61.0</v>
      </c>
      <c r="B76" s="582" t="b">
        <v>0</v>
      </c>
      <c r="C76" s="594"/>
      <c r="D76" s="584"/>
      <c r="E76" s="585"/>
      <c r="F76" s="586"/>
      <c r="G76" s="582" t="b">
        <v>0</v>
      </c>
      <c r="H76" s="587"/>
      <c r="I76" s="592"/>
      <c r="J76" s="371"/>
      <c r="K76" s="371"/>
      <c r="L76" s="371"/>
      <c r="M76" s="371"/>
      <c r="N76" s="371"/>
      <c r="O76" s="371"/>
      <c r="P76" s="371"/>
      <c r="Q76" s="371"/>
    </row>
    <row r="77">
      <c r="A77" s="573">
        <v>62.0</v>
      </c>
      <c r="B77" s="574" t="b">
        <v>0</v>
      </c>
      <c r="C77" s="595"/>
      <c r="D77" s="576"/>
      <c r="E77" s="589"/>
      <c r="F77" s="578"/>
      <c r="G77" s="574" t="b">
        <v>0</v>
      </c>
      <c r="H77" s="579"/>
      <c r="I77" s="580"/>
      <c r="J77" s="371"/>
      <c r="K77" s="371"/>
      <c r="L77" s="371"/>
      <c r="M77" s="371"/>
      <c r="N77" s="371"/>
      <c r="O77" s="371"/>
      <c r="P77" s="371"/>
      <c r="Q77" s="371"/>
    </row>
    <row r="78">
      <c r="A78" s="581">
        <v>63.0</v>
      </c>
      <c r="B78" s="582" t="b">
        <v>0</v>
      </c>
      <c r="C78" s="594"/>
      <c r="D78" s="584"/>
      <c r="E78" s="585"/>
      <c r="F78" s="586"/>
      <c r="G78" s="582" t="b">
        <v>0</v>
      </c>
      <c r="H78" s="587"/>
      <c r="I78" s="592"/>
      <c r="J78" s="371"/>
      <c r="K78" s="371"/>
      <c r="L78" s="371"/>
      <c r="M78" s="371"/>
      <c r="N78" s="371"/>
      <c r="O78" s="371"/>
      <c r="P78" s="371"/>
      <c r="Q78" s="371"/>
    </row>
    <row r="79">
      <c r="A79" s="573">
        <v>64.0</v>
      </c>
      <c r="B79" s="574" t="b">
        <v>0</v>
      </c>
      <c r="C79" s="595"/>
      <c r="D79" s="576"/>
      <c r="E79" s="589"/>
      <c r="F79" s="578"/>
      <c r="G79" s="574" t="b">
        <v>0</v>
      </c>
      <c r="H79" s="579"/>
      <c r="I79" s="580"/>
      <c r="J79" s="371"/>
      <c r="K79" s="371"/>
      <c r="L79" s="371"/>
      <c r="M79" s="371"/>
      <c r="N79" s="371"/>
      <c r="O79" s="371"/>
      <c r="P79" s="371"/>
      <c r="Q79" s="371"/>
    </row>
    <row r="80">
      <c r="A80" s="581">
        <v>65.0</v>
      </c>
      <c r="B80" s="582" t="b">
        <v>0</v>
      </c>
      <c r="C80" s="594"/>
      <c r="D80" s="584"/>
      <c r="E80" s="585"/>
      <c r="F80" s="586"/>
      <c r="G80" s="582" t="b">
        <v>0</v>
      </c>
      <c r="H80" s="587"/>
      <c r="I80" s="592"/>
      <c r="J80" s="371"/>
      <c r="K80" s="371"/>
      <c r="L80" s="371"/>
      <c r="M80" s="371"/>
      <c r="N80" s="371"/>
      <c r="O80" s="371"/>
      <c r="P80" s="371"/>
      <c r="Q80" s="371"/>
    </row>
    <row r="81">
      <c r="A81" s="573">
        <v>66.0</v>
      </c>
      <c r="B81" s="574" t="b">
        <v>0</v>
      </c>
      <c r="C81" s="595"/>
      <c r="D81" s="576"/>
      <c r="E81" s="589"/>
      <c r="F81" s="578"/>
      <c r="G81" s="574" t="b">
        <v>0</v>
      </c>
      <c r="H81" s="579"/>
      <c r="I81" s="580"/>
      <c r="J81" s="371"/>
      <c r="K81" s="371"/>
      <c r="L81" s="371"/>
      <c r="M81" s="371"/>
      <c r="N81" s="371"/>
      <c r="O81" s="371"/>
      <c r="P81" s="371"/>
      <c r="Q81" s="371"/>
    </row>
    <row r="82">
      <c r="A82" s="581">
        <v>67.0</v>
      </c>
      <c r="B82" s="582" t="b">
        <v>0</v>
      </c>
      <c r="C82" s="594"/>
      <c r="D82" s="584"/>
      <c r="E82" s="585"/>
      <c r="F82" s="621"/>
      <c r="G82" s="582" t="b">
        <v>0</v>
      </c>
      <c r="H82" s="587"/>
      <c r="I82" s="592"/>
      <c r="J82" s="371"/>
      <c r="K82" s="371"/>
      <c r="L82" s="371"/>
      <c r="M82" s="371"/>
      <c r="N82" s="371"/>
      <c r="O82" s="371"/>
      <c r="P82" s="371"/>
      <c r="Q82" s="371"/>
    </row>
    <row r="83">
      <c r="A83" s="573">
        <v>68.0</v>
      </c>
      <c r="B83" s="574" t="b">
        <v>0</v>
      </c>
      <c r="C83" s="595"/>
      <c r="D83" s="576"/>
      <c r="E83" s="589"/>
      <c r="F83" s="578"/>
      <c r="G83" s="574" t="b">
        <v>0</v>
      </c>
      <c r="H83" s="579"/>
      <c r="I83" s="580"/>
      <c r="J83" s="371"/>
      <c r="K83" s="371"/>
      <c r="L83" s="371"/>
      <c r="M83" s="371"/>
      <c r="N83" s="371"/>
      <c r="O83" s="371"/>
      <c r="P83" s="371"/>
      <c r="Q83" s="371"/>
    </row>
    <row r="84">
      <c r="A84" s="581">
        <v>69.0</v>
      </c>
      <c r="B84" s="582" t="b">
        <v>0</v>
      </c>
      <c r="C84" s="594"/>
      <c r="D84" s="584"/>
      <c r="E84" s="585"/>
      <c r="F84" s="586"/>
      <c r="G84" s="582" t="b">
        <v>0</v>
      </c>
      <c r="H84" s="587"/>
      <c r="I84" s="592"/>
      <c r="J84" s="371"/>
      <c r="K84" s="371"/>
      <c r="L84" s="371"/>
      <c r="M84" s="371"/>
      <c r="N84" s="371"/>
      <c r="O84" s="371"/>
      <c r="P84" s="371"/>
      <c r="Q84" s="371"/>
    </row>
    <row r="85">
      <c r="A85" s="573">
        <v>70.0</v>
      </c>
      <c r="B85" s="574" t="b">
        <v>0</v>
      </c>
      <c r="C85" s="595"/>
      <c r="D85" s="576"/>
      <c r="E85" s="589"/>
      <c r="F85" s="578"/>
      <c r="G85" s="574" t="b">
        <v>0</v>
      </c>
      <c r="H85" s="579"/>
      <c r="I85" s="580"/>
      <c r="J85" s="371"/>
      <c r="K85" s="371"/>
      <c r="L85" s="371"/>
      <c r="M85" s="371"/>
      <c r="N85" s="371"/>
      <c r="O85" s="371"/>
      <c r="P85" s="371"/>
      <c r="Q85" s="371"/>
    </row>
    <row r="86">
      <c r="A86" s="581">
        <v>71.0</v>
      </c>
      <c r="B86" s="582" t="b">
        <v>0</v>
      </c>
      <c r="C86" s="594"/>
      <c r="D86" s="584"/>
      <c r="E86" s="585"/>
      <c r="F86" s="586"/>
      <c r="G86" s="582" t="b">
        <v>0</v>
      </c>
      <c r="H86" s="587"/>
      <c r="I86" s="592"/>
      <c r="J86" s="371"/>
      <c r="K86" s="371"/>
      <c r="L86" s="371"/>
      <c r="M86" s="371"/>
      <c r="N86" s="371"/>
      <c r="O86" s="371"/>
      <c r="P86" s="371"/>
      <c r="Q86" s="371"/>
    </row>
    <row r="87">
      <c r="A87" s="573">
        <v>72.0</v>
      </c>
      <c r="B87" s="574" t="b">
        <v>0</v>
      </c>
      <c r="C87" s="595"/>
      <c r="D87" s="576"/>
      <c r="E87" s="589"/>
      <c r="F87" s="578"/>
      <c r="G87" s="574" t="b">
        <v>0</v>
      </c>
      <c r="H87" s="579"/>
      <c r="I87" s="580"/>
      <c r="J87" s="371"/>
      <c r="K87" s="371"/>
      <c r="L87" s="371"/>
      <c r="M87" s="371"/>
      <c r="N87" s="371"/>
      <c r="O87" s="371"/>
      <c r="P87" s="371"/>
      <c r="Q87" s="371"/>
    </row>
    <row r="88">
      <c r="A88" s="581">
        <v>73.0</v>
      </c>
      <c r="B88" s="582" t="b">
        <v>0</v>
      </c>
      <c r="C88" s="594"/>
      <c r="D88" s="584"/>
      <c r="E88" s="591"/>
      <c r="F88" s="586"/>
      <c r="G88" s="582" t="b">
        <v>0</v>
      </c>
      <c r="H88" s="587"/>
      <c r="I88" s="592"/>
      <c r="J88" s="371"/>
      <c r="K88" s="371"/>
      <c r="L88" s="371"/>
      <c r="M88" s="371"/>
      <c r="N88" s="371"/>
      <c r="O88" s="371"/>
      <c r="P88" s="371"/>
      <c r="Q88" s="371"/>
    </row>
    <row r="89">
      <c r="A89" s="573">
        <v>74.0</v>
      </c>
      <c r="B89" s="574" t="b">
        <v>0</v>
      </c>
      <c r="C89" s="595"/>
      <c r="D89" s="576"/>
      <c r="E89" s="589"/>
      <c r="F89" s="578"/>
      <c r="G89" s="574" t="b">
        <v>0</v>
      </c>
      <c r="H89" s="579"/>
      <c r="I89" s="580"/>
      <c r="J89" s="371"/>
      <c r="K89" s="371"/>
      <c r="L89" s="371"/>
      <c r="M89" s="371"/>
      <c r="N89" s="371"/>
      <c r="O89" s="371"/>
      <c r="P89" s="371"/>
      <c r="Q89" s="371"/>
    </row>
    <row r="90">
      <c r="A90" s="581">
        <v>75.0</v>
      </c>
      <c r="B90" s="582" t="b">
        <v>0</v>
      </c>
      <c r="C90" s="594"/>
      <c r="D90" s="584"/>
      <c r="E90" s="591"/>
      <c r="F90" s="621"/>
      <c r="G90" s="582" t="b">
        <v>0</v>
      </c>
      <c r="H90" s="587"/>
      <c r="I90" s="592"/>
      <c r="J90" s="371"/>
      <c r="K90" s="371"/>
      <c r="L90" s="371"/>
      <c r="M90" s="371"/>
      <c r="N90" s="371"/>
      <c r="O90" s="371"/>
      <c r="P90" s="371"/>
      <c r="Q90" s="371"/>
    </row>
    <row r="91">
      <c r="A91" s="573">
        <v>76.0</v>
      </c>
      <c r="B91" s="574" t="b">
        <v>0</v>
      </c>
      <c r="C91" s="595"/>
      <c r="D91" s="576"/>
      <c r="E91" s="589"/>
      <c r="F91" s="578"/>
      <c r="G91" s="574" t="b">
        <v>0</v>
      </c>
      <c r="H91" s="579"/>
      <c r="I91" s="580"/>
      <c r="J91" s="371"/>
      <c r="K91" s="371"/>
      <c r="L91" s="371"/>
      <c r="M91" s="371"/>
      <c r="N91" s="371"/>
      <c r="O91" s="371"/>
      <c r="P91" s="371"/>
      <c r="Q91" s="371"/>
    </row>
    <row r="92">
      <c r="A92" s="581">
        <v>77.0</v>
      </c>
      <c r="B92" s="582" t="b">
        <v>0</v>
      </c>
      <c r="C92" s="594"/>
      <c r="D92" s="584"/>
      <c r="E92" s="585"/>
      <c r="F92" s="586"/>
      <c r="G92" s="582" t="b">
        <v>0</v>
      </c>
      <c r="H92" s="587"/>
      <c r="I92" s="592"/>
      <c r="J92" s="371"/>
      <c r="K92" s="371"/>
      <c r="L92" s="371"/>
      <c r="M92" s="371"/>
      <c r="N92" s="371"/>
      <c r="O92" s="371"/>
      <c r="P92" s="371"/>
      <c r="Q92" s="371"/>
    </row>
    <row r="93">
      <c r="A93" s="573">
        <v>78.0</v>
      </c>
      <c r="B93" s="574" t="b">
        <v>0</v>
      </c>
      <c r="C93" s="595"/>
      <c r="D93" s="576"/>
      <c r="E93" s="589"/>
      <c r="F93" s="578"/>
      <c r="G93" s="574" t="b">
        <v>0</v>
      </c>
      <c r="H93" s="579"/>
      <c r="I93" s="580"/>
      <c r="J93" s="371"/>
      <c r="K93" s="371"/>
      <c r="L93" s="371"/>
      <c r="M93" s="371"/>
      <c r="N93" s="371"/>
      <c r="O93" s="371"/>
      <c r="P93" s="371"/>
      <c r="Q93" s="371"/>
    </row>
    <row r="94">
      <c r="A94" s="581">
        <v>79.0</v>
      </c>
      <c r="B94" s="582" t="b">
        <v>0</v>
      </c>
      <c r="C94" s="594"/>
      <c r="D94" s="584"/>
      <c r="E94" s="585"/>
      <c r="F94" s="586"/>
      <c r="G94" s="582" t="b">
        <v>0</v>
      </c>
      <c r="H94" s="587"/>
      <c r="I94" s="592"/>
      <c r="J94" s="371"/>
      <c r="K94" s="371"/>
      <c r="L94" s="371"/>
      <c r="M94" s="371"/>
      <c r="N94" s="371"/>
      <c r="O94" s="371"/>
      <c r="P94" s="371"/>
      <c r="Q94" s="371"/>
    </row>
    <row r="95">
      <c r="A95" s="573">
        <v>80.0</v>
      </c>
      <c r="B95" s="574" t="b">
        <v>0</v>
      </c>
      <c r="C95" s="595"/>
      <c r="D95" s="576"/>
      <c r="E95" s="589"/>
      <c r="F95" s="578"/>
      <c r="G95" s="574" t="b">
        <v>0</v>
      </c>
      <c r="H95" s="579"/>
      <c r="I95" s="580"/>
      <c r="J95" s="371"/>
      <c r="K95" s="371"/>
      <c r="L95" s="371"/>
      <c r="M95" s="371"/>
      <c r="N95" s="371"/>
      <c r="O95" s="371"/>
      <c r="P95" s="371"/>
      <c r="Q95" s="371"/>
    </row>
    <row r="96">
      <c r="A96" s="581">
        <v>81.0</v>
      </c>
      <c r="B96" s="582" t="b">
        <v>0</v>
      </c>
      <c r="C96" s="594"/>
      <c r="D96" s="584"/>
      <c r="E96" s="591"/>
      <c r="F96" s="586"/>
      <c r="G96" s="582" t="b">
        <v>0</v>
      </c>
      <c r="H96" s="587"/>
      <c r="I96" s="592"/>
      <c r="J96" s="371"/>
      <c r="K96" s="371"/>
      <c r="L96" s="371"/>
      <c r="M96" s="371"/>
      <c r="N96" s="371"/>
      <c r="O96" s="371"/>
      <c r="P96" s="371"/>
      <c r="Q96" s="371"/>
    </row>
    <row r="97">
      <c r="A97" s="573">
        <v>82.0</v>
      </c>
      <c r="B97" s="574" t="b">
        <v>0</v>
      </c>
      <c r="C97" s="595"/>
      <c r="D97" s="576"/>
      <c r="E97" s="577"/>
      <c r="F97" s="578"/>
      <c r="G97" s="574" t="b">
        <v>0</v>
      </c>
      <c r="H97" s="579"/>
      <c r="I97" s="580"/>
      <c r="J97" s="371"/>
      <c r="K97" s="371"/>
      <c r="L97" s="371"/>
      <c r="M97" s="371"/>
      <c r="N97" s="371"/>
      <c r="O97" s="371"/>
      <c r="P97" s="371"/>
      <c r="Q97" s="371"/>
    </row>
    <row r="98">
      <c r="A98" s="581">
        <v>83.0</v>
      </c>
      <c r="B98" s="582" t="b">
        <v>0</v>
      </c>
      <c r="C98" s="594"/>
      <c r="D98" s="584"/>
      <c r="E98" s="585"/>
      <c r="F98" s="586"/>
      <c r="G98" s="582" t="b">
        <v>0</v>
      </c>
      <c r="H98" s="587"/>
      <c r="I98" s="592"/>
      <c r="J98" s="371"/>
      <c r="K98" s="371"/>
      <c r="L98" s="371"/>
      <c r="M98" s="371"/>
      <c r="N98" s="371"/>
      <c r="O98" s="371"/>
      <c r="P98" s="371"/>
      <c r="Q98" s="371"/>
    </row>
    <row r="99">
      <c r="A99" s="573">
        <v>84.0</v>
      </c>
      <c r="B99" s="574" t="b">
        <v>0</v>
      </c>
      <c r="C99" s="622"/>
      <c r="D99" s="623"/>
      <c r="E99" s="624"/>
      <c r="F99" s="625"/>
      <c r="G99" s="574" t="b">
        <v>0</v>
      </c>
      <c r="H99" s="623"/>
      <c r="I99" s="626"/>
      <c r="J99" s="371"/>
      <c r="K99" s="371"/>
      <c r="L99" s="371"/>
      <c r="M99" s="371"/>
      <c r="N99" s="371"/>
      <c r="O99" s="371"/>
      <c r="P99" s="371"/>
      <c r="Q99" s="371"/>
    </row>
    <row r="100">
      <c r="A100" s="581">
        <v>85.0</v>
      </c>
      <c r="B100" s="582" t="b">
        <v>0</v>
      </c>
      <c r="C100" s="594"/>
      <c r="D100" s="584"/>
      <c r="E100" s="585"/>
      <c r="F100" s="586"/>
      <c r="G100" s="582" t="b">
        <v>0</v>
      </c>
      <c r="H100" s="587"/>
      <c r="I100" s="592"/>
      <c r="J100" s="371"/>
      <c r="K100" s="371"/>
      <c r="L100" s="371"/>
      <c r="M100" s="371"/>
      <c r="N100" s="371"/>
      <c r="O100" s="371"/>
      <c r="P100" s="371"/>
      <c r="Q100" s="371"/>
    </row>
    <row r="101">
      <c r="A101" s="573">
        <v>86.0</v>
      </c>
      <c r="B101" s="574" t="b">
        <v>0</v>
      </c>
      <c r="C101" s="595"/>
      <c r="D101" s="576"/>
      <c r="E101" s="589"/>
      <c r="F101" s="578"/>
      <c r="G101" s="574" t="b">
        <v>0</v>
      </c>
      <c r="H101" s="579"/>
      <c r="I101" s="580"/>
      <c r="J101" s="371"/>
      <c r="K101" s="371"/>
      <c r="L101" s="371"/>
      <c r="M101" s="371"/>
      <c r="N101" s="371"/>
      <c r="O101" s="371"/>
      <c r="P101" s="371"/>
      <c r="Q101" s="371"/>
    </row>
    <row r="102">
      <c r="A102" s="581">
        <v>87.0</v>
      </c>
      <c r="B102" s="582" t="b">
        <v>0</v>
      </c>
      <c r="C102" s="594"/>
      <c r="D102" s="584"/>
      <c r="E102" s="585"/>
      <c r="F102" s="586"/>
      <c r="G102" s="582" t="b">
        <v>0</v>
      </c>
      <c r="H102" s="587"/>
      <c r="I102" s="592"/>
      <c r="J102" s="371"/>
      <c r="K102" s="371"/>
      <c r="L102" s="371"/>
      <c r="M102" s="371"/>
      <c r="N102" s="371"/>
      <c r="O102" s="371"/>
      <c r="P102" s="371"/>
      <c r="Q102" s="371"/>
    </row>
    <row r="103">
      <c r="A103" s="573">
        <v>96.0</v>
      </c>
      <c r="B103" s="574" t="b">
        <v>0</v>
      </c>
      <c r="C103" s="595"/>
      <c r="D103" s="576"/>
      <c r="E103" s="589"/>
      <c r="F103" s="578"/>
      <c r="G103" s="574" t="b">
        <v>0</v>
      </c>
      <c r="H103" s="579"/>
      <c r="I103" s="580"/>
      <c r="J103" s="371"/>
      <c r="K103" s="371"/>
      <c r="L103" s="371"/>
      <c r="M103" s="371"/>
      <c r="N103" s="371"/>
      <c r="O103" s="371"/>
      <c r="P103" s="371"/>
      <c r="Q103" s="371"/>
    </row>
    <row r="104">
      <c r="A104" s="581">
        <v>97.0</v>
      </c>
      <c r="B104" s="582" t="b">
        <v>0</v>
      </c>
      <c r="C104" s="594"/>
      <c r="D104" s="584"/>
      <c r="E104" s="585"/>
      <c r="F104" s="586"/>
      <c r="G104" s="582" t="b">
        <v>0</v>
      </c>
      <c r="H104" s="587"/>
      <c r="I104" s="592"/>
      <c r="J104" s="371"/>
      <c r="K104" s="371"/>
      <c r="L104" s="371"/>
      <c r="M104" s="371"/>
      <c r="N104" s="371"/>
      <c r="O104" s="371"/>
      <c r="P104" s="371"/>
      <c r="Q104" s="371"/>
    </row>
    <row r="105">
      <c r="A105" s="573">
        <v>98.0</v>
      </c>
      <c r="B105" s="574" t="b">
        <v>0</v>
      </c>
      <c r="C105" s="595"/>
      <c r="D105" s="576"/>
      <c r="E105" s="589"/>
      <c r="F105" s="578"/>
      <c r="G105" s="574" t="b">
        <v>0</v>
      </c>
      <c r="H105" s="579"/>
      <c r="I105" s="580"/>
      <c r="J105" s="371"/>
      <c r="K105" s="371"/>
      <c r="L105" s="371"/>
      <c r="M105" s="371"/>
      <c r="N105" s="371"/>
      <c r="O105" s="371"/>
      <c r="P105" s="371"/>
      <c r="Q105" s="371"/>
    </row>
    <row r="106">
      <c r="A106" s="581">
        <v>99.0</v>
      </c>
      <c r="B106" s="582" t="b">
        <v>0</v>
      </c>
      <c r="C106" s="594"/>
      <c r="D106" s="584"/>
      <c r="E106" s="585"/>
      <c r="F106" s="586"/>
      <c r="G106" s="582" t="b">
        <v>0</v>
      </c>
      <c r="H106" s="587"/>
      <c r="I106" s="592"/>
      <c r="J106" s="371"/>
      <c r="K106" s="371"/>
      <c r="L106" s="371"/>
      <c r="M106" s="371"/>
      <c r="N106" s="371"/>
      <c r="O106" s="371"/>
      <c r="P106" s="371"/>
      <c r="Q106" s="371"/>
    </row>
    <row r="107">
      <c r="A107" s="573">
        <v>100.0</v>
      </c>
      <c r="B107" s="574" t="b">
        <v>0</v>
      </c>
      <c r="C107" s="595"/>
      <c r="D107" s="576"/>
      <c r="E107" s="589"/>
      <c r="F107" s="578"/>
      <c r="G107" s="574" t="b">
        <v>0</v>
      </c>
      <c r="H107" s="579"/>
      <c r="I107" s="580"/>
      <c r="J107" s="371"/>
      <c r="K107" s="371"/>
      <c r="L107" s="371"/>
      <c r="M107" s="371"/>
      <c r="N107" s="371"/>
      <c r="O107" s="371"/>
      <c r="P107" s="371"/>
      <c r="Q107" s="371"/>
    </row>
    <row r="108">
      <c r="A108" s="581">
        <v>101.0</v>
      </c>
      <c r="B108" s="582" t="b">
        <v>0</v>
      </c>
      <c r="C108" s="594"/>
      <c r="D108" s="584"/>
      <c r="E108" s="585"/>
      <c r="F108" s="586"/>
      <c r="G108" s="582" t="b">
        <v>0</v>
      </c>
      <c r="H108" s="587"/>
      <c r="I108" s="592"/>
      <c r="J108" s="371"/>
      <c r="K108" s="371"/>
      <c r="L108" s="371"/>
      <c r="M108" s="371"/>
      <c r="N108" s="371"/>
      <c r="O108" s="371"/>
      <c r="P108" s="371"/>
      <c r="Q108" s="371"/>
    </row>
    <row r="109">
      <c r="A109" s="573">
        <v>102.0</v>
      </c>
      <c r="B109" s="574" t="b">
        <v>0</v>
      </c>
      <c r="C109" s="595"/>
      <c r="D109" s="576"/>
      <c r="E109" s="589"/>
      <c r="F109" s="578"/>
      <c r="G109" s="574" t="b">
        <v>0</v>
      </c>
      <c r="H109" s="579"/>
      <c r="I109" s="580"/>
      <c r="J109" s="371"/>
      <c r="K109" s="371"/>
      <c r="L109" s="371"/>
      <c r="M109" s="371"/>
      <c r="N109" s="371"/>
      <c r="O109" s="371"/>
      <c r="P109" s="371"/>
      <c r="Q109" s="371"/>
    </row>
    <row r="110">
      <c r="A110" s="581">
        <v>103.0</v>
      </c>
      <c r="B110" s="582" t="b">
        <v>0</v>
      </c>
      <c r="C110" s="594"/>
      <c r="D110" s="584"/>
      <c r="E110" s="585"/>
      <c r="F110" s="586"/>
      <c r="G110" s="582" t="b">
        <v>0</v>
      </c>
      <c r="H110" s="587"/>
      <c r="I110" s="592"/>
      <c r="J110" s="371"/>
      <c r="K110" s="371"/>
      <c r="L110" s="371"/>
      <c r="M110" s="371"/>
      <c r="N110" s="371"/>
      <c r="O110" s="371"/>
      <c r="P110" s="371"/>
      <c r="Q110" s="371"/>
    </row>
    <row r="111">
      <c r="A111" s="573">
        <v>104.0</v>
      </c>
      <c r="B111" s="574" t="b">
        <v>0</v>
      </c>
      <c r="C111" s="595"/>
      <c r="D111" s="576"/>
      <c r="E111" s="589"/>
      <c r="F111" s="578"/>
      <c r="G111" s="574" t="b">
        <v>0</v>
      </c>
      <c r="H111" s="579"/>
      <c r="I111" s="580"/>
      <c r="J111" s="371"/>
      <c r="K111" s="371"/>
      <c r="L111" s="371"/>
      <c r="M111" s="371"/>
      <c r="N111" s="371"/>
      <c r="O111" s="371"/>
      <c r="P111" s="371"/>
      <c r="Q111" s="371"/>
    </row>
    <row r="112">
      <c r="A112" s="581">
        <v>105.0</v>
      </c>
      <c r="B112" s="582" t="b">
        <v>0</v>
      </c>
      <c r="C112" s="594"/>
      <c r="D112" s="584"/>
      <c r="E112" s="585"/>
      <c r="F112" s="586"/>
      <c r="G112" s="582" t="b">
        <v>0</v>
      </c>
      <c r="H112" s="587"/>
      <c r="I112" s="592"/>
      <c r="J112" s="371"/>
      <c r="K112" s="371"/>
      <c r="L112" s="371"/>
      <c r="M112" s="371"/>
      <c r="N112" s="371"/>
      <c r="O112" s="371"/>
      <c r="P112" s="371"/>
      <c r="Q112" s="371"/>
    </row>
    <row r="113">
      <c r="A113" s="573">
        <v>106.0</v>
      </c>
      <c r="B113" s="574" t="b">
        <v>0</v>
      </c>
      <c r="C113" s="595"/>
      <c r="D113" s="576"/>
      <c r="E113" s="589"/>
      <c r="F113" s="578"/>
      <c r="G113" s="574" t="b">
        <v>0</v>
      </c>
      <c r="H113" s="579"/>
      <c r="I113" s="580"/>
      <c r="J113" s="371"/>
      <c r="K113" s="371"/>
      <c r="L113" s="371"/>
      <c r="M113" s="371"/>
      <c r="N113" s="371"/>
      <c r="O113" s="371"/>
      <c r="P113" s="371"/>
      <c r="Q113" s="371"/>
    </row>
    <row r="114">
      <c r="A114" s="581">
        <v>107.0</v>
      </c>
      <c r="B114" s="582" t="b">
        <v>0</v>
      </c>
      <c r="C114" s="594"/>
      <c r="D114" s="584"/>
      <c r="E114" s="585"/>
      <c r="F114" s="586"/>
      <c r="G114" s="582" t="b">
        <v>0</v>
      </c>
      <c r="H114" s="587"/>
      <c r="I114" s="592"/>
      <c r="J114" s="371"/>
      <c r="K114" s="371"/>
      <c r="L114" s="371"/>
      <c r="M114" s="371"/>
      <c r="N114" s="371"/>
      <c r="O114" s="371"/>
      <c r="P114" s="371"/>
      <c r="Q114" s="371"/>
    </row>
    <row r="115">
      <c r="A115" s="573">
        <v>108.0</v>
      </c>
      <c r="B115" s="574" t="b">
        <v>0</v>
      </c>
      <c r="C115" s="595"/>
      <c r="D115" s="576"/>
      <c r="E115" s="577"/>
      <c r="F115" s="578"/>
      <c r="G115" s="574" t="b">
        <v>0</v>
      </c>
      <c r="H115" s="579"/>
      <c r="I115" s="580"/>
      <c r="J115" s="371"/>
      <c r="K115" s="371"/>
      <c r="L115" s="371"/>
      <c r="M115" s="371"/>
      <c r="N115" s="371"/>
      <c r="O115" s="371"/>
      <c r="P115" s="371"/>
      <c r="Q115" s="371"/>
    </row>
    <row r="116">
      <c r="A116" s="581">
        <v>109.0</v>
      </c>
      <c r="B116" s="582" t="b">
        <v>0</v>
      </c>
      <c r="C116" s="594"/>
      <c r="D116" s="584"/>
      <c r="E116" s="585"/>
      <c r="F116" s="586"/>
      <c r="G116" s="582" t="b">
        <v>0</v>
      </c>
      <c r="H116" s="587"/>
      <c r="I116" s="592"/>
      <c r="J116" s="371"/>
      <c r="K116" s="371"/>
      <c r="L116" s="371"/>
      <c r="M116" s="371"/>
      <c r="N116" s="371"/>
      <c r="O116" s="371"/>
      <c r="P116" s="371"/>
      <c r="Q116" s="371"/>
    </row>
    <row r="117">
      <c r="A117" s="573">
        <v>110.0</v>
      </c>
      <c r="B117" s="574" t="b">
        <v>0</v>
      </c>
      <c r="C117" s="595"/>
      <c r="D117" s="576"/>
      <c r="E117" s="589"/>
      <c r="F117" s="578"/>
      <c r="G117" s="574" t="b">
        <v>0</v>
      </c>
      <c r="H117" s="579"/>
      <c r="I117" s="580"/>
      <c r="J117" s="371"/>
      <c r="K117" s="371"/>
      <c r="L117" s="371"/>
      <c r="M117" s="371"/>
      <c r="N117" s="371"/>
      <c r="O117" s="371"/>
      <c r="P117" s="371"/>
      <c r="Q117" s="371"/>
    </row>
    <row r="118">
      <c r="A118" s="581">
        <v>111.0</v>
      </c>
      <c r="B118" s="582" t="b">
        <v>0</v>
      </c>
      <c r="C118" s="594"/>
      <c r="D118" s="584"/>
      <c r="E118" s="585"/>
      <c r="F118" s="586"/>
      <c r="G118" s="582" t="b">
        <v>0</v>
      </c>
      <c r="H118" s="587"/>
      <c r="I118" s="592"/>
      <c r="J118" s="371"/>
      <c r="K118" s="371"/>
      <c r="L118" s="371"/>
      <c r="M118" s="371"/>
      <c r="N118" s="371"/>
      <c r="O118" s="371"/>
      <c r="P118" s="371"/>
      <c r="Q118" s="371"/>
    </row>
    <row r="119">
      <c r="A119" s="573">
        <v>112.0</v>
      </c>
      <c r="B119" s="574" t="b">
        <v>0</v>
      </c>
      <c r="C119" s="595"/>
      <c r="D119" s="576"/>
      <c r="E119" s="589"/>
      <c r="F119" s="578"/>
      <c r="G119" s="574" t="b">
        <v>0</v>
      </c>
      <c r="H119" s="579"/>
      <c r="I119" s="580"/>
      <c r="J119" s="371"/>
      <c r="K119" s="371"/>
      <c r="L119" s="371"/>
      <c r="M119" s="371"/>
      <c r="N119" s="371"/>
      <c r="O119" s="371"/>
      <c r="P119" s="371"/>
      <c r="Q119" s="371"/>
    </row>
    <row r="120">
      <c r="A120" s="581">
        <v>113.0</v>
      </c>
      <c r="B120" s="582" t="b">
        <v>0</v>
      </c>
      <c r="C120" s="594"/>
      <c r="D120" s="584"/>
      <c r="E120" s="585"/>
      <c r="F120" s="586"/>
      <c r="G120" s="582" t="b">
        <v>0</v>
      </c>
      <c r="H120" s="587"/>
      <c r="I120" s="592"/>
      <c r="J120" s="371"/>
      <c r="K120" s="371"/>
      <c r="L120" s="371"/>
      <c r="M120" s="371"/>
      <c r="N120" s="371"/>
      <c r="O120" s="371"/>
      <c r="P120" s="371"/>
      <c r="Q120" s="371"/>
    </row>
    <row r="121">
      <c r="A121" s="573">
        <v>114.0</v>
      </c>
      <c r="B121" s="574" t="b">
        <v>0</v>
      </c>
      <c r="C121" s="595"/>
      <c r="D121" s="576"/>
      <c r="E121" s="589"/>
      <c r="F121" s="578"/>
      <c r="G121" s="574" t="b">
        <v>0</v>
      </c>
      <c r="H121" s="579"/>
      <c r="I121" s="580"/>
      <c r="J121" s="371"/>
      <c r="K121" s="371"/>
      <c r="L121" s="371"/>
      <c r="M121" s="371"/>
      <c r="N121" s="371"/>
      <c r="O121" s="371"/>
      <c r="P121" s="371"/>
      <c r="Q121" s="371"/>
    </row>
    <row r="122">
      <c r="A122" s="581">
        <v>115.0</v>
      </c>
      <c r="B122" s="582" t="b">
        <v>0</v>
      </c>
      <c r="C122" s="594"/>
      <c r="D122" s="584"/>
      <c r="E122" s="585"/>
      <c r="F122" s="586"/>
      <c r="G122" s="582" t="b">
        <v>0</v>
      </c>
      <c r="H122" s="587"/>
      <c r="I122" s="592"/>
      <c r="J122" s="371"/>
      <c r="K122" s="371"/>
      <c r="L122" s="371"/>
      <c r="M122" s="371"/>
      <c r="N122" s="371"/>
      <c r="O122" s="371"/>
      <c r="P122" s="371"/>
      <c r="Q122" s="371"/>
    </row>
    <row r="123">
      <c r="A123" s="573">
        <v>116.0</v>
      </c>
      <c r="B123" s="574" t="b">
        <v>0</v>
      </c>
      <c r="C123" s="627"/>
      <c r="D123" s="576"/>
      <c r="E123" s="589"/>
      <c r="F123" s="578"/>
      <c r="G123" s="574" t="b">
        <v>0</v>
      </c>
      <c r="H123" s="579"/>
      <c r="I123" s="580"/>
      <c r="J123" s="371"/>
      <c r="K123" s="371"/>
      <c r="L123" s="371"/>
      <c r="M123" s="371"/>
      <c r="N123" s="371"/>
      <c r="O123" s="371"/>
      <c r="P123" s="371"/>
      <c r="Q123" s="371"/>
    </row>
    <row r="124">
      <c r="A124" s="581">
        <v>117.0</v>
      </c>
      <c r="B124" s="582" t="b">
        <v>0</v>
      </c>
      <c r="C124" s="594"/>
      <c r="D124" s="584"/>
      <c r="E124" s="585"/>
      <c r="F124" s="586"/>
      <c r="G124" s="582" t="b">
        <v>0</v>
      </c>
      <c r="H124" s="587"/>
      <c r="I124" s="592"/>
      <c r="J124" s="371"/>
      <c r="K124" s="371"/>
      <c r="L124" s="371"/>
      <c r="M124" s="371"/>
      <c r="N124" s="371"/>
      <c r="O124" s="371"/>
      <c r="P124" s="371"/>
      <c r="Q124" s="371"/>
    </row>
    <row r="125">
      <c r="A125" s="573">
        <v>118.0</v>
      </c>
      <c r="B125" s="574" t="b">
        <v>0</v>
      </c>
      <c r="C125" s="595"/>
      <c r="D125" s="576"/>
      <c r="E125" s="589"/>
      <c r="F125" s="578"/>
      <c r="G125" s="574" t="b">
        <v>0</v>
      </c>
      <c r="H125" s="579"/>
      <c r="I125" s="580"/>
      <c r="J125" s="371"/>
      <c r="K125" s="371"/>
      <c r="L125" s="371"/>
      <c r="M125" s="371"/>
      <c r="N125" s="371"/>
      <c r="O125" s="371"/>
      <c r="P125" s="371"/>
      <c r="Q125" s="371"/>
    </row>
    <row r="126">
      <c r="A126" s="581">
        <v>119.0</v>
      </c>
      <c r="B126" s="582" t="b">
        <v>0</v>
      </c>
      <c r="C126" s="594"/>
      <c r="D126" s="584"/>
      <c r="E126" s="585"/>
      <c r="F126" s="586"/>
      <c r="G126" s="582" t="b">
        <v>0</v>
      </c>
      <c r="H126" s="587"/>
      <c r="I126" s="592"/>
      <c r="J126" s="371"/>
      <c r="K126" s="371"/>
      <c r="L126" s="371"/>
      <c r="M126" s="371"/>
      <c r="N126" s="371"/>
      <c r="O126" s="371"/>
      <c r="P126" s="371"/>
      <c r="Q126" s="371"/>
    </row>
    <row r="127">
      <c r="A127" s="573">
        <v>120.0</v>
      </c>
      <c r="B127" s="574" t="b">
        <v>0</v>
      </c>
      <c r="C127" s="595"/>
      <c r="D127" s="576"/>
      <c r="E127" s="589"/>
      <c r="F127" s="578"/>
      <c r="G127" s="574" t="b">
        <v>0</v>
      </c>
      <c r="H127" s="579"/>
      <c r="I127" s="580"/>
      <c r="J127" s="371"/>
      <c r="K127" s="371"/>
      <c r="L127" s="371"/>
      <c r="M127" s="371"/>
      <c r="N127" s="371"/>
      <c r="O127" s="371"/>
      <c r="P127" s="371"/>
      <c r="Q127" s="371"/>
    </row>
    <row r="128">
      <c r="A128" s="581">
        <v>121.0</v>
      </c>
      <c r="B128" s="582" t="b">
        <v>0</v>
      </c>
      <c r="C128" s="594"/>
      <c r="D128" s="584"/>
      <c r="E128" s="585"/>
      <c r="F128" s="586"/>
      <c r="G128" s="582" t="b">
        <v>0</v>
      </c>
      <c r="H128" s="587"/>
      <c r="I128" s="592"/>
      <c r="J128" s="371"/>
      <c r="K128" s="371"/>
      <c r="L128" s="371"/>
      <c r="M128" s="371"/>
      <c r="N128" s="371"/>
      <c r="O128" s="371"/>
      <c r="P128" s="371"/>
      <c r="Q128" s="371"/>
    </row>
    <row r="129">
      <c r="A129" s="573">
        <v>122.0</v>
      </c>
      <c r="B129" s="574" t="b">
        <v>0</v>
      </c>
      <c r="C129" s="595"/>
      <c r="D129" s="576"/>
      <c r="E129" s="589"/>
      <c r="F129" s="628"/>
      <c r="G129" s="574" t="b">
        <v>0</v>
      </c>
      <c r="H129" s="579"/>
      <c r="I129" s="580"/>
      <c r="J129" s="371"/>
      <c r="K129" s="371"/>
      <c r="L129" s="371"/>
      <c r="M129" s="371"/>
      <c r="N129" s="371"/>
      <c r="O129" s="371"/>
      <c r="P129" s="371"/>
      <c r="Q129" s="371"/>
    </row>
    <row r="130">
      <c r="A130" s="581">
        <v>123.0</v>
      </c>
      <c r="B130" s="582" t="b">
        <v>0</v>
      </c>
      <c r="C130" s="594"/>
      <c r="D130" s="584"/>
      <c r="E130" s="591"/>
      <c r="F130" s="586"/>
      <c r="G130" s="582" t="b">
        <v>0</v>
      </c>
      <c r="H130" s="587"/>
      <c r="I130" s="592"/>
      <c r="J130" s="371"/>
      <c r="K130" s="371"/>
      <c r="L130" s="371"/>
      <c r="M130" s="371"/>
      <c r="N130" s="371"/>
      <c r="O130" s="371"/>
      <c r="P130" s="371"/>
      <c r="Q130" s="371"/>
    </row>
    <row r="131">
      <c r="A131" s="573">
        <v>124.0</v>
      </c>
      <c r="B131" s="574" t="b">
        <v>0</v>
      </c>
      <c r="C131" s="595"/>
      <c r="D131" s="576"/>
      <c r="E131" s="589"/>
      <c r="F131" s="578"/>
      <c r="G131" s="574" t="b">
        <v>0</v>
      </c>
      <c r="H131" s="579"/>
      <c r="I131" s="580"/>
      <c r="J131" s="371"/>
      <c r="K131" s="371"/>
      <c r="L131" s="371"/>
      <c r="M131" s="371"/>
      <c r="N131" s="371"/>
      <c r="O131" s="371"/>
      <c r="P131" s="371"/>
      <c r="Q131" s="371"/>
    </row>
    <row r="132">
      <c r="A132" s="581">
        <v>125.0</v>
      </c>
      <c r="B132" s="582" t="b">
        <v>0</v>
      </c>
      <c r="C132" s="594"/>
      <c r="D132" s="584"/>
      <c r="E132" s="585"/>
      <c r="F132" s="586"/>
      <c r="G132" s="582" t="b">
        <v>0</v>
      </c>
      <c r="H132" s="587"/>
      <c r="I132" s="592"/>
      <c r="J132" s="371"/>
      <c r="K132" s="371"/>
      <c r="L132" s="371"/>
      <c r="M132" s="371"/>
      <c r="N132" s="371"/>
      <c r="O132" s="371"/>
      <c r="P132" s="371"/>
      <c r="Q132" s="371"/>
    </row>
    <row r="133">
      <c r="A133" s="573">
        <v>126.0</v>
      </c>
      <c r="B133" s="574" t="b">
        <v>0</v>
      </c>
      <c r="C133" s="595"/>
      <c r="D133" s="576"/>
      <c r="E133" s="589"/>
      <c r="F133" s="578"/>
      <c r="G133" s="574" t="b">
        <v>0</v>
      </c>
      <c r="H133" s="579"/>
      <c r="I133" s="580"/>
      <c r="J133" s="371"/>
      <c r="K133" s="371"/>
      <c r="L133" s="371"/>
      <c r="M133" s="371"/>
      <c r="N133" s="371"/>
      <c r="O133" s="371"/>
      <c r="P133" s="371"/>
      <c r="Q133" s="371"/>
    </row>
    <row r="134">
      <c r="A134" s="581">
        <v>127.0</v>
      </c>
      <c r="B134" s="582" t="b">
        <v>0</v>
      </c>
      <c r="C134" s="594"/>
      <c r="D134" s="584"/>
      <c r="E134" s="585"/>
      <c r="F134" s="586"/>
      <c r="G134" s="582" t="b">
        <v>0</v>
      </c>
      <c r="H134" s="587"/>
      <c r="I134" s="592"/>
      <c r="J134" s="371"/>
      <c r="K134" s="371"/>
      <c r="L134" s="371"/>
      <c r="M134" s="371"/>
      <c r="N134" s="371"/>
      <c r="O134" s="371"/>
      <c r="P134" s="371"/>
      <c r="Q134" s="371"/>
    </row>
    <row r="135">
      <c r="A135" s="573">
        <v>128.0</v>
      </c>
      <c r="B135" s="574" t="b">
        <v>0</v>
      </c>
      <c r="C135" s="595"/>
      <c r="D135" s="576"/>
      <c r="E135" s="589"/>
      <c r="F135" s="578"/>
      <c r="G135" s="574" t="b">
        <v>0</v>
      </c>
      <c r="H135" s="579"/>
      <c r="I135" s="580"/>
      <c r="J135" s="371"/>
      <c r="K135" s="371"/>
      <c r="L135" s="371"/>
      <c r="M135" s="371"/>
      <c r="N135" s="371"/>
      <c r="O135" s="371"/>
      <c r="P135" s="371"/>
      <c r="Q135" s="371"/>
    </row>
    <row r="136">
      <c r="A136" s="581">
        <v>129.0</v>
      </c>
      <c r="B136" s="582" t="b">
        <v>0</v>
      </c>
      <c r="C136" s="594"/>
      <c r="D136" s="584"/>
      <c r="E136" s="585"/>
      <c r="F136" s="586"/>
      <c r="G136" s="582" t="b">
        <v>0</v>
      </c>
      <c r="H136" s="587"/>
      <c r="I136" s="592"/>
      <c r="J136" s="371"/>
      <c r="K136" s="371"/>
      <c r="L136" s="371"/>
      <c r="M136" s="371"/>
      <c r="N136" s="371"/>
      <c r="O136" s="371"/>
      <c r="P136" s="371"/>
      <c r="Q136" s="371"/>
    </row>
    <row r="137">
      <c r="A137" s="573">
        <v>130.0</v>
      </c>
      <c r="B137" s="574" t="b">
        <v>0</v>
      </c>
      <c r="C137" s="595"/>
      <c r="D137" s="576"/>
      <c r="E137" s="589"/>
      <c r="F137" s="578"/>
      <c r="G137" s="574" t="b">
        <v>0</v>
      </c>
      <c r="H137" s="579"/>
      <c r="I137" s="580"/>
      <c r="J137" s="371"/>
      <c r="K137" s="371"/>
      <c r="L137" s="371"/>
      <c r="M137" s="371"/>
      <c r="N137" s="371"/>
      <c r="O137" s="371"/>
      <c r="P137" s="371"/>
      <c r="Q137" s="371"/>
    </row>
    <row r="138">
      <c r="A138" s="581">
        <v>131.0</v>
      </c>
      <c r="B138" s="582" t="b">
        <v>0</v>
      </c>
      <c r="C138" s="594"/>
      <c r="D138" s="584"/>
      <c r="E138" s="585"/>
      <c r="F138" s="586"/>
      <c r="G138" s="582" t="b">
        <v>0</v>
      </c>
      <c r="H138" s="587"/>
      <c r="I138" s="592"/>
      <c r="J138" s="371"/>
      <c r="K138" s="371"/>
      <c r="L138" s="371"/>
      <c r="M138" s="371"/>
      <c r="N138" s="371"/>
      <c r="O138" s="371"/>
      <c r="P138" s="371"/>
      <c r="Q138" s="371"/>
    </row>
    <row r="139">
      <c r="A139" s="573">
        <v>132.0</v>
      </c>
      <c r="B139" s="574" t="b">
        <v>0</v>
      </c>
      <c r="C139" s="595"/>
      <c r="D139" s="576"/>
      <c r="E139" s="589"/>
      <c r="F139" s="578"/>
      <c r="G139" s="574" t="b">
        <v>0</v>
      </c>
      <c r="H139" s="579"/>
      <c r="I139" s="580"/>
      <c r="J139" s="371"/>
      <c r="K139" s="371"/>
      <c r="L139" s="371"/>
      <c r="M139" s="371"/>
      <c r="N139" s="371"/>
      <c r="O139" s="371"/>
      <c r="P139" s="371"/>
      <c r="Q139" s="371"/>
    </row>
    <row r="140">
      <c r="A140" s="581">
        <v>133.0</v>
      </c>
      <c r="B140" s="582" t="b">
        <v>0</v>
      </c>
      <c r="C140" s="594"/>
      <c r="D140" s="584"/>
      <c r="E140" s="585"/>
      <c r="F140" s="586"/>
      <c r="G140" s="587"/>
      <c r="H140" s="587"/>
      <c r="I140" s="592"/>
      <c r="J140" s="371"/>
      <c r="K140" s="371"/>
      <c r="L140" s="371"/>
      <c r="M140" s="371"/>
      <c r="N140" s="371"/>
      <c r="O140" s="371"/>
      <c r="P140" s="371"/>
      <c r="Q140" s="371"/>
    </row>
    <row r="141">
      <c r="A141" s="573">
        <v>134.0</v>
      </c>
      <c r="B141" s="574" t="b">
        <v>0</v>
      </c>
      <c r="C141" s="629"/>
      <c r="D141" s="576"/>
      <c r="E141" s="589"/>
      <c r="F141" s="578"/>
      <c r="G141" s="579"/>
      <c r="H141" s="579"/>
      <c r="I141" s="580"/>
      <c r="J141" s="371"/>
      <c r="K141" s="371"/>
      <c r="L141" s="371"/>
      <c r="M141" s="371"/>
      <c r="N141" s="371"/>
      <c r="O141" s="371"/>
      <c r="P141" s="371"/>
      <c r="Q141" s="371"/>
    </row>
    <row r="142">
      <c r="A142" s="581">
        <v>135.0</v>
      </c>
      <c r="B142" s="582" t="b">
        <v>0</v>
      </c>
      <c r="C142" s="630"/>
      <c r="D142" s="584"/>
      <c r="E142" s="585"/>
      <c r="F142" s="586"/>
      <c r="G142" s="587"/>
      <c r="H142" s="587"/>
      <c r="I142" s="592"/>
      <c r="J142" s="371"/>
      <c r="K142" s="371"/>
      <c r="L142" s="371"/>
      <c r="M142" s="371"/>
      <c r="N142" s="371"/>
      <c r="O142" s="371"/>
      <c r="P142" s="371"/>
      <c r="Q142" s="371"/>
    </row>
    <row r="143">
      <c r="A143" s="573">
        <v>136.0</v>
      </c>
      <c r="B143" s="574" t="b">
        <v>0</v>
      </c>
      <c r="C143" s="631"/>
      <c r="D143" s="576"/>
      <c r="E143" s="589"/>
      <c r="F143" s="578"/>
      <c r="G143" s="579"/>
      <c r="H143" s="579"/>
      <c r="I143" s="580"/>
      <c r="J143" s="371"/>
      <c r="K143" s="371"/>
      <c r="L143" s="371"/>
      <c r="M143" s="371"/>
      <c r="N143" s="371"/>
      <c r="O143" s="371"/>
      <c r="P143" s="371"/>
      <c r="Q143" s="371"/>
    </row>
    <row r="144">
      <c r="A144" s="581">
        <v>137.0</v>
      </c>
      <c r="B144" s="582" t="b">
        <v>0</v>
      </c>
      <c r="C144" s="630"/>
      <c r="D144" s="584"/>
      <c r="E144" s="585"/>
      <c r="F144" s="586"/>
      <c r="G144" s="587"/>
      <c r="H144" s="587"/>
      <c r="I144" s="592"/>
      <c r="J144" s="371"/>
      <c r="K144" s="371"/>
      <c r="L144" s="371"/>
      <c r="M144" s="371"/>
      <c r="N144" s="371"/>
      <c r="O144" s="371"/>
      <c r="P144" s="371"/>
      <c r="Q144" s="371"/>
    </row>
    <row r="145">
      <c r="A145" s="573">
        <v>138.0</v>
      </c>
      <c r="B145" s="574" t="b">
        <v>0</v>
      </c>
      <c r="C145" s="631"/>
      <c r="D145" s="576"/>
      <c r="E145" s="589"/>
      <c r="F145" s="578"/>
      <c r="G145" s="579"/>
      <c r="H145" s="579"/>
      <c r="I145" s="580"/>
      <c r="J145" s="371"/>
      <c r="K145" s="371"/>
      <c r="L145" s="371"/>
      <c r="M145" s="371"/>
      <c r="N145" s="371"/>
      <c r="O145" s="371"/>
      <c r="P145" s="371"/>
      <c r="Q145" s="371"/>
    </row>
    <row r="146">
      <c r="A146" s="581">
        <v>139.0</v>
      </c>
      <c r="B146" s="582" t="b">
        <v>0</v>
      </c>
      <c r="C146" s="630"/>
      <c r="D146" s="584"/>
      <c r="E146" s="585"/>
      <c r="F146" s="586"/>
      <c r="G146" s="587"/>
      <c r="H146" s="587"/>
      <c r="I146" s="592"/>
      <c r="J146" s="371"/>
      <c r="K146" s="371"/>
      <c r="L146" s="371"/>
      <c r="M146" s="371"/>
      <c r="N146" s="371"/>
      <c r="O146" s="371"/>
      <c r="P146" s="371"/>
      <c r="Q146" s="371"/>
    </row>
    <row r="147">
      <c r="A147" s="573">
        <v>140.0</v>
      </c>
      <c r="B147" s="574" t="b">
        <v>0</v>
      </c>
      <c r="C147" s="631"/>
      <c r="D147" s="576"/>
      <c r="E147" s="589"/>
      <c r="F147" s="578"/>
      <c r="G147" s="579"/>
      <c r="H147" s="579"/>
      <c r="I147" s="580"/>
      <c r="J147" s="371"/>
      <c r="K147" s="371"/>
      <c r="L147" s="371"/>
      <c r="M147" s="371"/>
      <c r="N147" s="371"/>
      <c r="O147" s="371"/>
      <c r="P147" s="371"/>
      <c r="Q147" s="371"/>
    </row>
    <row r="148">
      <c r="A148" s="581">
        <v>141.0</v>
      </c>
      <c r="B148" s="582" t="b">
        <v>0</v>
      </c>
      <c r="C148" s="630"/>
      <c r="D148" s="584"/>
      <c r="E148" s="585"/>
      <c r="F148" s="586"/>
      <c r="G148" s="587"/>
      <c r="H148" s="587"/>
      <c r="I148" s="592"/>
      <c r="J148" s="371"/>
      <c r="K148" s="371"/>
      <c r="L148" s="371"/>
      <c r="M148" s="371"/>
      <c r="N148" s="371"/>
      <c r="O148" s="371"/>
      <c r="P148" s="371"/>
      <c r="Q148" s="371"/>
    </row>
    <row r="149">
      <c r="A149" s="573">
        <v>142.0</v>
      </c>
      <c r="B149" s="574" t="b">
        <v>0</v>
      </c>
      <c r="C149" s="631"/>
      <c r="D149" s="576"/>
      <c r="E149" s="589"/>
      <c r="F149" s="578"/>
      <c r="G149" s="579"/>
      <c r="H149" s="579"/>
      <c r="I149" s="580"/>
      <c r="J149" s="371"/>
      <c r="K149" s="371"/>
      <c r="L149" s="371"/>
      <c r="M149" s="371"/>
      <c r="N149" s="371"/>
      <c r="O149" s="371"/>
      <c r="P149" s="371"/>
      <c r="Q149" s="371"/>
    </row>
    <row r="150">
      <c r="A150" s="581">
        <v>143.0</v>
      </c>
      <c r="B150" s="582" t="b">
        <v>0</v>
      </c>
      <c r="C150" s="632"/>
      <c r="D150" s="584"/>
      <c r="E150" s="585"/>
      <c r="F150" s="586"/>
      <c r="G150" s="587"/>
      <c r="H150" s="587"/>
      <c r="I150" s="592"/>
      <c r="J150" s="371"/>
      <c r="K150" s="371"/>
      <c r="L150" s="371"/>
      <c r="M150" s="371"/>
      <c r="N150" s="371"/>
      <c r="O150" s="371"/>
      <c r="P150" s="371"/>
      <c r="Q150" s="371"/>
    </row>
    <row r="151">
      <c r="A151" s="573">
        <v>144.0</v>
      </c>
      <c r="B151" s="574" t="b">
        <v>0</v>
      </c>
      <c r="C151" s="595"/>
      <c r="D151" s="576"/>
      <c r="E151" s="589"/>
      <c r="F151" s="578"/>
      <c r="G151" s="579"/>
      <c r="H151" s="579"/>
      <c r="I151" s="580"/>
      <c r="J151" s="371"/>
      <c r="K151" s="371"/>
      <c r="L151" s="371"/>
      <c r="M151" s="371"/>
      <c r="N151" s="371"/>
      <c r="O151" s="371"/>
      <c r="P151" s="371"/>
      <c r="Q151" s="371"/>
    </row>
    <row r="152">
      <c r="A152" s="581">
        <v>145.0</v>
      </c>
      <c r="B152" s="582" t="b">
        <v>0</v>
      </c>
      <c r="C152" s="594"/>
      <c r="D152" s="584"/>
      <c r="E152" s="585"/>
      <c r="F152" s="586"/>
      <c r="G152" s="582" t="b">
        <v>1</v>
      </c>
      <c r="H152" s="587"/>
      <c r="I152" s="592"/>
      <c r="J152" s="371"/>
      <c r="K152" s="371"/>
      <c r="L152" s="371"/>
      <c r="M152" s="371"/>
      <c r="N152" s="371"/>
      <c r="O152" s="371"/>
      <c r="P152" s="371"/>
      <c r="Q152" s="371"/>
    </row>
    <row r="153">
      <c r="A153" s="573">
        <v>146.0</v>
      </c>
      <c r="B153" s="574" t="b">
        <v>0</v>
      </c>
      <c r="C153" s="595"/>
      <c r="D153" s="576"/>
      <c r="E153" s="589"/>
      <c r="F153" s="578"/>
      <c r="G153" s="574" t="b">
        <v>1</v>
      </c>
      <c r="H153" s="579"/>
      <c r="I153" s="580"/>
      <c r="J153" s="371"/>
      <c r="K153" s="371"/>
      <c r="L153" s="371"/>
      <c r="M153" s="371"/>
      <c r="N153" s="371"/>
      <c r="O153" s="371"/>
      <c r="P153" s="371"/>
      <c r="Q153" s="371"/>
    </row>
    <row r="154">
      <c r="A154" s="581">
        <v>147.0</v>
      </c>
      <c r="B154" s="582" t="b">
        <v>0</v>
      </c>
      <c r="C154" s="594"/>
      <c r="D154" s="584"/>
      <c r="E154" s="585"/>
      <c r="F154" s="586"/>
      <c r="G154" s="582" t="b">
        <v>1</v>
      </c>
      <c r="H154" s="587"/>
      <c r="I154" s="592"/>
      <c r="J154" s="371"/>
      <c r="K154" s="371"/>
      <c r="L154" s="371"/>
      <c r="M154" s="371"/>
      <c r="N154" s="371"/>
      <c r="O154" s="371"/>
      <c r="P154" s="371"/>
      <c r="Q154" s="371"/>
    </row>
    <row r="155">
      <c r="A155" s="573">
        <v>148.0</v>
      </c>
      <c r="B155" s="574" t="b">
        <v>0</v>
      </c>
      <c r="C155" s="595"/>
      <c r="D155" s="576"/>
      <c r="E155" s="589"/>
      <c r="F155" s="578"/>
      <c r="G155" s="574" t="b">
        <v>0</v>
      </c>
      <c r="H155" s="579"/>
      <c r="I155" s="580"/>
      <c r="J155" s="371"/>
      <c r="K155" s="371"/>
      <c r="L155" s="371"/>
      <c r="M155" s="371"/>
      <c r="N155" s="371"/>
      <c r="O155" s="371"/>
      <c r="P155" s="371"/>
      <c r="Q155" s="371"/>
    </row>
    <row r="156">
      <c r="A156" s="581">
        <v>149.0</v>
      </c>
      <c r="B156" s="582" t="b">
        <v>0</v>
      </c>
      <c r="C156" s="594"/>
      <c r="D156" s="584"/>
      <c r="E156" s="585"/>
      <c r="F156" s="586"/>
      <c r="G156" s="582" t="b">
        <v>0</v>
      </c>
      <c r="H156" s="587"/>
      <c r="I156" s="592"/>
      <c r="J156" s="371"/>
      <c r="K156" s="371"/>
      <c r="L156" s="371"/>
      <c r="M156" s="371"/>
      <c r="N156" s="371"/>
      <c r="O156" s="371"/>
      <c r="P156" s="371"/>
      <c r="Q156" s="371"/>
    </row>
    <row r="157">
      <c r="A157" s="573">
        <v>150.0</v>
      </c>
      <c r="B157" s="574" t="b">
        <v>0</v>
      </c>
      <c r="C157" s="595"/>
      <c r="D157" s="576"/>
      <c r="E157" s="589"/>
      <c r="F157" s="578"/>
      <c r="G157" s="574" t="b">
        <v>0</v>
      </c>
      <c r="H157" s="579"/>
      <c r="I157" s="580"/>
      <c r="J157" s="371"/>
      <c r="K157" s="371"/>
      <c r="L157" s="371"/>
      <c r="M157" s="371"/>
      <c r="N157" s="371"/>
      <c r="O157" s="371"/>
      <c r="P157" s="371"/>
      <c r="Q157" s="371"/>
    </row>
    <row r="158">
      <c r="A158" s="581">
        <v>151.0</v>
      </c>
      <c r="B158" s="582" t="b">
        <v>0</v>
      </c>
      <c r="C158" s="594"/>
      <c r="D158" s="584"/>
      <c r="E158" s="585"/>
      <c r="F158" s="586"/>
      <c r="G158" s="582" t="b">
        <v>0</v>
      </c>
      <c r="H158" s="587"/>
      <c r="I158" s="592"/>
      <c r="J158" s="371"/>
      <c r="K158" s="371"/>
      <c r="L158" s="371"/>
      <c r="M158" s="371"/>
      <c r="N158" s="371"/>
      <c r="O158" s="371"/>
      <c r="P158" s="371"/>
      <c r="Q158" s="371"/>
    </row>
    <row r="159">
      <c r="A159" s="573">
        <v>152.0</v>
      </c>
      <c r="B159" s="574" t="b">
        <v>0</v>
      </c>
      <c r="C159" s="595"/>
      <c r="D159" s="576"/>
      <c r="E159" s="589"/>
      <c r="F159" s="578"/>
      <c r="G159" s="574" t="b">
        <v>0</v>
      </c>
      <c r="H159" s="579"/>
      <c r="I159" s="580"/>
      <c r="J159" s="371"/>
      <c r="K159" s="371"/>
      <c r="L159" s="371"/>
      <c r="M159" s="371"/>
      <c r="N159" s="371"/>
      <c r="O159" s="371"/>
      <c r="P159" s="371"/>
      <c r="Q159" s="371"/>
    </row>
    <row r="160">
      <c r="A160" s="581">
        <v>153.0</v>
      </c>
      <c r="B160" s="582" t="b">
        <v>0</v>
      </c>
      <c r="C160" s="594"/>
      <c r="D160" s="584"/>
      <c r="E160" s="585"/>
      <c r="F160" s="586"/>
      <c r="G160" s="582" t="b">
        <v>0</v>
      </c>
      <c r="H160" s="587"/>
      <c r="I160" s="592"/>
      <c r="J160" s="371"/>
      <c r="K160" s="371"/>
      <c r="L160" s="371"/>
      <c r="M160" s="371"/>
      <c r="N160" s="371"/>
      <c r="O160" s="371"/>
      <c r="P160" s="371"/>
      <c r="Q160" s="371"/>
    </row>
    <row r="161">
      <c r="A161" s="573">
        <v>154.0</v>
      </c>
      <c r="B161" s="574" t="b">
        <v>0</v>
      </c>
      <c r="C161" s="595"/>
      <c r="D161" s="576"/>
      <c r="E161" s="589"/>
      <c r="F161" s="578"/>
      <c r="G161" s="574" t="b">
        <v>0</v>
      </c>
      <c r="H161" s="579"/>
      <c r="I161" s="580"/>
      <c r="J161" s="371"/>
      <c r="K161" s="371"/>
      <c r="L161" s="371"/>
      <c r="M161" s="371"/>
      <c r="N161" s="371"/>
      <c r="O161" s="371"/>
      <c r="P161" s="371"/>
      <c r="Q161" s="371"/>
    </row>
    <row r="162">
      <c r="A162" s="581">
        <v>155.0</v>
      </c>
      <c r="B162" s="582" t="b">
        <v>0</v>
      </c>
      <c r="C162" s="594"/>
      <c r="D162" s="584"/>
      <c r="E162" s="585"/>
      <c r="F162" s="586"/>
      <c r="G162" s="582" t="b">
        <v>0</v>
      </c>
      <c r="H162" s="587"/>
      <c r="I162" s="592"/>
      <c r="J162" s="371"/>
      <c r="K162" s="371"/>
      <c r="L162" s="371"/>
      <c r="M162" s="371"/>
      <c r="N162" s="371"/>
      <c r="O162" s="371"/>
      <c r="P162" s="371"/>
      <c r="Q162" s="371"/>
    </row>
    <row r="163">
      <c r="A163" s="573">
        <v>156.0</v>
      </c>
      <c r="B163" s="574" t="b">
        <v>0</v>
      </c>
      <c r="C163" s="595"/>
      <c r="D163" s="576"/>
      <c r="E163" s="589"/>
      <c r="F163" s="578"/>
      <c r="G163" s="574" t="b">
        <v>0</v>
      </c>
      <c r="H163" s="579"/>
      <c r="I163" s="580"/>
      <c r="J163" s="371"/>
      <c r="K163" s="371"/>
      <c r="L163" s="371"/>
      <c r="M163" s="371"/>
      <c r="N163" s="371"/>
      <c r="O163" s="371"/>
      <c r="P163" s="371"/>
      <c r="Q163" s="371"/>
    </row>
    <row r="164">
      <c r="A164" s="581">
        <v>157.0</v>
      </c>
      <c r="B164" s="582" t="b">
        <v>0</v>
      </c>
      <c r="C164" s="633"/>
      <c r="D164" s="634"/>
      <c r="E164" s="634"/>
      <c r="F164" s="634"/>
      <c r="G164" s="634"/>
      <c r="H164" s="634"/>
      <c r="I164" s="635"/>
      <c r="J164" s="371"/>
      <c r="K164" s="371"/>
      <c r="L164" s="371"/>
      <c r="M164" s="371"/>
      <c r="N164" s="371"/>
      <c r="O164" s="371"/>
      <c r="P164" s="371"/>
      <c r="Q164" s="371"/>
    </row>
    <row r="165">
      <c r="A165" s="573">
        <v>158.0</v>
      </c>
      <c r="B165" s="574" t="b">
        <v>0</v>
      </c>
      <c r="C165" s="595"/>
      <c r="D165" s="576"/>
      <c r="E165" s="589"/>
      <c r="F165" s="578"/>
      <c r="G165" s="579"/>
      <c r="H165" s="579"/>
      <c r="I165" s="580"/>
      <c r="J165" s="371"/>
      <c r="K165" s="371"/>
      <c r="L165" s="371"/>
      <c r="M165" s="371"/>
      <c r="N165" s="371"/>
      <c r="O165" s="371"/>
      <c r="P165" s="371"/>
      <c r="Q165" s="371"/>
    </row>
    <row r="166">
      <c r="A166" s="581">
        <v>159.0</v>
      </c>
      <c r="B166" s="582" t="b">
        <v>0</v>
      </c>
      <c r="C166" s="594"/>
      <c r="D166" s="584"/>
      <c r="E166" s="585"/>
      <c r="F166" s="586"/>
      <c r="G166" s="587"/>
      <c r="H166" s="587"/>
      <c r="I166" s="592"/>
      <c r="J166" s="371"/>
      <c r="K166" s="371"/>
      <c r="L166" s="371"/>
      <c r="M166" s="371"/>
      <c r="N166" s="371"/>
      <c r="O166" s="371"/>
      <c r="P166" s="371"/>
      <c r="Q166" s="371"/>
    </row>
    <row r="167">
      <c r="A167" s="573">
        <v>160.0</v>
      </c>
      <c r="B167" s="574" t="b">
        <v>0</v>
      </c>
      <c r="C167" s="595"/>
      <c r="D167" s="576"/>
      <c r="E167" s="589"/>
      <c r="F167" s="578"/>
      <c r="G167" s="574" t="b">
        <v>1</v>
      </c>
      <c r="H167" s="579"/>
      <c r="I167" s="580"/>
      <c r="J167" s="371"/>
      <c r="K167" s="371"/>
      <c r="L167" s="371"/>
      <c r="M167" s="371"/>
      <c r="N167" s="371"/>
      <c r="O167" s="371"/>
      <c r="P167" s="371"/>
      <c r="Q167" s="371"/>
    </row>
    <row r="168">
      <c r="A168" s="581">
        <v>161.0</v>
      </c>
      <c r="B168" s="582" t="b">
        <v>0</v>
      </c>
      <c r="C168" s="594"/>
      <c r="D168" s="584"/>
      <c r="E168" s="585"/>
      <c r="F168" s="586"/>
      <c r="G168" s="582" t="b">
        <v>1</v>
      </c>
      <c r="H168" s="587"/>
      <c r="I168" s="592"/>
      <c r="J168" s="371"/>
      <c r="K168" s="371"/>
      <c r="L168" s="371"/>
      <c r="M168" s="371"/>
      <c r="N168" s="371"/>
      <c r="O168" s="371"/>
      <c r="P168" s="371"/>
      <c r="Q168" s="371"/>
    </row>
    <row r="169">
      <c r="A169" s="573">
        <v>162.0</v>
      </c>
      <c r="B169" s="574" t="b">
        <v>0</v>
      </c>
      <c r="C169" s="595"/>
      <c r="D169" s="576"/>
      <c r="E169" s="589"/>
      <c r="F169" s="578"/>
      <c r="G169" s="574" t="b">
        <v>1</v>
      </c>
      <c r="H169" s="579"/>
      <c r="I169" s="580"/>
      <c r="J169" s="371"/>
      <c r="K169" s="371"/>
      <c r="L169" s="371"/>
      <c r="M169" s="371"/>
      <c r="N169" s="371"/>
      <c r="O169" s="371"/>
      <c r="P169" s="371"/>
      <c r="Q169" s="371"/>
    </row>
    <row r="170">
      <c r="A170" s="581">
        <v>163.0</v>
      </c>
      <c r="B170" s="582" t="b">
        <v>0</v>
      </c>
      <c r="C170" s="594"/>
      <c r="D170" s="584"/>
      <c r="E170" s="585"/>
      <c r="F170" s="586"/>
      <c r="G170" s="582" t="b">
        <v>1</v>
      </c>
      <c r="H170" s="587"/>
      <c r="I170" s="592"/>
      <c r="J170" s="371"/>
      <c r="K170" s="371"/>
      <c r="L170" s="371"/>
      <c r="M170" s="371"/>
      <c r="N170" s="371"/>
      <c r="O170" s="371"/>
      <c r="P170" s="371"/>
      <c r="Q170" s="371"/>
    </row>
    <row r="171">
      <c r="A171" s="573">
        <v>164.0</v>
      </c>
      <c r="B171" s="574" t="b">
        <v>0</v>
      </c>
      <c r="C171" s="595"/>
      <c r="D171" s="576"/>
      <c r="E171" s="589"/>
      <c r="F171" s="578"/>
      <c r="G171" s="574" t="b">
        <v>1</v>
      </c>
      <c r="H171" s="579"/>
      <c r="I171" s="580"/>
      <c r="J171" s="371"/>
      <c r="K171" s="371"/>
      <c r="L171" s="371"/>
      <c r="M171" s="371"/>
      <c r="N171" s="371"/>
      <c r="O171" s="371"/>
      <c r="P171" s="371"/>
      <c r="Q171" s="371"/>
    </row>
    <row r="172">
      <c r="A172" s="581">
        <v>165.0</v>
      </c>
      <c r="B172" s="582" t="b">
        <v>0</v>
      </c>
      <c r="C172" s="594"/>
      <c r="D172" s="584"/>
      <c r="E172" s="585"/>
      <c r="F172" s="586"/>
      <c r="G172" s="587"/>
      <c r="H172" s="587"/>
      <c r="I172" s="592"/>
      <c r="J172" s="371"/>
      <c r="K172" s="371"/>
      <c r="L172" s="371"/>
      <c r="M172" s="371"/>
      <c r="N172" s="371"/>
      <c r="O172" s="371"/>
      <c r="P172" s="371"/>
      <c r="Q172" s="371"/>
    </row>
    <row r="173">
      <c r="A173" s="573">
        <v>166.0</v>
      </c>
      <c r="B173" s="574" t="b">
        <v>0</v>
      </c>
      <c r="C173" s="595"/>
      <c r="D173" s="576"/>
      <c r="E173" s="589"/>
      <c r="F173" s="578"/>
      <c r="G173" s="579"/>
      <c r="H173" s="579"/>
      <c r="I173" s="580"/>
      <c r="J173" s="371"/>
      <c r="K173" s="371"/>
      <c r="L173" s="371"/>
      <c r="M173" s="371"/>
      <c r="N173" s="371"/>
      <c r="O173" s="371"/>
      <c r="P173" s="371"/>
      <c r="Q173" s="371"/>
    </row>
    <row r="174">
      <c r="A174" s="581">
        <v>167.0</v>
      </c>
      <c r="B174" s="582" t="b">
        <v>0</v>
      </c>
      <c r="C174" s="594"/>
      <c r="D174" s="584"/>
      <c r="E174" s="585"/>
      <c r="F174" s="586"/>
      <c r="G174" s="587"/>
      <c r="H174" s="587"/>
      <c r="I174" s="592"/>
      <c r="J174" s="371"/>
      <c r="K174" s="371"/>
      <c r="L174" s="371"/>
      <c r="M174" s="371"/>
      <c r="N174" s="371"/>
      <c r="O174" s="371"/>
      <c r="P174" s="371"/>
      <c r="Q174" s="371"/>
    </row>
    <row r="175">
      <c r="A175" s="573">
        <v>168.0</v>
      </c>
      <c r="B175" s="574" t="b">
        <v>0</v>
      </c>
      <c r="C175" s="595"/>
      <c r="D175" s="576"/>
      <c r="E175" s="589"/>
      <c r="F175" s="578"/>
      <c r="G175" s="579"/>
      <c r="H175" s="579"/>
      <c r="I175" s="580"/>
      <c r="J175" s="371"/>
      <c r="K175" s="371"/>
      <c r="L175" s="371"/>
      <c r="M175" s="371"/>
      <c r="N175" s="371"/>
      <c r="O175" s="371"/>
      <c r="P175" s="371"/>
      <c r="Q175" s="371"/>
    </row>
    <row r="176">
      <c r="A176" s="581">
        <v>169.0</v>
      </c>
      <c r="B176" s="582" t="b">
        <v>0</v>
      </c>
      <c r="C176" s="594"/>
      <c r="D176" s="584"/>
      <c r="E176" s="585"/>
      <c r="F176" s="586"/>
      <c r="G176" s="587"/>
      <c r="H176" s="587"/>
      <c r="I176" s="592"/>
      <c r="J176" s="371"/>
      <c r="K176" s="371"/>
      <c r="L176" s="371"/>
      <c r="M176" s="371"/>
      <c r="N176" s="371"/>
      <c r="O176" s="371"/>
      <c r="P176" s="371"/>
      <c r="Q176" s="371"/>
    </row>
    <row r="177">
      <c r="A177" s="573">
        <v>170.0</v>
      </c>
      <c r="B177" s="574" t="b">
        <v>0</v>
      </c>
      <c r="C177" s="595"/>
      <c r="D177" s="576"/>
      <c r="E177" s="589"/>
      <c r="F177" s="578"/>
      <c r="G177" s="579"/>
      <c r="H177" s="579"/>
      <c r="I177" s="580"/>
      <c r="J177" s="371"/>
      <c r="K177" s="371"/>
      <c r="L177" s="371"/>
      <c r="M177" s="371"/>
      <c r="N177" s="371"/>
      <c r="O177" s="371"/>
      <c r="P177" s="371"/>
      <c r="Q177" s="371"/>
    </row>
    <row r="178">
      <c r="A178" s="581">
        <v>171.0</v>
      </c>
      <c r="B178" s="582" t="b">
        <v>0</v>
      </c>
      <c r="C178" s="594"/>
      <c r="D178" s="584"/>
      <c r="E178" s="585"/>
      <c r="F178" s="586"/>
      <c r="G178" s="587"/>
      <c r="H178" s="587"/>
      <c r="I178" s="592"/>
      <c r="J178" s="371"/>
      <c r="K178" s="371"/>
      <c r="L178" s="371"/>
      <c r="M178" s="371"/>
      <c r="N178" s="371"/>
      <c r="O178" s="371"/>
      <c r="P178" s="371"/>
      <c r="Q178" s="371"/>
    </row>
    <row r="179">
      <c r="A179" s="573">
        <v>172.0</v>
      </c>
      <c r="B179" s="574" t="b">
        <v>0</v>
      </c>
      <c r="C179" s="595"/>
      <c r="D179" s="576"/>
      <c r="E179" s="589"/>
      <c r="F179" s="578"/>
      <c r="G179" s="579"/>
      <c r="H179" s="579"/>
      <c r="I179" s="580"/>
      <c r="J179" s="371"/>
      <c r="K179" s="371"/>
      <c r="L179" s="371"/>
      <c r="M179" s="371"/>
      <c r="N179" s="371"/>
      <c r="O179" s="371"/>
      <c r="P179" s="371"/>
      <c r="Q179" s="371"/>
    </row>
    <row r="180">
      <c r="A180" s="581">
        <v>173.0</v>
      </c>
      <c r="B180" s="582" t="b">
        <v>0</v>
      </c>
      <c r="C180" s="594"/>
      <c r="D180" s="584"/>
      <c r="E180" s="585"/>
      <c r="F180" s="586"/>
      <c r="G180" s="587"/>
      <c r="H180" s="587"/>
      <c r="I180" s="592"/>
      <c r="J180" s="371"/>
      <c r="K180" s="371"/>
      <c r="L180" s="371"/>
      <c r="M180" s="371"/>
      <c r="N180" s="371"/>
      <c r="O180" s="371"/>
      <c r="P180" s="371"/>
      <c r="Q180" s="371"/>
    </row>
    <row r="181">
      <c r="A181" s="573">
        <v>174.0</v>
      </c>
      <c r="B181" s="574" t="b">
        <v>0</v>
      </c>
      <c r="C181" s="595"/>
      <c r="D181" s="576"/>
      <c r="E181" s="589"/>
      <c r="F181" s="578"/>
      <c r="G181" s="579"/>
      <c r="H181" s="579"/>
      <c r="I181" s="580"/>
      <c r="J181" s="371"/>
      <c r="K181" s="371"/>
      <c r="L181" s="371"/>
      <c r="M181" s="371"/>
      <c r="N181" s="371"/>
      <c r="O181" s="371"/>
      <c r="P181" s="371"/>
      <c r="Q181" s="371"/>
    </row>
    <row r="182">
      <c r="A182" s="581">
        <v>175.0</v>
      </c>
      <c r="B182" s="582" t="b">
        <v>0</v>
      </c>
      <c r="C182" s="594"/>
      <c r="D182" s="584"/>
      <c r="E182" s="585"/>
      <c r="F182" s="586"/>
      <c r="G182" s="587"/>
      <c r="H182" s="587"/>
      <c r="I182" s="592"/>
      <c r="J182" s="371"/>
      <c r="K182" s="371"/>
      <c r="L182" s="371"/>
      <c r="M182" s="371"/>
      <c r="N182" s="371"/>
      <c r="O182" s="371"/>
      <c r="P182" s="371"/>
      <c r="Q182" s="371"/>
    </row>
    <row r="183">
      <c r="A183" s="573">
        <v>176.0</v>
      </c>
      <c r="B183" s="574" t="b">
        <v>0</v>
      </c>
      <c r="C183" s="595"/>
      <c r="D183" s="576"/>
      <c r="E183" s="589"/>
      <c r="F183" s="578"/>
      <c r="G183" s="579"/>
      <c r="H183" s="579"/>
      <c r="I183" s="580"/>
      <c r="J183" s="371"/>
      <c r="K183" s="371"/>
      <c r="L183" s="371"/>
      <c r="M183" s="371"/>
      <c r="N183" s="371"/>
      <c r="O183" s="371"/>
      <c r="P183" s="371"/>
      <c r="Q183" s="371"/>
    </row>
    <row r="184">
      <c r="A184" s="581">
        <v>177.0</v>
      </c>
      <c r="B184" s="582" t="b">
        <v>0</v>
      </c>
      <c r="C184" s="594"/>
      <c r="D184" s="584"/>
      <c r="E184" s="585"/>
      <c r="F184" s="586"/>
      <c r="G184" s="587"/>
      <c r="H184" s="587"/>
      <c r="I184" s="592"/>
      <c r="J184" s="371"/>
      <c r="K184" s="371"/>
      <c r="L184" s="371"/>
      <c r="M184" s="371"/>
      <c r="N184" s="371"/>
      <c r="O184" s="371"/>
      <c r="P184" s="371"/>
      <c r="Q184" s="371"/>
    </row>
    <row r="185">
      <c r="A185" s="573">
        <v>178.0</v>
      </c>
      <c r="B185" s="574" t="b">
        <v>0</v>
      </c>
      <c r="C185" s="595"/>
      <c r="D185" s="576"/>
      <c r="E185" s="589"/>
      <c r="F185" s="578"/>
      <c r="G185" s="579"/>
      <c r="H185" s="579"/>
      <c r="I185" s="580"/>
      <c r="J185" s="371"/>
      <c r="K185" s="371"/>
      <c r="L185" s="371"/>
      <c r="M185" s="371"/>
      <c r="N185" s="371"/>
      <c r="O185" s="371"/>
      <c r="P185" s="371"/>
      <c r="Q185" s="371"/>
    </row>
    <row r="186">
      <c r="A186" s="581">
        <v>179.0</v>
      </c>
      <c r="B186" s="582" t="b">
        <v>0</v>
      </c>
      <c r="C186" s="594"/>
      <c r="D186" s="584"/>
      <c r="E186" s="585"/>
      <c r="F186" s="586"/>
      <c r="G186" s="587"/>
      <c r="H186" s="587"/>
      <c r="I186" s="592"/>
      <c r="J186" s="371"/>
      <c r="K186" s="371"/>
      <c r="L186" s="371"/>
      <c r="M186" s="371"/>
      <c r="N186" s="371"/>
      <c r="O186" s="371"/>
      <c r="P186" s="371"/>
      <c r="Q186" s="371"/>
    </row>
    <row r="187">
      <c r="A187" s="573">
        <v>180.0</v>
      </c>
      <c r="B187" s="574" t="b">
        <v>0</v>
      </c>
      <c r="C187" s="595"/>
      <c r="D187" s="576"/>
      <c r="E187" s="589"/>
      <c r="F187" s="578"/>
      <c r="G187" s="579"/>
      <c r="H187" s="579"/>
      <c r="I187" s="580"/>
      <c r="J187" s="371"/>
      <c r="K187" s="371"/>
      <c r="L187" s="371"/>
      <c r="M187" s="371"/>
      <c r="N187" s="371"/>
      <c r="O187" s="371"/>
      <c r="P187" s="371"/>
      <c r="Q187" s="371"/>
    </row>
    <row r="188">
      <c r="A188" s="581">
        <v>181.0</v>
      </c>
      <c r="B188" s="582" t="b">
        <v>0</v>
      </c>
      <c r="C188" s="594"/>
      <c r="D188" s="584"/>
      <c r="E188" s="585"/>
      <c r="F188" s="586"/>
      <c r="G188" s="587"/>
      <c r="H188" s="587"/>
      <c r="I188" s="592"/>
      <c r="J188" s="371"/>
      <c r="K188" s="371"/>
      <c r="L188" s="371"/>
      <c r="M188" s="371"/>
      <c r="N188" s="371"/>
      <c r="O188" s="371"/>
      <c r="P188" s="371"/>
      <c r="Q188" s="371"/>
    </row>
    <row r="189">
      <c r="A189" s="573">
        <v>182.0</v>
      </c>
      <c r="B189" s="574" t="b">
        <v>0</v>
      </c>
      <c r="C189" s="595"/>
      <c r="D189" s="576"/>
      <c r="E189" s="589"/>
      <c r="F189" s="578"/>
      <c r="G189" s="579"/>
      <c r="H189" s="579"/>
      <c r="I189" s="580"/>
      <c r="J189" s="371"/>
      <c r="K189" s="371"/>
      <c r="L189" s="371"/>
      <c r="M189" s="371"/>
      <c r="N189" s="371"/>
      <c r="O189" s="371"/>
      <c r="P189" s="371"/>
      <c r="Q189" s="371"/>
    </row>
    <row r="190">
      <c r="A190" s="581">
        <v>183.0</v>
      </c>
      <c r="B190" s="582" t="b">
        <v>0</v>
      </c>
      <c r="C190" s="594"/>
      <c r="D190" s="584"/>
      <c r="E190" s="585"/>
      <c r="F190" s="586"/>
      <c r="G190" s="587"/>
      <c r="H190" s="587"/>
      <c r="I190" s="592"/>
      <c r="J190" s="371"/>
      <c r="K190" s="371"/>
      <c r="L190" s="371"/>
      <c r="M190" s="371"/>
      <c r="N190" s="371"/>
      <c r="O190" s="371"/>
      <c r="P190" s="371"/>
      <c r="Q190" s="371"/>
    </row>
    <row r="191">
      <c r="A191" s="573">
        <v>184.0</v>
      </c>
      <c r="B191" s="574" t="b">
        <v>0</v>
      </c>
      <c r="C191" s="595"/>
      <c r="D191" s="576"/>
      <c r="E191" s="589"/>
      <c r="F191" s="578"/>
      <c r="G191" s="579"/>
      <c r="H191" s="579"/>
      <c r="I191" s="580"/>
      <c r="J191" s="371"/>
      <c r="K191" s="371"/>
      <c r="L191" s="371"/>
      <c r="M191" s="371"/>
      <c r="N191" s="371"/>
      <c r="O191" s="371"/>
      <c r="P191" s="371"/>
      <c r="Q191" s="371"/>
    </row>
    <row r="192">
      <c r="A192" s="581">
        <v>185.0</v>
      </c>
      <c r="B192" s="582" t="b">
        <v>0</v>
      </c>
      <c r="C192" s="594"/>
      <c r="D192" s="584"/>
      <c r="E192" s="585"/>
      <c r="F192" s="586"/>
      <c r="G192" s="587"/>
      <c r="H192" s="587"/>
      <c r="I192" s="592"/>
      <c r="J192" s="371"/>
      <c r="K192" s="371"/>
      <c r="L192" s="371"/>
      <c r="M192" s="371"/>
      <c r="N192" s="371"/>
      <c r="O192" s="371"/>
      <c r="P192" s="371"/>
      <c r="Q192" s="371"/>
    </row>
    <row r="193">
      <c r="A193" s="573">
        <v>186.0</v>
      </c>
      <c r="B193" s="574" t="b">
        <v>0</v>
      </c>
      <c r="C193" s="595"/>
      <c r="D193" s="576"/>
      <c r="E193" s="589"/>
      <c r="F193" s="578"/>
      <c r="G193" s="579"/>
      <c r="H193" s="579"/>
      <c r="I193" s="580"/>
      <c r="J193" s="371"/>
      <c r="K193" s="371"/>
      <c r="L193" s="371"/>
      <c r="M193" s="371"/>
      <c r="N193" s="371"/>
      <c r="O193" s="371"/>
      <c r="P193" s="371"/>
      <c r="Q193" s="371"/>
    </row>
    <row r="194">
      <c r="A194" s="581">
        <v>187.0</v>
      </c>
      <c r="B194" s="582" t="b">
        <v>0</v>
      </c>
      <c r="C194" s="594"/>
      <c r="D194" s="584"/>
      <c r="E194" s="585"/>
      <c r="F194" s="586"/>
      <c r="G194" s="587"/>
      <c r="H194" s="587"/>
      <c r="I194" s="592"/>
      <c r="J194" s="371"/>
      <c r="K194" s="371"/>
      <c r="L194" s="371"/>
      <c r="M194" s="371"/>
      <c r="N194" s="371"/>
      <c r="O194" s="371"/>
      <c r="P194" s="371"/>
      <c r="Q194" s="371"/>
    </row>
    <row r="195">
      <c r="A195" s="573">
        <v>188.0</v>
      </c>
      <c r="B195" s="574" t="b">
        <v>0</v>
      </c>
      <c r="C195" s="595"/>
      <c r="D195" s="576"/>
      <c r="E195" s="589"/>
      <c r="F195" s="578"/>
      <c r="G195" s="579"/>
      <c r="H195" s="579"/>
      <c r="I195" s="580"/>
      <c r="J195" s="371"/>
      <c r="K195" s="371"/>
      <c r="L195" s="371"/>
      <c r="M195" s="371"/>
      <c r="N195" s="371"/>
      <c r="O195" s="371"/>
      <c r="P195" s="371"/>
      <c r="Q195" s="371"/>
    </row>
    <row r="196">
      <c r="A196" s="581">
        <v>189.0</v>
      </c>
      <c r="B196" s="582" t="b">
        <v>0</v>
      </c>
      <c r="C196" s="594"/>
      <c r="D196" s="584"/>
      <c r="E196" s="585"/>
      <c r="F196" s="586"/>
      <c r="G196" s="587"/>
      <c r="H196" s="587"/>
      <c r="I196" s="592"/>
      <c r="J196" s="371"/>
      <c r="K196" s="371"/>
      <c r="L196" s="371"/>
      <c r="M196" s="371"/>
      <c r="N196" s="371"/>
      <c r="O196" s="371"/>
      <c r="P196" s="371"/>
      <c r="Q196" s="371"/>
    </row>
    <row r="197">
      <c r="A197" s="573">
        <v>190.0</v>
      </c>
      <c r="B197" s="574" t="b">
        <v>0</v>
      </c>
      <c r="C197" s="595"/>
      <c r="D197" s="576"/>
      <c r="E197" s="589"/>
      <c r="F197" s="578"/>
      <c r="G197" s="579"/>
      <c r="H197" s="579"/>
      <c r="I197" s="580"/>
      <c r="J197" s="371"/>
      <c r="K197" s="371"/>
      <c r="L197" s="371"/>
      <c r="M197" s="371"/>
      <c r="N197" s="371"/>
      <c r="O197" s="371"/>
      <c r="P197" s="371"/>
      <c r="Q197" s="371"/>
    </row>
    <row r="198">
      <c r="A198" s="581">
        <v>191.0</v>
      </c>
      <c r="B198" s="582" t="b">
        <v>0</v>
      </c>
      <c r="C198" s="594"/>
      <c r="D198" s="584"/>
      <c r="E198" s="585"/>
      <c r="F198" s="586"/>
      <c r="G198" s="587"/>
      <c r="H198" s="587"/>
      <c r="I198" s="592"/>
      <c r="J198" s="371"/>
      <c r="K198" s="371"/>
      <c r="L198" s="371"/>
      <c r="M198" s="371"/>
      <c r="N198" s="371"/>
      <c r="O198" s="371"/>
      <c r="P198" s="371"/>
      <c r="Q198" s="371"/>
    </row>
    <row r="199">
      <c r="A199" s="573">
        <v>192.0</v>
      </c>
      <c r="B199" s="574" t="b">
        <v>0</v>
      </c>
      <c r="C199" s="595"/>
      <c r="D199" s="576"/>
      <c r="E199" s="589"/>
      <c r="F199" s="578"/>
      <c r="G199" s="579"/>
      <c r="H199" s="579"/>
      <c r="I199" s="580"/>
      <c r="J199" s="371"/>
      <c r="K199" s="371"/>
      <c r="L199" s="371"/>
      <c r="M199" s="371"/>
      <c r="N199" s="371"/>
      <c r="O199" s="371"/>
      <c r="P199" s="371"/>
      <c r="Q199" s="371"/>
    </row>
    <row r="200">
      <c r="A200" s="581">
        <v>193.0</v>
      </c>
      <c r="B200" s="582" t="b">
        <v>0</v>
      </c>
      <c r="C200" s="594"/>
      <c r="D200" s="584"/>
      <c r="E200" s="585"/>
      <c r="F200" s="586"/>
      <c r="G200" s="587"/>
      <c r="H200" s="587"/>
      <c r="I200" s="592"/>
      <c r="J200" s="371"/>
      <c r="K200" s="371"/>
      <c r="L200" s="371"/>
      <c r="M200" s="371"/>
      <c r="N200" s="371"/>
      <c r="O200" s="371"/>
      <c r="P200" s="371"/>
      <c r="Q200" s="371"/>
    </row>
    <row r="201">
      <c r="A201" s="573">
        <v>194.0</v>
      </c>
      <c r="B201" s="574" t="b">
        <v>0</v>
      </c>
      <c r="C201" s="595"/>
      <c r="D201" s="576"/>
      <c r="E201" s="589"/>
      <c r="F201" s="578"/>
      <c r="G201" s="579"/>
      <c r="H201" s="579"/>
      <c r="I201" s="580"/>
      <c r="J201" s="371"/>
      <c r="K201" s="371"/>
      <c r="L201" s="371"/>
      <c r="M201" s="371"/>
      <c r="N201" s="371"/>
      <c r="O201" s="371"/>
      <c r="P201" s="371"/>
      <c r="Q201" s="371"/>
    </row>
    <row r="202">
      <c r="A202" s="581">
        <v>195.0</v>
      </c>
      <c r="B202" s="582" t="b">
        <v>0</v>
      </c>
      <c r="C202" s="594"/>
      <c r="D202" s="584"/>
      <c r="E202" s="585"/>
      <c r="F202" s="586"/>
      <c r="G202" s="587"/>
      <c r="H202" s="587"/>
      <c r="I202" s="592"/>
      <c r="J202" s="371"/>
      <c r="K202" s="371"/>
      <c r="L202" s="371"/>
      <c r="M202" s="371"/>
      <c r="N202" s="371"/>
      <c r="O202" s="371"/>
      <c r="P202" s="371"/>
      <c r="Q202" s="371"/>
    </row>
    <row r="203">
      <c r="A203" s="573">
        <v>196.0</v>
      </c>
      <c r="B203" s="574" t="b">
        <v>0</v>
      </c>
      <c r="C203" s="595"/>
      <c r="D203" s="576"/>
      <c r="E203" s="589"/>
      <c r="F203" s="578"/>
      <c r="G203" s="579"/>
      <c r="H203" s="579"/>
      <c r="I203" s="580"/>
      <c r="J203" s="371"/>
      <c r="K203" s="371"/>
      <c r="L203" s="371"/>
      <c r="M203" s="371"/>
      <c r="N203" s="371"/>
      <c r="O203" s="371"/>
      <c r="P203" s="371"/>
      <c r="Q203" s="371"/>
    </row>
    <row r="204">
      <c r="A204" s="581">
        <v>197.0</v>
      </c>
      <c r="B204" s="582" t="b">
        <v>0</v>
      </c>
      <c r="C204" s="594"/>
      <c r="D204" s="584"/>
      <c r="E204" s="585"/>
      <c r="F204" s="586"/>
      <c r="G204" s="587"/>
      <c r="H204" s="587"/>
      <c r="I204" s="592"/>
      <c r="J204" s="371"/>
      <c r="K204" s="371"/>
      <c r="L204" s="371"/>
      <c r="M204" s="371"/>
      <c r="N204" s="371"/>
      <c r="O204" s="371"/>
      <c r="P204" s="371"/>
      <c r="Q204" s="371"/>
    </row>
    <row r="205">
      <c r="A205" s="573">
        <v>198.0</v>
      </c>
      <c r="B205" s="574" t="b">
        <v>0</v>
      </c>
      <c r="C205" s="595"/>
      <c r="D205" s="576"/>
      <c r="E205" s="589"/>
      <c r="F205" s="578"/>
      <c r="G205" s="579"/>
      <c r="H205" s="579"/>
      <c r="I205" s="580"/>
      <c r="J205" s="371"/>
      <c r="K205" s="371"/>
      <c r="L205" s="371"/>
      <c r="M205" s="371"/>
      <c r="N205" s="371"/>
      <c r="O205" s="371"/>
      <c r="P205" s="371"/>
      <c r="Q205" s="371"/>
    </row>
    <row r="206">
      <c r="A206" s="581">
        <v>199.0</v>
      </c>
      <c r="B206" s="582" t="b">
        <v>0</v>
      </c>
      <c r="C206" s="594"/>
      <c r="D206" s="584"/>
      <c r="E206" s="585"/>
      <c r="F206" s="586"/>
      <c r="G206" s="587"/>
      <c r="H206" s="587"/>
      <c r="I206" s="592"/>
      <c r="J206" s="371"/>
      <c r="K206" s="371"/>
      <c r="L206" s="371"/>
      <c r="M206" s="371"/>
      <c r="N206" s="371"/>
      <c r="O206" s="371"/>
      <c r="P206" s="371"/>
      <c r="Q206" s="371"/>
    </row>
    <row r="207">
      <c r="A207" s="573">
        <v>200.0</v>
      </c>
      <c r="B207" s="574" t="b">
        <v>0</v>
      </c>
      <c r="C207" s="595"/>
      <c r="D207" s="576"/>
      <c r="E207" s="589"/>
      <c r="F207" s="578"/>
      <c r="G207" s="579"/>
      <c r="H207" s="579"/>
      <c r="I207" s="580"/>
      <c r="J207" s="371"/>
      <c r="K207" s="371"/>
      <c r="L207" s="371"/>
      <c r="M207" s="371"/>
      <c r="N207" s="371"/>
      <c r="O207" s="371"/>
      <c r="P207" s="371"/>
      <c r="Q207" s="371"/>
    </row>
    <row r="208">
      <c r="A208" s="581">
        <v>201.0</v>
      </c>
      <c r="B208" s="582" t="b">
        <v>0</v>
      </c>
      <c r="C208" s="594"/>
      <c r="D208" s="584"/>
      <c r="E208" s="585"/>
      <c r="F208" s="586"/>
      <c r="G208" s="587"/>
      <c r="H208" s="587"/>
      <c r="I208" s="592"/>
      <c r="J208" s="371"/>
      <c r="K208" s="371"/>
      <c r="L208" s="371"/>
      <c r="M208" s="371"/>
      <c r="N208" s="371"/>
      <c r="O208" s="371"/>
      <c r="P208" s="371"/>
      <c r="Q208" s="371"/>
    </row>
    <row r="209">
      <c r="A209" s="573">
        <v>202.0</v>
      </c>
      <c r="B209" s="574" t="b">
        <v>0</v>
      </c>
      <c r="C209" s="595"/>
      <c r="D209" s="576"/>
      <c r="E209" s="589"/>
      <c r="F209" s="578"/>
      <c r="G209" s="579"/>
      <c r="H209" s="579"/>
      <c r="I209" s="580"/>
      <c r="J209" s="371"/>
      <c r="K209" s="371"/>
      <c r="L209" s="371"/>
      <c r="M209" s="371"/>
      <c r="N209" s="371"/>
      <c r="O209" s="371"/>
      <c r="P209" s="371"/>
      <c r="Q209" s="371"/>
    </row>
    <row r="210">
      <c r="A210" s="581">
        <v>203.0</v>
      </c>
      <c r="B210" s="582" t="b">
        <v>0</v>
      </c>
      <c r="C210" s="594"/>
      <c r="D210" s="584"/>
      <c r="E210" s="585"/>
      <c r="F210" s="586"/>
      <c r="G210" s="587"/>
      <c r="H210" s="587"/>
      <c r="I210" s="592"/>
      <c r="J210" s="371"/>
      <c r="K210" s="371"/>
      <c r="L210" s="371"/>
      <c r="M210" s="371"/>
      <c r="N210" s="371"/>
      <c r="O210" s="371"/>
      <c r="P210" s="371"/>
      <c r="Q210" s="371"/>
    </row>
    <row r="211">
      <c r="A211" s="573">
        <v>204.0</v>
      </c>
      <c r="B211" s="574" t="b">
        <v>0</v>
      </c>
      <c r="C211" s="595"/>
      <c r="D211" s="576"/>
      <c r="E211" s="589"/>
      <c r="F211" s="578"/>
      <c r="G211" s="579"/>
      <c r="H211" s="579"/>
      <c r="I211" s="580"/>
      <c r="J211" s="371"/>
      <c r="K211" s="371"/>
      <c r="L211" s="371"/>
      <c r="M211" s="371"/>
      <c r="N211" s="371"/>
      <c r="O211" s="371"/>
      <c r="P211" s="371"/>
      <c r="Q211" s="371"/>
    </row>
    <row r="212">
      <c r="A212" s="581">
        <v>205.0</v>
      </c>
      <c r="B212" s="582" t="b">
        <v>0</v>
      </c>
      <c r="C212" s="594"/>
      <c r="D212" s="584"/>
      <c r="E212" s="585"/>
      <c r="F212" s="586"/>
      <c r="G212" s="587"/>
      <c r="H212" s="587"/>
      <c r="I212" s="592"/>
      <c r="J212" s="371"/>
      <c r="K212" s="371"/>
      <c r="L212" s="371"/>
      <c r="M212" s="371"/>
      <c r="N212" s="371"/>
      <c r="O212" s="371"/>
      <c r="P212" s="371"/>
      <c r="Q212" s="371"/>
    </row>
    <row r="213">
      <c r="A213" s="573">
        <v>206.0</v>
      </c>
      <c r="B213" s="574" t="b">
        <v>0</v>
      </c>
      <c r="C213" s="595"/>
      <c r="D213" s="576"/>
      <c r="E213" s="589"/>
      <c r="F213" s="578"/>
      <c r="G213" s="579"/>
      <c r="H213" s="579"/>
      <c r="I213" s="580"/>
      <c r="J213" s="371"/>
      <c r="K213" s="371"/>
      <c r="L213" s="371"/>
      <c r="M213" s="371"/>
      <c r="N213" s="371"/>
      <c r="O213" s="371"/>
      <c r="P213" s="371"/>
      <c r="Q213" s="371"/>
    </row>
    <row r="214">
      <c r="A214" s="581">
        <v>207.0</v>
      </c>
      <c r="B214" s="582" t="b">
        <v>0</v>
      </c>
      <c r="C214" s="594"/>
      <c r="D214" s="584"/>
      <c r="E214" s="585"/>
      <c r="F214" s="586"/>
      <c r="G214" s="587"/>
      <c r="H214" s="587"/>
      <c r="I214" s="592"/>
      <c r="J214" s="371"/>
      <c r="K214" s="371"/>
      <c r="L214" s="371"/>
      <c r="M214" s="371"/>
      <c r="N214" s="371"/>
      <c r="O214" s="371"/>
      <c r="P214" s="371"/>
      <c r="Q214" s="371"/>
    </row>
    <row r="215">
      <c r="A215" s="573">
        <v>208.0</v>
      </c>
      <c r="B215" s="574" t="b">
        <v>0</v>
      </c>
      <c r="C215" s="595"/>
      <c r="D215" s="576"/>
      <c r="E215" s="589"/>
      <c r="F215" s="578"/>
      <c r="G215" s="579"/>
      <c r="H215" s="579"/>
      <c r="I215" s="580"/>
      <c r="J215" s="371"/>
      <c r="K215" s="371"/>
      <c r="L215" s="371"/>
      <c r="M215" s="371"/>
      <c r="N215" s="371"/>
      <c r="O215" s="371"/>
      <c r="P215" s="371"/>
      <c r="Q215" s="371"/>
    </row>
    <row r="216">
      <c r="A216" s="581">
        <v>209.0</v>
      </c>
      <c r="B216" s="582" t="b">
        <v>0</v>
      </c>
      <c r="C216" s="594"/>
      <c r="D216" s="584"/>
      <c r="E216" s="585"/>
      <c r="F216" s="586"/>
      <c r="G216" s="587"/>
      <c r="H216" s="587"/>
      <c r="I216" s="592"/>
      <c r="J216" s="371"/>
      <c r="K216" s="371"/>
      <c r="L216" s="371"/>
      <c r="M216" s="371"/>
      <c r="N216" s="371"/>
      <c r="O216" s="371"/>
      <c r="P216" s="371"/>
      <c r="Q216" s="371"/>
    </row>
    <row r="217">
      <c r="A217" s="573">
        <v>210.0</v>
      </c>
      <c r="B217" s="574" t="b">
        <v>0</v>
      </c>
      <c r="C217" s="595"/>
      <c r="D217" s="576"/>
      <c r="E217" s="589"/>
      <c r="F217" s="578"/>
      <c r="G217" s="579"/>
      <c r="H217" s="579"/>
      <c r="I217" s="580"/>
      <c r="J217" s="371"/>
      <c r="K217" s="371"/>
      <c r="L217" s="371"/>
      <c r="M217" s="371"/>
      <c r="N217" s="371"/>
      <c r="O217" s="371"/>
      <c r="P217" s="371"/>
      <c r="Q217" s="371"/>
    </row>
    <row r="218">
      <c r="A218" s="581">
        <v>211.0</v>
      </c>
      <c r="B218" s="582" t="b">
        <v>0</v>
      </c>
      <c r="C218" s="594"/>
      <c r="D218" s="584"/>
      <c r="E218" s="585"/>
      <c r="F218" s="586"/>
      <c r="G218" s="587"/>
      <c r="H218" s="587"/>
      <c r="I218" s="592"/>
      <c r="J218" s="371"/>
      <c r="K218" s="371"/>
      <c r="L218" s="371"/>
      <c r="M218" s="371"/>
      <c r="N218" s="371"/>
      <c r="O218" s="371"/>
      <c r="P218" s="371"/>
      <c r="Q218" s="371"/>
    </row>
    <row r="219">
      <c r="A219" s="573">
        <v>212.0</v>
      </c>
      <c r="B219" s="574" t="b">
        <v>0</v>
      </c>
      <c r="C219" s="595"/>
      <c r="D219" s="576"/>
      <c r="E219" s="589"/>
      <c r="F219" s="578"/>
      <c r="G219" s="579"/>
      <c r="H219" s="579"/>
      <c r="I219" s="580"/>
      <c r="J219" s="371"/>
      <c r="K219" s="371"/>
      <c r="L219" s="371"/>
      <c r="M219" s="371"/>
      <c r="N219" s="371"/>
      <c r="O219" s="371"/>
      <c r="P219" s="371"/>
      <c r="Q219" s="371"/>
    </row>
    <row r="220">
      <c r="A220" s="581">
        <v>213.0</v>
      </c>
      <c r="B220" s="582" t="b">
        <v>0</v>
      </c>
      <c r="C220" s="594"/>
      <c r="D220" s="584"/>
      <c r="E220" s="585"/>
      <c r="F220" s="586"/>
      <c r="G220" s="587"/>
      <c r="H220" s="587"/>
      <c r="I220" s="592"/>
      <c r="J220" s="371"/>
      <c r="K220" s="371"/>
      <c r="L220" s="371"/>
      <c r="M220" s="371"/>
      <c r="N220" s="371"/>
      <c r="O220" s="371"/>
      <c r="P220" s="371"/>
      <c r="Q220" s="371"/>
    </row>
    <row r="221">
      <c r="A221" s="573">
        <v>214.0</v>
      </c>
      <c r="B221" s="574" t="b">
        <v>0</v>
      </c>
      <c r="C221" s="595"/>
      <c r="D221" s="576"/>
      <c r="E221" s="589"/>
      <c r="F221" s="578"/>
      <c r="G221" s="579"/>
      <c r="H221" s="579"/>
      <c r="I221" s="580"/>
      <c r="J221" s="371"/>
      <c r="K221" s="371"/>
      <c r="L221" s="371"/>
      <c r="M221" s="371"/>
      <c r="N221" s="371"/>
      <c r="O221" s="371"/>
      <c r="P221" s="371"/>
      <c r="Q221" s="371"/>
    </row>
    <row r="222">
      <c r="A222" s="581">
        <v>215.0</v>
      </c>
      <c r="B222" s="582" t="b">
        <v>0</v>
      </c>
      <c r="C222" s="594"/>
      <c r="D222" s="584"/>
      <c r="E222" s="585"/>
      <c r="F222" s="586"/>
      <c r="G222" s="587"/>
      <c r="H222" s="587"/>
      <c r="I222" s="592"/>
      <c r="J222" s="371"/>
      <c r="K222" s="371"/>
      <c r="L222" s="371"/>
      <c r="M222" s="371"/>
      <c r="N222" s="371"/>
      <c r="O222" s="371"/>
      <c r="P222" s="371"/>
      <c r="Q222" s="371"/>
    </row>
    <row r="223">
      <c r="A223" s="573">
        <v>216.0</v>
      </c>
      <c r="B223" s="574" t="b">
        <v>0</v>
      </c>
      <c r="C223" s="595"/>
      <c r="D223" s="576"/>
      <c r="E223" s="589"/>
      <c r="F223" s="578"/>
      <c r="G223" s="579"/>
      <c r="H223" s="579"/>
      <c r="I223" s="580"/>
      <c r="J223" s="371"/>
      <c r="K223" s="371"/>
      <c r="L223" s="371"/>
      <c r="M223" s="371"/>
      <c r="N223" s="371"/>
      <c r="O223" s="371"/>
      <c r="P223" s="371"/>
      <c r="Q223" s="371"/>
    </row>
    <row r="224">
      <c r="A224" s="581">
        <v>217.0</v>
      </c>
      <c r="B224" s="582" t="b">
        <v>0</v>
      </c>
      <c r="C224" s="594"/>
      <c r="D224" s="584"/>
      <c r="E224" s="585"/>
      <c r="F224" s="586"/>
      <c r="G224" s="587"/>
      <c r="H224" s="587"/>
      <c r="I224" s="592"/>
      <c r="J224" s="371"/>
      <c r="K224" s="371"/>
      <c r="L224" s="371"/>
      <c r="M224" s="371"/>
      <c r="N224" s="371"/>
      <c r="O224" s="371"/>
      <c r="P224" s="371"/>
      <c r="Q224" s="371"/>
    </row>
    <row r="225">
      <c r="A225" s="573">
        <v>218.0</v>
      </c>
      <c r="B225" s="574" t="b">
        <v>0</v>
      </c>
      <c r="C225" s="595"/>
      <c r="D225" s="576"/>
      <c r="E225" s="589"/>
      <c r="F225" s="578"/>
      <c r="G225" s="579"/>
      <c r="H225" s="579"/>
      <c r="I225" s="580"/>
      <c r="J225" s="371"/>
      <c r="K225" s="371"/>
      <c r="L225" s="371"/>
      <c r="M225" s="371"/>
      <c r="N225" s="371"/>
      <c r="O225" s="371"/>
      <c r="P225" s="371"/>
      <c r="Q225" s="371"/>
    </row>
    <row r="226">
      <c r="A226" s="581">
        <v>219.0</v>
      </c>
      <c r="B226" s="582" t="b">
        <v>0</v>
      </c>
      <c r="C226" s="594"/>
      <c r="D226" s="584"/>
      <c r="E226" s="585"/>
      <c r="F226" s="586"/>
      <c r="G226" s="587"/>
      <c r="H226" s="587"/>
      <c r="I226" s="592"/>
      <c r="J226" s="371"/>
      <c r="K226" s="371"/>
      <c r="L226" s="371"/>
      <c r="M226" s="371"/>
      <c r="N226" s="371"/>
      <c r="O226" s="371"/>
      <c r="P226" s="371"/>
      <c r="Q226" s="371"/>
    </row>
    <row r="227">
      <c r="A227" s="573">
        <v>220.0</v>
      </c>
      <c r="B227" s="574" t="b">
        <v>0</v>
      </c>
      <c r="C227" s="595"/>
      <c r="D227" s="576"/>
      <c r="E227" s="589"/>
      <c r="F227" s="578"/>
      <c r="G227" s="579"/>
      <c r="H227" s="579"/>
      <c r="I227" s="580"/>
      <c r="J227" s="371"/>
      <c r="K227" s="371"/>
      <c r="L227" s="371"/>
      <c r="M227" s="371"/>
      <c r="N227" s="371"/>
      <c r="O227" s="371"/>
      <c r="P227" s="371"/>
      <c r="Q227" s="371"/>
    </row>
    <row r="228">
      <c r="A228" s="581">
        <v>221.0</v>
      </c>
      <c r="B228" s="582" t="b">
        <v>0</v>
      </c>
      <c r="C228" s="594"/>
      <c r="D228" s="584"/>
      <c r="E228" s="585"/>
      <c r="F228" s="586"/>
      <c r="G228" s="587"/>
      <c r="H228" s="587"/>
      <c r="I228" s="592"/>
      <c r="J228" s="371"/>
      <c r="K228" s="371"/>
      <c r="L228" s="371"/>
      <c r="M228" s="371"/>
      <c r="N228" s="371"/>
      <c r="O228" s="371"/>
      <c r="P228" s="371"/>
      <c r="Q228" s="371"/>
    </row>
    <row r="229">
      <c r="A229" s="573">
        <v>222.0</v>
      </c>
      <c r="B229" s="574" t="b">
        <v>0</v>
      </c>
      <c r="C229" s="595"/>
      <c r="D229" s="576"/>
      <c r="E229" s="589"/>
      <c r="F229" s="578"/>
      <c r="G229" s="579"/>
      <c r="H229" s="579"/>
      <c r="I229" s="580"/>
      <c r="J229" s="371"/>
      <c r="K229" s="371"/>
      <c r="L229" s="371"/>
      <c r="M229" s="371"/>
      <c r="N229" s="371"/>
      <c r="O229" s="371"/>
      <c r="P229" s="371"/>
      <c r="Q229" s="371"/>
    </row>
    <row r="230">
      <c r="A230" s="581">
        <v>223.0</v>
      </c>
      <c r="B230" s="582" t="b">
        <v>0</v>
      </c>
      <c r="C230" s="594"/>
      <c r="D230" s="584"/>
      <c r="E230" s="585"/>
      <c r="F230" s="586"/>
      <c r="G230" s="587"/>
      <c r="H230" s="587"/>
      <c r="I230" s="592"/>
      <c r="J230" s="371"/>
      <c r="K230" s="371"/>
      <c r="L230" s="371"/>
      <c r="M230" s="371"/>
      <c r="N230" s="371"/>
      <c r="O230" s="371"/>
      <c r="P230" s="371"/>
      <c r="Q230" s="371"/>
    </row>
    <row r="231">
      <c r="A231" s="573">
        <v>224.0</v>
      </c>
      <c r="B231" s="574" t="b">
        <v>0</v>
      </c>
      <c r="C231" s="595"/>
      <c r="D231" s="576"/>
      <c r="E231" s="589"/>
      <c r="F231" s="578"/>
      <c r="G231" s="579"/>
      <c r="H231" s="579"/>
      <c r="I231" s="580"/>
      <c r="J231" s="371"/>
      <c r="K231" s="371"/>
      <c r="L231" s="371"/>
      <c r="M231" s="371"/>
      <c r="N231" s="371"/>
      <c r="O231" s="371"/>
      <c r="P231" s="371"/>
      <c r="Q231" s="371"/>
    </row>
    <row r="232">
      <c r="A232" s="581">
        <v>225.0</v>
      </c>
      <c r="B232" s="582" t="b">
        <v>0</v>
      </c>
      <c r="C232" s="594"/>
      <c r="D232" s="584"/>
      <c r="E232" s="585"/>
      <c r="F232" s="586"/>
      <c r="G232" s="587"/>
      <c r="H232" s="587"/>
      <c r="I232" s="592"/>
      <c r="J232" s="371"/>
      <c r="K232" s="371"/>
      <c r="L232" s="371"/>
      <c r="M232" s="371"/>
      <c r="N232" s="371"/>
      <c r="O232" s="371"/>
      <c r="P232" s="371"/>
      <c r="Q232" s="371"/>
    </row>
    <row r="233">
      <c r="A233" s="573">
        <v>226.0</v>
      </c>
      <c r="B233" s="574" t="b">
        <v>0</v>
      </c>
      <c r="C233" s="595"/>
      <c r="D233" s="576"/>
      <c r="E233" s="589"/>
      <c r="F233" s="578"/>
      <c r="G233" s="579"/>
      <c r="H233" s="579"/>
      <c r="I233" s="580"/>
      <c r="J233" s="371"/>
      <c r="K233" s="371"/>
      <c r="L233" s="371"/>
      <c r="M233" s="371"/>
      <c r="N233" s="371"/>
      <c r="O233" s="371"/>
      <c r="P233" s="371"/>
      <c r="Q233" s="371"/>
    </row>
    <row r="234">
      <c r="A234" s="581">
        <v>227.0</v>
      </c>
      <c r="B234" s="582" t="b">
        <v>0</v>
      </c>
      <c r="C234" s="594"/>
      <c r="D234" s="584"/>
      <c r="E234" s="585"/>
      <c r="F234" s="586"/>
      <c r="G234" s="587"/>
      <c r="H234" s="587"/>
      <c r="I234" s="592"/>
      <c r="J234" s="371"/>
      <c r="K234" s="371"/>
      <c r="L234" s="371"/>
      <c r="M234" s="371"/>
      <c r="N234" s="371"/>
      <c r="O234" s="371"/>
      <c r="P234" s="371"/>
      <c r="Q234" s="371"/>
    </row>
    <row r="235">
      <c r="A235" s="573">
        <v>228.0</v>
      </c>
      <c r="B235" s="574" t="b">
        <v>0</v>
      </c>
      <c r="C235" s="595"/>
      <c r="D235" s="576"/>
      <c r="E235" s="589"/>
      <c r="F235" s="578"/>
      <c r="G235" s="579"/>
      <c r="H235" s="579"/>
      <c r="I235" s="580"/>
      <c r="J235" s="371"/>
      <c r="K235" s="371"/>
      <c r="L235" s="371"/>
      <c r="M235" s="371"/>
      <c r="N235" s="371"/>
      <c r="O235" s="371"/>
      <c r="P235" s="371"/>
      <c r="Q235" s="371"/>
    </row>
    <row r="236">
      <c r="A236" s="581">
        <v>229.0</v>
      </c>
      <c r="B236" s="582" t="b">
        <v>0</v>
      </c>
      <c r="C236" s="594"/>
      <c r="D236" s="584"/>
      <c r="E236" s="585"/>
      <c r="F236" s="586"/>
      <c r="G236" s="587"/>
      <c r="H236" s="587"/>
      <c r="I236" s="592"/>
      <c r="J236" s="371"/>
      <c r="K236" s="371"/>
      <c r="L236" s="371"/>
      <c r="M236" s="371"/>
      <c r="N236" s="371"/>
      <c r="O236" s="371"/>
      <c r="P236" s="371"/>
      <c r="Q236" s="371"/>
    </row>
    <row r="237">
      <c r="A237" s="573">
        <v>230.0</v>
      </c>
      <c r="B237" s="574" t="b">
        <v>0</v>
      </c>
      <c r="C237" s="595"/>
      <c r="D237" s="576"/>
      <c r="E237" s="589"/>
      <c r="F237" s="578"/>
      <c r="G237" s="579"/>
      <c r="H237" s="579"/>
      <c r="I237" s="580"/>
      <c r="J237" s="371"/>
      <c r="K237" s="371"/>
      <c r="L237" s="371"/>
      <c r="M237" s="371"/>
      <c r="N237" s="371"/>
      <c r="O237" s="371"/>
      <c r="P237" s="371"/>
      <c r="Q237" s="371"/>
    </row>
    <row r="238">
      <c r="A238" s="581">
        <v>231.0</v>
      </c>
      <c r="B238" s="582" t="b">
        <v>0</v>
      </c>
      <c r="C238" s="594"/>
      <c r="D238" s="584"/>
      <c r="E238" s="585"/>
      <c r="F238" s="586"/>
      <c r="G238" s="587"/>
      <c r="H238" s="587"/>
      <c r="I238" s="592"/>
      <c r="J238" s="371"/>
      <c r="K238" s="371"/>
      <c r="L238" s="371"/>
      <c r="M238" s="371"/>
      <c r="N238" s="371"/>
      <c r="O238" s="371"/>
      <c r="P238" s="371"/>
      <c r="Q238" s="371"/>
    </row>
    <row r="239">
      <c r="A239" s="573">
        <v>232.0</v>
      </c>
      <c r="B239" s="574" t="b">
        <v>0</v>
      </c>
      <c r="C239" s="595"/>
      <c r="D239" s="576"/>
      <c r="E239" s="589"/>
      <c r="F239" s="578"/>
      <c r="G239" s="579"/>
      <c r="H239" s="579"/>
      <c r="I239" s="580"/>
      <c r="J239" s="371"/>
      <c r="K239" s="371"/>
      <c r="L239" s="371"/>
      <c r="M239" s="371"/>
      <c r="N239" s="371"/>
      <c r="O239" s="371"/>
      <c r="P239" s="371"/>
      <c r="Q239" s="371"/>
    </row>
    <row r="240">
      <c r="A240" s="581">
        <v>233.0</v>
      </c>
      <c r="B240" s="582" t="b">
        <v>0</v>
      </c>
      <c r="C240" s="594"/>
      <c r="D240" s="584"/>
      <c r="E240" s="585"/>
      <c r="F240" s="586"/>
      <c r="G240" s="587"/>
      <c r="H240" s="587"/>
      <c r="I240" s="592"/>
      <c r="J240" s="371"/>
      <c r="K240" s="371"/>
      <c r="L240" s="371"/>
      <c r="M240" s="371"/>
      <c r="N240" s="371"/>
      <c r="O240" s="371"/>
      <c r="P240" s="371"/>
      <c r="Q240" s="371"/>
    </row>
    <row r="241">
      <c r="A241" s="573">
        <v>234.0</v>
      </c>
      <c r="B241" s="574" t="b">
        <v>0</v>
      </c>
      <c r="C241" s="595"/>
      <c r="D241" s="576"/>
      <c r="E241" s="589"/>
      <c r="F241" s="578"/>
      <c r="G241" s="579"/>
      <c r="H241" s="579"/>
      <c r="I241" s="580"/>
      <c r="J241" s="371"/>
      <c r="K241" s="371"/>
      <c r="L241" s="371"/>
      <c r="M241" s="371"/>
      <c r="N241" s="371"/>
      <c r="O241" s="371"/>
      <c r="P241" s="371"/>
      <c r="Q241" s="371"/>
    </row>
    <row r="242">
      <c r="A242" s="581">
        <v>235.0</v>
      </c>
      <c r="B242" s="582" t="b">
        <v>0</v>
      </c>
      <c r="C242" s="594"/>
      <c r="D242" s="584"/>
      <c r="E242" s="585"/>
      <c r="F242" s="586"/>
      <c r="G242" s="587"/>
      <c r="H242" s="587"/>
      <c r="I242" s="592"/>
      <c r="J242" s="371"/>
      <c r="K242" s="371"/>
      <c r="L242" s="371"/>
      <c r="M242" s="371"/>
      <c r="N242" s="371"/>
      <c r="O242" s="371"/>
      <c r="P242" s="371"/>
      <c r="Q242" s="371"/>
    </row>
    <row r="243">
      <c r="A243" s="573">
        <v>236.0</v>
      </c>
      <c r="B243" s="574" t="b">
        <v>0</v>
      </c>
      <c r="C243" s="595"/>
      <c r="D243" s="576"/>
      <c r="E243" s="589"/>
      <c r="F243" s="578"/>
      <c r="G243" s="579"/>
      <c r="H243" s="579"/>
      <c r="I243" s="580"/>
      <c r="J243" s="371"/>
      <c r="K243" s="371"/>
      <c r="L243" s="371"/>
      <c r="M243" s="371"/>
      <c r="N243" s="371"/>
      <c r="O243" s="371"/>
      <c r="P243" s="371"/>
      <c r="Q243" s="371"/>
    </row>
    <row r="244">
      <c r="A244" s="581">
        <v>237.0</v>
      </c>
      <c r="B244" s="582" t="b">
        <v>0</v>
      </c>
      <c r="C244" s="594"/>
      <c r="D244" s="584"/>
      <c r="E244" s="585"/>
      <c r="F244" s="586"/>
      <c r="G244" s="587"/>
      <c r="H244" s="587"/>
      <c r="I244" s="592"/>
      <c r="J244" s="371"/>
      <c r="K244" s="371"/>
      <c r="L244" s="371"/>
      <c r="M244" s="371"/>
      <c r="N244" s="371"/>
      <c r="O244" s="371"/>
      <c r="P244" s="371"/>
      <c r="Q244" s="371"/>
    </row>
    <row r="245">
      <c r="A245" s="573">
        <v>238.0</v>
      </c>
      <c r="B245" s="574" t="b">
        <v>0</v>
      </c>
      <c r="C245" s="595"/>
      <c r="D245" s="576"/>
      <c r="E245" s="589"/>
      <c r="F245" s="578"/>
      <c r="G245" s="579"/>
      <c r="H245" s="579"/>
      <c r="I245" s="580"/>
      <c r="J245" s="371"/>
      <c r="K245" s="371"/>
      <c r="L245" s="371"/>
      <c r="M245" s="371"/>
      <c r="N245" s="371"/>
      <c r="O245" s="371"/>
      <c r="P245" s="371"/>
      <c r="Q245" s="371"/>
    </row>
    <row r="246">
      <c r="A246" s="636" t="s">
        <v>2707</v>
      </c>
      <c r="B246" s="634"/>
      <c r="C246" s="634"/>
      <c r="D246" s="634"/>
      <c r="E246" s="634"/>
      <c r="F246" s="634"/>
      <c r="G246" s="634"/>
      <c r="H246" s="634"/>
      <c r="I246" s="635"/>
      <c r="J246" s="371"/>
      <c r="K246" s="371"/>
      <c r="L246" s="371"/>
      <c r="M246" s="371"/>
      <c r="N246" s="371"/>
      <c r="O246" s="371"/>
      <c r="P246" s="371"/>
      <c r="Q246" s="371"/>
    </row>
    <row r="247">
      <c r="A247" s="637"/>
      <c r="B247" s="637" t="s">
        <v>0</v>
      </c>
      <c r="C247" s="638"/>
      <c r="D247" s="637" t="s">
        <v>2</v>
      </c>
      <c r="E247" s="639"/>
      <c r="F247" s="640"/>
      <c r="G247" s="637"/>
      <c r="H247" s="637"/>
      <c r="I247" s="641" t="s">
        <v>6</v>
      </c>
      <c r="J247" s="371"/>
      <c r="K247" s="371"/>
      <c r="L247" s="371"/>
      <c r="M247" s="371"/>
      <c r="N247" s="371"/>
      <c r="O247" s="371"/>
      <c r="P247" s="371"/>
      <c r="Q247" s="371"/>
    </row>
    <row r="248">
      <c r="A248" s="581">
        <v>1.0</v>
      </c>
      <c r="B248" s="582" t="b">
        <v>0</v>
      </c>
      <c r="C248" s="594"/>
      <c r="D248" s="584"/>
      <c r="E248" s="591"/>
      <c r="F248" s="586"/>
      <c r="G248" s="582" t="b">
        <v>0</v>
      </c>
      <c r="H248" s="587"/>
      <c r="I248" s="592"/>
      <c r="J248" s="371"/>
      <c r="K248" s="371"/>
      <c r="L248" s="371"/>
      <c r="M248" s="371"/>
      <c r="N248" s="371"/>
      <c r="O248" s="371"/>
      <c r="P248" s="371"/>
      <c r="Q248" s="371"/>
    </row>
    <row r="249">
      <c r="A249" s="573">
        <v>2.0</v>
      </c>
      <c r="B249" s="574" t="b">
        <v>0</v>
      </c>
      <c r="C249" s="595"/>
      <c r="D249" s="576"/>
      <c r="E249" s="589"/>
      <c r="F249" s="578"/>
      <c r="G249" s="574" t="b">
        <v>1</v>
      </c>
      <c r="H249" s="579"/>
      <c r="I249" s="580"/>
      <c r="J249" s="371"/>
      <c r="K249" s="371"/>
      <c r="L249" s="371"/>
      <c r="M249" s="371"/>
      <c r="N249" s="371"/>
      <c r="O249" s="371"/>
      <c r="P249" s="371"/>
      <c r="Q249" s="371"/>
    </row>
    <row r="250">
      <c r="A250" s="581">
        <v>3.0</v>
      </c>
      <c r="B250" s="582" t="b">
        <v>0</v>
      </c>
      <c r="C250" s="594"/>
      <c r="D250" s="584"/>
      <c r="E250" s="585"/>
      <c r="F250" s="586"/>
      <c r="G250" s="582" t="b">
        <v>1</v>
      </c>
      <c r="H250" s="587"/>
      <c r="I250" s="592"/>
      <c r="J250" s="371"/>
      <c r="K250" s="371"/>
      <c r="L250" s="371"/>
      <c r="M250" s="371"/>
      <c r="N250" s="371"/>
      <c r="O250" s="371"/>
      <c r="P250" s="371"/>
      <c r="Q250" s="371"/>
    </row>
    <row r="251">
      <c r="A251" s="573">
        <v>4.0</v>
      </c>
      <c r="B251" s="574" t="b">
        <v>1</v>
      </c>
      <c r="C251" s="595"/>
      <c r="D251" s="576"/>
      <c r="E251" s="577"/>
      <c r="F251" s="578"/>
      <c r="G251" s="574" t="b">
        <v>1</v>
      </c>
      <c r="H251" s="579"/>
      <c r="I251" s="580"/>
      <c r="J251" s="371"/>
      <c r="K251" s="371"/>
      <c r="L251" s="371"/>
      <c r="M251" s="371"/>
      <c r="N251" s="371"/>
      <c r="O251" s="371"/>
      <c r="P251" s="371"/>
      <c r="Q251" s="371"/>
    </row>
    <row r="252">
      <c r="A252" s="581">
        <v>5.0</v>
      </c>
      <c r="B252" s="582" t="b">
        <v>0</v>
      </c>
      <c r="C252" s="594"/>
      <c r="D252" s="584"/>
      <c r="E252" s="591"/>
      <c r="F252" s="586"/>
      <c r="G252" s="582" t="b">
        <v>1</v>
      </c>
      <c r="H252" s="587"/>
      <c r="I252" s="592"/>
      <c r="J252" s="371"/>
      <c r="K252" s="371"/>
      <c r="L252" s="371"/>
      <c r="M252" s="371"/>
      <c r="N252" s="371"/>
      <c r="O252" s="371"/>
      <c r="P252" s="371"/>
      <c r="Q252" s="371"/>
    </row>
    <row r="253">
      <c r="A253" s="573">
        <v>6.0</v>
      </c>
      <c r="B253" s="574" t="b">
        <v>0</v>
      </c>
      <c r="C253" s="595"/>
      <c r="D253" s="576"/>
      <c r="E253" s="589"/>
      <c r="F253" s="578"/>
      <c r="G253" s="574" t="b">
        <v>0</v>
      </c>
      <c r="H253" s="579"/>
      <c r="I253" s="580"/>
      <c r="J253" s="371"/>
      <c r="K253" s="371"/>
      <c r="L253" s="371"/>
      <c r="M253" s="371"/>
      <c r="N253" s="371"/>
      <c r="O253" s="371"/>
      <c r="P253" s="371"/>
      <c r="Q253" s="371"/>
    </row>
    <row r="254">
      <c r="A254" s="581">
        <v>7.0</v>
      </c>
      <c r="B254" s="582" t="b">
        <v>0</v>
      </c>
      <c r="C254" s="642"/>
      <c r="D254" s="584"/>
      <c r="E254" s="585"/>
      <c r="F254" s="586"/>
      <c r="G254" s="582" t="b">
        <v>0</v>
      </c>
      <c r="H254" s="587"/>
      <c r="I254" s="592"/>
      <c r="J254" s="371"/>
      <c r="K254" s="371"/>
      <c r="L254" s="371"/>
      <c r="M254" s="371"/>
      <c r="N254" s="371"/>
      <c r="O254" s="371"/>
      <c r="P254" s="371"/>
      <c r="Q254" s="371"/>
    </row>
    <row r="255">
      <c r="A255" s="573">
        <v>8.0</v>
      </c>
      <c r="B255" s="574" t="b">
        <v>0</v>
      </c>
      <c r="C255" s="631"/>
      <c r="D255" s="576"/>
      <c r="E255" s="589"/>
      <c r="F255" s="578"/>
      <c r="G255" s="574" t="b">
        <v>0</v>
      </c>
      <c r="H255" s="579"/>
      <c r="I255" s="580"/>
      <c r="J255" s="371"/>
      <c r="K255" s="371"/>
      <c r="L255" s="371"/>
      <c r="M255" s="371"/>
      <c r="N255" s="371"/>
      <c r="O255" s="371"/>
      <c r="P255" s="371"/>
      <c r="Q255" s="371"/>
    </row>
    <row r="256">
      <c r="A256" s="581">
        <v>9.0</v>
      </c>
      <c r="B256" s="582" t="b">
        <v>0</v>
      </c>
      <c r="C256" s="630"/>
      <c r="D256" s="584"/>
      <c r="E256" s="585"/>
      <c r="F256" s="586"/>
      <c r="G256" s="582" t="b">
        <v>0</v>
      </c>
      <c r="H256" s="587"/>
      <c r="I256" s="592"/>
      <c r="J256" s="371"/>
      <c r="K256" s="371"/>
      <c r="L256" s="371"/>
      <c r="M256" s="371"/>
      <c r="N256" s="371"/>
      <c r="O256" s="371"/>
      <c r="P256" s="371"/>
      <c r="Q256" s="371"/>
    </row>
    <row r="257">
      <c r="A257" s="573">
        <v>10.0</v>
      </c>
      <c r="B257" s="574" t="b">
        <v>0</v>
      </c>
      <c r="C257" s="631"/>
      <c r="D257" s="576"/>
      <c r="E257" s="589"/>
      <c r="F257" s="578"/>
      <c r="G257" s="574" t="b">
        <v>0</v>
      </c>
      <c r="H257" s="579"/>
      <c r="I257" s="580"/>
      <c r="J257" s="371"/>
      <c r="K257" s="371"/>
      <c r="L257" s="371"/>
      <c r="M257" s="371"/>
      <c r="N257" s="371"/>
      <c r="O257" s="371"/>
      <c r="P257" s="371"/>
      <c r="Q257" s="371"/>
    </row>
    <row r="258">
      <c r="A258" s="581">
        <v>11.0</v>
      </c>
      <c r="B258" s="582" t="b">
        <v>0</v>
      </c>
      <c r="C258" s="630"/>
      <c r="D258" s="584"/>
      <c r="E258" s="585"/>
      <c r="F258" s="586"/>
      <c r="G258" s="582" t="b">
        <v>0</v>
      </c>
      <c r="H258" s="587"/>
      <c r="I258" s="592"/>
      <c r="J258" s="371"/>
      <c r="K258" s="371"/>
      <c r="L258" s="371"/>
      <c r="M258" s="371"/>
      <c r="N258" s="371"/>
      <c r="O258" s="371"/>
      <c r="P258" s="371"/>
      <c r="Q258" s="371"/>
    </row>
    <row r="259">
      <c r="A259" s="573">
        <v>12.0</v>
      </c>
      <c r="B259" s="574" t="b">
        <v>0</v>
      </c>
      <c r="C259" s="631"/>
      <c r="D259" s="576"/>
      <c r="E259" s="589"/>
      <c r="F259" s="578"/>
      <c r="G259" s="574" t="b">
        <v>0</v>
      </c>
      <c r="H259" s="579"/>
      <c r="I259" s="580"/>
      <c r="J259" s="371"/>
      <c r="K259" s="371"/>
      <c r="L259" s="371"/>
      <c r="M259" s="371"/>
      <c r="N259" s="371"/>
      <c r="O259" s="371"/>
      <c r="P259" s="371"/>
      <c r="Q259" s="371"/>
    </row>
    <row r="260">
      <c r="A260" s="581">
        <v>13.0</v>
      </c>
      <c r="B260" s="582" t="b">
        <v>0</v>
      </c>
      <c r="C260" s="630"/>
      <c r="D260" s="584"/>
      <c r="E260" s="585"/>
      <c r="F260" s="586"/>
      <c r="G260" s="582" t="b">
        <v>0</v>
      </c>
      <c r="H260" s="587"/>
      <c r="I260" s="592"/>
      <c r="J260" s="371"/>
      <c r="K260" s="371"/>
      <c r="L260" s="371"/>
      <c r="M260" s="371"/>
      <c r="N260" s="371"/>
      <c r="O260" s="371"/>
      <c r="P260" s="371"/>
      <c r="Q260" s="371"/>
    </row>
    <row r="261">
      <c r="A261" s="573">
        <v>14.0</v>
      </c>
      <c r="B261" s="574" t="b">
        <v>0</v>
      </c>
      <c r="C261" s="631"/>
      <c r="D261" s="576"/>
      <c r="E261" s="589"/>
      <c r="F261" s="578"/>
      <c r="G261" s="574" t="b">
        <v>0</v>
      </c>
      <c r="H261" s="579"/>
      <c r="I261" s="580"/>
      <c r="J261" s="371"/>
      <c r="K261" s="371"/>
      <c r="L261" s="371"/>
      <c r="M261" s="371"/>
      <c r="N261" s="371"/>
      <c r="O261" s="371"/>
      <c r="P261" s="371"/>
      <c r="Q261" s="371"/>
    </row>
    <row r="262">
      <c r="A262" s="581">
        <v>15.0</v>
      </c>
      <c r="B262" s="582" t="b">
        <v>0</v>
      </c>
      <c r="C262" s="632"/>
      <c r="D262" s="584"/>
      <c r="E262" s="585"/>
      <c r="F262" s="586"/>
      <c r="G262" s="582" t="b">
        <v>0</v>
      </c>
      <c r="H262" s="587"/>
      <c r="I262" s="592"/>
      <c r="J262" s="371"/>
      <c r="K262" s="371"/>
      <c r="L262" s="371"/>
      <c r="M262" s="371"/>
      <c r="N262" s="371"/>
      <c r="O262" s="371"/>
      <c r="P262" s="371"/>
      <c r="Q262" s="371"/>
    </row>
    <row r="263">
      <c r="A263" s="573">
        <v>16.0</v>
      </c>
      <c r="B263" s="574" t="b">
        <v>0</v>
      </c>
      <c r="C263" s="595"/>
      <c r="D263" s="576"/>
      <c r="E263" s="589"/>
      <c r="F263" s="578"/>
      <c r="G263" s="574" t="b">
        <v>0</v>
      </c>
      <c r="H263" s="579"/>
      <c r="I263" s="580"/>
      <c r="J263" s="371"/>
      <c r="K263" s="371"/>
      <c r="L263" s="371"/>
      <c r="M263" s="371"/>
      <c r="N263" s="371"/>
      <c r="O263" s="371"/>
      <c r="P263" s="371"/>
      <c r="Q263" s="371"/>
    </row>
    <row r="264">
      <c r="A264" s="581">
        <v>17.0</v>
      </c>
      <c r="B264" s="582" t="b">
        <v>0</v>
      </c>
      <c r="C264" s="594"/>
      <c r="D264" s="584"/>
      <c r="E264" s="585"/>
      <c r="F264" s="586"/>
      <c r="G264" s="582" t="b">
        <v>0</v>
      </c>
      <c r="H264" s="587"/>
      <c r="I264" s="592"/>
      <c r="J264" s="371"/>
      <c r="K264" s="371"/>
      <c r="L264" s="371"/>
      <c r="M264" s="371"/>
      <c r="N264" s="371"/>
      <c r="O264" s="371"/>
      <c r="P264" s="371"/>
      <c r="Q264" s="371"/>
    </row>
    <row r="265">
      <c r="A265" s="573">
        <v>18.0</v>
      </c>
      <c r="B265" s="574" t="b">
        <v>0</v>
      </c>
      <c r="C265" s="595"/>
      <c r="D265" s="576"/>
      <c r="E265" s="589"/>
      <c r="F265" s="578"/>
      <c r="G265" s="574" t="b">
        <v>0</v>
      </c>
      <c r="H265" s="579"/>
      <c r="I265" s="580"/>
      <c r="J265" s="371"/>
      <c r="K265" s="371"/>
      <c r="L265" s="371"/>
      <c r="M265" s="371"/>
      <c r="N265" s="371"/>
      <c r="O265" s="371"/>
      <c r="P265" s="371"/>
      <c r="Q265" s="371"/>
    </row>
    <row r="266">
      <c r="A266" s="581">
        <v>19.0</v>
      </c>
      <c r="B266" s="582" t="b">
        <v>0</v>
      </c>
      <c r="C266" s="594"/>
      <c r="D266" s="584"/>
      <c r="E266" s="585"/>
      <c r="F266" s="586"/>
      <c r="G266" s="582" t="b">
        <v>0</v>
      </c>
      <c r="H266" s="587"/>
      <c r="I266" s="592"/>
      <c r="J266" s="371"/>
      <c r="K266" s="371"/>
      <c r="L266" s="371"/>
      <c r="M266" s="371"/>
      <c r="N266" s="371"/>
      <c r="O266" s="371"/>
      <c r="P266" s="371"/>
      <c r="Q266" s="371"/>
    </row>
    <row r="267">
      <c r="A267" s="573">
        <v>20.0</v>
      </c>
      <c r="B267" s="574" t="b">
        <v>0</v>
      </c>
      <c r="C267" s="595"/>
      <c r="D267" s="576"/>
      <c r="E267" s="589"/>
      <c r="F267" s="578"/>
      <c r="G267" s="574" t="b">
        <v>0</v>
      </c>
      <c r="H267" s="579"/>
      <c r="I267" s="580"/>
      <c r="J267" s="371"/>
      <c r="K267" s="371"/>
      <c r="L267" s="371"/>
      <c r="M267" s="371"/>
      <c r="N267" s="371"/>
      <c r="O267" s="371"/>
      <c r="P267" s="371"/>
      <c r="Q267" s="371"/>
    </row>
    <row r="268">
      <c r="A268" s="581">
        <v>21.0</v>
      </c>
      <c r="B268" s="582" t="b">
        <v>0</v>
      </c>
      <c r="C268" s="643"/>
      <c r="D268" s="584"/>
      <c r="E268" s="585"/>
      <c r="F268" s="586"/>
      <c r="G268" s="582" t="b">
        <v>0</v>
      </c>
      <c r="H268" s="587"/>
      <c r="I268" s="592"/>
      <c r="J268" s="371"/>
      <c r="K268" s="371"/>
      <c r="L268" s="371"/>
      <c r="M268" s="371"/>
      <c r="N268" s="371"/>
      <c r="O268" s="371"/>
      <c r="P268" s="371"/>
      <c r="Q268" s="371"/>
    </row>
    <row r="269">
      <c r="A269" s="573">
        <v>22.0</v>
      </c>
      <c r="B269" s="574" t="b">
        <v>0</v>
      </c>
      <c r="C269" s="631"/>
      <c r="D269" s="576"/>
      <c r="E269" s="589"/>
      <c r="F269" s="578"/>
      <c r="G269" s="574" t="b">
        <v>0</v>
      </c>
      <c r="H269" s="579"/>
      <c r="I269" s="580"/>
      <c r="J269" s="371"/>
      <c r="K269" s="371"/>
      <c r="L269" s="371"/>
      <c r="M269" s="371"/>
      <c r="N269" s="371"/>
      <c r="O269" s="371"/>
      <c r="P269" s="371"/>
      <c r="Q269" s="371"/>
    </row>
    <row r="270">
      <c r="A270" s="581">
        <v>23.0</v>
      </c>
      <c r="B270" s="582" t="b">
        <v>0</v>
      </c>
      <c r="C270" s="630"/>
      <c r="D270" s="584" t="s">
        <v>2130</v>
      </c>
      <c r="E270" s="585"/>
      <c r="F270" s="586"/>
      <c r="G270" s="582" t="b">
        <v>0</v>
      </c>
      <c r="H270" s="587"/>
      <c r="I270" s="592"/>
      <c r="J270" s="371"/>
      <c r="K270" s="371"/>
      <c r="L270" s="371"/>
      <c r="M270" s="371"/>
      <c r="N270" s="371"/>
      <c r="O270" s="371"/>
      <c r="P270" s="371"/>
      <c r="Q270" s="371"/>
    </row>
    <row r="271">
      <c r="A271" s="573">
        <v>24.0</v>
      </c>
      <c r="B271" s="574" t="b">
        <v>0</v>
      </c>
      <c r="C271" s="644"/>
      <c r="D271" s="576" t="s">
        <v>2133</v>
      </c>
      <c r="E271" s="589"/>
      <c r="F271" s="578"/>
      <c r="G271" s="574" t="b">
        <v>0</v>
      </c>
      <c r="H271" s="579"/>
      <c r="I271" s="580"/>
      <c r="J271" s="371"/>
      <c r="K271" s="371"/>
      <c r="L271" s="371"/>
      <c r="M271" s="371"/>
      <c r="N271" s="371"/>
      <c r="O271" s="371"/>
      <c r="P271" s="371"/>
      <c r="Q271" s="371"/>
    </row>
    <row r="272">
      <c r="A272" s="581">
        <v>25.0</v>
      </c>
      <c r="B272" s="582" t="b">
        <v>0</v>
      </c>
      <c r="C272" s="594"/>
      <c r="D272" s="584"/>
      <c r="E272" s="585"/>
      <c r="F272" s="586"/>
      <c r="G272" s="582" t="b">
        <v>0</v>
      </c>
      <c r="H272" s="587"/>
      <c r="I272" s="592"/>
      <c r="J272" s="371"/>
      <c r="K272" s="371"/>
      <c r="L272" s="371"/>
      <c r="M272" s="371"/>
      <c r="N272" s="371"/>
      <c r="O272" s="371"/>
      <c r="P272" s="371"/>
      <c r="Q272" s="371"/>
    </row>
    <row r="273">
      <c r="A273" s="573">
        <v>26.0</v>
      </c>
      <c r="B273" s="574" t="b">
        <v>0</v>
      </c>
      <c r="C273" s="595"/>
      <c r="D273" s="576"/>
      <c r="E273" s="589"/>
      <c r="F273" s="578"/>
      <c r="G273" s="574" t="b">
        <v>1</v>
      </c>
      <c r="H273" s="579"/>
      <c r="I273" s="580"/>
      <c r="J273" s="371"/>
      <c r="K273" s="371"/>
      <c r="L273" s="371"/>
      <c r="M273" s="371"/>
      <c r="N273" s="371"/>
      <c r="O273" s="371"/>
      <c r="P273" s="371"/>
      <c r="Q273" s="371"/>
    </row>
    <row r="274">
      <c r="A274" s="581">
        <v>27.0</v>
      </c>
      <c r="B274" s="582" t="b">
        <v>0</v>
      </c>
      <c r="C274" s="594"/>
      <c r="D274" s="584"/>
      <c r="E274" s="585"/>
      <c r="F274" s="586"/>
      <c r="G274" s="582" t="b">
        <v>1</v>
      </c>
      <c r="H274" s="587"/>
      <c r="I274" s="592"/>
      <c r="J274" s="371"/>
      <c r="K274" s="371"/>
      <c r="L274" s="371"/>
      <c r="M274" s="371"/>
      <c r="N274" s="371"/>
      <c r="O274" s="371"/>
      <c r="P274" s="371"/>
      <c r="Q274" s="371"/>
    </row>
    <row r="275">
      <c r="A275" s="573">
        <v>28.0</v>
      </c>
      <c r="B275" s="574" t="b">
        <v>0</v>
      </c>
      <c r="C275" s="595"/>
      <c r="D275" s="576"/>
      <c r="E275" s="589"/>
      <c r="F275" s="578"/>
      <c r="G275" s="574" t="b">
        <v>1</v>
      </c>
      <c r="H275" s="579"/>
      <c r="I275" s="580"/>
      <c r="J275" s="371"/>
      <c r="K275" s="371"/>
      <c r="L275" s="371"/>
      <c r="M275" s="371"/>
      <c r="N275" s="371"/>
      <c r="O275" s="371"/>
      <c r="P275" s="371"/>
      <c r="Q275" s="371"/>
    </row>
    <row r="276">
      <c r="A276" s="581">
        <v>29.0</v>
      </c>
      <c r="B276" s="582" t="b">
        <v>0</v>
      </c>
      <c r="C276" s="594"/>
      <c r="D276" s="584"/>
      <c r="E276" s="585"/>
      <c r="F276" s="586"/>
      <c r="G276" s="582" t="b">
        <v>1</v>
      </c>
      <c r="H276" s="587"/>
      <c r="I276" s="592"/>
      <c r="J276" s="371"/>
      <c r="K276" s="371"/>
      <c r="L276" s="371"/>
      <c r="M276" s="371"/>
      <c r="N276" s="371"/>
      <c r="O276" s="371"/>
      <c r="P276" s="371"/>
      <c r="Q276" s="371"/>
    </row>
    <row r="277">
      <c r="A277" s="573">
        <v>30.0</v>
      </c>
      <c r="B277" s="574" t="b">
        <v>0</v>
      </c>
      <c r="C277" s="595"/>
      <c r="D277" s="576"/>
      <c r="E277" s="589"/>
      <c r="F277" s="578"/>
      <c r="G277" s="574" t="b">
        <v>1</v>
      </c>
      <c r="H277" s="579"/>
      <c r="I277" s="580"/>
      <c r="J277" s="371"/>
      <c r="K277" s="371"/>
      <c r="L277" s="371"/>
      <c r="M277" s="371"/>
      <c r="N277" s="371"/>
      <c r="O277" s="371"/>
      <c r="P277" s="371"/>
      <c r="Q277" s="371"/>
    </row>
    <row r="278">
      <c r="A278" s="581">
        <v>31.0</v>
      </c>
      <c r="B278" s="582" t="b">
        <v>0</v>
      </c>
      <c r="C278" s="594"/>
      <c r="D278" s="584"/>
      <c r="E278" s="585"/>
      <c r="F278" s="586"/>
      <c r="G278" s="582" t="b">
        <v>0</v>
      </c>
      <c r="H278" s="587"/>
      <c r="I278" s="592"/>
      <c r="J278" s="371"/>
      <c r="K278" s="371"/>
      <c r="L278" s="371"/>
      <c r="M278" s="371"/>
      <c r="N278" s="371"/>
      <c r="O278" s="371"/>
      <c r="P278" s="371"/>
      <c r="Q278" s="371"/>
    </row>
    <row r="279">
      <c r="A279" s="573">
        <v>32.0</v>
      </c>
      <c r="B279" s="574" t="b">
        <v>0</v>
      </c>
      <c r="C279" s="595"/>
      <c r="D279" s="576"/>
      <c r="E279" s="589"/>
      <c r="F279" s="578"/>
      <c r="G279" s="574" t="b">
        <v>0</v>
      </c>
      <c r="H279" s="579"/>
      <c r="I279" s="580"/>
      <c r="J279" s="371"/>
      <c r="K279" s="371"/>
      <c r="L279" s="371"/>
      <c r="M279" s="371"/>
      <c r="N279" s="371"/>
      <c r="O279" s="371"/>
      <c r="P279" s="371"/>
      <c r="Q279" s="371"/>
    </row>
    <row r="280">
      <c r="A280" s="581">
        <v>33.0</v>
      </c>
      <c r="B280" s="582" t="b">
        <v>1</v>
      </c>
      <c r="C280" s="594"/>
      <c r="D280" s="584"/>
      <c r="E280" s="585"/>
      <c r="F280" s="586"/>
      <c r="G280" s="582" t="b">
        <v>1</v>
      </c>
      <c r="H280" s="587"/>
      <c r="I280" s="592"/>
      <c r="J280" s="371"/>
      <c r="K280" s="371"/>
      <c r="L280" s="371"/>
      <c r="M280" s="371"/>
      <c r="N280" s="371"/>
      <c r="O280" s="371"/>
      <c r="P280" s="371"/>
      <c r="Q280" s="371"/>
    </row>
    <row r="281">
      <c r="A281" s="573">
        <v>34.0</v>
      </c>
      <c r="B281" s="574" t="b">
        <v>0</v>
      </c>
      <c r="C281" s="595"/>
      <c r="D281" s="576"/>
      <c r="E281" s="589"/>
      <c r="F281" s="578"/>
      <c r="G281" s="574" t="b">
        <v>1</v>
      </c>
      <c r="H281" s="579"/>
      <c r="I281" s="580"/>
      <c r="J281" s="371"/>
      <c r="K281" s="371"/>
      <c r="L281" s="371"/>
      <c r="M281" s="371"/>
      <c r="N281" s="371"/>
      <c r="O281" s="371"/>
      <c r="P281" s="371"/>
      <c r="Q281" s="371"/>
    </row>
    <row r="282">
      <c r="A282" s="581">
        <v>35.0</v>
      </c>
      <c r="B282" s="582" t="b">
        <v>1</v>
      </c>
      <c r="C282" s="594"/>
      <c r="D282" s="584"/>
      <c r="E282" s="585"/>
      <c r="F282" s="586"/>
      <c r="G282" s="582" t="b">
        <v>1</v>
      </c>
      <c r="H282" s="587"/>
      <c r="I282" s="592"/>
      <c r="J282" s="371"/>
      <c r="K282" s="371"/>
      <c r="L282" s="371"/>
      <c r="M282" s="371"/>
      <c r="N282" s="371"/>
      <c r="O282" s="371"/>
      <c r="P282" s="371"/>
      <c r="Q282" s="371"/>
    </row>
    <row r="283">
      <c r="A283" s="573">
        <v>36.0</v>
      </c>
      <c r="B283" s="574" t="b">
        <v>1</v>
      </c>
      <c r="C283" s="595"/>
      <c r="D283" s="576"/>
      <c r="E283" s="589"/>
      <c r="F283" s="578"/>
      <c r="G283" s="574" t="b">
        <v>1</v>
      </c>
      <c r="H283" s="579"/>
      <c r="I283" s="580"/>
      <c r="J283" s="371"/>
      <c r="K283" s="371"/>
      <c r="L283" s="371"/>
      <c r="M283" s="371"/>
      <c r="N283" s="371"/>
      <c r="O283" s="371"/>
      <c r="P283" s="371"/>
      <c r="Q283" s="371"/>
    </row>
    <row r="284">
      <c r="A284" s="581">
        <v>37.0</v>
      </c>
      <c r="B284" s="582" t="b">
        <v>1</v>
      </c>
      <c r="C284" s="594"/>
      <c r="D284" s="584"/>
      <c r="E284" s="585"/>
      <c r="F284" s="586"/>
      <c r="G284" s="582" t="b">
        <v>1</v>
      </c>
      <c r="H284" s="587"/>
      <c r="I284" s="592"/>
      <c r="J284" s="371"/>
      <c r="K284" s="371"/>
      <c r="L284" s="371"/>
      <c r="M284" s="371"/>
      <c r="N284" s="371"/>
      <c r="O284" s="371"/>
      <c r="P284" s="371"/>
      <c r="Q284" s="371"/>
    </row>
    <row r="285">
      <c r="A285" s="573">
        <v>38.0</v>
      </c>
      <c r="B285" s="574" t="b">
        <v>1</v>
      </c>
      <c r="C285" s="595"/>
      <c r="D285" s="576"/>
      <c r="E285" s="589"/>
      <c r="F285" s="645"/>
      <c r="G285" s="574" t="b">
        <v>1</v>
      </c>
      <c r="H285" s="579"/>
      <c r="I285" s="580"/>
      <c r="J285" s="371"/>
      <c r="K285" s="371"/>
      <c r="L285" s="371"/>
      <c r="M285" s="371"/>
      <c r="N285" s="371"/>
      <c r="O285" s="371"/>
      <c r="P285" s="371"/>
      <c r="Q285" s="371"/>
    </row>
    <row r="286">
      <c r="A286" s="581">
        <v>39.0</v>
      </c>
      <c r="B286" s="582" t="b">
        <v>1</v>
      </c>
      <c r="C286" s="646"/>
      <c r="D286" s="584"/>
      <c r="E286" s="585"/>
      <c r="F286" s="586"/>
      <c r="G286" s="582" t="b">
        <v>1</v>
      </c>
      <c r="H286" s="587"/>
      <c r="I286" s="592"/>
      <c r="J286" s="371"/>
      <c r="K286" s="371"/>
      <c r="L286" s="371"/>
      <c r="M286" s="371"/>
      <c r="N286" s="371"/>
      <c r="O286" s="371"/>
      <c r="P286" s="371"/>
      <c r="Q286" s="371"/>
    </row>
    <row r="287">
      <c r="A287" s="573">
        <v>40.0</v>
      </c>
      <c r="B287" s="574" t="b">
        <v>1</v>
      </c>
      <c r="C287" s="595"/>
      <c r="D287" s="576"/>
      <c r="E287" s="589"/>
      <c r="F287" s="578"/>
      <c r="G287" s="574" t="b">
        <v>1</v>
      </c>
      <c r="H287" s="579"/>
      <c r="I287" s="580"/>
      <c r="J287" s="371"/>
      <c r="K287" s="371"/>
      <c r="L287" s="371"/>
      <c r="M287" s="371"/>
      <c r="N287" s="371"/>
      <c r="O287" s="371"/>
      <c r="P287" s="371"/>
      <c r="Q287" s="371"/>
    </row>
    <row r="288">
      <c r="A288" s="581">
        <v>41.0</v>
      </c>
      <c r="B288" s="582" t="b">
        <v>0</v>
      </c>
      <c r="C288" s="594"/>
      <c r="D288" s="584"/>
      <c r="E288" s="585"/>
      <c r="F288" s="586"/>
      <c r="G288" s="582" t="b">
        <v>0</v>
      </c>
      <c r="H288" s="587"/>
      <c r="I288" s="592"/>
      <c r="J288" s="371"/>
      <c r="K288" s="371"/>
      <c r="L288" s="371"/>
      <c r="M288" s="371"/>
      <c r="N288" s="371"/>
      <c r="O288" s="371"/>
      <c r="P288" s="371"/>
      <c r="Q288" s="371"/>
    </row>
    <row r="289">
      <c r="A289" s="573">
        <v>42.0</v>
      </c>
      <c r="B289" s="574" t="b">
        <v>1</v>
      </c>
      <c r="C289" s="595"/>
      <c r="D289" s="576"/>
      <c r="E289" s="589"/>
      <c r="F289" s="578"/>
      <c r="G289" s="574" t="b">
        <v>1</v>
      </c>
      <c r="H289" s="579"/>
      <c r="I289" s="580"/>
      <c r="J289" s="371"/>
      <c r="K289" s="371"/>
      <c r="L289" s="371"/>
      <c r="M289" s="371"/>
      <c r="N289" s="371"/>
      <c r="O289" s="371"/>
      <c r="P289" s="371"/>
      <c r="Q289" s="371"/>
    </row>
    <row r="290">
      <c r="A290" s="581">
        <v>43.0</v>
      </c>
      <c r="B290" s="582" t="b">
        <v>1</v>
      </c>
      <c r="C290" s="594"/>
      <c r="D290" s="584"/>
      <c r="E290" s="585"/>
      <c r="F290" s="586"/>
      <c r="G290" s="582" t="b">
        <v>1</v>
      </c>
      <c r="H290" s="587"/>
      <c r="I290" s="592"/>
      <c r="J290" s="371"/>
      <c r="K290" s="371"/>
      <c r="L290" s="371"/>
      <c r="M290" s="371"/>
      <c r="N290" s="371"/>
      <c r="O290" s="371"/>
      <c r="P290" s="371"/>
      <c r="Q290" s="371"/>
    </row>
    <row r="291">
      <c r="A291" s="573">
        <v>44.0</v>
      </c>
      <c r="B291" s="574" t="b">
        <v>1</v>
      </c>
      <c r="C291" s="595"/>
      <c r="D291" s="576"/>
      <c r="E291" s="589"/>
      <c r="F291" s="578"/>
      <c r="G291" s="574" t="b">
        <v>1</v>
      </c>
      <c r="H291" s="579"/>
      <c r="I291" s="580"/>
      <c r="J291" s="371"/>
      <c r="K291" s="371"/>
      <c r="L291" s="371"/>
      <c r="M291" s="371"/>
      <c r="N291" s="371"/>
      <c r="O291" s="371"/>
      <c r="P291" s="371"/>
      <c r="Q291" s="371"/>
    </row>
    <row r="292">
      <c r="A292" s="581">
        <v>45.0</v>
      </c>
      <c r="B292" s="582" t="b">
        <v>0</v>
      </c>
      <c r="C292" s="594"/>
      <c r="D292" s="584"/>
      <c r="E292" s="585"/>
      <c r="F292" s="586"/>
      <c r="G292" s="582" t="b">
        <v>0</v>
      </c>
      <c r="H292" s="587"/>
      <c r="I292" s="592"/>
      <c r="J292" s="371"/>
      <c r="K292" s="371"/>
      <c r="L292" s="371"/>
      <c r="M292" s="371"/>
      <c r="N292" s="371"/>
      <c r="O292" s="371"/>
      <c r="P292" s="371"/>
      <c r="Q292" s="371"/>
    </row>
    <row r="293">
      <c r="A293" s="573">
        <v>46.0</v>
      </c>
      <c r="B293" s="574" t="b">
        <v>0</v>
      </c>
      <c r="C293" s="595"/>
      <c r="D293" s="576"/>
      <c r="E293" s="589"/>
      <c r="F293" s="578"/>
      <c r="G293" s="574" t="b">
        <v>0</v>
      </c>
      <c r="H293" s="579"/>
      <c r="I293" s="580"/>
      <c r="J293" s="371"/>
      <c r="K293" s="371"/>
      <c r="L293" s="371"/>
      <c r="M293" s="371"/>
      <c r="N293" s="371"/>
      <c r="O293" s="371"/>
      <c r="P293" s="371"/>
      <c r="Q293" s="371"/>
    </row>
    <row r="294">
      <c r="A294" s="581">
        <v>47.0</v>
      </c>
      <c r="B294" s="582" t="b">
        <v>1</v>
      </c>
      <c r="C294" s="594"/>
      <c r="D294" s="584"/>
      <c r="E294" s="585"/>
      <c r="F294" s="586"/>
      <c r="G294" s="582" t="b">
        <v>1</v>
      </c>
      <c r="H294" s="587"/>
      <c r="I294" s="592"/>
      <c r="J294" s="371"/>
      <c r="K294" s="371"/>
      <c r="L294" s="371"/>
      <c r="M294" s="371"/>
      <c r="N294" s="371"/>
      <c r="O294" s="371"/>
      <c r="P294" s="371"/>
      <c r="Q294" s="371"/>
    </row>
    <row r="295">
      <c r="A295" s="573">
        <v>48.0</v>
      </c>
      <c r="B295" s="574" t="b">
        <v>1</v>
      </c>
      <c r="C295" s="595"/>
      <c r="D295" s="576"/>
      <c r="E295" s="589"/>
      <c r="F295" s="578"/>
      <c r="G295" s="574" t="b">
        <v>1</v>
      </c>
      <c r="H295" s="579"/>
      <c r="I295" s="580"/>
      <c r="J295" s="371"/>
      <c r="K295" s="371"/>
      <c r="L295" s="371"/>
      <c r="M295" s="371"/>
      <c r="N295" s="371"/>
      <c r="O295" s="371"/>
      <c r="P295" s="371"/>
      <c r="Q295" s="371"/>
    </row>
    <row r="296">
      <c r="A296" s="581">
        <v>49.0</v>
      </c>
      <c r="B296" s="582" t="b">
        <v>0</v>
      </c>
      <c r="C296" s="594"/>
      <c r="D296" s="584"/>
      <c r="E296" s="585"/>
      <c r="F296" s="586"/>
      <c r="G296" s="582" t="b">
        <v>0</v>
      </c>
      <c r="H296" s="587"/>
      <c r="I296" s="592"/>
      <c r="J296" s="371"/>
      <c r="K296" s="371"/>
      <c r="L296" s="371"/>
      <c r="M296" s="371"/>
      <c r="N296" s="371"/>
      <c r="O296" s="371"/>
      <c r="P296" s="371"/>
      <c r="Q296" s="371"/>
    </row>
    <row r="297">
      <c r="A297" s="573">
        <v>50.0</v>
      </c>
      <c r="B297" s="574" t="b">
        <v>0</v>
      </c>
      <c r="C297" s="595"/>
      <c r="D297" s="576"/>
      <c r="E297" s="589"/>
      <c r="F297" s="578"/>
      <c r="G297" s="574" t="b">
        <v>0</v>
      </c>
      <c r="H297" s="579"/>
      <c r="I297" s="580"/>
      <c r="J297" s="371"/>
      <c r="K297" s="371"/>
      <c r="L297" s="371"/>
      <c r="M297" s="371"/>
      <c r="N297" s="371"/>
      <c r="O297" s="371"/>
      <c r="P297" s="371"/>
      <c r="Q297" s="371"/>
    </row>
    <row r="298">
      <c r="A298" s="581">
        <v>51.0</v>
      </c>
      <c r="B298" s="582" t="b">
        <v>0</v>
      </c>
      <c r="C298" s="594"/>
      <c r="D298" s="584"/>
      <c r="E298" s="585"/>
      <c r="F298" s="586"/>
      <c r="G298" s="582" t="b">
        <v>1</v>
      </c>
      <c r="H298" s="587"/>
      <c r="I298" s="592"/>
      <c r="J298" s="371"/>
      <c r="K298" s="371"/>
      <c r="L298" s="371"/>
      <c r="M298" s="371"/>
      <c r="N298" s="371"/>
      <c r="O298" s="371"/>
      <c r="P298" s="371"/>
      <c r="Q298" s="371"/>
    </row>
    <row r="299">
      <c r="A299" s="573">
        <v>52.0</v>
      </c>
      <c r="B299" s="574" t="b">
        <v>0</v>
      </c>
      <c r="C299" s="595"/>
      <c r="D299" s="576"/>
      <c r="E299" s="589"/>
      <c r="F299" s="578"/>
      <c r="G299" s="574" t="b">
        <v>1</v>
      </c>
      <c r="H299" s="579"/>
      <c r="I299" s="580"/>
      <c r="J299" s="371"/>
      <c r="K299" s="371"/>
      <c r="L299" s="371"/>
      <c r="M299" s="371"/>
      <c r="N299" s="371"/>
      <c r="O299" s="371"/>
      <c r="P299" s="371"/>
      <c r="Q299" s="371"/>
    </row>
    <row r="300">
      <c r="A300" s="581">
        <v>53.0</v>
      </c>
      <c r="B300" s="582" t="b">
        <v>0</v>
      </c>
      <c r="C300" s="594"/>
      <c r="D300" s="584"/>
      <c r="E300" s="585"/>
      <c r="F300" s="586"/>
      <c r="G300" s="582" t="b">
        <v>1</v>
      </c>
      <c r="H300" s="587"/>
      <c r="I300" s="592"/>
      <c r="J300" s="371"/>
      <c r="K300" s="371"/>
      <c r="L300" s="371"/>
      <c r="M300" s="371"/>
      <c r="N300" s="371"/>
      <c r="O300" s="371"/>
      <c r="P300" s="371"/>
      <c r="Q300" s="371"/>
    </row>
    <row r="301">
      <c r="A301" s="573">
        <v>54.0</v>
      </c>
      <c r="B301" s="574" t="b">
        <v>0</v>
      </c>
      <c r="C301" s="595"/>
      <c r="D301" s="576"/>
      <c r="E301" s="589"/>
      <c r="F301" s="578"/>
      <c r="G301" s="574" t="b">
        <v>1</v>
      </c>
      <c r="H301" s="579"/>
      <c r="I301" s="580"/>
      <c r="J301" s="371"/>
      <c r="K301" s="371"/>
      <c r="L301" s="371"/>
      <c r="M301" s="371"/>
      <c r="N301" s="371"/>
      <c r="O301" s="371"/>
      <c r="P301" s="371"/>
      <c r="Q301" s="371"/>
    </row>
    <row r="302">
      <c r="A302" s="581">
        <v>55.0</v>
      </c>
      <c r="B302" s="582" t="b">
        <v>0</v>
      </c>
      <c r="C302" s="594"/>
      <c r="D302" s="584"/>
      <c r="E302" s="585"/>
      <c r="F302" s="586"/>
      <c r="G302" s="582" t="b">
        <v>1</v>
      </c>
      <c r="H302" s="587"/>
      <c r="I302" s="592"/>
      <c r="J302" s="371"/>
      <c r="K302" s="371"/>
      <c r="L302" s="371"/>
      <c r="M302" s="371"/>
      <c r="N302" s="371"/>
      <c r="O302" s="371"/>
      <c r="P302" s="371"/>
      <c r="Q302" s="371"/>
    </row>
    <row r="303">
      <c r="A303" s="573">
        <v>56.0</v>
      </c>
      <c r="B303" s="574" t="b">
        <v>0</v>
      </c>
      <c r="C303" s="595"/>
      <c r="D303" s="576"/>
      <c r="E303" s="589"/>
      <c r="F303" s="578"/>
      <c r="G303" s="574" t="b">
        <v>1</v>
      </c>
      <c r="H303" s="579"/>
      <c r="I303" s="580"/>
      <c r="J303" s="371"/>
      <c r="K303" s="371"/>
      <c r="L303" s="371"/>
      <c r="M303" s="371"/>
      <c r="N303" s="371"/>
      <c r="O303" s="371"/>
      <c r="P303" s="371"/>
      <c r="Q303" s="371"/>
    </row>
    <row r="304">
      <c r="A304" s="581">
        <v>57.0</v>
      </c>
      <c r="B304" s="582" t="b">
        <v>0</v>
      </c>
      <c r="C304" s="594"/>
      <c r="D304" s="584"/>
      <c r="E304" s="585"/>
      <c r="F304" s="586"/>
      <c r="G304" s="582" t="b">
        <v>1</v>
      </c>
      <c r="H304" s="587"/>
      <c r="I304" s="592"/>
      <c r="J304" s="371"/>
      <c r="K304" s="371"/>
      <c r="L304" s="371"/>
      <c r="M304" s="371"/>
      <c r="N304" s="371"/>
      <c r="O304" s="371"/>
      <c r="P304" s="371"/>
      <c r="Q304" s="371"/>
    </row>
    <row r="305">
      <c r="A305" s="573">
        <v>58.0</v>
      </c>
      <c r="B305" s="574" t="b">
        <v>0</v>
      </c>
      <c r="C305" s="595"/>
      <c r="D305" s="576"/>
      <c r="E305" s="589"/>
      <c r="F305" s="578"/>
      <c r="G305" s="574" t="b">
        <v>1</v>
      </c>
      <c r="H305" s="579"/>
      <c r="I305" s="580"/>
      <c r="J305" s="371"/>
      <c r="K305" s="371"/>
      <c r="L305" s="371"/>
      <c r="M305" s="371"/>
      <c r="N305" s="371"/>
      <c r="O305" s="371"/>
      <c r="P305" s="371"/>
      <c r="Q305" s="371"/>
    </row>
    <row r="306">
      <c r="A306" s="581">
        <v>59.0</v>
      </c>
      <c r="B306" s="582" t="b">
        <v>0</v>
      </c>
      <c r="C306" s="594"/>
      <c r="D306" s="584"/>
      <c r="E306" s="585"/>
      <c r="F306" s="586"/>
      <c r="G306" s="582" t="b">
        <v>1</v>
      </c>
      <c r="H306" s="587"/>
      <c r="I306" s="592"/>
      <c r="J306" s="371"/>
      <c r="K306" s="371"/>
      <c r="L306" s="371"/>
      <c r="M306" s="371"/>
      <c r="N306" s="371"/>
      <c r="O306" s="371"/>
      <c r="P306" s="371"/>
      <c r="Q306" s="371"/>
    </row>
    <row r="307">
      <c r="A307" s="573">
        <v>60.0</v>
      </c>
      <c r="B307" s="574" t="b">
        <v>0</v>
      </c>
      <c r="C307" s="595"/>
      <c r="D307" s="576"/>
      <c r="E307" s="589"/>
      <c r="F307" s="578"/>
      <c r="G307" s="574" t="b">
        <v>0</v>
      </c>
      <c r="H307" s="579"/>
      <c r="I307" s="580"/>
      <c r="J307" s="371"/>
      <c r="K307" s="371"/>
      <c r="L307" s="371"/>
      <c r="M307" s="371"/>
      <c r="N307" s="371"/>
      <c r="O307" s="371"/>
      <c r="P307" s="371"/>
      <c r="Q307" s="371"/>
    </row>
    <row r="308">
      <c r="A308" s="581">
        <v>61.0</v>
      </c>
      <c r="B308" s="582" t="b">
        <v>0</v>
      </c>
      <c r="C308" s="594"/>
      <c r="D308" s="584"/>
      <c r="E308" s="585"/>
      <c r="F308" s="586"/>
      <c r="G308" s="582" t="b">
        <v>1</v>
      </c>
      <c r="H308" s="587"/>
      <c r="I308" s="592"/>
      <c r="J308" s="371"/>
      <c r="K308" s="371"/>
      <c r="L308" s="371"/>
      <c r="M308" s="371"/>
      <c r="N308" s="371"/>
      <c r="O308" s="371"/>
      <c r="P308" s="371"/>
      <c r="Q308" s="371"/>
    </row>
    <row r="309">
      <c r="A309" s="573">
        <v>62.0</v>
      </c>
      <c r="B309" s="574" t="b">
        <v>0</v>
      </c>
      <c r="C309" s="595"/>
      <c r="D309" s="576"/>
      <c r="E309" s="589"/>
      <c r="F309" s="578"/>
      <c r="G309" s="574" t="b">
        <v>1</v>
      </c>
      <c r="H309" s="579"/>
      <c r="I309" s="580"/>
      <c r="J309" s="371"/>
      <c r="K309" s="371"/>
      <c r="L309" s="371"/>
      <c r="M309" s="371"/>
      <c r="N309" s="371"/>
      <c r="O309" s="371"/>
      <c r="P309" s="371"/>
      <c r="Q309" s="371"/>
    </row>
    <row r="310">
      <c r="A310" s="581">
        <v>63.0</v>
      </c>
      <c r="B310" s="582" t="b">
        <v>0</v>
      </c>
      <c r="C310" s="594"/>
      <c r="D310" s="584"/>
      <c r="E310" s="585"/>
      <c r="F310" s="586"/>
      <c r="G310" s="582" t="b">
        <v>1</v>
      </c>
      <c r="H310" s="587"/>
      <c r="I310" s="592"/>
      <c r="J310" s="371"/>
      <c r="K310" s="371"/>
      <c r="L310" s="371"/>
      <c r="M310" s="371"/>
      <c r="N310" s="371"/>
      <c r="O310" s="371"/>
      <c r="P310" s="371"/>
      <c r="Q310" s="371"/>
    </row>
    <row r="311">
      <c r="A311" s="573">
        <v>64.0</v>
      </c>
      <c r="B311" s="574" t="b">
        <v>0</v>
      </c>
      <c r="C311" s="595"/>
      <c r="D311" s="576"/>
      <c r="E311" s="589"/>
      <c r="F311" s="578"/>
      <c r="G311" s="574" t="b">
        <v>0</v>
      </c>
      <c r="H311" s="579"/>
      <c r="I311" s="580"/>
      <c r="J311" s="371"/>
      <c r="K311" s="371"/>
      <c r="L311" s="371"/>
      <c r="M311" s="371"/>
      <c r="N311" s="371"/>
      <c r="O311" s="371"/>
      <c r="P311" s="371"/>
      <c r="Q311" s="371"/>
    </row>
    <row r="312">
      <c r="A312" s="581">
        <v>65.0</v>
      </c>
      <c r="B312" s="582" t="b">
        <v>0</v>
      </c>
      <c r="C312" s="594"/>
      <c r="D312" s="584"/>
      <c r="E312" s="585"/>
      <c r="F312" s="586"/>
      <c r="G312" s="582" t="b">
        <v>0</v>
      </c>
      <c r="H312" s="587"/>
      <c r="I312" s="592"/>
      <c r="J312" s="371"/>
      <c r="K312" s="371"/>
      <c r="L312" s="371"/>
      <c r="M312" s="371"/>
      <c r="N312" s="371"/>
      <c r="O312" s="371"/>
      <c r="P312" s="371"/>
      <c r="Q312" s="371"/>
    </row>
    <row r="313">
      <c r="A313" s="573">
        <v>66.0</v>
      </c>
      <c r="B313" s="574" t="b">
        <v>0</v>
      </c>
      <c r="C313" s="595"/>
      <c r="D313" s="576"/>
      <c r="E313" s="589"/>
      <c r="F313" s="578"/>
      <c r="G313" s="574" t="b">
        <v>1</v>
      </c>
      <c r="H313" s="579"/>
      <c r="I313" s="580"/>
      <c r="J313" s="371"/>
      <c r="K313" s="371"/>
      <c r="L313" s="371"/>
      <c r="M313" s="371"/>
      <c r="N313" s="371"/>
      <c r="O313" s="371"/>
      <c r="P313" s="371"/>
      <c r="Q313" s="371"/>
    </row>
    <row r="314">
      <c r="A314" s="581">
        <v>67.0</v>
      </c>
      <c r="B314" s="582" t="b">
        <v>0</v>
      </c>
      <c r="C314" s="594"/>
      <c r="D314" s="584"/>
      <c r="E314" s="585"/>
      <c r="F314" s="621"/>
      <c r="G314" s="582" t="b">
        <v>1</v>
      </c>
      <c r="H314" s="587"/>
      <c r="I314" s="592"/>
      <c r="J314" s="371"/>
      <c r="K314" s="371"/>
      <c r="L314" s="371"/>
      <c r="M314" s="371"/>
      <c r="N314" s="371"/>
      <c r="O314" s="371"/>
      <c r="P314" s="371"/>
      <c r="Q314" s="371"/>
    </row>
    <row r="315">
      <c r="A315" s="573">
        <v>68.0</v>
      </c>
      <c r="B315" s="574" t="b">
        <v>0</v>
      </c>
      <c r="C315" s="595"/>
      <c r="D315" s="576"/>
      <c r="E315" s="589"/>
      <c r="F315" s="578"/>
      <c r="G315" s="574" t="b">
        <v>1</v>
      </c>
      <c r="H315" s="579"/>
      <c r="I315" s="580"/>
      <c r="J315" s="371"/>
      <c r="K315" s="371"/>
      <c r="L315" s="371"/>
      <c r="M315" s="371"/>
      <c r="N315" s="371"/>
      <c r="O315" s="371"/>
      <c r="P315" s="371"/>
      <c r="Q315" s="371"/>
    </row>
    <row r="316">
      <c r="A316" s="581">
        <v>69.0</v>
      </c>
      <c r="B316" s="582" t="b">
        <v>0</v>
      </c>
      <c r="C316" s="594"/>
      <c r="D316" s="584"/>
      <c r="E316" s="585"/>
      <c r="F316" s="586"/>
      <c r="G316" s="582" t="b">
        <v>1</v>
      </c>
      <c r="H316" s="587"/>
      <c r="I316" s="592"/>
      <c r="J316" s="371"/>
      <c r="K316" s="371"/>
      <c r="L316" s="371"/>
      <c r="M316" s="371"/>
      <c r="N316" s="371"/>
      <c r="O316" s="371"/>
      <c r="P316" s="371"/>
      <c r="Q316" s="371"/>
    </row>
    <row r="317">
      <c r="A317" s="573">
        <v>70.0</v>
      </c>
      <c r="B317" s="574" t="b">
        <v>0</v>
      </c>
      <c r="C317" s="595"/>
      <c r="D317" s="576"/>
      <c r="E317" s="589"/>
      <c r="F317" s="578"/>
      <c r="G317" s="574" t="b">
        <v>1</v>
      </c>
      <c r="H317" s="579"/>
      <c r="I317" s="580"/>
      <c r="J317" s="371"/>
      <c r="K317" s="371"/>
      <c r="L317" s="371"/>
      <c r="M317" s="371"/>
      <c r="N317" s="371"/>
      <c r="O317" s="371"/>
      <c r="P317" s="371"/>
      <c r="Q317" s="371"/>
    </row>
    <row r="318">
      <c r="A318" s="581">
        <v>71.0</v>
      </c>
      <c r="B318" s="582" t="b">
        <v>0</v>
      </c>
      <c r="C318" s="594"/>
      <c r="D318" s="584"/>
      <c r="E318" s="585"/>
      <c r="F318" s="586"/>
      <c r="G318" s="582" t="b">
        <v>1</v>
      </c>
      <c r="H318" s="587"/>
      <c r="I318" s="592"/>
      <c r="J318" s="371"/>
      <c r="K318" s="371"/>
      <c r="L318" s="371"/>
      <c r="M318" s="371"/>
      <c r="N318" s="371"/>
      <c r="O318" s="371"/>
      <c r="P318" s="371"/>
      <c r="Q318" s="371"/>
    </row>
    <row r="319">
      <c r="A319" s="573">
        <v>72.0</v>
      </c>
      <c r="B319" s="574" t="b">
        <v>0</v>
      </c>
      <c r="C319" s="595"/>
      <c r="D319" s="576"/>
      <c r="E319" s="589"/>
      <c r="F319" s="578"/>
      <c r="G319" s="574" t="b">
        <v>1</v>
      </c>
      <c r="H319" s="579"/>
      <c r="I319" s="580"/>
      <c r="J319" s="371"/>
      <c r="K319" s="371"/>
      <c r="L319" s="371"/>
      <c r="M319" s="371"/>
      <c r="N319" s="371"/>
      <c r="O319" s="371"/>
      <c r="P319" s="371"/>
      <c r="Q319" s="371"/>
    </row>
    <row r="320">
      <c r="A320" s="581">
        <v>73.0</v>
      </c>
      <c r="B320" s="582" t="b">
        <v>0</v>
      </c>
      <c r="C320" s="594"/>
      <c r="D320" s="584"/>
      <c r="E320" s="591"/>
      <c r="F320" s="586"/>
      <c r="G320" s="582" t="b">
        <v>1</v>
      </c>
      <c r="H320" s="587"/>
      <c r="I320" s="592"/>
      <c r="J320" s="371"/>
      <c r="K320" s="371"/>
      <c r="L320" s="371"/>
      <c r="M320" s="371"/>
      <c r="N320" s="371"/>
      <c r="O320" s="371"/>
      <c r="P320" s="371"/>
      <c r="Q320" s="371"/>
    </row>
    <row r="321">
      <c r="A321" s="573">
        <v>74.0</v>
      </c>
      <c r="B321" s="574" t="b">
        <v>0</v>
      </c>
      <c r="C321" s="595"/>
      <c r="D321" s="576"/>
      <c r="E321" s="589"/>
      <c r="F321" s="578"/>
      <c r="G321" s="574" t="b">
        <v>1</v>
      </c>
      <c r="H321" s="579"/>
      <c r="I321" s="580"/>
      <c r="J321" s="371"/>
      <c r="K321" s="371"/>
      <c r="L321" s="371"/>
      <c r="M321" s="371"/>
      <c r="N321" s="371"/>
      <c r="O321" s="371"/>
      <c r="P321" s="371"/>
      <c r="Q321" s="371"/>
    </row>
    <row r="322">
      <c r="A322" s="581">
        <v>75.0</v>
      </c>
      <c r="B322" s="582" t="b">
        <v>0</v>
      </c>
      <c r="C322" s="594"/>
      <c r="D322" s="584"/>
      <c r="E322" s="591"/>
      <c r="F322" s="621"/>
      <c r="G322" s="582" t="b">
        <v>1</v>
      </c>
      <c r="H322" s="587"/>
      <c r="I322" s="592"/>
      <c r="J322" s="371"/>
      <c r="K322" s="371"/>
      <c r="L322" s="371"/>
      <c r="M322" s="371"/>
      <c r="N322" s="371"/>
      <c r="O322" s="371"/>
      <c r="P322" s="371"/>
      <c r="Q322" s="371"/>
    </row>
    <row r="323">
      <c r="A323" s="573">
        <v>76.0</v>
      </c>
      <c r="B323" s="574" t="b">
        <v>0</v>
      </c>
      <c r="C323" s="595"/>
      <c r="D323" s="576"/>
      <c r="E323" s="589"/>
      <c r="F323" s="578"/>
      <c r="G323" s="574" t="b">
        <v>1</v>
      </c>
      <c r="H323" s="579"/>
      <c r="I323" s="580"/>
      <c r="J323" s="371"/>
      <c r="K323" s="371"/>
      <c r="L323" s="371"/>
      <c r="M323" s="371"/>
      <c r="N323" s="371"/>
      <c r="O323" s="371"/>
      <c r="P323" s="371"/>
      <c r="Q323" s="371"/>
    </row>
    <row r="324">
      <c r="A324" s="581">
        <v>77.0</v>
      </c>
      <c r="B324" s="582" t="b">
        <v>0</v>
      </c>
      <c r="C324" s="594"/>
      <c r="D324" s="584"/>
      <c r="E324" s="585"/>
      <c r="F324" s="586"/>
      <c r="G324" s="582" t="b">
        <v>1</v>
      </c>
      <c r="H324" s="587"/>
      <c r="I324" s="592"/>
      <c r="J324" s="371"/>
      <c r="K324" s="371"/>
      <c r="L324" s="371"/>
      <c r="M324" s="371"/>
      <c r="N324" s="371"/>
      <c r="O324" s="371"/>
      <c r="P324" s="371"/>
      <c r="Q324" s="371"/>
    </row>
    <row r="325">
      <c r="A325" s="573">
        <v>78.0</v>
      </c>
      <c r="B325" s="574" t="b">
        <v>0</v>
      </c>
      <c r="C325" s="595"/>
      <c r="D325" s="576"/>
      <c r="E325" s="589"/>
      <c r="F325" s="578"/>
      <c r="G325" s="574" t="b">
        <v>1</v>
      </c>
      <c r="H325" s="579"/>
      <c r="I325" s="580"/>
      <c r="J325" s="371"/>
      <c r="K325" s="371"/>
      <c r="L325" s="371"/>
      <c r="M325" s="371"/>
      <c r="N325" s="371"/>
      <c r="O325" s="371"/>
      <c r="P325" s="371"/>
      <c r="Q325" s="371"/>
    </row>
    <row r="326">
      <c r="A326" s="581">
        <v>79.0</v>
      </c>
      <c r="B326" s="582" t="b">
        <v>0</v>
      </c>
      <c r="C326" s="594"/>
      <c r="D326" s="584"/>
      <c r="E326" s="585"/>
      <c r="F326" s="586"/>
      <c r="G326" s="582" t="b">
        <v>0</v>
      </c>
      <c r="H326" s="587"/>
      <c r="I326" s="592"/>
      <c r="J326" s="371"/>
      <c r="K326" s="371"/>
      <c r="L326" s="371"/>
      <c r="M326" s="371"/>
      <c r="N326" s="371"/>
      <c r="O326" s="371"/>
      <c r="P326" s="371"/>
      <c r="Q326" s="371"/>
    </row>
    <row r="327">
      <c r="A327" s="573">
        <v>80.0</v>
      </c>
      <c r="B327" s="574" t="b">
        <v>0</v>
      </c>
      <c r="C327" s="595"/>
      <c r="D327" s="576"/>
      <c r="E327" s="589"/>
      <c r="F327" s="578"/>
      <c r="G327" s="574" t="b">
        <v>0</v>
      </c>
      <c r="H327" s="579"/>
      <c r="I327" s="580"/>
      <c r="J327" s="371"/>
      <c r="K327" s="371"/>
      <c r="L327" s="371"/>
      <c r="M327" s="371"/>
      <c r="N327" s="371"/>
      <c r="O327" s="371"/>
      <c r="P327" s="371"/>
      <c r="Q327" s="371"/>
    </row>
    <row r="328">
      <c r="A328" s="581">
        <v>81.0</v>
      </c>
      <c r="B328" s="582" t="b">
        <v>0</v>
      </c>
      <c r="C328" s="594"/>
      <c r="D328" s="584"/>
      <c r="E328" s="591"/>
      <c r="F328" s="586"/>
      <c r="G328" s="582" t="b">
        <v>0</v>
      </c>
      <c r="H328" s="587"/>
      <c r="I328" s="592"/>
      <c r="J328" s="371"/>
      <c r="K328" s="371"/>
      <c r="L328" s="371"/>
      <c r="M328" s="371"/>
      <c r="N328" s="371"/>
      <c r="O328" s="371"/>
      <c r="P328" s="371"/>
      <c r="Q328" s="371"/>
    </row>
    <row r="329">
      <c r="A329" s="573">
        <v>82.0</v>
      </c>
      <c r="B329" s="574" t="b">
        <v>0</v>
      </c>
      <c r="C329" s="595"/>
      <c r="D329" s="576"/>
      <c r="E329" s="577"/>
      <c r="F329" s="578"/>
      <c r="G329" s="574" t="b">
        <v>0</v>
      </c>
      <c r="H329" s="579"/>
      <c r="I329" s="580"/>
      <c r="J329" s="371"/>
      <c r="K329" s="371"/>
      <c r="L329" s="371"/>
      <c r="M329" s="371"/>
      <c r="N329" s="371"/>
      <c r="O329" s="371"/>
      <c r="P329" s="371"/>
      <c r="Q329" s="371"/>
    </row>
    <row r="330">
      <c r="A330" s="581">
        <v>83.0</v>
      </c>
      <c r="B330" s="582" t="b">
        <v>0</v>
      </c>
      <c r="C330" s="594"/>
      <c r="D330" s="584"/>
      <c r="E330" s="585"/>
      <c r="F330" s="586"/>
      <c r="G330" s="582" t="b">
        <v>0</v>
      </c>
      <c r="H330" s="587"/>
      <c r="I330" s="592"/>
      <c r="J330" s="371"/>
      <c r="K330" s="371"/>
      <c r="L330" s="371"/>
      <c r="M330" s="371"/>
      <c r="N330" s="371"/>
      <c r="O330" s="371"/>
      <c r="P330" s="371"/>
      <c r="Q330" s="371"/>
    </row>
    <row r="331">
      <c r="A331" s="573">
        <v>84.0</v>
      </c>
      <c r="B331" s="574" t="b">
        <v>0</v>
      </c>
      <c r="C331" s="622"/>
      <c r="D331" s="647"/>
      <c r="E331" s="647"/>
      <c r="F331" s="647"/>
      <c r="G331" s="647"/>
      <c r="H331" s="647"/>
      <c r="I331" s="648"/>
      <c r="J331" s="371"/>
      <c r="K331" s="371"/>
      <c r="L331" s="371"/>
      <c r="M331" s="371"/>
      <c r="N331" s="371"/>
      <c r="O331" s="371"/>
      <c r="P331" s="371"/>
      <c r="Q331" s="371"/>
    </row>
    <row r="332">
      <c r="A332" s="581">
        <v>85.0</v>
      </c>
      <c r="B332" s="582" t="b">
        <v>0</v>
      </c>
      <c r="C332" s="594"/>
      <c r="D332" s="584"/>
      <c r="E332" s="585"/>
      <c r="F332" s="586"/>
      <c r="G332" s="582" t="b">
        <v>1</v>
      </c>
      <c r="H332" s="587"/>
      <c r="I332" s="592"/>
      <c r="J332" s="371"/>
      <c r="K332" s="371"/>
      <c r="L332" s="371"/>
      <c r="M332" s="371"/>
      <c r="N332" s="371"/>
      <c r="O332" s="371"/>
      <c r="P332" s="371"/>
      <c r="Q332" s="371"/>
    </row>
    <row r="333">
      <c r="A333" s="573">
        <v>86.0</v>
      </c>
      <c r="B333" s="574" t="b">
        <v>0</v>
      </c>
      <c r="C333" s="595"/>
      <c r="D333" s="576"/>
      <c r="E333" s="589"/>
      <c r="F333" s="578"/>
      <c r="G333" s="574" t="b">
        <v>1</v>
      </c>
      <c r="H333" s="579"/>
      <c r="I333" s="580"/>
      <c r="J333" s="371"/>
      <c r="K333" s="371"/>
      <c r="L333" s="371"/>
      <c r="M333" s="371"/>
      <c r="N333" s="371"/>
      <c r="O333" s="371"/>
      <c r="P333" s="371"/>
      <c r="Q333" s="371"/>
    </row>
    <row r="334">
      <c r="A334" s="581">
        <v>87.0</v>
      </c>
      <c r="B334" s="582" t="b">
        <v>0</v>
      </c>
      <c r="C334" s="594"/>
      <c r="D334" s="584"/>
      <c r="E334" s="585"/>
      <c r="F334" s="586"/>
      <c r="G334" s="582" t="b">
        <v>1</v>
      </c>
      <c r="H334" s="587"/>
      <c r="I334" s="592"/>
      <c r="J334" s="371"/>
      <c r="K334" s="371"/>
      <c r="L334" s="371"/>
      <c r="M334" s="371"/>
      <c r="N334" s="371"/>
      <c r="O334" s="371"/>
      <c r="P334" s="371"/>
      <c r="Q334" s="371"/>
    </row>
    <row r="335">
      <c r="A335" s="573">
        <v>88.0</v>
      </c>
      <c r="B335" s="574" t="b">
        <v>0</v>
      </c>
      <c r="C335" s="595"/>
      <c r="D335" s="576"/>
      <c r="E335" s="589"/>
      <c r="F335" s="578"/>
      <c r="G335" s="574" t="b">
        <v>1</v>
      </c>
      <c r="H335" s="579"/>
      <c r="I335" s="580"/>
      <c r="J335" s="371"/>
      <c r="K335" s="371"/>
      <c r="L335" s="371"/>
      <c r="M335" s="371"/>
      <c r="N335" s="371"/>
      <c r="O335" s="371"/>
      <c r="P335" s="371"/>
      <c r="Q335" s="371"/>
    </row>
    <row r="336">
      <c r="A336" s="581">
        <v>89.0</v>
      </c>
      <c r="B336" s="582" t="b">
        <v>0</v>
      </c>
      <c r="C336" s="594"/>
      <c r="D336" s="584"/>
      <c r="E336" s="585"/>
      <c r="F336" s="586"/>
      <c r="G336" s="582" t="b">
        <v>1</v>
      </c>
      <c r="H336" s="587"/>
      <c r="I336" s="592"/>
      <c r="J336" s="371"/>
      <c r="K336" s="371"/>
      <c r="L336" s="371"/>
      <c r="M336" s="371"/>
      <c r="N336" s="371"/>
      <c r="O336" s="371"/>
      <c r="P336" s="371"/>
      <c r="Q336" s="371"/>
    </row>
    <row r="337">
      <c r="A337" s="573">
        <v>90.0</v>
      </c>
      <c r="B337" s="574" t="b">
        <v>0</v>
      </c>
      <c r="C337" s="595"/>
      <c r="D337" s="576" t="s">
        <v>2313</v>
      </c>
      <c r="E337" s="589"/>
      <c r="F337" s="578"/>
      <c r="G337" s="574" t="b">
        <v>1</v>
      </c>
      <c r="H337" s="579"/>
      <c r="I337" s="580" t="s">
        <v>2317</v>
      </c>
      <c r="J337" s="371"/>
      <c r="K337" s="371"/>
      <c r="L337" s="371"/>
      <c r="M337" s="371"/>
      <c r="N337" s="371"/>
      <c r="O337" s="371"/>
      <c r="P337" s="371"/>
      <c r="Q337" s="371"/>
    </row>
    <row r="338">
      <c r="A338" s="581">
        <v>91.0</v>
      </c>
      <c r="B338" s="582" t="b">
        <v>0</v>
      </c>
      <c r="C338" s="594"/>
      <c r="D338" s="584" t="s">
        <v>2319</v>
      </c>
      <c r="E338" s="585"/>
      <c r="F338" s="586"/>
      <c r="G338" s="582" t="b">
        <v>0</v>
      </c>
      <c r="H338" s="587"/>
      <c r="I338" s="592" t="s">
        <v>2319</v>
      </c>
      <c r="J338" s="371"/>
      <c r="K338" s="371"/>
      <c r="L338" s="371"/>
      <c r="M338" s="371"/>
      <c r="N338" s="371"/>
      <c r="O338" s="371"/>
      <c r="P338" s="371"/>
      <c r="Q338" s="371"/>
    </row>
    <row r="339">
      <c r="A339" s="573">
        <v>92.0</v>
      </c>
      <c r="B339" s="574" t="b">
        <v>0</v>
      </c>
      <c r="C339" s="595"/>
      <c r="D339" s="576"/>
      <c r="E339" s="589"/>
      <c r="F339" s="578"/>
      <c r="G339" s="574" t="b">
        <v>0</v>
      </c>
      <c r="H339" s="579"/>
      <c r="I339" s="580"/>
      <c r="J339" s="371"/>
      <c r="K339" s="371"/>
      <c r="L339" s="371"/>
      <c r="M339" s="371"/>
      <c r="N339" s="371"/>
      <c r="O339" s="371"/>
      <c r="P339" s="371"/>
      <c r="Q339" s="371"/>
    </row>
    <row r="340">
      <c r="A340" s="581">
        <v>93.0</v>
      </c>
      <c r="B340" s="582" t="b">
        <v>0</v>
      </c>
      <c r="C340" s="594"/>
      <c r="D340" s="584" t="s">
        <v>2320</v>
      </c>
      <c r="E340" s="585"/>
      <c r="F340" s="586"/>
      <c r="G340" s="582" t="b">
        <v>0</v>
      </c>
      <c r="H340" s="587"/>
      <c r="I340" s="592" t="s">
        <v>2324</v>
      </c>
      <c r="J340" s="371"/>
      <c r="K340" s="371"/>
      <c r="L340" s="371"/>
      <c r="M340" s="371"/>
      <c r="N340" s="371"/>
      <c r="O340" s="371"/>
      <c r="P340" s="371"/>
      <c r="Q340" s="371"/>
    </row>
    <row r="341">
      <c r="A341" s="573">
        <v>94.0</v>
      </c>
      <c r="B341" s="574" t="b">
        <v>0</v>
      </c>
      <c r="C341" s="595"/>
      <c r="D341" s="576"/>
      <c r="E341" s="589"/>
      <c r="F341" s="578"/>
      <c r="G341" s="574" t="b">
        <v>0</v>
      </c>
      <c r="H341" s="579"/>
      <c r="I341" s="580"/>
      <c r="J341" s="371"/>
      <c r="K341" s="371"/>
      <c r="L341" s="371"/>
      <c r="M341" s="371"/>
      <c r="N341" s="371"/>
      <c r="O341" s="371"/>
      <c r="P341" s="371"/>
      <c r="Q341" s="371"/>
    </row>
    <row r="342">
      <c r="A342" s="581">
        <v>95.0</v>
      </c>
      <c r="B342" s="582" t="b">
        <v>0</v>
      </c>
      <c r="C342" s="594"/>
      <c r="D342" s="584"/>
      <c r="E342" s="585"/>
      <c r="F342" s="586"/>
      <c r="G342" s="582" t="b">
        <v>0</v>
      </c>
      <c r="H342" s="587"/>
      <c r="I342" s="592"/>
      <c r="J342" s="371"/>
      <c r="K342" s="371"/>
      <c r="L342" s="371"/>
      <c r="M342" s="371"/>
      <c r="N342" s="371"/>
      <c r="O342" s="371"/>
      <c r="P342" s="371"/>
      <c r="Q342" s="371"/>
    </row>
    <row r="343">
      <c r="A343" s="573">
        <v>96.0</v>
      </c>
      <c r="B343" s="574" t="b">
        <v>0</v>
      </c>
      <c r="C343" s="595"/>
      <c r="D343" s="576"/>
      <c r="E343" s="589"/>
      <c r="F343" s="578"/>
      <c r="G343" s="574" t="b">
        <v>1</v>
      </c>
      <c r="H343" s="579"/>
      <c r="I343" s="580"/>
      <c r="J343" s="371"/>
      <c r="K343" s="371"/>
      <c r="L343" s="371"/>
      <c r="M343" s="371"/>
      <c r="N343" s="371"/>
      <c r="O343" s="371"/>
      <c r="P343" s="371"/>
      <c r="Q343" s="371"/>
    </row>
    <row r="344">
      <c r="A344" s="581">
        <v>97.0</v>
      </c>
      <c r="B344" s="582" t="b">
        <v>0</v>
      </c>
      <c r="C344" s="594"/>
      <c r="D344" s="584"/>
      <c r="E344" s="585"/>
      <c r="F344" s="586"/>
      <c r="G344" s="582" t="b">
        <v>0</v>
      </c>
      <c r="H344" s="587"/>
      <c r="I344" s="592"/>
      <c r="J344" s="371"/>
      <c r="K344" s="371"/>
      <c r="L344" s="371"/>
      <c r="M344" s="371"/>
      <c r="N344" s="371"/>
      <c r="O344" s="371"/>
      <c r="P344" s="371"/>
      <c r="Q344" s="371"/>
    </row>
    <row r="345">
      <c r="A345" s="573">
        <v>98.0</v>
      </c>
      <c r="B345" s="574" t="b">
        <v>0</v>
      </c>
      <c r="C345" s="595"/>
      <c r="D345" s="576"/>
      <c r="E345" s="589"/>
      <c r="F345" s="578"/>
      <c r="G345" s="574" t="b">
        <v>0</v>
      </c>
      <c r="H345" s="579"/>
      <c r="I345" s="580"/>
      <c r="J345" s="371"/>
      <c r="K345" s="371"/>
      <c r="L345" s="371"/>
      <c r="M345" s="371"/>
      <c r="N345" s="371"/>
      <c r="O345" s="371"/>
      <c r="P345" s="371"/>
      <c r="Q345" s="371"/>
    </row>
    <row r="346">
      <c r="A346" s="581">
        <v>99.0</v>
      </c>
      <c r="B346" s="582" t="b">
        <v>0</v>
      </c>
      <c r="C346" s="594"/>
      <c r="D346" s="584"/>
      <c r="E346" s="585"/>
      <c r="F346" s="586"/>
      <c r="G346" s="582" t="b">
        <v>0</v>
      </c>
      <c r="H346" s="587"/>
      <c r="I346" s="592"/>
      <c r="J346" s="371"/>
      <c r="K346" s="371"/>
      <c r="L346" s="371"/>
      <c r="M346" s="371"/>
      <c r="N346" s="371"/>
      <c r="O346" s="371"/>
      <c r="P346" s="371"/>
      <c r="Q346" s="371"/>
    </row>
    <row r="347">
      <c r="A347" s="573">
        <v>100.0</v>
      </c>
      <c r="B347" s="574" t="b">
        <v>0</v>
      </c>
      <c r="C347" s="595"/>
      <c r="D347" s="576"/>
      <c r="E347" s="589"/>
      <c r="F347" s="578"/>
      <c r="G347" s="574" t="b">
        <v>0</v>
      </c>
      <c r="H347" s="579"/>
      <c r="I347" s="580"/>
      <c r="J347" s="371"/>
      <c r="K347" s="371"/>
      <c r="L347" s="371"/>
      <c r="M347" s="371"/>
      <c r="N347" s="371"/>
      <c r="O347" s="371"/>
      <c r="P347" s="371"/>
      <c r="Q347" s="371"/>
    </row>
    <row r="348">
      <c r="A348" s="581">
        <v>101.0</v>
      </c>
      <c r="B348" s="582" t="b">
        <v>0</v>
      </c>
      <c r="C348" s="594"/>
      <c r="D348" s="584"/>
      <c r="E348" s="585"/>
      <c r="F348" s="586"/>
      <c r="G348" s="582" t="b">
        <v>0</v>
      </c>
      <c r="H348" s="587"/>
      <c r="I348" s="592"/>
      <c r="J348" s="371"/>
      <c r="K348" s="371"/>
      <c r="L348" s="371"/>
      <c r="M348" s="371"/>
      <c r="N348" s="371"/>
      <c r="O348" s="371"/>
      <c r="P348" s="371"/>
      <c r="Q348" s="371"/>
    </row>
    <row r="349">
      <c r="A349" s="573">
        <v>102.0</v>
      </c>
      <c r="B349" s="574" t="b">
        <v>0</v>
      </c>
      <c r="C349" s="595"/>
      <c r="D349" s="576"/>
      <c r="E349" s="589"/>
      <c r="F349" s="578"/>
      <c r="G349" s="574" t="b">
        <v>0</v>
      </c>
      <c r="H349" s="579"/>
      <c r="I349" s="580"/>
      <c r="J349" s="371"/>
      <c r="K349" s="371"/>
      <c r="L349" s="371"/>
      <c r="M349" s="371"/>
      <c r="N349" s="371"/>
      <c r="O349" s="371"/>
      <c r="P349" s="371"/>
      <c r="Q349" s="371"/>
    </row>
    <row r="350">
      <c r="A350" s="581">
        <v>103.0</v>
      </c>
      <c r="B350" s="582" t="b">
        <v>0</v>
      </c>
      <c r="C350" s="594"/>
      <c r="D350" s="584"/>
      <c r="E350" s="585"/>
      <c r="F350" s="586"/>
      <c r="G350" s="582" t="b">
        <v>0</v>
      </c>
      <c r="H350" s="587"/>
      <c r="I350" s="592"/>
      <c r="J350" s="371"/>
      <c r="K350" s="371"/>
      <c r="L350" s="371"/>
      <c r="M350" s="371"/>
      <c r="N350" s="371"/>
      <c r="O350" s="371"/>
      <c r="P350" s="371"/>
      <c r="Q350" s="371"/>
    </row>
    <row r="351">
      <c r="A351" s="573">
        <v>104.0</v>
      </c>
      <c r="B351" s="574" t="b">
        <v>0</v>
      </c>
      <c r="C351" s="595"/>
      <c r="D351" s="576"/>
      <c r="E351" s="589"/>
      <c r="F351" s="578"/>
      <c r="G351" s="574" t="b">
        <v>0</v>
      </c>
      <c r="H351" s="579"/>
      <c r="I351" s="580"/>
      <c r="J351" s="371"/>
      <c r="K351" s="371"/>
      <c r="L351" s="371"/>
      <c r="M351" s="371"/>
      <c r="N351" s="371"/>
      <c r="O351" s="371"/>
      <c r="P351" s="371"/>
      <c r="Q351" s="371"/>
    </row>
    <row r="352">
      <c r="A352" s="581">
        <v>105.0</v>
      </c>
      <c r="B352" s="582" t="b">
        <v>0</v>
      </c>
      <c r="C352" s="594"/>
      <c r="D352" s="584"/>
      <c r="E352" s="585"/>
      <c r="F352" s="586"/>
      <c r="G352" s="582" t="b">
        <v>0</v>
      </c>
      <c r="H352" s="587"/>
      <c r="I352" s="592"/>
      <c r="J352" s="371"/>
      <c r="K352" s="371"/>
      <c r="L352" s="371"/>
      <c r="M352" s="371"/>
      <c r="N352" s="371"/>
      <c r="O352" s="371"/>
      <c r="P352" s="371"/>
      <c r="Q352" s="371"/>
    </row>
    <row r="353">
      <c r="A353" s="573">
        <v>106.0</v>
      </c>
      <c r="B353" s="574" t="b">
        <v>0</v>
      </c>
      <c r="C353" s="595"/>
      <c r="D353" s="576"/>
      <c r="E353" s="589"/>
      <c r="F353" s="578"/>
      <c r="G353" s="574" t="b">
        <v>1</v>
      </c>
      <c r="H353" s="579"/>
      <c r="I353" s="580"/>
      <c r="J353" s="371"/>
      <c r="K353" s="371"/>
      <c r="L353" s="371"/>
      <c r="M353" s="371"/>
      <c r="N353" s="371"/>
      <c r="O353" s="371"/>
      <c r="P353" s="371"/>
      <c r="Q353" s="371"/>
    </row>
    <row r="354">
      <c r="A354" s="581">
        <v>107.0</v>
      </c>
      <c r="B354" s="582" t="b">
        <v>0</v>
      </c>
      <c r="C354" s="594"/>
      <c r="D354" s="584"/>
      <c r="E354" s="585"/>
      <c r="F354" s="586"/>
      <c r="G354" s="582" t="b">
        <v>1</v>
      </c>
      <c r="H354" s="587"/>
      <c r="I354" s="592"/>
      <c r="J354" s="371"/>
      <c r="K354" s="371"/>
      <c r="L354" s="371"/>
      <c r="M354" s="371"/>
      <c r="N354" s="371"/>
      <c r="O354" s="371"/>
      <c r="P354" s="371"/>
      <c r="Q354" s="371"/>
    </row>
    <row r="355">
      <c r="A355" s="573">
        <v>108.0</v>
      </c>
      <c r="B355" s="574" t="b">
        <v>0</v>
      </c>
      <c r="C355" s="595"/>
      <c r="D355" s="576"/>
      <c r="E355" s="577"/>
      <c r="F355" s="578"/>
      <c r="G355" s="574" t="b">
        <v>1</v>
      </c>
      <c r="H355" s="579"/>
      <c r="I355" s="580"/>
      <c r="J355" s="371"/>
      <c r="K355" s="371"/>
      <c r="L355" s="371"/>
      <c r="M355" s="371"/>
      <c r="N355" s="371"/>
      <c r="O355" s="371"/>
      <c r="P355" s="371"/>
      <c r="Q355" s="371"/>
    </row>
    <row r="356">
      <c r="A356" s="581">
        <v>109.0</v>
      </c>
      <c r="B356" s="582" t="b">
        <v>0</v>
      </c>
      <c r="C356" s="594"/>
      <c r="D356" s="584"/>
      <c r="E356" s="585"/>
      <c r="F356" s="586"/>
      <c r="G356" s="582" t="b">
        <v>1</v>
      </c>
      <c r="H356" s="587"/>
      <c r="I356" s="592"/>
      <c r="J356" s="371"/>
      <c r="K356" s="371"/>
      <c r="L356" s="371"/>
      <c r="M356" s="371"/>
      <c r="N356" s="371"/>
      <c r="O356" s="371"/>
      <c r="P356" s="371"/>
      <c r="Q356" s="371"/>
    </row>
    <row r="357">
      <c r="A357" s="573">
        <v>110.0</v>
      </c>
      <c r="B357" s="574" t="b">
        <v>0</v>
      </c>
      <c r="C357" s="595"/>
      <c r="D357" s="576"/>
      <c r="E357" s="589"/>
      <c r="F357" s="578"/>
      <c r="G357" s="574" t="b">
        <v>1</v>
      </c>
      <c r="H357" s="579"/>
      <c r="I357" s="580"/>
      <c r="J357" s="371"/>
      <c r="K357" s="371"/>
      <c r="L357" s="371"/>
      <c r="M357" s="371"/>
      <c r="N357" s="371"/>
      <c r="O357" s="371"/>
      <c r="P357" s="371"/>
      <c r="Q357" s="371"/>
    </row>
    <row r="358">
      <c r="A358" s="581">
        <v>111.0</v>
      </c>
      <c r="B358" s="582" t="b">
        <v>0</v>
      </c>
      <c r="C358" s="594"/>
      <c r="D358" s="584"/>
      <c r="E358" s="585"/>
      <c r="F358" s="586"/>
      <c r="G358" s="582" t="b">
        <v>1</v>
      </c>
      <c r="H358" s="587"/>
      <c r="I358" s="592"/>
      <c r="J358" s="371"/>
      <c r="K358" s="371"/>
      <c r="L358" s="371"/>
      <c r="M358" s="371"/>
      <c r="N358" s="371"/>
      <c r="O358" s="371"/>
      <c r="P358" s="371"/>
      <c r="Q358" s="371"/>
    </row>
    <row r="359">
      <c r="A359" s="573">
        <v>112.0</v>
      </c>
      <c r="B359" s="574" t="b">
        <v>0</v>
      </c>
      <c r="C359" s="595"/>
      <c r="D359" s="576"/>
      <c r="E359" s="589"/>
      <c r="F359" s="578"/>
      <c r="G359" s="574" t="b">
        <v>1</v>
      </c>
      <c r="H359" s="579"/>
      <c r="I359" s="580"/>
      <c r="J359" s="371"/>
      <c r="K359" s="371"/>
      <c r="L359" s="371"/>
      <c r="M359" s="371"/>
      <c r="N359" s="371"/>
      <c r="O359" s="371"/>
      <c r="P359" s="371"/>
      <c r="Q359" s="371"/>
    </row>
    <row r="360">
      <c r="A360" s="581">
        <v>113.0</v>
      </c>
      <c r="B360" s="582" t="b">
        <v>0</v>
      </c>
      <c r="C360" s="594"/>
      <c r="D360" s="584"/>
      <c r="E360" s="585"/>
      <c r="F360" s="586"/>
      <c r="G360" s="582" t="b">
        <v>1</v>
      </c>
      <c r="H360" s="587"/>
      <c r="I360" s="592"/>
      <c r="J360" s="371"/>
      <c r="K360" s="371"/>
      <c r="L360" s="371"/>
      <c r="M360" s="371"/>
      <c r="N360" s="371"/>
      <c r="O360" s="371"/>
      <c r="P360" s="371"/>
      <c r="Q360" s="371"/>
    </row>
    <row r="361">
      <c r="A361" s="573">
        <v>114.0</v>
      </c>
      <c r="B361" s="574" t="b">
        <v>0</v>
      </c>
      <c r="C361" s="595"/>
      <c r="D361" s="576"/>
      <c r="E361" s="589"/>
      <c r="F361" s="578"/>
      <c r="G361" s="574" t="b">
        <v>1</v>
      </c>
      <c r="H361" s="579"/>
      <c r="I361" s="580"/>
      <c r="J361" s="371"/>
      <c r="K361" s="371"/>
      <c r="L361" s="371"/>
      <c r="M361" s="371"/>
      <c r="N361" s="371"/>
      <c r="O361" s="371"/>
      <c r="P361" s="371"/>
      <c r="Q361" s="371"/>
    </row>
    <row r="362">
      <c r="A362" s="581">
        <v>115.0</v>
      </c>
      <c r="B362" s="582" t="b">
        <v>0</v>
      </c>
      <c r="C362" s="594"/>
      <c r="D362" s="584"/>
      <c r="E362" s="585"/>
      <c r="F362" s="586"/>
      <c r="G362" s="582" t="b">
        <v>1</v>
      </c>
      <c r="H362" s="587"/>
      <c r="I362" s="592"/>
      <c r="J362" s="371"/>
      <c r="K362" s="371"/>
      <c r="L362" s="371"/>
      <c r="M362" s="371"/>
      <c r="N362" s="371"/>
      <c r="O362" s="371"/>
      <c r="P362" s="371"/>
      <c r="Q362" s="371"/>
    </row>
    <row r="363">
      <c r="A363" s="573">
        <v>116.0</v>
      </c>
      <c r="B363" s="574" t="b">
        <v>0</v>
      </c>
      <c r="C363" s="627"/>
      <c r="D363" s="576"/>
      <c r="E363" s="589"/>
      <c r="F363" s="578"/>
      <c r="G363" s="574" t="b">
        <v>1</v>
      </c>
      <c r="H363" s="579"/>
      <c r="I363" s="580"/>
      <c r="J363" s="371"/>
      <c r="K363" s="371"/>
      <c r="L363" s="371"/>
      <c r="M363" s="371"/>
      <c r="N363" s="371"/>
      <c r="O363" s="371"/>
      <c r="P363" s="371"/>
      <c r="Q363" s="371"/>
    </row>
    <row r="364">
      <c r="A364" s="581">
        <v>117.0</v>
      </c>
      <c r="B364" s="582" t="b">
        <v>0</v>
      </c>
      <c r="C364" s="594"/>
      <c r="D364" s="584"/>
      <c r="E364" s="585"/>
      <c r="F364" s="586"/>
      <c r="G364" s="582" t="b">
        <v>0</v>
      </c>
      <c r="H364" s="587"/>
      <c r="I364" s="592"/>
      <c r="J364" s="371"/>
      <c r="K364" s="371"/>
      <c r="L364" s="371"/>
      <c r="M364" s="371"/>
      <c r="N364" s="371"/>
      <c r="O364" s="371"/>
      <c r="P364" s="371"/>
      <c r="Q364" s="371"/>
    </row>
    <row r="365">
      <c r="A365" s="573">
        <v>118.0</v>
      </c>
      <c r="B365" s="574" t="b">
        <v>0</v>
      </c>
      <c r="C365" s="595"/>
      <c r="D365" s="576"/>
      <c r="E365" s="589"/>
      <c r="F365" s="578"/>
      <c r="G365" s="574" t="b">
        <v>0</v>
      </c>
      <c r="H365" s="579"/>
      <c r="I365" s="580"/>
      <c r="J365" s="371"/>
      <c r="K365" s="371"/>
      <c r="L365" s="371"/>
      <c r="M365" s="371"/>
      <c r="N365" s="371"/>
      <c r="O365" s="371"/>
      <c r="P365" s="371"/>
      <c r="Q365" s="371"/>
    </row>
    <row r="366">
      <c r="A366" s="581">
        <v>119.0</v>
      </c>
      <c r="B366" s="582" t="b">
        <v>0</v>
      </c>
      <c r="C366" s="594"/>
      <c r="D366" s="584"/>
      <c r="E366" s="585"/>
      <c r="F366" s="586"/>
      <c r="G366" s="582" t="b">
        <v>1</v>
      </c>
      <c r="H366" s="587"/>
      <c r="I366" s="592"/>
      <c r="J366" s="371"/>
      <c r="K366" s="371"/>
      <c r="L366" s="371"/>
      <c r="M366" s="371"/>
      <c r="N366" s="371"/>
      <c r="O366" s="371"/>
      <c r="P366" s="371"/>
      <c r="Q366" s="371"/>
    </row>
    <row r="367">
      <c r="A367" s="573">
        <v>120.0</v>
      </c>
      <c r="B367" s="574" t="b">
        <v>0</v>
      </c>
      <c r="C367" s="595"/>
      <c r="D367" s="576"/>
      <c r="E367" s="589"/>
      <c r="F367" s="578"/>
      <c r="G367" s="574" t="b">
        <v>1</v>
      </c>
      <c r="H367" s="579"/>
      <c r="I367" s="580"/>
      <c r="J367" s="371"/>
      <c r="K367" s="371"/>
      <c r="L367" s="371"/>
      <c r="M367" s="371"/>
      <c r="N367" s="371"/>
      <c r="O367" s="371"/>
      <c r="P367" s="371"/>
      <c r="Q367" s="371"/>
    </row>
    <row r="368">
      <c r="A368" s="581">
        <v>121.0</v>
      </c>
      <c r="B368" s="582" t="b">
        <v>0</v>
      </c>
      <c r="C368" s="594"/>
      <c r="D368" s="584"/>
      <c r="E368" s="585"/>
      <c r="F368" s="586"/>
      <c r="G368" s="582" t="b">
        <v>1</v>
      </c>
      <c r="H368" s="587"/>
      <c r="I368" s="592"/>
      <c r="J368" s="371"/>
      <c r="K368" s="371"/>
      <c r="L368" s="371"/>
      <c r="M368" s="371"/>
      <c r="N368" s="371"/>
      <c r="O368" s="371"/>
      <c r="P368" s="371"/>
      <c r="Q368" s="371"/>
    </row>
    <row r="369">
      <c r="A369" s="573">
        <v>122.0</v>
      </c>
      <c r="B369" s="574" t="b">
        <v>0</v>
      </c>
      <c r="C369" s="595"/>
      <c r="D369" s="576"/>
      <c r="E369" s="589"/>
      <c r="F369" s="628"/>
      <c r="G369" s="574" t="b">
        <v>1</v>
      </c>
      <c r="H369" s="579"/>
      <c r="I369" s="580"/>
      <c r="J369" s="371"/>
      <c r="K369" s="371"/>
      <c r="L369" s="371"/>
      <c r="M369" s="371"/>
      <c r="N369" s="371"/>
      <c r="O369" s="371"/>
      <c r="P369" s="371"/>
      <c r="Q369" s="371"/>
    </row>
    <row r="370">
      <c r="A370" s="581">
        <v>123.0</v>
      </c>
      <c r="B370" s="582" t="b">
        <v>0</v>
      </c>
      <c r="C370" s="594"/>
      <c r="D370" s="584"/>
      <c r="E370" s="591"/>
      <c r="F370" s="586"/>
      <c r="G370" s="582" t="b">
        <v>1</v>
      </c>
      <c r="H370" s="587"/>
      <c r="I370" s="592"/>
      <c r="J370" s="371"/>
      <c r="K370" s="371"/>
      <c r="L370" s="371"/>
      <c r="M370" s="371"/>
      <c r="N370" s="371"/>
      <c r="O370" s="371"/>
      <c r="P370" s="371"/>
      <c r="Q370" s="371"/>
    </row>
    <row r="371">
      <c r="A371" s="573">
        <v>124.0</v>
      </c>
      <c r="B371" s="574" t="b">
        <v>0</v>
      </c>
      <c r="C371" s="595"/>
      <c r="D371" s="576"/>
      <c r="E371" s="589"/>
      <c r="F371" s="578"/>
      <c r="G371" s="574" t="b">
        <v>1</v>
      </c>
      <c r="H371" s="579"/>
      <c r="I371" s="580"/>
      <c r="J371" s="371"/>
      <c r="K371" s="371"/>
      <c r="L371" s="371"/>
      <c r="M371" s="371"/>
      <c r="N371" s="371"/>
      <c r="O371" s="371"/>
      <c r="P371" s="371"/>
      <c r="Q371" s="371"/>
    </row>
    <row r="372">
      <c r="A372" s="581">
        <v>125.0</v>
      </c>
      <c r="B372" s="582" t="b">
        <v>0</v>
      </c>
      <c r="C372" s="594"/>
      <c r="D372" s="584"/>
      <c r="E372" s="585"/>
      <c r="F372" s="586"/>
      <c r="G372" s="582" t="b">
        <v>1</v>
      </c>
      <c r="H372" s="587"/>
      <c r="I372" s="592"/>
      <c r="J372" s="371"/>
      <c r="K372" s="371"/>
      <c r="L372" s="371"/>
      <c r="M372" s="371"/>
      <c r="N372" s="371"/>
      <c r="O372" s="371"/>
      <c r="P372" s="371"/>
      <c r="Q372" s="371"/>
    </row>
    <row r="373">
      <c r="A373" s="573">
        <v>126.0</v>
      </c>
      <c r="B373" s="574" t="b">
        <v>0</v>
      </c>
      <c r="C373" s="595"/>
      <c r="D373" s="576"/>
      <c r="E373" s="589"/>
      <c r="F373" s="578"/>
      <c r="G373" s="574" t="b">
        <v>1</v>
      </c>
      <c r="H373" s="579"/>
      <c r="I373" s="580"/>
      <c r="J373" s="371"/>
      <c r="K373" s="371"/>
      <c r="L373" s="371"/>
      <c r="M373" s="371"/>
      <c r="N373" s="371"/>
      <c r="O373" s="371"/>
      <c r="P373" s="371"/>
      <c r="Q373" s="371"/>
    </row>
    <row r="374">
      <c r="A374" s="581">
        <v>127.0</v>
      </c>
      <c r="B374" s="582" t="b">
        <v>0</v>
      </c>
      <c r="C374" s="594"/>
      <c r="D374" s="584"/>
      <c r="E374" s="585"/>
      <c r="F374" s="586"/>
      <c r="G374" s="582" t="b">
        <v>1</v>
      </c>
      <c r="H374" s="587"/>
      <c r="I374" s="592"/>
      <c r="J374" s="371"/>
      <c r="K374" s="371"/>
      <c r="L374" s="371"/>
      <c r="M374" s="371"/>
      <c r="N374" s="371"/>
      <c r="O374" s="371"/>
      <c r="P374" s="371"/>
      <c r="Q374" s="371"/>
    </row>
    <row r="375">
      <c r="A375" s="573">
        <v>128.0</v>
      </c>
      <c r="B375" s="574" t="b">
        <v>0</v>
      </c>
      <c r="C375" s="595"/>
      <c r="D375" s="576"/>
      <c r="E375" s="589"/>
      <c r="F375" s="578"/>
      <c r="G375" s="574" t="b">
        <v>1</v>
      </c>
      <c r="H375" s="579"/>
      <c r="I375" s="580"/>
      <c r="J375" s="371"/>
      <c r="K375" s="371"/>
      <c r="L375" s="371"/>
      <c r="M375" s="371"/>
      <c r="N375" s="371"/>
      <c r="O375" s="371"/>
      <c r="P375" s="371"/>
      <c r="Q375" s="371"/>
    </row>
    <row r="376">
      <c r="A376" s="581">
        <v>129.0</v>
      </c>
      <c r="B376" s="582" t="b">
        <v>0</v>
      </c>
      <c r="C376" s="594"/>
      <c r="D376" s="584"/>
      <c r="E376" s="585"/>
      <c r="F376" s="586"/>
      <c r="G376" s="582" t="b">
        <v>1</v>
      </c>
      <c r="H376" s="587"/>
      <c r="I376" s="592"/>
      <c r="J376" s="371"/>
      <c r="K376" s="371"/>
      <c r="L376" s="371"/>
      <c r="M376" s="371"/>
      <c r="N376" s="371"/>
      <c r="O376" s="371"/>
      <c r="P376" s="371"/>
      <c r="Q376" s="371"/>
    </row>
    <row r="377">
      <c r="A377" s="573">
        <v>130.0</v>
      </c>
      <c r="B377" s="574" t="b">
        <v>0</v>
      </c>
      <c r="C377" s="595"/>
      <c r="D377" s="576"/>
      <c r="E377" s="589"/>
      <c r="F377" s="578"/>
      <c r="G377" s="574" t="b">
        <v>1</v>
      </c>
      <c r="H377" s="579"/>
      <c r="I377" s="580"/>
      <c r="J377" s="371"/>
      <c r="K377" s="371"/>
      <c r="L377" s="371"/>
      <c r="M377" s="371"/>
      <c r="N377" s="371"/>
      <c r="O377" s="371"/>
      <c r="P377" s="371"/>
      <c r="Q377" s="371"/>
    </row>
    <row r="378">
      <c r="A378" s="581">
        <v>131.0</v>
      </c>
      <c r="B378" s="582" t="b">
        <v>0</v>
      </c>
      <c r="C378" s="594"/>
      <c r="D378" s="584"/>
      <c r="E378" s="585"/>
      <c r="F378" s="586"/>
      <c r="G378" s="582" t="b">
        <v>1</v>
      </c>
      <c r="H378" s="587"/>
      <c r="I378" s="592"/>
      <c r="J378" s="371"/>
      <c r="K378" s="371"/>
      <c r="L378" s="371"/>
      <c r="M378" s="371"/>
      <c r="N378" s="371"/>
      <c r="O378" s="371"/>
      <c r="P378" s="371"/>
      <c r="Q378" s="371"/>
    </row>
    <row r="379">
      <c r="A379" s="573">
        <v>132.0</v>
      </c>
      <c r="B379" s="574" t="b">
        <v>0</v>
      </c>
      <c r="C379" s="595"/>
      <c r="D379" s="576"/>
      <c r="E379" s="589"/>
      <c r="F379" s="578"/>
      <c r="G379" s="574" t="b">
        <v>1</v>
      </c>
      <c r="H379" s="579"/>
      <c r="I379" s="580"/>
      <c r="J379" s="371"/>
      <c r="K379" s="371"/>
      <c r="L379" s="371"/>
      <c r="M379" s="371"/>
      <c r="N379" s="371"/>
      <c r="O379" s="371"/>
      <c r="P379" s="371"/>
      <c r="Q379" s="371"/>
    </row>
    <row r="380">
      <c r="A380" s="581">
        <v>133.0</v>
      </c>
      <c r="B380" s="582" t="b">
        <v>0</v>
      </c>
      <c r="C380" s="594"/>
      <c r="D380" s="584"/>
      <c r="E380" s="585"/>
      <c r="F380" s="586"/>
      <c r="G380" s="587"/>
      <c r="H380" s="587"/>
      <c r="I380" s="592"/>
      <c r="J380" s="371"/>
      <c r="K380" s="371"/>
      <c r="L380" s="371"/>
      <c r="M380" s="371"/>
      <c r="N380" s="371"/>
      <c r="O380" s="371"/>
      <c r="P380" s="371"/>
      <c r="Q380" s="371"/>
    </row>
    <row r="381">
      <c r="A381" s="573">
        <v>134.0</v>
      </c>
      <c r="B381" s="574" t="b">
        <v>0</v>
      </c>
      <c r="C381" s="629"/>
      <c r="D381" s="576"/>
      <c r="E381" s="589"/>
      <c r="F381" s="578"/>
      <c r="G381" s="579"/>
      <c r="H381" s="579"/>
      <c r="I381" s="580"/>
      <c r="J381" s="371"/>
      <c r="K381" s="371"/>
      <c r="L381" s="371"/>
      <c r="M381" s="371"/>
      <c r="N381" s="371"/>
      <c r="O381" s="371"/>
      <c r="P381" s="371"/>
      <c r="Q381" s="371"/>
    </row>
    <row r="382">
      <c r="A382" s="581">
        <v>135.0</v>
      </c>
      <c r="B382" s="582" t="b">
        <v>0</v>
      </c>
      <c r="C382" s="630"/>
      <c r="D382" s="584"/>
      <c r="E382" s="585"/>
      <c r="F382" s="586"/>
      <c r="G382" s="587"/>
      <c r="H382" s="587"/>
      <c r="I382" s="592"/>
      <c r="J382" s="371"/>
      <c r="K382" s="371"/>
      <c r="L382" s="371"/>
      <c r="M382" s="371"/>
      <c r="N382" s="371"/>
      <c r="O382" s="371"/>
      <c r="P382" s="371"/>
      <c r="Q382" s="371"/>
    </row>
    <row r="383">
      <c r="A383" s="573">
        <v>136.0</v>
      </c>
      <c r="B383" s="574" t="b">
        <v>0</v>
      </c>
      <c r="C383" s="631"/>
      <c r="D383" s="576"/>
      <c r="E383" s="589"/>
      <c r="F383" s="578"/>
      <c r="G383" s="579"/>
      <c r="H383" s="579"/>
      <c r="I383" s="580"/>
      <c r="J383" s="371"/>
      <c r="K383" s="371"/>
      <c r="L383" s="371"/>
      <c r="M383" s="371"/>
      <c r="N383" s="371"/>
      <c r="O383" s="371"/>
      <c r="P383" s="371"/>
      <c r="Q383" s="371"/>
    </row>
    <row r="384">
      <c r="A384" s="581">
        <v>137.0</v>
      </c>
      <c r="B384" s="582" t="b">
        <v>0</v>
      </c>
      <c r="C384" s="630"/>
      <c r="D384" s="584"/>
      <c r="E384" s="585"/>
      <c r="F384" s="586"/>
      <c r="G384" s="587"/>
      <c r="H384" s="587"/>
      <c r="I384" s="592"/>
      <c r="J384" s="371"/>
      <c r="K384" s="371"/>
      <c r="L384" s="371"/>
      <c r="M384" s="371"/>
      <c r="N384" s="371"/>
      <c r="O384" s="371"/>
      <c r="P384" s="371"/>
      <c r="Q384" s="371"/>
    </row>
    <row r="385">
      <c r="A385" s="573">
        <v>138.0</v>
      </c>
      <c r="B385" s="574" t="b">
        <v>0</v>
      </c>
      <c r="C385" s="631"/>
      <c r="D385" s="576"/>
      <c r="E385" s="589"/>
      <c r="F385" s="578"/>
      <c r="G385" s="579"/>
      <c r="H385" s="579"/>
      <c r="I385" s="580"/>
      <c r="J385" s="371"/>
      <c r="K385" s="371"/>
      <c r="L385" s="371"/>
      <c r="M385" s="371"/>
      <c r="N385" s="371"/>
      <c r="O385" s="371"/>
      <c r="P385" s="371"/>
      <c r="Q385" s="371"/>
    </row>
    <row r="386">
      <c r="A386" s="581">
        <v>139.0</v>
      </c>
      <c r="B386" s="582" t="b">
        <v>0</v>
      </c>
      <c r="C386" s="630"/>
      <c r="D386" s="584"/>
      <c r="E386" s="585"/>
      <c r="F386" s="586"/>
      <c r="G386" s="587"/>
      <c r="H386" s="587"/>
      <c r="I386" s="592"/>
      <c r="J386" s="371"/>
      <c r="K386" s="371"/>
      <c r="L386" s="371"/>
      <c r="M386" s="371"/>
      <c r="N386" s="371"/>
      <c r="O386" s="371"/>
      <c r="P386" s="371"/>
      <c r="Q386" s="371"/>
    </row>
    <row r="387">
      <c r="A387" s="573">
        <v>140.0</v>
      </c>
      <c r="B387" s="574" t="b">
        <v>0</v>
      </c>
      <c r="C387" s="631"/>
      <c r="D387" s="576"/>
      <c r="E387" s="589"/>
      <c r="F387" s="578"/>
      <c r="G387" s="579"/>
      <c r="H387" s="579"/>
      <c r="I387" s="580"/>
      <c r="J387" s="371"/>
      <c r="K387" s="371"/>
      <c r="L387" s="371"/>
      <c r="M387" s="371"/>
      <c r="N387" s="371"/>
      <c r="O387" s="371"/>
      <c r="P387" s="371"/>
      <c r="Q387" s="371"/>
    </row>
    <row r="388">
      <c r="A388" s="581">
        <v>141.0</v>
      </c>
      <c r="B388" s="582" t="b">
        <v>0</v>
      </c>
      <c r="C388" s="630"/>
      <c r="D388" s="584"/>
      <c r="E388" s="585"/>
      <c r="F388" s="586"/>
      <c r="G388" s="587"/>
      <c r="H388" s="587"/>
      <c r="I388" s="592"/>
      <c r="J388" s="371"/>
      <c r="K388" s="371"/>
      <c r="L388" s="371"/>
      <c r="M388" s="371"/>
      <c r="N388" s="371"/>
      <c r="O388" s="371"/>
      <c r="P388" s="371"/>
      <c r="Q388" s="371"/>
    </row>
    <row r="389">
      <c r="A389" s="573">
        <v>142.0</v>
      </c>
      <c r="B389" s="574" t="b">
        <v>0</v>
      </c>
      <c r="C389" s="631"/>
      <c r="D389" s="576"/>
      <c r="E389" s="589"/>
      <c r="F389" s="578"/>
      <c r="G389" s="579"/>
      <c r="H389" s="579"/>
      <c r="I389" s="580"/>
      <c r="J389" s="371"/>
      <c r="K389" s="371"/>
      <c r="L389" s="371"/>
      <c r="M389" s="371"/>
      <c r="N389" s="371"/>
      <c r="O389" s="371"/>
      <c r="P389" s="371"/>
      <c r="Q389" s="371"/>
    </row>
    <row r="390">
      <c r="A390" s="581">
        <v>143.0</v>
      </c>
      <c r="B390" s="582" t="b">
        <v>0</v>
      </c>
      <c r="C390" s="632"/>
      <c r="D390" s="584"/>
      <c r="E390" s="585"/>
      <c r="F390" s="586"/>
      <c r="G390" s="587"/>
      <c r="H390" s="587"/>
      <c r="I390" s="592"/>
      <c r="J390" s="371"/>
      <c r="K390" s="371"/>
      <c r="L390" s="371"/>
      <c r="M390" s="371"/>
      <c r="N390" s="371"/>
      <c r="O390" s="371"/>
      <c r="P390" s="371"/>
      <c r="Q390" s="371"/>
    </row>
    <row r="391">
      <c r="A391" s="573">
        <v>144.0</v>
      </c>
      <c r="B391" s="574" t="b">
        <v>0</v>
      </c>
      <c r="C391" s="595"/>
      <c r="D391" s="576"/>
      <c r="E391" s="589"/>
      <c r="F391" s="578"/>
      <c r="G391" s="579"/>
      <c r="H391" s="579"/>
      <c r="I391" s="580"/>
      <c r="J391" s="371"/>
      <c r="K391" s="371"/>
      <c r="L391" s="371"/>
      <c r="M391" s="371"/>
      <c r="N391" s="371"/>
      <c r="O391" s="371"/>
      <c r="P391" s="371"/>
      <c r="Q391" s="371"/>
    </row>
    <row r="392">
      <c r="A392" s="581">
        <v>145.0</v>
      </c>
      <c r="B392" s="582" t="b">
        <v>0</v>
      </c>
      <c r="C392" s="594"/>
      <c r="D392" s="584"/>
      <c r="E392" s="585"/>
      <c r="F392" s="586"/>
      <c r="G392" s="582" t="b">
        <v>1</v>
      </c>
      <c r="H392" s="587"/>
      <c r="I392" s="592"/>
      <c r="J392" s="371"/>
      <c r="K392" s="371"/>
      <c r="L392" s="371"/>
      <c r="M392" s="371"/>
      <c r="N392" s="371"/>
      <c r="O392" s="371"/>
      <c r="P392" s="371"/>
      <c r="Q392" s="371"/>
    </row>
    <row r="393">
      <c r="A393" s="573">
        <v>146.0</v>
      </c>
      <c r="B393" s="574" t="b">
        <v>0</v>
      </c>
      <c r="C393" s="595"/>
      <c r="D393" s="576"/>
      <c r="E393" s="589"/>
      <c r="F393" s="578"/>
      <c r="G393" s="574" t="b">
        <v>1</v>
      </c>
      <c r="H393" s="579"/>
      <c r="I393" s="580"/>
      <c r="J393" s="371"/>
      <c r="K393" s="371"/>
      <c r="L393" s="371"/>
      <c r="M393" s="371"/>
      <c r="N393" s="371"/>
      <c r="O393" s="371"/>
      <c r="P393" s="371"/>
      <c r="Q393" s="371"/>
    </row>
    <row r="394">
      <c r="A394" s="581">
        <v>147.0</v>
      </c>
      <c r="B394" s="582" t="b">
        <v>0</v>
      </c>
      <c r="C394" s="594"/>
      <c r="D394" s="584"/>
      <c r="E394" s="585"/>
      <c r="F394" s="586"/>
      <c r="G394" s="582" t="b">
        <v>1</v>
      </c>
      <c r="H394" s="587"/>
      <c r="I394" s="592"/>
      <c r="J394" s="371"/>
      <c r="K394" s="371"/>
      <c r="L394" s="371"/>
      <c r="M394" s="371"/>
      <c r="N394" s="371"/>
      <c r="O394" s="371"/>
      <c r="P394" s="371"/>
      <c r="Q394" s="371"/>
    </row>
    <row r="395">
      <c r="A395" s="573">
        <v>148.0</v>
      </c>
      <c r="B395" s="574" t="b">
        <v>0</v>
      </c>
      <c r="C395" s="595"/>
      <c r="D395" s="576"/>
      <c r="E395" s="589"/>
      <c r="F395" s="578"/>
      <c r="G395" s="574" t="b">
        <v>0</v>
      </c>
      <c r="H395" s="579"/>
      <c r="I395" s="580"/>
      <c r="J395" s="371"/>
      <c r="K395" s="371"/>
      <c r="L395" s="371"/>
      <c r="M395" s="371"/>
      <c r="N395" s="371"/>
      <c r="O395" s="371"/>
      <c r="P395" s="371"/>
      <c r="Q395" s="371"/>
    </row>
    <row r="396">
      <c r="A396" s="581">
        <v>149.0</v>
      </c>
      <c r="B396" s="582" t="b">
        <v>0</v>
      </c>
      <c r="C396" s="594"/>
      <c r="D396" s="584"/>
      <c r="E396" s="585"/>
      <c r="F396" s="586"/>
      <c r="G396" s="582" t="b">
        <v>0</v>
      </c>
      <c r="H396" s="587"/>
      <c r="I396" s="592"/>
      <c r="J396" s="371"/>
      <c r="K396" s="371"/>
      <c r="L396" s="371"/>
      <c r="M396" s="371"/>
      <c r="N396" s="371"/>
      <c r="O396" s="371"/>
      <c r="P396" s="371"/>
      <c r="Q396" s="371"/>
    </row>
    <row r="397">
      <c r="A397" s="573">
        <v>150.0</v>
      </c>
      <c r="B397" s="574" t="b">
        <v>0</v>
      </c>
      <c r="C397" s="595"/>
      <c r="D397" s="576"/>
      <c r="E397" s="589"/>
      <c r="F397" s="578"/>
      <c r="G397" s="574" t="b">
        <v>0</v>
      </c>
      <c r="H397" s="579"/>
      <c r="I397" s="580"/>
      <c r="J397" s="371"/>
      <c r="K397" s="371"/>
      <c r="L397" s="371"/>
      <c r="M397" s="371"/>
      <c r="N397" s="371"/>
      <c r="O397" s="371"/>
      <c r="P397" s="371"/>
      <c r="Q397" s="371"/>
    </row>
    <row r="398">
      <c r="A398" s="581">
        <v>151.0</v>
      </c>
      <c r="B398" s="582" t="b">
        <v>0</v>
      </c>
      <c r="C398" s="594"/>
      <c r="D398" s="584"/>
      <c r="E398" s="585"/>
      <c r="F398" s="586"/>
      <c r="G398" s="582" t="b">
        <v>0</v>
      </c>
      <c r="H398" s="587"/>
      <c r="I398" s="592"/>
      <c r="J398" s="371"/>
      <c r="K398" s="371"/>
      <c r="L398" s="371"/>
      <c r="M398" s="371"/>
      <c r="N398" s="371"/>
      <c r="O398" s="371"/>
      <c r="P398" s="371"/>
      <c r="Q398" s="371"/>
    </row>
    <row r="399">
      <c r="A399" s="573">
        <v>152.0</v>
      </c>
      <c r="B399" s="574" t="b">
        <v>0</v>
      </c>
      <c r="C399" s="595"/>
      <c r="D399" s="576"/>
      <c r="E399" s="589"/>
      <c r="F399" s="578"/>
      <c r="G399" s="574" t="b">
        <v>0</v>
      </c>
      <c r="H399" s="579"/>
      <c r="I399" s="580"/>
      <c r="J399" s="371"/>
      <c r="K399" s="371"/>
      <c r="L399" s="371"/>
      <c r="M399" s="371"/>
      <c r="N399" s="371"/>
      <c r="O399" s="371"/>
      <c r="P399" s="371"/>
      <c r="Q399" s="371"/>
    </row>
    <row r="400">
      <c r="A400" s="581">
        <v>153.0</v>
      </c>
      <c r="B400" s="582" t="b">
        <v>0</v>
      </c>
      <c r="C400" s="594"/>
      <c r="D400" s="584"/>
      <c r="E400" s="585"/>
      <c r="F400" s="586"/>
      <c r="G400" s="582" t="b">
        <v>0</v>
      </c>
      <c r="H400" s="587"/>
      <c r="I400" s="592"/>
      <c r="J400" s="371"/>
      <c r="K400" s="371"/>
      <c r="L400" s="371"/>
      <c r="M400" s="371"/>
      <c r="N400" s="371"/>
      <c r="O400" s="371"/>
      <c r="P400" s="371"/>
      <c r="Q400" s="371"/>
    </row>
    <row r="401">
      <c r="A401" s="573">
        <v>154.0</v>
      </c>
      <c r="B401" s="574" t="b">
        <v>0</v>
      </c>
      <c r="C401" s="595"/>
      <c r="D401" s="576"/>
      <c r="E401" s="589"/>
      <c r="F401" s="578"/>
      <c r="G401" s="574" t="b">
        <v>0</v>
      </c>
      <c r="H401" s="579"/>
      <c r="I401" s="580"/>
      <c r="J401" s="371"/>
      <c r="K401" s="371"/>
      <c r="L401" s="371"/>
      <c r="M401" s="371"/>
      <c r="N401" s="371"/>
      <c r="O401" s="371"/>
      <c r="P401" s="371"/>
      <c r="Q401" s="371"/>
    </row>
    <row r="402">
      <c r="A402" s="581">
        <v>155.0</v>
      </c>
      <c r="B402" s="582" t="b">
        <v>0</v>
      </c>
      <c r="C402" s="594"/>
      <c r="D402" s="584"/>
      <c r="E402" s="585"/>
      <c r="F402" s="586"/>
      <c r="G402" s="582" t="b">
        <v>0</v>
      </c>
      <c r="H402" s="587"/>
      <c r="I402" s="592"/>
      <c r="J402" s="371"/>
      <c r="K402" s="371"/>
      <c r="L402" s="371"/>
      <c r="M402" s="371"/>
      <c r="N402" s="371"/>
      <c r="O402" s="371"/>
      <c r="P402" s="371"/>
      <c r="Q402" s="371"/>
    </row>
    <row r="403">
      <c r="A403" s="573">
        <v>156.0</v>
      </c>
      <c r="B403" s="574" t="b">
        <v>0</v>
      </c>
      <c r="C403" s="595"/>
      <c r="D403" s="576"/>
      <c r="E403" s="589"/>
      <c r="F403" s="578"/>
      <c r="G403" s="574" t="b">
        <v>0</v>
      </c>
      <c r="H403" s="579"/>
      <c r="I403" s="580"/>
      <c r="J403" s="371"/>
      <c r="K403" s="371"/>
      <c r="L403" s="371"/>
      <c r="M403" s="371"/>
      <c r="N403" s="371"/>
      <c r="O403" s="371"/>
      <c r="P403" s="371"/>
      <c r="Q403" s="371"/>
    </row>
    <row r="404">
      <c r="A404" s="581">
        <v>157.0</v>
      </c>
      <c r="B404" s="582" t="b">
        <v>0</v>
      </c>
      <c r="C404" s="633"/>
      <c r="D404" s="634"/>
      <c r="E404" s="634"/>
      <c r="F404" s="634"/>
      <c r="G404" s="634"/>
      <c r="H404" s="634"/>
      <c r="I404" s="635"/>
      <c r="J404" s="371"/>
      <c r="K404" s="371"/>
      <c r="L404" s="371"/>
      <c r="M404" s="371"/>
      <c r="N404" s="371"/>
      <c r="O404" s="371"/>
      <c r="P404" s="371"/>
      <c r="Q404" s="371"/>
    </row>
    <row r="405">
      <c r="A405" s="573">
        <v>158.0</v>
      </c>
      <c r="B405" s="574" t="b">
        <v>0</v>
      </c>
      <c r="C405" s="595"/>
      <c r="D405" s="576"/>
      <c r="E405" s="589"/>
      <c r="F405" s="578"/>
      <c r="G405" s="579"/>
      <c r="H405" s="579"/>
      <c r="I405" s="580"/>
      <c r="J405" s="371"/>
      <c r="K405" s="371"/>
      <c r="L405" s="371"/>
      <c r="M405" s="371"/>
      <c r="N405" s="371"/>
      <c r="O405" s="371"/>
      <c r="P405" s="371"/>
      <c r="Q405" s="371"/>
    </row>
    <row r="406">
      <c r="A406" s="581">
        <v>159.0</v>
      </c>
      <c r="B406" s="582" t="b">
        <v>0</v>
      </c>
      <c r="C406" s="594"/>
      <c r="D406" s="584"/>
      <c r="E406" s="585"/>
      <c r="F406" s="586"/>
      <c r="G406" s="587"/>
      <c r="H406" s="587"/>
      <c r="I406" s="592"/>
      <c r="J406" s="371"/>
      <c r="K406" s="371"/>
      <c r="L406" s="371"/>
      <c r="M406" s="371"/>
      <c r="N406" s="371"/>
      <c r="O406" s="371"/>
      <c r="P406" s="371"/>
      <c r="Q406" s="371"/>
    </row>
    <row r="407">
      <c r="A407" s="573">
        <v>160.0</v>
      </c>
      <c r="B407" s="574" t="b">
        <v>0</v>
      </c>
      <c r="C407" s="595"/>
      <c r="D407" s="576" t="s">
        <v>2448</v>
      </c>
      <c r="E407" s="589"/>
      <c r="F407" s="578"/>
      <c r="G407" s="574" t="b">
        <v>1</v>
      </c>
      <c r="H407" s="579"/>
      <c r="I407" s="580"/>
      <c r="J407" s="371"/>
      <c r="K407" s="371"/>
      <c r="L407" s="371"/>
      <c r="M407" s="371"/>
      <c r="N407" s="371"/>
      <c r="O407" s="371"/>
      <c r="P407" s="371"/>
      <c r="Q407" s="371"/>
    </row>
    <row r="408">
      <c r="A408" s="581">
        <v>161.0</v>
      </c>
      <c r="B408" s="582" t="b">
        <v>0</v>
      </c>
      <c r="C408" s="594"/>
      <c r="D408" s="584" t="s">
        <v>2452</v>
      </c>
      <c r="E408" s="585"/>
      <c r="F408" s="586"/>
      <c r="G408" s="582" t="b">
        <v>1</v>
      </c>
      <c r="H408" s="587"/>
      <c r="I408" s="592"/>
      <c r="J408" s="371"/>
      <c r="K408" s="371"/>
      <c r="L408" s="371"/>
      <c r="M408" s="371"/>
      <c r="N408" s="371"/>
      <c r="O408" s="371"/>
      <c r="P408" s="371"/>
      <c r="Q408" s="371"/>
    </row>
    <row r="409">
      <c r="A409" s="573">
        <v>162.0</v>
      </c>
      <c r="B409" s="574" t="b">
        <v>0</v>
      </c>
      <c r="C409" s="595"/>
      <c r="D409" s="576" t="s">
        <v>2455</v>
      </c>
      <c r="E409" s="589"/>
      <c r="F409" s="578"/>
      <c r="G409" s="574" t="b">
        <v>1</v>
      </c>
      <c r="H409" s="579"/>
      <c r="I409" s="580"/>
      <c r="J409" s="371"/>
      <c r="K409" s="371"/>
      <c r="L409" s="371"/>
      <c r="M409" s="371"/>
      <c r="N409" s="371"/>
      <c r="O409" s="371"/>
      <c r="P409" s="371"/>
      <c r="Q409" s="371"/>
    </row>
    <row r="410">
      <c r="A410" s="581">
        <v>163.0</v>
      </c>
      <c r="B410" s="582" t="b">
        <v>0</v>
      </c>
      <c r="C410" s="594"/>
      <c r="D410" s="584"/>
      <c r="E410" s="585"/>
      <c r="F410" s="586"/>
      <c r="G410" s="582" t="b">
        <v>1</v>
      </c>
      <c r="H410" s="587"/>
      <c r="I410" s="592"/>
      <c r="J410" s="371"/>
      <c r="K410" s="371"/>
      <c r="L410" s="371"/>
      <c r="M410" s="371"/>
      <c r="N410" s="371"/>
      <c r="O410" s="371"/>
      <c r="P410" s="371"/>
      <c r="Q410" s="371"/>
    </row>
    <row r="411">
      <c r="A411" s="573">
        <v>164.0</v>
      </c>
      <c r="B411" s="574" t="b">
        <v>0</v>
      </c>
      <c r="C411" s="595"/>
      <c r="D411" s="576"/>
      <c r="E411" s="589"/>
      <c r="F411" s="578"/>
      <c r="G411" s="574" t="b">
        <v>1</v>
      </c>
      <c r="H411" s="579"/>
      <c r="I411" s="580"/>
      <c r="J411" s="371"/>
      <c r="K411" s="371"/>
      <c r="L411" s="371"/>
      <c r="M411" s="371"/>
      <c r="N411" s="371"/>
      <c r="O411" s="371"/>
      <c r="P411" s="371"/>
      <c r="Q411" s="371"/>
    </row>
    <row r="412">
      <c r="A412" s="581">
        <v>165.0</v>
      </c>
      <c r="B412" s="582" t="b">
        <v>0</v>
      </c>
      <c r="C412" s="594"/>
      <c r="D412" s="584"/>
      <c r="E412" s="585"/>
      <c r="F412" s="586"/>
      <c r="G412" s="587"/>
      <c r="H412" s="587"/>
      <c r="I412" s="592"/>
      <c r="J412" s="371"/>
      <c r="K412" s="371"/>
      <c r="L412" s="371"/>
      <c r="M412" s="371"/>
      <c r="N412" s="371"/>
      <c r="O412" s="371"/>
      <c r="P412" s="371"/>
      <c r="Q412" s="371"/>
    </row>
    <row r="413">
      <c r="A413" s="573">
        <v>166.0</v>
      </c>
      <c r="B413" s="574" t="b">
        <v>0</v>
      </c>
      <c r="C413" s="595"/>
      <c r="D413" s="576"/>
      <c r="E413" s="589"/>
      <c r="F413" s="578"/>
      <c r="G413" s="579"/>
      <c r="H413" s="579"/>
      <c r="I413" s="580"/>
      <c r="J413" s="371"/>
      <c r="K413" s="371"/>
      <c r="L413" s="371"/>
      <c r="M413" s="371"/>
      <c r="N413" s="371"/>
      <c r="O413" s="371"/>
      <c r="P413" s="371"/>
      <c r="Q413" s="371"/>
    </row>
    <row r="414">
      <c r="A414" s="581">
        <v>167.0</v>
      </c>
      <c r="B414" s="582" t="b">
        <v>0</v>
      </c>
      <c r="C414" s="594"/>
      <c r="D414" s="584"/>
      <c r="E414" s="585"/>
      <c r="F414" s="586"/>
      <c r="G414" s="587"/>
      <c r="H414" s="587"/>
      <c r="I414" s="592"/>
      <c r="J414" s="371"/>
      <c r="K414" s="371"/>
      <c r="L414" s="371"/>
      <c r="M414" s="371"/>
      <c r="N414" s="371"/>
      <c r="O414" s="371"/>
      <c r="P414" s="371"/>
      <c r="Q414" s="371"/>
    </row>
    <row r="415">
      <c r="A415" s="573">
        <v>168.0</v>
      </c>
      <c r="B415" s="574" t="b">
        <v>0</v>
      </c>
      <c r="C415" s="595"/>
      <c r="D415" s="576"/>
      <c r="E415" s="589"/>
      <c r="F415" s="578"/>
      <c r="G415" s="579"/>
      <c r="H415" s="579"/>
      <c r="I415" s="580"/>
      <c r="J415" s="371"/>
      <c r="K415" s="371"/>
      <c r="L415" s="371"/>
      <c r="M415" s="371"/>
      <c r="N415" s="371"/>
      <c r="O415" s="371"/>
      <c r="P415" s="371"/>
      <c r="Q415" s="371"/>
    </row>
    <row r="416">
      <c r="A416" s="581">
        <v>169.0</v>
      </c>
      <c r="B416" s="582" t="b">
        <v>0</v>
      </c>
      <c r="C416" s="594"/>
      <c r="D416" s="584"/>
      <c r="E416" s="585"/>
      <c r="F416" s="586"/>
      <c r="G416" s="587"/>
      <c r="H416" s="587"/>
      <c r="I416" s="592"/>
      <c r="J416" s="371"/>
      <c r="K416" s="371"/>
      <c r="L416" s="371"/>
      <c r="M416" s="371"/>
      <c r="N416" s="371"/>
      <c r="O416" s="371"/>
      <c r="P416" s="371"/>
      <c r="Q416" s="371"/>
    </row>
    <row r="417">
      <c r="A417" s="573">
        <v>170.0</v>
      </c>
      <c r="B417" s="574" t="b">
        <v>0</v>
      </c>
      <c r="C417" s="595"/>
      <c r="D417" s="576"/>
      <c r="E417" s="589"/>
      <c r="F417" s="578"/>
      <c r="G417" s="579"/>
      <c r="H417" s="579"/>
      <c r="I417" s="580"/>
      <c r="J417" s="371"/>
      <c r="K417" s="371"/>
      <c r="L417" s="371"/>
      <c r="M417" s="371"/>
      <c r="N417" s="371"/>
      <c r="O417" s="371"/>
      <c r="P417" s="371"/>
      <c r="Q417" s="371"/>
    </row>
    <row r="418">
      <c r="A418" s="581">
        <v>171.0</v>
      </c>
      <c r="B418" s="582" t="b">
        <v>0</v>
      </c>
      <c r="C418" s="594"/>
      <c r="D418" s="584"/>
      <c r="E418" s="585"/>
      <c r="F418" s="586"/>
      <c r="G418" s="587"/>
      <c r="H418" s="587"/>
      <c r="I418" s="592"/>
      <c r="J418" s="371"/>
      <c r="K418" s="371"/>
      <c r="L418" s="371"/>
      <c r="M418" s="371"/>
      <c r="N418" s="371"/>
      <c r="O418" s="371"/>
      <c r="P418" s="371"/>
      <c r="Q418" s="371"/>
    </row>
    <row r="419">
      <c r="A419" s="573">
        <v>172.0</v>
      </c>
      <c r="B419" s="574" t="b">
        <v>0</v>
      </c>
      <c r="C419" s="595"/>
      <c r="D419" s="576"/>
      <c r="E419" s="589"/>
      <c r="F419" s="578"/>
      <c r="G419" s="579"/>
      <c r="H419" s="579"/>
      <c r="I419" s="580"/>
      <c r="J419" s="371"/>
      <c r="K419" s="371"/>
      <c r="L419" s="371"/>
      <c r="M419" s="371"/>
      <c r="N419" s="371"/>
      <c r="O419" s="371"/>
      <c r="P419" s="371"/>
      <c r="Q419" s="371"/>
    </row>
    <row r="420">
      <c r="A420" s="581">
        <v>173.0</v>
      </c>
      <c r="B420" s="582" t="b">
        <v>0</v>
      </c>
      <c r="C420" s="594"/>
      <c r="D420" s="584"/>
      <c r="E420" s="585"/>
      <c r="F420" s="586"/>
      <c r="G420" s="587"/>
      <c r="H420" s="587"/>
      <c r="I420" s="592"/>
      <c r="J420" s="371"/>
      <c r="K420" s="371"/>
      <c r="L420" s="371"/>
      <c r="M420" s="371"/>
      <c r="N420" s="371"/>
      <c r="O420" s="371"/>
      <c r="P420" s="371"/>
      <c r="Q420" s="371"/>
    </row>
    <row r="421">
      <c r="A421" s="573">
        <v>174.0</v>
      </c>
      <c r="B421" s="574" t="b">
        <v>0</v>
      </c>
      <c r="C421" s="595"/>
      <c r="D421" s="576"/>
      <c r="E421" s="589"/>
      <c r="F421" s="578"/>
      <c r="G421" s="579"/>
      <c r="H421" s="579"/>
      <c r="I421" s="580"/>
      <c r="J421" s="371"/>
      <c r="K421" s="371"/>
      <c r="L421" s="371"/>
      <c r="M421" s="371"/>
      <c r="N421" s="371"/>
      <c r="O421" s="371"/>
      <c r="P421" s="371"/>
      <c r="Q421" s="371"/>
    </row>
    <row r="422">
      <c r="A422" s="581">
        <v>175.0</v>
      </c>
      <c r="B422" s="582" t="b">
        <v>0</v>
      </c>
      <c r="C422" s="594"/>
      <c r="D422" s="584"/>
      <c r="E422" s="585"/>
      <c r="F422" s="586"/>
      <c r="G422" s="587"/>
      <c r="H422" s="587"/>
      <c r="I422" s="592"/>
      <c r="J422" s="371"/>
      <c r="K422" s="371"/>
      <c r="L422" s="371"/>
      <c r="M422" s="371"/>
      <c r="N422" s="371"/>
      <c r="O422" s="371"/>
      <c r="P422" s="371"/>
      <c r="Q422" s="371"/>
    </row>
    <row r="423">
      <c r="A423" s="573">
        <v>176.0</v>
      </c>
      <c r="B423" s="574" t="b">
        <v>0</v>
      </c>
      <c r="C423" s="595"/>
      <c r="D423" s="576"/>
      <c r="E423" s="589"/>
      <c r="F423" s="578"/>
      <c r="G423" s="579"/>
      <c r="H423" s="579"/>
      <c r="I423" s="580"/>
      <c r="J423" s="371"/>
      <c r="K423" s="371"/>
      <c r="L423" s="371"/>
      <c r="M423" s="371"/>
      <c r="N423" s="371"/>
      <c r="O423" s="371"/>
      <c r="P423" s="371"/>
      <c r="Q423" s="371"/>
    </row>
    <row r="424">
      <c r="A424" s="581">
        <v>177.0</v>
      </c>
      <c r="B424" s="582" t="b">
        <v>0</v>
      </c>
      <c r="C424" s="594"/>
      <c r="D424" s="584"/>
      <c r="E424" s="585"/>
      <c r="F424" s="586"/>
      <c r="G424" s="587"/>
      <c r="H424" s="587"/>
      <c r="I424" s="592"/>
      <c r="J424" s="371"/>
      <c r="K424" s="371"/>
      <c r="L424" s="371"/>
      <c r="M424" s="371"/>
      <c r="N424" s="371"/>
      <c r="O424" s="371"/>
      <c r="P424" s="371"/>
      <c r="Q424" s="371"/>
    </row>
    <row r="425">
      <c r="A425" s="573">
        <v>178.0</v>
      </c>
      <c r="B425" s="574" t="b">
        <v>0</v>
      </c>
      <c r="C425" s="595"/>
      <c r="D425" s="576"/>
      <c r="E425" s="589"/>
      <c r="F425" s="578"/>
      <c r="G425" s="579"/>
      <c r="H425" s="579"/>
      <c r="I425" s="580"/>
      <c r="J425" s="371"/>
      <c r="K425" s="371"/>
      <c r="L425" s="371"/>
      <c r="M425" s="371"/>
      <c r="N425" s="371"/>
      <c r="O425" s="371"/>
      <c r="P425" s="371"/>
      <c r="Q425" s="371"/>
    </row>
    <row r="426">
      <c r="A426" s="581">
        <v>179.0</v>
      </c>
      <c r="B426" s="582" t="b">
        <v>0</v>
      </c>
      <c r="C426" s="594"/>
      <c r="D426" s="584"/>
      <c r="E426" s="585"/>
      <c r="F426" s="586"/>
      <c r="G426" s="587"/>
      <c r="H426" s="587"/>
      <c r="I426" s="592"/>
      <c r="J426" s="371"/>
      <c r="K426" s="371"/>
      <c r="L426" s="371"/>
      <c r="M426" s="371"/>
      <c r="N426" s="371"/>
      <c r="O426" s="371"/>
      <c r="P426" s="371"/>
      <c r="Q426" s="371"/>
    </row>
    <row r="427">
      <c r="A427" s="573">
        <v>180.0</v>
      </c>
      <c r="B427" s="574" t="b">
        <v>0</v>
      </c>
      <c r="C427" s="595"/>
      <c r="D427" s="576"/>
      <c r="E427" s="589"/>
      <c r="F427" s="578"/>
      <c r="G427" s="579"/>
      <c r="H427" s="579"/>
      <c r="I427" s="580"/>
      <c r="J427" s="371"/>
      <c r="K427" s="371"/>
      <c r="L427" s="371"/>
      <c r="M427" s="371"/>
      <c r="N427" s="371"/>
      <c r="O427" s="371"/>
      <c r="P427" s="371"/>
      <c r="Q427" s="371"/>
    </row>
    <row r="428">
      <c r="A428" s="581">
        <v>181.0</v>
      </c>
      <c r="B428" s="582" t="b">
        <v>0</v>
      </c>
      <c r="C428" s="594"/>
      <c r="D428" s="584"/>
      <c r="E428" s="585"/>
      <c r="F428" s="586"/>
      <c r="G428" s="587"/>
      <c r="H428" s="587"/>
      <c r="I428" s="592"/>
      <c r="J428" s="371"/>
      <c r="K428" s="371"/>
      <c r="L428" s="371"/>
      <c r="M428" s="371"/>
      <c r="N428" s="371"/>
      <c r="O428" s="371"/>
      <c r="P428" s="371"/>
      <c r="Q428" s="371"/>
    </row>
    <row r="429">
      <c r="A429" s="573">
        <v>182.0</v>
      </c>
      <c r="B429" s="574" t="b">
        <v>0</v>
      </c>
      <c r="C429" s="595"/>
      <c r="D429" s="576"/>
      <c r="E429" s="589"/>
      <c r="F429" s="578"/>
      <c r="G429" s="579"/>
      <c r="H429" s="579"/>
      <c r="I429" s="580"/>
      <c r="J429" s="371"/>
      <c r="K429" s="371"/>
      <c r="L429" s="371"/>
      <c r="M429" s="371"/>
      <c r="N429" s="371"/>
      <c r="O429" s="371"/>
      <c r="P429" s="371"/>
      <c r="Q429" s="371"/>
    </row>
    <row r="430">
      <c r="A430" s="581">
        <v>183.0</v>
      </c>
      <c r="B430" s="582" t="b">
        <v>0</v>
      </c>
      <c r="C430" s="594"/>
      <c r="D430" s="584"/>
      <c r="E430" s="585"/>
      <c r="F430" s="586"/>
      <c r="G430" s="587"/>
      <c r="H430" s="587"/>
      <c r="I430" s="592"/>
      <c r="J430" s="371"/>
      <c r="K430" s="371"/>
      <c r="L430" s="371"/>
      <c r="M430" s="371"/>
      <c r="N430" s="371"/>
      <c r="O430" s="371"/>
      <c r="P430" s="371"/>
      <c r="Q430" s="371"/>
    </row>
    <row r="431">
      <c r="A431" s="573">
        <v>184.0</v>
      </c>
      <c r="B431" s="574" t="b">
        <v>0</v>
      </c>
      <c r="C431" s="595"/>
      <c r="D431" s="576"/>
      <c r="E431" s="589"/>
      <c r="F431" s="578"/>
      <c r="G431" s="579"/>
      <c r="H431" s="579"/>
      <c r="I431" s="580"/>
      <c r="J431" s="371"/>
      <c r="K431" s="371"/>
      <c r="L431" s="371"/>
      <c r="M431" s="371"/>
      <c r="N431" s="371"/>
      <c r="O431" s="371"/>
      <c r="P431" s="371"/>
      <c r="Q431" s="371"/>
    </row>
    <row r="432">
      <c r="A432" s="581">
        <v>185.0</v>
      </c>
      <c r="B432" s="582" t="b">
        <v>0</v>
      </c>
      <c r="C432" s="594"/>
      <c r="D432" s="584"/>
      <c r="E432" s="585"/>
      <c r="F432" s="586"/>
      <c r="G432" s="587"/>
      <c r="H432" s="587"/>
      <c r="I432" s="592"/>
      <c r="J432" s="371"/>
      <c r="K432" s="371"/>
      <c r="L432" s="371"/>
      <c r="M432" s="371"/>
      <c r="N432" s="371"/>
      <c r="O432" s="371"/>
      <c r="P432" s="371"/>
      <c r="Q432" s="371"/>
    </row>
    <row r="433">
      <c r="A433" s="573">
        <v>186.0</v>
      </c>
      <c r="B433" s="574" t="b">
        <v>0</v>
      </c>
      <c r="C433" s="595"/>
      <c r="D433" s="576"/>
      <c r="E433" s="589"/>
      <c r="F433" s="578"/>
      <c r="G433" s="579"/>
      <c r="H433" s="579"/>
      <c r="I433" s="580"/>
      <c r="J433" s="371"/>
      <c r="K433" s="371"/>
      <c r="L433" s="371"/>
      <c r="M433" s="371"/>
      <c r="N433" s="371"/>
      <c r="O433" s="371"/>
      <c r="P433" s="371"/>
      <c r="Q433" s="371"/>
    </row>
    <row r="434">
      <c r="A434" s="581">
        <v>187.0</v>
      </c>
      <c r="B434" s="582" t="b">
        <v>0</v>
      </c>
      <c r="C434" s="594"/>
      <c r="D434" s="584"/>
      <c r="E434" s="585"/>
      <c r="F434" s="586"/>
      <c r="G434" s="587"/>
      <c r="H434" s="587"/>
      <c r="I434" s="592"/>
      <c r="J434" s="371"/>
      <c r="K434" s="371"/>
      <c r="L434" s="371"/>
      <c r="M434" s="371"/>
      <c r="N434" s="371"/>
      <c r="O434" s="371"/>
      <c r="P434" s="371"/>
      <c r="Q434" s="371"/>
    </row>
    <row r="435">
      <c r="A435" s="573">
        <v>188.0</v>
      </c>
      <c r="B435" s="574" t="b">
        <v>0</v>
      </c>
      <c r="C435" s="595"/>
      <c r="D435" s="576"/>
      <c r="E435" s="589"/>
      <c r="F435" s="578"/>
      <c r="G435" s="579"/>
      <c r="H435" s="579"/>
      <c r="I435" s="580"/>
      <c r="J435" s="371"/>
      <c r="K435" s="371"/>
      <c r="L435" s="371"/>
      <c r="M435" s="371"/>
      <c r="N435" s="371"/>
      <c r="O435" s="371"/>
      <c r="P435" s="371"/>
      <c r="Q435" s="371"/>
    </row>
    <row r="436">
      <c r="A436" s="581">
        <v>189.0</v>
      </c>
      <c r="B436" s="582" t="b">
        <v>0</v>
      </c>
      <c r="C436" s="594"/>
      <c r="D436" s="584"/>
      <c r="E436" s="585"/>
      <c r="F436" s="586"/>
      <c r="G436" s="587"/>
      <c r="H436" s="587"/>
      <c r="I436" s="592"/>
      <c r="J436" s="371"/>
      <c r="K436" s="371"/>
      <c r="L436" s="371"/>
      <c r="M436" s="371"/>
      <c r="N436" s="371"/>
      <c r="O436" s="371"/>
      <c r="P436" s="371"/>
      <c r="Q436" s="371"/>
    </row>
    <row r="437">
      <c r="A437" s="573">
        <v>190.0</v>
      </c>
      <c r="B437" s="574" t="b">
        <v>0</v>
      </c>
      <c r="C437" s="595"/>
      <c r="D437" s="576"/>
      <c r="E437" s="589"/>
      <c r="F437" s="578"/>
      <c r="G437" s="579"/>
      <c r="H437" s="579"/>
      <c r="I437" s="580"/>
      <c r="J437" s="371"/>
      <c r="K437" s="371"/>
      <c r="L437" s="371"/>
      <c r="M437" s="371"/>
      <c r="N437" s="371"/>
      <c r="O437" s="371"/>
      <c r="P437" s="371"/>
      <c r="Q437" s="371"/>
    </row>
    <row r="438">
      <c r="A438" s="581">
        <v>191.0</v>
      </c>
      <c r="B438" s="582" t="b">
        <v>0</v>
      </c>
      <c r="C438" s="594"/>
      <c r="D438" s="584"/>
      <c r="E438" s="585"/>
      <c r="F438" s="586"/>
      <c r="G438" s="587"/>
      <c r="H438" s="587"/>
      <c r="I438" s="592"/>
      <c r="J438" s="371"/>
      <c r="K438" s="371"/>
      <c r="L438" s="371"/>
      <c r="M438" s="371"/>
      <c r="N438" s="371"/>
      <c r="O438" s="371"/>
      <c r="P438" s="371"/>
      <c r="Q438" s="371"/>
    </row>
    <row r="439">
      <c r="A439" s="573">
        <v>192.0</v>
      </c>
      <c r="B439" s="574" t="b">
        <v>0</v>
      </c>
      <c r="C439" s="595"/>
      <c r="D439" s="576"/>
      <c r="E439" s="589"/>
      <c r="F439" s="578"/>
      <c r="G439" s="579"/>
      <c r="H439" s="579"/>
      <c r="I439" s="580"/>
      <c r="J439" s="371"/>
      <c r="K439" s="371"/>
      <c r="L439" s="371"/>
      <c r="M439" s="371"/>
      <c r="N439" s="371"/>
      <c r="O439" s="371"/>
      <c r="P439" s="371"/>
      <c r="Q439" s="371"/>
    </row>
    <row r="440">
      <c r="A440" s="581">
        <v>193.0</v>
      </c>
      <c r="B440" s="582" t="b">
        <v>0</v>
      </c>
      <c r="C440" s="594"/>
      <c r="D440" s="584"/>
      <c r="E440" s="585"/>
      <c r="F440" s="586"/>
      <c r="G440" s="587"/>
      <c r="H440" s="587"/>
      <c r="I440" s="592"/>
      <c r="J440" s="371"/>
      <c r="K440" s="371"/>
      <c r="L440" s="371"/>
      <c r="M440" s="371"/>
      <c r="N440" s="371"/>
      <c r="O440" s="371"/>
      <c r="P440" s="371"/>
      <c r="Q440" s="371"/>
    </row>
    <row r="441">
      <c r="A441" s="573">
        <v>194.0</v>
      </c>
      <c r="B441" s="574" t="b">
        <v>0</v>
      </c>
      <c r="C441" s="595"/>
      <c r="D441" s="576"/>
      <c r="E441" s="589"/>
      <c r="F441" s="578"/>
      <c r="G441" s="579"/>
      <c r="H441" s="579"/>
      <c r="I441" s="580"/>
      <c r="J441" s="371"/>
      <c r="K441" s="371"/>
      <c r="L441" s="371"/>
      <c r="M441" s="371"/>
      <c r="N441" s="371"/>
      <c r="O441" s="371"/>
      <c r="P441" s="371"/>
      <c r="Q441" s="371"/>
    </row>
    <row r="442">
      <c r="A442" s="581">
        <v>195.0</v>
      </c>
      <c r="B442" s="582" t="b">
        <v>0</v>
      </c>
      <c r="C442" s="594"/>
      <c r="D442" s="584"/>
      <c r="E442" s="585"/>
      <c r="F442" s="586"/>
      <c r="G442" s="587"/>
      <c r="H442" s="587"/>
      <c r="I442" s="592"/>
      <c r="J442" s="371"/>
      <c r="K442" s="371"/>
      <c r="L442" s="371"/>
      <c r="M442" s="371"/>
      <c r="N442" s="371"/>
      <c r="O442" s="371"/>
      <c r="P442" s="371"/>
      <c r="Q442" s="371"/>
    </row>
    <row r="443">
      <c r="A443" s="573">
        <v>196.0</v>
      </c>
      <c r="B443" s="574" t="b">
        <v>0</v>
      </c>
      <c r="C443" s="595"/>
      <c r="D443" s="576"/>
      <c r="E443" s="589"/>
      <c r="F443" s="578"/>
      <c r="G443" s="579"/>
      <c r="H443" s="579"/>
      <c r="I443" s="580"/>
      <c r="J443" s="371"/>
      <c r="K443" s="371"/>
      <c r="L443" s="371"/>
      <c r="M443" s="371"/>
      <c r="N443" s="371"/>
      <c r="O443" s="371"/>
      <c r="P443" s="371"/>
      <c r="Q443" s="371"/>
    </row>
    <row r="444">
      <c r="A444" s="581">
        <v>197.0</v>
      </c>
      <c r="B444" s="582" t="b">
        <v>0</v>
      </c>
      <c r="C444" s="594"/>
      <c r="D444" s="584"/>
      <c r="E444" s="585"/>
      <c r="F444" s="586"/>
      <c r="G444" s="587"/>
      <c r="H444" s="587"/>
      <c r="I444" s="592"/>
      <c r="J444" s="371"/>
      <c r="K444" s="371"/>
      <c r="L444" s="371"/>
      <c r="M444" s="371"/>
      <c r="N444" s="371"/>
      <c r="O444" s="371"/>
      <c r="P444" s="371"/>
      <c r="Q444" s="371"/>
    </row>
    <row r="445">
      <c r="A445" s="573">
        <v>198.0</v>
      </c>
      <c r="B445" s="574" t="b">
        <v>0</v>
      </c>
      <c r="C445" s="595"/>
      <c r="D445" s="576"/>
      <c r="E445" s="589"/>
      <c r="F445" s="578"/>
      <c r="G445" s="579"/>
      <c r="H445" s="579"/>
      <c r="I445" s="580"/>
      <c r="J445" s="371"/>
      <c r="K445" s="371"/>
      <c r="L445" s="371"/>
      <c r="M445" s="371"/>
      <c r="N445" s="371"/>
      <c r="O445" s="371"/>
      <c r="P445" s="371"/>
      <c r="Q445" s="371"/>
    </row>
    <row r="446">
      <c r="A446" s="581">
        <v>199.0</v>
      </c>
      <c r="B446" s="582" t="b">
        <v>0</v>
      </c>
      <c r="C446" s="594"/>
      <c r="D446" s="584"/>
      <c r="E446" s="585"/>
      <c r="F446" s="586"/>
      <c r="G446" s="587"/>
      <c r="H446" s="587"/>
      <c r="I446" s="592"/>
      <c r="J446" s="371"/>
      <c r="K446" s="371"/>
      <c r="L446" s="371"/>
      <c r="M446" s="371"/>
      <c r="N446" s="371"/>
      <c r="O446" s="371"/>
      <c r="P446" s="371"/>
      <c r="Q446" s="371"/>
    </row>
    <row r="447">
      <c r="A447" s="573">
        <v>200.0</v>
      </c>
      <c r="B447" s="574" t="b">
        <v>0</v>
      </c>
      <c r="C447" s="595"/>
      <c r="D447" s="576"/>
      <c r="E447" s="589"/>
      <c r="F447" s="578"/>
      <c r="G447" s="579"/>
      <c r="H447" s="579"/>
      <c r="I447" s="580"/>
      <c r="J447" s="371"/>
      <c r="K447" s="371"/>
      <c r="L447" s="371"/>
      <c r="M447" s="371"/>
      <c r="N447" s="371"/>
      <c r="O447" s="371"/>
      <c r="P447" s="371"/>
      <c r="Q447" s="371"/>
    </row>
    <row r="448">
      <c r="A448" s="581">
        <v>201.0</v>
      </c>
      <c r="B448" s="582" t="b">
        <v>0</v>
      </c>
      <c r="C448" s="594"/>
      <c r="D448" s="584"/>
      <c r="E448" s="585"/>
      <c r="F448" s="586"/>
      <c r="G448" s="587"/>
      <c r="H448" s="587"/>
      <c r="I448" s="592"/>
      <c r="J448" s="371"/>
      <c r="K448" s="371"/>
      <c r="L448" s="371"/>
      <c r="M448" s="371"/>
      <c r="N448" s="371"/>
      <c r="O448" s="371"/>
      <c r="P448" s="371"/>
      <c r="Q448" s="371"/>
    </row>
    <row r="449">
      <c r="A449" s="573">
        <v>202.0</v>
      </c>
      <c r="B449" s="574" t="b">
        <v>0</v>
      </c>
      <c r="C449" s="595"/>
      <c r="D449" s="576"/>
      <c r="E449" s="589"/>
      <c r="F449" s="578"/>
      <c r="G449" s="579"/>
      <c r="H449" s="579"/>
      <c r="I449" s="580"/>
      <c r="J449" s="371"/>
      <c r="K449" s="371"/>
      <c r="L449" s="371"/>
      <c r="M449" s="371"/>
      <c r="N449" s="371"/>
      <c r="O449" s="371"/>
      <c r="P449" s="371"/>
      <c r="Q449" s="371"/>
    </row>
    <row r="450">
      <c r="A450" s="581">
        <v>203.0</v>
      </c>
      <c r="B450" s="582" t="b">
        <v>0</v>
      </c>
      <c r="C450" s="594"/>
      <c r="D450" s="584"/>
      <c r="E450" s="585"/>
      <c r="F450" s="586"/>
      <c r="G450" s="587"/>
      <c r="H450" s="587"/>
      <c r="I450" s="592"/>
      <c r="J450" s="371"/>
      <c r="K450" s="371"/>
      <c r="L450" s="371"/>
      <c r="M450" s="371"/>
      <c r="N450" s="371"/>
      <c r="O450" s="371"/>
      <c r="P450" s="371"/>
      <c r="Q450" s="371"/>
    </row>
    <row r="451">
      <c r="A451" s="573">
        <v>204.0</v>
      </c>
      <c r="B451" s="574" t="b">
        <v>0</v>
      </c>
      <c r="C451" s="595"/>
      <c r="D451" s="576"/>
      <c r="E451" s="589"/>
      <c r="F451" s="578"/>
      <c r="G451" s="579"/>
      <c r="H451" s="579"/>
      <c r="I451" s="580"/>
      <c r="J451" s="371"/>
      <c r="K451" s="371"/>
      <c r="L451" s="371"/>
      <c r="M451" s="371"/>
      <c r="N451" s="371"/>
      <c r="O451" s="371"/>
      <c r="P451" s="371"/>
      <c r="Q451" s="371"/>
    </row>
    <row r="452">
      <c r="A452" s="581">
        <v>205.0</v>
      </c>
      <c r="B452" s="582" t="b">
        <v>0</v>
      </c>
      <c r="C452" s="594"/>
      <c r="D452" s="584"/>
      <c r="E452" s="585"/>
      <c r="F452" s="586"/>
      <c r="G452" s="587"/>
      <c r="H452" s="587"/>
      <c r="I452" s="592"/>
      <c r="J452" s="371"/>
      <c r="K452" s="371"/>
      <c r="L452" s="371"/>
      <c r="M452" s="371"/>
      <c r="N452" s="371"/>
      <c r="O452" s="371"/>
      <c r="P452" s="371"/>
      <c r="Q452" s="371"/>
    </row>
    <row r="453">
      <c r="A453" s="573">
        <v>206.0</v>
      </c>
      <c r="B453" s="574" t="b">
        <v>0</v>
      </c>
      <c r="C453" s="595"/>
      <c r="D453" s="576"/>
      <c r="E453" s="589"/>
      <c r="F453" s="578"/>
      <c r="G453" s="579"/>
      <c r="H453" s="579"/>
      <c r="I453" s="580"/>
      <c r="J453" s="371"/>
      <c r="K453" s="371"/>
      <c r="L453" s="371"/>
      <c r="M453" s="371"/>
      <c r="N453" s="371"/>
      <c r="O453" s="371"/>
      <c r="P453" s="371"/>
      <c r="Q453" s="371"/>
    </row>
    <row r="454">
      <c r="A454" s="581">
        <v>207.0</v>
      </c>
      <c r="B454" s="582" t="b">
        <v>0</v>
      </c>
      <c r="C454" s="594"/>
      <c r="D454" s="584"/>
      <c r="E454" s="585"/>
      <c r="F454" s="586"/>
      <c r="G454" s="587"/>
      <c r="H454" s="587"/>
      <c r="I454" s="592"/>
      <c r="J454" s="371"/>
      <c r="K454" s="371"/>
      <c r="L454" s="371"/>
      <c r="M454" s="371"/>
      <c r="N454" s="371"/>
      <c r="O454" s="371"/>
      <c r="P454" s="371"/>
      <c r="Q454" s="371"/>
    </row>
    <row r="455">
      <c r="A455" s="573">
        <v>208.0</v>
      </c>
      <c r="B455" s="574" t="b">
        <v>0</v>
      </c>
      <c r="C455" s="595"/>
      <c r="D455" s="576"/>
      <c r="E455" s="589"/>
      <c r="F455" s="578"/>
      <c r="G455" s="579"/>
      <c r="H455" s="579"/>
      <c r="I455" s="580"/>
      <c r="J455" s="371"/>
      <c r="K455" s="371"/>
      <c r="L455" s="371"/>
      <c r="M455" s="371"/>
      <c r="N455" s="371"/>
      <c r="O455" s="371"/>
      <c r="P455" s="371"/>
      <c r="Q455" s="371"/>
    </row>
    <row r="456">
      <c r="A456" s="581">
        <v>209.0</v>
      </c>
      <c r="B456" s="582" t="b">
        <v>0</v>
      </c>
      <c r="C456" s="594"/>
      <c r="D456" s="584"/>
      <c r="E456" s="585"/>
      <c r="F456" s="586"/>
      <c r="G456" s="587"/>
      <c r="H456" s="587"/>
      <c r="I456" s="592"/>
      <c r="J456" s="371"/>
      <c r="K456" s="371"/>
      <c r="L456" s="371"/>
      <c r="M456" s="371"/>
      <c r="N456" s="371"/>
      <c r="O456" s="371"/>
      <c r="P456" s="371"/>
      <c r="Q456" s="371"/>
    </row>
    <row r="457">
      <c r="A457" s="573">
        <v>210.0</v>
      </c>
      <c r="B457" s="574" t="b">
        <v>0</v>
      </c>
      <c r="C457" s="595"/>
      <c r="D457" s="576"/>
      <c r="E457" s="589"/>
      <c r="F457" s="578"/>
      <c r="G457" s="579"/>
      <c r="H457" s="579"/>
      <c r="I457" s="580"/>
      <c r="J457" s="371"/>
      <c r="K457" s="371"/>
      <c r="L457" s="371"/>
      <c r="M457" s="371"/>
      <c r="N457" s="371"/>
      <c r="O457" s="371"/>
      <c r="P457" s="371"/>
      <c r="Q457" s="371"/>
    </row>
    <row r="458">
      <c r="A458" s="581">
        <v>211.0</v>
      </c>
      <c r="B458" s="582" t="b">
        <v>0</v>
      </c>
      <c r="C458" s="594"/>
      <c r="D458" s="584"/>
      <c r="E458" s="585"/>
      <c r="F458" s="586"/>
      <c r="G458" s="587"/>
      <c r="H458" s="587"/>
      <c r="I458" s="592"/>
      <c r="J458" s="371"/>
      <c r="K458" s="371"/>
      <c r="L458" s="371"/>
      <c r="M458" s="371"/>
      <c r="N458" s="371"/>
      <c r="O458" s="371"/>
      <c r="P458" s="371"/>
      <c r="Q458" s="371"/>
    </row>
    <row r="459">
      <c r="A459" s="573">
        <v>212.0</v>
      </c>
      <c r="B459" s="574" t="b">
        <v>0</v>
      </c>
      <c r="C459" s="595"/>
      <c r="D459" s="576"/>
      <c r="E459" s="589"/>
      <c r="F459" s="578"/>
      <c r="G459" s="579"/>
      <c r="H459" s="579"/>
      <c r="I459" s="580"/>
      <c r="J459" s="371"/>
      <c r="K459" s="371"/>
      <c r="L459" s="371"/>
      <c r="M459" s="371"/>
      <c r="N459" s="371"/>
      <c r="O459" s="371"/>
      <c r="P459" s="371"/>
      <c r="Q459" s="371"/>
    </row>
    <row r="460">
      <c r="A460" s="581">
        <v>213.0</v>
      </c>
      <c r="B460" s="582" t="b">
        <v>0</v>
      </c>
      <c r="C460" s="594"/>
      <c r="D460" s="584"/>
      <c r="E460" s="585"/>
      <c r="F460" s="586"/>
      <c r="G460" s="587"/>
      <c r="H460" s="587"/>
      <c r="I460" s="592"/>
      <c r="J460" s="371"/>
      <c r="K460" s="371"/>
      <c r="L460" s="371"/>
      <c r="M460" s="371"/>
      <c r="N460" s="371"/>
      <c r="O460" s="371"/>
      <c r="P460" s="371"/>
      <c r="Q460" s="371"/>
    </row>
    <row r="461">
      <c r="A461" s="573">
        <v>214.0</v>
      </c>
      <c r="B461" s="574" t="b">
        <v>0</v>
      </c>
      <c r="C461" s="595"/>
      <c r="D461" s="576"/>
      <c r="E461" s="589"/>
      <c r="F461" s="578"/>
      <c r="G461" s="579"/>
      <c r="H461" s="579"/>
      <c r="I461" s="580"/>
      <c r="J461" s="371"/>
      <c r="K461" s="371"/>
      <c r="L461" s="371"/>
      <c r="M461" s="371"/>
      <c r="N461" s="371"/>
      <c r="O461" s="371"/>
      <c r="P461" s="371"/>
      <c r="Q461" s="371"/>
    </row>
    <row r="462">
      <c r="A462" s="581">
        <v>215.0</v>
      </c>
      <c r="B462" s="582" t="b">
        <v>0</v>
      </c>
      <c r="C462" s="594"/>
      <c r="D462" s="584"/>
      <c r="E462" s="585"/>
      <c r="F462" s="586"/>
      <c r="G462" s="587"/>
      <c r="H462" s="587"/>
      <c r="I462" s="592"/>
      <c r="J462" s="371"/>
      <c r="K462" s="371"/>
      <c r="L462" s="371"/>
      <c r="M462" s="371"/>
      <c r="N462" s="371"/>
      <c r="O462" s="371"/>
      <c r="P462" s="371"/>
      <c r="Q462" s="371"/>
    </row>
    <row r="463">
      <c r="A463" s="573">
        <v>216.0</v>
      </c>
      <c r="B463" s="574" t="b">
        <v>0</v>
      </c>
      <c r="C463" s="595"/>
      <c r="D463" s="576"/>
      <c r="E463" s="589"/>
      <c r="F463" s="578"/>
      <c r="G463" s="579"/>
      <c r="H463" s="579"/>
      <c r="I463" s="580"/>
      <c r="J463" s="371"/>
      <c r="K463" s="371"/>
      <c r="L463" s="371"/>
      <c r="M463" s="371"/>
      <c r="N463" s="371"/>
      <c r="O463" s="371"/>
      <c r="P463" s="371"/>
      <c r="Q463" s="371"/>
    </row>
    <row r="464">
      <c r="A464" s="581">
        <v>217.0</v>
      </c>
      <c r="B464" s="582" t="b">
        <v>0</v>
      </c>
      <c r="C464" s="594"/>
      <c r="D464" s="584"/>
      <c r="E464" s="585"/>
      <c r="F464" s="586"/>
      <c r="G464" s="587"/>
      <c r="H464" s="587"/>
      <c r="I464" s="592"/>
      <c r="J464" s="371"/>
      <c r="K464" s="371"/>
      <c r="L464" s="371"/>
      <c r="M464" s="371"/>
      <c r="N464" s="371"/>
      <c r="O464" s="371"/>
      <c r="P464" s="371"/>
      <c r="Q464" s="371"/>
    </row>
    <row r="465">
      <c r="A465" s="573">
        <v>218.0</v>
      </c>
      <c r="B465" s="574" t="b">
        <v>0</v>
      </c>
      <c r="C465" s="595"/>
      <c r="D465" s="576"/>
      <c r="E465" s="589"/>
      <c r="F465" s="578"/>
      <c r="G465" s="579"/>
      <c r="H465" s="579"/>
      <c r="I465" s="580"/>
      <c r="J465" s="371"/>
      <c r="K465" s="371"/>
      <c r="L465" s="371"/>
      <c r="M465" s="371"/>
      <c r="N465" s="371"/>
      <c r="O465" s="371"/>
      <c r="P465" s="371"/>
      <c r="Q465" s="371"/>
    </row>
    <row r="466">
      <c r="A466" s="581">
        <v>219.0</v>
      </c>
      <c r="B466" s="582" t="b">
        <v>0</v>
      </c>
      <c r="C466" s="594"/>
      <c r="D466" s="584"/>
      <c r="E466" s="585"/>
      <c r="F466" s="586"/>
      <c r="G466" s="587"/>
      <c r="H466" s="587"/>
      <c r="I466" s="592"/>
      <c r="J466" s="371"/>
      <c r="K466" s="371"/>
      <c r="L466" s="371"/>
      <c r="M466" s="371"/>
      <c r="N466" s="371"/>
      <c r="O466" s="371"/>
      <c r="P466" s="371"/>
      <c r="Q466" s="371"/>
    </row>
    <row r="467">
      <c r="A467" s="573">
        <v>220.0</v>
      </c>
      <c r="B467" s="574" t="b">
        <v>0</v>
      </c>
      <c r="C467" s="595"/>
      <c r="D467" s="576"/>
      <c r="E467" s="589"/>
      <c r="F467" s="578"/>
      <c r="G467" s="579"/>
      <c r="H467" s="579"/>
      <c r="I467" s="580"/>
      <c r="J467" s="371"/>
      <c r="K467" s="371"/>
      <c r="L467" s="371"/>
      <c r="M467" s="371"/>
      <c r="N467" s="371"/>
      <c r="O467" s="371"/>
      <c r="P467" s="371"/>
      <c r="Q467" s="371"/>
    </row>
    <row r="468">
      <c r="A468" s="581">
        <v>221.0</v>
      </c>
      <c r="B468" s="582" t="b">
        <v>0</v>
      </c>
      <c r="C468" s="594"/>
      <c r="D468" s="584"/>
      <c r="E468" s="585"/>
      <c r="F468" s="586"/>
      <c r="G468" s="587"/>
      <c r="H468" s="587"/>
      <c r="I468" s="592"/>
      <c r="J468" s="371"/>
      <c r="K468" s="371"/>
      <c r="L468" s="371"/>
      <c r="M468" s="371"/>
      <c r="N468" s="371"/>
      <c r="O468" s="371"/>
      <c r="P468" s="371"/>
      <c r="Q468" s="371"/>
    </row>
    <row r="469">
      <c r="A469" s="573">
        <v>222.0</v>
      </c>
      <c r="B469" s="574" t="b">
        <v>0</v>
      </c>
      <c r="C469" s="595"/>
      <c r="D469" s="576"/>
      <c r="E469" s="589"/>
      <c r="F469" s="578"/>
      <c r="G469" s="579"/>
      <c r="H469" s="579"/>
      <c r="I469" s="580"/>
      <c r="J469" s="371"/>
      <c r="K469" s="371"/>
      <c r="L469" s="371"/>
      <c r="M469" s="371"/>
      <c r="N469" s="371"/>
      <c r="O469" s="371"/>
      <c r="P469" s="371"/>
      <c r="Q469" s="371"/>
    </row>
    <row r="470">
      <c r="A470" s="581">
        <v>223.0</v>
      </c>
      <c r="B470" s="582" t="b">
        <v>0</v>
      </c>
      <c r="C470" s="594"/>
      <c r="D470" s="584"/>
      <c r="E470" s="585"/>
      <c r="F470" s="586"/>
      <c r="G470" s="587"/>
      <c r="H470" s="587"/>
      <c r="I470" s="592"/>
      <c r="J470" s="371"/>
      <c r="K470" s="371"/>
      <c r="L470" s="371"/>
      <c r="M470" s="371"/>
      <c r="N470" s="371"/>
      <c r="O470" s="371"/>
      <c r="P470" s="371"/>
      <c r="Q470" s="371"/>
    </row>
    <row r="471">
      <c r="A471" s="573">
        <v>224.0</v>
      </c>
      <c r="B471" s="574" t="b">
        <v>0</v>
      </c>
      <c r="C471" s="595"/>
      <c r="D471" s="576"/>
      <c r="E471" s="589"/>
      <c r="F471" s="578"/>
      <c r="G471" s="579"/>
      <c r="H471" s="579"/>
      <c r="I471" s="580"/>
      <c r="J471" s="371"/>
      <c r="K471" s="371"/>
      <c r="L471" s="371"/>
      <c r="M471" s="371"/>
      <c r="N471" s="371"/>
      <c r="O471" s="371"/>
      <c r="P471" s="371"/>
      <c r="Q471" s="371"/>
    </row>
    <row r="472">
      <c r="A472" s="581">
        <v>225.0</v>
      </c>
      <c r="B472" s="582" t="b">
        <v>0</v>
      </c>
      <c r="C472" s="594"/>
      <c r="D472" s="584"/>
      <c r="E472" s="585"/>
      <c r="F472" s="586"/>
      <c r="G472" s="587"/>
      <c r="H472" s="587"/>
      <c r="I472" s="592"/>
      <c r="J472" s="371"/>
      <c r="K472" s="371"/>
      <c r="L472" s="371"/>
      <c r="M472" s="371"/>
      <c r="N472" s="371"/>
      <c r="O472" s="371"/>
      <c r="P472" s="371"/>
      <c r="Q472" s="371"/>
    </row>
    <row r="473">
      <c r="A473" s="573">
        <v>226.0</v>
      </c>
      <c r="B473" s="574" t="b">
        <v>0</v>
      </c>
      <c r="C473" s="595"/>
      <c r="D473" s="576"/>
      <c r="E473" s="589"/>
      <c r="F473" s="578"/>
      <c r="G473" s="579"/>
      <c r="H473" s="579"/>
      <c r="I473" s="580"/>
      <c r="J473" s="371"/>
      <c r="K473" s="371"/>
      <c r="L473" s="371"/>
      <c r="M473" s="371"/>
      <c r="N473" s="371"/>
      <c r="O473" s="371"/>
      <c r="P473" s="371"/>
      <c r="Q473" s="371"/>
    </row>
    <row r="474">
      <c r="A474" s="581">
        <v>227.0</v>
      </c>
      <c r="B474" s="582" t="b">
        <v>0</v>
      </c>
      <c r="C474" s="594"/>
      <c r="D474" s="584"/>
      <c r="E474" s="585"/>
      <c r="F474" s="586"/>
      <c r="G474" s="587"/>
      <c r="H474" s="587"/>
      <c r="I474" s="592"/>
      <c r="J474" s="371"/>
      <c r="K474" s="371"/>
      <c r="L474" s="371"/>
      <c r="M474" s="371"/>
      <c r="N474" s="371"/>
      <c r="O474" s="371"/>
      <c r="P474" s="371"/>
      <c r="Q474" s="371"/>
    </row>
    <row r="475">
      <c r="A475" s="573">
        <v>228.0</v>
      </c>
      <c r="B475" s="574" t="b">
        <v>0</v>
      </c>
      <c r="C475" s="595"/>
      <c r="D475" s="576"/>
      <c r="E475" s="589"/>
      <c r="F475" s="578"/>
      <c r="G475" s="579"/>
      <c r="H475" s="579"/>
      <c r="I475" s="580"/>
      <c r="J475" s="371"/>
      <c r="K475" s="371"/>
      <c r="L475" s="371"/>
      <c r="M475" s="371"/>
      <c r="N475" s="371"/>
      <c r="O475" s="371"/>
      <c r="P475" s="371"/>
      <c r="Q475" s="371"/>
    </row>
    <row r="476">
      <c r="A476" s="581">
        <v>229.0</v>
      </c>
      <c r="B476" s="582" t="b">
        <v>0</v>
      </c>
      <c r="C476" s="594"/>
      <c r="D476" s="584"/>
      <c r="E476" s="585"/>
      <c r="F476" s="586"/>
      <c r="G476" s="587"/>
      <c r="H476" s="587"/>
      <c r="I476" s="592"/>
      <c r="J476" s="371"/>
      <c r="K476" s="371"/>
      <c r="L476" s="371"/>
      <c r="M476" s="371"/>
      <c r="N476" s="371"/>
      <c r="O476" s="371"/>
      <c r="P476" s="371"/>
      <c r="Q476" s="371"/>
    </row>
    <row r="477">
      <c r="A477" s="573">
        <v>230.0</v>
      </c>
      <c r="B477" s="574" t="b">
        <v>0</v>
      </c>
      <c r="C477" s="595"/>
      <c r="D477" s="576"/>
      <c r="E477" s="589"/>
      <c r="F477" s="578"/>
      <c r="G477" s="579"/>
      <c r="H477" s="579"/>
      <c r="I477" s="580"/>
      <c r="J477" s="371"/>
      <c r="K477" s="371"/>
      <c r="L477" s="371"/>
      <c r="M477" s="371"/>
      <c r="N477" s="371"/>
      <c r="O477" s="371"/>
      <c r="P477" s="371"/>
      <c r="Q477" s="371"/>
    </row>
    <row r="478">
      <c r="A478" s="581">
        <v>231.0</v>
      </c>
      <c r="B478" s="582" t="b">
        <v>0</v>
      </c>
      <c r="C478" s="594"/>
      <c r="D478" s="584"/>
      <c r="E478" s="585"/>
      <c r="F478" s="586"/>
      <c r="G478" s="587"/>
      <c r="H478" s="587"/>
      <c r="I478" s="592"/>
      <c r="J478" s="371"/>
      <c r="K478" s="371"/>
      <c r="L478" s="371"/>
      <c r="M478" s="371"/>
      <c r="N478" s="371"/>
      <c r="O478" s="371"/>
      <c r="P478" s="371"/>
      <c r="Q478" s="371"/>
    </row>
    <row r="479">
      <c r="A479" s="573">
        <v>232.0</v>
      </c>
      <c r="B479" s="574" t="b">
        <v>0</v>
      </c>
      <c r="C479" s="595"/>
      <c r="D479" s="576"/>
      <c r="E479" s="589"/>
      <c r="F479" s="578"/>
      <c r="G479" s="579"/>
      <c r="H479" s="579"/>
      <c r="I479" s="580"/>
      <c r="J479" s="371"/>
      <c r="K479" s="371"/>
      <c r="L479" s="371"/>
      <c r="M479" s="371"/>
      <c r="N479" s="371"/>
      <c r="O479" s="371"/>
      <c r="P479" s="371"/>
      <c r="Q479" s="371"/>
    </row>
    <row r="480">
      <c r="A480" s="581">
        <v>233.0</v>
      </c>
      <c r="B480" s="582" t="b">
        <v>0</v>
      </c>
      <c r="C480" s="594"/>
      <c r="D480" s="584"/>
      <c r="E480" s="585"/>
      <c r="F480" s="586"/>
      <c r="G480" s="587"/>
      <c r="H480" s="587"/>
      <c r="I480" s="592"/>
      <c r="J480" s="371"/>
      <c r="K480" s="371"/>
      <c r="L480" s="371"/>
      <c r="M480" s="371"/>
      <c r="N480" s="371"/>
      <c r="O480" s="371"/>
      <c r="P480" s="371"/>
      <c r="Q480" s="371"/>
    </row>
    <row r="481">
      <c r="A481" s="573">
        <v>234.0</v>
      </c>
      <c r="B481" s="574" t="b">
        <v>0</v>
      </c>
      <c r="C481" s="595"/>
      <c r="D481" s="576"/>
      <c r="E481" s="589"/>
      <c r="F481" s="578"/>
      <c r="G481" s="579"/>
      <c r="H481" s="579"/>
      <c r="I481" s="580"/>
      <c r="J481" s="371"/>
      <c r="K481" s="371"/>
      <c r="L481" s="371"/>
      <c r="M481" s="371"/>
      <c r="N481" s="371"/>
      <c r="O481" s="371"/>
      <c r="P481" s="371"/>
      <c r="Q481" s="371"/>
    </row>
    <row r="482">
      <c r="A482" s="581">
        <v>235.0</v>
      </c>
      <c r="B482" s="582" t="b">
        <v>0</v>
      </c>
      <c r="C482" s="594"/>
      <c r="D482" s="584"/>
      <c r="E482" s="585"/>
      <c r="F482" s="586"/>
      <c r="G482" s="587"/>
      <c r="H482" s="587"/>
      <c r="I482" s="592"/>
      <c r="J482" s="371"/>
      <c r="K482" s="371"/>
      <c r="L482" s="371"/>
      <c r="M482" s="371"/>
      <c r="N482" s="371"/>
      <c r="O482" s="371"/>
      <c r="P482" s="371"/>
      <c r="Q482" s="371"/>
    </row>
    <row r="483">
      <c r="A483" s="573">
        <v>236.0</v>
      </c>
      <c r="B483" s="574" t="b">
        <v>0</v>
      </c>
      <c r="C483" s="595"/>
      <c r="D483" s="576"/>
      <c r="E483" s="589"/>
      <c r="F483" s="578"/>
      <c r="G483" s="579"/>
      <c r="H483" s="579"/>
      <c r="I483" s="580"/>
      <c r="J483" s="371"/>
      <c r="K483" s="371"/>
      <c r="L483" s="371"/>
      <c r="M483" s="371"/>
      <c r="N483" s="371"/>
      <c r="O483" s="371"/>
      <c r="P483" s="371"/>
      <c r="Q483" s="371"/>
    </row>
    <row r="484">
      <c r="A484" s="581">
        <v>237.0</v>
      </c>
      <c r="B484" s="582" t="b">
        <v>0</v>
      </c>
      <c r="C484" s="594"/>
      <c r="D484" s="584"/>
      <c r="E484" s="585"/>
      <c r="F484" s="586"/>
      <c r="G484" s="587"/>
      <c r="H484" s="587"/>
      <c r="I484" s="592"/>
      <c r="J484" s="371"/>
      <c r="K484" s="371"/>
      <c r="L484" s="371"/>
      <c r="M484" s="371"/>
      <c r="N484" s="371"/>
      <c r="O484" s="371"/>
      <c r="P484" s="371"/>
      <c r="Q484" s="371"/>
    </row>
    <row r="485">
      <c r="A485" s="573">
        <v>238.0</v>
      </c>
      <c r="B485" s="574" t="b">
        <v>0</v>
      </c>
      <c r="C485" s="595"/>
      <c r="D485" s="576"/>
      <c r="E485" s="589"/>
      <c r="F485" s="578"/>
      <c r="G485" s="579"/>
      <c r="H485" s="579"/>
      <c r="I485" s="580"/>
      <c r="J485" s="371"/>
      <c r="K485" s="371"/>
      <c r="L485" s="371"/>
      <c r="M485" s="371"/>
      <c r="N485" s="371"/>
      <c r="O485" s="371"/>
      <c r="P485" s="371"/>
      <c r="Q485" s="371"/>
    </row>
    <row r="486">
      <c r="A486" s="636" t="s">
        <v>2707</v>
      </c>
      <c r="B486" s="634"/>
      <c r="C486" s="634"/>
      <c r="D486" s="634"/>
      <c r="E486" s="634"/>
      <c r="F486" s="634"/>
      <c r="G486" s="634"/>
      <c r="H486" s="634"/>
      <c r="I486" s="635"/>
      <c r="J486" s="371"/>
      <c r="K486" s="371"/>
      <c r="L486" s="371"/>
      <c r="M486" s="371"/>
      <c r="N486" s="371"/>
      <c r="O486" s="371"/>
      <c r="P486" s="371"/>
      <c r="Q486" s="371"/>
    </row>
    <row r="487">
      <c r="A487" s="637"/>
      <c r="B487" s="637" t="s">
        <v>0</v>
      </c>
      <c r="C487" s="638"/>
      <c r="D487" s="637" t="s">
        <v>2</v>
      </c>
      <c r="E487" s="639"/>
      <c r="F487" s="640"/>
      <c r="G487" s="637"/>
      <c r="H487" s="637"/>
      <c r="I487" s="641" t="s">
        <v>6</v>
      </c>
      <c r="J487" s="371"/>
      <c r="K487" s="371"/>
      <c r="L487" s="371"/>
      <c r="M487" s="371"/>
      <c r="N487" s="371"/>
      <c r="O487" s="371"/>
      <c r="P487" s="371"/>
      <c r="Q487" s="371"/>
    </row>
    <row r="488">
      <c r="A488" s="581">
        <v>1.0</v>
      </c>
      <c r="B488" s="582" t="b">
        <v>0</v>
      </c>
      <c r="C488" s="594"/>
      <c r="D488" s="584"/>
      <c r="E488" s="591"/>
      <c r="F488" s="586"/>
      <c r="G488" s="582" t="b">
        <v>0</v>
      </c>
      <c r="H488" s="587"/>
      <c r="I488" s="592"/>
      <c r="J488" s="371"/>
      <c r="K488" s="371"/>
      <c r="L488" s="371"/>
      <c r="M488" s="371"/>
      <c r="N488" s="371"/>
      <c r="O488" s="371"/>
      <c r="P488" s="371"/>
      <c r="Q488" s="371"/>
    </row>
    <row r="489">
      <c r="A489" s="573">
        <v>2.0</v>
      </c>
      <c r="B489" s="574" t="b">
        <v>0</v>
      </c>
      <c r="C489" s="595"/>
      <c r="D489" s="576"/>
      <c r="E489" s="589"/>
      <c r="F489" s="578"/>
      <c r="G489" s="574" t="b">
        <v>1</v>
      </c>
      <c r="H489" s="579"/>
      <c r="I489" s="580"/>
      <c r="J489" s="371"/>
      <c r="K489" s="371"/>
      <c r="L489" s="371"/>
      <c r="M489" s="371"/>
      <c r="N489" s="371"/>
      <c r="O489" s="371"/>
      <c r="P489" s="371"/>
      <c r="Q489" s="371"/>
    </row>
    <row r="490">
      <c r="A490" s="581">
        <v>3.0</v>
      </c>
      <c r="B490" s="582" t="b">
        <v>0</v>
      </c>
      <c r="C490" s="594"/>
      <c r="D490" s="584"/>
      <c r="E490" s="585"/>
      <c r="F490" s="586"/>
      <c r="G490" s="582" t="b">
        <v>1</v>
      </c>
      <c r="H490" s="587"/>
      <c r="I490" s="592"/>
      <c r="J490" s="371"/>
      <c r="K490" s="371"/>
      <c r="L490" s="371"/>
      <c r="M490" s="371"/>
      <c r="N490" s="371"/>
      <c r="O490" s="371"/>
      <c r="P490" s="371"/>
      <c r="Q490" s="371"/>
    </row>
    <row r="491">
      <c r="A491" s="573">
        <v>4.0</v>
      </c>
      <c r="B491" s="574" t="b">
        <v>1</v>
      </c>
      <c r="C491" s="595"/>
      <c r="D491" s="576"/>
      <c r="E491" s="577"/>
      <c r="F491" s="578"/>
      <c r="G491" s="574" t="b">
        <v>1</v>
      </c>
      <c r="H491" s="579"/>
      <c r="I491" s="580"/>
      <c r="J491" s="371"/>
      <c r="K491" s="371"/>
      <c r="L491" s="371"/>
      <c r="M491" s="371"/>
      <c r="N491" s="371"/>
      <c r="O491" s="371"/>
      <c r="P491" s="371"/>
      <c r="Q491" s="371"/>
    </row>
    <row r="492">
      <c r="A492" s="581">
        <v>5.0</v>
      </c>
      <c r="B492" s="582" t="b">
        <v>0</v>
      </c>
      <c r="C492" s="594"/>
      <c r="D492" s="584"/>
      <c r="E492" s="591"/>
      <c r="F492" s="586"/>
      <c r="G492" s="582" t="b">
        <v>1</v>
      </c>
      <c r="H492" s="587"/>
      <c r="I492" s="592"/>
      <c r="J492" s="371"/>
      <c r="K492" s="371"/>
      <c r="L492" s="371"/>
      <c r="M492" s="371"/>
      <c r="N492" s="371"/>
      <c r="O492" s="371"/>
      <c r="P492" s="371"/>
      <c r="Q492" s="371"/>
    </row>
    <row r="493">
      <c r="A493" s="573">
        <v>6.0</v>
      </c>
      <c r="B493" s="574" t="b">
        <v>0</v>
      </c>
      <c r="C493" s="595"/>
      <c r="D493" s="576"/>
      <c r="E493" s="589"/>
      <c r="F493" s="578"/>
      <c r="G493" s="574" t="b">
        <v>0</v>
      </c>
      <c r="H493" s="579"/>
      <c r="I493" s="580"/>
      <c r="J493" s="371"/>
      <c r="K493" s="371"/>
      <c r="L493" s="371"/>
      <c r="M493" s="371"/>
      <c r="N493" s="371"/>
      <c r="O493" s="371"/>
      <c r="P493" s="371"/>
      <c r="Q493" s="371"/>
    </row>
    <row r="494">
      <c r="A494" s="581">
        <v>7.0</v>
      </c>
      <c r="B494" s="582" t="b">
        <v>0</v>
      </c>
      <c r="C494" s="642"/>
      <c r="D494" s="584"/>
      <c r="E494" s="585"/>
      <c r="F494" s="586"/>
      <c r="G494" s="582" t="b">
        <v>0</v>
      </c>
      <c r="H494" s="587"/>
      <c r="I494" s="592"/>
      <c r="J494" s="371"/>
      <c r="K494" s="371"/>
      <c r="L494" s="371"/>
      <c r="M494" s="371"/>
      <c r="N494" s="371"/>
      <c r="O494" s="371"/>
      <c r="P494" s="371"/>
      <c r="Q494" s="371"/>
    </row>
    <row r="495">
      <c r="A495" s="573">
        <v>8.0</v>
      </c>
      <c r="B495" s="574" t="b">
        <v>0</v>
      </c>
      <c r="C495" s="631"/>
      <c r="D495" s="576"/>
      <c r="E495" s="589"/>
      <c r="F495" s="578"/>
      <c r="G495" s="574" t="b">
        <v>0</v>
      </c>
      <c r="H495" s="579"/>
      <c r="I495" s="580"/>
      <c r="J495" s="371"/>
      <c r="K495" s="371"/>
      <c r="L495" s="371"/>
      <c r="M495" s="371"/>
      <c r="N495" s="371"/>
      <c r="O495" s="371"/>
      <c r="P495" s="371"/>
      <c r="Q495" s="371"/>
    </row>
    <row r="496">
      <c r="A496" s="581">
        <v>9.0</v>
      </c>
      <c r="B496" s="582" t="b">
        <v>0</v>
      </c>
      <c r="C496" s="630"/>
      <c r="D496" s="584"/>
      <c r="E496" s="585"/>
      <c r="F496" s="586"/>
      <c r="G496" s="582" t="b">
        <v>0</v>
      </c>
      <c r="H496" s="587"/>
      <c r="I496" s="592"/>
      <c r="J496" s="371"/>
      <c r="K496" s="371"/>
      <c r="L496" s="371"/>
      <c r="M496" s="371"/>
      <c r="N496" s="371"/>
      <c r="O496" s="371"/>
      <c r="P496" s="371"/>
      <c r="Q496" s="371"/>
    </row>
    <row r="497">
      <c r="A497" s="573">
        <v>10.0</v>
      </c>
      <c r="B497" s="574" t="b">
        <v>0</v>
      </c>
      <c r="C497" s="631"/>
      <c r="D497" s="576"/>
      <c r="E497" s="589"/>
      <c r="F497" s="578"/>
      <c r="G497" s="574" t="b">
        <v>0</v>
      </c>
      <c r="H497" s="579"/>
      <c r="I497" s="580"/>
      <c r="J497" s="371"/>
      <c r="K497" s="371"/>
      <c r="L497" s="371"/>
      <c r="M497" s="371"/>
      <c r="N497" s="371"/>
      <c r="O497" s="371"/>
      <c r="P497" s="371"/>
      <c r="Q497" s="371"/>
    </row>
    <row r="498">
      <c r="A498" s="581">
        <v>11.0</v>
      </c>
      <c r="B498" s="582" t="b">
        <v>0</v>
      </c>
      <c r="C498" s="630"/>
      <c r="D498" s="584"/>
      <c r="E498" s="585"/>
      <c r="F498" s="586"/>
      <c r="G498" s="582" t="b">
        <v>0</v>
      </c>
      <c r="H498" s="587"/>
      <c r="I498" s="592"/>
      <c r="J498" s="371"/>
      <c r="K498" s="371"/>
      <c r="L498" s="371"/>
      <c r="M498" s="371"/>
      <c r="N498" s="371"/>
      <c r="O498" s="371"/>
      <c r="P498" s="371"/>
      <c r="Q498" s="371"/>
    </row>
    <row r="499">
      <c r="A499" s="573">
        <v>12.0</v>
      </c>
      <c r="B499" s="574" t="b">
        <v>0</v>
      </c>
      <c r="C499" s="631"/>
      <c r="D499" s="576"/>
      <c r="E499" s="589"/>
      <c r="F499" s="578"/>
      <c r="G499" s="574" t="b">
        <v>0</v>
      </c>
      <c r="H499" s="579"/>
      <c r="I499" s="580"/>
      <c r="J499" s="371"/>
      <c r="K499" s="371"/>
      <c r="L499" s="371"/>
      <c r="M499" s="371"/>
      <c r="N499" s="371"/>
      <c r="O499" s="371"/>
      <c r="P499" s="371"/>
      <c r="Q499" s="371"/>
    </row>
    <row r="500">
      <c r="A500" s="581">
        <v>13.0</v>
      </c>
      <c r="B500" s="582" t="b">
        <v>0</v>
      </c>
      <c r="C500" s="630"/>
      <c r="D500" s="584"/>
      <c r="E500" s="585"/>
      <c r="F500" s="586"/>
      <c r="G500" s="582" t="b">
        <v>0</v>
      </c>
      <c r="H500" s="587"/>
      <c r="I500" s="592"/>
      <c r="J500" s="371"/>
      <c r="K500" s="371"/>
      <c r="L500" s="371"/>
      <c r="M500" s="371"/>
      <c r="N500" s="371"/>
      <c r="O500" s="371"/>
      <c r="P500" s="371"/>
      <c r="Q500" s="371"/>
    </row>
    <row r="501">
      <c r="A501" s="573">
        <v>14.0</v>
      </c>
      <c r="B501" s="574" t="b">
        <v>0</v>
      </c>
      <c r="C501" s="631"/>
      <c r="D501" s="576"/>
      <c r="E501" s="589"/>
      <c r="F501" s="578"/>
      <c r="G501" s="574" t="b">
        <v>0</v>
      </c>
      <c r="H501" s="579"/>
      <c r="I501" s="580"/>
      <c r="J501" s="371"/>
      <c r="K501" s="371"/>
      <c r="L501" s="371"/>
      <c r="M501" s="371"/>
      <c r="N501" s="371"/>
      <c r="O501" s="371"/>
      <c r="P501" s="371"/>
      <c r="Q501" s="371"/>
    </row>
    <row r="502">
      <c r="A502" s="581">
        <v>15.0</v>
      </c>
      <c r="B502" s="582" t="b">
        <v>0</v>
      </c>
      <c r="C502" s="632"/>
      <c r="D502" s="584"/>
      <c r="E502" s="585"/>
      <c r="F502" s="586"/>
      <c r="G502" s="582" t="b">
        <v>0</v>
      </c>
      <c r="H502" s="587"/>
      <c r="I502" s="592"/>
      <c r="J502" s="371"/>
      <c r="K502" s="371"/>
      <c r="L502" s="371"/>
      <c r="M502" s="371"/>
      <c r="N502" s="371"/>
      <c r="O502" s="371"/>
      <c r="P502" s="371"/>
      <c r="Q502" s="371"/>
    </row>
    <row r="503">
      <c r="A503" s="573">
        <v>16.0</v>
      </c>
      <c r="B503" s="574" t="b">
        <v>0</v>
      </c>
      <c r="C503" s="595"/>
      <c r="D503" s="576"/>
      <c r="E503" s="589"/>
      <c r="F503" s="578"/>
      <c r="G503" s="574" t="b">
        <v>0</v>
      </c>
      <c r="H503" s="579"/>
      <c r="I503" s="580"/>
      <c r="J503" s="371"/>
      <c r="K503" s="371"/>
      <c r="L503" s="371"/>
      <c r="M503" s="371"/>
      <c r="N503" s="371"/>
      <c r="O503" s="371"/>
      <c r="P503" s="371"/>
      <c r="Q503" s="371"/>
    </row>
    <row r="504">
      <c r="A504" s="581">
        <v>17.0</v>
      </c>
      <c r="B504" s="582" t="b">
        <v>0</v>
      </c>
      <c r="C504" s="594"/>
      <c r="D504" s="584"/>
      <c r="E504" s="585"/>
      <c r="F504" s="586"/>
      <c r="G504" s="582" t="b">
        <v>0</v>
      </c>
      <c r="H504" s="587"/>
      <c r="I504" s="592"/>
      <c r="J504" s="371"/>
      <c r="K504" s="371"/>
      <c r="L504" s="371"/>
      <c r="M504" s="371"/>
      <c r="N504" s="371"/>
      <c r="O504" s="371"/>
      <c r="P504" s="371"/>
      <c r="Q504" s="371"/>
    </row>
    <row r="505">
      <c r="A505" s="573">
        <v>18.0</v>
      </c>
      <c r="B505" s="574" t="b">
        <v>0</v>
      </c>
      <c r="C505" s="595"/>
      <c r="D505" s="576"/>
      <c r="E505" s="589"/>
      <c r="F505" s="578"/>
      <c r="G505" s="574" t="b">
        <v>0</v>
      </c>
      <c r="H505" s="579"/>
      <c r="I505" s="580"/>
      <c r="J505" s="371"/>
      <c r="K505" s="371"/>
      <c r="L505" s="371"/>
      <c r="M505" s="371"/>
      <c r="N505" s="371"/>
      <c r="O505" s="371"/>
      <c r="P505" s="371"/>
      <c r="Q505" s="371"/>
    </row>
    <row r="506">
      <c r="A506" s="581">
        <v>19.0</v>
      </c>
      <c r="B506" s="582" t="b">
        <v>0</v>
      </c>
      <c r="C506" s="594"/>
      <c r="D506" s="584"/>
      <c r="E506" s="585"/>
      <c r="F506" s="586"/>
      <c r="G506" s="582" t="b">
        <v>0</v>
      </c>
      <c r="H506" s="587"/>
      <c r="I506" s="592"/>
      <c r="J506" s="371"/>
      <c r="K506" s="371"/>
      <c r="L506" s="371"/>
      <c r="M506" s="371"/>
      <c r="N506" s="371"/>
      <c r="O506" s="371"/>
      <c r="P506" s="371"/>
      <c r="Q506" s="371"/>
    </row>
    <row r="507">
      <c r="A507" s="573">
        <v>20.0</v>
      </c>
      <c r="B507" s="574" t="b">
        <v>0</v>
      </c>
      <c r="C507" s="595"/>
      <c r="D507" s="576"/>
      <c r="E507" s="589"/>
      <c r="F507" s="578"/>
      <c r="G507" s="574" t="b">
        <v>0</v>
      </c>
      <c r="H507" s="579"/>
      <c r="I507" s="580"/>
      <c r="J507" s="371"/>
      <c r="K507" s="371"/>
      <c r="L507" s="371"/>
      <c r="M507" s="371"/>
      <c r="N507" s="371"/>
      <c r="O507" s="371"/>
      <c r="P507" s="371"/>
      <c r="Q507" s="371"/>
    </row>
    <row r="508">
      <c r="A508" s="581">
        <v>21.0</v>
      </c>
      <c r="B508" s="582" t="b">
        <v>0</v>
      </c>
      <c r="C508" s="643"/>
      <c r="D508" s="584"/>
      <c r="E508" s="585"/>
      <c r="F508" s="586"/>
      <c r="G508" s="582" t="b">
        <v>0</v>
      </c>
      <c r="H508" s="587"/>
      <c r="I508" s="592"/>
      <c r="J508" s="371"/>
      <c r="K508" s="371"/>
      <c r="L508" s="371"/>
      <c r="M508" s="371"/>
      <c r="N508" s="371"/>
      <c r="O508" s="371"/>
      <c r="P508" s="371"/>
      <c r="Q508" s="371"/>
    </row>
    <row r="509">
      <c r="A509" s="573">
        <v>22.0</v>
      </c>
      <c r="B509" s="574" t="b">
        <v>0</v>
      </c>
      <c r="C509" s="631"/>
      <c r="D509" s="576"/>
      <c r="E509" s="589"/>
      <c r="F509" s="578"/>
      <c r="G509" s="574" t="b">
        <v>0</v>
      </c>
      <c r="H509" s="579"/>
      <c r="I509" s="580"/>
      <c r="J509" s="371"/>
      <c r="K509" s="371"/>
      <c r="L509" s="371"/>
      <c r="M509" s="371"/>
      <c r="N509" s="371"/>
      <c r="O509" s="371"/>
      <c r="P509" s="371"/>
      <c r="Q509" s="371"/>
    </row>
    <row r="510">
      <c r="A510" s="581">
        <v>23.0</v>
      </c>
      <c r="B510" s="582" t="b">
        <v>0</v>
      </c>
      <c r="C510" s="630"/>
      <c r="D510" s="584" t="s">
        <v>2130</v>
      </c>
      <c r="E510" s="585"/>
      <c r="F510" s="586"/>
      <c r="G510" s="582" t="b">
        <v>0</v>
      </c>
      <c r="H510" s="587"/>
      <c r="I510" s="592"/>
      <c r="J510" s="371"/>
      <c r="K510" s="371"/>
      <c r="L510" s="371"/>
      <c r="M510" s="371"/>
      <c r="N510" s="371"/>
      <c r="O510" s="371"/>
      <c r="P510" s="371"/>
      <c r="Q510" s="371"/>
    </row>
    <row r="511">
      <c r="A511" s="573">
        <v>24.0</v>
      </c>
      <c r="B511" s="574" t="b">
        <v>0</v>
      </c>
      <c r="C511" s="644"/>
      <c r="D511" s="576" t="s">
        <v>2133</v>
      </c>
      <c r="E511" s="589"/>
      <c r="F511" s="578"/>
      <c r="G511" s="574" t="b">
        <v>0</v>
      </c>
      <c r="H511" s="579"/>
      <c r="I511" s="580"/>
      <c r="J511" s="371"/>
      <c r="K511" s="371"/>
      <c r="L511" s="371"/>
      <c r="M511" s="371"/>
      <c r="N511" s="371"/>
      <c r="O511" s="371"/>
      <c r="P511" s="371"/>
      <c r="Q511" s="371"/>
    </row>
    <row r="512">
      <c r="A512" s="581">
        <v>25.0</v>
      </c>
      <c r="B512" s="582" t="b">
        <v>0</v>
      </c>
      <c r="C512" s="594"/>
      <c r="D512" s="584"/>
      <c r="E512" s="585"/>
      <c r="F512" s="586"/>
      <c r="G512" s="582" t="b">
        <v>0</v>
      </c>
      <c r="H512" s="587"/>
      <c r="I512" s="592"/>
      <c r="J512" s="371"/>
      <c r="K512" s="371"/>
      <c r="L512" s="371"/>
      <c r="M512" s="371"/>
      <c r="N512" s="371"/>
      <c r="O512" s="371"/>
      <c r="P512" s="371"/>
      <c r="Q512" s="371"/>
    </row>
    <row r="513">
      <c r="A513" s="573">
        <v>26.0</v>
      </c>
      <c r="B513" s="574" t="b">
        <v>0</v>
      </c>
      <c r="C513" s="595"/>
      <c r="D513" s="576"/>
      <c r="E513" s="589"/>
      <c r="F513" s="578"/>
      <c r="G513" s="574" t="b">
        <v>1</v>
      </c>
      <c r="H513" s="579"/>
      <c r="I513" s="580"/>
      <c r="J513" s="371"/>
      <c r="K513" s="371"/>
      <c r="L513" s="371"/>
      <c r="M513" s="371"/>
      <c r="N513" s="371"/>
      <c r="O513" s="371"/>
      <c r="P513" s="371"/>
      <c r="Q513" s="371"/>
    </row>
    <row r="514">
      <c r="A514" s="581">
        <v>27.0</v>
      </c>
      <c r="B514" s="582" t="b">
        <v>0</v>
      </c>
      <c r="C514" s="594"/>
      <c r="D514" s="584"/>
      <c r="E514" s="585"/>
      <c r="F514" s="586"/>
      <c r="G514" s="582" t="b">
        <v>1</v>
      </c>
      <c r="H514" s="587"/>
      <c r="I514" s="592"/>
      <c r="J514" s="371"/>
      <c r="K514" s="371"/>
      <c r="L514" s="371"/>
      <c r="M514" s="371"/>
      <c r="N514" s="371"/>
      <c r="O514" s="371"/>
      <c r="P514" s="371"/>
      <c r="Q514" s="371"/>
    </row>
    <row r="515">
      <c r="A515" s="573">
        <v>28.0</v>
      </c>
      <c r="B515" s="574" t="b">
        <v>0</v>
      </c>
      <c r="C515" s="595"/>
      <c r="D515" s="576"/>
      <c r="E515" s="589"/>
      <c r="F515" s="578"/>
      <c r="G515" s="574" t="b">
        <v>1</v>
      </c>
      <c r="H515" s="579"/>
      <c r="I515" s="580"/>
      <c r="J515" s="371"/>
      <c r="K515" s="371"/>
      <c r="L515" s="371"/>
      <c r="M515" s="371"/>
      <c r="N515" s="371"/>
      <c r="O515" s="371"/>
      <c r="P515" s="371"/>
      <c r="Q515" s="371"/>
    </row>
    <row r="516">
      <c r="A516" s="581">
        <v>29.0</v>
      </c>
      <c r="B516" s="582" t="b">
        <v>0</v>
      </c>
      <c r="C516" s="594"/>
      <c r="D516" s="584"/>
      <c r="E516" s="585"/>
      <c r="F516" s="586"/>
      <c r="G516" s="582" t="b">
        <v>1</v>
      </c>
      <c r="H516" s="587"/>
      <c r="I516" s="592"/>
      <c r="J516" s="371"/>
      <c r="K516" s="371"/>
      <c r="L516" s="371"/>
      <c r="M516" s="371"/>
      <c r="N516" s="371"/>
      <c r="O516" s="371"/>
      <c r="P516" s="371"/>
      <c r="Q516" s="371"/>
    </row>
    <row r="517">
      <c r="A517" s="573">
        <v>30.0</v>
      </c>
      <c r="B517" s="574" t="b">
        <v>0</v>
      </c>
      <c r="C517" s="595"/>
      <c r="D517" s="576"/>
      <c r="E517" s="589"/>
      <c r="F517" s="578"/>
      <c r="G517" s="574" t="b">
        <v>1</v>
      </c>
      <c r="H517" s="579"/>
      <c r="I517" s="580"/>
      <c r="J517" s="371"/>
      <c r="K517" s="371"/>
      <c r="L517" s="371"/>
      <c r="M517" s="371"/>
      <c r="N517" s="371"/>
      <c r="O517" s="371"/>
      <c r="P517" s="371"/>
      <c r="Q517" s="371"/>
    </row>
    <row r="518">
      <c r="A518" s="581">
        <v>31.0</v>
      </c>
      <c r="B518" s="582" t="b">
        <v>0</v>
      </c>
      <c r="C518" s="594"/>
      <c r="D518" s="584"/>
      <c r="E518" s="585"/>
      <c r="F518" s="586"/>
      <c r="G518" s="582" t="b">
        <v>0</v>
      </c>
      <c r="H518" s="587"/>
      <c r="I518" s="592"/>
      <c r="J518" s="371"/>
      <c r="K518" s="371"/>
      <c r="L518" s="371"/>
      <c r="M518" s="371"/>
      <c r="N518" s="371"/>
      <c r="O518" s="371"/>
      <c r="P518" s="371"/>
      <c r="Q518" s="371"/>
    </row>
    <row r="519">
      <c r="A519" s="573">
        <v>32.0</v>
      </c>
      <c r="B519" s="574" t="b">
        <v>0</v>
      </c>
      <c r="C519" s="595"/>
      <c r="D519" s="576"/>
      <c r="E519" s="589"/>
      <c r="F519" s="578"/>
      <c r="G519" s="574" t="b">
        <v>0</v>
      </c>
      <c r="H519" s="579"/>
      <c r="I519" s="580"/>
      <c r="J519" s="371"/>
      <c r="K519" s="371"/>
      <c r="L519" s="371"/>
      <c r="M519" s="371"/>
      <c r="N519" s="371"/>
      <c r="O519" s="371"/>
      <c r="P519" s="371"/>
      <c r="Q519" s="371"/>
    </row>
    <row r="520">
      <c r="A520" s="581">
        <v>33.0</v>
      </c>
      <c r="B520" s="582" t="b">
        <v>1</v>
      </c>
      <c r="C520" s="594"/>
      <c r="D520" s="584"/>
      <c r="E520" s="585"/>
      <c r="F520" s="586"/>
      <c r="G520" s="582" t="b">
        <v>1</v>
      </c>
      <c r="H520" s="587"/>
      <c r="I520" s="592"/>
      <c r="J520" s="371"/>
      <c r="K520" s="371"/>
      <c r="L520" s="371"/>
      <c r="M520" s="371"/>
      <c r="N520" s="371"/>
      <c r="O520" s="371"/>
      <c r="P520" s="371"/>
      <c r="Q520" s="371"/>
    </row>
    <row r="521">
      <c r="A521" s="573">
        <v>34.0</v>
      </c>
      <c r="B521" s="574" t="b">
        <v>0</v>
      </c>
      <c r="C521" s="595"/>
      <c r="D521" s="576"/>
      <c r="E521" s="589"/>
      <c r="F521" s="578"/>
      <c r="G521" s="574" t="b">
        <v>1</v>
      </c>
      <c r="H521" s="579"/>
      <c r="I521" s="580"/>
      <c r="J521" s="371"/>
      <c r="K521" s="371"/>
      <c r="L521" s="371"/>
      <c r="M521" s="371"/>
      <c r="N521" s="371"/>
      <c r="O521" s="371"/>
      <c r="P521" s="371"/>
      <c r="Q521" s="371"/>
    </row>
    <row r="522">
      <c r="A522" s="581">
        <v>35.0</v>
      </c>
      <c r="B522" s="582" t="b">
        <v>1</v>
      </c>
      <c r="C522" s="594"/>
      <c r="D522" s="584"/>
      <c r="E522" s="585"/>
      <c r="F522" s="586"/>
      <c r="G522" s="582" t="b">
        <v>1</v>
      </c>
      <c r="H522" s="587"/>
      <c r="I522" s="592"/>
      <c r="J522" s="371"/>
      <c r="K522" s="371"/>
      <c r="L522" s="371"/>
      <c r="M522" s="371"/>
      <c r="N522" s="371"/>
      <c r="O522" s="371"/>
      <c r="P522" s="371"/>
      <c r="Q522" s="371"/>
    </row>
    <row r="523">
      <c r="A523" s="573">
        <v>36.0</v>
      </c>
      <c r="B523" s="574" t="b">
        <v>1</v>
      </c>
      <c r="C523" s="595"/>
      <c r="D523" s="576"/>
      <c r="E523" s="589"/>
      <c r="F523" s="578"/>
      <c r="G523" s="574" t="b">
        <v>1</v>
      </c>
      <c r="H523" s="579"/>
      <c r="I523" s="580"/>
      <c r="J523" s="371"/>
      <c r="K523" s="371"/>
      <c r="L523" s="371"/>
      <c r="M523" s="371"/>
      <c r="N523" s="371"/>
      <c r="O523" s="371"/>
      <c r="P523" s="371"/>
      <c r="Q523" s="371"/>
    </row>
    <row r="524">
      <c r="A524" s="581">
        <v>37.0</v>
      </c>
      <c r="B524" s="582" t="b">
        <v>1</v>
      </c>
      <c r="C524" s="594"/>
      <c r="D524" s="584"/>
      <c r="E524" s="585"/>
      <c r="F524" s="586"/>
      <c r="G524" s="582" t="b">
        <v>1</v>
      </c>
      <c r="H524" s="587"/>
      <c r="I524" s="592"/>
      <c r="J524" s="371"/>
      <c r="K524" s="371"/>
      <c r="L524" s="371"/>
      <c r="M524" s="371"/>
      <c r="N524" s="371"/>
      <c r="O524" s="371"/>
      <c r="P524" s="371"/>
      <c r="Q524" s="371"/>
    </row>
    <row r="525">
      <c r="A525" s="573">
        <v>38.0</v>
      </c>
      <c r="B525" s="574" t="b">
        <v>1</v>
      </c>
      <c r="C525" s="595"/>
      <c r="D525" s="576"/>
      <c r="E525" s="589"/>
      <c r="F525" s="645"/>
      <c r="G525" s="574" t="b">
        <v>1</v>
      </c>
      <c r="H525" s="579"/>
      <c r="I525" s="580"/>
      <c r="J525" s="371"/>
      <c r="K525" s="371"/>
      <c r="L525" s="371"/>
      <c r="M525" s="371"/>
      <c r="N525" s="371"/>
      <c r="O525" s="371"/>
      <c r="P525" s="371"/>
      <c r="Q525" s="371"/>
    </row>
    <row r="526">
      <c r="A526" s="581">
        <v>39.0</v>
      </c>
      <c r="B526" s="582" t="b">
        <v>1</v>
      </c>
      <c r="C526" s="646"/>
      <c r="D526" s="584"/>
      <c r="E526" s="585"/>
      <c r="F526" s="586"/>
      <c r="G526" s="582" t="b">
        <v>1</v>
      </c>
      <c r="H526" s="587"/>
      <c r="I526" s="592"/>
      <c r="J526" s="371"/>
      <c r="K526" s="371"/>
      <c r="L526" s="371"/>
      <c r="M526" s="371"/>
      <c r="N526" s="371"/>
      <c r="O526" s="371"/>
      <c r="P526" s="371"/>
      <c r="Q526" s="371"/>
    </row>
    <row r="527">
      <c r="A527" s="573">
        <v>40.0</v>
      </c>
      <c r="B527" s="574" t="b">
        <v>1</v>
      </c>
      <c r="C527" s="595"/>
      <c r="D527" s="576"/>
      <c r="E527" s="589"/>
      <c r="F527" s="578"/>
      <c r="G527" s="574" t="b">
        <v>1</v>
      </c>
      <c r="H527" s="579"/>
      <c r="I527" s="580"/>
      <c r="J527" s="371"/>
      <c r="K527" s="371"/>
      <c r="L527" s="371"/>
      <c r="M527" s="371"/>
      <c r="N527" s="371"/>
      <c r="O527" s="371"/>
      <c r="P527" s="371"/>
      <c r="Q527" s="371"/>
    </row>
    <row r="528">
      <c r="A528" s="581">
        <v>41.0</v>
      </c>
      <c r="B528" s="582" t="b">
        <v>0</v>
      </c>
      <c r="C528" s="594"/>
      <c r="D528" s="584"/>
      <c r="E528" s="585"/>
      <c r="F528" s="586"/>
      <c r="G528" s="582" t="b">
        <v>0</v>
      </c>
      <c r="H528" s="587"/>
      <c r="I528" s="592"/>
      <c r="J528" s="371"/>
      <c r="K528" s="371"/>
      <c r="L528" s="371"/>
      <c r="M528" s="371"/>
      <c r="N528" s="371"/>
      <c r="O528" s="371"/>
      <c r="P528" s="371"/>
      <c r="Q528" s="371"/>
    </row>
    <row r="529">
      <c r="A529" s="573">
        <v>42.0</v>
      </c>
      <c r="B529" s="574" t="b">
        <v>1</v>
      </c>
      <c r="C529" s="595"/>
      <c r="D529" s="576"/>
      <c r="E529" s="589"/>
      <c r="F529" s="578"/>
      <c r="G529" s="574" t="b">
        <v>1</v>
      </c>
      <c r="H529" s="579"/>
      <c r="I529" s="580"/>
      <c r="J529" s="371"/>
      <c r="K529" s="371"/>
      <c r="L529" s="371"/>
      <c r="M529" s="371"/>
      <c r="N529" s="371"/>
      <c r="O529" s="371"/>
      <c r="P529" s="371"/>
      <c r="Q529" s="371"/>
    </row>
    <row r="530">
      <c r="A530" s="581">
        <v>43.0</v>
      </c>
      <c r="B530" s="582" t="b">
        <v>1</v>
      </c>
      <c r="C530" s="594"/>
      <c r="D530" s="584"/>
      <c r="E530" s="585"/>
      <c r="F530" s="586"/>
      <c r="G530" s="582" t="b">
        <v>1</v>
      </c>
      <c r="H530" s="587"/>
      <c r="I530" s="592"/>
      <c r="J530" s="371"/>
      <c r="K530" s="371"/>
      <c r="L530" s="371"/>
      <c r="M530" s="371"/>
      <c r="N530" s="371"/>
      <c r="O530" s="371"/>
      <c r="P530" s="371"/>
      <c r="Q530" s="371"/>
    </row>
    <row r="531">
      <c r="A531" s="573">
        <v>44.0</v>
      </c>
      <c r="B531" s="574" t="b">
        <v>1</v>
      </c>
      <c r="C531" s="595"/>
      <c r="D531" s="576"/>
      <c r="E531" s="589"/>
      <c r="F531" s="578"/>
      <c r="G531" s="574" t="b">
        <v>1</v>
      </c>
      <c r="H531" s="579"/>
      <c r="I531" s="580"/>
      <c r="J531" s="371"/>
      <c r="K531" s="371"/>
      <c r="L531" s="371"/>
      <c r="M531" s="371"/>
      <c r="N531" s="371"/>
      <c r="O531" s="371"/>
      <c r="P531" s="371"/>
      <c r="Q531" s="371"/>
    </row>
    <row r="532">
      <c r="A532" s="581">
        <v>45.0</v>
      </c>
      <c r="B532" s="582" t="b">
        <v>0</v>
      </c>
      <c r="C532" s="594"/>
      <c r="D532" s="584"/>
      <c r="E532" s="585"/>
      <c r="F532" s="586"/>
      <c r="G532" s="582" t="b">
        <v>0</v>
      </c>
      <c r="H532" s="587"/>
      <c r="I532" s="592"/>
      <c r="J532" s="371"/>
      <c r="K532" s="371"/>
      <c r="L532" s="371"/>
      <c r="M532" s="371"/>
      <c r="N532" s="371"/>
      <c r="O532" s="371"/>
      <c r="P532" s="371"/>
      <c r="Q532" s="371"/>
    </row>
    <row r="533">
      <c r="A533" s="573">
        <v>46.0</v>
      </c>
      <c r="B533" s="574" t="b">
        <v>0</v>
      </c>
      <c r="C533" s="595"/>
      <c r="D533" s="576"/>
      <c r="E533" s="589"/>
      <c r="F533" s="578"/>
      <c r="G533" s="574" t="b">
        <v>0</v>
      </c>
      <c r="H533" s="579"/>
      <c r="I533" s="580"/>
      <c r="J533" s="371"/>
      <c r="K533" s="371"/>
      <c r="L533" s="371"/>
      <c r="M533" s="371"/>
      <c r="N533" s="371"/>
      <c r="O533" s="371"/>
      <c r="P533" s="371"/>
      <c r="Q533" s="371"/>
    </row>
    <row r="534">
      <c r="A534" s="581">
        <v>47.0</v>
      </c>
      <c r="B534" s="582" t="b">
        <v>1</v>
      </c>
      <c r="C534" s="594"/>
      <c r="D534" s="584"/>
      <c r="E534" s="585"/>
      <c r="F534" s="586"/>
      <c r="G534" s="582" t="b">
        <v>1</v>
      </c>
      <c r="H534" s="587"/>
      <c r="I534" s="592"/>
      <c r="J534" s="371"/>
      <c r="K534" s="371"/>
      <c r="L534" s="371"/>
      <c r="M534" s="371"/>
      <c r="N534" s="371"/>
      <c r="O534" s="371"/>
      <c r="P534" s="371"/>
      <c r="Q534" s="371"/>
    </row>
    <row r="535">
      <c r="A535" s="573">
        <v>48.0</v>
      </c>
      <c r="B535" s="574" t="b">
        <v>1</v>
      </c>
      <c r="C535" s="595"/>
      <c r="D535" s="576"/>
      <c r="E535" s="589"/>
      <c r="F535" s="578"/>
      <c r="G535" s="574" t="b">
        <v>1</v>
      </c>
      <c r="H535" s="579"/>
      <c r="I535" s="580"/>
      <c r="J535" s="371"/>
      <c r="K535" s="371"/>
      <c r="L535" s="371"/>
      <c r="M535" s="371"/>
      <c r="N535" s="371"/>
      <c r="O535" s="371"/>
      <c r="P535" s="371"/>
      <c r="Q535" s="371"/>
    </row>
    <row r="536">
      <c r="A536" s="581">
        <v>49.0</v>
      </c>
      <c r="B536" s="582" t="b">
        <v>0</v>
      </c>
      <c r="C536" s="594"/>
      <c r="D536" s="584"/>
      <c r="E536" s="585"/>
      <c r="F536" s="586"/>
      <c r="G536" s="582" t="b">
        <v>0</v>
      </c>
      <c r="H536" s="587"/>
      <c r="I536" s="592"/>
      <c r="J536" s="371"/>
      <c r="K536" s="371"/>
      <c r="L536" s="371"/>
      <c r="M536" s="371"/>
      <c r="N536" s="371"/>
      <c r="O536" s="371"/>
      <c r="P536" s="371"/>
      <c r="Q536" s="371"/>
    </row>
    <row r="537">
      <c r="A537" s="573">
        <v>50.0</v>
      </c>
      <c r="B537" s="574" t="b">
        <v>0</v>
      </c>
      <c r="C537" s="595"/>
      <c r="D537" s="576"/>
      <c r="E537" s="589"/>
      <c r="F537" s="578"/>
      <c r="G537" s="574" t="b">
        <v>0</v>
      </c>
      <c r="H537" s="579"/>
      <c r="I537" s="580"/>
      <c r="J537" s="371"/>
      <c r="K537" s="371"/>
      <c r="L537" s="371"/>
      <c r="M537" s="371"/>
      <c r="N537" s="371"/>
      <c r="O537" s="371"/>
      <c r="P537" s="371"/>
      <c r="Q537" s="371"/>
    </row>
    <row r="538">
      <c r="A538" s="581">
        <v>51.0</v>
      </c>
      <c r="B538" s="582" t="b">
        <v>0</v>
      </c>
      <c r="C538" s="594"/>
      <c r="D538" s="584"/>
      <c r="E538" s="585"/>
      <c r="F538" s="586"/>
      <c r="G538" s="582" t="b">
        <v>1</v>
      </c>
      <c r="H538" s="587"/>
      <c r="I538" s="592"/>
      <c r="J538" s="371"/>
      <c r="K538" s="371"/>
      <c r="L538" s="371"/>
      <c r="M538" s="371"/>
      <c r="N538" s="371"/>
      <c r="O538" s="371"/>
      <c r="P538" s="371"/>
      <c r="Q538" s="371"/>
    </row>
    <row r="539">
      <c r="A539" s="573">
        <v>52.0</v>
      </c>
      <c r="B539" s="574" t="b">
        <v>0</v>
      </c>
      <c r="C539" s="595"/>
      <c r="D539" s="576"/>
      <c r="E539" s="589"/>
      <c r="F539" s="578"/>
      <c r="G539" s="574" t="b">
        <v>1</v>
      </c>
      <c r="H539" s="579"/>
      <c r="I539" s="580"/>
      <c r="J539" s="371"/>
      <c r="K539" s="371"/>
      <c r="L539" s="371"/>
      <c r="M539" s="371"/>
      <c r="N539" s="371"/>
      <c r="O539" s="371"/>
      <c r="P539" s="371"/>
      <c r="Q539" s="371"/>
    </row>
    <row r="540">
      <c r="A540" s="581">
        <v>53.0</v>
      </c>
      <c r="B540" s="582" t="b">
        <v>0</v>
      </c>
      <c r="C540" s="594"/>
      <c r="D540" s="584"/>
      <c r="E540" s="585"/>
      <c r="F540" s="586"/>
      <c r="G540" s="582" t="b">
        <v>1</v>
      </c>
      <c r="H540" s="587"/>
      <c r="I540" s="592"/>
      <c r="J540" s="371"/>
      <c r="K540" s="371"/>
      <c r="L540" s="371"/>
      <c r="M540" s="371"/>
      <c r="N540" s="371"/>
      <c r="O540" s="371"/>
      <c r="P540" s="371"/>
      <c r="Q540" s="371"/>
    </row>
    <row r="541">
      <c r="A541" s="573">
        <v>54.0</v>
      </c>
      <c r="B541" s="574" t="b">
        <v>0</v>
      </c>
      <c r="C541" s="595"/>
      <c r="D541" s="576"/>
      <c r="E541" s="589"/>
      <c r="F541" s="578"/>
      <c r="G541" s="574" t="b">
        <v>1</v>
      </c>
      <c r="H541" s="579"/>
      <c r="I541" s="580"/>
      <c r="J541" s="371"/>
      <c r="K541" s="371"/>
      <c r="L541" s="371"/>
      <c r="M541" s="371"/>
      <c r="N541" s="371"/>
      <c r="O541" s="371"/>
      <c r="P541" s="371"/>
      <c r="Q541" s="371"/>
    </row>
    <row r="542">
      <c r="A542" s="581">
        <v>55.0</v>
      </c>
      <c r="B542" s="582" t="b">
        <v>0</v>
      </c>
      <c r="C542" s="594"/>
      <c r="D542" s="584"/>
      <c r="E542" s="585"/>
      <c r="F542" s="586"/>
      <c r="G542" s="582" t="b">
        <v>1</v>
      </c>
      <c r="H542" s="587"/>
      <c r="I542" s="592"/>
      <c r="J542" s="371"/>
      <c r="K542" s="371"/>
      <c r="L542" s="371"/>
      <c r="M542" s="371"/>
      <c r="N542" s="371"/>
      <c r="O542" s="371"/>
      <c r="P542" s="371"/>
      <c r="Q542" s="371"/>
    </row>
    <row r="543">
      <c r="A543" s="573">
        <v>56.0</v>
      </c>
      <c r="B543" s="574" t="b">
        <v>0</v>
      </c>
      <c r="C543" s="595"/>
      <c r="D543" s="576"/>
      <c r="E543" s="589"/>
      <c r="F543" s="578"/>
      <c r="G543" s="574" t="b">
        <v>1</v>
      </c>
      <c r="H543" s="579"/>
      <c r="I543" s="580"/>
      <c r="J543" s="371"/>
      <c r="K543" s="371"/>
      <c r="L543" s="371"/>
      <c r="M543" s="371"/>
      <c r="N543" s="371"/>
      <c r="O543" s="371"/>
      <c r="P543" s="371"/>
      <c r="Q543" s="371"/>
    </row>
    <row r="544">
      <c r="A544" s="581">
        <v>57.0</v>
      </c>
      <c r="B544" s="582" t="b">
        <v>0</v>
      </c>
      <c r="C544" s="594"/>
      <c r="D544" s="584"/>
      <c r="E544" s="585"/>
      <c r="F544" s="586"/>
      <c r="G544" s="582" t="b">
        <v>1</v>
      </c>
      <c r="H544" s="587"/>
      <c r="I544" s="592"/>
      <c r="J544" s="371"/>
      <c r="K544" s="371"/>
      <c r="L544" s="371"/>
      <c r="M544" s="371"/>
      <c r="N544" s="371"/>
      <c r="O544" s="371"/>
      <c r="P544" s="371"/>
      <c r="Q544" s="371"/>
    </row>
    <row r="545">
      <c r="A545" s="573">
        <v>58.0</v>
      </c>
      <c r="B545" s="574" t="b">
        <v>0</v>
      </c>
      <c r="C545" s="595"/>
      <c r="D545" s="576"/>
      <c r="E545" s="589"/>
      <c r="F545" s="578"/>
      <c r="G545" s="574" t="b">
        <v>1</v>
      </c>
      <c r="H545" s="579"/>
      <c r="I545" s="580"/>
      <c r="J545" s="371"/>
      <c r="K545" s="371"/>
      <c r="L545" s="371"/>
      <c r="M545" s="371"/>
      <c r="N545" s="371"/>
      <c r="O545" s="371"/>
      <c r="P545" s="371"/>
      <c r="Q545" s="371"/>
    </row>
    <row r="546">
      <c r="A546" s="581">
        <v>59.0</v>
      </c>
      <c r="B546" s="582" t="b">
        <v>0</v>
      </c>
      <c r="C546" s="594"/>
      <c r="D546" s="584"/>
      <c r="E546" s="585"/>
      <c r="F546" s="586"/>
      <c r="G546" s="582" t="b">
        <v>1</v>
      </c>
      <c r="H546" s="587"/>
      <c r="I546" s="592"/>
      <c r="J546" s="371"/>
      <c r="K546" s="371"/>
      <c r="L546" s="371"/>
      <c r="M546" s="371"/>
      <c r="N546" s="371"/>
      <c r="O546" s="371"/>
      <c r="P546" s="371"/>
      <c r="Q546" s="371"/>
    </row>
    <row r="547">
      <c r="A547" s="573">
        <v>60.0</v>
      </c>
      <c r="B547" s="574" t="b">
        <v>0</v>
      </c>
      <c r="C547" s="595"/>
      <c r="D547" s="576"/>
      <c r="E547" s="589"/>
      <c r="F547" s="578"/>
      <c r="G547" s="574" t="b">
        <v>0</v>
      </c>
      <c r="H547" s="579"/>
      <c r="I547" s="580"/>
      <c r="J547" s="371"/>
      <c r="K547" s="371"/>
      <c r="L547" s="371"/>
      <c r="M547" s="371"/>
      <c r="N547" s="371"/>
      <c r="O547" s="371"/>
      <c r="P547" s="371"/>
      <c r="Q547" s="371"/>
    </row>
    <row r="548">
      <c r="A548" s="581">
        <v>61.0</v>
      </c>
      <c r="B548" s="582" t="b">
        <v>0</v>
      </c>
      <c r="C548" s="594"/>
      <c r="D548" s="584"/>
      <c r="E548" s="585"/>
      <c r="F548" s="586"/>
      <c r="G548" s="582" t="b">
        <v>1</v>
      </c>
      <c r="H548" s="587"/>
      <c r="I548" s="592"/>
      <c r="J548" s="371"/>
      <c r="K548" s="371"/>
      <c r="L548" s="371"/>
      <c r="M548" s="371"/>
      <c r="N548" s="371"/>
      <c r="O548" s="371"/>
      <c r="P548" s="371"/>
      <c r="Q548" s="371"/>
    </row>
    <row r="549">
      <c r="A549" s="573">
        <v>62.0</v>
      </c>
      <c r="B549" s="574" t="b">
        <v>0</v>
      </c>
      <c r="C549" s="595"/>
      <c r="D549" s="576"/>
      <c r="E549" s="589"/>
      <c r="F549" s="578"/>
      <c r="G549" s="574" t="b">
        <v>1</v>
      </c>
      <c r="H549" s="579"/>
      <c r="I549" s="580"/>
      <c r="J549" s="371"/>
      <c r="K549" s="371"/>
      <c r="L549" s="371"/>
      <c r="M549" s="371"/>
      <c r="N549" s="371"/>
      <c r="O549" s="371"/>
      <c r="P549" s="371"/>
      <c r="Q549" s="371"/>
    </row>
    <row r="550">
      <c r="A550" s="581">
        <v>63.0</v>
      </c>
      <c r="B550" s="582" t="b">
        <v>0</v>
      </c>
      <c r="C550" s="594"/>
      <c r="D550" s="584"/>
      <c r="E550" s="585"/>
      <c r="F550" s="586"/>
      <c r="G550" s="582" t="b">
        <v>1</v>
      </c>
      <c r="H550" s="587"/>
      <c r="I550" s="592"/>
      <c r="J550" s="371"/>
      <c r="K550" s="371"/>
      <c r="L550" s="371"/>
      <c r="M550" s="371"/>
      <c r="N550" s="371"/>
      <c r="O550" s="371"/>
      <c r="P550" s="371"/>
      <c r="Q550" s="371"/>
    </row>
    <row r="551">
      <c r="A551" s="573">
        <v>64.0</v>
      </c>
      <c r="B551" s="574" t="b">
        <v>0</v>
      </c>
      <c r="C551" s="595"/>
      <c r="D551" s="576"/>
      <c r="E551" s="589"/>
      <c r="F551" s="578"/>
      <c r="G551" s="574" t="b">
        <v>0</v>
      </c>
      <c r="H551" s="579"/>
      <c r="I551" s="580"/>
      <c r="J551" s="371"/>
      <c r="K551" s="371"/>
      <c r="L551" s="371"/>
      <c r="M551" s="371"/>
      <c r="N551" s="371"/>
      <c r="O551" s="371"/>
      <c r="P551" s="371"/>
      <c r="Q551" s="371"/>
    </row>
    <row r="552">
      <c r="A552" s="581">
        <v>65.0</v>
      </c>
      <c r="B552" s="582" t="b">
        <v>0</v>
      </c>
      <c r="C552" s="594"/>
      <c r="D552" s="584"/>
      <c r="E552" s="585"/>
      <c r="F552" s="586"/>
      <c r="G552" s="582" t="b">
        <v>0</v>
      </c>
      <c r="H552" s="587"/>
      <c r="I552" s="592"/>
      <c r="J552" s="371"/>
      <c r="K552" s="371"/>
      <c r="L552" s="371"/>
      <c r="M552" s="371"/>
      <c r="N552" s="371"/>
      <c r="O552" s="371"/>
      <c r="P552" s="371"/>
      <c r="Q552" s="371"/>
    </row>
    <row r="553">
      <c r="A553" s="573">
        <v>66.0</v>
      </c>
      <c r="B553" s="574" t="b">
        <v>0</v>
      </c>
      <c r="C553" s="595"/>
      <c r="D553" s="576"/>
      <c r="E553" s="589"/>
      <c r="F553" s="578"/>
      <c r="G553" s="574" t="b">
        <v>1</v>
      </c>
      <c r="H553" s="579"/>
      <c r="I553" s="580"/>
      <c r="J553" s="371"/>
      <c r="K553" s="371"/>
      <c r="L553" s="371"/>
      <c r="M553" s="371"/>
      <c r="N553" s="371"/>
      <c r="O553" s="371"/>
      <c r="P553" s="371"/>
      <c r="Q553" s="371"/>
    </row>
    <row r="554">
      <c r="A554" s="581">
        <v>67.0</v>
      </c>
      <c r="B554" s="582" t="b">
        <v>0</v>
      </c>
      <c r="C554" s="594"/>
      <c r="D554" s="584"/>
      <c r="E554" s="585"/>
      <c r="F554" s="621"/>
      <c r="G554" s="582" t="b">
        <v>1</v>
      </c>
      <c r="H554" s="587"/>
      <c r="I554" s="592"/>
      <c r="J554" s="371"/>
      <c r="K554" s="371"/>
      <c r="L554" s="371"/>
      <c r="M554" s="371"/>
      <c r="N554" s="371"/>
      <c r="O554" s="371"/>
      <c r="P554" s="371"/>
      <c r="Q554" s="371"/>
    </row>
    <row r="555">
      <c r="A555" s="573">
        <v>68.0</v>
      </c>
      <c r="B555" s="574" t="b">
        <v>0</v>
      </c>
      <c r="C555" s="595"/>
      <c r="D555" s="576"/>
      <c r="E555" s="589"/>
      <c r="F555" s="578"/>
      <c r="G555" s="574" t="b">
        <v>1</v>
      </c>
      <c r="H555" s="579"/>
      <c r="I555" s="580"/>
      <c r="J555" s="371"/>
      <c r="K555" s="371"/>
      <c r="L555" s="371"/>
      <c r="M555" s="371"/>
      <c r="N555" s="371"/>
      <c r="O555" s="371"/>
      <c r="P555" s="371"/>
      <c r="Q555" s="371"/>
    </row>
    <row r="556">
      <c r="A556" s="581">
        <v>69.0</v>
      </c>
      <c r="B556" s="582" t="b">
        <v>0</v>
      </c>
      <c r="C556" s="594"/>
      <c r="D556" s="584"/>
      <c r="E556" s="585"/>
      <c r="F556" s="586"/>
      <c r="G556" s="582" t="b">
        <v>1</v>
      </c>
      <c r="H556" s="587"/>
      <c r="I556" s="592"/>
      <c r="J556" s="371"/>
      <c r="K556" s="371"/>
      <c r="L556" s="371"/>
      <c r="M556" s="371"/>
      <c r="N556" s="371"/>
      <c r="O556" s="371"/>
      <c r="P556" s="371"/>
      <c r="Q556" s="371"/>
    </row>
    <row r="557">
      <c r="A557" s="573">
        <v>70.0</v>
      </c>
      <c r="B557" s="574" t="b">
        <v>0</v>
      </c>
      <c r="C557" s="595"/>
      <c r="D557" s="576"/>
      <c r="E557" s="589"/>
      <c r="F557" s="578"/>
      <c r="G557" s="574" t="b">
        <v>1</v>
      </c>
      <c r="H557" s="579"/>
      <c r="I557" s="580"/>
      <c r="J557" s="371"/>
      <c r="K557" s="371"/>
      <c r="L557" s="371"/>
      <c r="M557" s="371"/>
      <c r="N557" s="371"/>
      <c r="O557" s="371"/>
      <c r="P557" s="371"/>
      <c r="Q557" s="371"/>
    </row>
    <row r="558">
      <c r="A558" s="581">
        <v>71.0</v>
      </c>
      <c r="B558" s="582" t="b">
        <v>0</v>
      </c>
      <c r="C558" s="594"/>
      <c r="D558" s="584"/>
      <c r="E558" s="585"/>
      <c r="F558" s="586"/>
      <c r="G558" s="582" t="b">
        <v>1</v>
      </c>
      <c r="H558" s="587"/>
      <c r="I558" s="592"/>
      <c r="J558" s="371"/>
      <c r="K558" s="371"/>
      <c r="L558" s="371"/>
      <c r="M558" s="371"/>
      <c r="N558" s="371"/>
      <c r="O558" s="371"/>
      <c r="P558" s="371"/>
      <c r="Q558" s="371"/>
    </row>
    <row r="559">
      <c r="A559" s="573">
        <v>72.0</v>
      </c>
      <c r="B559" s="574" t="b">
        <v>0</v>
      </c>
      <c r="C559" s="595"/>
      <c r="D559" s="576"/>
      <c r="E559" s="589"/>
      <c r="F559" s="578"/>
      <c r="G559" s="574" t="b">
        <v>1</v>
      </c>
      <c r="H559" s="579"/>
      <c r="I559" s="580"/>
      <c r="J559" s="371"/>
      <c r="K559" s="371"/>
      <c r="L559" s="371"/>
      <c r="M559" s="371"/>
      <c r="N559" s="371"/>
      <c r="O559" s="371"/>
      <c r="P559" s="371"/>
      <c r="Q559" s="371"/>
    </row>
    <row r="560">
      <c r="A560" s="581">
        <v>73.0</v>
      </c>
      <c r="B560" s="582" t="b">
        <v>0</v>
      </c>
      <c r="C560" s="594"/>
      <c r="D560" s="584"/>
      <c r="E560" s="591"/>
      <c r="F560" s="586"/>
      <c r="G560" s="582" t="b">
        <v>1</v>
      </c>
      <c r="H560" s="587"/>
      <c r="I560" s="592"/>
      <c r="J560" s="371"/>
      <c r="K560" s="371"/>
      <c r="L560" s="371"/>
      <c r="M560" s="371"/>
      <c r="N560" s="371"/>
      <c r="O560" s="371"/>
      <c r="P560" s="371"/>
      <c r="Q560" s="371"/>
    </row>
    <row r="561">
      <c r="A561" s="573">
        <v>74.0</v>
      </c>
      <c r="B561" s="574" t="b">
        <v>0</v>
      </c>
      <c r="C561" s="595"/>
      <c r="D561" s="576"/>
      <c r="E561" s="589"/>
      <c r="F561" s="578"/>
      <c r="G561" s="574" t="b">
        <v>1</v>
      </c>
      <c r="H561" s="579"/>
      <c r="I561" s="580"/>
      <c r="J561" s="371"/>
      <c r="K561" s="371"/>
      <c r="L561" s="371"/>
      <c r="M561" s="371"/>
      <c r="N561" s="371"/>
      <c r="O561" s="371"/>
      <c r="P561" s="371"/>
      <c r="Q561" s="371"/>
    </row>
    <row r="562">
      <c r="A562" s="581">
        <v>75.0</v>
      </c>
      <c r="B562" s="582" t="b">
        <v>0</v>
      </c>
      <c r="C562" s="594"/>
      <c r="D562" s="584"/>
      <c r="E562" s="591"/>
      <c r="F562" s="621"/>
      <c r="G562" s="582" t="b">
        <v>1</v>
      </c>
      <c r="H562" s="587"/>
      <c r="I562" s="592"/>
      <c r="J562" s="371"/>
      <c r="K562" s="371"/>
      <c r="L562" s="371"/>
      <c r="M562" s="371"/>
      <c r="N562" s="371"/>
      <c r="O562" s="371"/>
      <c r="P562" s="371"/>
      <c r="Q562" s="371"/>
    </row>
    <row r="563">
      <c r="A563" s="573">
        <v>76.0</v>
      </c>
      <c r="B563" s="574" t="b">
        <v>0</v>
      </c>
      <c r="C563" s="595"/>
      <c r="D563" s="576"/>
      <c r="E563" s="589"/>
      <c r="F563" s="578"/>
      <c r="G563" s="574" t="b">
        <v>1</v>
      </c>
      <c r="H563" s="579"/>
      <c r="I563" s="580"/>
      <c r="J563" s="371"/>
      <c r="K563" s="371"/>
      <c r="L563" s="371"/>
      <c r="M563" s="371"/>
      <c r="N563" s="371"/>
      <c r="O563" s="371"/>
      <c r="P563" s="371"/>
      <c r="Q563" s="371"/>
    </row>
    <row r="564">
      <c r="A564" s="581">
        <v>77.0</v>
      </c>
      <c r="B564" s="582" t="b">
        <v>0</v>
      </c>
      <c r="C564" s="594"/>
      <c r="D564" s="584"/>
      <c r="E564" s="585"/>
      <c r="F564" s="586"/>
      <c r="G564" s="582" t="b">
        <v>1</v>
      </c>
      <c r="H564" s="587"/>
      <c r="I564" s="592"/>
      <c r="J564" s="371"/>
      <c r="K564" s="371"/>
      <c r="L564" s="371"/>
      <c r="M564" s="371"/>
      <c r="N564" s="371"/>
      <c r="O564" s="371"/>
      <c r="P564" s="371"/>
      <c r="Q564" s="371"/>
    </row>
    <row r="565">
      <c r="A565" s="573">
        <v>78.0</v>
      </c>
      <c r="B565" s="574" t="b">
        <v>0</v>
      </c>
      <c r="C565" s="595"/>
      <c r="D565" s="576"/>
      <c r="E565" s="589"/>
      <c r="F565" s="578"/>
      <c r="G565" s="574" t="b">
        <v>1</v>
      </c>
      <c r="H565" s="579"/>
      <c r="I565" s="580"/>
      <c r="J565" s="371"/>
      <c r="K565" s="371"/>
      <c r="L565" s="371"/>
      <c r="M565" s="371"/>
      <c r="N565" s="371"/>
      <c r="O565" s="371"/>
      <c r="P565" s="371"/>
      <c r="Q565" s="371"/>
    </row>
    <row r="566">
      <c r="A566" s="581">
        <v>79.0</v>
      </c>
      <c r="B566" s="582" t="b">
        <v>0</v>
      </c>
      <c r="C566" s="594"/>
      <c r="D566" s="584"/>
      <c r="E566" s="585"/>
      <c r="F566" s="586"/>
      <c r="G566" s="582" t="b">
        <v>0</v>
      </c>
      <c r="H566" s="587"/>
      <c r="I566" s="592"/>
      <c r="J566" s="371"/>
      <c r="K566" s="371"/>
      <c r="L566" s="371"/>
      <c r="M566" s="371"/>
      <c r="N566" s="371"/>
      <c r="O566" s="371"/>
      <c r="P566" s="371"/>
      <c r="Q566" s="371"/>
    </row>
    <row r="567">
      <c r="A567" s="573">
        <v>80.0</v>
      </c>
      <c r="B567" s="574" t="b">
        <v>0</v>
      </c>
      <c r="C567" s="595"/>
      <c r="D567" s="576"/>
      <c r="E567" s="589"/>
      <c r="F567" s="578"/>
      <c r="G567" s="574" t="b">
        <v>0</v>
      </c>
      <c r="H567" s="579"/>
      <c r="I567" s="580"/>
      <c r="J567" s="371"/>
      <c r="K567" s="371"/>
      <c r="L567" s="371"/>
      <c r="M567" s="371"/>
      <c r="N567" s="371"/>
      <c r="O567" s="371"/>
      <c r="P567" s="371"/>
      <c r="Q567" s="371"/>
    </row>
    <row r="568">
      <c r="A568" s="581">
        <v>81.0</v>
      </c>
      <c r="B568" s="582" t="b">
        <v>0</v>
      </c>
      <c r="C568" s="594"/>
      <c r="D568" s="584"/>
      <c r="E568" s="591"/>
      <c r="F568" s="586"/>
      <c r="G568" s="582" t="b">
        <v>0</v>
      </c>
      <c r="H568" s="587"/>
      <c r="I568" s="592"/>
      <c r="J568" s="371"/>
      <c r="K568" s="371"/>
      <c r="L568" s="371"/>
      <c r="M568" s="371"/>
      <c r="N568" s="371"/>
      <c r="O568" s="371"/>
      <c r="P568" s="371"/>
      <c r="Q568" s="371"/>
    </row>
    <row r="569">
      <c r="A569" s="573">
        <v>82.0</v>
      </c>
      <c r="B569" s="574" t="b">
        <v>0</v>
      </c>
      <c r="C569" s="595"/>
      <c r="D569" s="576"/>
      <c r="E569" s="577"/>
      <c r="F569" s="578"/>
      <c r="G569" s="574" t="b">
        <v>0</v>
      </c>
      <c r="H569" s="579"/>
      <c r="I569" s="580"/>
      <c r="J569" s="371"/>
      <c r="K569" s="371"/>
      <c r="L569" s="371"/>
      <c r="M569" s="371"/>
      <c r="N569" s="371"/>
      <c r="O569" s="371"/>
      <c r="P569" s="371"/>
      <c r="Q569" s="371"/>
    </row>
    <row r="570">
      <c r="A570" s="581">
        <v>83.0</v>
      </c>
      <c r="B570" s="582" t="b">
        <v>0</v>
      </c>
      <c r="C570" s="594"/>
      <c r="D570" s="584"/>
      <c r="E570" s="585"/>
      <c r="F570" s="586"/>
      <c r="G570" s="582" t="b">
        <v>0</v>
      </c>
      <c r="H570" s="587"/>
      <c r="I570" s="592"/>
      <c r="J570" s="371"/>
      <c r="K570" s="371"/>
      <c r="L570" s="371"/>
      <c r="M570" s="371"/>
      <c r="N570" s="371"/>
      <c r="O570" s="371"/>
      <c r="P570" s="371"/>
      <c r="Q570" s="371"/>
    </row>
    <row r="571">
      <c r="A571" s="573">
        <v>84.0</v>
      </c>
      <c r="B571" s="574" t="b">
        <v>0</v>
      </c>
      <c r="C571" s="622"/>
      <c r="D571" s="647"/>
      <c r="E571" s="647"/>
      <c r="F571" s="647"/>
      <c r="G571" s="647"/>
      <c r="H571" s="647"/>
      <c r="I571" s="648"/>
      <c r="J571" s="371"/>
      <c r="K571" s="371"/>
      <c r="L571" s="371"/>
      <c r="M571" s="371"/>
      <c r="N571" s="371"/>
      <c r="O571" s="371"/>
      <c r="P571" s="371"/>
      <c r="Q571" s="371"/>
    </row>
    <row r="572">
      <c r="A572" s="581">
        <v>85.0</v>
      </c>
      <c r="B572" s="582" t="b">
        <v>0</v>
      </c>
      <c r="C572" s="594"/>
      <c r="D572" s="584"/>
      <c r="E572" s="585"/>
      <c r="F572" s="586"/>
      <c r="G572" s="582" t="b">
        <v>1</v>
      </c>
      <c r="H572" s="587"/>
      <c r="I572" s="592"/>
      <c r="J572" s="371"/>
      <c r="K572" s="371"/>
      <c r="L572" s="371"/>
      <c r="M572" s="371"/>
      <c r="N572" s="371"/>
      <c r="O572" s="371"/>
      <c r="P572" s="371"/>
      <c r="Q572" s="371"/>
    </row>
    <row r="573">
      <c r="A573" s="573">
        <v>86.0</v>
      </c>
      <c r="B573" s="574" t="b">
        <v>0</v>
      </c>
      <c r="C573" s="595"/>
      <c r="D573" s="576"/>
      <c r="E573" s="589"/>
      <c r="F573" s="578"/>
      <c r="G573" s="574" t="b">
        <v>1</v>
      </c>
      <c r="H573" s="579"/>
      <c r="I573" s="580"/>
      <c r="J573" s="371"/>
      <c r="K573" s="371"/>
      <c r="L573" s="371"/>
      <c r="M573" s="371"/>
      <c r="N573" s="371"/>
      <c r="O573" s="371"/>
      <c r="P573" s="371"/>
      <c r="Q573" s="371"/>
    </row>
    <row r="574">
      <c r="A574" s="581">
        <v>87.0</v>
      </c>
      <c r="B574" s="582" t="b">
        <v>0</v>
      </c>
      <c r="C574" s="594"/>
      <c r="D574" s="584"/>
      <c r="E574" s="585"/>
      <c r="F574" s="586"/>
      <c r="G574" s="582" t="b">
        <v>1</v>
      </c>
      <c r="H574" s="587"/>
      <c r="I574" s="592"/>
      <c r="J574" s="371"/>
      <c r="K574" s="371"/>
      <c r="L574" s="371"/>
      <c r="M574" s="371"/>
      <c r="N574" s="371"/>
      <c r="O574" s="371"/>
      <c r="P574" s="371"/>
      <c r="Q574" s="371"/>
    </row>
    <row r="575">
      <c r="A575" s="573">
        <v>88.0</v>
      </c>
      <c r="B575" s="574" t="b">
        <v>0</v>
      </c>
      <c r="C575" s="595"/>
      <c r="D575" s="576"/>
      <c r="E575" s="589"/>
      <c r="F575" s="578"/>
      <c r="G575" s="574" t="b">
        <v>1</v>
      </c>
      <c r="H575" s="579"/>
      <c r="I575" s="580"/>
      <c r="J575" s="371"/>
      <c r="K575" s="371"/>
      <c r="L575" s="371"/>
      <c r="M575" s="371"/>
      <c r="N575" s="371"/>
      <c r="O575" s="371"/>
      <c r="P575" s="371"/>
      <c r="Q575" s="371"/>
    </row>
    <row r="576">
      <c r="A576" s="581">
        <v>89.0</v>
      </c>
      <c r="B576" s="582" t="b">
        <v>0</v>
      </c>
      <c r="C576" s="594"/>
      <c r="D576" s="584"/>
      <c r="E576" s="585"/>
      <c r="F576" s="586"/>
      <c r="G576" s="582" t="b">
        <v>1</v>
      </c>
      <c r="H576" s="587"/>
      <c r="I576" s="592"/>
      <c r="J576" s="371"/>
      <c r="K576" s="371"/>
      <c r="L576" s="371"/>
      <c r="M576" s="371"/>
      <c r="N576" s="371"/>
      <c r="O576" s="371"/>
      <c r="P576" s="371"/>
      <c r="Q576" s="371"/>
    </row>
    <row r="577">
      <c r="A577" s="573">
        <v>90.0</v>
      </c>
      <c r="B577" s="574" t="b">
        <v>0</v>
      </c>
      <c r="C577" s="595"/>
      <c r="D577" s="576" t="s">
        <v>2313</v>
      </c>
      <c r="E577" s="589"/>
      <c r="F577" s="578"/>
      <c r="G577" s="574" t="b">
        <v>1</v>
      </c>
      <c r="H577" s="579"/>
      <c r="I577" s="580" t="s">
        <v>2317</v>
      </c>
      <c r="J577" s="371"/>
      <c r="K577" s="371"/>
      <c r="L577" s="371"/>
      <c r="M577" s="371"/>
      <c r="N577" s="371"/>
      <c r="O577" s="371"/>
      <c r="P577" s="371"/>
      <c r="Q577" s="371"/>
    </row>
    <row r="578">
      <c r="A578" s="581">
        <v>91.0</v>
      </c>
      <c r="B578" s="582" t="b">
        <v>0</v>
      </c>
      <c r="C578" s="594"/>
      <c r="D578" s="584" t="s">
        <v>2319</v>
      </c>
      <c r="E578" s="585"/>
      <c r="F578" s="586"/>
      <c r="G578" s="582" t="b">
        <v>0</v>
      </c>
      <c r="H578" s="587"/>
      <c r="I578" s="592" t="s">
        <v>2319</v>
      </c>
      <c r="J578" s="371"/>
      <c r="K578" s="371"/>
      <c r="L578" s="371"/>
      <c r="M578" s="371"/>
      <c r="N578" s="371"/>
      <c r="O578" s="371"/>
      <c r="P578" s="371"/>
      <c r="Q578" s="371"/>
    </row>
    <row r="579">
      <c r="A579" s="573">
        <v>92.0</v>
      </c>
      <c r="B579" s="574" t="b">
        <v>0</v>
      </c>
      <c r="C579" s="595"/>
      <c r="D579" s="576"/>
      <c r="E579" s="589"/>
      <c r="F579" s="578"/>
      <c r="G579" s="574" t="b">
        <v>0</v>
      </c>
      <c r="H579" s="579"/>
      <c r="I579" s="580"/>
      <c r="J579" s="371"/>
      <c r="K579" s="371"/>
      <c r="L579" s="371"/>
      <c r="M579" s="371"/>
      <c r="N579" s="371"/>
      <c r="O579" s="371"/>
      <c r="P579" s="371"/>
      <c r="Q579" s="371"/>
    </row>
    <row r="580">
      <c r="A580" s="581">
        <v>93.0</v>
      </c>
      <c r="B580" s="582" t="b">
        <v>0</v>
      </c>
      <c r="C580" s="594"/>
      <c r="D580" s="584" t="s">
        <v>2320</v>
      </c>
      <c r="E580" s="585"/>
      <c r="F580" s="586"/>
      <c r="G580" s="582" t="b">
        <v>0</v>
      </c>
      <c r="H580" s="587"/>
      <c r="I580" s="592" t="s">
        <v>2324</v>
      </c>
      <c r="J580" s="371"/>
      <c r="K580" s="371"/>
      <c r="L580" s="371"/>
      <c r="M580" s="371"/>
      <c r="N580" s="371"/>
      <c r="O580" s="371"/>
      <c r="P580" s="371"/>
      <c r="Q580" s="371"/>
    </row>
    <row r="581">
      <c r="A581" s="573">
        <v>94.0</v>
      </c>
      <c r="B581" s="574" t="b">
        <v>0</v>
      </c>
      <c r="C581" s="595"/>
      <c r="D581" s="576"/>
      <c r="E581" s="589"/>
      <c r="F581" s="578"/>
      <c r="G581" s="574" t="b">
        <v>0</v>
      </c>
      <c r="H581" s="579"/>
      <c r="I581" s="580"/>
      <c r="J581" s="371"/>
      <c r="K581" s="371"/>
      <c r="L581" s="371"/>
      <c r="M581" s="371"/>
      <c r="N581" s="371"/>
      <c r="O581" s="371"/>
      <c r="P581" s="371"/>
      <c r="Q581" s="371"/>
    </row>
    <row r="582">
      <c r="A582" s="581">
        <v>95.0</v>
      </c>
      <c r="B582" s="582" t="b">
        <v>0</v>
      </c>
      <c r="C582" s="594"/>
      <c r="D582" s="584"/>
      <c r="E582" s="585"/>
      <c r="F582" s="586"/>
      <c r="G582" s="582" t="b">
        <v>0</v>
      </c>
      <c r="H582" s="587"/>
      <c r="I582" s="592"/>
      <c r="J582" s="371"/>
      <c r="K582" s="371"/>
      <c r="L582" s="371"/>
      <c r="M582" s="371"/>
      <c r="N582" s="371"/>
      <c r="O582" s="371"/>
      <c r="P582" s="371"/>
      <c r="Q582" s="371"/>
    </row>
    <row r="583">
      <c r="A583" s="573">
        <v>96.0</v>
      </c>
      <c r="B583" s="574" t="b">
        <v>0</v>
      </c>
      <c r="C583" s="595"/>
      <c r="D583" s="576"/>
      <c r="E583" s="589"/>
      <c r="F583" s="578"/>
      <c r="G583" s="574" t="b">
        <v>1</v>
      </c>
      <c r="H583" s="579"/>
      <c r="I583" s="580"/>
      <c r="J583" s="371"/>
      <c r="K583" s="371"/>
      <c r="L583" s="371"/>
      <c r="M583" s="371"/>
      <c r="N583" s="371"/>
      <c r="O583" s="371"/>
      <c r="P583" s="371"/>
      <c r="Q583" s="371"/>
    </row>
    <row r="584">
      <c r="A584" s="581">
        <v>97.0</v>
      </c>
      <c r="B584" s="582" t="b">
        <v>0</v>
      </c>
      <c r="C584" s="594"/>
      <c r="D584" s="584"/>
      <c r="E584" s="585"/>
      <c r="F584" s="586"/>
      <c r="G584" s="582" t="b">
        <v>0</v>
      </c>
      <c r="H584" s="587"/>
      <c r="I584" s="592"/>
      <c r="J584" s="371"/>
      <c r="K584" s="371"/>
      <c r="L584" s="371"/>
      <c r="M584" s="371"/>
      <c r="N584" s="371"/>
      <c r="O584" s="371"/>
      <c r="P584" s="371"/>
      <c r="Q584" s="371"/>
    </row>
    <row r="585">
      <c r="A585" s="573">
        <v>98.0</v>
      </c>
      <c r="B585" s="574" t="b">
        <v>0</v>
      </c>
      <c r="C585" s="595"/>
      <c r="D585" s="576"/>
      <c r="E585" s="589"/>
      <c r="F585" s="578"/>
      <c r="G585" s="574" t="b">
        <v>0</v>
      </c>
      <c r="H585" s="579"/>
      <c r="I585" s="580"/>
      <c r="J585" s="371"/>
      <c r="K585" s="371"/>
      <c r="L585" s="371"/>
      <c r="M585" s="371"/>
      <c r="N585" s="371"/>
      <c r="O585" s="371"/>
      <c r="P585" s="371"/>
      <c r="Q585" s="371"/>
    </row>
    <row r="586">
      <c r="A586" s="581">
        <v>99.0</v>
      </c>
      <c r="B586" s="582" t="b">
        <v>0</v>
      </c>
      <c r="C586" s="594"/>
      <c r="D586" s="584"/>
      <c r="E586" s="585"/>
      <c r="F586" s="586"/>
      <c r="G586" s="582" t="b">
        <v>0</v>
      </c>
      <c r="H586" s="587"/>
      <c r="I586" s="592"/>
      <c r="J586" s="371"/>
      <c r="K586" s="371"/>
      <c r="L586" s="371"/>
      <c r="M586" s="371"/>
      <c r="N586" s="371"/>
      <c r="O586" s="371"/>
      <c r="P586" s="371"/>
      <c r="Q586" s="371"/>
    </row>
    <row r="587">
      <c r="A587" s="573">
        <v>100.0</v>
      </c>
      <c r="B587" s="574" t="b">
        <v>0</v>
      </c>
      <c r="C587" s="595"/>
      <c r="D587" s="576"/>
      <c r="E587" s="589"/>
      <c r="F587" s="578"/>
      <c r="G587" s="574" t="b">
        <v>0</v>
      </c>
      <c r="H587" s="579"/>
      <c r="I587" s="580"/>
      <c r="J587" s="371"/>
      <c r="K587" s="371"/>
      <c r="L587" s="371"/>
      <c r="M587" s="371"/>
      <c r="N587" s="371"/>
      <c r="O587" s="371"/>
      <c r="P587" s="371"/>
      <c r="Q587" s="371"/>
    </row>
    <row r="588">
      <c r="A588" s="581">
        <v>101.0</v>
      </c>
      <c r="B588" s="582" t="b">
        <v>0</v>
      </c>
      <c r="C588" s="594"/>
      <c r="D588" s="584"/>
      <c r="E588" s="585"/>
      <c r="F588" s="586"/>
      <c r="G588" s="582" t="b">
        <v>0</v>
      </c>
      <c r="H588" s="587"/>
      <c r="I588" s="592"/>
      <c r="J588" s="371"/>
      <c r="K588" s="371"/>
      <c r="L588" s="371"/>
      <c r="M588" s="371"/>
      <c r="N588" s="371"/>
      <c r="O588" s="371"/>
      <c r="P588" s="371"/>
      <c r="Q588" s="371"/>
    </row>
    <row r="589">
      <c r="A589" s="573">
        <v>102.0</v>
      </c>
      <c r="B589" s="574" t="b">
        <v>0</v>
      </c>
      <c r="C589" s="595"/>
      <c r="D589" s="576"/>
      <c r="E589" s="589"/>
      <c r="F589" s="578"/>
      <c r="G589" s="574" t="b">
        <v>0</v>
      </c>
      <c r="H589" s="579"/>
      <c r="I589" s="580"/>
      <c r="J589" s="371"/>
      <c r="K589" s="371"/>
      <c r="L589" s="371"/>
      <c r="M589" s="371"/>
      <c r="N589" s="371"/>
      <c r="O589" s="371"/>
      <c r="P589" s="371"/>
      <c r="Q589" s="371"/>
    </row>
    <row r="590">
      <c r="A590" s="581">
        <v>103.0</v>
      </c>
      <c r="B590" s="582" t="b">
        <v>0</v>
      </c>
      <c r="C590" s="594"/>
      <c r="D590" s="584"/>
      <c r="E590" s="585"/>
      <c r="F590" s="586"/>
      <c r="G590" s="582" t="b">
        <v>0</v>
      </c>
      <c r="H590" s="587"/>
      <c r="I590" s="592"/>
      <c r="J590" s="371"/>
      <c r="K590" s="371"/>
      <c r="L590" s="371"/>
      <c r="M590" s="371"/>
      <c r="N590" s="371"/>
      <c r="O590" s="371"/>
      <c r="P590" s="371"/>
      <c r="Q590" s="371"/>
    </row>
    <row r="591">
      <c r="A591" s="573">
        <v>104.0</v>
      </c>
      <c r="B591" s="574" t="b">
        <v>0</v>
      </c>
      <c r="C591" s="595"/>
      <c r="D591" s="576"/>
      <c r="E591" s="589"/>
      <c r="F591" s="578"/>
      <c r="G591" s="574" t="b">
        <v>0</v>
      </c>
      <c r="H591" s="579"/>
      <c r="I591" s="580"/>
      <c r="J591" s="371"/>
      <c r="K591" s="371"/>
      <c r="L591" s="371"/>
      <c r="M591" s="371"/>
      <c r="N591" s="371"/>
      <c r="O591" s="371"/>
      <c r="P591" s="371"/>
      <c r="Q591" s="371"/>
    </row>
    <row r="592">
      <c r="A592" s="581">
        <v>105.0</v>
      </c>
      <c r="B592" s="582" t="b">
        <v>0</v>
      </c>
      <c r="C592" s="594"/>
      <c r="D592" s="584"/>
      <c r="E592" s="585"/>
      <c r="F592" s="586"/>
      <c r="G592" s="582" t="b">
        <v>0</v>
      </c>
      <c r="H592" s="587"/>
      <c r="I592" s="592"/>
      <c r="J592" s="371"/>
      <c r="K592" s="371"/>
      <c r="L592" s="371"/>
      <c r="M592" s="371"/>
      <c r="N592" s="371"/>
      <c r="O592" s="371"/>
      <c r="P592" s="371"/>
      <c r="Q592" s="371"/>
    </row>
    <row r="593">
      <c r="A593" s="573">
        <v>106.0</v>
      </c>
      <c r="B593" s="574" t="b">
        <v>0</v>
      </c>
      <c r="C593" s="595"/>
      <c r="D593" s="576"/>
      <c r="E593" s="589"/>
      <c r="F593" s="578"/>
      <c r="G593" s="574" t="b">
        <v>1</v>
      </c>
      <c r="H593" s="579"/>
      <c r="I593" s="580"/>
      <c r="J593" s="371"/>
      <c r="K593" s="371"/>
      <c r="L593" s="371"/>
      <c r="M593" s="371"/>
      <c r="N593" s="371"/>
      <c r="O593" s="371"/>
      <c r="P593" s="371"/>
      <c r="Q593" s="371"/>
    </row>
    <row r="594">
      <c r="A594" s="581">
        <v>107.0</v>
      </c>
      <c r="B594" s="582" t="b">
        <v>0</v>
      </c>
      <c r="C594" s="594"/>
      <c r="D594" s="584"/>
      <c r="E594" s="585"/>
      <c r="F594" s="586"/>
      <c r="G594" s="582" t="b">
        <v>1</v>
      </c>
      <c r="H594" s="587"/>
      <c r="I594" s="592"/>
      <c r="J594" s="371"/>
      <c r="K594" s="371"/>
      <c r="L594" s="371"/>
      <c r="M594" s="371"/>
      <c r="N594" s="371"/>
      <c r="O594" s="371"/>
      <c r="P594" s="371"/>
      <c r="Q594" s="371"/>
    </row>
    <row r="595">
      <c r="A595" s="573">
        <v>108.0</v>
      </c>
      <c r="B595" s="574" t="b">
        <v>0</v>
      </c>
      <c r="C595" s="595"/>
      <c r="D595" s="576"/>
      <c r="E595" s="577"/>
      <c r="F595" s="578"/>
      <c r="G595" s="574" t="b">
        <v>1</v>
      </c>
      <c r="H595" s="579"/>
      <c r="I595" s="580"/>
      <c r="J595" s="371"/>
      <c r="K595" s="371"/>
      <c r="L595" s="371"/>
      <c r="M595" s="371"/>
      <c r="N595" s="371"/>
      <c r="O595" s="371"/>
      <c r="P595" s="371"/>
      <c r="Q595" s="371"/>
    </row>
    <row r="596">
      <c r="A596" s="581">
        <v>109.0</v>
      </c>
      <c r="B596" s="582" t="b">
        <v>0</v>
      </c>
      <c r="C596" s="594"/>
      <c r="D596" s="584"/>
      <c r="E596" s="585"/>
      <c r="F596" s="586"/>
      <c r="G596" s="582" t="b">
        <v>1</v>
      </c>
      <c r="H596" s="587"/>
      <c r="I596" s="592"/>
      <c r="J596" s="371"/>
      <c r="K596" s="371"/>
      <c r="L596" s="371"/>
      <c r="M596" s="371"/>
      <c r="N596" s="371"/>
      <c r="O596" s="371"/>
      <c r="P596" s="371"/>
      <c r="Q596" s="371"/>
    </row>
    <row r="597">
      <c r="A597" s="573">
        <v>110.0</v>
      </c>
      <c r="B597" s="574" t="b">
        <v>0</v>
      </c>
      <c r="C597" s="595"/>
      <c r="D597" s="576"/>
      <c r="E597" s="589"/>
      <c r="F597" s="578"/>
      <c r="G597" s="574" t="b">
        <v>1</v>
      </c>
      <c r="H597" s="579"/>
      <c r="I597" s="580"/>
      <c r="J597" s="371"/>
      <c r="K597" s="371"/>
      <c r="L597" s="371"/>
      <c r="M597" s="371"/>
      <c r="N597" s="371"/>
      <c r="O597" s="371"/>
      <c r="P597" s="371"/>
      <c r="Q597" s="371"/>
    </row>
    <row r="598">
      <c r="A598" s="581">
        <v>111.0</v>
      </c>
      <c r="B598" s="582" t="b">
        <v>0</v>
      </c>
      <c r="C598" s="594"/>
      <c r="D598" s="584"/>
      <c r="E598" s="585"/>
      <c r="F598" s="586"/>
      <c r="G598" s="582" t="b">
        <v>1</v>
      </c>
      <c r="H598" s="587"/>
      <c r="I598" s="592"/>
      <c r="J598" s="371"/>
      <c r="K598" s="371"/>
      <c r="L598" s="371"/>
      <c r="M598" s="371"/>
      <c r="N598" s="371"/>
      <c r="O598" s="371"/>
      <c r="P598" s="371"/>
      <c r="Q598" s="371"/>
    </row>
    <row r="599">
      <c r="A599" s="573">
        <v>112.0</v>
      </c>
      <c r="B599" s="574" t="b">
        <v>0</v>
      </c>
      <c r="C599" s="595"/>
      <c r="D599" s="576"/>
      <c r="E599" s="589"/>
      <c r="F599" s="578"/>
      <c r="G599" s="574" t="b">
        <v>1</v>
      </c>
      <c r="H599" s="579"/>
      <c r="I599" s="580"/>
      <c r="J599" s="371"/>
      <c r="K599" s="371"/>
      <c r="L599" s="371"/>
      <c r="M599" s="371"/>
      <c r="N599" s="371"/>
      <c r="O599" s="371"/>
      <c r="P599" s="371"/>
      <c r="Q599" s="371"/>
    </row>
    <row r="600">
      <c r="A600" s="581">
        <v>113.0</v>
      </c>
      <c r="B600" s="582" t="b">
        <v>0</v>
      </c>
      <c r="C600" s="594"/>
      <c r="D600" s="584"/>
      <c r="E600" s="585"/>
      <c r="F600" s="586"/>
      <c r="G600" s="582" t="b">
        <v>1</v>
      </c>
      <c r="H600" s="587"/>
      <c r="I600" s="592"/>
      <c r="J600" s="371"/>
      <c r="K600" s="371"/>
      <c r="L600" s="371"/>
      <c r="M600" s="371"/>
      <c r="N600" s="371"/>
      <c r="O600" s="371"/>
      <c r="P600" s="371"/>
      <c r="Q600" s="371"/>
    </row>
    <row r="601">
      <c r="A601" s="573">
        <v>114.0</v>
      </c>
      <c r="B601" s="574" t="b">
        <v>0</v>
      </c>
      <c r="C601" s="595"/>
      <c r="D601" s="576"/>
      <c r="E601" s="589"/>
      <c r="F601" s="578"/>
      <c r="G601" s="574" t="b">
        <v>1</v>
      </c>
      <c r="H601" s="579"/>
      <c r="I601" s="580"/>
      <c r="J601" s="371"/>
      <c r="K601" s="371"/>
      <c r="L601" s="371"/>
      <c r="M601" s="371"/>
      <c r="N601" s="371"/>
      <c r="O601" s="371"/>
      <c r="P601" s="371"/>
      <c r="Q601" s="371"/>
    </row>
    <row r="602">
      <c r="A602" s="581">
        <v>115.0</v>
      </c>
      <c r="B602" s="582" t="b">
        <v>0</v>
      </c>
      <c r="C602" s="594"/>
      <c r="D602" s="584"/>
      <c r="E602" s="585"/>
      <c r="F602" s="586"/>
      <c r="G602" s="582" t="b">
        <v>1</v>
      </c>
      <c r="H602" s="587"/>
      <c r="I602" s="592"/>
      <c r="J602" s="371"/>
      <c r="K602" s="371"/>
      <c r="L602" s="371"/>
      <c r="M602" s="371"/>
      <c r="N602" s="371"/>
      <c r="O602" s="371"/>
      <c r="P602" s="371"/>
      <c r="Q602" s="371"/>
    </row>
    <row r="603">
      <c r="A603" s="573">
        <v>116.0</v>
      </c>
      <c r="B603" s="574" t="b">
        <v>0</v>
      </c>
      <c r="C603" s="627"/>
      <c r="D603" s="576"/>
      <c r="E603" s="589"/>
      <c r="F603" s="578"/>
      <c r="G603" s="574" t="b">
        <v>1</v>
      </c>
      <c r="H603" s="579"/>
      <c r="I603" s="580"/>
      <c r="J603" s="371"/>
      <c r="K603" s="371"/>
      <c r="L603" s="371"/>
      <c r="M603" s="371"/>
      <c r="N603" s="371"/>
      <c r="O603" s="371"/>
      <c r="P603" s="371"/>
      <c r="Q603" s="371"/>
    </row>
    <row r="604">
      <c r="A604" s="581">
        <v>117.0</v>
      </c>
      <c r="B604" s="582" t="b">
        <v>0</v>
      </c>
      <c r="C604" s="594"/>
      <c r="D604" s="584"/>
      <c r="E604" s="585"/>
      <c r="F604" s="586"/>
      <c r="G604" s="582" t="b">
        <v>0</v>
      </c>
      <c r="H604" s="587"/>
      <c r="I604" s="592"/>
      <c r="J604" s="371"/>
      <c r="K604" s="371"/>
      <c r="L604" s="371"/>
      <c r="M604" s="371"/>
      <c r="N604" s="371"/>
      <c r="O604" s="371"/>
      <c r="P604" s="371"/>
      <c r="Q604" s="371"/>
    </row>
    <row r="605">
      <c r="A605" s="573">
        <v>118.0</v>
      </c>
      <c r="B605" s="574" t="b">
        <v>0</v>
      </c>
      <c r="C605" s="595"/>
      <c r="D605" s="576"/>
      <c r="E605" s="589"/>
      <c r="F605" s="578"/>
      <c r="G605" s="574" t="b">
        <v>0</v>
      </c>
      <c r="H605" s="579"/>
      <c r="I605" s="580"/>
      <c r="J605" s="371"/>
      <c r="K605" s="371"/>
      <c r="L605" s="371"/>
      <c r="M605" s="371"/>
      <c r="N605" s="371"/>
      <c r="O605" s="371"/>
      <c r="P605" s="371"/>
      <c r="Q605" s="371"/>
    </row>
    <row r="606">
      <c r="A606" s="581">
        <v>119.0</v>
      </c>
      <c r="B606" s="582" t="b">
        <v>0</v>
      </c>
      <c r="C606" s="594"/>
      <c r="D606" s="584"/>
      <c r="E606" s="585"/>
      <c r="F606" s="586"/>
      <c r="G606" s="582" t="b">
        <v>1</v>
      </c>
      <c r="H606" s="587"/>
      <c r="I606" s="592"/>
      <c r="J606" s="371"/>
      <c r="K606" s="371"/>
      <c r="L606" s="371"/>
      <c r="M606" s="371"/>
      <c r="N606" s="371"/>
      <c r="O606" s="371"/>
      <c r="P606" s="371"/>
      <c r="Q606" s="371"/>
    </row>
    <row r="607">
      <c r="A607" s="573">
        <v>120.0</v>
      </c>
      <c r="B607" s="574" t="b">
        <v>0</v>
      </c>
      <c r="C607" s="595"/>
      <c r="D607" s="576"/>
      <c r="E607" s="589"/>
      <c r="F607" s="578"/>
      <c r="G607" s="574" t="b">
        <v>1</v>
      </c>
      <c r="H607" s="579"/>
      <c r="I607" s="580"/>
      <c r="J607" s="371"/>
      <c r="K607" s="371"/>
      <c r="L607" s="371"/>
      <c r="M607" s="371"/>
      <c r="N607" s="371"/>
      <c r="O607" s="371"/>
      <c r="P607" s="371"/>
      <c r="Q607" s="371"/>
    </row>
    <row r="608">
      <c r="A608" s="581">
        <v>121.0</v>
      </c>
      <c r="B608" s="582" t="b">
        <v>0</v>
      </c>
      <c r="C608" s="594"/>
      <c r="D608" s="584"/>
      <c r="E608" s="585"/>
      <c r="F608" s="586"/>
      <c r="G608" s="582" t="b">
        <v>1</v>
      </c>
      <c r="H608" s="587"/>
      <c r="I608" s="592"/>
      <c r="J608" s="371"/>
      <c r="K608" s="371"/>
      <c r="L608" s="371"/>
      <c r="M608" s="371"/>
      <c r="N608" s="371"/>
      <c r="O608" s="371"/>
      <c r="P608" s="371"/>
      <c r="Q608" s="371"/>
    </row>
    <row r="609">
      <c r="A609" s="573">
        <v>122.0</v>
      </c>
      <c r="B609" s="574" t="b">
        <v>0</v>
      </c>
      <c r="C609" s="595"/>
      <c r="D609" s="576"/>
      <c r="E609" s="589"/>
      <c r="F609" s="628"/>
      <c r="G609" s="574" t="b">
        <v>1</v>
      </c>
      <c r="H609" s="579"/>
      <c r="I609" s="580"/>
      <c r="J609" s="371"/>
      <c r="K609" s="371"/>
      <c r="L609" s="371"/>
      <c r="M609" s="371"/>
      <c r="N609" s="371"/>
      <c r="O609" s="371"/>
      <c r="P609" s="371"/>
      <c r="Q609" s="371"/>
    </row>
    <row r="610">
      <c r="A610" s="581">
        <v>123.0</v>
      </c>
      <c r="B610" s="582" t="b">
        <v>0</v>
      </c>
      <c r="C610" s="594"/>
      <c r="D610" s="584"/>
      <c r="E610" s="591"/>
      <c r="F610" s="586"/>
      <c r="G610" s="582" t="b">
        <v>1</v>
      </c>
      <c r="H610" s="587"/>
      <c r="I610" s="592"/>
      <c r="J610" s="371"/>
      <c r="K610" s="371"/>
      <c r="L610" s="371"/>
      <c r="M610" s="371"/>
      <c r="N610" s="371"/>
      <c r="O610" s="371"/>
      <c r="P610" s="371"/>
      <c r="Q610" s="371"/>
    </row>
    <row r="611">
      <c r="A611" s="573">
        <v>124.0</v>
      </c>
      <c r="B611" s="574" t="b">
        <v>0</v>
      </c>
      <c r="C611" s="595"/>
      <c r="D611" s="576"/>
      <c r="E611" s="589"/>
      <c r="F611" s="578"/>
      <c r="G611" s="574" t="b">
        <v>1</v>
      </c>
      <c r="H611" s="579"/>
      <c r="I611" s="580"/>
      <c r="J611" s="371"/>
      <c r="K611" s="371"/>
      <c r="L611" s="371"/>
      <c r="M611" s="371"/>
      <c r="N611" s="371"/>
      <c r="O611" s="371"/>
      <c r="P611" s="371"/>
      <c r="Q611" s="371"/>
    </row>
    <row r="612">
      <c r="A612" s="581">
        <v>125.0</v>
      </c>
      <c r="B612" s="582" t="b">
        <v>0</v>
      </c>
      <c r="C612" s="594"/>
      <c r="D612" s="584"/>
      <c r="E612" s="585"/>
      <c r="F612" s="586"/>
      <c r="G612" s="582" t="b">
        <v>1</v>
      </c>
      <c r="H612" s="587"/>
      <c r="I612" s="592"/>
      <c r="J612" s="371"/>
      <c r="K612" s="371"/>
      <c r="L612" s="371"/>
      <c r="M612" s="371"/>
      <c r="N612" s="371"/>
      <c r="O612" s="371"/>
      <c r="P612" s="371"/>
      <c r="Q612" s="371"/>
    </row>
    <row r="613">
      <c r="A613" s="573">
        <v>126.0</v>
      </c>
      <c r="B613" s="574" t="b">
        <v>0</v>
      </c>
      <c r="C613" s="595"/>
      <c r="D613" s="576"/>
      <c r="E613" s="589"/>
      <c r="F613" s="578"/>
      <c r="G613" s="574" t="b">
        <v>1</v>
      </c>
      <c r="H613" s="579"/>
      <c r="I613" s="580"/>
      <c r="J613" s="371"/>
      <c r="K613" s="371"/>
      <c r="L613" s="371"/>
      <c r="M613" s="371"/>
      <c r="N613" s="371"/>
      <c r="O613" s="371"/>
      <c r="P613" s="371"/>
      <c r="Q613" s="371"/>
    </row>
    <row r="614">
      <c r="A614" s="581">
        <v>127.0</v>
      </c>
      <c r="B614" s="582" t="b">
        <v>0</v>
      </c>
      <c r="C614" s="594"/>
      <c r="D614" s="584"/>
      <c r="E614" s="585"/>
      <c r="F614" s="586"/>
      <c r="G614" s="582" t="b">
        <v>1</v>
      </c>
      <c r="H614" s="587"/>
      <c r="I614" s="592"/>
      <c r="J614" s="371"/>
      <c r="K614" s="371"/>
      <c r="L614" s="371"/>
      <c r="M614" s="371"/>
      <c r="N614" s="371"/>
      <c r="O614" s="371"/>
      <c r="P614" s="371"/>
      <c r="Q614" s="371"/>
    </row>
    <row r="615">
      <c r="A615" s="573">
        <v>128.0</v>
      </c>
      <c r="B615" s="574" t="b">
        <v>0</v>
      </c>
      <c r="C615" s="595"/>
      <c r="D615" s="576"/>
      <c r="E615" s="589"/>
      <c r="F615" s="578"/>
      <c r="G615" s="574" t="b">
        <v>1</v>
      </c>
      <c r="H615" s="579"/>
      <c r="I615" s="580"/>
      <c r="J615" s="371"/>
      <c r="K615" s="371"/>
      <c r="L615" s="371"/>
      <c r="M615" s="371"/>
      <c r="N615" s="371"/>
      <c r="O615" s="371"/>
      <c r="P615" s="371"/>
      <c r="Q615" s="371"/>
    </row>
    <row r="616">
      <c r="A616" s="581">
        <v>129.0</v>
      </c>
      <c r="B616" s="582" t="b">
        <v>0</v>
      </c>
      <c r="C616" s="594"/>
      <c r="D616" s="584"/>
      <c r="E616" s="585"/>
      <c r="F616" s="586"/>
      <c r="G616" s="582" t="b">
        <v>1</v>
      </c>
      <c r="H616" s="587"/>
      <c r="I616" s="592"/>
      <c r="J616" s="371"/>
      <c r="K616" s="371"/>
      <c r="L616" s="371"/>
      <c r="M616" s="371"/>
      <c r="N616" s="371"/>
      <c r="O616" s="371"/>
      <c r="P616" s="371"/>
      <c r="Q616" s="371"/>
    </row>
    <row r="617">
      <c r="A617" s="573">
        <v>130.0</v>
      </c>
      <c r="B617" s="574" t="b">
        <v>0</v>
      </c>
      <c r="C617" s="595"/>
      <c r="D617" s="576"/>
      <c r="E617" s="589"/>
      <c r="F617" s="578"/>
      <c r="G617" s="574" t="b">
        <v>1</v>
      </c>
      <c r="H617" s="579"/>
      <c r="I617" s="580"/>
      <c r="J617" s="371"/>
      <c r="K617" s="371"/>
      <c r="L617" s="371"/>
      <c r="M617" s="371"/>
      <c r="N617" s="371"/>
      <c r="O617" s="371"/>
      <c r="P617" s="371"/>
      <c r="Q617" s="371"/>
    </row>
    <row r="618">
      <c r="A618" s="581">
        <v>131.0</v>
      </c>
      <c r="B618" s="582" t="b">
        <v>0</v>
      </c>
      <c r="C618" s="594"/>
      <c r="D618" s="584"/>
      <c r="E618" s="585"/>
      <c r="F618" s="586"/>
      <c r="G618" s="582" t="b">
        <v>1</v>
      </c>
      <c r="H618" s="587"/>
      <c r="I618" s="592"/>
      <c r="J618" s="371"/>
      <c r="K618" s="371"/>
      <c r="L618" s="371"/>
      <c r="M618" s="371"/>
      <c r="N618" s="371"/>
      <c r="O618" s="371"/>
      <c r="P618" s="371"/>
      <c r="Q618" s="371"/>
    </row>
    <row r="619">
      <c r="A619" s="573">
        <v>132.0</v>
      </c>
      <c r="B619" s="574" t="b">
        <v>0</v>
      </c>
      <c r="C619" s="595"/>
      <c r="D619" s="576"/>
      <c r="E619" s="589"/>
      <c r="F619" s="578"/>
      <c r="G619" s="574" t="b">
        <v>1</v>
      </c>
      <c r="H619" s="579"/>
      <c r="I619" s="580"/>
      <c r="J619" s="371"/>
      <c r="K619" s="371"/>
      <c r="L619" s="371"/>
      <c r="M619" s="371"/>
      <c r="N619" s="371"/>
      <c r="O619" s="371"/>
      <c r="P619" s="371"/>
      <c r="Q619" s="371"/>
    </row>
    <row r="620">
      <c r="A620" s="581">
        <v>133.0</v>
      </c>
      <c r="B620" s="582" t="b">
        <v>0</v>
      </c>
      <c r="C620" s="594"/>
      <c r="D620" s="584"/>
      <c r="E620" s="585"/>
      <c r="F620" s="586"/>
      <c r="G620" s="587"/>
      <c r="H620" s="587"/>
      <c r="I620" s="592"/>
      <c r="J620" s="371"/>
      <c r="K620" s="371"/>
      <c r="L620" s="371"/>
      <c r="M620" s="371"/>
      <c r="N620" s="371"/>
      <c r="O620" s="371"/>
      <c r="P620" s="371"/>
      <c r="Q620" s="371"/>
    </row>
    <row r="621">
      <c r="A621" s="573">
        <v>134.0</v>
      </c>
      <c r="B621" s="574" t="b">
        <v>0</v>
      </c>
      <c r="C621" s="629"/>
      <c r="D621" s="576"/>
      <c r="E621" s="589"/>
      <c r="F621" s="578"/>
      <c r="G621" s="579"/>
      <c r="H621" s="579"/>
      <c r="I621" s="580"/>
      <c r="J621" s="371"/>
      <c r="K621" s="371"/>
      <c r="L621" s="371"/>
      <c r="M621" s="371"/>
      <c r="N621" s="371"/>
      <c r="O621" s="371"/>
      <c r="P621" s="371"/>
      <c r="Q621" s="371"/>
    </row>
    <row r="622">
      <c r="A622" s="581">
        <v>135.0</v>
      </c>
      <c r="B622" s="582" t="b">
        <v>0</v>
      </c>
      <c r="C622" s="630"/>
      <c r="D622" s="584"/>
      <c r="E622" s="585"/>
      <c r="F622" s="586"/>
      <c r="G622" s="587"/>
      <c r="H622" s="587"/>
      <c r="I622" s="592"/>
      <c r="J622" s="371"/>
      <c r="K622" s="371"/>
      <c r="L622" s="371"/>
      <c r="M622" s="371"/>
      <c r="N622" s="371"/>
      <c r="O622" s="371"/>
      <c r="P622" s="371"/>
      <c r="Q622" s="371"/>
    </row>
    <row r="623">
      <c r="A623" s="573">
        <v>136.0</v>
      </c>
      <c r="B623" s="574" t="b">
        <v>0</v>
      </c>
      <c r="C623" s="631"/>
      <c r="D623" s="576"/>
      <c r="E623" s="589"/>
      <c r="F623" s="578"/>
      <c r="G623" s="579"/>
      <c r="H623" s="579"/>
      <c r="I623" s="580"/>
      <c r="J623" s="371"/>
      <c r="K623" s="371"/>
      <c r="L623" s="371"/>
      <c r="M623" s="371"/>
      <c r="N623" s="371"/>
      <c r="O623" s="371"/>
      <c r="P623" s="371"/>
      <c r="Q623" s="371"/>
    </row>
    <row r="624">
      <c r="A624" s="581">
        <v>137.0</v>
      </c>
      <c r="B624" s="582" t="b">
        <v>0</v>
      </c>
      <c r="C624" s="630"/>
      <c r="D624" s="584"/>
      <c r="E624" s="585"/>
      <c r="F624" s="586"/>
      <c r="G624" s="587"/>
      <c r="H624" s="587"/>
      <c r="I624" s="592"/>
      <c r="J624" s="371"/>
      <c r="K624" s="371"/>
      <c r="L624" s="371"/>
      <c r="M624" s="371"/>
      <c r="N624" s="371"/>
      <c r="O624" s="371"/>
      <c r="P624" s="371"/>
      <c r="Q624" s="371"/>
    </row>
    <row r="625">
      <c r="A625" s="573">
        <v>138.0</v>
      </c>
      <c r="B625" s="574" t="b">
        <v>0</v>
      </c>
      <c r="C625" s="631"/>
      <c r="D625" s="576"/>
      <c r="E625" s="589"/>
      <c r="F625" s="578"/>
      <c r="G625" s="579"/>
      <c r="H625" s="579"/>
      <c r="I625" s="580"/>
      <c r="J625" s="371"/>
      <c r="K625" s="371"/>
      <c r="L625" s="371"/>
      <c r="M625" s="371"/>
      <c r="N625" s="371"/>
      <c r="O625" s="371"/>
      <c r="P625" s="371"/>
      <c r="Q625" s="371"/>
    </row>
    <row r="626">
      <c r="A626" s="581">
        <v>139.0</v>
      </c>
      <c r="B626" s="582" t="b">
        <v>0</v>
      </c>
      <c r="C626" s="630"/>
      <c r="D626" s="584"/>
      <c r="E626" s="585"/>
      <c r="F626" s="586"/>
      <c r="G626" s="587"/>
      <c r="H626" s="587"/>
      <c r="I626" s="592"/>
      <c r="J626" s="371"/>
      <c r="K626" s="371"/>
      <c r="L626" s="371"/>
      <c r="M626" s="371"/>
      <c r="N626" s="371"/>
      <c r="O626" s="371"/>
      <c r="P626" s="371"/>
      <c r="Q626" s="371"/>
    </row>
    <row r="627">
      <c r="A627" s="573">
        <v>140.0</v>
      </c>
      <c r="B627" s="574" t="b">
        <v>0</v>
      </c>
      <c r="C627" s="631"/>
      <c r="D627" s="576"/>
      <c r="E627" s="589"/>
      <c r="F627" s="578"/>
      <c r="G627" s="579"/>
      <c r="H627" s="579"/>
      <c r="I627" s="580"/>
      <c r="J627" s="371"/>
      <c r="K627" s="371"/>
      <c r="L627" s="371"/>
      <c r="M627" s="371"/>
      <c r="N627" s="371"/>
      <c r="O627" s="371"/>
      <c r="P627" s="371"/>
      <c r="Q627" s="371"/>
    </row>
    <row r="628">
      <c r="A628" s="581">
        <v>141.0</v>
      </c>
      <c r="B628" s="582" t="b">
        <v>0</v>
      </c>
      <c r="C628" s="630"/>
      <c r="D628" s="584"/>
      <c r="E628" s="585"/>
      <c r="F628" s="586"/>
      <c r="G628" s="587"/>
      <c r="H628" s="587"/>
      <c r="I628" s="592"/>
      <c r="J628" s="371"/>
      <c r="K628" s="371"/>
      <c r="L628" s="371"/>
      <c r="M628" s="371"/>
      <c r="N628" s="371"/>
      <c r="O628" s="371"/>
      <c r="P628" s="371"/>
      <c r="Q628" s="371"/>
    </row>
    <row r="629">
      <c r="A629" s="573">
        <v>142.0</v>
      </c>
      <c r="B629" s="574" t="b">
        <v>0</v>
      </c>
      <c r="C629" s="631"/>
      <c r="D629" s="576"/>
      <c r="E629" s="589"/>
      <c r="F629" s="578"/>
      <c r="G629" s="579"/>
      <c r="H629" s="579"/>
      <c r="I629" s="580"/>
      <c r="J629" s="371"/>
      <c r="K629" s="371"/>
      <c r="L629" s="371"/>
      <c r="M629" s="371"/>
      <c r="N629" s="371"/>
      <c r="O629" s="371"/>
      <c r="P629" s="371"/>
      <c r="Q629" s="371"/>
    </row>
    <row r="630">
      <c r="A630" s="581">
        <v>143.0</v>
      </c>
      <c r="B630" s="582" t="b">
        <v>0</v>
      </c>
      <c r="C630" s="632"/>
      <c r="D630" s="584"/>
      <c r="E630" s="585"/>
      <c r="F630" s="586"/>
      <c r="G630" s="587"/>
      <c r="H630" s="587"/>
      <c r="I630" s="592"/>
      <c r="J630" s="371"/>
      <c r="K630" s="371"/>
      <c r="L630" s="371"/>
      <c r="M630" s="371"/>
      <c r="N630" s="371"/>
      <c r="O630" s="371"/>
      <c r="P630" s="371"/>
      <c r="Q630" s="371"/>
    </row>
    <row r="631">
      <c r="A631" s="573">
        <v>144.0</v>
      </c>
      <c r="B631" s="574" t="b">
        <v>0</v>
      </c>
      <c r="C631" s="595"/>
      <c r="D631" s="576"/>
      <c r="E631" s="589"/>
      <c r="F631" s="578"/>
      <c r="G631" s="579"/>
      <c r="H631" s="579"/>
      <c r="I631" s="580"/>
      <c r="J631" s="371"/>
      <c r="K631" s="371"/>
      <c r="L631" s="371"/>
      <c r="M631" s="371"/>
      <c r="N631" s="371"/>
      <c r="O631" s="371"/>
      <c r="P631" s="371"/>
      <c r="Q631" s="371"/>
    </row>
    <row r="632">
      <c r="A632" s="581">
        <v>145.0</v>
      </c>
      <c r="B632" s="582" t="b">
        <v>0</v>
      </c>
      <c r="C632" s="594"/>
      <c r="D632" s="584"/>
      <c r="E632" s="585"/>
      <c r="F632" s="586"/>
      <c r="G632" s="582" t="b">
        <v>1</v>
      </c>
      <c r="H632" s="587"/>
      <c r="I632" s="592"/>
      <c r="J632" s="371"/>
      <c r="K632" s="371"/>
      <c r="L632" s="371"/>
      <c r="M632" s="371"/>
      <c r="N632" s="371"/>
      <c r="O632" s="371"/>
      <c r="P632" s="371"/>
      <c r="Q632" s="371"/>
    </row>
    <row r="633">
      <c r="A633" s="573">
        <v>146.0</v>
      </c>
      <c r="B633" s="574" t="b">
        <v>0</v>
      </c>
      <c r="C633" s="595"/>
      <c r="D633" s="576"/>
      <c r="E633" s="589"/>
      <c r="F633" s="578"/>
      <c r="G633" s="574" t="b">
        <v>1</v>
      </c>
      <c r="H633" s="579"/>
      <c r="I633" s="580"/>
      <c r="J633" s="371"/>
      <c r="K633" s="371"/>
      <c r="L633" s="371"/>
      <c r="M633" s="371"/>
      <c r="N633" s="371"/>
      <c r="O633" s="371"/>
      <c r="P633" s="371"/>
      <c r="Q633" s="371"/>
    </row>
    <row r="634">
      <c r="A634" s="581">
        <v>147.0</v>
      </c>
      <c r="B634" s="582" t="b">
        <v>0</v>
      </c>
      <c r="C634" s="594"/>
      <c r="D634" s="584"/>
      <c r="E634" s="585"/>
      <c r="F634" s="586"/>
      <c r="G634" s="582" t="b">
        <v>1</v>
      </c>
      <c r="H634" s="587"/>
      <c r="I634" s="592"/>
      <c r="J634" s="371"/>
      <c r="K634" s="371"/>
      <c r="L634" s="371"/>
      <c r="M634" s="371"/>
      <c r="N634" s="371"/>
      <c r="O634" s="371"/>
      <c r="P634" s="371"/>
      <c r="Q634" s="371"/>
    </row>
    <row r="635">
      <c r="A635" s="573">
        <v>148.0</v>
      </c>
      <c r="B635" s="574" t="b">
        <v>0</v>
      </c>
      <c r="C635" s="595"/>
      <c r="D635" s="576"/>
      <c r="E635" s="589"/>
      <c r="F635" s="578"/>
      <c r="G635" s="574" t="b">
        <v>0</v>
      </c>
      <c r="H635" s="579"/>
      <c r="I635" s="580"/>
      <c r="J635" s="371"/>
      <c r="K635" s="371"/>
      <c r="L635" s="371"/>
      <c r="M635" s="371"/>
      <c r="N635" s="371"/>
      <c r="O635" s="371"/>
      <c r="P635" s="371"/>
      <c r="Q635" s="371"/>
    </row>
    <row r="636">
      <c r="A636" s="581">
        <v>149.0</v>
      </c>
      <c r="B636" s="582" t="b">
        <v>0</v>
      </c>
      <c r="C636" s="594"/>
      <c r="D636" s="584"/>
      <c r="E636" s="585"/>
      <c r="F636" s="586"/>
      <c r="G636" s="582" t="b">
        <v>0</v>
      </c>
      <c r="H636" s="587"/>
      <c r="I636" s="592"/>
      <c r="J636" s="371"/>
      <c r="K636" s="371"/>
      <c r="L636" s="371"/>
      <c r="M636" s="371"/>
      <c r="N636" s="371"/>
      <c r="O636" s="371"/>
      <c r="P636" s="371"/>
      <c r="Q636" s="371"/>
    </row>
    <row r="637">
      <c r="A637" s="573">
        <v>150.0</v>
      </c>
      <c r="B637" s="574" t="b">
        <v>0</v>
      </c>
      <c r="C637" s="595"/>
      <c r="D637" s="576"/>
      <c r="E637" s="589"/>
      <c r="F637" s="578"/>
      <c r="G637" s="574" t="b">
        <v>0</v>
      </c>
      <c r="H637" s="579"/>
      <c r="I637" s="580"/>
      <c r="J637" s="371"/>
      <c r="K637" s="371"/>
      <c r="L637" s="371"/>
      <c r="M637" s="371"/>
      <c r="N637" s="371"/>
      <c r="O637" s="371"/>
      <c r="P637" s="371"/>
      <c r="Q637" s="371"/>
    </row>
    <row r="638">
      <c r="A638" s="581">
        <v>151.0</v>
      </c>
      <c r="B638" s="582" t="b">
        <v>0</v>
      </c>
      <c r="C638" s="594"/>
      <c r="D638" s="584"/>
      <c r="E638" s="585"/>
      <c r="F638" s="586"/>
      <c r="G638" s="582" t="b">
        <v>0</v>
      </c>
      <c r="H638" s="587"/>
      <c r="I638" s="592"/>
      <c r="J638" s="371"/>
      <c r="K638" s="371"/>
      <c r="L638" s="371"/>
      <c r="M638" s="371"/>
      <c r="N638" s="371"/>
      <c r="O638" s="371"/>
      <c r="P638" s="371"/>
      <c r="Q638" s="371"/>
    </row>
    <row r="639">
      <c r="A639" s="573">
        <v>152.0</v>
      </c>
      <c r="B639" s="574" t="b">
        <v>0</v>
      </c>
      <c r="C639" s="595"/>
      <c r="D639" s="576"/>
      <c r="E639" s="589"/>
      <c r="F639" s="578"/>
      <c r="G639" s="574" t="b">
        <v>0</v>
      </c>
      <c r="H639" s="579"/>
      <c r="I639" s="580"/>
      <c r="J639" s="371"/>
      <c r="K639" s="371"/>
      <c r="L639" s="371"/>
      <c r="M639" s="371"/>
      <c r="N639" s="371"/>
      <c r="O639" s="371"/>
      <c r="P639" s="371"/>
      <c r="Q639" s="371"/>
    </row>
    <row r="640">
      <c r="A640" s="581">
        <v>153.0</v>
      </c>
      <c r="B640" s="582" t="b">
        <v>0</v>
      </c>
      <c r="C640" s="594"/>
      <c r="D640" s="584"/>
      <c r="E640" s="585"/>
      <c r="F640" s="586"/>
      <c r="G640" s="582" t="b">
        <v>0</v>
      </c>
      <c r="H640" s="587"/>
      <c r="I640" s="592"/>
      <c r="J640" s="371"/>
      <c r="K640" s="371"/>
      <c r="L640" s="371"/>
      <c r="M640" s="371"/>
      <c r="N640" s="371"/>
      <c r="O640" s="371"/>
      <c r="P640" s="371"/>
      <c r="Q640" s="371"/>
    </row>
    <row r="641">
      <c r="A641" s="573">
        <v>154.0</v>
      </c>
      <c r="B641" s="574" t="b">
        <v>0</v>
      </c>
      <c r="C641" s="595"/>
      <c r="D641" s="576"/>
      <c r="E641" s="589"/>
      <c r="F641" s="578"/>
      <c r="G641" s="574" t="b">
        <v>0</v>
      </c>
      <c r="H641" s="579"/>
      <c r="I641" s="580"/>
      <c r="J641" s="371"/>
      <c r="K641" s="371"/>
      <c r="L641" s="371"/>
      <c r="M641" s="371"/>
      <c r="N641" s="371"/>
      <c r="O641" s="371"/>
      <c r="P641" s="371"/>
      <c r="Q641" s="371"/>
    </row>
    <row r="642">
      <c r="A642" s="581">
        <v>155.0</v>
      </c>
      <c r="B642" s="582" t="b">
        <v>0</v>
      </c>
      <c r="C642" s="594"/>
      <c r="D642" s="584"/>
      <c r="E642" s="585"/>
      <c r="F642" s="586"/>
      <c r="G642" s="582" t="b">
        <v>0</v>
      </c>
      <c r="H642" s="587"/>
      <c r="I642" s="592"/>
      <c r="J642" s="371"/>
      <c r="K642" s="371"/>
      <c r="L642" s="371"/>
      <c r="M642" s="371"/>
      <c r="N642" s="371"/>
      <c r="O642" s="371"/>
      <c r="P642" s="371"/>
      <c r="Q642" s="371"/>
    </row>
    <row r="643">
      <c r="A643" s="573">
        <v>156.0</v>
      </c>
      <c r="B643" s="574" t="b">
        <v>0</v>
      </c>
      <c r="C643" s="595"/>
      <c r="D643" s="576"/>
      <c r="E643" s="589"/>
      <c r="F643" s="578"/>
      <c r="G643" s="574" t="b">
        <v>0</v>
      </c>
      <c r="H643" s="579"/>
      <c r="I643" s="580"/>
      <c r="J643" s="371"/>
      <c r="K643" s="371"/>
      <c r="L643" s="371"/>
      <c r="M643" s="371"/>
      <c r="N643" s="371"/>
      <c r="O643" s="371"/>
      <c r="P643" s="371"/>
      <c r="Q643" s="371"/>
    </row>
    <row r="644">
      <c r="A644" s="581">
        <v>157.0</v>
      </c>
      <c r="B644" s="582" t="b">
        <v>0</v>
      </c>
      <c r="C644" s="633"/>
      <c r="D644" s="634"/>
      <c r="E644" s="634"/>
      <c r="F644" s="634"/>
      <c r="G644" s="634"/>
      <c r="H644" s="634"/>
      <c r="I644" s="635"/>
      <c r="J644" s="371"/>
      <c r="K644" s="371"/>
      <c r="L644" s="371"/>
      <c r="M644" s="371"/>
      <c r="N644" s="371"/>
      <c r="O644" s="371"/>
      <c r="P644" s="371"/>
      <c r="Q644" s="371"/>
    </row>
    <row r="645">
      <c r="A645" s="573">
        <v>158.0</v>
      </c>
      <c r="B645" s="574" t="b">
        <v>0</v>
      </c>
      <c r="C645" s="595"/>
      <c r="D645" s="576"/>
      <c r="E645" s="589"/>
      <c r="F645" s="578"/>
      <c r="G645" s="579"/>
      <c r="H645" s="579"/>
      <c r="I645" s="580"/>
      <c r="J645" s="371"/>
      <c r="K645" s="371"/>
      <c r="L645" s="371"/>
      <c r="M645" s="371"/>
      <c r="N645" s="371"/>
      <c r="O645" s="371"/>
      <c r="P645" s="371"/>
      <c r="Q645" s="371"/>
    </row>
    <row r="646">
      <c r="A646" s="581">
        <v>159.0</v>
      </c>
      <c r="B646" s="582" t="b">
        <v>0</v>
      </c>
      <c r="C646" s="594"/>
      <c r="D646" s="584"/>
      <c r="E646" s="585"/>
      <c r="F646" s="586"/>
      <c r="G646" s="587"/>
      <c r="H646" s="587"/>
      <c r="I646" s="592"/>
      <c r="J646" s="371"/>
      <c r="K646" s="371"/>
      <c r="L646" s="371"/>
      <c r="M646" s="371"/>
      <c r="N646" s="371"/>
      <c r="O646" s="371"/>
      <c r="P646" s="371"/>
      <c r="Q646" s="371"/>
    </row>
    <row r="647">
      <c r="A647" s="573">
        <v>160.0</v>
      </c>
      <c r="B647" s="574" t="b">
        <v>0</v>
      </c>
      <c r="C647" s="595"/>
      <c r="D647" s="576" t="s">
        <v>2448</v>
      </c>
      <c r="E647" s="589"/>
      <c r="F647" s="578"/>
      <c r="G647" s="574" t="b">
        <v>1</v>
      </c>
      <c r="H647" s="579"/>
      <c r="I647" s="580"/>
      <c r="J647" s="371"/>
      <c r="K647" s="371"/>
      <c r="L647" s="371"/>
      <c r="M647" s="371"/>
      <c r="N647" s="371"/>
      <c r="O647" s="371"/>
      <c r="P647" s="371"/>
      <c r="Q647" s="371"/>
    </row>
    <row r="648">
      <c r="A648" s="581">
        <v>161.0</v>
      </c>
      <c r="B648" s="582" t="b">
        <v>0</v>
      </c>
      <c r="C648" s="594"/>
      <c r="D648" s="584" t="s">
        <v>2452</v>
      </c>
      <c r="E648" s="585"/>
      <c r="F648" s="586"/>
      <c r="G648" s="582" t="b">
        <v>1</v>
      </c>
      <c r="H648" s="587"/>
      <c r="I648" s="592"/>
      <c r="J648" s="371"/>
      <c r="K648" s="371"/>
      <c r="L648" s="371"/>
      <c r="M648" s="371"/>
      <c r="N648" s="371"/>
      <c r="O648" s="371"/>
      <c r="P648" s="371"/>
      <c r="Q648" s="371"/>
    </row>
    <row r="649">
      <c r="A649" s="573">
        <v>162.0</v>
      </c>
      <c r="B649" s="574" t="b">
        <v>0</v>
      </c>
      <c r="C649" s="595"/>
      <c r="D649" s="576" t="s">
        <v>2455</v>
      </c>
      <c r="E649" s="589"/>
      <c r="F649" s="578"/>
      <c r="G649" s="574" t="b">
        <v>1</v>
      </c>
      <c r="H649" s="579"/>
      <c r="I649" s="580"/>
      <c r="J649" s="371"/>
      <c r="K649" s="371"/>
      <c r="L649" s="371"/>
      <c r="M649" s="371"/>
      <c r="N649" s="371"/>
      <c r="O649" s="371"/>
      <c r="P649" s="371"/>
      <c r="Q649" s="371"/>
    </row>
    <row r="650">
      <c r="A650" s="581">
        <v>163.0</v>
      </c>
      <c r="B650" s="582" t="b">
        <v>0</v>
      </c>
      <c r="C650" s="594"/>
      <c r="D650" s="584"/>
      <c r="E650" s="585"/>
      <c r="F650" s="586"/>
      <c r="G650" s="582" t="b">
        <v>1</v>
      </c>
      <c r="H650" s="587"/>
      <c r="I650" s="592"/>
      <c r="J650" s="371"/>
      <c r="K650" s="371"/>
      <c r="L650" s="371"/>
      <c r="M650" s="371"/>
      <c r="N650" s="371"/>
      <c r="O650" s="371"/>
      <c r="P650" s="371"/>
      <c r="Q650" s="371"/>
    </row>
    <row r="651">
      <c r="A651" s="573">
        <v>164.0</v>
      </c>
      <c r="B651" s="574" t="b">
        <v>0</v>
      </c>
      <c r="C651" s="595"/>
      <c r="D651" s="576"/>
      <c r="E651" s="589"/>
      <c r="F651" s="578"/>
      <c r="G651" s="574" t="b">
        <v>1</v>
      </c>
      <c r="H651" s="579"/>
      <c r="I651" s="580"/>
      <c r="J651" s="371"/>
      <c r="K651" s="371"/>
      <c r="L651" s="371"/>
      <c r="M651" s="371"/>
      <c r="N651" s="371"/>
      <c r="O651" s="371"/>
      <c r="P651" s="371"/>
      <c r="Q651" s="371"/>
    </row>
    <row r="652">
      <c r="A652" s="581">
        <v>165.0</v>
      </c>
      <c r="B652" s="582" t="b">
        <v>0</v>
      </c>
      <c r="C652" s="594"/>
      <c r="D652" s="584"/>
      <c r="E652" s="585"/>
      <c r="F652" s="586"/>
      <c r="G652" s="587"/>
      <c r="H652" s="587"/>
      <c r="I652" s="592"/>
      <c r="J652" s="371"/>
      <c r="K652" s="371"/>
      <c r="L652" s="371"/>
      <c r="M652" s="371"/>
      <c r="N652" s="371"/>
      <c r="O652" s="371"/>
      <c r="P652" s="371"/>
      <c r="Q652" s="371"/>
    </row>
    <row r="653">
      <c r="A653" s="573">
        <v>166.0</v>
      </c>
      <c r="B653" s="574" t="b">
        <v>0</v>
      </c>
      <c r="C653" s="595"/>
      <c r="D653" s="576"/>
      <c r="E653" s="589"/>
      <c r="F653" s="578"/>
      <c r="G653" s="579"/>
      <c r="H653" s="579"/>
      <c r="I653" s="580"/>
      <c r="J653" s="371"/>
      <c r="K653" s="371"/>
      <c r="L653" s="371"/>
      <c r="M653" s="371"/>
      <c r="N653" s="371"/>
      <c r="O653" s="371"/>
      <c r="P653" s="371"/>
      <c r="Q653" s="371"/>
    </row>
    <row r="654">
      <c r="A654" s="581">
        <v>167.0</v>
      </c>
      <c r="B654" s="582" t="b">
        <v>0</v>
      </c>
      <c r="C654" s="594"/>
      <c r="D654" s="584"/>
      <c r="E654" s="585"/>
      <c r="F654" s="586"/>
      <c r="G654" s="587"/>
      <c r="H654" s="587"/>
      <c r="I654" s="592"/>
      <c r="J654" s="371"/>
      <c r="K654" s="371"/>
      <c r="L654" s="371"/>
      <c r="M654" s="371"/>
      <c r="N654" s="371"/>
      <c r="O654" s="371"/>
      <c r="P654" s="371"/>
      <c r="Q654" s="371"/>
    </row>
    <row r="655">
      <c r="A655" s="573">
        <v>168.0</v>
      </c>
      <c r="B655" s="574" t="b">
        <v>0</v>
      </c>
      <c r="C655" s="595"/>
      <c r="D655" s="576"/>
      <c r="E655" s="589"/>
      <c r="F655" s="578"/>
      <c r="G655" s="579"/>
      <c r="H655" s="579"/>
      <c r="I655" s="580"/>
      <c r="J655" s="371"/>
      <c r="K655" s="371"/>
      <c r="L655" s="371"/>
      <c r="M655" s="371"/>
      <c r="N655" s="371"/>
      <c r="O655" s="371"/>
      <c r="P655" s="371"/>
      <c r="Q655" s="371"/>
    </row>
    <row r="656">
      <c r="A656" s="581">
        <v>169.0</v>
      </c>
      <c r="B656" s="582" t="b">
        <v>0</v>
      </c>
      <c r="C656" s="594"/>
      <c r="D656" s="584"/>
      <c r="E656" s="585"/>
      <c r="F656" s="586"/>
      <c r="G656" s="587"/>
      <c r="H656" s="587"/>
      <c r="I656" s="592"/>
      <c r="J656" s="371"/>
      <c r="K656" s="371"/>
      <c r="L656" s="371"/>
      <c r="M656" s="371"/>
      <c r="N656" s="371"/>
      <c r="O656" s="371"/>
      <c r="P656" s="371"/>
      <c r="Q656" s="371"/>
    </row>
    <row r="657">
      <c r="A657" s="573">
        <v>170.0</v>
      </c>
      <c r="B657" s="574" t="b">
        <v>0</v>
      </c>
      <c r="C657" s="595"/>
      <c r="D657" s="576"/>
      <c r="E657" s="589"/>
      <c r="F657" s="578"/>
      <c r="G657" s="579"/>
      <c r="H657" s="579"/>
      <c r="I657" s="580"/>
      <c r="J657" s="371"/>
      <c r="K657" s="371"/>
      <c r="L657" s="371"/>
      <c r="M657" s="371"/>
      <c r="N657" s="371"/>
      <c r="O657" s="371"/>
      <c r="P657" s="371"/>
      <c r="Q657" s="371"/>
    </row>
    <row r="658">
      <c r="A658" s="581">
        <v>171.0</v>
      </c>
      <c r="B658" s="582" t="b">
        <v>0</v>
      </c>
      <c r="C658" s="594"/>
      <c r="D658" s="584"/>
      <c r="E658" s="585"/>
      <c r="F658" s="586"/>
      <c r="G658" s="587"/>
      <c r="H658" s="587"/>
      <c r="I658" s="592"/>
      <c r="J658" s="371"/>
      <c r="K658" s="371"/>
      <c r="L658" s="371"/>
      <c r="M658" s="371"/>
      <c r="N658" s="371"/>
      <c r="O658" s="371"/>
      <c r="P658" s="371"/>
      <c r="Q658" s="371"/>
    </row>
    <row r="659">
      <c r="A659" s="573">
        <v>172.0</v>
      </c>
      <c r="B659" s="574" t="b">
        <v>0</v>
      </c>
      <c r="C659" s="595"/>
      <c r="D659" s="576"/>
      <c r="E659" s="589"/>
      <c r="F659" s="578"/>
      <c r="G659" s="579"/>
      <c r="H659" s="579"/>
      <c r="I659" s="580"/>
      <c r="J659" s="371"/>
      <c r="K659" s="371"/>
      <c r="L659" s="371"/>
      <c r="M659" s="371"/>
      <c r="N659" s="371"/>
      <c r="O659" s="371"/>
      <c r="P659" s="371"/>
      <c r="Q659" s="371"/>
    </row>
    <row r="660">
      <c r="A660" s="581">
        <v>173.0</v>
      </c>
      <c r="B660" s="582" t="b">
        <v>0</v>
      </c>
      <c r="C660" s="594"/>
      <c r="D660" s="584"/>
      <c r="E660" s="585"/>
      <c r="F660" s="586"/>
      <c r="G660" s="587"/>
      <c r="H660" s="587"/>
      <c r="I660" s="592"/>
      <c r="J660" s="371"/>
      <c r="K660" s="371"/>
      <c r="L660" s="371"/>
      <c r="M660" s="371"/>
      <c r="N660" s="371"/>
      <c r="O660" s="371"/>
      <c r="P660" s="371"/>
      <c r="Q660" s="371"/>
    </row>
    <row r="661">
      <c r="A661" s="573">
        <v>174.0</v>
      </c>
      <c r="B661" s="574" t="b">
        <v>0</v>
      </c>
      <c r="C661" s="595"/>
      <c r="D661" s="576"/>
      <c r="E661" s="589"/>
      <c r="F661" s="578"/>
      <c r="G661" s="579"/>
      <c r="H661" s="579"/>
      <c r="I661" s="580"/>
      <c r="J661" s="371"/>
      <c r="K661" s="371"/>
      <c r="L661" s="371"/>
      <c r="M661" s="371"/>
      <c r="N661" s="371"/>
      <c r="O661" s="371"/>
      <c r="P661" s="371"/>
      <c r="Q661" s="371"/>
    </row>
    <row r="662">
      <c r="A662" s="581">
        <v>175.0</v>
      </c>
      <c r="B662" s="582" t="b">
        <v>0</v>
      </c>
      <c r="C662" s="594"/>
      <c r="D662" s="584"/>
      <c r="E662" s="585"/>
      <c r="F662" s="586"/>
      <c r="G662" s="587"/>
      <c r="H662" s="587"/>
      <c r="I662" s="592"/>
      <c r="J662" s="371"/>
      <c r="K662" s="371"/>
      <c r="L662" s="371"/>
      <c r="M662" s="371"/>
      <c r="N662" s="371"/>
      <c r="O662" s="371"/>
      <c r="P662" s="371"/>
      <c r="Q662" s="371"/>
    </row>
    <row r="663">
      <c r="A663" s="573">
        <v>176.0</v>
      </c>
      <c r="B663" s="574" t="b">
        <v>0</v>
      </c>
      <c r="C663" s="595"/>
      <c r="D663" s="576"/>
      <c r="E663" s="589"/>
      <c r="F663" s="578"/>
      <c r="G663" s="579"/>
      <c r="H663" s="579"/>
      <c r="I663" s="580"/>
      <c r="J663" s="371"/>
      <c r="K663" s="371"/>
      <c r="L663" s="371"/>
      <c r="M663" s="371"/>
      <c r="N663" s="371"/>
      <c r="O663" s="371"/>
      <c r="P663" s="371"/>
      <c r="Q663" s="371"/>
    </row>
    <row r="664">
      <c r="A664" s="581">
        <v>177.0</v>
      </c>
      <c r="B664" s="582" t="b">
        <v>0</v>
      </c>
      <c r="C664" s="594"/>
      <c r="D664" s="584"/>
      <c r="E664" s="585"/>
      <c r="F664" s="586"/>
      <c r="G664" s="587"/>
      <c r="H664" s="587"/>
      <c r="I664" s="592"/>
      <c r="J664" s="371"/>
      <c r="K664" s="371"/>
      <c r="L664" s="371"/>
      <c r="M664" s="371"/>
      <c r="N664" s="371"/>
      <c r="O664" s="371"/>
      <c r="P664" s="371"/>
      <c r="Q664" s="371"/>
    </row>
    <row r="665">
      <c r="A665" s="573">
        <v>178.0</v>
      </c>
      <c r="B665" s="574" t="b">
        <v>0</v>
      </c>
      <c r="C665" s="595"/>
      <c r="D665" s="576"/>
      <c r="E665" s="589"/>
      <c r="F665" s="578"/>
      <c r="G665" s="579"/>
      <c r="H665" s="579"/>
      <c r="I665" s="580"/>
      <c r="J665" s="371"/>
      <c r="K665" s="371"/>
      <c r="L665" s="371"/>
      <c r="M665" s="371"/>
      <c r="N665" s="371"/>
      <c r="O665" s="371"/>
      <c r="P665" s="371"/>
      <c r="Q665" s="371"/>
    </row>
    <row r="666">
      <c r="A666" s="581">
        <v>179.0</v>
      </c>
      <c r="B666" s="582" t="b">
        <v>0</v>
      </c>
      <c r="C666" s="594"/>
      <c r="D666" s="584"/>
      <c r="E666" s="585"/>
      <c r="F666" s="586"/>
      <c r="G666" s="587"/>
      <c r="H666" s="587"/>
      <c r="I666" s="592"/>
      <c r="J666" s="371"/>
      <c r="K666" s="371"/>
      <c r="L666" s="371"/>
      <c r="M666" s="371"/>
      <c r="N666" s="371"/>
      <c r="O666" s="371"/>
      <c r="P666" s="371"/>
      <c r="Q666" s="371"/>
    </row>
    <row r="667">
      <c r="A667" s="573">
        <v>180.0</v>
      </c>
      <c r="B667" s="574" t="b">
        <v>0</v>
      </c>
      <c r="C667" s="595"/>
      <c r="D667" s="576"/>
      <c r="E667" s="589"/>
      <c r="F667" s="578"/>
      <c r="G667" s="579"/>
      <c r="H667" s="579"/>
      <c r="I667" s="580"/>
      <c r="J667" s="371"/>
      <c r="K667" s="371"/>
      <c r="L667" s="371"/>
      <c r="M667" s="371"/>
      <c r="N667" s="371"/>
      <c r="O667" s="371"/>
      <c r="P667" s="371"/>
      <c r="Q667" s="371"/>
    </row>
    <row r="668">
      <c r="A668" s="581">
        <v>181.0</v>
      </c>
      <c r="B668" s="582" t="b">
        <v>0</v>
      </c>
      <c r="C668" s="594"/>
      <c r="D668" s="584"/>
      <c r="E668" s="585"/>
      <c r="F668" s="586"/>
      <c r="G668" s="587"/>
      <c r="H668" s="587"/>
      <c r="I668" s="592"/>
      <c r="J668" s="371"/>
      <c r="K668" s="371"/>
      <c r="L668" s="371"/>
      <c r="M668" s="371"/>
      <c r="N668" s="371"/>
      <c r="O668" s="371"/>
      <c r="P668" s="371"/>
      <c r="Q668" s="371"/>
    </row>
    <row r="669">
      <c r="A669" s="573">
        <v>182.0</v>
      </c>
      <c r="B669" s="574" t="b">
        <v>0</v>
      </c>
      <c r="C669" s="595"/>
      <c r="D669" s="576"/>
      <c r="E669" s="589"/>
      <c r="F669" s="578"/>
      <c r="G669" s="579"/>
      <c r="H669" s="579"/>
      <c r="I669" s="580"/>
      <c r="J669" s="371"/>
      <c r="K669" s="371"/>
      <c r="L669" s="371"/>
      <c r="M669" s="371"/>
      <c r="N669" s="371"/>
      <c r="O669" s="371"/>
      <c r="P669" s="371"/>
      <c r="Q669" s="371"/>
    </row>
    <row r="670">
      <c r="A670" s="581">
        <v>183.0</v>
      </c>
      <c r="B670" s="582" t="b">
        <v>0</v>
      </c>
      <c r="C670" s="594"/>
      <c r="D670" s="584"/>
      <c r="E670" s="585"/>
      <c r="F670" s="586"/>
      <c r="G670" s="587"/>
      <c r="H670" s="587"/>
      <c r="I670" s="592"/>
      <c r="J670" s="371"/>
      <c r="K670" s="371"/>
      <c r="L670" s="371"/>
      <c r="M670" s="371"/>
      <c r="N670" s="371"/>
      <c r="O670" s="371"/>
      <c r="P670" s="371"/>
      <c r="Q670" s="371"/>
    </row>
    <row r="671">
      <c r="A671" s="573">
        <v>184.0</v>
      </c>
      <c r="B671" s="574" t="b">
        <v>0</v>
      </c>
      <c r="C671" s="595"/>
      <c r="D671" s="576"/>
      <c r="E671" s="589"/>
      <c r="F671" s="578"/>
      <c r="G671" s="579"/>
      <c r="H671" s="579"/>
      <c r="I671" s="580"/>
      <c r="J671" s="371"/>
      <c r="K671" s="371"/>
      <c r="L671" s="371"/>
      <c r="M671" s="371"/>
      <c r="N671" s="371"/>
      <c r="O671" s="371"/>
      <c r="P671" s="371"/>
      <c r="Q671" s="371"/>
    </row>
    <row r="672">
      <c r="A672" s="581">
        <v>185.0</v>
      </c>
      <c r="B672" s="582" t="b">
        <v>0</v>
      </c>
      <c r="C672" s="594"/>
      <c r="D672" s="584"/>
      <c r="E672" s="585"/>
      <c r="F672" s="586"/>
      <c r="G672" s="587"/>
      <c r="H672" s="587"/>
      <c r="I672" s="592"/>
      <c r="J672" s="371"/>
      <c r="K672" s="371"/>
      <c r="L672" s="371"/>
      <c r="M672" s="371"/>
      <c r="N672" s="371"/>
      <c r="O672" s="371"/>
      <c r="P672" s="371"/>
      <c r="Q672" s="371"/>
    </row>
    <row r="673">
      <c r="A673" s="573">
        <v>186.0</v>
      </c>
      <c r="B673" s="574" t="b">
        <v>0</v>
      </c>
      <c r="C673" s="595"/>
      <c r="D673" s="576"/>
      <c r="E673" s="589"/>
      <c r="F673" s="578"/>
      <c r="G673" s="579"/>
      <c r="H673" s="579"/>
      <c r="I673" s="580"/>
      <c r="J673" s="371"/>
      <c r="K673" s="371"/>
      <c r="L673" s="371"/>
      <c r="M673" s="371"/>
      <c r="N673" s="371"/>
      <c r="O673" s="371"/>
      <c r="P673" s="371"/>
      <c r="Q673" s="371"/>
    </row>
    <row r="674">
      <c r="A674" s="581">
        <v>187.0</v>
      </c>
      <c r="B674" s="582" t="b">
        <v>0</v>
      </c>
      <c r="C674" s="594"/>
      <c r="D674" s="584"/>
      <c r="E674" s="585"/>
      <c r="F674" s="586"/>
      <c r="G674" s="587"/>
      <c r="H674" s="587"/>
      <c r="I674" s="592"/>
      <c r="J674" s="371"/>
      <c r="K674" s="371"/>
      <c r="L674" s="371"/>
      <c r="M674" s="371"/>
      <c r="N674" s="371"/>
      <c r="O674" s="371"/>
      <c r="P674" s="371"/>
      <c r="Q674" s="371"/>
    </row>
    <row r="675">
      <c r="A675" s="573">
        <v>188.0</v>
      </c>
      <c r="B675" s="574" t="b">
        <v>0</v>
      </c>
      <c r="C675" s="595"/>
      <c r="D675" s="576"/>
      <c r="E675" s="589"/>
      <c r="F675" s="578"/>
      <c r="G675" s="579"/>
      <c r="H675" s="579"/>
      <c r="I675" s="580"/>
      <c r="J675" s="371"/>
      <c r="K675" s="371"/>
      <c r="L675" s="371"/>
      <c r="M675" s="371"/>
      <c r="N675" s="371"/>
      <c r="O675" s="371"/>
      <c r="P675" s="371"/>
      <c r="Q675" s="371"/>
    </row>
    <row r="676">
      <c r="A676" s="581">
        <v>189.0</v>
      </c>
      <c r="B676" s="582" t="b">
        <v>0</v>
      </c>
      <c r="C676" s="594"/>
      <c r="D676" s="584"/>
      <c r="E676" s="585"/>
      <c r="F676" s="586"/>
      <c r="G676" s="587"/>
      <c r="H676" s="587"/>
      <c r="I676" s="592"/>
      <c r="J676" s="371"/>
      <c r="K676" s="371"/>
      <c r="L676" s="371"/>
      <c r="M676" s="371"/>
      <c r="N676" s="371"/>
      <c r="O676" s="371"/>
      <c r="P676" s="371"/>
      <c r="Q676" s="371"/>
    </row>
    <row r="677">
      <c r="A677" s="573">
        <v>190.0</v>
      </c>
      <c r="B677" s="574" t="b">
        <v>0</v>
      </c>
      <c r="C677" s="595"/>
      <c r="D677" s="576"/>
      <c r="E677" s="589"/>
      <c r="F677" s="578"/>
      <c r="G677" s="579"/>
      <c r="H677" s="579"/>
      <c r="I677" s="580"/>
      <c r="J677" s="371"/>
      <c r="K677" s="371"/>
      <c r="L677" s="371"/>
      <c r="M677" s="371"/>
      <c r="N677" s="371"/>
      <c r="O677" s="371"/>
      <c r="P677" s="371"/>
      <c r="Q677" s="371"/>
    </row>
    <row r="678">
      <c r="A678" s="581">
        <v>191.0</v>
      </c>
      <c r="B678" s="582" t="b">
        <v>0</v>
      </c>
      <c r="C678" s="594"/>
      <c r="D678" s="584"/>
      <c r="E678" s="585"/>
      <c r="F678" s="586"/>
      <c r="G678" s="587"/>
      <c r="H678" s="587"/>
      <c r="I678" s="592"/>
      <c r="J678" s="371"/>
      <c r="K678" s="371"/>
      <c r="L678" s="371"/>
      <c r="M678" s="371"/>
      <c r="N678" s="371"/>
      <c r="O678" s="371"/>
      <c r="P678" s="371"/>
      <c r="Q678" s="371"/>
    </row>
    <row r="679">
      <c r="A679" s="573">
        <v>192.0</v>
      </c>
      <c r="B679" s="574" t="b">
        <v>0</v>
      </c>
      <c r="C679" s="595"/>
      <c r="D679" s="576"/>
      <c r="E679" s="589"/>
      <c r="F679" s="578"/>
      <c r="G679" s="579"/>
      <c r="H679" s="579"/>
      <c r="I679" s="580"/>
      <c r="J679" s="371"/>
      <c r="K679" s="371"/>
      <c r="L679" s="371"/>
      <c r="M679" s="371"/>
      <c r="N679" s="371"/>
      <c r="O679" s="371"/>
      <c r="P679" s="371"/>
      <c r="Q679" s="371"/>
    </row>
    <row r="680">
      <c r="A680" s="581">
        <v>193.0</v>
      </c>
      <c r="B680" s="582" t="b">
        <v>0</v>
      </c>
      <c r="C680" s="594"/>
      <c r="D680" s="584"/>
      <c r="E680" s="585"/>
      <c r="F680" s="586"/>
      <c r="G680" s="587"/>
      <c r="H680" s="587"/>
      <c r="I680" s="592"/>
      <c r="J680" s="371"/>
      <c r="K680" s="371"/>
      <c r="L680" s="371"/>
      <c r="M680" s="371"/>
      <c r="N680" s="371"/>
      <c r="O680" s="371"/>
      <c r="P680" s="371"/>
      <c r="Q680" s="371"/>
    </row>
    <row r="681">
      <c r="A681" s="573">
        <v>194.0</v>
      </c>
      <c r="B681" s="574" t="b">
        <v>0</v>
      </c>
      <c r="C681" s="595"/>
      <c r="D681" s="576"/>
      <c r="E681" s="589"/>
      <c r="F681" s="578"/>
      <c r="G681" s="579"/>
      <c r="H681" s="579"/>
      <c r="I681" s="580"/>
      <c r="J681" s="371"/>
      <c r="K681" s="371"/>
      <c r="L681" s="371"/>
      <c r="M681" s="371"/>
      <c r="N681" s="371"/>
      <c r="O681" s="371"/>
      <c r="P681" s="371"/>
      <c r="Q681" s="371"/>
    </row>
    <row r="682">
      <c r="A682" s="581">
        <v>195.0</v>
      </c>
      <c r="B682" s="582" t="b">
        <v>0</v>
      </c>
      <c r="C682" s="594"/>
      <c r="D682" s="584"/>
      <c r="E682" s="585"/>
      <c r="F682" s="586"/>
      <c r="G682" s="587"/>
      <c r="H682" s="587"/>
      <c r="I682" s="592"/>
      <c r="J682" s="371"/>
      <c r="K682" s="371"/>
      <c r="L682" s="371"/>
      <c r="M682" s="371"/>
      <c r="N682" s="371"/>
      <c r="O682" s="371"/>
      <c r="P682" s="371"/>
      <c r="Q682" s="371"/>
    </row>
    <row r="683">
      <c r="A683" s="573">
        <v>196.0</v>
      </c>
      <c r="B683" s="574" t="b">
        <v>0</v>
      </c>
      <c r="C683" s="595"/>
      <c r="D683" s="576"/>
      <c r="E683" s="589"/>
      <c r="F683" s="578"/>
      <c r="G683" s="579"/>
      <c r="H683" s="579"/>
      <c r="I683" s="580"/>
      <c r="J683" s="371"/>
      <c r="K683" s="371"/>
      <c r="L683" s="371"/>
      <c r="M683" s="371"/>
      <c r="N683" s="371"/>
      <c r="O683" s="371"/>
      <c r="P683" s="371"/>
      <c r="Q683" s="371"/>
    </row>
    <row r="684">
      <c r="A684" s="581">
        <v>197.0</v>
      </c>
      <c r="B684" s="582" t="b">
        <v>0</v>
      </c>
      <c r="C684" s="594"/>
      <c r="D684" s="584"/>
      <c r="E684" s="585"/>
      <c r="F684" s="586"/>
      <c r="G684" s="587"/>
      <c r="H684" s="587"/>
      <c r="I684" s="592"/>
      <c r="J684" s="371"/>
      <c r="K684" s="371"/>
      <c r="L684" s="371"/>
      <c r="M684" s="371"/>
      <c r="N684" s="371"/>
      <c r="O684" s="371"/>
      <c r="P684" s="371"/>
      <c r="Q684" s="371"/>
    </row>
    <row r="685">
      <c r="A685" s="573">
        <v>198.0</v>
      </c>
      <c r="B685" s="574" t="b">
        <v>0</v>
      </c>
      <c r="C685" s="595"/>
      <c r="D685" s="576"/>
      <c r="E685" s="589"/>
      <c r="F685" s="578"/>
      <c r="G685" s="579"/>
      <c r="H685" s="579"/>
      <c r="I685" s="580"/>
      <c r="J685" s="371"/>
      <c r="K685" s="371"/>
      <c r="L685" s="371"/>
      <c r="M685" s="371"/>
      <c r="N685" s="371"/>
      <c r="O685" s="371"/>
      <c r="P685" s="371"/>
      <c r="Q685" s="371"/>
    </row>
    <row r="686">
      <c r="A686" s="581">
        <v>199.0</v>
      </c>
      <c r="B686" s="582" t="b">
        <v>0</v>
      </c>
      <c r="C686" s="594"/>
      <c r="D686" s="584"/>
      <c r="E686" s="585"/>
      <c r="F686" s="586"/>
      <c r="G686" s="587"/>
      <c r="H686" s="587"/>
      <c r="I686" s="592"/>
      <c r="J686" s="371"/>
      <c r="K686" s="371"/>
      <c r="L686" s="371"/>
      <c r="M686" s="371"/>
      <c r="N686" s="371"/>
      <c r="O686" s="371"/>
      <c r="P686" s="371"/>
      <c r="Q686" s="371"/>
    </row>
    <row r="687">
      <c r="A687" s="573">
        <v>200.0</v>
      </c>
      <c r="B687" s="574" t="b">
        <v>0</v>
      </c>
      <c r="C687" s="595"/>
      <c r="D687" s="576"/>
      <c r="E687" s="589"/>
      <c r="F687" s="578"/>
      <c r="G687" s="579"/>
      <c r="H687" s="579"/>
      <c r="I687" s="580"/>
      <c r="J687" s="371"/>
      <c r="K687" s="371"/>
      <c r="L687" s="371"/>
      <c r="M687" s="371"/>
      <c r="N687" s="371"/>
      <c r="O687" s="371"/>
      <c r="P687" s="371"/>
      <c r="Q687" s="371"/>
    </row>
    <row r="688">
      <c r="A688" s="581">
        <v>201.0</v>
      </c>
      <c r="B688" s="582" t="b">
        <v>0</v>
      </c>
      <c r="C688" s="594"/>
      <c r="D688" s="584"/>
      <c r="E688" s="585"/>
      <c r="F688" s="586"/>
      <c r="G688" s="587"/>
      <c r="H688" s="587"/>
      <c r="I688" s="592"/>
      <c r="J688" s="371"/>
      <c r="K688" s="371"/>
      <c r="L688" s="371"/>
      <c r="M688" s="371"/>
      <c r="N688" s="371"/>
      <c r="O688" s="371"/>
      <c r="P688" s="371"/>
      <c r="Q688" s="371"/>
    </row>
    <row r="689">
      <c r="A689" s="573">
        <v>202.0</v>
      </c>
      <c r="B689" s="574" t="b">
        <v>0</v>
      </c>
      <c r="C689" s="595"/>
      <c r="D689" s="576"/>
      <c r="E689" s="589"/>
      <c r="F689" s="578"/>
      <c r="G689" s="579"/>
      <c r="H689" s="579"/>
      <c r="I689" s="580"/>
      <c r="J689" s="371"/>
      <c r="K689" s="371"/>
      <c r="L689" s="371"/>
      <c r="M689" s="371"/>
      <c r="N689" s="371"/>
      <c r="O689" s="371"/>
      <c r="P689" s="371"/>
      <c r="Q689" s="371"/>
    </row>
    <row r="690">
      <c r="A690" s="581">
        <v>203.0</v>
      </c>
      <c r="B690" s="582" t="b">
        <v>0</v>
      </c>
      <c r="C690" s="594"/>
      <c r="D690" s="584"/>
      <c r="E690" s="585"/>
      <c r="F690" s="586"/>
      <c r="G690" s="587"/>
      <c r="H690" s="587"/>
      <c r="I690" s="592"/>
      <c r="J690" s="371"/>
      <c r="K690" s="371"/>
      <c r="L690" s="371"/>
      <c r="M690" s="371"/>
      <c r="N690" s="371"/>
      <c r="O690" s="371"/>
      <c r="P690" s="371"/>
      <c r="Q690" s="371"/>
    </row>
    <row r="691">
      <c r="A691" s="573">
        <v>204.0</v>
      </c>
      <c r="B691" s="574" t="b">
        <v>0</v>
      </c>
      <c r="C691" s="595"/>
      <c r="D691" s="576"/>
      <c r="E691" s="589"/>
      <c r="F691" s="578"/>
      <c r="G691" s="579"/>
      <c r="H691" s="579"/>
      <c r="I691" s="580"/>
      <c r="J691" s="371"/>
      <c r="K691" s="371"/>
      <c r="L691" s="371"/>
      <c r="M691" s="371"/>
      <c r="N691" s="371"/>
      <c r="O691" s="371"/>
      <c r="P691" s="371"/>
      <c r="Q691" s="371"/>
    </row>
    <row r="692">
      <c r="A692" s="581">
        <v>205.0</v>
      </c>
      <c r="B692" s="582" t="b">
        <v>0</v>
      </c>
      <c r="C692" s="594"/>
      <c r="D692" s="584"/>
      <c r="E692" s="585"/>
      <c r="F692" s="586"/>
      <c r="G692" s="587"/>
      <c r="H692" s="587"/>
      <c r="I692" s="592"/>
      <c r="J692" s="371"/>
      <c r="K692" s="371"/>
      <c r="L692" s="371"/>
      <c r="M692" s="371"/>
      <c r="N692" s="371"/>
      <c r="O692" s="371"/>
      <c r="P692" s="371"/>
      <c r="Q692" s="371"/>
    </row>
    <row r="693">
      <c r="A693" s="573">
        <v>206.0</v>
      </c>
      <c r="B693" s="574" t="b">
        <v>0</v>
      </c>
      <c r="C693" s="595"/>
      <c r="D693" s="576"/>
      <c r="E693" s="589"/>
      <c r="F693" s="578"/>
      <c r="G693" s="579"/>
      <c r="H693" s="579"/>
      <c r="I693" s="580"/>
      <c r="J693" s="371"/>
      <c r="K693" s="371"/>
      <c r="L693" s="371"/>
      <c r="M693" s="371"/>
      <c r="N693" s="371"/>
      <c r="O693" s="371"/>
      <c r="P693" s="371"/>
      <c r="Q693" s="371"/>
    </row>
    <row r="694">
      <c r="A694" s="581">
        <v>207.0</v>
      </c>
      <c r="B694" s="582" t="b">
        <v>0</v>
      </c>
      <c r="C694" s="594"/>
      <c r="D694" s="584"/>
      <c r="E694" s="585"/>
      <c r="F694" s="586"/>
      <c r="G694" s="587"/>
      <c r="H694" s="587"/>
      <c r="I694" s="592"/>
      <c r="J694" s="371"/>
      <c r="K694" s="371"/>
      <c r="L694" s="371"/>
      <c r="M694" s="371"/>
      <c r="N694" s="371"/>
      <c r="O694" s="371"/>
      <c r="P694" s="371"/>
      <c r="Q694" s="371"/>
    </row>
    <row r="695">
      <c r="A695" s="573">
        <v>208.0</v>
      </c>
      <c r="B695" s="574" t="b">
        <v>0</v>
      </c>
      <c r="C695" s="595"/>
      <c r="D695" s="576"/>
      <c r="E695" s="589"/>
      <c r="F695" s="578"/>
      <c r="G695" s="579"/>
      <c r="H695" s="579"/>
      <c r="I695" s="580"/>
      <c r="J695" s="371"/>
      <c r="K695" s="371"/>
      <c r="L695" s="371"/>
      <c r="M695" s="371"/>
      <c r="N695" s="371"/>
      <c r="O695" s="371"/>
      <c r="P695" s="371"/>
      <c r="Q695" s="371"/>
    </row>
    <row r="696">
      <c r="A696" s="581">
        <v>209.0</v>
      </c>
      <c r="B696" s="582" t="b">
        <v>0</v>
      </c>
      <c r="C696" s="594"/>
      <c r="D696" s="584"/>
      <c r="E696" s="585"/>
      <c r="F696" s="586"/>
      <c r="G696" s="587"/>
      <c r="H696" s="587"/>
      <c r="I696" s="592"/>
      <c r="J696" s="371"/>
      <c r="K696" s="371"/>
      <c r="L696" s="371"/>
      <c r="M696" s="371"/>
      <c r="N696" s="371"/>
      <c r="O696" s="371"/>
      <c r="P696" s="371"/>
      <c r="Q696" s="371"/>
    </row>
    <row r="697">
      <c r="A697" s="573">
        <v>210.0</v>
      </c>
      <c r="B697" s="574" t="b">
        <v>0</v>
      </c>
      <c r="C697" s="595"/>
      <c r="D697" s="576"/>
      <c r="E697" s="589"/>
      <c r="F697" s="578"/>
      <c r="G697" s="579"/>
      <c r="H697" s="579"/>
      <c r="I697" s="580"/>
      <c r="J697" s="371"/>
      <c r="K697" s="371"/>
      <c r="L697" s="371"/>
      <c r="M697" s="371"/>
      <c r="N697" s="371"/>
      <c r="O697" s="371"/>
      <c r="P697" s="371"/>
      <c r="Q697" s="371"/>
    </row>
    <row r="698">
      <c r="A698" s="581">
        <v>211.0</v>
      </c>
      <c r="B698" s="582" t="b">
        <v>0</v>
      </c>
      <c r="C698" s="594"/>
      <c r="D698" s="584"/>
      <c r="E698" s="585"/>
      <c r="F698" s="586"/>
      <c r="G698" s="587"/>
      <c r="H698" s="587"/>
      <c r="I698" s="592"/>
      <c r="J698" s="371"/>
      <c r="K698" s="371"/>
      <c r="L698" s="371"/>
      <c r="M698" s="371"/>
      <c r="N698" s="371"/>
      <c r="O698" s="371"/>
      <c r="P698" s="371"/>
      <c r="Q698" s="371"/>
    </row>
    <row r="699">
      <c r="A699" s="573">
        <v>212.0</v>
      </c>
      <c r="B699" s="574" t="b">
        <v>0</v>
      </c>
      <c r="C699" s="595"/>
      <c r="D699" s="576"/>
      <c r="E699" s="589"/>
      <c r="F699" s="578"/>
      <c r="G699" s="579"/>
      <c r="H699" s="579"/>
      <c r="I699" s="580"/>
      <c r="J699" s="371"/>
      <c r="K699" s="371"/>
      <c r="L699" s="371"/>
      <c r="M699" s="371"/>
      <c r="N699" s="371"/>
      <c r="O699" s="371"/>
      <c r="P699" s="371"/>
      <c r="Q699" s="371"/>
    </row>
    <row r="700">
      <c r="A700" s="581">
        <v>213.0</v>
      </c>
      <c r="B700" s="582" t="b">
        <v>0</v>
      </c>
      <c r="C700" s="594"/>
      <c r="D700" s="584"/>
      <c r="E700" s="585"/>
      <c r="F700" s="586"/>
      <c r="G700" s="587"/>
      <c r="H700" s="587"/>
      <c r="I700" s="592"/>
      <c r="J700" s="371"/>
      <c r="K700" s="371"/>
      <c r="L700" s="371"/>
      <c r="M700" s="371"/>
      <c r="N700" s="371"/>
      <c r="O700" s="371"/>
      <c r="P700" s="371"/>
      <c r="Q700" s="371"/>
    </row>
    <row r="701">
      <c r="A701" s="573">
        <v>214.0</v>
      </c>
      <c r="B701" s="574" t="b">
        <v>0</v>
      </c>
      <c r="C701" s="595"/>
      <c r="D701" s="576"/>
      <c r="E701" s="589"/>
      <c r="F701" s="578"/>
      <c r="G701" s="579"/>
      <c r="H701" s="579"/>
      <c r="I701" s="580"/>
      <c r="J701" s="371"/>
      <c r="K701" s="371"/>
      <c r="L701" s="371"/>
      <c r="M701" s="371"/>
      <c r="N701" s="371"/>
      <c r="O701" s="371"/>
      <c r="P701" s="371"/>
      <c r="Q701" s="371"/>
    </row>
    <row r="702">
      <c r="A702" s="581">
        <v>215.0</v>
      </c>
      <c r="B702" s="582" t="b">
        <v>0</v>
      </c>
      <c r="C702" s="594"/>
      <c r="D702" s="584"/>
      <c r="E702" s="585"/>
      <c r="F702" s="586"/>
      <c r="G702" s="587"/>
      <c r="H702" s="587"/>
      <c r="I702" s="592"/>
      <c r="J702" s="371"/>
      <c r="K702" s="371"/>
      <c r="L702" s="371"/>
      <c r="M702" s="371"/>
      <c r="N702" s="371"/>
      <c r="O702" s="371"/>
      <c r="P702" s="371"/>
      <c r="Q702" s="371"/>
    </row>
    <row r="703">
      <c r="A703" s="573">
        <v>216.0</v>
      </c>
      <c r="B703" s="574" t="b">
        <v>0</v>
      </c>
      <c r="C703" s="595"/>
      <c r="D703" s="576"/>
      <c r="E703" s="589"/>
      <c r="F703" s="578"/>
      <c r="G703" s="579"/>
      <c r="H703" s="579"/>
      <c r="I703" s="580"/>
      <c r="J703" s="371"/>
      <c r="K703" s="371"/>
      <c r="L703" s="371"/>
      <c r="M703" s="371"/>
      <c r="N703" s="371"/>
      <c r="O703" s="371"/>
      <c r="P703" s="371"/>
      <c r="Q703" s="371"/>
    </row>
    <row r="704">
      <c r="A704" s="581">
        <v>217.0</v>
      </c>
      <c r="B704" s="582" t="b">
        <v>0</v>
      </c>
      <c r="C704" s="594"/>
      <c r="D704" s="584"/>
      <c r="E704" s="585"/>
      <c r="F704" s="586"/>
      <c r="G704" s="587"/>
      <c r="H704" s="587"/>
      <c r="I704" s="592"/>
      <c r="J704" s="371"/>
      <c r="K704" s="371"/>
      <c r="L704" s="371"/>
      <c r="M704" s="371"/>
      <c r="N704" s="371"/>
      <c r="O704" s="371"/>
      <c r="P704" s="371"/>
      <c r="Q704" s="371"/>
    </row>
    <row r="705">
      <c r="A705" s="573">
        <v>218.0</v>
      </c>
      <c r="B705" s="574" t="b">
        <v>0</v>
      </c>
      <c r="C705" s="595"/>
      <c r="D705" s="576"/>
      <c r="E705" s="589"/>
      <c r="F705" s="578"/>
      <c r="G705" s="579"/>
      <c r="H705" s="579"/>
      <c r="I705" s="580"/>
      <c r="J705" s="371"/>
      <c r="K705" s="371"/>
      <c r="L705" s="371"/>
      <c r="M705" s="371"/>
      <c r="N705" s="371"/>
      <c r="O705" s="371"/>
      <c r="P705" s="371"/>
      <c r="Q705" s="371"/>
    </row>
    <row r="706">
      <c r="A706" s="581">
        <v>219.0</v>
      </c>
      <c r="B706" s="582" t="b">
        <v>0</v>
      </c>
      <c r="C706" s="594"/>
      <c r="D706" s="584"/>
      <c r="E706" s="585"/>
      <c r="F706" s="586"/>
      <c r="G706" s="587"/>
      <c r="H706" s="587"/>
      <c r="I706" s="592"/>
      <c r="J706" s="371"/>
      <c r="K706" s="371"/>
      <c r="L706" s="371"/>
      <c r="M706" s="371"/>
      <c r="N706" s="371"/>
      <c r="O706" s="371"/>
      <c r="P706" s="371"/>
      <c r="Q706" s="371"/>
    </row>
    <row r="707">
      <c r="A707" s="573">
        <v>220.0</v>
      </c>
      <c r="B707" s="574" t="b">
        <v>0</v>
      </c>
      <c r="C707" s="595"/>
      <c r="D707" s="576"/>
      <c r="E707" s="589"/>
      <c r="F707" s="578"/>
      <c r="G707" s="579"/>
      <c r="H707" s="579"/>
      <c r="I707" s="580"/>
      <c r="J707" s="371"/>
      <c r="K707" s="371"/>
      <c r="L707" s="371"/>
      <c r="M707" s="371"/>
      <c r="N707" s="371"/>
      <c r="O707" s="371"/>
      <c r="P707" s="371"/>
      <c r="Q707" s="371"/>
    </row>
    <row r="708">
      <c r="A708" s="581">
        <v>221.0</v>
      </c>
      <c r="B708" s="582" t="b">
        <v>0</v>
      </c>
      <c r="C708" s="594"/>
      <c r="D708" s="584"/>
      <c r="E708" s="585"/>
      <c r="F708" s="586"/>
      <c r="G708" s="587"/>
      <c r="H708" s="587"/>
      <c r="I708" s="592"/>
      <c r="J708" s="371"/>
      <c r="K708" s="371"/>
      <c r="L708" s="371"/>
      <c r="M708" s="371"/>
      <c r="N708" s="371"/>
      <c r="O708" s="371"/>
      <c r="P708" s="371"/>
      <c r="Q708" s="371"/>
    </row>
    <row r="709">
      <c r="A709" s="573">
        <v>222.0</v>
      </c>
      <c r="B709" s="574" t="b">
        <v>0</v>
      </c>
      <c r="C709" s="595"/>
      <c r="D709" s="576"/>
      <c r="E709" s="589"/>
      <c r="F709" s="578"/>
      <c r="G709" s="579"/>
      <c r="H709" s="579"/>
      <c r="I709" s="580"/>
      <c r="J709" s="371"/>
      <c r="K709" s="371"/>
      <c r="L709" s="371"/>
      <c r="M709" s="371"/>
      <c r="N709" s="371"/>
      <c r="O709" s="371"/>
      <c r="P709" s="371"/>
      <c r="Q709" s="371"/>
    </row>
    <row r="710">
      <c r="A710" s="581">
        <v>223.0</v>
      </c>
      <c r="B710" s="582" t="b">
        <v>0</v>
      </c>
      <c r="C710" s="594"/>
      <c r="D710" s="584"/>
      <c r="E710" s="585"/>
      <c r="F710" s="586"/>
      <c r="G710" s="587"/>
      <c r="H710" s="587"/>
      <c r="I710" s="592"/>
      <c r="J710" s="371"/>
      <c r="K710" s="371"/>
      <c r="L710" s="371"/>
      <c r="M710" s="371"/>
      <c r="N710" s="371"/>
      <c r="O710" s="371"/>
      <c r="P710" s="371"/>
      <c r="Q710" s="371"/>
    </row>
    <row r="711">
      <c r="A711" s="573">
        <v>224.0</v>
      </c>
      <c r="B711" s="574" t="b">
        <v>0</v>
      </c>
      <c r="C711" s="595"/>
      <c r="D711" s="576"/>
      <c r="E711" s="589"/>
      <c r="F711" s="578"/>
      <c r="G711" s="579"/>
      <c r="H711" s="579"/>
      <c r="I711" s="580"/>
      <c r="J711" s="371"/>
      <c r="K711" s="371"/>
      <c r="L711" s="371"/>
      <c r="M711" s="371"/>
      <c r="N711" s="371"/>
      <c r="O711" s="371"/>
      <c r="P711" s="371"/>
      <c r="Q711" s="371"/>
    </row>
    <row r="712">
      <c r="A712" s="581">
        <v>225.0</v>
      </c>
      <c r="B712" s="582" t="b">
        <v>0</v>
      </c>
      <c r="C712" s="594"/>
      <c r="D712" s="584"/>
      <c r="E712" s="585"/>
      <c r="F712" s="586"/>
      <c r="G712" s="587"/>
      <c r="H712" s="587"/>
      <c r="I712" s="592"/>
      <c r="J712" s="371"/>
      <c r="K712" s="371"/>
      <c r="L712" s="371"/>
      <c r="M712" s="371"/>
      <c r="N712" s="371"/>
      <c r="O712" s="371"/>
      <c r="P712" s="371"/>
      <c r="Q712" s="371"/>
    </row>
    <row r="713">
      <c r="A713" s="573">
        <v>226.0</v>
      </c>
      <c r="B713" s="574" t="b">
        <v>0</v>
      </c>
      <c r="C713" s="595"/>
      <c r="D713" s="576"/>
      <c r="E713" s="589"/>
      <c r="F713" s="578"/>
      <c r="G713" s="579"/>
      <c r="H713" s="579"/>
      <c r="I713" s="580"/>
      <c r="J713" s="371"/>
      <c r="K713" s="371"/>
      <c r="L713" s="371"/>
      <c r="M713" s="371"/>
      <c r="N713" s="371"/>
      <c r="O713" s="371"/>
      <c r="P713" s="371"/>
      <c r="Q713" s="371"/>
    </row>
    <row r="714">
      <c r="A714" s="581">
        <v>227.0</v>
      </c>
      <c r="B714" s="582" t="b">
        <v>0</v>
      </c>
      <c r="C714" s="594"/>
      <c r="D714" s="584"/>
      <c r="E714" s="585"/>
      <c r="F714" s="586"/>
      <c r="G714" s="587"/>
      <c r="H714" s="587"/>
      <c r="I714" s="592"/>
      <c r="J714" s="371"/>
      <c r="K714" s="371"/>
      <c r="L714" s="371"/>
      <c r="M714" s="371"/>
      <c r="N714" s="371"/>
      <c r="O714" s="371"/>
      <c r="P714" s="371"/>
      <c r="Q714" s="371"/>
    </row>
    <row r="715">
      <c r="A715" s="573">
        <v>228.0</v>
      </c>
      <c r="B715" s="574" t="b">
        <v>0</v>
      </c>
      <c r="C715" s="595"/>
      <c r="D715" s="576"/>
      <c r="E715" s="589"/>
      <c r="F715" s="578"/>
      <c r="G715" s="579"/>
      <c r="H715" s="579"/>
      <c r="I715" s="580"/>
      <c r="J715" s="371"/>
      <c r="K715" s="371"/>
      <c r="L715" s="371"/>
      <c r="M715" s="371"/>
      <c r="N715" s="371"/>
      <c r="O715" s="371"/>
      <c r="P715" s="371"/>
      <c r="Q715" s="371"/>
    </row>
    <row r="716">
      <c r="A716" s="581">
        <v>229.0</v>
      </c>
      <c r="B716" s="582" t="b">
        <v>0</v>
      </c>
      <c r="C716" s="594"/>
      <c r="D716" s="584"/>
      <c r="E716" s="585"/>
      <c r="F716" s="586"/>
      <c r="G716" s="587"/>
      <c r="H716" s="587"/>
      <c r="I716" s="592"/>
      <c r="J716" s="371"/>
      <c r="K716" s="371"/>
      <c r="L716" s="371"/>
      <c r="M716" s="371"/>
      <c r="N716" s="371"/>
      <c r="O716" s="371"/>
      <c r="P716" s="371"/>
      <c r="Q716" s="371"/>
    </row>
    <row r="717">
      <c r="A717" s="573">
        <v>230.0</v>
      </c>
      <c r="B717" s="574" t="b">
        <v>0</v>
      </c>
      <c r="C717" s="595"/>
      <c r="D717" s="576"/>
      <c r="E717" s="589"/>
      <c r="F717" s="578"/>
      <c r="G717" s="579"/>
      <c r="H717" s="579"/>
      <c r="I717" s="580"/>
      <c r="J717" s="371"/>
      <c r="K717" s="371"/>
      <c r="L717" s="371"/>
      <c r="M717" s="371"/>
      <c r="N717" s="371"/>
      <c r="O717" s="371"/>
      <c r="P717" s="371"/>
      <c r="Q717" s="371"/>
    </row>
    <row r="718">
      <c r="A718" s="581">
        <v>231.0</v>
      </c>
      <c r="B718" s="582" t="b">
        <v>0</v>
      </c>
      <c r="C718" s="594"/>
      <c r="D718" s="584"/>
      <c r="E718" s="585"/>
      <c r="F718" s="586"/>
      <c r="G718" s="587"/>
      <c r="H718" s="587"/>
      <c r="I718" s="592"/>
      <c r="J718" s="371"/>
      <c r="K718" s="371"/>
      <c r="L718" s="371"/>
      <c r="M718" s="371"/>
      <c r="N718" s="371"/>
      <c r="O718" s="371"/>
      <c r="P718" s="371"/>
      <c r="Q718" s="371"/>
    </row>
    <row r="719">
      <c r="A719" s="573">
        <v>232.0</v>
      </c>
      <c r="B719" s="574" t="b">
        <v>0</v>
      </c>
      <c r="C719" s="595"/>
      <c r="D719" s="576"/>
      <c r="E719" s="589"/>
      <c r="F719" s="578"/>
      <c r="G719" s="579"/>
      <c r="H719" s="579"/>
      <c r="I719" s="580"/>
      <c r="J719" s="371"/>
      <c r="K719" s="371"/>
      <c r="L719" s="371"/>
      <c r="M719" s="371"/>
      <c r="N719" s="371"/>
      <c r="O719" s="371"/>
      <c r="P719" s="371"/>
      <c r="Q719" s="371"/>
    </row>
    <row r="720">
      <c r="A720" s="581">
        <v>233.0</v>
      </c>
      <c r="B720" s="582" t="b">
        <v>0</v>
      </c>
      <c r="C720" s="594"/>
      <c r="D720" s="584"/>
      <c r="E720" s="585"/>
      <c r="F720" s="586"/>
      <c r="G720" s="587"/>
      <c r="H720" s="587"/>
      <c r="I720" s="592"/>
      <c r="J720" s="371"/>
      <c r="K720" s="371"/>
      <c r="L720" s="371"/>
      <c r="M720" s="371"/>
      <c r="N720" s="371"/>
      <c r="O720" s="371"/>
      <c r="P720" s="371"/>
      <c r="Q720" s="371"/>
    </row>
    <row r="721">
      <c r="A721" s="573">
        <v>234.0</v>
      </c>
      <c r="B721" s="574" t="b">
        <v>0</v>
      </c>
      <c r="C721" s="595"/>
      <c r="D721" s="576"/>
      <c r="E721" s="589"/>
      <c r="F721" s="578"/>
      <c r="G721" s="579"/>
      <c r="H721" s="579"/>
      <c r="I721" s="580"/>
      <c r="J721" s="371"/>
      <c r="K721" s="371"/>
      <c r="L721" s="371"/>
      <c r="M721" s="371"/>
      <c r="N721" s="371"/>
      <c r="O721" s="371"/>
      <c r="P721" s="371"/>
      <c r="Q721" s="371"/>
    </row>
    <row r="722">
      <c r="A722" s="581">
        <v>235.0</v>
      </c>
      <c r="B722" s="582" t="b">
        <v>0</v>
      </c>
      <c r="C722" s="594"/>
      <c r="D722" s="584"/>
      <c r="E722" s="585"/>
      <c r="F722" s="586"/>
      <c r="G722" s="587"/>
      <c r="H722" s="587"/>
      <c r="I722" s="592"/>
      <c r="J722" s="371"/>
      <c r="K722" s="371"/>
      <c r="L722" s="371"/>
      <c r="M722" s="371"/>
      <c r="N722" s="371"/>
      <c r="O722" s="371"/>
      <c r="P722" s="371"/>
      <c r="Q722" s="371"/>
    </row>
    <row r="723">
      <c r="A723" s="573">
        <v>236.0</v>
      </c>
      <c r="B723" s="574" t="b">
        <v>0</v>
      </c>
      <c r="C723" s="595"/>
      <c r="D723" s="576"/>
      <c r="E723" s="589"/>
      <c r="F723" s="578"/>
      <c r="G723" s="579"/>
      <c r="H723" s="579"/>
      <c r="I723" s="580"/>
      <c r="J723" s="371"/>
      <c r="K723" s="371"/>
      <c r="L723" s="371"/>
      <c r="M723" s="371"/>
      <c r="N723" s="371"/>
      <c r="O723" s="371"/>
      <c r="P723" s="371"/>
      <c r="Q723" s="371"/>
    </row>
    <row r="724">
      <c r="A724" s="581">
        <v>237.0</v>
      </c>
      <c r="B724" s="582" t="b">
        <v>0</v>
      </c>
      <c r="C724" s="594"/>
      <c r="D724" s="584"/>
      <c r="E724" s="585"/>
      <c r="F724" s="586"/>
      <c r="G724" s="587"/>
      <c r="H724" s="587"/>
      <c r="I724" s="592"/>
      <c r="J724" s="371"/>
      <c r="K724" s="371"/>
      <c r="L724" s="371"/>
      <c r="M724" s="371"/>
      <c r="N724" s="371"/>
      <c r="O724" s="371"/>
      <c r="P724" s="371"/>
      <c r="Q724" s="371"/>
    </row>
    <row r="725">
      <c r="A725" s="573">
        <v>238.0</v>
      </c>
      <c r="B725" s="574" t="b">
        <v>0</v>
      </c>
      <c r="C725" s="595"/>
      <c r="D725" s="576"/>
      <c r="E725" s="589"/>
      <c r="F725" s="578"/>
      <c r="G725" s="579"/>
      <c r="H725" s="579"/>
      <c r="I725" s="580"/>
      <c r="J725" s="371"/>
      <c r="K725" s="371"/>
      <c r="L725" s="371"/>
      <c r="M725" s="371"/>
      <c r="N725" s="371"/>
      <c r="O725" s="371"/>
      <c r="P725" s="371"/>
      <c r="Q725" s="371"/>
    </row>
    <row r="726">
      <c r="A726" s="636" t="s">
        <v>2707</v>
      </c>
      <c r="B726" s="634"/>
      <c r="C726" s="634"/>
      <c r="D726" s="634"/>
      <c r="E726" s="634"/>
      <c r="F726" s="634"/>
      <c r="G726" s="634"/>
      <c r="H726" s="634"/>
      <c r="I726" s="635"/>
      <c r="J726" s="371"/>
      <c r="K726" s="371"/>
      <c r="L726" s="371"/>
      <c r="M726" s="371"/>
      <c r="N726" s="371"/>
      <c r="O726" s="371"/>
      <c r="P726" s="371"/>
      <c r="Q726" s="371"/>
    </row>
    <row r="727">
      <c r="A727" s="637"/>
      <c r="B727" s="637" t="s">
        <v>0</v>
      </c>
      <c r="C727" s="638"/>
      <c r="D727" s="637" t="s">
        <v>2</v>
      </c>
      <c r="E727" s="639"/>
      <c r="F727" s="640"/>
      <c r="G727" s="637"/>
      <c r="H727" s="637"/>
      <c r="I727" s="641" t="s">
        <v>6</v>
      </c>
      <c r="J727" s="371"/>
      <c r="K727" s="371"/>
      <c r="L727" s="371"/>
      <c r="M727" s="371"/>
      <c r="N727" s="371"/>
      <c r="O727" s="371"/>
      <c r="P727" s="371"/>
      <c r="Q727" s="371"/>
    </row>
    <row r="728">
      <c r="A728" s="581">
        <v>1.0</v>
      </c>
      <c r="B728" s="582" t="b">
        <v>0</v>
      </c>
      <c r="C728" s="594"/>
      <c r="D728" s="584"/>
      <c r="E728" s="591"/>
      <c r="F728" s="586"/>
      <c r="G728" s="582" t="b">
        <v>0</v>
      </c>
      <c r="H728" s="587"/>
      <c r="I728" s="592"/>
      <c r="J728" s="371"/>
      <c r="K728" s="371"/>
      <c r="L728" s="371"/>
      <c r="M728" s="371"/>
      <c r="N728" s="371"/>
      <c r="O728" s="371"/>
      <c r="P728" s="371"/>
      <c r="Q728" s="371"/>
    </row>
    <row r="729">
      <c r="A729" s="573">
        <v>2.0</v>
      </c>
      <c r="B729" s="574" t="b">
        <v>0</v>
      </c>
      <c r="C729" s="595"/>
      <c r="D729" s="576"/>
      <c r="E729" s="589"/>
      <c r="F729" s="578"/>
      <c r="G729" s="574" t="b">
        <v>1</v>
      </c>
      <c r="H729" s="579"/>
      <c r="I729" s="580"/>
      <c r="J729" s="371"/>
      <c r="K729" s="371"/>
      <c r="L729" s="371"/>
      <c r="M729" s="371"/>
      <c r="N729" s="371"/>
      <c r="O729" s="371"/>
      <c r="P729" s="371"/>
      <c r="Q729" s="371"/>
    </row>
    <row r="730">
      <c r="A730" s="581">
        <v>3.0</v>
      </c>
      <c r="B730" s="582" t="b">
        <v>0</v>
      </c>
      <c r="C730" s="594"/>
      <c r="D730" s="584"/>
      <c r="E730" s="585"/>
      <c r="F730" s="586"/>
      <c r="G730" s="582" t="b">
        <v>1</v>
      </c>
      <c r="H730" s="587"/>
      <c r="I730" s="592"/>
      <c r="J730" s="371"/>
      <c r="K730" s="371"/>
      <c r="L730" s="371"/>
      <c r="M730" s="371"/>
      <c r="N730" s="371"/>
      <c r="O730" s="371"/>
      <c r="P730" s="371"/>
      <c r="Q730" s="371"/>
    </row>
    <row r="731">
      <c r="A731" s="573">
        <v>4.0</v>
      </c>
      <c r="B731" s="574" t="b">
        <v>1</v>
      </c>
      <c r="C731" s="595"/>
      <c r="D731" s="576"/>
      <c r="E731" s="577"/>
      <c r="F731" s="578"/>
      <c r="G731" s="574" t="b">
        <v>1</v>
      </c>
      <c r="H731" s="579"/>
      <c r="I731" s="580"/>
      <c r="J731" s="371"/>
      <c r="K731" s="371"/>
      <c r="L731" s="371"/>
      <c r="M731" s="371"/>
      <c r="N731" s="371"/>
      <c r="O731" s="371"/>
      <c r="P731" s="371"/>
      <c r="Q731" s="371"/>
    </row>
    <row r="732">
      <c r="A732" s="581">
        <v>5.0</v>
      </c>
      <c r="B732" s="582" t="b">
        <v>0</v>
      </c>
      <c r="C732" s="594"/>
      <c r="D732" s="584"/>
      <c r="E732" s="591"/>
      <c r="F732" s="586"/>
      <c r="G732" s="582" t="b">
        <v>1</v>
      </c>
      <c r="H732" s="587"/>
      <c r="I732" s="592"/>
      <c r="J732" s="371"/>
      <c r="K732" s="371"/>
      <c r="L732" s="371"/>
      <c r="M732" s="371"/>
      <c r="N732" s="371"/>
      <c r="O732" s="371"/>
      <c r="P732" s="371"/>
      <c r="Q732" s="371"/>
    </row>
    <row r="733">
      <c r="A733" s="573">
        <v>6.0</v>
      </c>
      <c r="B733" s="574" t="b">
        <v>0</v>
      </c>
      <c r="C733" s="595"/>
      <c r="D733" s="576"/>
      <c r="E733" s="589"/>
      <c r="F733" s="578"/>
      <c r="G733" s="574" t="b">
        <v>0</v>
      </c>
      <c r="H733" s="579"/>
      <c r="I733" s="580"/>
      <c r="J733" s="371"/>
      <c r="K733" s="371"/>
      <c r="L733" s="371"/>
      <c r="M733" s="371"/>
      <c r="N733" s="371"/>
      <c r="O733" s="371"/>
      <c r="P733" s="371"/>
      <c r="Q733" s="371"/>
    </row>
    <row r="734">
      <c r="A734" s="581">
        <v>7.0</v>
      </c>
      <c r="B734" s="582" t="b">
        <v>0</v>
      </c>
      <c r="C734" s="642"/>
      <c r="D734" s="584"/>
      <c r="E734" s="585"/>
      <c r="F734" s="586"/>
      <c r="G734" s="582" t="b">
        <v>0</v>
      </c>
      <c r="H734" s="587"/>
      <c r="I734" s="592"/>
      <c r="J734" s="371"/>
      <c r="K734" s="371"/>
      <c r="L734" s="371"/>
      <c r="M734" s="371"/>
      <c r="N734" s="371"/>
      <c r="O734" s="371"/>
      <c r="P734" s="371"/>
      <c r="Q734" s="371"/>
    </row>
    <row r="735">
      <c r="A735" s="573">
        <v>8.0</v>
      </c>
      <c r="B735" s="574" t="b">
        <v>0</v>
      </c>
      <c r="C735" s="631"/>
      <c r="D735" s="576"/>
      <c r="E735" s="589"/>
      <c r="F735" s="578"/>
      <c r="G735" s="574" t="b">
        <v>0</v>
      </c>
      <c r="H735" s="579"/>
      <c r="I735" s="580"/>
      <c r="J735" s="371"/>
      <c r="K735" s="371"/>
      <c r="L735" s="371"/>
      <c r="M735" s="371"/>
      <c r="N735" s="371"/>
      <c r="O735" s="371"/>
      <c r="P735" s="371"/>
      <c r="Q735" s="371"/>
    </row>
    <row r="736">
      <c r="A736" s="581">
        <v>9.0</v>
      </c>
      <c r="B736" s="582" t="b">
        <v>0</v>
      </c>
      <c r="C736" s="630"/>
      <c r="D736" s="584"/>
      <c r="E736" s="585"/>
      <c r="F736" s="586"/>
      <c r="G736" s="582" t="b">
        <v>0</v>
      </c>
      <c r="H736" s="587"/>
      <c r="I736" s="592"/>
      <c r="J736" s="371"/>
      <c r="K736" s="371"/>
      <c r="L736" s="371"/>
      <c r="M736" s="371"/>
      <c r="N736" s="371"/>
      <c r="O736" s="371"/>
      <c r="P736" s="371"/>
      <c r="Q736" s="371"/>
    </row>
    <row r="737">
      <c r="A737" s="573">
        <v>10.0</v>
      </c>
      <c r="B737" s="574" t="b">
        <v>0</v>
      </c>
      <c r="C737" s="631"/>
      <c r="D737" s="576"/>
      <c r="E737" s="589"/>
      <c r="F737" s="578"/>
      <c r="G737" s="574" t="b">
        <v>0</v>
      </c>
      <c r="H737" s="579"/>
      <c r="I737" s="580"/>
      <c r="J737" s="371"/>
      <c r="K737" s="371"/>
      <c r="L737" s="371"/>
      <c r="M737" s="371"/>
      <c r="N737" s="371"/>
      <c r="O737" s="371"/>
      <c r="P737" s="371"/>
      <c r="Q737" s="371"/>
    </row>
    <row r="738">
      <c r="A738" s="581">
        <v>11.0</v>
      </c>
      <c r="B738" s="582" t="b">
        <v>0</v>
      </c>
      <c r="C738" s="630"/>
      <c r="D738" s="584"/>
      <c r="E738" s="585"/>
      <c r="F738" s="586"/>
      <c r="G738" s="582" t="b">
        <v>0</v>
      </c>
      <c r="H738" s="587"/>
      <c r="I738" s="592"/>
      <c r="J738" s="371"/>
      <c r="K738" s="371"/>
      <c r="L738" s="371"/>
      <c r="M738" s="371"/>
      <c r="N738" s="371"/>
      <c r="O738" s="371"/>
      <c r="P738" s="371"/>
      <c r="Q738" s="371"/>
    </row>
    <row r="739">
      <c r="A739" s="573">
        <v>12.0</v>
      </c>
      <c r="B739" s="574" t="b">
        <v>0</v>
      </c>
      <c r="C739" s="631"/>
      <c r="D739" s="576"/>
      <c r="E739" s="589"/>
      <c r="F739" s="578"/>
      <c r="G739" s="574" t="b">
        <v>0</v>
      </c>
      <c r="H739" s="579"/>
      <c r="I739" s="580"/>
      <c r="J739" s="371"/>
      <c r="K739" s="371"/>
      <c r="L739" s="371"/>
      <c r="M739" s="371"/>
      <c r="N739" s="371"/>
      <c r="O739" s="371"/>
      <c r="P739" s="371"/>
      <c r="Q739" s="371"/>
    </row>
    <row r="740">
      <c r="A740" s="581">
        <v>13.0</v>
      </c>
      <c r="B740" s="582" t="b">
        <v>0</v>
      </c>
      <c r="C740" s="630"/>
      <c r="D740" s="584"/>
      <c r="E740" s="585"/>
      <c r="F740" s="586"/>
      <c r="G740" s="582" t="b">
        <v>0</v>
      </c>
      <c r="H740" s="587"/>
      <c r="I740" s="592"/>
      <c r="J740" s="371"/>
      <c r="K740" s="371"/>
      <c r="L740" s="371"/>
      <c r="M740" s="371"/>
      <c r="N740" s="371"/>
      <c r="O740" s="371"/>
      <c r="P740" s="371"/>
      <c r="Q740" s="371"/>
    </row>
    <row r="741">
      <c r="A741" s="573">
        <v>14.0</v>
      </c>
      <c r="B741" s="574" t="b">
        <v>0</v>
      </c>
      <c r="C741" s="631"/>
      <c r="D741" s="576"/>
      <c r="E741" s="589"/>
      <c r="F741" s="578"/>
      <c r="G741" s="574" t="b">
        <v>0</v>
      </c>
      <c r="H741" s="579"/>
      <c r="I741" s="580"/>
      <c r="J741" s="371"/>
      <c r="K741" s="371"/>
      <c r="L741" s="371"/>
      <c r="M741" s="371"/>
      <c r="N741" s="371"/>
      <c r="O741" s="371"/>
      <c r="P741" s="371"/>
      <c r="Q741" s="371"/>
    </row>
    <row r="742">
      <c r="A742" s="581">
        <v>15.0</v>
      </c>
      <c r="B742" s="582" t="b">
        <v>0</v>
      </c>
      <c r="C742" s="632"/>
      <c r="D742" s="584"/>
      <c r="E742" s="585"/>
      <c r="F742" s="586"/>
      <c r="G742" s="582" t="b">
        <v>0</v>
      </c>
      <c r="H742" s="587"/>
      <c r="I742" s="592"/>
      <c r="J742" s="371"/>
      <c r="K742" s="371"/>
      <c r="L742" s="371"/>
      <c r="M742" s="371"/>
      <c r="N742" s="371"/>
      <c r="O742" s="371"/>
      <c r="P742" s="371"/>
      <c r="Q742" s="371"/>
    </row>
    <row r="743">
      <c r="A743" s="573">
        <v>16.0</v>
      </c>
      <c r="B743" s="574" t="b">
        <v>0</v>
      </c>
      <c r="C743" s="595"/>
      <c r="D743" s="576"/>
      <c r="E743" s="589"/>
      <c r="F743" s="578"/>
      <c r="G743" s="574" t="b">
        <v>0</v>
      </c>
      <c r="H743" s="579"/>
      <c r="I743" s="580"/>
      <c r="J743" s="371"/>
      <c r="K743" s="371"/>
      <c r="L743" s="371"/>
      <c r="M743" s="371"/>
      <c r="N743" s="371"/>
      <c r="O743" s="371"/>
      <c r="P743" s="371"/>
      <c r="Q743" s="371"/>
    </row>
    <row r="744">
      <c r="A744" s="581">
        <v>17.0</v>
      </c>
      <c r="B744" s="582" t="b">
        <v>0</v>
      </c>
      <c r="C744" s="594"/>
      <c r="D744" s="584"/>
      <c r="E744" s="585"/>
      <c r="F744" s="586"/>
      <c r="G744" s="582" t="b">
        <v>0</v>
      </c>
      <c r="H744" s="587"/>
      <c r="I744" s="592"/>
      <c r="J744" s="371"/>
      <c r="K744" s="371"/>
      <c r="L744" s="371"/>
      <c r="M744" s="371"/>
      <c r="N744" s="371"/>
      <c r="O744" s="371"/>
      <c r="P744" s="371"/>
      <c r="Q744" s="371"/>
    </row>
    <row r="745">
      <c r="A745" s="573">
        <v>18.0</v>
      </c>
      <c r="B745" s="574" t="b">
        <v>0</v>
      </c>
      <c r="C745" s="595"/>
      <c r="D745" s="576"/>
      <c r="E745" s="589"/>
      <c r="F745" s="578"/>
      <c r="G745" s="574" t="b">
        <v>0</v>
      </c>
      <c r="H745" s="579"/>
      <c r="I745" s="580"/>
      <c r="J745" s="371"/>
      <c r="K745" s="371"/>
      <c r="L745" s="371"/>
      <c r="M745" s="371"/>
      <c r="N745" s="371"/>
      <c r="O745" s="371"/>
      <c r="P745" s="371"/>
      <c r="Q745" s="371"/>
    </row>
    <row r="746">
      <c r="A746" s="581">
        <v>19.0</v>
      </c>
      <c r="B746" s="582" t="b">
        <v>0</v>
      </c>
      <c r="C746" s="594"/>
      <c r="D746" s="584"/>
      <c r="E746" s="585"/>
      <c r="F746" s="586"/>
      <c r="G746" s="582" t="b">
        <v>0</v>
      </c>
      <c r="H746" s="587"/>
      <c r="I746" s="592"/>
      <c r="J746" s="371"/>
      <c r="K746" s="371"/>
      <c r="L746" s="371"/>
      <c r="M746" s="371"/>
      <c r="N746" s="371"/>
      <c r="O746" s="371"/>
      <c r="P746" s="371"/>
      <c r="Q746" s="371"/>
    </row>
    <row r="747">
      <c r="A747" s="573">
        <v>20.0</v>
      </c>
      <c r="B747" s="574" t="b">
        <v>0</v>
      </c>
      <c r="C747" s="595"/>
      <c r="D747" s="576"/>
      <c r="E747" s="589"/>
      <c r="F747" s="578"/>
      <c r="G747" s="574" t="b">
        <v>0</v>
      </c>
      <c r="H747" s="579"/>
      <c r="I747" s="580"/>
      <c r="J747" s="371"/>
      <c r="K747" s="371"/>
      <c r="L747" s="371"/>
      <c r="M747" s="371"/>
      <c r="N747" s="371"/>
      <c r="O747" s="371"/>
      <c r="P747" s="371"/>
      <c r="Q747" s="371"/>
    </row>
    <row r="748">
      <c r="A748" s="581">
        <v>21.0</v>
      </c>
      <c r="B748" s="582" t="b">
        <v>0</v>
      </c>
      <c r="C748" s="643"/>
      <c r="D748" s="584"/>
      <c r="E748" s="585"/>
      <c r="F748" s="586"/>
      <c r="G748" s="582" t="b">
        <v>0</v>
      </c>
      <c r="H748" s="587"/>
      <c r="I748" s="592"/>
      <c r="J748" s="371"/>
      <c r="K748" s="371"/>
      <c r="L748" s="371"/>
      <c r="M748" s="371"/>
      <c r="N748" s="371"/>
      <c r="O748" s="371"/>
      <c r="P748" s="371"/>
      <c r="Q748" s="371"/>
    </row>
    <row r="749">
      <c r="A749" s="573">
        <v>22.0</v>
      </c>
      <c r="B749" s="574" t="b">
        <v>0</v>
      </c>
      <c r="C749" s="631"/>
      <c r="D749" s="576"/>
      <c r="E749" s="589"/>
      <c r="F749" s="578"/>
      <c r="G749" s="574" t="b">
        <v>0</v>
      </c>
      <c r="H749" s="579"/>
      <c r="I749" s="580"/>
      <c r="J749" s="371"/>
      <c r="K749" s="371"/>
      <c r="L749" s="371"/>
      <c r="M749" s="371"/>
      <c r="N749" s="371"/>
      <c r="O749" s="371"/>
      <c r="P749" s="371"/>
      <c r="Q749" s="371"/>
    </row>
    <row r="750">
      <c r="A750" s="581">
        <v>23.0</v>
      </c>
      <c r="B750" s="582" t="b">
        <v>0</v>
      </c>
      <c r="C750" s="630"/>
      <c r="D750" s="584" t="s">
        <v>2130</v>
      </c>
      <c r="E750" s="585"/>
      <c r="F750" s="586"/>
      <c r="G750" s="582" t="b">
        <v>0</v>
      </c>
      <c r="H750" s="587"/>
      <c r="I750" s="592"/>
      <c r="J750" s="371"/>
      <c r="K750" s="371"/>
      <c r="L750" s="371"/>
      <c r="M750" s="371"/>
      <c r="N750" s="371"/>
      <c r="O750" s="371"/>
      <c r="P750" s="371"/>
      <c r="Q750" s="371"/>
    </row>
    <row r="751">
      <c r="A751" s="573">
        <v>24.0</v>
      </c>
      <c r="B751" s="574" t="b">
        <v>0</v>
      </c>
      <c r="C751" s="644"/>
      <c r="D751" s="576" t="s">
        <v>2133</v>
      </c>
      <c r="E751" s="589"/>
      <c r="F751" s="578"/>
      <c r="G751" s="574" t="b">
        <v>0</v>
      </c>
      <c r="H751" s="579"/>
      <c r="I751" s="580"/>
      <c r="J751" s="371"/>
      <c r="K751" s="371"/>
      <c r="L751" s="371"/>
      <c r="M751" s="371"/>
      <c r="N751" s="371"/>
      <c r="O751" s="371"/>
      <c r="P751" s="371"/>
      <c r="Q751" s="371"/>
    </row>
    <row r="752">
      <c r="A752" s="581">
        <v>25.0</v>
      </c>
      <c r="B752" s="582" t="b">
        <v>0</v>
      </c>
      <c r="C752" s="594"/>
      <c r="D752" s="584"/>
      <c r="E752" s="585"/>
      <c r="F752" s="586"/>
      <c r="G752" s="582" t="b">
        <v>0</v>
      </c>
      <c r="H752" s="587"/>
      <c r="I752" s="592"/>
      <c r="J752" s="371"/>
      <c r="K752" s="371"/>
      <c r="L752" s="371"/>
      <c r="M752" s="371"/>
      <c r="N752" s="371"/>
      <c r="O752" s="371"/>
      <c r="P752" s="371"/>
      <c r="Q752" s="371"/>
    </row>
    <row r="753">
      <c r="A753" s="573">
        <v>26.0</v>
      </c>
      <c r="B753" s="574" t="b">
        <v>0</v>
      </c>
      <c r="C753" s="595"/>
      <c r="D753" s="576"/>
      <c r="E753" s="589"/>
      <c r="F753" s="578"/>
      <c r="G753" s="574" t="b">
        <v>1</v>
      </c>
      <c r="H753" s="579"/>
      <c r="I753" s="580"/>
      <c r="J753" s="371"/>
      <c r="K753" s="371"/>
      <c r="L753" s="371"/>
      <c r="M753" s="371"/>
      <c r="N753" s="371"/>
      <c r="O753" s="371"/>
      <c r="P753" s="371"/>
      <c r="Q753" s="371"/>
    </row>
    <row r="754">
      <c r="A754" s="581">
        <v>27.0</v>
      </c>
      <c r="B754" s="582" t="b">
        <v>0</v>
      </c>
      <c r="C754" s="594"/>
      <c r="D754" s="584"/>
      <c r="E754" s="585"/>
      <c r="F754" s="586"/>
      <c r="G754" s="582" t="b">
        <v>1</v>
      </c>
      <c r="H754" s="587"/>
      <c r="I754" s="592"/>
      <c r="J754" s="371"/>
      <c r="K754" s="371"/>
      <c r="L754" s="371"/>
      <c r="M754" s="371"/>
      <c r="N754" s="371"/>
      <c r="O754" s="371"/>
      <c r="P754" s="371"/>
      <c r="Q754" s="371"/>
    </row>
    <row r="755">
      <c r="A755" s="573">
        <v>28.0</v>
      </c>
      <c r="B755" s="574" t="b">
        <v>0</v>
      </c>
      <c r="C755" s="595"/>
      <c r="D755" s="576"/>
      <c r="E755" s="589"/>
      <c r="F755" s="578"/>
      <c r="G755" s="574" t="b">
        <v>1</v>
      </c>
      <c r="H755" s="579"/>
      <c r="I755" s="580"/>
      <c r="J755" s="371"/>
      <c r="K755" s="371"/>
      <c r="L755" s="371"/>
      <c r="M755" s="371"/>
      <c r="N755" s="371"/>
      <c r="O755" s="371"/>
      <c r="P755" s="371"/>
      <c r="Q755" s="371"/>
    </row>
    <row r="756">
      <c r="A756" s="581">
        <v>29.0</v>
      </c>
      <c r="B756" s="582" t="b">
        <v>0</v>
      </c>
      <c r="C756" s="594"/>
      <c r="D756" s="584"/>
      <c r="E756" s="585"/>
      <c r="F756" s="586"/>
      <c r="G756" s="582" t="b">
        <v>1</v>
      </c>
      <c r="H756" s="587"/>
      <c r="I756" s="592"/>
      <c r="J756" s="371"/>
      <c r="K756" s="371"/>
      <c r="L756" s="371"/>
      <c r="M756" s="371"/>
      <c r="N756" s="371"/>
      <c r="O756" s="371"/>
      <c r="P756" s="371"/>
      <c r="Q756" s="371"/>
    </row>
    <row r="757">
      <c r="A757" s="573">
        <v>30.0</v>
      </c>
      <c r="B757" s="574" t="b">
        <v>0</v>
      </c>
      <c r="C757" s="595"/>
      <c r="D757" s="576"/>
      <c r="E757" s="589"/>
      <c r="F757" s="578"/>
      <c r="G757" s="574" t="b">
        <v>1</v>
      </c>
      <c r="H757" s="579"/>
      <c r="I757" s="580"/>
      <c r="J757" s="371"/>
      <c r="K757" s="371"/>
      <c r="L757" s="371"/>
      <c r="M757" s="371"/>
      <c r="N757" s="371"/>
      <c r="O757" s="371"/>
      <c r="P757" s="371"/>
      <c r="Q757" s="371"/>
    </row>
    <row r="758">
      <c r="A758" s="581">
        <v>31.0</v>
      </c>
      <c r="B758" s="582" t="b">
        <v>0</v>
      </c>
      <c r="C758" s="594"/>
      <c r="D758" s="584"/>
      <c r="E758" s="585"/>
      <c r="F758" s="586"/>
      <c r="G758" s="582" t="b">
        <v>0</v>
      </c>
      <c r="H758" s="587"/>
      <c r="I758" s="592"/>
      <c r="J758" s="371"/>
      <c r="K758" s="371"/>
      <c r="L758" s="371"/>
      <c r="M758" s="371"/>
      <c r="N758" s="371"/>
      <c r="O758" s="371"/>
      <c r="P758" s="371"/>
      <c r="Q758" s="371"/>
    </row>
    <row r="759">
      <c r="A759" s="573">
        <v>32.0</v>
      </c>
      <c r="B759" s="574" t="b">
        <v>0</v>
      </c>
      <c r="C759" s="595"/>
      <c r="D759" s="576"/>
      <c r="E759" s="589"/>
      <c r="F759" s="578"/>
      <c r="G759" s="574" t="b">
        <v>0</v>
      </c>
      <c r="H759" s="579"/>
      <c r="I759" s="580"/>
      <c r="J759" s="371"/>
      <c r="K759" s="371"/>
      <c r="L759" s="371"/>
      <c r="M759" s="371"/>
      <c r="N759" s="371"/>
      <c r="O759" s="371"/>
      <c r="P759" s="371"/>
      <c r="Q759" s="371"/>
    </row>
    <row r="760">
      <c r="A760" s="581">
        <v>33.0</v>
      </c>
      <c r="B760" s="582" t="b">
        <v>1</v>
      </c>
      <c r="C760" s="594"/>
      <c r="D760" s="584"/>
      <c r="E760" s="585"/>
      <c r="F760" s="586"/>
      <c r="G760" s="582" t="b">
        <v>1</v>
      </c>
      <c r="H760" s="587"/>
      <c r="I760" s="592"/>
      <c r="J760" s="371"/>
      <c r="K760" s="371"/>
      <c r="L760" s="371"/>
      <c r="M760" s="371"/>
      <c r="N760" s="371"/>
      <c r="O760" s="371"/>
      <c r="P760" s="371"/>
      <c r="Q760" s="371"/>
    </row>
    <row r="761">
      <c r="A761" s="573">
        <v>34.0</v>
      </c>
      <c r="B761" s="574" t="b">
        <v>0</v>
      </c>
      <c r="C761" s="595"/>
      <c r="D761" s="576"/>
      <c r="E761" s="589"/>
      <c r="F761" s="578"/>
      <c r="G761" s="574" t="b">
        <v>1</v>
      </c>
      <c r="H761" s="579"/>
      <c r="I761" s="580"/>
      <c r="J761" s="371"/>
      <c r="K761" s="371"/>
      <c r="L761" s="371"/>
      <c r="M761" s="371"/>
      <c r="N761" s="371"/>
      <c r="O761" s="371"/>
      <c r="P761" s="371"/>
      <c r="Q761" s="371"/>
    </row>
    <row r="762">
      <c r="A762" s="581">
        <v>35.0</v>
      </c>
      <c r="B762" s="582" t="b">
        <v>1</v>
      </c>
      <c r="C762" s="594"/>
      <c r="D762" s="584"/>
      <c r="E762" s="585"/>
      <c r="F762" s="586"/>
      <c r="G762" s="582" t="b">
        <v>1</v>
      </c>
      <c r="H762" s="587"/>
      <c r="I762" s="592"/>
      <c r="J762" s="371"/>
      <c r="K762" s="371"/>
      <c r="L762" s="371"/>
      <c r="M762" s="371"/>
      <c r="N762" s="371"/>
      <c r="O762" s="371"/>
      <c r="P762" s="371"/>
      <c r="Q762" s="371"/>
    </row>
    <row r="763">
      <c r="A763" s="573">
        <v>36.0</v>
      </c>
      <c r="B763" s="574" t="b">
        <v>1</v>
      </c>
      <c r="C763" s="595"/>
      <c r="D763" s="576"/>
      <c r="E763" s="589"/>
      <c r="F763" s="578"/>
      <c r="G763" s="574" t="b">
        <v>1</v>
      </c>
      <c r="H763" s="579"/>
      <c r="I763" s="580"/>
      <c r="J763" s="371"/>
      <c r="K763" s="371"/>
      <c r="L763" s="371"/>
      <c r="M763" s="371"/>
      <c r="N763" s="371"/>
      <c r="O763" s="371"/>
      <c r="P763" s="371"/>
      <c r="Q763" s="371"/>
    </row>
    <row r="764">
      <c r="A764" s="581">
        <v>37.0</v>
      </c>
      <c r="B764" s="582" t="b">
        <v>1</v>
      </c>
      <c r="C764" s="594"/>
      <c r="D764" s="584"/>
      <c r="E764" s="585"/>
      <c r="F764" s="586"/>
      <c r="G764" s="582" t="b">
        <v>1</v>
      </c>
      <c r="H764" s="587"/>
      <c r="I764" s="592"/>
      <c r="J764" s="371"/>
      <c r="K764" s="371"/>
      <c r="L764" s="371"/>
      <c r="M764" s="371"/>
      <c r="N764" s="371"/>
      <c r="O764" s="371"/>
      <c r="P764" s="371"/>
      <c r="Q764" s="371"/>
    </row>
    <row r="765">
      <c r="A765" s="573">
        <v>38.0</v>
      </c>
      <c r="B765" s="574" t="b">
        <v>1</v>
      </c>
      <c r="C765" s="595"/>
      <c r="D765" s="576"/>
      <c r="E765" s="589"/>
      <c r="F765" s="645"/>
      <c r="G765" s="574" t="b">
        <v>1</v>
      </c>
      <c r="H765" s="579"/>
      <c r="I765" s="580"/>
      <c r="J765" s="371"/>
      <c r="K765" s="371"/>
      <c r="L765" s="371"/>
      <c r="M765" s="371"/>
      <c r="N765" s="371"/>
      <c r="O765" s="371"/>
      <c r="P765" s="371"/>
      <c r="Q765" s="371"/>
    </row>
    <row r="766">
      <c r="A766" s="581">
        <v>39.0</v>
      </c>
      <c r="B766" s="582" t="b">
        <v>1</v>
      </c>
      <c r="C766" s="646"/>
      <c r="D766" s="584"/>
      <c r="E766" s="585"/>
      <c r="F766" s="586"/>
      <c r="G766" s="582" t="b">
        <v>1</v>
      </c>
      <c r="H766" s="587"/>
      <c r="I766" s="592"/>
      <c r="J766" s="371"/>
      <c r="K766" s="371"/>
      <c r="L766" s="371"/>
      <c r="M766" s="371"/>
      <c r="N766" s="371"/>
      <c r="O766" s="371"/>
      <c r="P766" s="371"/>
      <c r="Q766" s="371"/>
    </row>
    <row r="767">
      <c r="A767" s="573">
        <v>40.0</v>
      </c>
      <c r="B767" s="574" t="b">
        <v>1</v>
      </c>
      <c r="C767" s="595"/>
      <c r="D767" s="576"/>
      <c r="E767" s="589"/>
      <c r="F767" s="578"/>
      <c r="G767" s="574" t="b">
        <v>1</v>
      </c>
      <c r="H767" s="579"/>
      <c r="I767" s="580"/>
      <c r="J767" s="371"/>
      <c r="K767" s="371"/>
      <c r="L767" s="371"/>
      <c r="M767" s="371"/>
      <c r="N767" s="371"/>
      <c r="O767" s="371"/>
      <c r="P767" s="371"/>
      <c r="Q767" s="371"/>
    </row>
    <row r="768">
      <c r="A768" s="581">
        <v>41.0</v>
      </c>
      <c r="B768" s="582" t="b">
        <v>0</v>
      </c>
      <c r="C768" s="594"/>
      <c r="D768" s="584"/>
      <c r="E768" s="585"/>
      <c r="F768" s="586"/>
      <c r="G768" s="582" t="b">
        <v>0</v>
      </c>
      <c r="H768" s="587"/>
      <c r="I768" s="592"/>
      <c r="J768" s="371"/>
      <c r="K768" s="371"/>
      <c r="L768" s="371"/>
      <c r="M768" s="371"/>
      <c r="N768" s="371"/>
      <c r="O768" s="371"/>
      <c r="P768" s="371"/>
      <c r="Q768" s="371"/>
    </row>
    <row r="769">
      <c r="A769" s="573">
        <v>42.0</v>
      </c>
      <c r="B769" s="574" t="b">
        <v>1</v>
      </c>
      <c r="C769" s="595"/>
      <c r="D769" s="576"/>
      <c r="E769" s="589"/>
      <c r="F769" s="578"/>
      <c r="G769" s="574" t="b">
        <v>1</v>
      </c>
      <c r="H769" s="579"/>
      <c r="I769" s="580"/>
      <c r="J769" s="371"/>
      <c r="K769" s="371"/>
      <c r="L769" s="371"/>
      <c r="M769" s="371"/>
      <c r="N769" s="371"/>
      <c r="O769" s="371"/>
      <c r="P769" s="371"/>
      <c r="Q769" s="371"/>
    </row>
    <row r="770">
      <c r="A770" s="581">
        <v>43.0</v>
      </c>
      <c r="B770" s="582" t="b">
        <v>1</v>
      </c>
      <c r="C770" s="594"/>
      <c r="D770" s="584"/>
      <c r="E770" s="585"/>
      <c r="F770" s="586"/>
      <c r="G770" s="582" t="b">
        <v>1</v>
      </c>
      <c r="H770" s="587"/>
      <c r="I770" s="592"/>
      <c r="J770" s="371"/>
      <c r="K770" s="371"/>
      <c r="L770" s="371"/>
      <c r="M770" s="371"/>
      <c r="N770" s="371"/>
      <c r="O770" s="371"/>
      <c r="P770" s="371"/>
      <c r="Q770" s="371"/>
    </row>
    <row r="771">
      <c r="A771" s="573">
        <v>44.0</v>
      </c>
      <c r="B771" s="574" t="b">
        <v>1</v>
      </c>
      <c r="C771" s="595"/>
      <c r="D771" s="576"/>
      <c r="E771" s="589"/>
      <c r="F771" s="578"/>
      <c r="G771" s="574" t="b">
        <v>1</v>
      </c>
      <c r="H771" s="579"/>
      <c r="I771" s="580"/>
      <c r="J771" s="371"/>
      <c r="K771" s="371"/>
      <c r="L771" s="371"/>
      <c r="M771" s="371"/>
      <c r="N771" s="371"/>
      <c r="O771" s="371"/>
      <c r="P771" s="371"/>
      <c r="Q771" s="371"/>
    </row>
    <row r="772">
      <c r="A772" s="581">
        <v>45.0</v>
      </c>
      <c r="B772" s="582" t="b">
        <v>0</v>
      </c>
      <c r="C772" s="594"/>
      <c r="D772" s="584"/>
      <c r="E772" s="585"/>
      <c r="F772" s="586"/>
      <c r="G772" s="582" t="b">
        <v>0</v>
      </c>
      <c r="H772" s="587"/>
      <c r="I772" s="592"/>
      <c r="J772" s="371"/>
      <c r="K772" s="371"/>
      <c r="L772" s="371"/>
      <c r="M772" s="371"/>
      <c r="N772" s="371"/>
      <c r="O772" s="371"/>
      <c r="P772" s="371"/>
      <c r="Q772" s="371"/>
    </row>
    <row r="773">
      <c r="A773" s="573">
        <v>46.0</v>
      </c>
      <c r="B773" s="574" t="b">
        <v>0</v>
      </c>
      <c r="C773" s="595"/>
      <c r="D773" s="576"/>
      <c r="E773" s="589"/>
      <c r="F773" s="578"/>
      <c r="G773" s="574" t="b">
        <v>0</v>
      </c>
      <c r="H773" s="579"/>
      <c r="I773" s="580"/>
      <c r="J773" s="371"/>
      <c r="K773" s="371"/>
      <c r="L773" s="371"/>
      <c r="M773" s="371"/>
      <c r="N773" s="371"/>
      <c r="O773" s="371"/>
      <c r="P773" s="371"/>
      <c r="Q773" s="371"/>
    </row>
    <row r="774">
      <c r="A774" s="581">
        <v>47.0</v>
      </c>
      <c r="B774" s="582" t="b">
        <v>1</v>
      </c>
      <c r="C774" s="594"/>
      <c r="D774" s="584"/>
      <c r="E774" s="585"/>
      <c r="F774" s="586"/>
      <c r="G774" s="582" t="b">
        <v>1</v>
      </c>
      <c r="H774" s="587"/>
      <c r="I774" s="592"/>
      <c r="J774" s="371"/>
      <c r="K774" s="371"/>
      <c r="L774" s="371"/>
      <c r="M774" s="371"/>
      <c r="N774" s="371"/>
      <c r="O774" s="371"/>
      <c r="P774" s="371"/>
      <c r="Q774" s="371"/>
    </row>
    <row r="775">
      <c r="A775" s="573">
        <v>48.0</v>
      </c>
      <c r="B775" s="574" t="b">
        <v>1</v>
      </c>
      <c r="C775" s="595"/>
      <c r="D775" s="576"/>
      <c r="E775" s="589"/>
      <c r="F775" s="578"/>
      <c r="G775" s="574" t="b">
        <v>1</v>
      </c>
      <c r="H775" s="579"/>
      <c r="I775" s="580"/>
      <c r="J775" s="371"/>
      <c r="K775" s="371"/>
      <c r="L775" s="371"/>
      <c r="M775" s="371"/>
      <c r="N775" s="371"/>
      <c r="O775" s="371"/>
      <c r="P775" s="371"/>
      <c r="Q775" s="371"/>
    </row>
    <row r="776">
      <c r="A776" s="581">
        <v>49.0</v>
      </c>
      <c r="B776" s="582" t="b">
        <v>0</v>
      </c>
      <c r="C776" s="594"/>
      <c r="D776" s="584"/>
      <c r="E776" s="585"/>
      <c r="F776" s="586"/>
      <c r="G776" s="582" t="b">
        <v>0</v>
      </c>
      <c r="H776" s="587"/>
      <c r="I776" s="592"/>
      <c r="J776" s="371"/>
      <c r="K776" s="371"/>
      <c r="L776" s="371"/>
      <c r="M776" s="371"/>
      <c r="N776" s="371"/>
      <c r="O776" s="371"/>
      <c r="P776" s="371"/>
      <c r="Q776" s="371"/>
    </row>
    <row r="777">
      <c r="A777" s="573">
        <v>50.0</v>
      </c>
      <c r="B777" s="574" t="b">
        <v>0</v>
      </c>
      <c r="C777" s="595"/>
      <c r="D777" s="576"/>
      <c r="E777" s="589"/>
      <c r="F777" s="578"/>
      <c r="G777" s="574" t="b">
        <v>0</v>
      </c>
      <c r="H777" s="579"/>
      <c r="I777" s="580"/>
      <c r="J777" s="371"/>
      <c r="K777" s="371"/>
      <c r="L777" s="371"/>
      <c r="M777" s="371"/>
      <c r="N777" s="371"/>
      <c r="O777" s="371"/>
      <c r="P777" s="371"/>
      <c r="Q777" s="371"/>
    </row>
    <row r="778">
      <c r="A778" s="581">
        <v>51.0</v>
      </c>
      <c r="B778" s="582" t="b">
        <v>0</v>
      </c>
      <c r="C778" s="594"/>
      <c r="D778" s="584"/>
      <c r="E778" s="585"/>
      <c r="F778" s="586"/>
      <c r="G778" s="582" t="b">
        <v>1</v>
      </c>
      <c r="H778" s="587"/>
      <c r="I778" s="592"/>
      <c r="J778" s="371"/>
      <c r="K778" s="371"/>
      <c r="L778" s="371"/>
      <c r="M778" s="371"/>
      <c r="N778" s="371"/>
      <c r="O778" s="371"/>
      <c r="P778" s="371"/>
      <c r="Q778" s="371"/>
    </row>
    <row r="779">
      <c r="A779" s="573">
        <v>52.0</v>
      </c>
      <c r="B779" s="574" t="b">
        <v>0</v>
      </c>
      <c r="C779" s="595"/>
      <c r="D779" s="576"/>
      <c r="E779" s="589"/>
      <c r="F779" s="578"/>
      <c r="G779" s="574" t="b">
        <v>1</v>
      </c>
      <c r="H779" s="579"/>
      <c r="I779" s="580"/>
      <c r="J779" s="371"/>
      <c r="K779" s="371"/>
      <c r="L779" s="371"/>
      <c r="M779" s="371"/>
      <c r="N779" s="371"/>
      <c r="O779" s="371"/>
      <c r="P779" s="371"/>
      <c r="Q779" s="371"/>
    </row>
    <row r="780">
      <c r="A780" s="581">
        <v>53.0</v>
      </c>
      <c r="B780" s="582" t="b">
        <v>0</v>
      </c>
      <c r="C780" s="594"/>
      <c r="D780" s="584"/>
      <c r="E780" s="585"/>
      <c r="F780" s="586"/>
      <c r="G780" s="582" t="b">
        <v>1</v>
      </c>
      <c r="H780" s="587"/>
      <c r="I780" s="592"/>
      <c r="J780" s="371"/>
      <c r="K780" s="371"/>
      <c r="L780" s="371"/>
      <c r="M780" s="371"/>
      <c r="N780" s="371"/>
      <c r="O780" s="371"/>
      <c r="P780" s="371"/>
      <c r="Q780" s="371"/>
    </row>
    <row r="781">
      <c r="A781" s="573">
        <v>54.0</v>
      </c>
      <c r="B781" s="574" t="b">
        <v>0</v>
      </c>
      <c r="C781" s="595"/>
      <c r="D781" s="576"/>
      <c r="E781" s="589"/>
      <c r="F781" s="578"/>
      <c r="G781" s="574" t="b">
        <v>1</v>
      </c>
      <c r="H781" s="579"/>
      <c r="I781" s="580"/>
      <c r="J781" s="371"/>
      <c r="K781" s="371"/>
      <c r="L781" s="371"/>
      <c r="M781" s="371"/>
      <c r="N781" s="371"/>
      <c r="O781" s="371"/>
      <c r="P781" s="371"/>
      <c r="Q781" s="371"/>
    </row>
    <row r="782">
      <c r="A782" s="581">
        <v>55.0</v>
      </c>
      <c r="B782" s="582" t="b">
        <v>0</v>
      </c>
      <c r="C782" s="594"/>
      <c r="D782" s="584"/>
      <c r="E782" s="585"/>
      <c r="F782" s="586"/>
      <c r="G782" s="582" t="b">
        <v>1</v>
      </c>
      <c r="H782" s="587"/>
      <c r="I782" s="592"/>
      <c r="J782" s="371"/>
      <c r="K782" s="371"/>
      <c r="L782" s="371"/>
      <c r="M782" s="371"/>
      <c r="N782" s="371"/>
      <c r="O782" s="371"/>
      <c r="P782" s="371"/>
      <c r="Q782" s="371"/>
    </row>
    <row r="783">
      <c r="A783" s="573">
        <v>56.0</v>
      </c>
      <c r="B783" s="574" t="b">
        <v>0</v>
      </c>
      <c r="C783" s="595"/>
      <c r="D783" s="576"/>
      <c r="E783" s="589"/>
      <c r="F783" s="578"/>
      <c r="G783" s="574" t="b">
        <v>1</v>
      </c>
      <c r="H783" s="579"/>
      <c r="I783" s="580"/>
      <c r="J783" s="371"/>
      <c r="K783" s="371"/>
      <c r="L783" s="371"/>
      <c r="M783" s="371"/>
      <c r="N783" s="371"/>
      <c r="O783" s="371"/>
      <c r="P783" s="371"/>
      <c r="Q783" s="371"/>
    </row>
    <row r="784">
      <c r="A784" s="581">
        <v>57.0</v>
      </c>
      <c r="B784" s="582" t="b">
        <v>0</v>
      </c>
      <c r="C784" s="594"/>
      <c r="D784" s="584"/>
      <c r="E784" s="585"/>
      <c r="F784" s="586"/>
      <c r="G784" s="582" t="b">
        <v>1</v>
      </c>
      <c r="H784" s="587"/>
      <c r="I784" s="592"/>
      <c r="J784" s="371"/>
      <c r="K784" s="371"/>
      <c r="L784" s="371"/>
      <c r="M784" s="371"/>
      <c r="N784" s="371"/>
      <c r="O784" s="371"/>
      <c r="P784" s="371"/>
      <c r="Q784" s="371"/>
    </row>
    <row r="785">
      <c r="A785" s="573">
        <v>58.0</v>
      </c>
      <c r="B785" s="574" t="b">
        <v>0</v>
      </c>
      <c r="C785" s="595"/>
      <c r="D785" s="576"/>
      <c r="E785" s="589"/>
      <c r="F785" s="578"/>
      <c r="G785" s="574" t="b">
        <v>1</v>
      </c>
      <c r="H785" s="579"/>
      <c r="I785" s="580"/>
      <c r="J785" s="371"/>
      <c r="K785" s="371"/>
      <c r="L785" s="371"/>
      <c r="M785" s="371"/>
      <c r="N785" s="371"/>
      <c r="O785" s="371"/>
      <c r="P785" s="371"/>
      <c r="Q785" s="371"/>
    </row>
    <row r="786">
      <c r="A786" s="581">
        <v>59.0</v>
      </c>
      <c r="B786" s="582" t="b">
        <v>0</v>
      </c>
      <c r="C786" s="594"/>
      <c r="D786" s="584"/>
      <c r="E786" s="585"/>
      <c r="F786" s="586"/>
      <c r="G786" s="582" t="b">
        <v>1</v>
      </c>
      <c r="H786" s="587"/>
      <c r="I786" s="592"/>
      <c r="J786" s="371"/>
      <c r="K786" s="371"/>
      <c r="L786" s="371"/>
      <c r="M786" s="371"/>
      <c r="N786" s="371"/>
      <c r="O786" s="371"/>
      <c r="P786" s="371"/>
      <c r="Q786" s="371"/>
    </row>
    <row r="787">
      <c r="A787" s="573">
        <v>60.0</v>
      </c>
      <c r="B787" s="574" t="b">
        <v>0</v>
      </c>
      <c r="C787" s="595"/>
      <c r="D787" s="576"/>
      <c r="E787" s="589"/>
      <c r="F787" s="578"/>
      <c r="G787" s="574" t="b">
        <v>0</v>
      </c>
      <c r="H787" s="579"/>
      <c r="I787" s="580"/>
      <c r="J787" s="371"/>
      <c r="K787" s="371"/>
      <c r="L787" s="371"/>
      <c r="M787" s="371"/>
      <c r="N787" s="371"/>
      <c r="O787" s="371"/>
      <c r="P787" s="371"/>
      <c r="Q787" s="371"/>
    </row>
    <row r="788">
      <c r="A788" s="581">
        <v>61.0</v>
      </c>
      <c r="B788" s="582" t="b">
        <v>0</v>
      </c>
      <c r="C788" s="594"/>
      <c r="D788" s="584"/>
      <c r="E788" s="585"/>
      <c r="F788" s="586"/>
      <c r="G788" s="582" t="b">
        <v>1</v>
      </c>
      <c r="H788" s="587"/>
      <c r="I788" s="592"/>
      <c r="J788" s="371"/>
      <c r="K788" s="371"/>
      <c r="L788" s="371"/>
      <c r="M788" s="371"/>
      <c r="N788" s="371"/>
      <c r="O788" s="371"/>
      <c r="P788" s="371"/>
      <c r="Q788" s="371"/>
    </row>
    <row r="789">
      <c r="A789" s="573">
        <v>62.0</v>
      </c>
      <c r="B789" s="574" t="b">
        <v>0</v>
      </c>
      <c r="C789" s="595"/>
      <c r="D789" s="576"/>
      <c r="E789" s="589"/>
      <c r="F789" s="578"/>
      <c r="G789" s="574" t="b">
        <v>1</v>
      </c>
      <c r="H789" s="579"/>
      <c r="I789" s="580"/>
      <c r="J789" s="371"/>
      <c r="K789" s="371"/>
      <c r="L789" s="371"/>
      <c r="M789" s="371"/>
      <c r="N789" s="371"/>
      <c r="O789" s="371"/>
      <c r="P789" s="371"/>
      <c r="Q789" s="371"/>
    </row>
    <row r="790">
      <c r="A790" s="581">
        <v>63.0</v>
      </c>
      <c r="B790" s="582" t="b">
        <v>0</v>
      </c>
      <c r="C790" s="594"/>
      <c r="D790" s="584"/>
      <c r="E790" s="585"/>
      <c r="F790" s="586"/>
      <c r="G790" s="582" t="b">
        <v>1</v>
      </c>
      <c r="H790" s="587"/>
      <c r="I790" s="592"/>
      <c r="J790" s="371"/>
      <c r="K790" s="371"/>
      <c r="L790" s="371"/>
      <c r="M790" s="371"/>
      <c r="N790" s="371"/>
      <c r="O790" s="371"/>
      <c r="P790" s="371"/>
      <c r="Q790" s="371"/>
    </row>
    <row r="791">
      <c r="A791" s="573">
        <v>64.0</v>
      </c>
      <c r="B791" s="574" t="b">
        <v>0</v>
      </c>
      <c r="C791" s="595"/>
      <c r="D791" s="576"/>
      <c r="E791" s="589"/>
      <c r="F791" s="578"/>
      <c r="G791" s="574" t="b">
        <v>0</v>
      </c>
      <c r="H791" s="579"/>
      <c r="I791" s="580"/>
      <c r="J791" s="371"/>
      <c r="K791" s="371"/>
      <c r="L791" s="371"/>
      <c r="M791" s="371"/>
      <c r="N791" s="371"/>
      <c r="O791" s="371"/>
      <c r="P791" s="371"/>
      <c r="Q791" s="371"/>
    </row>
    <row r="792">
      <c r="A792" s="581">
        <v>65.0</v>
      </c>
      <c r="B792" s="582" t="b">
        <v>0</v>
      </c>
      <c r="C792" s="594"/>
      <c r="D792" s="584"/>
      <c r="E792" s="585"/>
      <c r="F792" s="586"/>
      <c r="G792" s="582" t="b">
        <v>0</v>
      </c>
      <c r="H792" s="587"/>
      <c r="I792" s="592"/>
      <c r="J792" s="371"/>
      <c r="K792" s="371"/>
      <c r="L792" s="371"/>
      <c r="M792" s="371"/>
      <c r="N792" s="371"/>
      <c r="O792" s="371"/>
      <c r="P792" s="371"/>
      <c r="Q792" s="371"/>
    </row>
    <row r="793">
      <c r="A793" s="573">
        <v>66.0</v>
      </c>
      <c r="B793" s="574" t="b">
        <v>0</v>
      </c>
      <c r="C793" s="595"/>
      <c r="D793" s="576"/>
      <c r="E793" s="589"/>
      <c r="F793" s="578"/>
      <c r="G793" s="574" t="b">
        <v>1</v>
      </c>
      <c r="H793" s="579"/>
      <c r="I793" s="580"/>
      <c r="J793" s="371"/>
      <c r="K793" s="371"/>
      <c r="L793" s="371"/>
      <c r="M793" s="371"/>
      <c r="N793" s="371"/>
      <c r="O793" s="371"/>
      <c r="P793" s="371"/>
      <c r="Q793" s="371"/>
    </row>
    <row r="794">
      <c r="A794" s="581">
        <v>67.0</v>
      </c>
      <c r="B794" s="582" t="b">
        <v>0</v>
      </c>
      <c r="C794" s="594"/>
      <c r="D794" s="584"/>
      <c r="E794" s="585"/>
      <c r="F794" s="621"/>
      <c r="G794" s="582" t="b">
        <v>1</v>
      </c>
      <c r="H794" s="587"/>
      <c r="I794" s="592"/>
      <c r="J794" s="371"/>
      <c r="K794" s="371"/>
      <c r="L794" s="371"/>
      <c r="M794" s="371"/>
      <c r="N794" s="371"/>
      <c r="O794" s="371"/>
      <c r="P794" s="371"/>
      <c r="Q794" s="371"/>
    </row>
    <row r="795">
      <c r="A795" s="573">
        <v>68.0</v>
      </c>
      <c r="B795" s="574" t="b">
        <v>0</v>
      </c>
      <c r="C795" s="595"/>
      <c r="D795" s="576"/>
      <c r="E795" s="589"/>
      <c r="F795" s="578"/>
      <c r="G795" s="574" t="b">
        <v>1</v>
      </c>
      <c r="H795" s="579"/>
      <c r="I795" s="580"/>
      <c r="J795" s="371"/>
      <c r="K795" s="371"/>
      <c r="L795" s="371"/>
      <c r="M795" s="371"/>
      <c r="N795" s="371"/>
      <c r="O795" s="371"/>
      <c r="P795" s="371"/>
      <c r="Q795" s="371"/>
    </row>
    <row r="796">
      <c r="A796" s="581">
        <v>69.0</v>
      </c>
      <c r="B796" s="582" t="b">
        <v>0</v>
      </c>
      <c r="C796" s="594"/>
      <c r="D796" s="584"/>
      <c r="E796" s="585"/>
      <c r="F796" s="586"/>
      <c r="G796" s="582" t="b">
        <v>1</v>
      </c>
      <c r="H796" s="587"/>
      <c r="I796" s="592"/>
      <c r="J796" s="371"/>
      <c r="K796" s="371"/>
      <c r="L796" s="371"/>
      <c r="M796" s="371"/>
      <c r="N796" s="371"/>
      <c r="O796" s="371"/>
      <c r="P796" s="371"/>
      <c r="Q796" s="371"/>
    </row>
    <row r="797">
      <c r="A797" s="573">
        <v>70.0</v>
      </c>
      <c r="B797" s="574" t="b">
        <v>0</v>
      </c>
      <c r="C797" s="595"/>
      <c r="D797" s="576"/>
      <c r="E797" s="589"/>
      <c r="F797" s="578"/>
      <c r="G797" s="574" t="b">
        <v>1</v>
      </c>
      <c r="H797" s="579"/>
      <c r="I797" s="580"/>
      <c r="J797" s="371"/>
      <c r="K797" s="371"/>
      <c r="L797" s="371"/>
      <c r="M797" s="371"/>
      <c r="N797" s="371"/>
      <c r="O797" s="371"/>
      <c r="P797" s="371"/>
      <c r="Q797" s="371"/>
    </row>
    <row r="798">
      <c r="A798" s="581">
        <v>71.0</v>
      </c>
      <c r="B798" s="582" t="b">
        <v>0</v>
      </c>
      <c r="C798" s="594"/>
      <c r="D798" s="584"/>
      <c r="E798" s="585"/>
      <c r="F798" s="586"/>
      <c r="G798" s="582" t="b">
        <v>1</v>
      </c>
      <c r="H798" s="587"/>
      <c r="I798" s="592"/>
      <c r="J798" s="371"/>
      <c r="K798" s="371"/>
      <c r="L798" s="371"/>
      <c r="M798" s="371"/>
      <c r="N798" s="371"/>
      <c r="O798" s="371"/>
      <c r="P798" s="371"/>
      <c r="Q798" s="371"/>
    </row>
    <row r="799">
      <c r="A799" s="573">
        <v>72.0</v>
      </c>
      <c r="B799" s="574" t="b">
        <v>0</v>
      </c>
      <c r="C799" s="595"/>
      <c r="D799" s="576"/>
      <c r="E799" s="589"/>
      <c r="F799" s="578"/>
      <c r="G799" s="574" t="b">
        <v>1</v>
      </c>
      <c r="H799" s="579"/>
      <c r="I799" s="580"/>
      <c r="J799" s="371"/>
      <c r="K799" s="371"/>
      <c r="L799" s="371"/>
      <c r="M799" s="371"/>
      <c r="N799" s="371"/>
      <c r="O799" s="371"/>
      <c r="P799" s="371"/>
      <c r="Q799" s="371"/>
    </row>
    <row r="800">
      <c r="A800" s="581">
        <v>73.0</v>
      </c>
      <c r="B800" s="582" t="b">
        <v>0</v>
      </c>
      <c r="C800" s="594"/>
      <c r="D800" s="584"/>
      <c r="E800" s="591"/>
      <c r="F800" s="586"/>
      <c r="G800" s="582" t="b">
        <v>1</v>
      </c>
      <c r="H800" s="587"/>
      <c r="I800" s="592"/>
      <c r="J800" s="371"/>
      <c r="K800" s="371"/>
      <c r="L800" s="371"/>
      <c r="M800" s="371"/>
      <c r="N800" s="371"/>
      <c r="O800" s="371"/>
      <c r="P800" s="371"/>
      <c r="Q800" s="371"/>
    </row>
    <row r="801">
      <c r="A801" s="573">
        <v>74.0</v>
      </c>
      <c r="B801" s="574" t="b">
        <v>0</v>
      </c>
      <c r="C801" s="595"/>
      <c r="D801" s="576"/>
      <c r="E801" s="589"/>
      <c r="F801" s="578"/>
      <c r="G801" s="574" t="b">
        <v>1</v>
      </c>
      <c r="H801" s="579"/>
      <c r="I801" s="580"/>
      <c r="J801" s="371"/>
      <c r="K801" s="371"/>
      <c r="L801" s="371"/>
      <c r="M801" s="371"/>
      <c r="N801" s="371"/>
      <c r="O801" s="371"/>
      <c r="P801" s="371"/>
      <c r="Q801" s="371"/>
    </row>
    <row r="802">
      <c r="A802" s="581">
        <v>75.0</v>
      </c>
      <c r="B802" s="582" t="b">
        <v>0</v>
      </c>
      <c r="C802" s="594"/>
      <c r="D802" s="584"/>
      <c r="E802" s="591"/>
      <c r="F802" s="621"/>
      <c r="G802" s="582" t="b">
        <v>1</v>
      </c>
      <c r="H802" s="587"/>
      <c r="I802" s="592"/>
      <c r="J802" s="371"/>
      <c r="K802" s="371"/>
      <c r="L802" s="371"/>
      <c r="M802" s="371"/>
      <c r="N802" s="371"/>
      <c r="O802" s="371"/>
      <c r="P802" s="371"/>
      <c r="Q802" s="371"/>
    </row>
    <row r="803">
      <c r="A803" s="573">
        <v>76.0</v>
      </c>
      <c r="B803" s="574" t="b">
        <v>0</v>
      </c>
      <c r="C803" s="595"/>
      <c r="D803" s="576"/>
      <c r="E803" s="589"/>
      <c r="F803" s="578"/>
      <c r="G803" s="574" t="b">
        <v>1</v>
      </c>
      <c r="H803" s="579"/>
      <c r="I803" s="580"/>
      <c r="J803" s="371"/>
      <c r="K803" s="371"/>
      <c r="L803" s="371"/>
      <c r="M803" s="371"/>
      <c r="N803" s="371"/>
      <c r="O803" s="371"/>
      <c r="P803" s="371"/>
      <c r="Q803" s="371"/>
    </row>
    <row r="804">
      <c r="A804" s="581">
        <v>77.0</v>
      </c>
      <c r="B804" s="582" t="b">
        <v>0</v>
      </c>
      <c r="C804" s="594"/>
      <c r="D804" s="584"/>
      <c r="E804" s="585"/>
      <c r="F804" s="586"/>
      <c r="G804" s="582" t="b">
        <v>1</v>
      </c>
      <c r="H804" s="587"/>
      <c r="I804" s="592"/>
      <c r="J804" s="371"/>
      <c r="K804" s="371"/>
      <c r="L804" s="371"/>
      <c r="M804" s="371"/>
      <c r="N804" s="371"/>
      <c r="O804" s="371"/>
      <c r="P804" s="371"/>
      <c r="Q804" s="371"/>
    </row>
    <row r="805">
      <c r="A805" s="573">
        <v>78.0</v>
      </c>
      <c r="B805" s="574" t="b">
        <v>0</v>
      </c>
      <c r="C805" s="595"/>
      <c r="D805" s="576"/>
      <c r="E805" s="589"/>
      <c r="F805" s="578"/>
      <c r="G805" s="574" t="b">
        <v>1</v>
      </c>
      <c r="H805" s="579"/>
      <c r="I805" s="580"/>
      <c r="J805" s="371"/>
      <c r="K805" s="371"/>
      <c r="L805" s="371"/>
      <c r="M805" s="371"/>
      <c r="N805" s="371"/>
      <c r="O805" s="371"/>
      <c r="P805" s="371"/>
      <c r="Q805" s="371"/>
    </row>
    <row r="806">
      <c r="A806" s="581">
        <v>79.0</v>
      </c>
      <c r="B806" s="582" t="b">
        <v>0</v>
      </c>
      <c r="C806" s="594"/>
      <c r="D806" s="584"/>
      <c r="E806" s="585"/>
      <c r="F806" s="586"/>
      <c r="G806" s="582" t="b">
        <v>0</v>
      </c>
      <c r="H806" s="587"/>
      <c r="I806" s="592"/>
      <c r="J806" s="371"/>
      <c r="K806" s="371"/>
      <c r="L806" s="371"/>
      <c r="M806" s="371"/>
      <c r="N806" s="371"/>
      <c r="O806" s="371"/>
      <c r="P806" s="371"/>
      <c r="Q806" s="371"/>
    </row>
    <row r="807">
      <c r="A807" s="573">
        <v>80.0</v>
      </c>
      <c r="B807" s="574" t="b">
        <v>0</v>
      </c>
      <c r="C807" s="595"/>
      <c r="D807" s="576"/>
      <c r="E807" s="589"/>
      <c r="F807" s="578"/>
      <c r="G807" s="574" t="b">
        <v>0</v>
      </c>
      <c r="H807" s="579"/>
      <c r="I807" s="580"/>
      <c r="J807" s="371"/>
      <c r="K807" s="371"/>
      <c r="L807" s="371"/>
      <c r="M807" s="371"/>
      <c r="N807" s="371"/>
      <c r="O807" s="371"/>
      <c r="P807" s="371"/>
      <c r="Q807" s="371"/>
    </row>
    <row r="808">
      <c r="A808" s="581">
        <v>81.0</v>
      </c>
      <c r="B808" s="582" t="b">
        <v>0</v>
      </c>
      <c r="C808" s="594"/>
      <c r="D808" s="584"/>
      <c r="E808" s="591"/>
      <c r="F808" s="586"/>
      <c r="G808" s="582" t="b">
        <v>0</v>
      </c>
      <c r="H808" s="587"/>
      <c r="I808" s="592"/>
      <c r="J808" s="371"/>
      <c r="K808" s="371"/>
      <c r="L808" s="371"/>
      <c r="M808" s="371"/>
      <c r="N808" s="371"/>
      <c r="O808" s="371"/>
      <c r="P808" s="371"/>
      <c r="Q808" s="371"/>
    </row>
    <row r="809">
      <c r="A809" s="573">
        <v>82.0</v>
      </c>
      <c r="B809" s="574" t="b">
        <v>0</v>
      </c>
      <c r="C809" s="595"/>
      <c r="D809" s="576"/>
      <c r="E809" s="577"/>
      <c r="F809" s="578"/>
      <c r="G809" s="574" t="b">
        <v>0</v>
      </c>
      <c r="H809" s="579"/>
      <c r="I809" s="580"/>
      <c r="J809" s="371"/>
      <c r="K809" s="371"/>
      <c r="L809" s="371"/>
      <c r="M809" s="371"/>
      <c r="N809" s="371"/>
      <c r="O809" s="371"/>
      <c r="P809" s="371"/>
      <c r="Q809" s="371"/>
    </row>
    <row r="810">
      <c r="A810" s="581">
        <v>83.0</v>
      </c>
      <c r="B810" s="582" t="b">
        <v>0</v>
      </c>
      <c r="C810" s="594"/>
      <c r="D810" s="584"/>
      <c r="E810" s="585"/>
      <c r="F810" s="586"/>
      <c r="G810" s="582" t="b">
        <v>0</v>
      </c>
      <c r="H810" s="587"/>
      <c r="I810" s="592"/>
      <c r="J810" s="371"/>
      <c r="K810" s="371"/>
      <c r="L810" s="371"/>
      <c r="M810" s="371"/>
      <c r="N810" s="371"/>
      <c r="O810" s="371"/>
      <c r="P810" s="371"/>
      <c r="Q810" s="371"/>
    </row>
    <row r="811">
      <c r="A811" s="573">
        <v>84.0</v>
      </c>
      <c r="B811" s="574" t="b">
        <v>0</v>
      </c>
      <c r="C811" s="622"/>
      <c r="D811" s="647"/>
      <c r="E811" s="647"/>
      <c r="F811" s="647"/>
      <c r="G811" s="647"/>
      <c r="H811" s="647"/>
      <c r="I811" s="648"/>
      <c r="J811" s="371"/>
      <c r="K811" s="371"/>
      <c r="L811" s="371"/>
      <c r="M811" s="371"/>
      <c r="N811" s="371"/>
      <c r="O811" s="371"/>
      <c r="P811" s="371"/>
      <c r="Q811" s="371"/>
    </row>
    <row r="812">
      <c r="A812" s="581">
        <v>85.0</v>
      </c>
      <c r="B812" s="582" t="b">
        <v>0</v>
      </c>
      <c r="C812" s="594"/>
      <c r="D812" s="584"/>
      <c r="E812" s="585"/>
      <c r="F812" s="586"/>
      <c r="G812" s="582" t="b">
        <v>1</v>
      </c>
      <c r="H812" s="587"/>
      <c r="I812" s="592"/>
      <c r="J812" s="371"/>
      <c r="K812" s="371"/>
      <c r="L812" s="371"/>
      <c r="M812" s="371"/>
      <c r="N812" s="371"/>
      <c r="O812" s="371"/>
      <c r="P812" s="371"/>
      <c r="Q812" s="371"/>
    </row>
    <row r="813">
      <c r="A813" s="573">
        <v>86.0</v>
      </c>
      <c r="B813" s="574" t="b">
        <v>0</v>
      </c>
      <c r="C813" s="595"/>
      <c r="D813" s="576"/>
      <c r="E813" s="589"/>
      <c r="F813" s="578"/>
      <c r="G813" s="574" t="b">
        <v>1</v>
      </c>
      <c r="H813" s="579"/>
      <c r="I813" s="580"/>
      <c r="J813" s="371"/>
      <c r="K813" s="371"/>
      <c r="L813" s="371"/>
      <c r="M813" s="371"/>
      <c r="N813" s="371"/>
      <c r="O813" s="371"/>
      <c r="P813" s="371"/>
      <c r="Q813" s="371"/>
    </row>
    <row r="814">
      <c r="A814" s="581">
        <v>87.0</v>
      </c>
      <c r="B814" s="582" t="b">
        <v>0</v>
      </c>
      <c r="C814" s="594"/>
      <c r="D814" s="584"/>
      <c r="E814" s="585"/>
      <c r="F814" s="586"/>
      <c r="G814" s="582" t="b">
        <v>1</v>
      </c>
      <c r="H814" s="587"/>
      <c r="I814" s="592"/>
      <c r="J814" s="371"/>
      <c r="K814" s="371"/>
      <c r="L814" s="371"/>
      <c r="M814" s="371"/>
      <c r="N814" s="371"/>
      <c r="O814" s="371"/>
      <c r="P814" s="371"/>
      <c r="Q814" s="371"/>
    </row>
    <row r="815">
      <c r="A815" s="573">
        <v>88.0</v>
      </c>
      <c r="B815" s="574" t="b">
        <v>0</v>
      </c>
      <c r="C815" s="595"/>
      <c r="D815" s="576"/>
      <c r="E815" s="589"/>
      <c r="F815" s="578"/>
      <c r="G815" s="574" t="b">
        <v>1</v>
      </c>
      <c r="H815" s="579"/>
      <c r="I815" s="580"/>
      <c r="J815" s="371"/>
      <c r="K815" s="371"/>
      <c r="L815" s="371"/>
      <c r="M815" s="371"/>
      <c r="N815" s="371"/>
      <c r="O815" s="371"/>
      <c r="P815" s="371"/>
      <c r="Q815" s="371"/>
    </row>
    <row r="816">
      <c r="A816" s="581">
        <v>89.0</v>
      </c>
      <c r="B816" s="582" t="b">
        <v>0</v>
      </c>
      <c r="C816" s="594"/>
      <c r="D816" s="584"/>
      <c r="E816" s="585"/>
      <c r="F816" s="586"/>
      <c r="G816" s="582" t="b">
        <v>1</v>
      </c>
      <c r="H816" s="587"/>
      <c r="I816" s="592"/>
      <c r="J816" s="371"/>
      <c r="K816" s="371"/>
      <c r="L816" s="371"/>
      <c r="M816" s="371"/>
      <c r="N816" s="371"/>
      <c r="O816" s="371"/>
      <c r="P816" s="371"/>
      <c r="Q816" s="371"/>
    </row>
    <row r="817">
      <c r="A817" s="573">
        <v>90.0</v>
      </c>
      <c r="B817" s="574" t="b">
        <v>0</v>
      </c>
      <c r="C817" s="595"/>
      <c r="D817" s="576" t="s">
        <v>2313</v>
      </c>
      <c r="E817" s="589"/>
      <c r="F817" s="578"/>
      <c r="G817" s="574" t="b">
        <v>1</v>
      </c>
      <c r="H817" s="579"/>
      <c r="I817" s="580" t="s">
        <v>2317</v>
      </c>
      <c r="J817" s="371"/>
      <c r="K817" s="371"/>
      <c r="L817" s="371"/>
      <c r="M817" s="371"/>
      <c r="N817" s="371"/>
      <c r="O817" s="371"/>
      <c r="P817" s="371"/>
      <c r="Q817" s="371"/>
    </row>
    <row r="818">
      <c r="A818" s="581">
        <v>91.0</v>
      </c>
      <c r="B818" s="582" t="b">
        <v>0</v>
      </c>
      <c r="C818" s="594"/>
      <c r="D818" s="584" t="s">
        <v>2319</v>
      </c>
      <c r="E818" s="585"/>
      <c r="F818" s="586"/>
      <c r="G818" s="582" t="b">
        <v>0</v>
      </c>
      <c r="H818" s="587"/>
      <c r="I818" s="592" t="s">
        <v>2319</v>
      </c>
      <c r="J818" s="371"/>
      <c r="K818" s="371"/>
      <c r="L818" s="371"/>
      <c r="M818" s="371"/>
      <c r="N818" s="371"/>
      <c r="O818" s="371"/>
      <c r="P818" s="371"/>
      <c r="Q818" s="371"/>
    </row>
    <row r="819">
      <c r="A819" s="573">
        <v>92.0</v>
      </c>
      <c r="B819" s="574" t="b">
        <v>0</v>
      </c>
      <c r="C819" s="595"/>
      <c r="D819" s="576"/>
      <c r="E819" s="589"/>
      <c r="F819" s="578"/>
      <c r="G819" s="574" t="b">
        <v>0</v>
      </c>
      <c r="H819" s="579"/>
      <c r="I819" s="580"/>
      <c r="J819" s="371"/>
      <c r="K819" s="371"/>
      <c r="L819" s="371"/>
      <c r="M819" s="371"/>
      <c r="N819" s="371"/>
      <c r="O819" s="371"/>
      <c r="P819" s="371"/>
      <c r="Q819" s="371"/>
    </row>
    <row r="820">
      <c r="A820" s="581">
        <v>93.0</v>
      </c>
      <c r="B820" s="582" t="b">
        <v>0</v>
      </c>
      <c r="C820" s="594"/>
      <c r="D820" s="584" t="s">
        <v>2320</v>
      </c>
      <c r="E820" s="585"/>
      <c r="F820" s="586"/>
      <c r="G820" s="582" t="b">
        <v>0</v>
      </c>
      <c r="H820" s="587"/>
      <c r="I820" s="592" t="s">
        <v>2324</v>
      </c>
      <c r="J820" s="371"/>
      <c r="K820" s="371"/>
      <c r="L820" s="371"/>
      <c r="M820" s="371"/>
      <c r="N820" s="371"/>
      <c r="O820" s="371"/>
      <c r="P820" s="371"/>
      <c r="Q820" s="371"/>
    </row>
    <row r="821">
      <c r="A821" s="573">
        <v>94.0</v>
      </c>
      <c r="B821" s="574" t="b">
        <v>0</v>
      </c>
      <c r="C821" s="595"/>
      <c r="D821" s="576"/>
      <c r="E821" s="589"/>
      <c r="F821" s="578"/>
      <c r="G821" s="574" t="b">
        <v>0</v>
      </c>
      <c r="H821" s="579"/>
      <c r="I821" s="580"/>
      <c r="J821" s="371"/>
      <c r="K821" s="371"/>
      <c r="L821" s="371"/>
      <c r="M821" s="371"/>
      <c r="N821" s="371"/>
      <c r="O821" s="371"/>
      <c r="P821" s="371"/>
      <c r="Q821" s="371"/>
    </row>
    <row r="822">
      <c r="A822" s="581">
        <v>95.0</v>
      </c>
      <c r="B822" s="582" t="b">
        <v>0</v>
      </c>
      <c r="C822" s="594"/>
      <c r="D822" s="584"/>
      <c r="E822" s="585"/>
      <c r="F822" s="586"/>
      <c r="G822" s="582" t="b">
        <v>0</v>
      </c>
      <c r="H822" s="587"/>
      <c r="I822" s="592"/>
      <c r="J822" s="371"/>
      <c r="K822" s="371"/>
      <c r="L822" s="371"/>
      <c r="M822" s="371"/>
      <c r="N822" s="371"/>
      <c r="O822" s="371"/>
      <c r="P822" s="371"/>
      <c r="Q822" s="371"/>
    </row>
    <row r="823">
      <c r="A823" s="573">
        <v>96.0</v>
      </c>
      <c r="B823" s="574" t="b">
        <v>0</v>
      </c>
      <c r="C823" s="595"/>
      <c r="D823" s="576"/>
      <c r="E823" s="589"/>
      <c r="F823" s="578"/>
      <c r="G823" s="574" t="b">
        <v>1</v>
      </c>
      <c r="H823" s="579"/>
      <c r="I823" s="580"/>
      <c r="J823" s="371"/>
      <c r="K823" s="371"/>
      <c r="L823" s="371"/>
      <c r="M823" s="371"/>
      <c r="N823" s="371"/>
      <c r="O823" s="371"/>
      <c r="P823" s="371"/>
      <c r="Q823" s="371"/>
    </row>
    <row r="824">
      <c r="A824" s="581">
        <v>97.0</v>
      </c>
      <c r="B824" s="582" t="b">
        <v>0</v>
      </c>
      <c r="C824" s="594"/>
      <c r="D824" s="584"/>
      <c r="E824" s="585"/>
      <c r="F824" s="586"/>
      <c r="G824" s="582" t="b">
        <v>0</v>
      </c>
      <c r="H824" s="587"/>
      <c r="I824" s="592"/>
      <c r="J824" s="371"/>
      <c r="K824" s="371"/>
      <c r="L824" s="371"/>
      <c r="M824" s="371"/>
      <c r="N824" s="371"/>
      <c r="O824" s="371"/>
      <c r="P824" s="371"/>
      <c r="Q824" s="371"/>
    </row>
    <row r="825">
      <c r="A825" s="573">
        <v>98.0</v>
      </c>
      <c r="B825" s="574" t="b">
        <v>0</v>
      </c>
      <c r="C825" s="595"/>
      <c r="D825" s="576"/>
      <c r="E825" s="589"/>
      <c r="F825" s="578"/>
      <c r="G825" s="574" t="b">
        <v>0</v>
      </c>
      <c r="H825" s="579"/>
      <c r="I825" s="580"/>
      <c r="J825" s="371"/>
      <c r="K825" s="371"/>
      <c r="L825" s="371"/>
      <c r="M825" s="371"/>
      <c r="N825" s="371"/>
      <c r="O825" s="371"/>
      <c r="P825" s="371"/>
      <c r="Q825" s="371"/>
    </row>
    <row r="826">
      <c r="A826" s="581">
        <v>99.0</v>
      </c>
      <c r="B826" s="582" t="b">
        <v>0</v>
      </c>
      <c r="C826" s="594"/>
      <c r="D826" s="584"/>
      <c r="E826" s="585"/>
      <c r="F826" s="586"/>
      <c r="G826" s="582" t="b">
        <v>0</v>
      </c>
      <c r="H826" s="587"/>
      <c r="I826" s="592"/>
      <c r="J826" s="371"/>
      <c r="K826" s="371"/>
      <c r="L826" s="371"/>
      <c r="M826" s="371"/>
      <c r="N826" s="371"/>
      <c r="O826" s="371"/>
      <c r="P826" s="371"/>
      <c r="Q826" s="371"/>
    </row>
    <row r="827">
      <c r="A827" s="573">
        <v>100.0</v>
      </c>
      <c r="B827" s="574" t="b">
        <v>0</v>
      </c>
      <c r="C827" s="595"/>
      <c r="D827" s="576"/>
      <c r="E827" s="589"/>
      <c r="F827" s="578"/>
      <c r="G827" s="574" t="b">
        <v>0</v>
      </c>
      <c r="H827" s="579"/>
      <c r="I827" s="580"/>
      <c r="J827" s="371"/>
      <c r="K827" s="371"/>
      <c r="L827" s="371"/>
      <c r="M827" s="371"/>
      <c r="N827" s="371"/>
      <c r="O827" s="371"/>
      <c r="P827" s="371"/>
      <c r="Q827" s="371"/>
    </row>
    <row r="828">
      <c r="A828" s="581">
        <v>101.0</v>
      </c>
      <c r="B828" s="582" t="b">
        <v>0</v>
      </c>
      <c r="C828" s="594"/>
      <c r="D828" s="584"/>
      <c r="E828" s="585"/>
      <c r="F828" s="586"/>
      <c r="G828" s="582" t="b">
        <v>0</v>
      </c>
      <c r="H828" s="587"/>
      <c r="I828" s="592"/>
      <c r="J828" s="371"/>
      <c r="K828" s="371"/>
      <c r="L828" s="371"/>
      <c r="M828" s="371"/>
      <c r="N828" s="371"/>
      <c r="O828" s="371"/>
      <c r="P828" s="371"/>
      <c r="Q828" s="371"/>
    </row>
    <row r="829">
      <c r="A829" s="573">
        <v>102.0</v>
      </c>
      <c r="B829" s="574" t="b">
        <v>0</v>
      </c>
      <c r="C829" s="595"/>
      <c r="D829" s="576"/>
      <c r="E829" s="589"/>
      <c r="F829" s="578"/>
      <c r="G829" s="574" t="b">
        <v>0</v>
      </c>
      <c r="H829" s="579"/>
      <c r="I829" s="580"/>
      <c r="J829" s="371"/>
      <c r="K829" s="371"/>
      <c r="L829" s="371"/>
      <c r="M829" s="371"/>
      <c r="N829" s="371"/>
      <c r="O829" s="371"/>
      <c r="P829" s="371"/>
      <c r="Q829" s="371"/>
    </row>
    <row r="830">
      <c r="A830" s="581">
        <v>103.0</v>
      </c>
      <c r="B830" s="582" t="b">
        <v>0</v>
      </c>
      <c r="C830" s="594"/>
      <c r="D830" s="584"/>
      <c r="E830" s="585"/>
      <c r="F830" s="586"/>
      <c r="G830" s="582" t="b">
        <v>0</v>
      </c>
      <c r="H830" s="587"/>
      <c r="I830" s="592"/>
      <c r="J830" s="371"/>
      <c r="K830" s="371"/>
      <c r="L830" s="371"/>
      <c r="M830" s="371"/>
      <c r="N830" s="371"/>
      <c r="O830" s="371"/>
      <c r="P830" s="371"/>
      <c r="Q830" s="371"/>
    </row>
    <row r="831">
      <c r="A831" s="573">
        <v>104.0</v>
      </c>
      <c r="B831" s="574" t="b">
        <v>0</v>
      </c>
      <c r="C831" s="595"/>
      <c r="D831" s="576"/>
      <c r="E831" s="589"/>
      <c r="F831" s="578"/>
      <c r="G831" s="574" t="b">
        <v>0</v>
      </c>
      <c r="H831" s="579"/>
      <c r="I831" s="580"/>
      <c r="J831" s="371"/>
      <c r="K831" s="371"/>
      <c r="L831" s="371"/>
      <c r="M831" s="371"/>
      <c r="N831" s="371"/>
      <c r="O831" s="371"/>
      <c r="P831" s="371"/>
      <c r="Q831" s="371"/>
    </row>
    <row r="832">
      <c r="A832" s="581">
        <v>105.0</v>
      </c>
      <c r="B832" s="582" t="b">
        <v>0</v>
      </c>
      <c r="C832" s="594"/>
      <c r="D832" s="584"/>
      <c r="E832" s="585"/>
      <c r="F832" s="586"/>
      <c r="G832" s="582" t="b">
        <v>0</v>
      </c>
      <c r="H832" s="587"/>
      <c r="I832" s="592"/>
      <c r="J832" s="371"/>
      <c r="K832" s="371"/>
      <c r="L832" s="371"/>
      <c r="M832" s="371"/>
      <c r="N832" s="371"/>
      <c r="O832" s="371"/>
      <c r="P832" s="371"/>
      <c r="Q832" s="371"/>
    </row>
    <row r="833">
      <c r="A833" s="573">
        <v>106.0</v>
      </c>
      <c r="B833" s="574" t="b">
        <v>0</v>
      </c>
      <c r="C833" s="595"/>
      <c r="D833" s="576"/>
      <c r="E833" s="589"/>
      <c r="F833" s="578"/>
      <c r="G833" s="574" t="b">
        <v>1</v>
      </c>
      <c r="H833" s="579"/>
      <c r="I833" s="580"/>
      <c r="J833" s="371"/>
      <c r="K833" s="371"/>
      <c r="L833" s="371"/>
      <c r="M833" s="371"/>
      <c r="N833" s="371"/>
      <c r="O833" s="371"/>
      <c r="P833" s="371"/>
      <c r="Q833" s="371"/>
    </row>
    <row r="834">
      <c r="A834" s="581">
        <v>107.0</v>
      </c>
      <c r="B834" s="582" t="b">
        <v>0</v>
      </c>
      <c r="C834" s="594"/>
      <c r="D834" s="584"/>
      <c r="E834" s="585"/>
      <c r="F834" s="586"/>
      <c r="G834" s="582" t="b">
        <v>1</v>
      </c>
      <c r="H834" s="587"/>
      <c r="I834" s="592"/>
      <c r="J834" s="371"/>
      <c r="K834" s="371"/>
      <c r="L834" s="371"/>
      <c r="M834" s="371"/>
      <c r="N834" s="371"/>
      <c r="O834" s="371"/>
      <c r="P834" s="371"/>
      <c r="Q834" s="371"/>
    </row>
    <row r="835">
      <c r="A835" s="573">
        <v>108.0</v>
      </c>
      <c r="B835" s="574" t="b">
        <v>0</v>
      </c>
      <c r="C835" s="595"/>
      <c r="D835" s="576"/>
      <c r="E835" s="577"/>
      <c r="F835" s="578"/>
      <c r="G835" s="574" t="b">
        <v>1</v>
      </c>
      <c r="H835" s="579"/>
      <c r="I835" s="580"/>
      <c r="J835" s="371"/>
      <c r="K835" s="371"/>
      <c r="L835" s="371"/>
      <c r="M835" s="371"/>
      <c r="N835" s="371"/>
      <c r="O835" s="371"/>
      <c r="P835" s="371"/>
      <c r="Q835" s="371"/>
    </row>
    <row r="836">
      <c r="A836" s="581">
        <v>109.0</v>
      </c>
      <c r="B836" s="582" t="b">
        <v>0</v>
      </c>
      <c r="C836" s="594"/>
      <c r="D836" s="584"/>
      <c r="E836" s="585"/>
      <c r="F836" s="586"/>
      <c r="G836" s="582" t="b">
        <v>1</v>
      </c>
      <c r="H836" s="587"/>
      <c r="I836" s="592"/>
      <c r="J836" s="371"/>
      <c r="K836" s="371"/>
      <c r="L836" s="371"/>
      <c r="M836" s="371"/>
      <c r="N836" s="371"/>
      <c r="O836" s="371"/>
      <c r="P836" s="371"/>
      <c r="Q836" s="371"/>
    </row>
    <row r="837">
      <c r="A837" s="573">
        <v>110.0</v>
      </c>
      <c r="B837" s="574" t="b">
        <v>0</v>
      </c>
      <c r="C837" s="595"/>
      <c r="D837" s="576"/>
      <c r="E837" s="589"/>
      <c r="F837" s="578"/>
      <c r="G837" s="574" t="b">
        <v>1</v>
      </c>
      <c r="H837" s="579"/>
      <c r="I837" s="580"/>
      <c r="J837" s="371"/>
      <c r="K837" s="371"/>
      <c r="L837" s="371"/>
      <c r="M837" s="371"/>
      <c r="N837" s="371"/>
      <c r="O837" s="371"/>
      <c r="P837" s="371"/>
      <c r="Q837" s="371"/>
    </row>
    <row r="838">
      <c r="A838" s="581">
        <v>111.0</v>
      </c>
      <c r="B838" s="582" t="b">
        <v>0</v>
      </c>
      <c r="C838" s="594"/>
      <c r="D838" s="584"/>
      <c r="E838" s="585"/>
      <c r="F838" s="586"/>
      <c r="G838" s="582" t="b">
        <v>1</v>
      </c>
      <c r="H838" s="587"/>
      <c r="I838" s="592"/>
      <c r="J838" s="371"/>
      <c r="K838" s="371"/>
      <c r="L838" s="371"/>
      <c r="M838" s="371"/>
      <c r="N838" s="371"/>
      <c r="O838" s="371"/>
      <c r="P838" s="371"/>
      <c r="Q838" s="371"/>
    </row>
    <row r="839">
      <c r="A839" s="573">
        <v>112.0</v>
      </c>
      <c r="B839" s="574" t="b">
        <v>0</v>
      </c>
      <c r="C839" s="595"/>
      <c r="D839" s="576"/>
      <c r="E839" s="589"/>
      <c r="F839" s="578"/>
      <c r="G839" s="574" t="b">
        <v>1</v>
      </c>
      <c r="H839" s="579"/>
      <c r="I839" s="580"/>
      <c r="J839" s="371"/>
      <c r="K839" s="371"/>
      <c r="L839" s="371"/>
      <c r="M839" s="371"/>
      <c r="N839" s="371"/>
      <c r="O839" s="371"/>
      <c r="P839" s="371"/>
      <c r="Q839" s="371"/>
    </row>
    <row r="840">
      <c r="A840" s="581">
        <v>113.0</v>
      </c>
      <c r="B840" s="582" t="b">
        <v>0</v>
      </c>
      <c r="C840" s="594"/>
      <c r="D840" s="584"/>
      <c r="E840" s="585"/>
      <c r="F840" s="586"/>
      <c r="G840" s="582" t="b">
        <v>1</v>
      </c>
      <c r="H840" s="587"/>
      <c r="I840" s="592"/>
      <c r="J840" s="371"/>
      <c r="K840" s="371"/>
      <c r="L840" s="371"/>
      <c r="M840" s="371"/>
      <c r="N840" s="371"/>
      <c r="O840" s="371"/>
      <c r="P840" s="371"/>
      <c r="Q840" s="371"/>
    </row>
    <row r="841">
      <c r="A841" s="573">
        <v>114.0</v>
      </c>
      <c r="B841" s="574" t="b">
        <v>0</v>
      </c>
      <c r="C841" s="595"/>
      <c r="D841" s="576"/>
      <c r="E841" s="589"/>
      <c r="F841" s="578"/>
      <c r="G841" s="574" t="b">
        <v>1</v>
      </c>
      <c r="H841" s="579"/>
      <c r="I841" s="580"/>
      <c r="J841" s="371"/>
      <c r="K841" s="371"/>
      <c r="L841" s="371"/>
      <c r="M841" s="371"/>
      <c r="N841" s="371"/>
      <c r="O841" s="371"/>
      <c r="P841" s="371"/>
      <c r="Q841" s="371"/>
    </row>
    <row r="842">
      <c r="A842" s="581">
        <v>115.0</v>
      </c>
      <c r="B842" s="582" t="b">
        <v>0</v>
      </c>
      <c r="C842" s="594"/>
      <c r="D842" s="584"/>
      <c r="E842" s="585"/>
      <c r="F842" s="586"/>
      <c r="G842" s="582" t="b">
        <v>1</v>
      </c>
      <c r="H842" s="587"/>
      <c r="I842" s="592"/>
      <c r="J842" s="371"/>
      <c r="K842" s="371"/>
      <c r="L842" s="371"/>
      <c r="M842" s="371"/>
      <c r="N842" s="371"/>
      <c r="O842" s="371"/>
      <c r="P842" s="371"/>
      <c r="Q842" s="371"/>
    </row>
    <row r="843">
      <c r="A843" s="573">
        <v>116.0</v>
      </c>
      <c r="B843" s="574" t="b">
        <v>0</v>
      </c>
      <c r="C843" s="627"/>
      <c r="D843" s="576"/>
      <c r="E843" s="589"/>
      <c r="F843" s="578"/>
      <c r="G843" s="574" t="b">
        <v>1</v>
      </c>
      <c r="H843" s="579"/>
      <c r="I843" s="580"/>
      <c r="J843" s="371"/>
      <c r="K843" s="371"/>
      <c r="L843" s="371"/>
      <c r="M843" s="371"/>
      <c r="N843" s="371"/>
      <c r="O843" s="371"/>
      <c r="P843" s="371"/>
      <c r="Q843" s="371"/>
    </row>
    <row r="844">
      <c r="A844" s="581">
        <v>117.0</v>
      </c>
      <c r="B844" s="582" t="b">
        <v>0</v>
      </c>
      <c r="C844" s="594"/>
      <c r="D844" s="584"/>
      <c r="E844" s="585"/>
      <c r="F844" s="586"/>
      <c r="G844" s="582" t="b">
        <v>0</v>
      </c>
      <c r="H844" s="587"/>
      <c r="I844" s="592"/>
      <c r="J844" s="371"/>
      <c r="K844" s="371"/>
      <c r="L844" s="371"/>
      <c r="M844" s="371"/>
      <c r="N844" s="371"/>
      <c r="O844" s="371"/>
      <c r="P844" s="371"/>
      <c r="Q844" s="371"/>
    </row>
    <row r="845">
      <c r="A845" s="573">
        <v>118.0</v>
      </c>
      <c r="B845" s="574" t="b">
        <v>0</v>
      </c>
      <c r="C845" s="595"/>
      <c r="D845" s="576"/>
      <c r="E845" s="589"/>
      <c r="F845" s="578"/>
      <c r="G845" s="574" t="b">
        <v>0</v>
      </c>
      <c r="H845" s="579"/>
      <c r="I845" s="580"/>
      <c r="J845" s="371"/>
      <c r="K845" s="371"/>
      <c r="L845" s="371"/>
      <c r="M845" s="371"/>
      <c r="N845" s="371"/>
      <c r="O845" s="371"/>
      <c r="P845" s="371"/>
      <c r="Q845" s="371"/>
    </row>
    <row r="846">
      <c r="A846" s="581">
        <v>119.0</v>
      </c>
      <c r="B846" s="582" t="b">
        <v>0</v>
      </c>
      <c r="C846" s="594"/>
      <c r="D846" s="584"/>
      <c r="E846" s="585"/>
      <c r="F846" s="586"/>
      <c r="G846" s="582" t="b">
        <v>1</v>
      </c>
      <c r="H846" s="587"/>
      <c r="I846" s="592"/>
      <c r="J846" s="371"/>
      <c r="K846" s="371"/>
      <c r="L846" s="371"/>
      <c r="M846" s="371"/>
      <c r="N846" s="371"/>
      <c r="O846" s="371"/>
      <c r="P846" s="371"/>
      <c r="Q846" s="371"/>
    </row>
    <row r="847">
      <c r="A847" s="573">
        <v>120.0</v>
      </c>
      <c r="B847" s="574" t="b">
        <v>0</v>
      </c>
      <c r="C847" s="595"/>
      <c r="D847" s="576"/>
      <c r="E847" s="589"/>
      <c r="F847" s="578"/>
      <c r="G847" s="574" t="b">
        <v>1</v>
      </c>
      <c r="H847" s="579"/>
      <c r="I847" s="580"/>
      <c r="J847" s="371"/>
      <c r="K847" s="371"/>
      <c r="L847" s="371"/>
      <c r="M847" s="371"/>
      <c r="N847" s="371"/>
      <c r="O847" s="371"/>
      <c r="P847" s="371"/>
      <c r="Q847" s="371"/>
    </row>
    <row r="848">
      <c r="A848" s="581">
        <v>121.0</v>
      </c>
      <c r="B848" s="582" t="b">
        <v>0</v>
      </c>
      <c r="C848" s="594"/>
      <c r="D848" s="584"/>
      <c r="E848" s="585"/>
      <c r="F848" s="586"/>
      <c r="G848" s="582" t="b">
        <v>1</v>
      </c>
      <c r="H848" s="587"/>
      <c r="I848" s="592"/>
      <c r="J848" s="371"/>
      <c r="K848" s="371"/>
      <c r="L848" s="371"/>
      <c r="M848" s="371"/>
      <c r="N848" s="371"/>
      <c r="O848" s="371"/>
      <c r="P848" s="371"/>
      <c r="Q848" s="371"/>
    </row>
    <row r="849">
      <c r="A849" s="573">
        <v>122.0</v>
      </c>
      <c r="B849" s="574" t="b">
        <v>0</v>
      </c>
      <c r="C849" s="595"/>
      <c r="D849" s="576"/>
      <c r="E849" s="589"/>
      <c r="F849" s="628"/>
      <c r="G849" s="574" t="b">
        <v>1</v>
      </c>
      <c r="H849" s="579"/>
      <c r="I849" s="580"/>
      <c r="J849" s="371"/>
      <c r="K849" s="371"/>
      <c r="L849" s="371"/>
      <c r="M849" s="371"/>
      <c r="N849" s="371"/>
      <c r="O849" s="371"/>
      <c r="P849" s="371"/>
      <c r="Q849" s="371"/>
    </row>
    <row r="850">
      <c r="A850" s="581">
        <v>123.0</v>
      </c>
      <c r="B850" s="582" t="b">
        <v>0</v>
      </c>
      <c r="C850" s="594"/>
      <c r="D850" s="584"/>
      <c r="E850" s="591"/>
      <c r="F850" s="586"/>
      <c r="G850" s="582" t="b">
        <v>1</v>
      </c>
      <c r="H850" s="587"/>
      <c r="I850" s="592"/>
      <c r="J850" s="371"/>
      <c r="K850" s="371"/>
      <c r="L850" s="371"/>
      <c r="M850" s="371"/>
      <c r="N850" s="371"/>
      <c r="O850" s="371"/>
      <c r="P850" s="371"/>
      <c r="Q850" s="371"/>
    </row>
    <row r="851">
      <c r="A851" s="573">
        <v>124.0</v>
      </c>
      <c r="B851" s="574" t="b">
        <v>0</v>
      </c>
      <c r="C851" s="595"/>
      <c r="D851" s="576"/>
      <c r="E851" s="589"/>
      <c r="F851" s="578"/>
      <c r="G851" s="574" t="b">
        <v>1</v>
      </c>
      <c r="H851" s="579"/>
      <c r="I851" s="580"/>
      <c r="J851" s="371"/>
      <c r="K851" s="371"/>
      <c r="L851" s="371"/>
      <c r="M851" s="371"/>
      <c r="N851" s="371"/>
      <c r="O851" s="371"/>
      <c r="P851" s="371"/>
      <c r="Q851" s="371"/>
    </row>
    <row r="852">
      <c r="A852" s="581">
        <v>125.0</v>
      </c>
      <c r="B852" s="582" t="b">
        <v>0</v>
      </c>
      <c r="C852" s="594"/>
      <c r="D852" s="584"/>
      <c r="E852" s="585"/>
      <c r="F852" s="586"/>
      <c r="G852" s="582" t="b">
        <v>1</v>
      </c>
      <c r="H852" s="587"/>
      <c r="I852" s="592"/>
      <c r="J852" s="371"/>
      <c r="K852" s="371"/>
      <c r="L852" s="371"/>
      <c r="M852" s="371"/>
      <c r="N852" s="371"/>
      <c r="O852" s="371"/>
      <c r="P852" s="371"/>
      <c r="Q852" s="371"/>
    </row>
    <row r="853">
      <c r="A853" s="573">
        <v>126.0</v>
      </c>
      <c r="B853" s="574" t="b">
        <v>0</v>
      </c>
      <c r="C853" s="595"/>
      <c r="D853" s="576"/>
      <c r="E853" s="589"/>
      <c r="F853" s="578"/>
      <c r="G853" s="574" t="b">
        <v>1</v>
      </c>
      <c r="H853" s="579"/>
      <c r="I853" s="580"/>
      <c r="J853" s="371"/>
      <c r="K853" s="371"/>
      <c r="L853" s="371"/>
      <c r="M853" s="371"/>
      <c r="N853" s="371"/>
      <c r="O853" s="371"/>
      <c r="P853" s="371"/>
      <c r="Q853" s="371"/>
    </row>
    <row r="854">
      <c r="A854" s="581">
        <v>127.0</v>
      </c>
      <c r="B854" s="582" t="b">
        <v>0</v>
      </c>
      <c r="C854" s="594"/>
      <c r="D854" s="584"/>
      <c r="E854" s="585"/>
      <c r="F854" s="586"/>
      <c r="G854" s="582" t="b">
        <v>1</v>
      </c>
      <c r="H854" s="587"/>
      <c r="I854" s="592"/>
      <c r="J854" s="371"/>
      <c r="K854" s="371"/>
      <c r="L854" s="371"/>
      <c r="M854" s="371"/>
      <c r="N854" s="371"/>
      <c r="O854" s="371"/>
      <c r="P854" s="371"/>
      <c r="Q854" s="371"/>
    </row>
    <row r="855">
      <c r="A855" s="573">
        <v>128.0</v>
      </c>
      <c r="B855" s="574" t="b">
        <v>0</v>
      </c>
      <c r="C855" s="595"/>
      <c r="D855" s="576"/>
      <c r="E855" s="589"/>
      <c r="F855" s="578"/>
      <c r="G855" s="574" t="b">
        <v>1</v>
      </c>
      <c r="H855" s="579"/>
      <c r="I855" s="580"/>
      <c r="J855" s="371"/>
      <c r="K855" s="371"/>
      <c r="L855" s="371"/>
      <c r="M855" s="371"/>
      <c r="N855" s="371"/>
      <c r="O855" s="371"/>
      <c r="P855" s="371"/>
      <c r="Q855" s="371"/>
    </row>
    <row r="856">
      <c r="A856" s="581">
        <v>129.0</v>
      </c>
      <c r="B856" s="582" t="b">
        <v>0</v>
      </c>
      <c r="C856" s="594"/>
      <c r="D856" s="584"/>
      <c r="E856" s="585"/>
      <c r="F856" s="586"/>
      <c r="G856" s="582" t="b">
        <v>1</v>
      </c>
      <c r="H856" s="587"/>
      <c r="I856" s="592"/>
      <c r="J856" s="371"/>
      <c r="K856" s="371"/>
      <c r="L856" s="371"/>
      <c r="M856" s="371"/>
      <c r="N856" s="371"/>
      <c r="O856" s="371"/>
      <c r="P856" s="371"/>
      <c r="Q856" s="371"/>
    </row>
    <row r="857">
      <c r="A857" s="573">
        <v>130.0</v>
      </c>
      <c r="B857" s="574" t="b">
        <v>0</v>
      </c>
      <c r="C857" s="595"/>
      <c r="D857" s="576"/>
      <c r="E857" s="589"/>
      <c r="F857" s="578"/>
      <c r="G857" s="574" t="b">
        <v>1</v>
      </c>
      <c r="H857" s="579"/>
      <c r="I857" s="580"/>
      <c r="J857" s="371"/>
      <c r="K857" s="371"/>
      <c r="L857" s="371"/>
      <c r="M857" s="371"/>
      <c r="N857" s="371"/>
      <c r="O857" s="371"/>
      <c r="P857" s="371"/>
      <c r="Q857" s="371"/>
    </row>
    <row r="858">
      <c r="A858" s="581">
        <v>131.0</v>
      </c>
      <c r="B858" s="582" t="b">
        <v>0</v>
      </c>
      <c r="C858" s="594"/>
      <c r="D858" s="584"/>
      <c r="E858" s="585"/>
      <c r="F858" s="586"/>
      <c r="G858" s="582" t="b">
        <v>1</v>
      </c>
      <c r="H858" s="587"/>
      <c r="I858" s="592"/>
      <c r="J858" s="371"/>
      <c r="K858" s="371"/>
      <c r="L858" s="371"/>
      <c r="M858" s="371"/>
      <c r="N858" s="371"/>
      <c r="O858" s="371"/>
      <c r="P858" s="371"/>
      <c r="Q858" s="371"/>
    </row>
    <row r="859">
      <c r="A859" s="573">
        <v>132.0</v>
      </c>
      <c r="B859" s="574" t="b">
        <v>0</v>
      </c>
      <c r="C859" s="595"/>
      <c r="D859" s="576"/>
      <c r="E859" s="589"/>
      <c r="F859" s="578"/>
      <c r="G859" s="574" t="b">
        <v>1</v>
      </c>
      <c r="H859" s="579"/>
      <c r="I859" s="580"/>
      <c r="J859" s="371"/>
      <c r="K859" s="371"/>
      <c r="L859" s="371"/>
      <c r="M859" s="371"/>
      <c r="N859" s="371"/>
      <c r="O859" s="371"/>
      <c r="P859" s="371"/>
      <c r="Q859" s="371"/>
    </row>
    <row r="860">
      <c r="A860" s="581">
        <v>133.0</v>
      </c>
      <c r="B860" s="582" t="b">
        <v>0</v>
      </c>
      <c r="C860" s="594"/>
      <c r="D860" s="584"/>
      <c r="E860" s="585"/>
      <c r="F860" s="586"/>
      <c r="G860" s="587"/>
      <c r="H860" s="587"/>
      <c r="I860" s="592"/>
      <c r="J860" s="371"/>
      <c r="K860" s="371"/>
      <c r="L860" s="371"/>
      <c r="M860" s="371"/>
      <c r="N860" s="371"/>
      <c r="O860" s="371"/>
      <c r="P860" s="371"/>
      <c r="Q860" s="371"/>
    </row>
    <row r="861">
      <c r="A861" s="573">
        <v>134.0</v>
      </c>
      <c r="B861" s="574" t="b">
        <v>0</v>
      </c>
      <c r="C861" s="629"/>
      <c r="D861" s="576"/>
      <c r="E861" s="589"/>
      <c r="F861" s="578"/>
      <c r="G861" s="579"/>
      <c r="H861" s="579"/>
      <c r="I861" s="580"/>
      <c r="J861" s="371"/>
      <c r="K861" s="371"/>
      <c r="L861" s="371"/>
      <c r="M861" s="371"/>
      <c r="N861" s="371"/>
      <c r="O861" s="371"/>
      <c r="P861" s="371"/>
      <c r="Q861" s="371"/>
    </row>
    <row r="862">
      <c r="A862" s="581">
        <v>135.0</v>
      </c>
      <c r="B862" s="582" t="b">
        <v>0</v>
      </c>
      <c r="C862" s="630"/>
      <c r="D862" s="584"/>
      <c r="E862" s="585"/>
      <c r="F862" s="586"/>
      <c r="G862" s="587"/>
      <c r="H862" s="587"/>
      <c r="I862" s="592"/>
      <c r="J862" s="371"/>
      <c r="K862" s="371"/>
      <c r="L862" s="371"/>
      <c r="M862" s="371"/>
      <c r="N862" s="371"/>
      <c r="O862" s="371"/>
      <c r="P862" s="371"/>
      <c r="Q862" s="371"/>
    </row>
    <row r="863">
      <c r="A863" s="573">
        <v>136.0</v>
      </c>
      <c r="B863" s="574" t="b">
        <v>0</v>
      </c>
      <c r="C863" s="631"/>
      <c r="D863" s="576"/>
      <c r="E863" s="589"/>
      <c r="F863" s="578"/>
      <c r="G863" s="579"/>
      <c r="H863" s="579"/>
      <c r="I863" s="580"/>
      <c r="J863" s="371"/>
      <c r="K863" s="371"/>
      <c r="L863" s="371"/>
      <c r="M863" s="371"/>
      <c r="N863" s="371"/>
      <c r="O863" s="371"/>
      <c r="P863" s="371"/>
      <c r="Q863" s="371"/>
    </row>
    <row r="864">
      <c r="A864" s="581">
        <v>137.0</v>
      </c>
      <c r="B864" s="582" t="b">
        <v>0</v>
      </c>
      <c r="C864" s="630"/>
      <c r="D864" s="584"/>
      <c r="E864" s="585"/>
      <c r="F864" s="586"/>
      <c r="G864" s="587"/>
      <c r="H864" s="587"/>
      <c r="I864" s="592"/>
      <c r="J864" s="371"/>
      <c r="K864" s="371"/>
      <c r="L864" s="371"/>
      <c r="M864" s="371"/>
      <c r="N864" s="371"/>
      <c r="O864" s="371"/>
      <c r="P864" s="371"/>
      <c r="Q864" s="371"/>
    </row>
    <row r="865">
      <c r="A865" s="573">
        <v>138.0</v>
      </c>
      <c r="B865" s="574" t="b">
        <v>0</v>
      </c>
      <c r="C865" s="631"/>
      <c r="D865" s="576"/>
      <c r="E865" s="589"/>
      <c r="F865" s="578"/>
      <c r="G865" s="579"/>
      <c r="H865" s="579"/>
      <c r="I865" s="580"/>
      <c r="J865" s="371"/>
      <c r="K865" s="371"/>
      <c r="L865" s="371"/>
      <c r="M865" s="371"/>
      <c r="N865" s="371"/>
      <c r="O865" s="371"/>
      <c r="P865" s="371"/>
      <c r="Q865" s="371"/>
    </row>
    <row r="866">
      <c r="A866" s="581">
        <v>139.0</v>
      </c>
      <c r="B866" s="582" t="b">
        <v>0</v>
      </c>
      <c r="C866" s="630"/>
      <c r="D866" s="584"/>
      <c r="E866" s="585"/>
      <c r="F866" s="586"/>
      <c r="G866" s="587"/>
      <c r="H866" s="587"/>
      <c r="I866" s="592"/>
      <c r="J866" s="371"/>
      <c r="K866" s="371"/>
      <c r="L866" s="371"/>
      <c r="M866" s="371"/>
      <c r="N866" s="371"/>
      <c r="O866" s="371"/>
      <c r="P866" s="371"/>
      <c r="Q866" s="371"/>
    </row>
    <row r="867">
      <c r="A867" s="573">
        <v>140.0</v>
      </c>
      <c r="B867" s="574" t="b">
        <v>0</v>
      </c>
      <c r="C867" s="631"/>
      <c r="D867" s="576"/>
      <c r="E867" s="589"/>
      <c r="F867" s="578"/>
      <c r="G867" s="579"/>
      <c r="H867" s="579"/>
      <c r="I867" s="580"/>
      <c r="J867" s="371"/>
      <c r="K867" s="371"/>
      <c r="L867" s="371"/>
      <c r="M867" s="371"/>
      <c r="N867" s="371"/>
      <c r="O867" s="371"/>
      <c r="P867" s="371"/>
      <c r="Q867" s="371"/>
    </row>
    <row r="868">
      <c r="A868" s="581">
        <v>141.0</v>
      </c>
      <c r="B868" s="582" t="b">
        <v>0</v>
      </c>
      <c r="C868" s="630"/>
      <c r="D868" s="584"/>
      <c r="E868" s="585"/>
      <c r="F868" s="586"/>
      <c r="G868" s="587"/>
      <c r="H868" s="587"/>
      <c r="I868" s="592"/>
      <c r="J868" s="371"/>
      <c r="K868" s="371"/>
      <c r="L868" s="371"/>
      <c r="M868" s="371"/>
      <c r="N868" s="371"/>
      <c r="O868" s="371"/>
      <c r="P868" s="371"/>
      <c r="Q868" s="371"/>
    </row>
    <row r="869">
      <c r="A869" s="573">
        <v>142.0</v>
      </c>
      <c r="B869" s="574" t="b">
        <v>0</v>
      </c>
      <c r="C869" s="631"/>
      <c r="D869" s="576"/>
      <c r="E869" s="589"/>
      <c r="F869" s="578"/>
      <c r="G869" s="579"/>
      <c r="H869" s="579"/>
      <c r="I869" s="580"/>
      <c r="J869" s="371"/>
      <c r="K869" s="371"/>
      <c r="L869" s="371"/>
      <c r="M869" s="371"/>
      <c r="N869" s="371"/>
      <c r="O869" s="371"/>
      <c r="P869" s="371"/>
      <c r="Q869" s="371"/>
    </row>
    <row r="870">
      <c r="A870" s="581">
        <v>143.0</v>
      </c>
      <c r="B870" s="582" t="b">
        <v>0</v>
      </c>
      <c r="C870" s="632"/>
      <c r="D870" s="584"/>
      <c r="E870" s="585"/>
      <c r="F870" s="586"/>
      <c r="G870" s="587"/>
      <c r="H870" s="587"/>
      <c r="I870" s="592"/>
      <c r="J870" s="371"/>
      <c r="K870" s="371"/>
      <c r="L870" s="371"/>
      <c r="M870" s="371"/>
      <c r="N870" s="371"/>
      <c r="O870" s="371"/>
      <c r="P870" s="371"/>
      <c r="Q870" s="371"/>
    </row>
    <row r="871">
      <c r="A871" s="573">
        <v>144.0</v>
      </c>
      <c r="B871" s="574" t="b">
        <v>0</v>
      </c>
      <c r="C871" s="595"/>
      <c r="D871" s="576"/>
      <c r="E871" s="589"/>
      <c r="F871" s="578"/>
      <c r="G871" s="579"/>
      <c r="H871" s="579"/>
      <c r="I871" s="580"/>
      <c r="J871" s="371"/>
      <c r="K871" s="371"/>
      <c r="L871" s="371"/>
      <c r="M871" s="371"/>
      <c r="N871" s="371"/>
      <c r="O871" s="371"/>
      <c r="P871" s="371"/>
      <c r="Q871" s="371"/>
    </row>
    <row r="872">
      <c r="A872" s="581">
        <v>145.0</v>
      </c>
      <c r="B872" s="582" t="b">
        <v>0</v>
      </c>
      <c r="C872" s="594"/>
      <c r="D872" s="584"/>
      <c r="E872" s="585"/>
      <c r="F872" s="586"/>
      <c r="G872" s="582" t="b">
        <v>1</v>
      </c>
      <c r="H872" s="587"/>
      <c r="I872" s="592"/>
      <c r="J872" s="371"/>
      <c r="K872" s="371"/>
      <c r="L872" s="371"/>
      <c r="M872" s="371"/>
      <c r="N872" s="371"/>
      <c r="O872" s="371"/>
      <c r="P872" s="371"/>
      <c r="Q872" s="371"/>
    </row>
    <row r="873">
      <c r="A873" s="573">
        <v>146.0</v>
      </c>
      <c r="B873" s="574" t="b">
        <v>0</v>
      </c>
      <c r="C873" s="595"/>
      <c r="D873" s="576"/>
      <c r="E873" s="589"/>
      <c r="F873" s="578"/>
      <c r="G873" s="574" t="b">
        <v>1</v>
      </c>
      <c r="H873" s="579"/>
      <c r="I873" s="580"/>
      <c r="J873" s="371"/>
      <c r="K873" s="371"/>
      <c r="L873" s="371"/>
      <c r="M873" s="371"/>
      <c r="N873" s="371"/>
      <c r="O873" s="371"/>
      <c r="P873" s="371"/>
      <c r="Q873" s="371"/>
    </row>
    <row r="874">
      <c r="A874" s="581">
        <v>147.0</v>
      </c>
      <c r="B874" s="582" t="b">
        <v>0</v>
      </c>
      <c r="C874" s="594"/>
      <c r="D874" s="584"/>
      <c r="E874" s="585"/>
      <c r="F874" s="586"/>
      <c r="G874" s="582" t="b">
        <v>1</v>
      </c>
      <c r="H874" s="587"/>
      <c r="I874" s="592"/>
      <c r="J874" s="371"/>
      <c r="K874" s="371"/>
      <c r="L874" s="371"/>
      <c r="M874" s="371"/>
      <c r="N874" s="371"/>
      <c r="O874" s="371"/>
      <c r="P874" s="371"/>
      <c r="Q874" s="371"/>
    </row>
    <row r="875">
      <c r="A875" s="573">
        <v>148.0</v>
      </c>
      <c r="B875" s="574" t="b">
        <v>0</v>
      </c>
      <c r="C875" s="595"/>
      <c r="D875" s="576"/>
      <c r="E875" s="589"/>
      <c r="F875" s="578"/>
      <c r="G875" s="574" t="b">
        <v>0</v>
      </c>
      <c r="H875" s="579"/>
      <c r="I875" s="580"/>
      <c r="J875" s="371"/>
      <c r="K875" s="371"/>
      <c r="L875" s="371"/>
      <c r="M875" s="371"/>
      <c r="N875" s="371"/>
      <c r="O875" s="371"/>
      <c r="P875" s="371"/>
      <c r="Q875" s="371"/>
    </row>
    <row r="876">
      <c r="A876" s="581">
        <v>149.0</v>
      </c>
      <c r="B876" s="582" t="b">
        <v>0</v>
      </c>
      <c r="C876" s="594"/>
      <c r="D876" s="584"/>
      <c r="E876" s="585"/>
      <c r="F876" s="586"/>
      <c r="G876" s="582" t="b">
        <v>0</v>
      </c>
      <c r="H876" s="587"/>
      <c r="I876" s="592"/>
      <c r="J876" s="371"/>
      <c r="K876" s="371"/>
      <c r="L876" s="371"/>
      <c r="M876" s="371"/>
      <c r="N876" s="371"/>
      <c r="O876" s="371"/>
      <c r="P876" s="371"/>
      <c r="Q876" s="371"/>
    </row>
    <row r="877">
      <c r="A877" s="573">
        <v>150.0</v>
      </c>
      <c r="B877" s="574" t="b">
        <v>0</v>
      </c>
      <c r="C877" s="595"/>
      <c r="D877" s="576"/>
      <c r="E877" s="589"/>
      <c r="F877" s="578"/>
      <c r="G877" s="574" t="b">
        <v>0</v>
      </c>
      <c r="H877" s="579"/>
      <c r="I877" s="580"/>
      <c r="J877" s="371"/>
      <c r="K877" s="371"/>
      <c r="L877" s="371"/>
      <c r="M877" s="371"/>
      <c r="N877" s="371"/>
      <c r="O877" s="371"/>
      <c r="P877" s="371"/>
      <c r="Q877" s="371"/>
    </row>
    <row r="878">
      <c r="A878" s="581">
        <v>151.0</v>
      </c>
      <c r="B878" s="582" t="b">
        <v>0</v>
      </c>
      <c r="C878" s="594"/>
      <c r="D878" s="584"/>
      <c r="E878" s="585"/>
      <c r="F878" s="586"/>
      <c r="G878" s="582" t="b">
        <v>0</v>
      </c>
      <c r="H878" s="587"/>
      <c r="I878" s="592"/>
      <c r="J878" s="371"/>
      <c r="K878" s="371"/>
      <c r="L878" s="371"/>
      <c r="M878" s="371"/>
      <c r="N878" s="371"/>
      <c r="O878" s="371"/>
      <c r="P878" s="371"/>
      <c r="Q878" s="371"/>
    </row>
    <row r="879">
      <c r="A879" s="573">
        <v>152.0</v>
      </c>
      <c r="B879" s="574" t="b">
        <v>0</v>
      </c>
      <c r="C879" s="595"/>
      <c r="D879" s="576"/>
      <c r="E879" s="589"/>
      <c r="F879" s="578"/>
      <c r="G879" s="574" t="b">
        <v>0</v>
      </c>
      <c r="H879" s="579"/>
      <c r="I879" s="580"/>
      <c r="J879" s="371"/>
      <c r="K879" s="371"/>
      <c r="L879" s="371"/>
      <c r="M879" s="371"/>
      <c r="N879" s="371"/>
      <c r="O879" s="371"/>
      <c r="P879" s="371"/>
      <c r="Q879" s="371"/>
    </row>
    <row r="880">
      <c r="A880" s="581">
        <v>153.0</v>
      </c>
      <c r="B880" s="582" t="b">
        <v>0</v>
      </c>
      <c r="C880" s="594"/>
      <c r="D880" s="584"/>
      <c r="E880" s="585"/>
      <c r="F880" s="586"/>
      <c r="G880" s="582" t="b">
        <v>0</v>
      </c>
      <c r="H880" s="587"/>
      <c r="I880" s="592"/>
      <c r="J880" s="371"/>
      <c r="K880" s="371"/>
      <c r="L880" s="371"/>
      <c r="M880" s="371"/>
      <c r="N880" s="371"/>
      <c r="O880" s="371"/>
      <c r="P880" s="371"/>
      <c r="Q880" s="371"/>
    </row>
    <row r="881">
      <c r="A881" s="573">
        <v>154.0</v>
      </c>
      <c r="B881" s="574" t="b">
        <v>0</v>
      </c>
      <c r="C881" s="595"/>
      <c r="D881" s="576"/>
      <c r="E881" s="589"/>
      <c r="F881" s="578"/>
      <c r="G881" s="574" t="b">
        <v>0</v>
      </c>
      <c r="H881" s="579"/>
      <c r="I881" s="580"/>
      <c r="J881" s="371"/>
      <c r="K881" s="371"/>
      <c r="L881" s="371"/>
      <c r="M881" s="371"/>
      <c r="N881" s="371"/>
      <c r="O881" s="371"/>
      <c r="P881" s="371"/>
      <c r="Q881" s="371"/>
    </row>
    <row r="882">
      <c r="A882" s="581">
        <v>155.0</v>
      </c>
      <c r="B882" s="582" t="b">
        <v>0</v>
      </c>
      <c r="C882" s="594"/>
      <c r="D882" s="584"/>
      <c r="E882" s="585"/>
      <c r="F882" s="586"/>
      <c r="G882" s="582" t="b">
        <v>0</v>
      </c>
      <c r="H882" s="587"/>
      <c r="I882" s="592"/>
      <c r="J882" s="371"/>
      <c r="K882" s="371"/>
      <c r="L882" s="371"/>
      <c r="M882" s="371"/>
      <c r="N882" s="371"/>
      <c r="O882" s="371"/>
      <c r="P882" s="371"/>
      <c r="Q882" s="371"/>
    </row>
    <row r="883">
      <c r="A883" s="573">
        <v>156.0</v>
      </c>
      <c r="B883" s="574" t="b">
        <v>0</v>
      </c>
      <c r="C883" s="595"/>
      <c r="D883" s="576"/>
      <c r="E883" s="589"/>
      <c r="F883" s="578"/>
      <c r="G883" s="574" t="b">
        <v>0</v>
      </c>
      <c r="H883" s="579"/>
      <c r="I883" s="580"/>
      <c r="J883" s="371"/>
      <c r="K883" s="371"/>
      <c r="L883" s="371"/>
      <c r="M883" s="371"/>
      <c r="N883" s="371"/>
      <c r="O883" s="371"/>
      <c r="P883" s="371"/>
      <c r="Q883" s="371"/>
    </row>
    <row r="884">
      <c r="A884" s="581">
        <v>157.0</v>
      </c>
      <c r="B884" s="582" t="b">
        <v>0</v>
      </c>
      <c r="C884" s="633"/>
      <c r="D884" s="634"/>
      <c r="E884" s="634"/>
      <c r="F884" s="634"/>
      <c r="G884" s="634"/>
      <c r="H884" s="634"/>
      <c r="I884" s="635"/>
      <c r="J884" s="371"/>
      <c r="K884" s="371"/>
      <c r="L884" s="371"/>
      <c r="M884" s="371"/>
      <c r="N884" s="371"/>
      <c r="O884" s="371"/>
      <c r="P884" s="371"/>
      <c r="Q884" s="371"/>
    </row>
    <row r="885">
      <c r="A885" s="573">
        <v>158.0</v>
      </c>
      <c r="B885" s="574" t="b">
        <v>0</v>
      </c>
      <c r="C885" s="595"/>
      <c r="D885" s="576"/>
      <c r="E885" s="589"/>
      <c r="F885" s="578"/>
      <c r="G885" s="579"/>
      <c r="H885" s="579"/>
      <c r="I885" s="580"/>
      <c r="J885" s="371"/>
      <c r="K885" s="371"/>
      <c r="L885" s="371"/>
      <c r="M885" s="371"/>
      <c r="N885" s="371"/>
      <c r="O885" s="371"/>
      <c r="P885" s="371"/>
      <c r="Q885" s="371"/>
    </row>
    <row r="886">
      <c r="A886" s="581">
        <v>159.0</v>
      </c>
      <c r="B886" s="582" t="b">
        <v>0</v>
      </c>
      <c r="C886" s="594"/>
      <c r="D886" s="584"/>
      <c r="E886" s="585"/>
      <c r="F886" s="586"/>
      <c r="G886" s="587"/>
      <c r="H886" s="587"/>
      <c r="I886" s="592"/>
      <c r="J886" s="371"/>
      <c r="K886" s="371"/>
      <c r="L886" s="371"/>
      <c r="M886" s="371"/>
      <c r="N886" s="371"/>
      <c r="O886" s="371"/>
      <c r="P886" s="371"/>
      <c r="Q886" s="371"/>
    </row>
    <row r="887">
      <c r="A887" s="573">
        <v>160.0</v>
      </c>
      <c r="B887" s="574" t="b">
        <v>0</v>
      </c>
      <c r="C887" s="595"/>
      <c r="D887" s="576" t="s">
        <v>2448</v>
      </c>
      <c r="E887" s="589"/>
      <c r="F887" s="578"/>
      <c r="G887" s="574" t="b">
        <v>1</v>
      </c>
      <c r="H887" s="579"/>
      <c r="I887" s="580"/>
      <c r="J887" s="371"/>
      <c r="K887" s="371"/>
      <c r="L887" s="371"/>
      <c r="M887" s="371"/>
      <c r="N887" s="371"/>
      <c r="O887" s="371"/>
      <c r="P887" s="371"/>
      <c r="Q887" s="371"/>
    </row>
    <row r="888">
      <c r="A888" s="581">
        <v>161.0</v>
      </c>
      <c r="B888" s="582" t="b">
        <v>0</v>
      </c>
      <c r="C888" s="594"/>
      <c r="D888" s="584" t="s">
        <v>2452</v>
      </c>
      <c r="E888" s="585"/>
      <c r="F888" s="586"/>
      <c r="G888" s="582" t="b">
        <v>1</v>
      </c>
      <c r="H888" s="587"/>
      <c r="I888" s="592"/>
      <c r="J888" s="371"/>
      <c r="K888" s="371"/>
      <c r="L888" s="371"/>
      <c r="M888" s="371"/>
      <c r="N888" s="371"/>
      <c r="O888" s="371"/>
      <c r="P888" s="371"/>
      <c r="Q888" s="371"/>
    </row>
    <row r="889">
      <c r="A889" s="573">
        <v>162.0</v>
      </c>
      <c r="B889" s="574" t="b">
        <v>0</v>
      </c>
      <c r="C889" s="595"/>
      <c r="D889" s="576" t="s">
        <v>2455</v>
      </c>
      <c r="E889" s="589"/>
      <c r="F889" s="578"/>
      <c r="G889" s="574" t="b">
        <v>1</v>
      </c>
      <c r="H889" s="579"/>
      <c r="I889" s="580"/>
      <c r="J889" s="371"/>
      <c r="K889" s="371"/>
      <c r="L889" s="371"/>
      <c r="M889" s="371"/>
      <c r="N889" s="371"/>
      <c r="O889" s="371"/>
      <c r="P889" s="371"/>
      <c r="Q889" s="371"/>
    </row>
    <row r="890">
      <c r="A890" s="581">
        <v>163.0</v>
      </c>
      <c r="B890" s="582" t="b">
        <v>0</v>
      </c>
      <c r="C890" s="594"/>
      <c r="D890" s="584"/>
      <c r="E890" s="585"/>
      <c r="F890" s="586"/>
      <c r="G890" s="582" t="b">
        <v>1</v>
      </c>
      <c r="H890" s="587"/>
      <c r="I890" s="592"/>
      <c r="J890" s="371"/>
      <c r="K890" s="371"/>
      <c r="L890" s="371"/>
      <c r="M890" s="371"/>
      <c r="N890" s="371"/>
      <c r="O890" s="371"/>
      <c r="P890" s="371"/>
      <c r="Q890" s="371"/>
    </row>
    <row r="891">
      <c r="A891" s="573">
        <v>164.0</v>
      </c>
      <c r="B891" s="574" t="b">
        <v>0</v>
      </c>
      <c r="C891" s="595"/>
      <c r="D891" s="576"/>
      <c r="E891" s="589"/>
      <c r="F891" s="578"/>
      <c r="G891" s="574" t="b">
        <v>1</v>
      </c>
      <c r="H891" s="579"/>
      <c r="I891" s="580"/>
      <c r="J891" s="371"/>
      <c r="K891" s="371"/>
      <c r="L891" s="371"/>
      <c r="M891" s="371"/>
      <c r="N891" s="371"/>
      <c r="O891" s="371"/>
      <c r="P891" s="371"/>
      <c r="Q891" s="371"/>
    </row>
    <row r="892">
      <c r="A892" s="581">
        <v>165.0</v>
      </c>
      <c r="B892" s="582" t="b">
        <v>0</v>
      </c>
      <c r="C892" s="594"/>
      <c r="D892" s="584"/>
      <c r="E892" s="585"/>
      <c r="F892" s="586"/>
      <c r="G892" s="587"/>
      <c r="H892" s="587"/>
      <c r="I892" s="592"/>
      <c r="J892" s="371"/>
      <c r="K892" s="371"/>
      <c r="L892" s="371"/>
      <c r="M892" s="371"/>
      <c r="N892" s="371"/>
      <c r="O892" s="371"/>
      <c r="P892" s="371"/>
      <c r="Q892" s="371"/>
    </row>
    <row r="893">
      <c r="A893" s="573">
        <v>166.0</v>
      </c>
      <c r="B893" s="574" t="b">
        <v>0</v>
      </c>
      <c r="C893" s="595"/>
      <c r="D893" s="576"/>
      <c r="E893" s="589"/>
      <c r="F893" s="578"/>
      <c r="G893" s="579"/>
      <c r="H893" s="579"/>
      <c r="I893" s="580"/>
      <c r="J893" s="371"/>
      <c r="K893" s="371"/>
      <c r="L893" s="371"/>
      <c r="M893" s="371"/>
      <c r="N893" s="371"/>
      <c r="O893" s="371"/>
      <c r="P893" s="371"/>
      <c r="Q893" s="371"/>
    </row>
    <row r="894">
      <c r="A894" s="581">
        <v>167.0</v>
      </c>
      <c r="B894" s="582" t="b">
        <v>0</v>
      </c>
      <c r="C894" s="594"/>
      <c r="D894" s="584"/>
      <c r="E894" s="585"/>
      <c r="F894" s="586"/>
      <c r="G894" s="587"/>
      <c r="H894" s="587"/>
      <c r="I894" s="592"/>
      <c r="J894" s="371"/>
      <c r="K894" s="371"/>
      <c r="L894" s="371"/>
      <c r="M894" s="371"/>
      <c r="N894" s="371"/>
      <c r="O894" s="371"/>
      <c r="P894" s="371"/>
      <c r="Q894" s="371"/>
    </row>
    <row r="895">
      <c r="A895" s="573">
        <v>168.0</v>
      </c>
      <c r="B895" s="574" t="b">
        <v>0</v>
      </c>
      <c r="C895" s="595"/>
      <c r="D895" s="576"/>
      <c r="E895" s="589"/>
      <c r="F895" s="578"/>
      <c r="G895" s="579"/>
      <c r="H895" s="579"/>
      <c r="I895" s="580"/>
      <c r="J895" s="371"/>
      <c r="K895" s="371"/>
      <c r="L895" s="371"/>
      <c r="M895" s="371"/>
      <c r="N895" s="371"/>
      <c r="O895" s="371"/>
      <c r="P895" s="371"/>
      <c r="Q895" s="371"/>
    </row>
    <row r="896">
      <c r="A896" s="581">
        <v>169.0</v>
      </c>
      <c r="B896" s="582" t="b">
        <v>0</v>
      </c>
      <c r="C896" s="594"/>
      <c r="D896" s="584"/>
      <c r="E896" s="585"/>
      <c r="F896" s="586"/>
      <c r="G896" s="587"/>
      <c r="H896" s="587"/>
      <c r="I896" s="592"/>
      <c r="J896" s="371"/>
      <c r="K896" s="371"/>
      <c r="L896" s="371"/>
      <c r="M896" s="371"/>
      <c r="N896" s="371"/>
      <c r="O896" s="371"/>
      <c r="P896" s="371"/>
      <c r="Q896" s="371"/>
    </row>
    <row r="897">
      <c r="A897" s="573">
        <v>170.0</v>
      </c>
      <c r="B897" s="574" t="b">
        <v>0</v>
      </c>
      <c r="C897" s="595"/>
      <c r="D897" s="576"/>
      <c r="E897" s="589"/>
      <c r="F897" s="578"/>
      <c r="G897" s="579"/>
      <c r="H897" s="579"/>
      <c r="I897" s="580"/>
      <c r="J897" s="371"/>
      <c r="K897" s="371"/>
      <c r="L897" s="371"/>
      <c r="M897" s="371"/>
      <c r="N897" s="371"/>
      <c r="O897" s="371"/>
      <c r="P897" s="371"/>
      <c r="Q897" s="371"/>
    </row>
    <row r="898">
      <c r="A898" s="581">
        <v>171.0</v>
      </c>
      <c r="B898" s="582" t="b">
        <v>0</v>
      </c>
      <c r="C898" s="594"/>
      <c r="D898" s="584"/>
      <c r="E898" s="585"/>
      <c r="F898" s="586"/>
      <c r="G898" s="587"/>
      <c r="H898" s="587"/>
      <c r="I898" s="592"/>
      <c r="J898" s="371"/>
      <c r="K898" s="371"/>
      <c r="L898" s="371"/>
      <c r="M898" s="371"/>
      <c r="N898" s="371"/>
      <c r="O898" s="371"/>
      <c r="P898" s="371"/>
      <c r="Q898" s="371"/>
    </row>
    <row r="899">
      <c r="A899" s="573">
        <v>172.0</v>
      </c>
      <c r="B899" s="574" t="b">
        <v>0</v>
      </c>
      <c r="C899" s="595"/>
      <c r="D899" s="576"/>
      <c r="E899" s="589"/>
      <c r="F899" s="578"/>
      <c r="G899" s="579"/>
      <c r="H899" s="579"/>
      <c r="I899" s="580"/>
      <c r="J899" s="371"/>
      <c r="K899" s="371"/>
      <c r="L899" s="371"/>
      <c r="M899" s="371"/>
      <c r="N899" s="371"/>
      <c r="O899" s="371"/>
      <c r="P899" s="371"/>
      <c r="Q899" s="371"/>
    </row>
    <row r="900">
      <c r="A900" s="581">
        <v>173.0</v>
      </c>
      <c r="B900" s="582" t="b">
        <v>0</v>
      </c>
      <c r="C900" s="594"/>
      <c r="D900" s="584"/>
      <c r="E900" s="585"/>
      <c r="F900" s="586"/>
      <c r="G900" s="587"/>
      <c r="H900" s="587"/>
      <c r="I900" s="592"/>
      <c r="J900" s="371"/>
      <c r="K900" s="371"/>
      <c r="L900" s="371"/>
      <c r="M900" s="371"/>
      <c r="N900" s="371"/>
      <c r="O900" s="371"/>
      <c r="P900" s="371"/>
      <c r="Q900" s="371"/>
    </row>
    <row r="901">
      <c r="A901" s="573">
        <v>174.0</v>
      </c>
      <c r="B901" s="574" t="b">
        <v>0</v>
      </c>
      <c r="C901" s="595"/>
      <c r="D901" s="576"/>
      <c r="E901" s="589"/>
      <c r="F901" s="578"/>
      <c r="G901" s="579"/>
      <c r="H901" s="579"/>
      <c r="I901" s="580"/>
      <c r="J901" s="371"/>
      <c r="K901" s="371"/>
      <c r="L901" s="371"/>
      <c r="M901" s="371"/>
      <c r="N901" s="371"/>
      <c r="O901" s="371"/>
      <c r="P901" s="371"/>
      <c r="Q901" s="371"/>
    </row>
    <row r="902">
      <c r="A902" s="581">
        <v>175.0</v>
      </c>
      <c r="B902" s="582" t="b">
        <v>0</v>
      </c>
      <c r="C902" s="594"/>
      <c r="D902" s="584"/>
      <c r="E902" s="585"/>
      <c r="F902" s="586"/>
      <c r="G902" s="587"/>
      <c r="H902" s="587"/>
      <c r="I902" s="592"/>
      <c r="J902" s="371"/>
      <c r="K902" s="371"/>
      <c r="L902" s="371"/>
      <c r="M902" s="371"/>
      <c r="N902" s="371"/>
      <c r="O902" s="371"/>
      <c r="P902" s="371"/>
      <c r="Q902" s="371"/>
    </row>
    <row r="903">
      <c r="A903" s="573">
        <v>176.0</v>
      </c>
      <c r="B903" s="574" t="b">
        <v>0</v>
      </c>
      <c r="C903" s="595"/>
      <c r="D903" s="576"/>
      <c r="E903" s="589"/>
      <c r="F903" s="578"/>
      <c r="G903" s="579"/>
      <c r="H903" s="579"/>
      <c r="I903" s="580"/>
      <c r="J903" s="371"/>
      <c r="K903" s="371"/>
      <c r="L903" s="371"/>
      <c r="M903" s="371"/>
      <c r="N903" s="371"/>
      <c r="O903" s="371"/>
      <c r="P903" s="371"/>
      <c r="Q903" s="371"/>
    </row>
    <row r="904">
      <c r="A904" s="581">
        <v>177.0</v>
      </c>
      <c r="B904" s="582" t="b">
        <v>0</v>
      </c>
      <c r="C904" s="594"/>
      <c r="D904" s="584"/>
      <c r="E904" s="585"/>
      <c r="F904" s="586"/>
      <c r="G904" s="587"/>
      <c r="H904" s="587"/>
      <c r="I904" s="592"/>
      <c r="J904" s="371"/>
      <c r="K904" s="371"/>
      <c r="L904" s="371"/>
      <c r="M904" s="371"/>
      <c r="N904" s="371"/>
      <c r="O904" s="371"/>
      <c r="P904" s="371"/>
      <c r="Q904" s="371"/>
    </row>
    <row r="905">
      <c r="A905" s="573">
        <v>178.0</v>
      </c>
      <c r="B905" s="574" t="b">
        <v>0</v>
      </c>
      <c r="C905" s="595"/>
      <c r="D905" s="576"/>
      <c r="E905" s="589"/>
      <c r="F905" s="578"/>
      <c r="G905" s="579"/>
      <c r="H905" s="579"/>
      <c r="I905" s="580"/>
      <c r="J905" s="371"/>
      <c r="K905" s="371"/>
      <c r="L905" s="371"/>
      <c r="M905" s="371"/>
      <c r="N905" s="371"/>
      <c r="O905" s="371"/>
      <c r="P905" s="371"/>
      <c r="Q905" s="371"/>
    </row>
    <row r="906">
      <c r="A906" s="581">
        <v>179.0</v>
      </c>
      <c r="B906" s="582" t="b">
        <v>0</v>
      </c>
      <c r="C906" s="594"/>
      <c r="D906" s="584"/>
      <c r="E906" s="585"/>
      <c r="F906" s="586"/>
      <c r="G906" s="587"/>
      <c r="H906" s="587"/>
      <c r="I906" s="592"/>
      <c r="J906" s="371"/>
      <c r="K906" s="371"/>
      <c r="L906" s="371"/>
      <c r="M906" s="371"/>
      <c r="N906" s="371"/>
      <c r="O906" s="371"/>
      <c r="P906" s="371"/>
      <c r="Q906" s="371"/>
    </row>
    <row r="907">
      <c r="A907" s="573">
        <v>180.0</v>
      </c>
      <c r="B907" s="574" t="b">
        <v>0</v>
      </c>
      <c r="C907" s="595"/>
      <c r="D907" s="576"/>
      <c r="E907" s="589"/>
      <c r="F907" s="578"/>
      <c r="G907" s="579"/>
      <c r="H907" s="579"/>
      <c r="I907" s="580"/>
      <c r="J907" s="371"/>
      <c r="K907" s="371"/>
      <c r="L907" s="371"/>
      <c r="M907" s="371"/>
      <c r="N907" s="371"/>
      <c r="O907" s="371"/>
      <c r="P907" s="371"/>
      <c r="Q907" s="371"/>
    </row>
    <row r="908">
      <c r="A908" s="581">
        <v>181.0</v>
      </c>
      <c r="B908" s="582" t="b">
        <v>0</v>
      </c>
      <c r="C908" s="594"/>
      <c r="D908" s="584"/>
      <c r="E908" s="585"/>
      <c r="F908" s="586"/>
      <c r="G908" s="587"/>
      <c r="H908" s="587"/>
      <c r="I908" s="592"/>
      <c r="J908" s="371"/>
      <c r="K908" s="371"/>
      <c r="L908" s="371"/>
      <c r="M908" s="371"/>
      <c r="N908" s="371"/>
      <c r="O908" s="371"/>
      <c r="P908" s="371"/>
      <c r="Q908" s="371"/>
    </row>
    <row r="909">
      <c r="A909" s="573">
        <v>182.0</v>
      </c>
      <c r="B909" s="574" t="b">
        <v>0</v>
      </c>
      <c r="C909" s="595"/>
      <c r="D909" s="576"/>
      <c r="E909" s="589"/>
      <c r="F909" s="578"/>
      <c r="G909" s="579"/>
      <c r="H909" s="579"/>
      <c r="I909" s="580"/>
      <c r="J909" s="371"/>
      <c r="K909" s="371"/>
      <c r="L909" s="371"/>
      <c r="M909" s="371"/>
      <c r="N909" s="371"/>
      <c r="O909" s="371"/>
      <c r="P909" s="371"/>
      <c r="Q909" s="371"/>
    </row>
    <row r="910">
      <c r="A910" s="581">
        <v>183.0</v>
      </c>
      <c r="B910" s="582" t="b">
        <v>0</v>
      </c>
      <c r="C910" s="594"/>
      <c r="D910" s="584"/>
      <c r="E910" s="585"/>
      <c r="F910" s="586"/>
      <c r="G910" s="587"/>
      <c r="H910" s="587"/>
      <c r="I910" s="592"/>
      <c r="J910" s="371"/>
      <c r="K910" s="371"/>
      <c r="L910" s="371"/>
      <c r="M910" s="371"/>
      <c r="N910" s="371"/>
      <c r="O910" s="371"/>
      <c r="P910" s="371"/>
      <c r="Q910" s="371"/>
    </row>
    <row r="911">
      <c r="A911" s="573">
        <v>184.0</v>
      </c>
      <c r="B911" s="574" t="b">
        <v>0</v>
      </c>
      <c r="C911" s="595"/>
      <c r="D911" s="576"/>
      <c r="E911" s="589"/>
      <c r="F911" s="578"/>
      <c r="G911" s="579"/>
      <c r="H911" s="579"/>
      <c r="I911" s="580"/>
      <c r="J911" s="371"/>
      <c r="K911" s="371"/>
      <c r="L911" s="371"/>
      <c r="M911" s="371"/>
      <c r="N911" s="371"/>
      <c r="O911" s="371"/>
      <c r="P911" s="371"/>
      <c r="Q911" s="371"/>
    </row>
    <row r="912">
      <c r="A912" s="581">
        <v>185.0</v>
      </c>
      <c r="B912" s="582" t="b">
        <v>0</v>
      </c>
      <c r="C912" s="594"/>
      <c r="D912" s="584"/>
      <c r="E912" s="585"/>
      <c r="F912" s="586"/>
      <c r="G912" s="587"/>
      <c r="H912" s="587"/>
      <c r="I912" s="592"/>
      <c r="J912" s="371"/>
      <c r="K912" s="371"/>
      <c r="L912" s="371"/>
      <c r="M912" s="371"/>
      <c r="N912" s="371"/>
      <c r="O912" s="371"/>
      <c r="P912" s="371"/>
      <c r="Q912" s="371"/>
    </row>
    <row r="913">
      <c r="A913" s="573">
        <v>186.0</v>
      </c>
      <c r="B913" s="574" t="b">
        <v>0</v>
      </c>
      <c r="C913" s="595"/>
      <c r="D913" s="576"/>
      <c r="E913" s="589"/>
      <c r="F913" s="578"/>
      <c r="G913" s="579"/>
      <c r="H913" s="579"/>
      <c r="I913" s="580"/>
      <c r="J913" s="371"/>
      <c r="K913" s="371"/>
      <c r="L913" s="371"/>
      <c r="M913" s="371"/>
      <c r="N913" s="371"/>
      <c r="O913" s="371"/>
      <c r="P913" s="371"/>
      <c r="Q913" s="371"/>
    </row>
    <row r="914">
      <c r="A914" s="581">
        <v>187.0</v>
      </c>
      <c r="B914" s="582" t="b">
        <v>0</v>
      </c>
      <c r="C914" s="594"/>
      <c r="D914" s="584"/>
      <c r="E914" s="585"/>
      <c r="F914" s="586"/>
      <c r="G914" s="587"/>
      <c r="H914" s="587"/>
      <c r="I914" s="592"/>
      <c r="J914" s="371"/>
      <c r="K914" s="371"/>
      <c r="L914" s="371"/>
      <c r="M914" s="371"/>
      <c r="N914" s="371"/>
      <c r="O914" s="371"/>
      <c r="P914" s="371"/>
      <c r="Q914" s="371"/>
    </row>
    <row r="915">
      <c r="A915" s="573">
        <v>188.0</v>
      </c>
      <c r="B915" s="574" t="b">
        <v>0</v>
      </c>
      <c r="C915" s="595"/>
      <c r="D915" s="576"/>
      <c r="E915" s="589"/>
      <c r="F915" s="578"/>
      <c r="G915" s="579"/>
      <c r="H915" s="579"/>
      <c r="I915" s="580"/>
      <c r="J915" s="371"/>
      <c r="K915" s="371"/>
      <c r="L915" s="371"/>
      <c r="M915" s="371"/>
      <c r="N915" s="371"/>
      <c r="O915" s="371"/>
      <c r="P915" s="371"/>
      <c r="Q915" s="371"/>
    </row>
    <row r="916">
      <c r="A916" s="581">
        <v>189.0</v>
      </c>
      <c r="B916" s="582" t="b">
        <v>0</v>
      </c>
      <c r="C916" s="594"/>
      <c r="D916" s="584"/>
      <c r="E916" s="585"/>
      <c r="F916" s="586"/>
      <c r="G916" s="587"/>
      <c r="H916" s="587"/>
      <c r="I916" s="592"/>
      <c r="J916" s="371"/>
      <c r="K916" s="371"/>
      <c r="L916" s="371"/>
      <c r="M916" s="371"/>
      <c r="N916" s="371"/>
      <c r="O916" s="371"/>
      <c r="P916" s="371"/>
      <c r="Q916" s="371"/>
    </row>
    <row r="917">
      <c r="A917" s="573">
        <v>190.0</v>
      </c>
      <c r="B917" s="574" t="b">
        <v>0</v>
      </c>
      <c r="C917" s="595"/>
      <c r="D917" s="576"/>
      <c r="E917" s="589"/>
      <c r="F917" s="578"/>
      <c r="G917" s="579"/>
      <c r="H917" s="579"/>
      <c r="I917" s="580"/>
      <c r="J917" s="371"/>
      <c r="K917" s="371"/>
      <c r="L917" s="371"/>
      <c r="M917" s="371"/>
      <c r="N917" s="371"/>
      <c r="O917" s="371"/>
      <c r="P917" s="371"/>
      <c r="Q917" s="371"/>
    </row>
    <row r="918">
      <c r="A918" s="581">
        <v>191.0</v>
      </c>
      <c r="B918" s="582" t="b">
        <v>0</v>
      </c>
      <c r="C918" s="594"/>
      <c r="D918" s="584"/>
      <c r="E918" s="585"/>
      <c r="F918" s="586"/>
      <c r="G918" s="587"/>
      <c r="H918" s="587"/>
      <c r="I918" s="592"/>
      <c r="J918" s="371"/>
      <c r="K918" s="371"/>
      <c r="L918" s="371"/>
      <c r="M918" s="371"/>
      <c r="N918" s="371"/>
      <c r="O918" s="371"/>
      <c r="P918" s="371"/>
      <c r="Q918" s="371"/>
    </row>
    <row r="919">
      <c r="A919" s="573">
        <v>192.0</v>
      </c>
      <c r="B919" s="574" t="b">
        <v>0</v>
      </c>
      <c r="C919" s="595"/>
      <c r="D919" s="576"/>
      <c r="E919" s="589"/>
      <c r="F919" s="578"/>
      <c r="G919" s="579"/>
      <c r="H919" s="579"/>
      <c r="I919" s="580"/>
      <c r="J919" s="371"/>
      <c r="K919" s="371"/>
      <c r="L919" s="371"/>
      <c r="M919" s="371"/>
      <c r="N919" s="371"/>
      <c r="O919" s="371"/>
      <c r="P919" s="371"/>
      <c r="Q919" s="371"/>
    </row>
    <row r="920">
      <c r="A920" s="581">
        <v>193.0</v>
      </c>
      <c r="B920" s="582" t="b">
        <v>0</v>
      </c>
      <c r="C920" s="594"/>
      <c r="D920" s="584"/>
      <c r="E920" s="585"/>
      <c r="F920" s="586"/>
      <c r="G920" s="587"/>
      <c r="H920" s="587"/>
      <c r="I920" s="592"/>
      <c r="J920" s="371"/>
      <c r="K920" s="371"/>
      <c r="L920" s="371"/>
      <c r="M920" s="371"/>
      <c r="N920" s="371"/>
      <c r="O920" s="371"/>
      <c r="P920" s="371"/>
      <c r="Q920" s="371"/>
    </row>
    <row r="921">
      <c r="A921" s="573">
        <v>194.0</v>
      </c>
      <c r="B921" s="574" t="b">
        <v>0</v>
      </c>
      <c r="C921" s="595"/>
      <c r="D921" s="576"/>
      <c r="E921" s="589"/>
      <c r="F921" s="578"/>
      <c r="G921" s="579"/>
      <c r="H921" s="579"/>
      <c r="I921" s="580"/>
      <c r="J921" s="371"/>
      <c r="K921" s="371"/>
      <c r="L921" s="371"/>
      <c r="M921" s="371"/>
      <c r="N921" s="371"/>
      <c r="O921" s="371"/>
      <c r="P921" s="371"/>
      <c r="Q921" s="371"/>
    </row>
    <row r="922">
      <c r="A922" s="581">
        <v>195.0</v>
      </c>
      <c r="B922" s="582" t="b">
        <v>0</v>
      </c>
      <c r="C922" s="594"/>
      <c r="D922" s="584"/>
      <c r="E922" s="585"/>
      <c r="F922" s="586"/>
      <c r="G922" s="587"/>
      <c r="H922" s="587"/>
      <c r="I922" s="592"/>
      <c r="J922" s="371"/>
      <c r="K922" s="371"/>
      <c r="L922" s="371"/>
      <c r="M922" s="371"/>
      <c r="N922" s="371"/>
      <c r="O922" s="371"/>
      <c r="P922" s="371"/>
      <c r="Q922" s="371"/>
    </row>
    <row r="923">
      <c r="A923" s="573">
        <v>196.0</v>
      </c>
      <c r="B923" s="574" t="b">
        <v>0</v>
      </c>
      <c r="C923" s="595"/>
      <c r="D923" s="576"/>
      <c r="E923" s="589"/>
      <c r="F923" s="578"/>
      <c r="G923" s="579"/>
      <c r="H923" s="579"/>
      <c r="I923" s="580"/>
      <c r="J923" s="371"/>
      <c r="K923" s="371"/>
      <c r="L923" s="371"/>
      <c r="M923" s="371"/>
      <c r="N923" s="371"/>
      <c r="O923" s="371"/>
      <c r="P923" s="371"/>
      <c r="Q923" s="371"/>
    </row>
    <row r="924">
      <c r="A924" s="581">
        <v>197.0</v>
      </c>
      <c r="B924" s="582" t="b">
        <v>0</v>
      </c>
      <c r="C924" s="594"/>
      <c r="D924" s="584"/>
      <c r="E924" s="585"/>
      <c r="F924" s="586"/>
      <c r="G924" s="587"/>
      <c r="H924" s="587"/>
      <c r="I924" s="592"/>
      <c r="J924" s="371"/>
      <c r="K924" s="371"/>
      <c r="L924" s="371"/>
      <c r="M924" s="371"/>
      <c r="N924" s="371"/>
      <c r="O924" s="371"/>
      <c r="P924" s="371"/>
      <c r="Q924" s="371"/>
    </row>
    <row r="925">
      <c r="A925" s="573">
        <v>198.0</v>
      </c>
      <c r="B925" s="574" t="b">
        <v>0</v>
      </c>
      <c r="C925" s="595"/>
      <c r="D925" s="576"/>
      <c r="E925" s="589"/>
      <c r="F925" s="578"/>
      <c r="G925" s="579"/>
      <c r="H925" s="579"/>
      <c r="I925" s="580"/>
      <c r="J925" s="371"/>
      <c r="K925" s="371"/>
      <c r="L925" s="371"/>
      <c r="M925" s="371"/>
      <c r="N925" s="371"/>
      <c r="O925" s="371"/>
      <c r="P925" s="371"/>
      <c r="Q925" s="371"/>
    </row>
    <row r="926">
      <c r="A926" s="581">
        <v>199.0</v>
      </c>
      <c r="B926" s="582" t="b">
        <v>0</v>
      </c>
      <c r="C926" s="594"/>
      <c r="D926" s="584"/>
      <c r="E926" s="585"/>
      <c r="F926" s="586"/>
      <c r="G926" s="587"/>
      <c r="H926" s="587"/>
      <c r="I926" s="592"/>
      <c r="J926" s="371"/>
      <c r="K926" s="371"/>
      <c r="L926" s="371"/>
      <c r="M926" s="371"/>
      <c r="N926" s="371"/>
      <c r="O926" s="371"/>
      <c r="P926" s="371"/>
      <c r="Q926" s="371"/>
    </row>
    <row r="927">
      <c r="A927" s="573">
        <v>200.0</v>
      </c>
      <c r="B927" s="574" t="b">
        <v>0</v>
      </c>
      <c r="C927" s="595"/>
      <c r="D927" s="576"/>
      <c r="E927" s="589"/>
      <c r="F927" s="578"/>
      <c r="G927" s="579"/>
      <c r="H927" s="579"/>
      <c r="I927" s="580"/>
      <c r="J927" s="371"/>
      <c r="K927" s="371"/>
      <c r="L927" s="371"/>
      <c r="M927" s="371"/>
      <c r="N927" s="371"/>
      <c r="O927" s="371"/>
      <c r="P927" s="371"/>
      <c r="Q927" s="371"/>
    </row>
    <row r="928">
      <c r="A928" s="581">
        <v>201.0</v>
      </c>
      <c r="B928" s="582" t="b">
        <v>0</v>
      </c>
      <c r="C928" s="594"/>
      <c r="D928" s="584"/>
      <c r="E928" s="585"/>
      <c r="F928" s="586"/>
      <c r="G928" s="587"/>
      <c r="H928" s="587"/>
      <c r="I928" s="592"/>
      <c r="J928" s="371"/>
      <c r="K928" s="371"/>
      <c r="L928" s="371"/>
      <c r="M928" s="371"/>
      <c r="N928" s="371"/>
      <c r="O928" s="371"/>
      <c r="P928" s="371"/>
      <c r="Q928" s="371"/>
    </row>
    <row r="929">
      <c r="A929" s="573">
        <v>202.0</v>
      </c>
      <c r="B929" s="574" t="b">
        <v>0</v>
      </c>
      <c r="C929" s="595"/>
      <c r="D929" s="576"/>
      <c r="E929" s="589"/>
      <c r="F929" s="578"/>
      <c r="G929" s="579"/>
      <c r="H929" s="579"/>
      <c r="I929" s="580"/>
      <c r="J929" s="371"/>
      <c r="K929" s="371"/>
      <c r="L929" s="371"/>
      <c r="M929" s="371"/>
      <c r="N929" s="371"/>
      <c r="O929" s="371"/>
      <c r="P929" s="371"/>
      <c r="Q929" s="371"/>
    </row>
    <row r="930">
      <c r="A930" s="581">
        <v>203.0</v>
      </c>
      <c r="B930" s="582" t="b">
        <v>0</v>
      </c>
      <c r="C930" s="594"/>
      <c r="D930" s="584"/>
      <c r="E930" s="585"/>
      <c r="F930" s="586"/>
      <c r="G930" s="587"/>
      <c r="H930" s="587"/>
      <c r="I930" s="592"/>
      <c r="J930" s="371"/>
      <c r="K930" s="371"/>
      <c r="L930" s="371"/>
      <c r="M930" s="371"/>
      <c r="N930" s="371"/>
      <c r="O930" s="371"/>
      <c r="P930" s="371"/>
      <c r="Q930" s="371"/>
    </row>
    <row r="931">
      <c r="A931" s="573">
        <v>204.0</v>
      </c>
      <c r="B931" s="574" t="b">
        <v>0</v>
      </c>
      <c r="C931" s="595"/>
      <c r="D931" s="576"/>
      <c r="E931" s="589"/>
      <c r="F931" s="578"/>
      <c r="G931" s="579"/>
      <c r="H931" s="579"/>
      <c r="I931" s="580"/>
      <c r="J931" s="371"/>
      <c r="K931" s="371"/>
      <c r="L931" s="371"/>
      <c r="M931" s="371"/>
      <c r="N931" s="371"/>
      <c r="O931" s="371"/>
      <c r="P931" s="371"/>
      <c r="Q931" s="371"/>
    </row>
    <row r="932">
      <c r="A932" s="581">
        <v>205.0</v>
      </c>
      <c r="B932" s="582" t="b">
        <v>0</v>
      </c>
      <c r="C932" s="594"/>
      <c r="D932" s="584"/>
      <c r="E932" s="585"/>
      <c r="F932" s="586"/>
      <c r="G932" s="587"/>
      <c r="H932" s="587"/>
      <c r="I932" s="592"/>
      <c r="J932" s="371"/>
      <c r="K932" s="371"/>
      <c r="L932" s="371"/>
      <c r="M932" s="371"/>
      <c r="N932" s="371"/>
      <c r="O932" s="371"/>
      <c r="P932" s="371"/>
      <c r="Q932" s="371"/>
    </row>
    <row r="933">
      <c r="A933" s="573">
        <v>206.0</v>
      </c>
      <c r="B933" s="574" t="b">
        <v>0</v>
      </c>
      <c r="C933" s="595"/>
      <c r="D933" s="576"/>
      <c r="E933" s="589"/>
      <c r="F933" s="578"/>
      <c r="G933" s="579"/>
      <c r="H933" s="579"/>
      <c r="I933" s="580"/>
      <c r="J933" s="371"/>
      <c r="K933" s="371"/>
      <c r="L933" s="371"/>
      <c r="M933" s="371"/>
      <c r="N933" s="371"/>
      <c r="O933" s="371"/>
      <c r="P933" s="371"/>
      <c r="Q933" s="371"/>
    </row>
    <row r="934">
      <c r="A934" s="581">
        <v>207.0</v>
      </c>
      <c r="B934" s="582" t="b">
        <v>0</v>
      </c>
      <c r="C934" s="594"/>
      <c r="D934" s="584"/>
      <c r="E934" s="585"/>
      <c r="F934" s="586"/>
      <c r="G934" s="587"/>
      <c r="H934" s="587"/>
      <c r="I934" s="592"/>
      <c r="J934" s="371"/>
      <c r="K934" s="371"/>
      <c r="L934" s="371"/>
      <c r="M934" s="371"/>
      <c r="N934" s="371"/>
      <c r="O934" s="371"/>
      <c r="P934" s="371"/>
      <c r="Q934" s="371"/>
    </row>
    <row r="935">
      <c r="A935" s="573">
        <v>208.0</v>
      </c>
      <c r="B935" s="574" t="b">
        <v>0</v>
      </c>
      <c r="C935" s="595"/>
      <c r="D935" s="576"/>
      <c r="E935" s="589"/>
      <c r="F935" s="578"/>
      <c r="G935" s="579"/>
      <c r="H935" s="579"/>
      <c r="I935" s="580"/>
      <c r="J935" s="371"/>
      <c r="K935" s="371"/>
      <c r="L935" s="371"/>
      <c r="M935" s="371"/>
      <c r="N935" s="371"/>
      <c r="O935" s="371"/>
      <c r="P935" s="371"/>
      <c r="Q935" s="371"/>
    </row>
    <row r="936">
      <c r="A936" s="581">
        <v>209.0</v>
      </c>
      <c r="B936" s="582" t="b">
        <v>0</v>
      </c>
      <c r="C936" s="594"/>
      <c r="D936" s="584"/>
      <c r="E936" s="585"/>
      <c r="F936" s="586"/>
      <c r="G936" s="587"/>
      <c r="H936" s="587"/>
      <c r="I936" s="592"/>
      <c r="J936" s="371"/>
      <c r="K936" s="371"/>
      <c r="L936" s="371"/>
      <c r="M936" s="371"/>
      <c r="N936" s="371"/>
      <c r="O936" s="371"/>
      <c r="P936" s="371"/>
      <c r="Q936" s="371"/>
    </row>
    <row r="937">
      <c r="A937" s="573">
        <v>210.0</v>
      </c>
      <c r="B937" s="574" t="b">
        <v>0</v>
      </c>
      <c r="C937" s="595"/>
      <c r="D937" s="576"/>
      <c r="E937" s="589"/>
      <c r="F937" s="578"/>
      <c r="G937" s="579"/>
      <c r="H937" s="579"/>
      <c r="I937" s="580"/>
      <c r="J937" s="371"/>
      <c r="K937" s="371"/>
      <c r="L937" s="371"/>
      <c r="M937" s="371"/>
      <c r="N937" s="371"/>
      <c r="O937" s="371"/>
      <c r="P937" s="371"/>
      <c r="Q937" s="371"/>
    </row>
    <row r="938">
      <c r="A938" s="581">
        <v>211.0</v>
      </c>
      <c r="B938" s="582" t="b">
        <v>0</v>
      </c>
      <c r="C938" s="594"/>
      <c r="D938" s="584"/>
      <c r="E938" s="585"/>
      <c r="F938" s="586"/>
      <c r="G938" s="587"/>
      <c r="H938" s="587"/>
      <c r="I938" s="592"/>
      <c r="J938" s="371"/>
      <c r="K938" s="371"/>
      <c r="L938" s="371"/>
      <c r="M938" s="371"/>
      <c r="N938" s="371"/>
      <c r="O938" s="371"/>
      <c r="P938" s="371"/>
      <c r="Q938" s="371"/>
    </row>
    <row r="939">
      <c r="A939" s="573">
        <v>212.0</v>
      </c>
      <c r="B939" s="574" t="b">
        <v>0</v>
      </c>
      <c r="C939" s="595"/>
      <c r="D939" s="576"/>
      <c r="E939" s="589"/>
      <c r="F939" s="578"/>
      <c r="G939" s="579"/>
      <c r="H939" s="579"/>
      <c r="I939" s="580"/>
      <c r="J939" s="371"/>
      <c r="K939" s="371"/>
      <c r="L939" s="371"/>
      <c r="M939" s="371"/>
      <c r="N939" s="371"/>
      <c r="O939" s="371"/>
      <c r="P939" s="371"/>
      <c r="Q939" s="371"/>
    </row>
    <row r="940">
      <c r="A940" s="581">
        <v>213.0</v>
      </c>
      <c r="B940" s="582" t="b">
        <v>0</v>
      </c>
      <c r="C940" s="594"/>
      <c r="D940" s="584"/>
      <c r="E940" s="585"/>
      <c r="F940" s="586"/>
      <c r="G940" s="587"/>
      <c r="H940" s="587"/>
      <c r="I940" s="592"/>
      <c r="J940" s="371"/>
      <c r="K940" s="371"/>
      <c r="L940" s="371"/>
      <c r="M940" s="371"/>
      <c r="N940" s="371"/>
      <c r="O940" s="371"/>
      <c r="P940" s="371"/>
      <c r="Q940" s="371"/>
    </row>
    <row r="941">
      <c r="A941" s="573">
        <v>214.0</v>
      </c>
      <c r="B941" s="574" t="b">
        <v>0</v>
      </c>
      <c r="C941" s="595"/>
      <c r="D941" s="576"/>
      <c r="E941" s="589"/>
      <c r="F941" s="578"/>
      <c r="G941" s="579"/>
      <c r="H941" s="579"/>
      <c r="I941" s="580"/>
      <c r="J941" s="371"/>
      <c r="K941" s="371"/>
      <c r="L941" s="371"/>
      <c r="M941" s="371"/>
      <c r="N941" s="371"/>
      <c r="O941" s="371"/>
      <c r="P941" s="371"/>
      <c r="Q941" s="371"/>
    </row>
    <row r="942">
      <c r="A942" s="581">
        <v>215.0</v>
      </c>
      <c r="B942" s="582" t="b">
        <v>0</v>
      </c>
      <c r="C942" s="594"/>
      <c r="D942" s="584"/>
      <c r="E942" s="585"/>
      <c r="F942" s="586"/>
      <c r="G942" s="587"/>
      <c r="H942" s="587"/>
      <c r="I942" s="592"/>
      <c r="J942" s="371"/>
      <c r="K942" s="371"/>
      <c r="L942" s="371"/>
      <c r="M942" s="371"/>
      <c r="N942" s="371"/>
      <c r="O942" s="371"/>
      <c r="P942" s="371"/>
      <c r="Q942" s="371"/>
    </row>
    <row r="943">
      <c r="A943" s="573">
        <v>216.0</v>
      </c>
      <c r="B943" s="574" t="b">
        <v>0</v>
      </c>
      <c r="C943" s="595"/>
      <c r="D943" s="576"/>
      <c r="E943" s="589"/>
      <c r="F943" s="578"/>
      <c r="G943" s="579"/>
      <c r="H943" s="579"/>
      <c r="I943" s="580"/>
      <c r="J943" s="371"/>
      <c r="K943" s="371"/>
      <c r="L943" s="371"/>
      <c r="M943" s="371"/>
      <c r="N943" s="371"/>
      <c r="O943" s="371"/>
      <c r="P943" s="371"/>
      <c r="Q943" s="371"/>
    </row>
    <row r="944">
      <c r="A944" s="581">
        <v>217.0</v>
      </c>
      <c r="B944" s="582" t="b">
        <v>0</v>
      </c>
      <c r="C944" s="594"/>
      <c r="D944" s="584"/>
      <c r="E944" s="585"/>
      <c r="F944" s="586"/>
      <c r="G944" s="587"/>
      <c r="H944" s="587"/>
      <c r="I944" s="592"/>
      <c r="J944" s="371"/>
      <c r="K944" s="371"/>
      <c r="L944" s="371"/>
      <c r="M944" s="371"/>
      <c r="N944" s="371"/>
      <c r="O944" s="371"/>
      <c r="P944" s="371"/>
      <c r="Q944" s="371"/>
    </row>
    <row r="945">
      <c r="A945" s="573">
        <v>218.0</v>
      </c>
      <c r="B945" s="574" t="b">
        <v>0</v>
      </c>
      <c r="C945" s="595"/>
      <c r="D945" s="576"/>
      <c r="E945" s="589"/>
      <c r="F945" s="578"/>
      <c r="G945" s="579"/>
      <c r="H945" s="579"/>
      <c r="I945" s="580"/>
      <c r="J945" s="371"/>
      <c r="K945" s="371"/>
      <c r="L945" s="371"/>
      <c r="M945" s="371"/>
      <c r="N945" s="371"/>
      <c r="O945" s="371"/>
      <c r="P945" s="371"/>
      <c r="Q945" s="371"/>
    </row>
    <row r="946">
      <c r="A946" s="581">
        <v>219.0</v>
      </c>
      <c r="B946" s="582" t="b">
        <v>0</v>
      </c>
      <c r="C946" s="594"/>
      <c r="D946" s="584"/>
      <c r="E946" s="585"/>
      <c r="F946" s="586"/>
      <c r="G946" s="587"/>
      <c r="H946" s="587"/>
      <c r="I946" s="592"/>
      <c r="J946" s="371"/>
      <c r="K946" s="371"/>
      <c r="L946" s="371"/>
      <c r="M946" s="371"/>
      <c r="N946" s="371"/>
      <c r="O946" s="371"/>
      <c r="P946" s="371"/>
      <c r="Q946" s="371"/>
    </row>
    <row r="947">
      <c r="A947" s="573">
        <v>220.0</v>
      </c>
      <c r="B947" s="574" t="b">
        <v>0</v>
      </c>
      <c r="C947" s="595"/>
      <c r="D947" s="576"/>
      <c r="E947" s="589"/>
      <c r="F947" s="578"/>
      <c r="G947" s="579"/>
      <c r="H947" s="579"/>
      <c r="I947" s="580"/>
      <c r="J947" s="371"/>
      <c r="K947" s="371"/>
      <c r="L947" s="371"/>
      <c r="M947" s="371"/>
      <c r="N947" s="371"/>
      <c r="O947" s="371"/>
      <c r="P947" s="371"/>
      <c r="Q947" s="371"/>
    </row>
    <row r="948">
      <c r="A948" s="581">
        <v>221.0</v>
      </c>
      <c r="B948" s="582" t="b">
        <v>0</v>
      </c>
      <c r="C948" s="594"/>
      <c r="D948" s="584"/>
      <c r="E948" s="585"/>
      <c r="F948" s="586"/>
      <c r="G948" s="587"/>
      <c r="H948" s="587"/>
      <c r="I948" s="592"/>
      <c r="J948" s="371"/>
      <c r="K948" s="371"/>
      <c r="L948" s="371"/>
      <c r="M948" s="371"/>
      <c r="N948" s="371"/>
      <c r="O948" s="371"/>
      <c r="P948" s="371"/>
      <c r="Q948" s="371"/>
    </row>
    <row r="949">
      <c r="A949" s="573">
        <v>222.0</v>
      </c>
      <c r="B949" s="574" t="b">
        <v>0</v>
      </c>
      <c r="C949" s="595"/>
      <c r="D949" s="576"/>
      <c r="E949" s="589"/>
      <c r="F949" s="578"/>
      <c r="G949" s="579"/>
      <c r="H949" s="579"/>
      <c r="I949" s="580"/>
      <c r="J949" s="371"/>
      <c r="K949" s="371"/>
      <c r="L949" s="371"/>
      <c r="M949" s="371"/>
      <c r="N949" s="371"/>
      <c r="O949" s="371"/>
      <c r="P949" s="371"/>
      <c r="Q949" s="371"/>
    </row>
    <row r="950">
      <c r="A950" s="581">
        <v>223.0</v>
      </c>
      <c r="B950" s="582" t="b">
        <v>0</v>
      </c>
      <c r="C950" s="594"/>
      <c r="D950" s="584"/>
      <c r="E950" s="585"/>
      <c r="F950" s="586"/>
      <c r="G950" s="587"/>
      <c r="H950" s="587"/>
      <c r="I950" s="592"/>
      <c r="J950" s="371"/>
      <c r="K950" s="371"/>
      <c r="L950" s="371"/>
      <c r="M950" s="371"/>
      <c r="N950" s="371"/>
      <c r="O950" s="371"/>
      <c r="P950" s="371"/>
      <c r="Q950" s="371"/>
    </row>
    <row r="951">
      <c r="A951" s="573">
        <v>224.0</v>
      </c>
      <c r="B951" s="574" t="b">
        <v>0</v>
      </c>
      <c r="C951" s="595"/>
      <c r="D951" s="576"/>
      <c r="E951" s="589"/>
      <c r="F951" s="578"/>
      <c r="G951" s="579"/>
      <c r="H951" s="579"/>
      <c r="I951" s="580"/>
      <c r="J951" s="371"/>
      <c r="K951" s="371"/>
      <c r="L951" s="371"/>
      <c r="M951" s="371"/>
      <c r="N951" s="371"/>
      <c r="O951" s="371"/>
      <c r="P951" s="371"/>
      <c r="Q951" s="371"/>
    </row>
    <row r="952">
      <c r="A952" s="581">
        <v>225.0</v>
      </c>
      <c r="B952" s="582" t="b">
        <v>0</v>
      </c>
      <c r="C952" s="594"/>
      <c r="D952" s="584"/>
      <c r="E952" s="585"/>
      <c r="F952" s="586"/>
      <c r="G952" s="587"/>
      <c r="H952" s="587"/>
      <c r="I952" s="592"/>
      <c r="J952" s="371"/>
      <c r="K952" s="371"/>
      <c r="L952" s="371"/>
      <c r="M952" s="371"/>
      <c r="N952" s="371"/>
      <c r="O952" s="371"/>
      <c r="P952" s="371"/>
      <c r="Q952" s="371"/>
    </row>
    <row r="953">
      <c r="A953" s="573">
        <v>226.0</v>
      </c>
      <c r="B953" s="574" t="b">
        <v>0</v>
      </c>
      <c r="C953" s="595"/>
      <c r="D953" s="576"/>
      <c r="E953" s="589"/>
      <c r="F953" s="578"/>
      <c r="G953" s="579"/>
      <c r="H953" s="579"/>
      <c r="I953" s="580"/>
      <c r="J953" s="371"/>
      <c r="K953" s="371"/>
      <c r="L953" s="371"/>
      <c r="M953" s="371"/>
      <c r="N953" s="371"/>
      <c r="O953" s="371"/>
      <c r="P953" s="371"/>
      <c r="Q953" s="371"/>
    </row>
    <row r="954">
      <c r="A954" s="581">
        <v>227.0</v>
      </c>
      <c r="B954" s="582" t="b">
        <v>0</v>
      </c>
      <c r="C954" s="594"/>
      <c r="D954" s="584"/>
      <c r="E954" s="585"/>
      <c r="F954" s="586"/>
      <c r="G954" s="587"/>
      <c r="H954" s="587"/>
      <c r="I954" s="592"/>
      <c r="J954" s="371"/>
      <c r="K954" s="371"/>
      <c r="L954" s="371"/>
      <c r="M954" s="371"/>
      <c r="N954" s="371"/>
      <c r="O954" s="371"/>
      <c r="P954" s="371"/>
      <c r="Q954" s="371"/>
    </row>
    <row r="955">
      <c r="A955" s="573">
        <v>228.0</v>
      </c>
      <c r="B955" s="574" t="b">
        <v>0</v>
      </c>
      <c r="C955" s="595"/>
      <c r="D955" s="576"/>
      <c r="E955" s="589"/>
      <c r="F955" s="578"/>
      <c r="G955" s="579"/>
      <c r="H955" s="579"/>
      <c r="I955" s="580"/>
      <c r="J955" s="371"/>
      <c r="K955" s="371"/>
      <c r="L955" s="371"/>
      <c r="M955" s="371"/>
      <c r="N955" s="371"/>
      <c r="O955" s="371"/>
      <c r="P955" s="371"/>
      <c r="Q955" s="371"/>
    </row>
    <row r="956">
      <c r="A956" s="581">
        <v>229.0</v>
      </c>
      <c r="B956" s="582" t="b">
        <v>0</v>
      </c>
      <c r="C956" s="594"/>
      <c r="D956" s="584"/>
      <c r="E956" s="585"/>
      <c r="F956" s="586"/>
      <c r="G956" s="587"/>
      <c r="H956" s="587"/>
      <c r="I956" s="592"/>
      <c r="J956" s="371"/>
      <c r="K956" s="371"/>
      <c r="L956" s="371"/>
      <c r="M956" s="371"/>
      <c r="N956" s="371"/>
      <c r="O956" s="371"/>
      <c r="P956" s="371"/>
      <c r="Q956" s="371"/>
    </row>
    <row r="957">
      <c r="A957" s="573">
        <v>230.0</v>
      </c>
      <c r="B957" s="574" t="b">
        <v>0</v>
      </c>
      <c r="C957" s="595"/>
      <c r="D957" s="576"/>
      <c r="E957" s="589"/>
      <c r="F957" s="578"/>
      <c r="G957" s="579"/>
      <c r="H957" s="579"/>
      <c r="I957" s="580"/>
      <c r="J957" s="371"/>
      <c r="K957" s="371"/>
      <c r="L957" s="371"/>
      <c r="M957" s="371"/>
      <c r="N957" s="371"/>
      <c r="O957" s="371"/>
      <c r="P957" s="371"/>
      <c r="Q957" s="371"/>
    </row>
    <row r="958">
      <c r="A958" s="581">
        <v>231.0</v>
      </c>
      <c r="B958" s="582" t="b">
        <v>0</v>
      </c>
      <c r="C958" s="594"/>
      <c r="D958" s="584"/>
      <c r="E958" s="585"/>
      <c r="F958" s="586"/>
      <c r="G958" s="587"/>
      <c r="H958" s="587"/>
      <c r="I958" s="592"/>
      <c r="J958" s="371"/>
      <c r="K958" s="371"/>
      <c r="L958" s="371"/>
      <c r="M958" s="371"/>
      <c r="N958" s="371"/>
      <c r="O958" s="371"/>
      <c r="P958" s="371"/>
      <c r="Q958" s="371"/>
    </row>
    <row r="959">
      <c r="A959" s="573">
        <v>232.0</v>
      </c>
      <c r="B959" s="574" t="b">
        <v>0</v>
      </c>
      <c r="C959" s="595"/>
      <c r="D959" s="576"/>
      <c r="E959" s="589"/>
      <c r="F959" s="578"/>
      <c r="G959" s="579"/>
      <c r="H959" s="579"/>
      <c r="I959" s="580"/>
      <c r="J959" s="371"/>
      <c r="K959" s="371"/>
      <c r="L959" s="371"/>
      <c r="M959" s="371"/>
      <c r="N959" s="371"/>
      <c r="O959" s="371"/>
      <c r="P959" s="371"/>
      <c r="Q959" s="371"/>
    </row>
    <row r="960">
      <c r="A960" s="581">
        <v>233.0</v>
      </c>
      <c r="B960" s="582" t="b">
        <v>0</v>
      </c>
      <c r="C960" s="594"/>
      <c r="D960" s="584"/>
      <c r="E960" s="585"/>
      <c r="F960" s="586"/>
      <c r="G960" s="587"/>
      <c r="H960" s="587"/>
      <c r="I960" s="592"/>
      <c r="J960" s="371"/>
      <c r="K960" s="371"/>
      <c r="L960" s="371"/>
      <c r="M960" s="371"/>
      <c r="N960" s="371"/>
      <c r="O960" s="371"/>
      <c r="P960" s="371"/>
      <c r="Q960" s="371"/>
    </row>
    <row r="961">
      <c r="A961" s="573">
        <v>234.0</v>
      </c>
      <c r="B961" s="574" t="b">
        <v>0</v>
      </c>
      <c r="C961" s="595"/>
      <c r="D961" s="576"/>
      <c r="E961" s="589"/>
      <c r="F961" s="578"/>
      <c r="G961" s="579"/>
      <c r="H961" s="579"/>
      <c r="I961" s="580"/>
      <c r="J961" s="371"/>
      <c r="K961" s="371"/>
      <c r="L961" s="371"/>
      <c r="M961" s="371"/>
      <c r="N961" s="371"/>
      <c r="O961" s="371"/>
      <c r="P961" s="371"/>
      <c r="Q961" s="371"/>
    </row>
    <row r="962">
      <c r="A962" s="581">
        <v>235.0</v>
      </c>
      <c r="B962" s="582" t="b">
        <v>0</v>
      </c>
      <c r="C962" s="594"/>
      <c r="D962" s="584"/>
      <c r="E962" s="585"/>
      <c r="F962" s="586"/>
      <c r="G962" s="587"/>
      <c r="H962" s="587"/>
      <c r="I962" s="592"/>
      <c r="J962" s="371"/>
      <c r="K962" s="371"/>
      <c r="L962" s="371"/>
      <c r="M962" s="371"/>
      <c r="N962" s="371"/>
      <c r="O962" s="371"/>
      <c r="P962" s="371"/>
      <c r="Q962" s="371"/>
    </row>
    <row r="963">
      <c r="A963" s="573">
        <v>236.0</v>
      </c>
      <c r="B963" s="574" t="b">
        <v>0</v>
      </c>
      <c r="C963" s="595"/>
      <c r="D963" s="576"/>
      <c r="E963" s="589"/>
      <c r="F963" s="578"/>
      <c r="G963" s="579"/>
      <c r="H963" s="579"/>
      <c r="I963" s="580"/>
      <c r="J963" s="371"/>
      <c r="K963" s="371"/>
      <c r="L963" s="371"/>
      <c r="M963" s="371"/>
      <c r="N963" s="371"/>
      <c r="O963" s="371"/>
      <c r="P963" s="371"/>
      <c r="Q963" s="371"/>
    </row>
    <row r="964">
      <c r="A964" s="581">
        <v>237.0</v>
      </c>
      <c r="B964" s="582" t="b">
        <v>0</v>
      </c>
      <c r="C964" s="594"/>
      <c r="D964" s="584"/>
      <c r="E964" s="585"/>
      <c r="F964" s="586"/>
      <c r="G964" s="587"/>
      <c r="H964" s="587"/>
      <c r="I964" s="592"/>
      <c r="J964" s="371"/>
      <c r="K964" s="371"/>
      <c r="L964" s="371"/>
      <c r="M964" s="371"/>
      <c r="N964" s="371"/>
      <c r="O964" s="371"/>
      <c r="P964" s="371"/>
      <c r="Q964" s="371"/>
    </row>
    <row r="965">
      <c r="A965" s="573">
        <v>238.0</v>
      </c>
      <c r="B965" s="574" t="b">
        <v>0</v>
      </c>
      <c r="C965" s="595"/>
      <c r="D965" s="576"/>
      <c r="E965" s="589"/>
      <c r="F965" s="578"/>
      <c r="G965" s="579"/>
      <c r="H965" s="579"/>
      <c r="I965" s="580"/>
      <c r="J965" s="371"/>
      <c r="K965" s="371"/>
      <c r="L965" s="371"/>
      <c r="M965" s="371"/>
      <c r="N965" s="371"/>
      <c r="O965" s="371"/>
      <c r="P965" s="371"/>
      <c r="Q965" s="371"/>
    </row>
    <row r="966">
      <c r="A966" s="649"/>
      <c r="B966" s="371"/>
      <c r="C966" s="650"/>
      <c r="D966" s="371"/>
      <c r="E966" s="651"/>
      <c r="F966" s="652"/>
      <c r="G966" s="371"/>
      <c r="H966" s="371"/>
      <c r="I966" s="653"/>
      <c r="J966" s="371"/>
      <c r="K966" s="371"/>
      <c r="L966" s="371"/>
      <c r="M966" s="371"/>
      <c r="N966" s="371"/>
      <c r="O966" s="371"/>
      <c r="P966" s="371"/>
      <c r="Q966" s="371"/>
    </row>
    <row r="967">
      <c r="A967" s="649"/>
      <c r="B967" s="371"/>
      <c r="C967" s="650"/>
      <c r="D967" s="371"/>
      <c r="E967" s="651"/>
      <c r="F967" s="652"/>
      <c r="G967" s="371"/>
      <c r="H967" s="371"/>
      <c r="I967" s="653"/>
      <c r="J967" s="371"/>
      <c r="K967" s="371"/>
      <c r="L967" s="371"/>
      <c r="M967" s="371"/>
      <c r="N967" s="371"/>
      <c r="O967" s="371"/>
      <c r="P967" s="371"/>
      <c r="Q967" s="371"/>
    </row>
    <row r="968">
      <c r="A968" s="649"/>
      <c r="B968" s="371"/>
      <c r="C968" s="650"/>
      <c r="D968" s="371"/>
      <c r="E968" s="651"/>
      <c r="F968" s="652"/>
      <c r="G968" s="371"/>
      <c r="H968" s="371"/>
      <c r="I968" s="653"/>
      <c r="J968" s="371"/>
      <c r="K968" s="371"/>
      <c r="L968" s="371"/>
      <c r="M968" s="371"/>
      <c r="N968" s="371"/>
      <c r="O968" s="371"/>
      <c r="P968" s="371"/>
      <c r="Q968" s="371"/>
    </row>
    <row r="969">
      <c r="A969" s="649"/>
      <c r="B969" s="371"/>
      <c r="C969" s="650"/>
      <c r="D969" s="371"/>
      <c r="E969" s="651"/>
      <c r="F969" s="652"/>
      <c r="G969" s="371"/>
      <c r="H969" s="371"/>
      <c r="I969" s="653"/>
      <c r="J969" s="371"/>
      <c r="K969" s="371"/>
      <c r="L969" s="371"/>
      <c r="M969" s="371"/>
      <c r="N969" s="371"/>
      <c r="O969" s="371"/>
      <c r="P969" s="371"/>
      <c r="Q969" s="371"/>
    </row>
    <row r="970">
      <c r="A970" s="649"/>
      <c r="B970" s="371"/>
      <c r="C970" s="650"/>
      <c r="D970" s="371"/>
      <c r="E970" s="651"/>
      <c r="F970" s="652"/>
      <c r="G970" s="371"/>
      <c r="H970" s="371"/>
      <c r="I970" s="653"/>
      <c r="J970" s="371"/>
      <c r="K970" s="371"/>
      <c r="L970" s="371"/>
      <c r="M970" s="371"/>
      <c r="N970" s="371"/>
      <c r="O970" s="371"/>
      <c r="P970" s="371"/>
      <c r="Q970" s="371"/>
    </row>
    <row r="971">
      <c r="A971" s="649"/>
      <c r="B971" s="371"/>
      <c r="C971" s="650"/>
      <c r="D971" s="371"/>
      <c r="E971" s="651"/>
      <c r="F971" s="652"/>
      <c r="G971" s="371"/>
      <c r="H971" s="371"/>
      <c r="I971" s="653"/>
      <c r="J971" s="371"/>
      <c r="K971" s="371"/>
      <c r="L971" s="371"/>
      <c r="M971" s="371"/>
      <c r="N971" s="371"/>
      <c r="O971" s="371"/>
      <c r="P971" s="371"/>
      <c r="Q971" s="371"/>
    </row>
    <row r="972">
      <c r="A972" s="649"/>
      <c r="B972" s="371"/>
      <c r="C972" s="650"/>
      <c r="D972" s="371"/>
      <c r="E972" s="651"/>
      <c r="F972" s="652"/>
      <c r="G972" s="371"/>
      <c r="H972" s="371"/>
      <c r="I972" s="653"/>
      <c r="J972" s="371"/>
      <c r="K972" s="371"/>
      <c r="L972" s="371"/>
      <c r="M972" s="371"/>
      <c r="N972" s="371"/>
      <c r="O972" s="371"/>
      <c r="P972" s="371"/>
      <c r="Q972" s="371"/>
    </row>
    <row r="973">
      <c r="A973" s="649"/>
      <c r="B973" s="371"/>
      <c r="C973" s="650"/>
      <c r="D973" s="371"/>
      <c r="E973" s="651"/>
      <c r="F973" s="652"/>
      <c r="G973" s="371"/>
      <c r="H973" s="371"/>
      <c r="I973" s="653"/>
      <c r="J973" s="371"/>
      <c r="K973" s="371"/>
      <c r="L973" s="371"/>
      <c r="M973" s="371"/>
      <c r="N973" s="371"/>
      <c r="O973" s="371"/>
      <c r="P973" s="371"/>
      <c r="Q973" s="371"/>
    </row>
    <row r="974">
      <c r="A974" s="649"/>
      <c r="B974" s="371"/>
      <c r="C974" s="650"/>
      <c r="D974" s="371"/>
      <c r="E974" s="651"/>
      <c r="F974" s="652"/>
      <c r="G974" s="371"/>
      <c r="H974" s="371"/>
      <c r="I974" s="653"/>
      <c r="J974" s="371"/>
      <c r="K974" s="371"/>
      <c r="L974" s="371"/>
      <c r="M974" s="371"/>
      <c r="N974" s="371"/>
      <c r="O974" s="371"/>
      <c r="P974" s="371"/>
      <c r="Q974" s="371"/>
    </row>
    <row r="975">
      <c r="A975" s="649"/>
      <c r="B975" s="371"/>
      <c r="C975" s="650"/>
      <c r="D975" s="371"/>
      <c r="E975" s="651"/>
      <c r="F975" s="652"/>
      <c r="G975" s="371"/>
      <c r="H975" s="371"/>
      <c r="I975" s="653"/>
      <c r="J975" s="371"/>
      <c r="K975" s="371"/>
      <c r="L975" s="371"/>
      <c r="M975" s="371"/>
      <c r="N975" s="371"/>
      <c r="O975" s="371"/>
      <c r="P975" s="371"/>
      <c r="Q975" s="371"/>
    </row>
    <row r="976">
      <c r="A976" s="649"/>
      <c r="B976" s="371"/>
      <c r="C976" s="650"/>
      <c r="D976" s="371"/>
      <c r="E976" s="651"/>
      <c r="F976" s="652"/>
      <c r="G976" s="371"/>
      <c r="H976" s="371"/>
      <c r="I976" s="653"/>
      <c r="J976" s="371"/>
      <c r="K976" s="371"/>
      <c r="L976" s="371"/>
      <c r="M976" s="371"/>
      <c r="N976" s="371"/>
      <c r="O976" s="371"/>
      <c r="P976" s="371"/>
      <c r="Q976" s="371"/>
    </row>
    <row r="977">
      <c r="A977" s="649"/>
      <c r="B977" s="371"/>
      <c r="C977" s="650"/>
      <c r="D977" s="371"/>
      <c r="E977" s="651"/>
      <c r="F977" s="652"/>
      <c r="G977" s="371"/>
      <c r="H977" s="371"/>
      <c r="I977" s="653"/>
      <c r="J977" s="371"/>
      <c r="K977" s="371"/>
      <c r="L977" s="371"/>
      <c r="M977" s="371"/>
      <c r="N977" s="371"/>
      <c r="O977" s="371"/>
      <c r="P977" s="371"/>
      <c r="Q977" s="371"/>
    </row>
    <row r="978">
      <c r="A978" s="649"/>
      <c r="B978" s="371"/>
      <c r="C978" s="650"/>
      <c r="D978" s="371"/>
      <c r="E978" s="651"/>
      <c r="F978" s="652"/>
      <c r="G978" s="371"/>
      <c r="H978" s="371"/>
      <c r="I978" s="653"/>
      <c r="J978" s="371"/>
      <c r="K978" s="371"/>
      <c r="L978" s="371"/>
      <c r="M978" s="371"/>
      <c r="N978" s="371"/>
      <c r="O978" s="371"/>
      <c r="P978" s="371"/>
      <c r="Q978" s="371"/>
    </row>
    <row r="979">
      <c r="A979" s="649"/>
      <c r="B979" s="371"/>
      <c r="C979" s="650"/>
      <c r="D979" s="371"/>
      <c r="E979" s="651"/>
      <c r="F979" s="652"/>
      <c r="G979" s="371"/>
      <c r="H979" s="371"/>
      <c r="I979" s="653"/>
      <c r="J979" s="371"/>
      <c r="K979" s="371"/>
      <c r="L979" s="371"/>
      <c r="M979" s="371"/>
      <c r="N979" s="371"/>
      <c r="O979" s="371"/>
      <c r="P979" s="371"/>
      <c r="Q979" s="371"/>
    </row>
    <row r="980">
      <c r="A980" s="649"/>
      <c r="B980" s="371"/>
      <c r="C980" s="650"/>
      <c r="D980" s="371"/>
      <c r="E980" s="651"/>
      <c r="F980" s="652"/>
      <c r="G980" s="371"/>
      <c r="H980" s="371"/>
      <c r="I980" s="653"/>
      <c r="J980" s="371"/>
      <c r="K980" s="371"/>
      <c r="L980" s="371"/>
      <c r="M980" s="371"/>
      <c r="N980" s="371"/>
      <c r="O980" s="371"/>
      <c r="P980" s="371"/>
      <c r="Q980" s="371"/>
    </row>
    <row r="981">
      <c r="A981" s="649"/>
      <c r="B981" s="371"/>
      <c r="C981" s="650"/>
      <c r="D981" s="371"/>
      <c r="E981" s="651"/>
      <c r="F981" s="652"/>
      <c r="G981" s="371"/>
      <c r="H981" s="371"/>
      <c r="I981" s="653"/>
      <c r="J981" s="371"/>
      <c r="K981" s="371"/>
      <c r="L981" s="371"/>
      <c r="M981" s="371"/>
      <c r="N981" s="371"/>
      <c r="O981" s="371"/>
      <c r="P981" s="371"/>
      <c r="Q981" s="371"/>
    </row>
    <row r="982">
      <c r="A982" s="649"/>
      <c r="B982" s="371"/>
      <c r="C982" s="650"/>
      <c r="D982" s="371"/>
      <c r="E982" s="651"/>
      <c r="F982" s="652"/>
      <c r="G982" s="371"/>
      <c r="H982" s="371"/>
      <c r="I982" s="653"/>
      <c r="J982" s="371"/>
      <c r="K982" s="371"/>
      <c r="L982" s="371"/>
      <c r="M982" s="371"/>
      <c r="N982" s="371"/>
      <c r="O982" s="371"/>
      <c r="P982" s="371"/>
      <c r="Q982" s="371"/>
    </row>
    <row r="983">
      <c r="A983" s="649"/>
      <c r="B983" s="371"/>
      <c r="C983" s="650"/>
      <c r="D983" s="371"/>
      <c r="E983" s="651"/>
      <c r="F983" s="652"/>
      <c r="G983" s="371"/>
      <c r="H983" s="371"/>
      <c r="I983" s="653"/>
      <c r="J983" s="371"/>
      <c r="K983" s="371"/>
      <c r="L983" s="371"/>
      <c r="M983" s="371"/>
      <c r="N983" s="371"/>
      <c r="O983" s="371"/>
      <c r="P983" s="371"/>
      <c r="Q983" s="371"/>
    </row>
    <row r="984">
      <c r="A984" s="649"/>
      <c r="B984" s="371"/>
      <c r="C984" s="650"/>
      <c r="D984" s="371"/>
      <c r="E984" s="651"/>
      <c r="F984" s="652"/>
      <c r="G984" s="371"/>
      <c r="H984" s="371"/>
      <c r="I984" s="653"/>
      <c r="J984" s="371"/>
      <c r="K984" s="371"/>
      <c r="L984" s="371"/>
      <c r="M984" s="371"/>
      <c r="N984" s="371"/>
      <c r="O984" s="371"/>
      <c r="P984" s="371"/>
      <c r="Q984" s="371"/>
    </row>
    <row r="985">
      <c r="A985" s="649"/>
      <c r="B985" s="371"/>
      <c r="C985" s="650"/>
      <c r="D985" s="371"/>
      <c r="E985" s="651"/>
      <c r="F985" s="652"/>
      <c r="G985" s="371"/>
      <c r="H985" s="371"/>
      <c r="I985" s="653"/>
      <c r="J985" s="371"/>
      <c r="K985" s="371"/>
      <c r="L985" s="371"/>
      <c r="M985" s="371"/>
      <c r="N985" s="371"/>
      <c r="O985" s="371"/>
      <c r="P985" s="371"/>
      <c r="Q985" s="371"/>
    </row>
    <row r="986">
      <c r="A986" s="649"/>
      <c r="B986" s="371"/>
      <c r="C986" s="650"/>
      <c r="D986" s="371"/>
      <c r="E986" s="651"/>
      <c r="F986" s="652"/>
      <c r="G986" s="371"/>
      <c r="H986" s="371"/>
      <c r="I986" s="653"/>
      <c r="J986" s="371"/>
      <c r="K986" s="371"/>
      <c r="L986" s="371"/>
      <c r="M986" s="371"/>
      <c r="N986" s="371"/>
      <c r="O986" s="371"/>
      <c r="P986" s="371"/>
      <c r="Q986" s="371"/>
    </row>
    <row r="987">
      <c r="A987" s="649"/>
      <c r="B987" s="371"/>
      <c r="C987" s="650"/>
      <c r="D987" s="371"/>
      <c r="E987" s="651"/>
      <c r="F987" s="652"/>
      <c r="G987" s="371"/>
      <c r="H987" s="371"/>
      <c r="I987" s="653"/>
      <c r="J987" s="371"/>
      <c r="K987" s="371"/>
      <c r="L987" s="371"/>
      <c r="M987" s="371"/>
      <c r="N987" s="371"/>
      <c r="O987" s="371"/>
      <c r="P987" s="371"/>
      <c r="Q987" s="371"/>
    </row>
    <row r="988">
      <c r="A988" s="649"/>
      <c r="B988" s="371"/>
      <c r="C988" s="650"/>
      <c r="D988" s="371"/>
      <c r="E988" s="651"/>
      <c r="F988" s="652"/>
      <c r="G988" s="371"/>
      <c r="H988" s="371"/>
      <c r="I988" s="653"/>
      <c r="J988" s="371"/>
      <c r="K988" s="371"/>
      <c r="L988" s="371"/>
      <c r="M988" s="371"/>
      <c r="N988" s="371"/>
      <c r="O988" s="371"/>
      <c r="P988" s="371"/>
      <c r="Q988" s="371"/>
    </row>
    <row r="989">
      <c r="A989" s="649"/>
      <c r="B989" s="371"/>
      <c r="C989" s="650"/>
      <c r="D989" s="371"/>
      <c r="E989" s="651"/>
      <c r="F989" s="652"/>
      <c r="G989" s="371"/>
      <c r="H989" s="371"/>
      <c r="I989" s="653"/>
      <c r="J989" s="371"/>
      <c r="K989" s="371"/>
      <c r="L989" s="371"/>
      <c r="M989" s="371"/>
      <c r="N989" s="371"/>
      <c r="O989" s="371"/>
      <c r="P989" s="371"/>
      <c r="Q989" s="371"/>
    </row>
    <row r="990">
      <c r="A990" s="649"/>
      <c r="B990" s="371"/>
      <c r="C990" s="650"/>
      <c r="D990" s="371"/>
      <c r="E990" s="651"/>
      <c r="F990" s="652"/>
      <c r="G990" s="371"/>
      <c r="H990" s="371"/>
      <c r="I990" s="653"/>
      <c r="J990" s="371"/>
      <c r="K990" s="371"/>
      <c r="L990" s="371"/>
      <c r="M990" s="371"/>
      <c r="N990" s="371"/>
      <c r="O990" s="371"/>
      <c r="P990" s="371"/>
      <c r="Q990" s="371"/>
    </row>
    <row r="991">
      <c r="A991" s="649"/>
      <c r="B991" s="371"/>
      <c r="C991" s="650"/>
      <c r="D991" s="371"/>
      <c r="E991" s="651"/>
      <c r="F991" s="652"/>
      <c r="G991" s="371"/>
      <c r="H991" s="371"/>
      <c r="I991" s="653"/>
      <c r="J991" s="371"/>
      <c r="K991" s="371"/>
      <c r="L991" s="371"/>
      <c r="M991" s="371"/>
      <c r="N991" s="371"/>
      <c r="O991" s="371"/>
      <c r="P991" s="371"/>
      <c r="Q991" s="371"/>
    </row>
    <row r="992">
      <c r="A992" s="649"/>
      <c r="B992" s="371"/>
      <c r="C992" s="650"/>
      <c r="D992" s="371"/>
      <c r="E992" s="651"/>
      <c r="F992" s="652"/>
      <c r="G992" s="371"/>
      <c r="H992" s="371"/>
      <c r="I992" s="653"/>
      <c r="J992" s="371"/>
      <c r="K992" s="371"/>
      <c r="L992" s="371"/>
      <c r="M992" s="371"/>
      <c r="N992" s="371"/>
      <c r="O992" s="371"/>
      <c r="P992" s="371"/>
      <c r="Q992" s="371"/>
    </row>
    <row r="993">
      <c r="A993" s="649"/>
      <c r="B993" s="371"/>
      <c r="C993" s="650"/>
      <c r="D993" s="371"/>
      <c r="E993" s="651"/>
      <c r="F993" s="652"/>
      <c r="G993" s="371"/>
      <c r="H993" s="371"/>
      <c r="I993" s="653"/>
      <c r="J993" s="371"/>
      <c r="K993" s="371"/>
      <c r="L993" s="371"/>
      <c r="M993" s="371"/>
      <c r="N993" s="371"/>
      <c r="O993" s="371"/>
      <c r="P993" s="371"/>
      <c r="Q993" s="371"/>
    </row>
    <row r="994">
      <c r="A994" s="649"/>
      <c r="B994" s="371"/>
      <c r="C994" s="650"/>
      <c r="D994" s="371"/>
      <c r="E994" s="651"/>
      <c r="F994" s="652"/>
      <c r="G994" s="371"/>
      <c r="H994" s="371"/>
      <c r="I994" s="653"/>
      <c r="J994" s="371"/>
      <c r="K994" s="371"/>
      <c r="L994" s="371"/>
      <c r="M994" s="371"/>
      <c r="N994" s="371"/>
      <c r="O994" s="371"/>
      <c r="P994" s="371"/>
      <c r="Q994" s="371"/>
    </row>
    <row r="995">
      <c r="A995" s="649"/>
      <c r="B995" s="371"/>
      <c r="C995" s="650"/>
      <c r="D995" s="371"/>
      <c r="E995" s="651"/>
      <c r="F995" s="652"/>
      <c r="G995" s="371"/>
      <c r="H995" s="371"/>
      <c r="I995" s="653"/>
      <c r="J995" s="371"/>
      <c r="K995" s="371"/>
      <c r="L995" s="371"/>
      <c r="M995" s="371"/>
      <c r="N995" s="371"/>
      <c r="O995" s="371"/>
      <c r="P995" s="371"/>
      <c r="Q995" s="371"/>
    </row>
    <row r="996">
      <c r="A996" s="649"/>
      <c r="B996" s="371"/>
      <c r="C996" s="650"/>
      <c r="D996" s="371"/>
      <c r="E996" s="651"/>
      <c r="F996" s="652"/>
      <c r="G996" s="371"/>
      <c r="H996" s="371"/>
      <c r="I996" s="653"/>
      <c r="J996" s="371"/>
      <c r="K996" s="371"/>
      <c r="L996" s="371"/>
      <c r="M996" s="371"/>
      <c r="N996" s="371"/>
      <c r="O996" s="371"/>
      <c r="P996" s="371"/>
      <c r="Q996" s="371"/>
    </row>
    <row r="997">
      <c r="A997" s="649"/>
      <c r="B997" s="371"/>
      <c r="C997" s="650"/>
      <c r="D997" s="371"/>
      <c r="E997" s="651"/>
      <c r="F997" s="652"/>
      <c r="G997" s="371"/>
      <c r="H997" s="371"/>
      <c r="I997" s="653"/>
      <c r="J997" s="371"/>
      <c r="K997" s="371"/>
      <c r="L997" s="371"/>
      <c r="M997" s="371"/>
      <c r="N997" s="371"/>
      <c r="O997" s="371"/>
      <c r="P997" s="371"/>
      <c r="Q997" s="371"/>
    </row>
    <row r="998">
      <c r="A998" s="649"/>
      <c r="B998" s="371"/>
      <c r="C998" s="650"/>
      <c r="D998" s="371"/>
      <c r="E998" s="651"/>
      <c r="F998" s="652"/>
      <c r="G998" s="371"/>
      <c r="H998" s="371"/>
      <c r="I998" s="653"/>
      <c r="J998" s="371"/>
      <c r="K998" s="371"/>
      <c r="L998" s="371"/>
      <c r="M998" s="371"/>
      <c r="N998" s="371"/>
      <c r="O998" s="371"/>
      <c r="P998" s="371"/>
      <c r="Q998" s="371"/>
    </row>
    <row r="999">
      <c r="A999" s="649"/>
      <c r="B999" s="371"/>
      <c r="C999" s="650"/>
      <c r="D999" s="371"/>
      <c r="E999" s="651"/>
      <c r="F999" s="652"/>
      <c r="G999" s="371"/>
      <c r="H999" s="371"/>
      <c r="I999" s="653"/>
      <c r="J999" s="371"/>
      <c r="K999" s="371"/>
      <c r="L999" s="371"/>
      <c r="M999" s="371"/>
      <c r="N999" s="371"/>
      <c r="O999" s="371"/>
      <c r="P999" s="371"/>
      <c r="Q999" s="371"/>
    </row>
    <row r="1000">
      <c r="A1000" s="649"/>
      <c r="B1000" s="371"/>
      <c r="C1000" s="650"/>
      <c r="D1000" s="371"/>
      <c r="E1000" s="651"/>
      <c r="F1000" s="652"/>
      <c r="G1000" s="371"/>
      <c r="H1000" s="371"/>
      <c r="I1000" s="653"/>
      <c r="J1000" s="371"/>
      <c r="K1000" s="371"/>
      <c r="L1000" s="371"/>
      <c r="M1000" s="371"/>
      <c r="N1000" s="371"/>
      <c r="O1000" s="371"/>
      <c r="P1000" s="371"/>
      <c r="Q1000" s="371"/>
    </row>
    <row r="1001">
      <c r="A1001" s="649"/>
      <c r="B1001" s="371"/>
      <c r="C1001" s="650"/>
      <c r="D1001" s="371"/>
      <c r="E1001" s="651"/>
      <c r="F1001" s="652"/>
      <c r="G1001" s="371"/>
      <c r="H1001" s="371"/>
      <c r="I1001" s="653"/>
      <c r="J1001" s="371"/>
      <c r="K1001" s="371"/>
      <c r="L1001" s="371"/>
      <c r="M1001" s="371"/>
      <c r="N1001" s="371"/>
      <c r="O1001" s="371"/>
      <c r="P1001" s="371"/>
      <c r="Q1001" s="371"/>
    </row>
    <row r="1002">
      <c r="A1002" s="649"/>
      <c r="B1002" s="371"/>
      <c r="C1002" s="650"/>
      <c r="D1002" s="371"/>
      <c r="E1002" s="651"/>
      <c r="F1002" s="652"/>
      <c r="G1002" s="371"/>
      <c r="H1002" s="371"/>
      <c r="I1002" s="653"/>
      <c r="J1002" s="371"/>
      <c r="K1002" s="371"/>
      <c r="L1002" s="371"/>
      <c r="M1002" s="371"/>
      <c r="N1002" s="371"/>
      <c r="O1002" s="371"/>
      <c r="P1002" s="371"/>
      <c r="Q1002" s="371"/>
    </row>
    <row r="1003">
      <c r="A1003" s="649"/>
      <c r="B1003" s="371"/>
      <c r="C1003" s="650"/>
      <c r="D1003" s="371"/>
      <c r="E1003" s="651"/>
      <c r="F1003" s="652"/>
      <c r="G1003" s="371"/>
      <c r="H1003" s="371"/>
      <c r="I1003" s="653"/>
      <c r="J1003" s="371"/>
      <c r="K1003" s="371"/>
      <c r="L1003" s="371"/>
      <c r="M1003" s="371"/>
      <c r="N1003" s="371"/>
      <c r="O1003" s="371"/>
      <c r="P1003" s="371"/>
      <c r="Q1003" s="371"/>
    </row>
    <row r="1004">
      <c r="A1004" s="649"/>
      <c r="B1004" s="371"/>
      <c r="C1004" s="650"/>
      <c r="D1004" s="371"/>
      <c r="E1004" s="651"/>
      <c r="F1004" s="652"/>
      <c r="G1004" s="371"/>
      <c r="H1004" s="371"/>
      <c r="I1004" s="653"/>
      <c r="J1004" s="371"/>
      <c r="K1004" s="371"/>
      <c r="L1004" s="371"/>
      <c r="M1004" s="371"/>
      <c r="N1004" s="371"/>
      <c r="O1004" s="371"/>
      <c r="P1004" s="371"/>
      <c r="Q1004" s="371"/>
    </row>
    <row r="1005">
      <c r="A1005" s="649"/>
      <c r="B1005" s="371"/>
      <c r="C1005" s="650"/>
      <c r="D1005" s="371"/>
      <c r="E1005" s="651"/>
      <c r="F1005" s="652"/>
      <c r="G1005" s="371"/>
      <c r="H1005" s="371"/>
      <c r="I1005" s="653"/>
      <c r="J1005" s="371"/>
      <c r="K1005" s="371"/>
      <c r="L1005" s="371"/>
      <c r="M1005" s="371"/>
      <c r="N1005" s="371"/>
      <c r="O1005" s="371"/>
      <c r="P1005" s="371"/>
      <c r="Q1005" s="371"/>
    </row>
  </sheetData>
  <mergeCells count="21">
    <mergeCell ref="A1:I1"/>
    <mergeCell ref="C141:C150"/>
    <mergeCell ref="C164:I164"/>
    <mergeCell ref="A246:I246"/>
    <mergeCell ref="C254:C262"/>
    <mergeCell ref="C268:C271"/>
    <mergeCell ref="C331:I331"/>
    <mergeCell ref="C644:I644"/>
    <mergeCell ref="A726:I726"/>
    <mergeCell ref="C734:C742"/>
    <mergeCell ref="C748:C751"/>
    <mergeCell ref="C811:I811"/>
    <mergeCell ref="C861:C870"/>
    <mergeCell ref="C884:I884"/>
    <mergeCell ref="C381:C390"/>
    <mergeCell ref="C404:I404"/>
    <mergeCell ref="A486:I486"/>
    <mergeCell ref="C494:C502"/>
    <mergeCell ref="C508:C511"/>
    <mergeCell ref="C571:I571"/>
    <mergeCell ref="C621:C630"/>
  </mergeCells>
  <conditionalFormatting sqref="A3:I245 A248:I485 A488:I725 A728:I965">
    <cfRule type="expression" dxfId="0" priority="1">
      <formula>$B3=TRUE</formula>
    </cfRule>
  </conditionalFormatting>
  <hyperlinks>
    <hyperlink r:id="rId2" ref="I4"/>
    <hyperlink r:id="rId3" ref="I5"/>
    <hyperlink r:id="rId4" ref="I11"/>
    <hyperlink r:id="rId5" ref="I12"/>
    <hyperlink r:id="rId6" ref="I13"/>
    <hyperlink r:id="rId7" ref="I22"/>
    <hyperlink r:id="rId8" ref="E23"/>
    <hyperlink r:id="rId9" ref="I23"/>
    <hyperlink r:id="rId10" ref="I24"/>
    <hyperlink r:id="rId11" ref="I25"/>
    <hyperlink r:id="rId12" ref="I26"/>
    <hyperlink r:id="rId13" ref="I27"/>
    <hyperlink r:id="rId14" ref="I29"/>
    <hyperlink r:id="rId15" ref="I31"/>
    <hyperlink r:id="rId16" ref="I32"/>
    <hyperlink r:id="rId17" ref="I33"/>
    <hyperlink r:id="rId18" ref="I34"/>
    <hyperlink r:id="rId19" ref="H35"/>
    <hyperlink r:id="rId20" ref="I36"/>
    <hyperlink r:id="rId21" ref="I37"/>
    <hyperlink r:id="rId22" ref="I38"/>
    <hyperlink r:id="rId23" ref="I39"/>
    <hyperlink r:id="rId24" ref="I47"/>
    <hyperlink r:id="rId25" ref="I48"/>
    <hyperlink r:id="rId26" ref="I49"/>
    <hyperlink r:id="rId27" ref="I51"/>
    <hyperlink r:id="rId28" ref="I52"/>
    <hyperlink r:id="rId29" ref="I59"/>
    <hyperlink r:id="rId30" ref="I61"/>
    <hyperlink r:id="rId31" ref="I64"/>
    <hyperlink r:id="rId32" ref="I65"/>
    <hyperlink r:id="rId33" ref="I68"/>
  </hyperlinks>
  <drawing r:id="rId34"/>
  <legacyDrawing r:id="rId3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50.75"/>
    <col customWidth="1" min="3" max="3" width="15.63"/>
    <col customWidth="1" min="4" max="4" width="20.13"/>
    <col customWidth="1" min="5" max="5" width="69.38"/>
  </cols>
  <sheetData>
    <row r="1">
      <c r="A1" s="654" t="s">
        <v>5281</v>
      </c>
      <c r="B1" s="53"/>
      <c r="C1" s="53"/>
      <c r="D1" s="53"/>
      <c r="E1" s="202"/>
    </row>
    <row r="2">
      <c r="A2" s="655"/>
      <c r="B2" s="655" t="s">
        <v>1</v>
      </c>
      <c r="C2" s="655" t="s">
        <v>2</v>
      </c>
      <c r="D2" s="656" t="s">
        <v>3</v>
      </c>
      <c r="E2" s="655" t="s">
        <v>4</v>
      </c>
    </row>
    <row r="3">
      <c r="A3" s="657">
        <v>1.0</v>
      </c>
      <c r="B3" s="658" t="s">
        <v>5282</v>
      </c>
      <c r="C3" s="659"/>
      <c r="D3" s="660" t="s">
        <v>5283</v>
      </c>
      <c r="E3" s="661"/>
    </row>
    <row r="4">
      <c r="A4" s="657">
        <v>2.0</v>
      </c>
      <c r="B4" s="658" t="s">
        <v>5284</v>
      </c>
      <c r="C4" s="659"/>
      <c r="D4" s="662">
        <v>9.20002548E8</v>
      </c>
      <c r="E4" s="663" t="s">
        <v>5285</v>
      </c>
    </row>
    <row r="5">
      <c r="A5" s="657">
        <v>3.0</v>
      </c>
      <c r="B5" s="658" t="s">
        <v>5286</v>
      </c>
      <c r="C5" s="659"/>
      <c r="D5" s="664" t="s">
        <v>5287</v>
      </c>
      <c r="E5" s="665" t="s">
        <v>5288</v>
      </c>
    </row>
    <row r="6">
      <c r="A6" s="657">
        <v>4.0</v>
      </c>
      <c r="B6" s="666" t="s">
        <v>5289</v>
      </c>
      <c r="C6" s="659"/>
      <c r="D6" s="667"/>
      <c r="E6" s="668" t="s">
        <v>5290</v>
      </c>
      <c r="F6" s="669"/>
    </row>
    <row r="7">
      <c r="A7" s="657">
        <v>5.0</v>
      </c>
      <c r="B7" s="670" t="s">
        <v>5291</v>
      </c>
      <c r="C7" s="659"/>
      <c r="D7" s="671" t="s">
        <v>5292</v>
      </c>
      <c r="E7" s="672" t="s">
        <v>5293</v>
      </c>
    </row>
    <row r="8">
      <c r="A8" s="657">
        <v>6.0</v>
      </c>
      <c r="B8" s="658" t="s">
        <v>5294</v>
      </c>
      <c r="C8" s="659"/>
      <c r="D8" s="673">
        <v>9.20015822E8</v>
      </c>
      <c r="E8" s="674" t="s">
        <v>5295</v>
      </c>
    </row>
    <row r="9">
      <c r="A9" s="657">
        <v>7.0</v>
      </c>
      <c r="B9" s="658" t="s">
        <v>5296</v>
      </c>
      <c r="C9" s="659"/>
      <c r="D9" s="675"/>
      <c r="E9" s="668" t="s">
        <v>5297</v>
      </c>
    </row>
    <row r="10">
      <c r="A10" s="657">
        <v>9.0</v>
      </c>
      <c r="B10" s="658" t="s">
        <v>5298</v>
      </c>
      <c r="C10" s="659"/>
      <c r="D10" s="675"/>
      <c r="E10" s="676" t="s">
        <v>5299</v>
      </c>
    </row>
    <row r="11">
      <c r="A11" s="657">
        <v>10.0</v>
      </c>
      <c r="B11" s="677" t="s">
        <v>5300</v>
      </c>
      <c r="C11" s="659"/>
      <c r="D11" s="667"/>
      <c r="E11" s="668" t="s">
        <v>5301</v>
      </c>
    </row>
    <row r="12">
      <c r="A12" s="657">
        <v>11.0</v>
      </c>
      <c r="B12" s="658" t="s">
        <v>5302</v>
      </c>
      <c r="C12" s="659"/>
      <c r="D12" s="678">
        <v>9.20000815E8</v>
      </c>
      <c r="E12" s="679" t="s">
        <v>5303</v>
      </c>
    </row>
    <row r="13">
      <c r="A13" s="657">
        <v>12.0</v>
      </c>
      <c r="B13" s="658" t="s">
        <v>5304</v>
      </c>
      <c r="C13" s="659"/>
      <c r="D13" s="667"/>
      <c r="E13" s="680" t="s">
        <v>5305</v>
      </c>
    </row>
    <row r="14">
      <c r="A14" s="657">
        <v>13.0</v>
      </c>
      <c r="B14" s="658" t="s">
        <v>5306</v>
      </c>
      <c r="C14" s="659"/>
      <c r="D14" s="675"/>
      <c r="E14" s="681" t="s">
        <v>5307</v>
      </c>
    </row>
    <row r="15">
      <c r="A15" s="657">
        <v>14.0</v>
      </c>
      <c r="B15" s="658" t="s">
        <v>5308</v>
      </c>
      <c r="C15" s="659"/>
      <c r="D15" s="667"/>
      <c r="E15" s="682" t="s">
        <v>5309</v>
      </c>
    </row>
    <row r="16">
      <c r="A16" s="657">
        <v>15.0</v>
      </c>
      <c r="B16" s="658" t="s">
        <v>5310</v>
      </c>
      <c r="C16" s="659"/>
      <c r="D16" s="675"/>
      <c r="E16" s="672" t="s">
        <v>5311</v>
      </c>
    </row>
    <row r="17">
      <c r="A17" s="657">
        <v>16.0</v>
      </c>
      <c r="B17" s="658" t="s">
        <v>5312</v>
      </c>
      <c r="C17" s="659"/>
      <c r="D17" s="667"/>
      <c r="E17" s="683" t="s">
        <v>5313</v>
      </c>
    </row>
    <row r="18">
      <c r="A18" s="657">
        <v>17.0</v>
      </c>
      <c r="B18" s="658" t="s">
        <v>5314</v>
      </c>
      <c r="C18" s="659"/>
      <c r="D18" s="675"/>
      <c r="E18" s="668" t="s">
        <v>5315</v>
      </c>
    </row>
    <row r="19">
      <c r="A19" s="657">
        <v>18.0</v>
      </c>
      <c r="B19" s="658" t="s">
        <v>5316</v>
      </c>
      <c r="C19" s="659"/>
      <c r="D19" s="667"/>
      <c r="E19" s="668" t="s">
        <v>5317</v>
      </c>
    </row>
    <row r="20">
      <c r="A20" s="657">
        <v>19.0</v>
      </c>
      <c r="B20" s="684" t="s">
        <v>5318</v>
      </c>
      <c r="C20" s="659"/>
      <c r="D20" s="685" t="s">
        <v>5319</v>
      </c>
      <c r="E20" s="686" t="s">
        <v>5320</v>
      </c>
    </row>
    <row r="21">
      <c r="A21" s="657">
        <v>20.0</v>
      </c>
      <c r="B21" s="658" t="s">
        <v>5321</v>
      </c>
      <c r="C21" s="659"/>
      <c r="D21" s="687" t="s">
        <v>5322</v>
      </c>
      <c r="E21" s="688" t="s">
        <v>5323</v>
      </c>
    </row>
    <row r="22">
      <c r="A22" s="657">
        <v>21.0</v>
      </c>
      <c r="B22" s="658" t="s">
        <v>5324</v>
      </c>
      <c r="C22" s="659"/>
      <c r="D22" s="675"/>
      <c r="E22" s="672" t="s">
        <v>5325</v>
      </c>
    </row>
    <row r="23">
      <c r="A23" s="657">
        <v>22.0</v>
      </c>
      <c r="B23" s="658" t="s">
        <v>5326</v>
      </c>
      <c r="C23" s="659"/>
      <c r="D23" s="689"/>
      <c r="E23" s="672" t="s">
        <v>5327</v>
      </c>
    </row>
    <row r="24">
      <c r="A24" s="657">
        <v>23.0</v>
      </c>
      <c r="B24" s="658" t="s">
        <v>5328</v>
      </c>
      <c r="C24" s="659"/>
      <c r="D24" s="667" t="s">
        <v>5329</v>
      </c>
      <c r="E24" s="668" t="s">
        <v>5330</v>
      </c>
    </row>
    <row r="25">
      <c r="A25" s="657">
        <v>24.0</v>
      </c>
      <c r="B25" s="658" t="s">
        <v>5331</v>
      </c>
      <c r="C25" s="659"/>
      <c r="D25" s="667"/>
      <c r="E25" s="690" t="s">
        <v>5332</v>
      </c>
    </row>
    <row r="26">
      <c r="A26" s="657">
        <v>25.0</v>
      </c>
      <c r="B26" s="658" t="s">
        <v>5333</v>
      </c>
      <c r="C26" s="659"/>
      <c r="D26" s="675"/>
      <c r="E26" s="672" t="s">
        <v>5334</v>
      </c>
    </row>
    <row r="27">
      <c r="A27" s="657">
        <v>28.0</v>
      </c>
      <c r="B27" s="691" t="s">
        <v>5335</v>
      </c>
      <c r="C27" s="659"/>
      <c r="D27" s="692" t="s">
        <v>5045</v>
      </c>
      <c r="E27" s="693" t="s">
        <v>5336</v>
      </c>
    </row>
    <row r="28">
      <c r="A28" s="657">
        <v>29.0</v>
      </c>
      <c r="B28" s="658" t="s">
        <v>5337</v>
      </c>
      <c r="C28" s="659"/>
      <c r="D28" s="661" t="s">
        <v>5338</v>
      </c>
      <c r="E28" s="694"/>
    </row>
    <row r="29">
      <c r="A29" s="657">
        <v>30.0</v>
      </c>
      <c r="B29" s="695" t="s">
        <v>5339</v>
      </c>
      <c r="C29" s="659"/>
      <c r="D29" s="696"/>
      <c r="E29" s="697" t="s">
        <v>5340</v>
      </c>
    </row>
    <row r="30">
      <c r="A30" s="657">
        <v>31.0</v>
      </c>
      <c r="B30" s="658" t="s">
        <v>5341</v>
      </c>
      <c r="C30" s="659"/>
      <c r="D30" s="675"/>
      <c r="E30" s="698" t="s">
        <v>5342</v>
      </c>
    </row>
    <row r="31">
      <c r="A31" s="657">
        <v>32.0</v>
      </c>
      <c r="B31" s="658" t="s">
        <v>5343</v>
      </c>
      <c r="C31" s="659"/>
      <c r="D31" s="692"/>
      <c r="E31" s="699" t="s">
        <v>5344</v>
      </c>
    </row>
    <row r="32">
      <c r="A32" s="657">
        <v>33.0</v>
      </c>
      <c r="B32" s="658" t="s">
        <v>5345</v>
      </c>
      <c r="C32" s="659"/>
      <c r="D32" s="675"/>
      <c r="E32" s="699" t="s">
        <v>5346</v>
      </c>
    </row>
    <row r="33">
      <c r="A33" s="657">
        <v>34.0</v>
      </c>
      <c r="B33" s="658" t="s">
        <v>5347</v>
      </c>
      <c r="C33" s="659"/>
      <c r="D33" s="692"/>
      <c r="E33" s="700" t="s">
        <v>5348</v>
      </c>
    </row>
    <row r="34">
      <c r="A34" s="657">
        <v>35.0</v>
      </c>
      <c r="B34" s="658" t="s">
        <v>5349</v>
      </c>
      <c r="C34" s="659"/>
      <c r="D34" s="675"/>
      <c r="E34" s="698" t="s">
        <v>5350</v>
      </c>
    </row>
    <row r="35">
      <c r="A35" s="657">
        <v>36.0</v>
      </c>
      <c r="B35" s="658"/>
      <c r="C35" s="659"/>
      <c r="D35" s="692"/>
      <c r="E35" s="661"/>
    </row>
    <row r="36">
      <c r="A36" s="657">
        <v>37.0</v>
      </c>
      <c r="B36" s="658"/>
      <c r="C36" s="659"/>
      <c r="D36" s="675"/>
      <c r="E36" s="661"/>
    </row>
    <row r="37">
      <c r="A37" s="657">
        <v>38.0</v>
      </c>
      <c r="B37" s="658"/>
      <c r="C37" s="659"/>
      <c r="D37" s="692"/>
      <c r="E37" s="661"/>
    </row>
    <row r="38">
      <c r="A38" s="657">
        <v>39.0</v>
      </c>
      <c r="B38" s="658"/>
      <c r="C38" s="659"/>
      <c r="D38" s="675"/>
      <c r="E38" s="661"/>
    </row>
    <row r="39">
      <c r="A39" s="657">
        <v>40.0</v>
      </c>
      <c r="B39" s="658"/>
      <c r="C39" s="659"/>
      <c r="D39" s="692"/>
      <c r="E39" s="661"/>
    </row>
    <row r="40">
      <c r="A40" s="657">
        <v>41.0</v>
      </c>
      <c r="B40" s="658"/>
      <c r="C40" s="659"/>
      <c r="D40" s="675"/>
      <c r="E40" s="661"/>
    </row>
    <row r="41">
      <c r="A41" s="657">
        <v>42.0</v>
      </c>
      <c r="B41" s="658"/>
      <c r="C41" s="659"/>
      <c r="D41" s="692"/>
      <c r="E41" s="661"/>
    </row>
    <row r="42">
      <c r="A42" s="657">
        <v>43.0</v>
      </c>
      <c r="B42" s="658"/>
      <c r="C42" s="659"/>
      <c r="D42" s="675"/>
      <c r="E42" s="661"/>
    </row>
    <row r="43">
      <c r="A43" s="657">
        <v>44.0</v>
      </c>
      <c r="B43" s="658"/>
      <c r="C43" s="659"/>
      <c r="D43" s="692"/>
      <c r="E43" s="661"/>
    </row>
    <row r="44">
      <c r="A44" s="657">
        <v>45.0</v>
      </c>
      <c r="B44" s="658"/>
      <c r="C44" s="659"/>
      <c r="D44" s="675"/>
      <c r="E44" s="661"/>
    </row>
    <row r="45">
      <c r="A45" s="657">
        <v>46.0</v>
      </c>
      <c r="B45" s="658"/>
      <c r="C45" s="659"/>
      <c r="D45" s="692"/>
      <c r="E45" s="661"/>
    </row>
    <row r="46">
      <c r="A46" s="657">
        <v>47.0</v>
      </c>
      <c r="B46" s="658"/>
      <c r="C46" s="659"/>
      <c r="D46" s="675"/>
      <c r="E46" s="661"/>
    </row>
    <row r="47">
      <c r="A47" s="657">
        <v>48.0</v>
      </c>
      <c r="B47" s="658"/>
      <c r="C47" s="659"/>
      <c r="D47" s="692"/>
      <c r="E47" s="661"/>
    </row>
    <row r="48">
      <c r="A48" s="657">
        <v>49.0</v>
      </c>
      <c r="B48" s="658"/>
      <c r="C48" s="659"/>
      <c r="D48" s="675"/>
      <c r="E48" s="661"/>
    </row>
    <row r="49">
      <c r="A49" s="657">
        <v>50.0</v>
      </c>
      <c r="B49" s="658"/>
      <c r="C49" s="659"/>
      <c r="D49" s="692"/>
      <c r="E49" s="661"/>
    </row>
    <row r="50">
      <c r="A50" s="657">
        <v>51.0</v>
      </c>
      <c r="B50" s="658"/>
      <c r="C50" s="659"/>
      <c r="D50" s="675"/>
      <c r="E50" s="661"/>
    </row>
    <row r="51">
      <c r="A51" s="657">
        <v>52.0</v>
      </c>
      <c r="B51" s="658"/>
      <c r="C51" s="659"/>
      <c r="D51" s="692"/>
      <c r="E51" s="661"/>
    </row>
    <row r="52">
      <c r="A52" s="657">
        <v>53.0</v>
      </c>
      <c r="B52" s="658"/>
      <c r="C52" s="659"/>
      <c r="D52" s="675"/>
      <c r="E52" s="661"/>
    </row>
    <row r="53">
      <c r="A53" s="657">
        <v>54.0</v>
      </c>
      <c r="B53" s="658"/>
      <c r="C53" s="659"/>
      <c r="D53" s="692"/>
      <c r="E53" s="661"/>
    </row>
    <row r="54">
      <c r="A54" s="657">
        <v>55.0</v>
      </c>
      <c r="B54" s="658"/>
      <c r="C54" s="659"/>
      <c r="D54" s="675"/>
      <c r="E54" s="661"/>
    </row>
    <row r="55">
      <c r="A55" s="657">
        <v>56.0</v>
      </c>
      <c r="B55" s="658"/>
      <c r="C55" s="659"/>
      <c r="D55" s="692"/>
      <c r="E55" s="661"/>
    </row>
    <row r="56">
      <c r="A56" s="657">
        <v>57.0</v>
      </c>
      <c r="B56" s="658"/>
      <c r="C56" s="659"/>
      <c r="D56" s="675"/>
      <c r="E56" s="661"/>
    </row>
    <row r="57">
      <c r="A57" s="657">
        <v>58.0</v>
      </c>
      <c r="B57" s="658"/>
      <c r="C57" s="659"/>
      <c r="D57" s="692"/>
      <c r="E57" s="661"/>
    </row>
    <row r="58">
      <c r="A58" s="657">
        <v>59.0</v>
      </c>
      <c r="B58" s="658"/>
      <c r="C58" s="659"/>
      <c r="D58" s="675"/>
      <c r="E58" s="661"/>
    </row>
    <row r="59">
      <c r="A59" s="657">
        <v>60.0</v>
      </c>
      <c r="B59" s="658"/>
      <c r="C59" s="659"/>
      <c r="D59" s="692"/>
      <c r="E59" s="661"/>
    </row>
    <row r="60">
      <c r="A60" s="657">
        <v>61.0</v>
      </c>
      <c r="B60" s="658"/>
      <c r="C60" s="659"/>
      <c r="D60" s="675"/>
      <c r="E60" s="661"/>
    </row>
    <row r="61">
      <c r="A61" s="657">
        <v>62.0</v>
      </c>
      <c r="B61" s="658"/>
      <c r="C61" s="659"/>
      <c r="D61" s="692"/>
      <c r="E61" s="661"/>
    </row>
    <row r="62">
      <c r="A62" s="657">
        <v>63.0</v>
      </c>
      <c r="B62" s="658"/>
      <c r="C62" s="659"/>
      <c r="D62" s="675"/>
      <c r="E62" s="661"/>
    </row>
    <row r="63">
      <c r="A63" s="657">
        <v>64.0</v>
      </c>
      <c r="B63" s="658"/>
      <c r="C63" s="659"/>
      <c r="D63" s="692"/>
      <c r="E63" s="661"/>
    </row>
    <row r="64">
      <c r="A64" s="657">
        <v>65.0</v>
      </c>
      <c r="B64" s="658"/>
      <c r="C64" s="659"/>
      <c r="D64" s="675"/>
      <c r="E64" s="661"/>
    </row>
    <row r="65">
      <c r="A65" s="657">
        <v>66.0</v>
      </c>
      <c r="B65" s="658"/>
      <c r="C65" s="659"/>
      <c r="D65" s="692"/>
      <c r="E65" s="661"/>
    </row>
    <row r="66">
      <c r="A66" s="657">
        <v>67.0</v>
      </c>
      <c r="B66" s="658"/>
      <c r="C66" s="659"/>
      <c r="D66" s="675"/>
      <c r="E66" s="661"/>
    </row>
    <row r="67">
      <c r="A67" s="657">
        <v>68.0</v>
      </c>
      <c r="B67" s="658"/>
      <c r="C67" s="659"/>
      <c r="D67" s="692"/>
      <c r="E67" s="661"/>
    </row>
    <row r="68">
      <c r="A68" s="657">
        <v>69.0</v>
      </c>
      <c r="B68" s="658"/>
      <c r="C68" s="659"/>
      <c r="D68" s="675"/>
      <c r="E68" s="661"/>
    </row>
    <row r="69">
      <c r="A69" s="657">
        <v>70.0</v>
      </c>
      <c r="B69" s="658"/>
      <c r="C69" s="659"/>
      <c r="D69" s="692"/>
      <c r="E69" s="661"/>
    </row>
    <row r="70">
      <c r="A70" s="657">
        <v>71.0</v>
      </c>
      <c r="B70" s="658"/>
      <c r="C70" s="659"/>
      <c r="D70" s="675"/>
      <c r="E70" s="661"/>
    </row>
    <row r="71">
      <c r="A71" s="657">
        <v>72.0</v>
      </c>
      <c r="B71" s="658"/>
      <c r="C71" s="659"/>
      <c r="D71" s="692"/>
      <c r="E71" s="661"/>
    </row>
    <row r="72">
      <c r="A72" s="657">
        <v>73.0</v>
      </c>
      <c r="B72" s="658"/>
      <c r="C72" s="659"/>
      <c r="D72" s="675"/>
      <c r="E72" s="661"/>
    </row>
    <row r="73">
      <c r="A73" s="657">
        <v>74.0</v>
      </c>
      <c r="B73" s="658"/>
      <c r="C73" s="659"/>
      <c r="D73" s="692"/>
      <c r="E73" s="661"/>
    </row>
    <row r="74">
      <c r="A74" s="657">
        <v>75.0</v>
      </c>
      <c r="B74" s="658"/>
      <c r="C74" s="659"/>
      <c r="D74" s="675"/>
      <c r="E74" s="661"/>
    </row>
    <row r="75">
      <c r="A75" s="657">
        <v>76.0</v>
      </c>
      <c r="B75" s="658"/>
      <c r="C75" s="659"/>
      <c r="D75" s="692"/>
      <c r="E75" s="661"/>
    </row>
    <row r="76">
      <c r="A76" s="657">
        <v>77.0</v>
      </c>
      <c r="B76" s="658"/>
      <c r="C76" s="659"/>
      <c r="D76" s="675"/>
      <c r="E76" s="661"/>
    </row>
    <row r="77">
      <c r="A77" s="657">
        <v>78.0</v>
      </c>
      <c r="B77" s="658"/>
      <c r="C77" s="659"/>
      <c r="D77" s="692"/>
      <c r="E77" s="661"/>
    </row>
    <row r="78">
      <c r="A78" s="657">
        <v>79.0</v>
      </c>
      <c r="B78" s="658"/>
      <c r="C78" s="659"/>
      <c r="D78" s="675"/>
      <c r="E78" s="661"/>
    </row>
    <row r="79">
      <c r="A79" s="657">
        <v>80.0</v>
      </c>
      <c r="B79" s="658"/>
      <c r="C79" s="659"/>
      <c r="D79" s="692"/>
      <c r="E79" s="661"/>
    </row>
    <row r="80">
      <c r="A80" s="657">
        <v>81.0</v>
      </c>
      <c r="B80" s="658"/>
      <c r="C80" s="659"/>
      <c r="D80" s="675"/>
      <c r="E80" s="661"/>
    </row>
    <row r="81">
      <c r="A81" s="657">
        <v>82.0</v>
      </c>
      <c r="B81" s="658"/>
      <c r="C81" s="659"/>
      <c r="D81" s="692"/>
      <c r="E81" s="661"/>
    </row>
    <row r="82">
      <c r="A82" s="657">
        <v>83.0</v>
      </c>
      <c r="B82" s="658"/>
      <c r="C82" s="659"/>
      <c r="D82" s="675"/>
      <c r="E82" s="661"/>
    </row>
    <row r="83">
      <c r="A83" s="657">
        <v>84.0</v>
      </c>
      <c r="B83" s="658"/>
      <c r="C83" s="659"/>
      <c r="D83" s="692"/>
      <c r="E83" s="661"/>
    </row>
    <row r="84">
      <c r="A84" s="657">
        <v>85.0</v>
      </c>
      <c r="B84" s="658"/>
      <c r="C84" s="659"/>
      <c r="D84" s="675"/>
      <c r="E84" s="661"/>
    </row>
    <row r="85">
      <c r="A85" s="657">
        <v>86.0</v>
      </c>
      <c r="B85" s="658"/>
      <c r="C85" s="659"/>
      <c r="D85" s="692"/>
      <c r="E85" s="661"/>
    </row>
    <row r="86">
      <c r="A86" s="657">
        <v>87.0</v>
      </c>
      <c r="B86" s="658"/>
      <c r="C86" s="659"/>
      <c r="D86" s="675"/>
      <c r="E86" s="661"/>
    </row>
    <row r="87">
      <c r="A87" s="657">
        <v>88.0</v>
      </c>
      <c r="B87" s="658"/>
      <c r="C87" s="659"/>
      <c r="D87" s="692"/>
      <c r="E87" s="661"/>
    </row>
    <row r="88">
      <c r="A88" s="657">
        <v>89.0</v>
      </c>
      <c r="B88" s="658"/>
      <c r="C88" s="659"/>
      <c r="D88" s="675"/>
      <c r="E88" s="661"/>
    </row>
    <row r="89">
      <c r="A89" s="657">
        <v>90.0</v>
      </c>
      <c r="B89" s="658"/>
      <c r="C89" s="659"/>
      <c r="D89" s="692"/>
      <c r="E89" s="661"/>
    </row>
    <row r="90">
      <c r="A90" s="657">
        <v>91.0</v>
      </c>
      <c r="B90" s="658"/>
      <c r="C90" s="659"/>
      <c r="D90" s="675"/>
      <c r="E90" s="661"/>
    </row>
    <row r="91">
      <c r="A91" s="657">
        <v>92.0</v>
      </c>
      <c r="B91" s="658"/>
      <c r="C91" s="659"/>
      <c r="D91" s="692"/>
      <c r="E91" s="661"/>
    </row>
    <row r="92">
      <c r="A92" s="657">
        <v>93.0</v>
      </c>
      <c r="B92" s="658"/>
      <c r="C92" s="659"/>
      <c r="D92" s="675"/>
      <c r="E92" s="661"/>
    </row>
    <row r="93">
      <c r="A93" s="657">
        <v>94.0</v>
      </c>
      <c r="B93" s="658"/>
      <c r="C93" s="659"/>
      <c r="D93" s="692"/>
      <c r="E93" s="661"/>
    </row>
    <row r="94">
      <c r="A94" s="657">
        <v>95.0</v>
      </c>
      <c r="B94" s="658"/>
      <c r="C94" s="659"/>
      <c r="D94" s="675"/>
      <c r="E94" s="661"/>
    </row>
    <row r="95">
      <c r="A95" s="657">
        <v>96.0</v>
      </c>
      <c r="B95" s="658"/>
      <c r="C95" s="659"/>
      <c r="D95" s="692"/>
      <c r="E95" s="661"/>
    </row>
    <row r="96">
      <c r="A96" s="657">
        <v>97.0</v>
      </c>
      <c r="B96" s="658"/>
      <c r="C96" s="659"/>
      <c r="D96" s="675"/>
      <c r="E96" s="661"/>
    </row>
    <row r="97">
      <c r="A97" s="657">
        <v>98.0</v>
      </c>
      <c r="B97" s="658"/>
      <c r="C97" s="659"/>
      <c r="D97" s="692"/>
      <c r="E97" s="661"/>
    </row>
    <row r="98">
      <c r="A98" s="657">
        <v>99.0</v>
      </c>
      <c r="B98" s="658"/>
      <c r="C98" s="659"/>
      <c r="D98" s="675"/>
      <c r="E98" s="661"/>
    </row>
    <row r="99">
      <c r="A99" s="657">
        <v>100.0</v>
      </c>
      <c r="B99" s="658"/>
      <c r="C99" s="659"/>
      <c r="D99" s="692"/>
      <c r="E99" s="661"/>
    </row>
    <row r="100">
      <c r="A100" s="657">
        <v>101.0</v>
      </c>
      <c r="B100" s="658"/>
      <c r="C100" s="659"/>
      <c r="D100" s="675"/>
      <c r="E100" s="661"/>
    </row>
    <row r="101">
      <c r="A101" s="657">
        <v>102.0</v>
      </c>
      <c r="B101" s="658"/>
      <c r="C101" s="659"/>
      <c r="D101" s="692"/>
      <c r="E101" s="661"/>
    </row>
    <row r="102">
      <c r="A102" s="657">
        <v>103.0</v>
      </c>
      <c r="B102" s="658"/>
      <c r="C102" s="659"/>
      <c r="D102" s="675"/>
      <c r="E102" s="661"/>
    </row>
    <row r="103">
      <c r="A103" s="657">
        <v>104.0</v>
      </c>
      <c r="B103" s="658"/>
      <c r="C103" s="659"/>
      <c r="D103" s="692"/>
      <c r="E103" s="661"/>
    </row>
    <row r="104">
      <c r="A104" s="657">
        <v>105.0</v>
      </c>
      <c r="B104" s="658"/>
      <c r="C104" s="659"/>
      <c r="D104" s="675"/>
      <c r="E104" s="661"/>
    </row>
    <row r="105">
      <c r="A105" s="657">
        <v>106.0</v>
      </c>
      <c r="B105" s="658"/>
      <c r="C105" s="659"/>
      <c r="D105" s="692"/>
      <c r="E105" s="661"/>
    </row>
    <row r="106">
      <c r="A106" s="657">
        <v>107.0</v>
      </c>
      <c r="B106" s="658"/>
      <c r="C106" s="659"/>
      <c r="D106" s="675"/>
      <c r="E106" s="661"/>
    </row>
    <row r="107">
      <c r="A107" s="657">
        <v>108.0</v>
      </c>
      <c r="B107" s="658"/>
      <c r="C107" s="659"/>
      <c r="D107" s="692"/>
      <c r="E107" s="661"/>
    </row>
    <row r="108">
      <c r="A108" s="657">
        <v>109.0</v>
      </c>
      <c r="B108" s="658"/>
      <c r="C108" s="659"/>
      <c r="D108" s="675"/>
      <c r="E108" s="661"/>
    </row>
    <row r="109">
      <c r="A109" s="657">
        <v>110.0</v>
      </c>
      <c r="B109" s="658"/>
      <c r="C109" s="659"/>
      <c r="D109" s="692"/>
      <c r="E109" s="661"/>
    </row>
    <row r="110">
      <c r="A110" s="657">
        <v>111.0</v>
      </c>
      <c r="B110" s="658"/>
      <c r="C110" s="659"/>
      <c r="D110" s="675"/>
      <c r="E110" s="661"/>
    </row>
    <row r="111">
      <c r="A111" s="657">
        <v>112.0</v>
      </c>
      <c r="B111" s="658"/>
      <c r="C111" s="659"/>
      <c r="D111" s="692"/>
      <c r="E111" s="661"/>
    </row>
    <row r="112">
      <c r="A112" s="657">
        <v>113.0</v>
      </c>
      <c r="B112" s="658"/>
      <c r="C112" s="659"/>
      <c r="D112" s="675"/>
      <c r="E112" s="661"/>
    </row>
    <row r="113">
      <c r="A113" s="657">
        <v>114.0</v>
      </c>
      <c r="B113" s="658"/>
      <c r="C113" s="659"/>
      <c r="D113" s="692"/>
      <c r="E113" s="661"/>
    </row>
    <row r="114">
      <c r="A114" s="657">
        <v>115.0</v>
      </c>
      <c r="B114" s="658"/>
      <c r="C114" s="659"/>
      <c r="D114" s="675"/>
      <c r="E114" s="661"/>
    </row>
    <row r="115">
      <c r="A115" s="657">
        <v>116.0</v>
      </c>
      <c r="B115" s="658"/>
      <c r="C115" s="659"/>
      <c r="D115" s="692"/>
      <c r="E115" s="661"/>
    </row>
    <row r="116">
      <c r="A116" s="657">
        <v>117.0</v>
      </c>
      <c r="B116" s="658"/>
      <c r="C116" s="659"/>
      <c r="D116" s="675"/>
      <c r="E116" s="661"/>
    </row>
    <row r="117">
      <c r="A117" s="657">
        <v>118.0</v>
      </c>
      <c r="B117" s="658"/>
      <c r="C117" s="659"/>
      <c r="D117" s="692"/>
      <c r="E117" s="661"/>
    </row>
    <row r="118">
      <c r="A118" s="657">
        <v>119.0</v>
      </c>
      <c r="B118" s="658"/>
      <c r="C118" s="659"/>
      <c r="D118" s="675"/>
      <c r="E118" s="661"/>
    </row>
    <row r="119">
      <c r="A119" s="657">
        <v>120.0</v>
      </c>
      <c r="B119" s="658"/>
      <c r="C119" s="659"/>
      <c r="D119" s="692"/>
      <c r="E119" s="661"/>
    </row>
    <row r="120">
      <c r="A120" s="657">
        <v>121.0</v>
      </c>
      <c r="B120" s="658"/>
      <c r="C120" s="659"/>
      <c r="D120" s="675"/>
      <c r="E120" s="661"/>
    </row>
    <row r="121">
      <c r="A121" s="657">
        <v>122.0</v>
      </c>
      <c r="B121" s="658"/>
      <c r="C121" s="659"/>
      <c r="D121" s="692"/>
      <c r="E121" s="661"/>
    </row>
    <row r="122">
      <c r="A122" s="657">
        <v>123.0</v>
      </c>
      <c r="B122" s="658"/>
      <c r="C122" s="659"/>
      <c r="D122" s="675"/>
      <c r="E122" s="661"/>
    </row>
    <row r="123">
      <c r="A123" s="657">
        <v>124.0</v>
      </c>
      <c r="B123" s="658"/>
      <c r="C123" s="659"/>
      <c r="D123" s="692"/>
      <c r="E123" s="661"/>
    </row>
    <row r="124">
      <c r="A124" s="657">
        <v>125.0</v>
      </c>
      <c r="B124" s="658"/>
      <c r="C124" s="659"/>
      <c r="D124" s="675"/>
      <c r="E124" s="661"/>
    </row>
    <row r="125">
      <c r="A125" s="657">
        <v>126.0</v>
      </c>
      <c r="B125" s="658"/>
      <c r="C125" s="659"/>
      <c r="D125" s="692"/>
      <c r="E125" s="661"/>
    </row>
    <row r="126">
      <c r="A126" s="657">
        <v>127.0</v>
      </c>
      <c r="B126" s="658"/>
      <c r="C126" s="659"/>
      <c r="D126" s="675"/>
      <c r="E126" s="661"/>
    </row>
    <row r="127">
      <c r="A127" s="657">
        <v>128.0</v>
      </c>
      <c r="B127" s="658"/>
      <c r="C127" s="659"/>
      <c r="D127" s="692"/>
      <c r="E127" s="661"/>
    </row>
    <row r="128">
      <c r="A128" s="657">
        <v>129.0</v>
      </c>
      <c r="B128" s="658"/>
      <c r="C128" s="659"/>
      <c r="D128" s="675"/>
      <c r="E128" s="661"/>
    </row>
    <row r="129">
      <c r="A129" s="657">
        <v>130.0</v>
      </c>
      <c r="B129" s="658"/>
      <c r="C129" s="659"/>
      <c r="D129" s="692"/>
      <c r="E129" s="661"/>
    </row>
    <row r="130">
      <c r="A130" s="657">
        <v>131.0</v>
      </c>
      <c r="B130" s="658"/>
      <c r="C130" s="659"/>
      <c r="D130" s="675"/>
      <c r="E130" s="661"/>
    </row>
    <row r="131">
      <c r="A131" s="657">
        <v>132.0</v>
      </c>
      <c r="B131" s="658"/>
      <c r="C131" s="659"/>
      <c r="D131" s="692"/>
      <c r="E131" s="661"/>
    </row>
    <row r="132">
      <c r="A132" s="657">
        <v>133.0</v>
      </c>
      <c r="B132" s="658"/>
      <c r="C132" s="659"/>
      <c r="D132" s="675"/>
      <c r="E132" s="661"/>
    </row>
    <row r="133">
      <c r="A133" s="657">
        <v>134.0</v>
      </c>
      <c r="B133" s="658"/>
      <c r="C133" s="659"/>
      <c r="D133" s="692"/>
      <c r="E133" s="661"/>
    </row>
    <row r="134">
      <c r="A134" s="657">
        <v>135.0</v>
      </c>
      <c r="B134" s="658"/>
      <c r="C134" s="659"/>
      <c r="D134" s="675"/>
      <c r="E134" s="661"/>
    </row>
    <row r="135">
      <c r="A135" s="657">
        <v>136.0</v>
      </c>
      <c r="B135" s="658"/>
      <c r="C135" s="659"/>
      <c r="D135" s="692"/>
      <c r="E135" s="661"/>
    </row>
    <row r="136">
      <c r="A136" s="657">
        <v>137.0</v>
      </c>
      <c r="B136" s="658"/>
      <c r="C136" s="659"/>
      <c r="D136" s="675"/>
      <c r="E136" s="661"/>
    </row>
    <row r="137">
      <c r="A137" s="657">
        <v>138.0</v>
      </c>
      <c r="B137" s="658"/>
      <c r="C137" s="659"/>
      <c r="D137" s="692"/>
      <c r="E137" s="661"/>
    </row>
    <row r="138">
      <c r="A138" s="657">
        <v>139.0</v>
      </c>
      <c r="B138" s="658"/>
      <c r="C138" s="659"/>
      <c r="D138" s="675"/>
      <c r="E138" s="661"/>
    </row>
    <row r="139">
      <c r="A139" s="657">
        <v>140.0</v>
      </c>
      <c r="B139" s="658"/>
      <c r="C139" s="659"/>
      <c r="D139" s="692"/>
      <c r="E139" s="661"/>
    </row>
    <row r="140">
      <c r="A140" s="657">
        <v>141.0</v>
      </c>
      <c r="B140" s="658"/>
      <c r="C140" s="659"/>
      <c r="D140" s="675"/>
      <c r="E140" s="661"/>
    </row>
    <row r="141">
      <c r="A141" s="657">
        <v>142.0</v>
      </c>
      <c r="B141" s="658"/>
      <c r="C141" s="659"/>
      <c r="D141" s="692"/>
      <c r="E141" s="661"/>
    </row>
    <row r="142">
      <c r="A142" s="657">
        <v>143.0</v>
      </c>
      <c r="B142" s="658"/>
      <c r="C142" s="659"/>
      <c r="D142" s="675"/>
      <c r="E142" s="661"/>
    </row>
    <row r="143">
      <c r="A143" s="657">
        <v>144.0</v>
      </c>
      <c r="B143" s="658"/>
      <c r="C143" s="659"/>
      <c r="D143" s="692"/>
      <c r="E143" s="661"/>
    </row>
    <row r="144">
      <c r="A144" s="657">
        <v>145.0</v>
      </c>
      <c r="B144" s="658"/>
      <c r="C144" s="659"/>
      <c r="D144" s="675"/>
      <c r="E144" s="661"/>
    </row>
    <row r="145">
      <c r="A145" s="657">
        <v>146.0</v>
      </c>
      <c r="B145" s="658"/>
      <c r="C145" s="659"/>
      <c r="D145" s="692"/>
      <c r="E145" s="661"/>
    </row>
    <row r="146">
      <c r="A146" s="657">
        <v>147.0</v>
      </c>
      <c r="B146" s="658"/>
      <c r="C146" s="659"/>
      <c r="D146" s="675"/>
      <c r="E146" s="661"/>
    </row>
    <row r="147">
      <c r="A147" s="657">
        <v>148.0</v>
      </c>
      <c r="B147" s="658"/>
      <c r="C147" s="659"/>
      <c r="D147" s="692"/>
      <c r="E147" s="661"/>
    </row>
    <row r="148">
      <c r="A148" s="657">
        <v>149.0</v>
      </c>
      <c r="B148" s="658"/>
      <c r="C148" s="659"/>
      <c r="D148" s="675"/>
      <c r="E148" s="661"/>
    </row>
    <row r="149">
      <c r="A149" s="657">
        <v>150.0</v>
      </c>
      <c r="B149" s="658"/>
      <c r="C149" s="659"/>
      <c r="D149" s="692"/>
      <c r="E149" s="661"/>
    </row>
    <row r="150">
      <c r="A150" s="657">
        <v>151.0</v>
      </c>
      <c r="B150" s="658"/>
      <c r="C150" s="659"/>
      <c r="D150" s="675"/>
      <c r="E150" s="661"/>
    </row>
    <row r="151">
      <c r="A151" s="657">
        <v>152.0</v>
      </c>
      <c r="B151" s="658"/>
      <c r="C151" s="659"/>
      <c r="D151" s="692"/>
      <c r="E151" s="661"/>
    </row>
    <row r="152">
      <c r="A152" s="657">
        <v>153.0</v>
      </c>
      <c r="B152" s="658"/>
      <c r="C152" s="659"/>
      <c r="D152" s="675"/>
      <c r="E152" s="661"/>
    </row>
    <row r="153">
      <c r="A153" s="657">
        <v>154.0</v>
      </c>
      <c r="B153" s="658"/>
      <c r="C153" s="659"/>
      <c r="D153" s="692"/>
      <c r="E153" s="661"/>
    </row>
    <row r="154">
      <c r="A154" s="657">
        <v>155.0</v>
      </c>
      <c r="B154" s="658"/>
      <c r="C154" s="659"/>
      <c r="D154" s="675"/>
      <c r="E154" s="661"/>
    </row>
    <row r="155">
      <c r="A155" s="657">
        <v>156.0</v>
      </c>
      <c r="B155" s="658"/>
      <c r="C155" s="659"/>
      <c r="D155" s="692"/>
      <c r="E155" s="661"/>
    </row>
    <row r="156">
      <c r="A156" s="657">
        <v>157.0</v>
      </c>
      <c r="B156" s="658"/>
      <c r="C156" s="659"/>
      <c r="D156" s="675"/>
      <c r="E156" s="661"/>
    </row>
    <row r="157">
      <c r="A157" s="657">
        <v>158.0</v>
      </c>
      <c r="B157" s="658"/>
      <c r="C157" s="659"/>
      <c r="D157" s="692"/>
      <c r="E157" s="661"/>
    </row>
    <row r="158">
      <c r="A158" s="657">
        <v>159.0</v>
      </c>
      <c r="B158" s="658"/>
      <c r="C158" s="659"/>
      <c r="D158" s="675"/>
      <c r="E158" s="661"/>
    </row>
    <row r="159">
      <c r="A159" s="657">
        <v>160.0</v>
      </c>
      <c r="B159" s="658"/>
      <c r="C159" s="659"/>
      <c r="D159" s="692"/>
      <c r="E159" s="661"/>
    </row>
    <row r="160">
      <c r="A160" s="657">
        <v>161.0</v>
      </c>
      <c r="B160" s="658"/>
      <c r="C160" s="659"/>
      <c r="D160" s="675"/>
      <c r="E160" s="661"/>
    </row>
    <row r="161">
      <c r="A161" s="657">
        <v>162.0</v>
      </c>
      <c r="B161" s="658"/>
      <c r="C161" s="659"/>
      <c r="D161" s="692"/>
      <c r="E161" s="661"/>
    </row>
    <row r="162">
      <c r="A162" s="657">
        <v>163.0</v>
      </c>
      <c r="B162" s="658"/>
      <c r="C162" s="659"/>
      <c r="D162" s="675"/>
      <c r="E162" s="661"/>
    </row>
    <row r="163">
      <c r="A163" s="657">
        <v>164.0</v>
      </c>
      <c r="B163" s="658"/>
      <c r="C163" s="659"/>
      <c r="D163" s="692"/>
      <c r="E163" s="661"/>
    </row>
    <row r="164">
      <c r="A164" s="657">
        <v>165.0</v>
      </c>
      <c r="B164" s="658"/>
      <c r="C164" s="659"/>
      <c r="D164" s="675"/>
      <c r="E164" s="661"/>
    </row>
    <row r="165">
      <c r="A165" s="657">
        <v>166.0</v>
      </c>
      <c r="B165" s="658"/>
      <c r="C165" s="659"/>
      <c r="D165" s="692"/>
      <c r="E165" s="661"/>
    </row>
    <row r="166">
      <c r="A166" s="657">
        <v>167.0</v>
      </c>
      <c r="B166" s="658"/>
      <c r="C166" s="659"/>
      <c r="D166" s="675"/>
      <c r="E166" s="661"/>
    </row>
    <row r="167">
      <c r="A167" s="657">
        <v>168.0</v>
      </c>
      <c r="B167" s="658"/>
      <c r="C167" s="659"/>
      <c r="D167" s="692"/>
      <c r="E167" s="661"/>
    </row>
    <row r="168">
      <c r="A168" s="657">
        <v>169.0</v>
      </c>
      <c r="B168" s="658"/>
      <c r="C168" s="659"/>
      <c r="D168" s="675"/>
      <c r="E168" s="661"/>
    </row>
    <row r="169">
      <c r="A169" s="657">
        <v>170.0</v>
      </c>
      <c r="B169" s="658"/>
      <c r="C169" s="659"/>
      <c r="D169" s="692"/>
      <c r="E169" s="661"/>
    </row>
    <row r="170">
      <c r="A170" s="657">
        <v>171.0</v>
      </c>
      <c r="B170" s="658"/>
      <c r="C170" s="659"/>
      <c r="D170" s="675"/>
      <c r="E170" s="661"/>
    </row>
    <row r="171">
      <c r="A171" s="657">
        <v>172.0</v>
      </c>
      <c r="B171" s="658"/>
      <c r="C171" s="659"/>
      <c r="D171" s="692"/>
      <c r="E171" s="661"/>
    </row>
    <row r="172">
      <c r="A172" s="657">
        <v>173.0</v>
      </c>
      <c r="B172" s="658"/>
      <c r="C172" s="659"/>
      <c r="D172" s="675"/>
      <c r="E172" s="661"/>
    </row>
    <row r="173">
      <c r="A173" s="657">
        <v>174.0</v>
      </c>
      <c r="B173" s="658"/>
      <c r="C173" s="659"/>
      <c r="D173" s="692"/>
      <c r="E173" s="661"/>
    </row>
    <row r="174">
      <c r="A174" s="657">
        <v>175.0</v>
      </c>
      <c r="B174" s="658"/>
      <c r="C174" s="659"/>
      <c r="D174" s="675"/>
      <c r="E174" s="661"/>
    </row>
    <row r="175">
      <c r="A175" s="657">
        <v>176.0</v>
      </c>
      <c r="B175" s="658"/>
      <c r="C175" s="659"/>
      <c r="D175" s="692"/>
      <c r="E175" s="661"/>
    </row>
    <row r="176">
      <c r="A176" s="657">
        <v>177.0</v>
      </c>
      <c r="B176" s="658"/>
      <c r="C176" s="659"/>
      <c r="D176" s="675"/>
      <c r="E176" s="661"/>
    </row>
    <row r="177">
      <c r="A177" s="657">
        <v>178.0</v>
      </c>
      <c r="B177" s="658"/>
      <c r="C177" s="659"/>
      <c r="D177" s="692"/>
      <c r="E177" s="661"/>
    </row>
    <row r="178">
      <c r="A178" s="657">
        <v>179.0</v>
      </c>
      <c r="B178" s="658"/>
      <c r="C178" s="659"/>
      <c r="D178" s="675"/>
      <c r="E178" s="661"/>
    </row>
    <row r="179">
      <c r="A179" s="657">
        <v>180.0</v>
      </c>
      <c r="B179" s="658"/>
      <c r="C179" s="659"/>
      <c r="D179" s="692"/>
      <c r="E179" s="661"/>
    </row>
    <row r="180">
      <c r="A180" s="657">
        <v>181.0</v>
      </c>
      <c r="B180" s="658"/>
      <c r="C180" s="659"/>
      <c r="D180" s="675"/>
      <c r="E180" s="661"/>
    </row>
    <row r="181">
      <c r="A181" s="657">
        <v>182.0</v>
      </c>
      <c r="B181" s="658"/>
      <c r="C181" s="659"/>
      <c r="D181" s="692"/>
      <c r="E181" s="661"/>
    </row>
    <row r="182">
      <c r="A182" s="657">
        <v>183.0</v>
      </c>
      <c r="B182" s="658"/>
      <c r="C182" s="659"/>
      <c r="D182" s="675"/>
      <c r="E182" s="661"/>
    </row>
    <row r="183">
      <c r="A183" s="657">
        <v>184.0</v>
      </c>
      <c r="B183" s="658"/>
      <c r="C183" s="659"/>
      <c r="D183" s="692"/>
      <c r="E183" s="661"/>
    </row>
    <row r="184">
      <c r="A184" s="657">
        <v>185.0</v>
      </c>
      <c r="B184" s="658"/>
      <c r="C184" s="659"/>
      <c r="D184" s="675"/>
      <c r="E184" s="661"/>
    </row>
    <row r="185">
      <c r="A185" s="657">
        <v>186.0</v>
      </c>
      <c r="B185" s="658"/>
      <c r="C185" s="659"/>
      <c r="D185" s="692"/>
      <c r="E185" s="661"/>
    </row>
    <row r="186">
      <c r="A186" s="657">
        <v>187.0</v>
      </c>
      <c r="B186" s="658"/>
      <c r="C186" s="659"/>
      <c r="D186" s="675"/>
      <c r="E186" s="661"/>
    </row>
    <row r="187">
      <c r="A187" s="657">
        <v>188.0</v>
      </c>
      <c r="B187" s="658"/>
      <c r="C187" s="659"/>
      <c r="D187" s="692"/>
      <c r="E187" s="661"/>
    </row>
    <row r="188">
      <c r="A188" s="657">
        <v>189.0</v>
      </c>
      <c r="B188" s="658"/>
      <c r="C188" s="659"/>
      <c r="D188" s="675"/>
      <c r="E188" s="661"/>
    </row>
    <row r="189">
      <c r="A189" s="657">
        <v>190.0</v>
      </c>
      <c r="B189" s="658"/>
      <c r="C189" s="659"/>
      <c r="D189" s="692"/>
      <c r="E189" s="661"/>
    </row>
    <row r="190">
      <c r="A190" s="657">
        <v>191.0</v>
      </c>
      <c r="B190" s="658"/>
      <c r="C190" s="659"/>
      <c r="D190" s="675"/>
      <c r="E190" s="661"/>
    </row>
    <row r="191">
      <c r="A191" s="657">
        <v>192.0</v>
      </c>
      <c r="B191" s="658"/>
      <c r="C191" s="659"/>
      <c r="D191" s="692"/>
      <c r="E191" s="661"/>
    </row>
    <row r="192">
      <c r="A192" s="657">
        <v>193.0</v>
      </c>
      <c r="B192" s="658"/>
      <c r="C192" s="659"/>
      <c r="D192" s="675"/>
      <c r="E192" s="661"/>
    </row>
    <row r="193">
      <c r="A193" s="657">
        <v>194.0</v>
      </c>
      <c r="B193" s="658"/>
      <c r="C193" s="659"/>
      <c r="D193" s="692"/>
      <c r="E193" s="661"/>
    </row>
    <row r="194">
      <c r="A194" s="657">
        <v>195.0</v>
      </c>
      <c r="B194" s="658"/>
      <c r="C194" s="659"/>
      <c r="D194" s="675"/>
      <c r="E194" s="661"/>
    </row>
    <row r="195">
      <c r="A195" s="657">
        <v>196.0</v>
      </c>
      <c r="B195" s="658"/>
      <c r="C195" s="659"/>
      <c r="D195" s="692"/>
      <c r="E195" s="661"/>
    </row>
    <row r="196">
      <c r="A196" s="657">
        <v>197.0</v>
      </c>
      <c r="B196" s="658"/>
      <c r="C196" s="659"/>
      <c r="D196" s="675"/>
      <c r="E196" s="661"/>
    </row>
    <row r="197">
      <c r="A197" s="657">
        <v>198.0</v>
      </c>
      <c r="B197" s="658"/>
      <c r="C197" s="659"/>
      <c r="D197" s="692"/>
      <c r="E197" s="661"/>
    </row>
    <row r="198">
      <c r="A198" s="657">
        <v>199.0</v>
      </c>
      <c r="B198" s="658"/>
      <c r="C198" s="659"/>
      <c r="D198" s="675"/>
      <c r="E198" s="661"/>
    </row>
    <row r="199">
      <c r="A199" s="657">
        <v>200.0</v>
      </c>
      <c r="B199" s="658"/>
      <c r="C199" s="659"/>
      <c r="D199" s="692"/>
      <c r="E199" s="661"/>
    </row>
    <row r="200">
      <c r="A200" s="657">
        <v>201.0</v>
      </c>
      <c r="B200" s="658"/>
      <c r="C200" s="659"/>
      <c r="D200" s="675"/>
      <c r="E200" s="661"/>
    </row>
    <row r="201">
      <c r="A201" s="657">
        <v>202.0</v>
      </c>
      <c r="B201" s="658"/>
      <c r="C201" s="659"/>
      <c r="D201" s="692"/>
      <c r="E201" s="661"/>
    </row>
    <row r="202">
      <c r="A202" s="657">
        <v>203.0</v>
      </c>
      <c r="B202" s="658"/>
      <c r="C202" s="659"/>
      <c r="D202" s="675"/>
      <c r="E202" s="661"/>
    </row>
    <row r="203">
      <c r="A203" s="657">
        <v>204.0</v>
      </c>
      <c r="B203" s="658"/>
      <c r="C203" s="659"/>
      <c r="D203" s="692"/>
      <c r="E203" s="661"/>
    </row>
    <row r="204">
      <c r="A204" s="657">
        <v>205.0</v>
      </c>
      <c r="B204" s="658"/>
      <c r="C204" s="659"/>
      <c r="D204" s="675"/>
      <c r="E204" s="661"/>
    </row>
    <row r="205">
      <c r="A205" s="657">
        <v>206.0</v>
      </c>
      <c r="B205" s="658"/>
      <c r="C205" s="659"/>
      <c r="D205" s="692"/>
      <c r="E205" s="661"/>
    </row>
    <row r="206">
      <c r="A206" s="657">
        <v>207.0</v>
      </c>
      <c r="B206" s="658"/>
      <c r="C206" s="659"/>
      <c r="D206" s="675"/>
      <c r="E206" s="661"/>
    </row>
    <row r="207">
      <c r="A207" s="657">
        <v>208.0</v>
      </c>
      <c r="B207" s="658"/>
      <c r="C207" s="659"/>
      <c r="D207" s="692"/>
      <c r="E207" s="661"/>
    </row>
    <row r="208">
      <c r="A208" s="657">
        <v>209.0</v>
      </c>
      <c r="B208" s="658"/>
      <c r="C208" s="659"/>
      <c r="D208" s="675"/>
      <c r="E208" s="661"/>
    </row>
    <row r="209">
      <c r="A209" s="657">
        <v>210.0</v>
      </c>
      <c r="B209" s="658"/>
      <c r="C209" s="659"/>
      <c r="D209" s="692"/>
      <c r="E209" s="661"/>
    </row>
    <row r="210">
      <c r="A210" s="657">
        <v>211.0</v>
      </c>
      <c r="B210" s="658"/>
      <c r="C210" s="659"/>
      <c r="D210" s="675"/>
      <c r="E210" s="661"/>
    </row>
    <row r="211">
      <c r="A211" s="657">
        <v>212.0</v>
      </c>
      <c r="B211" s="658"/>
      <c r="C211" s="659"/>
      <c r="D211" s="692"/>
      <c r="E211" s="661"/>
    </row>
    <row r="212">
      <c r="A212" s="657">
        <v>213.0</v>
      </c>
      <c r="B212" s="658"/>
      <c r="C212" s="659"/>
      <c r="D212" s="675"/>
      <c r="E212" s="661"/>
    </row>
    <row r="213">
      <c r="A213" s="657">
        <v>214.0</v>
      </c>
      <c r="B213" s="658"/>
      <c r="C213" s="659"/>
      <c r="D213" s="692"/>
      <c r="E213" s="661"/>
    </row>
    <row r="214">
      <c r="A214" s="657">
        <v>215.0</v>
      </c>
      <c r="B214" s="658"/>
      <c r="C214" s="659"/>
      <c r="D214" s="675"/>
      <c r="E214" s="661"/>
    </row>
    <row r="215">
      <c r="A215" s="657">
        <v>216.0</v>
      </c>
      <c r="B215" s="658"/>
      <c r="C215" s="659"/>
      <c r="D215" s="692"/>
      <c r="E215" s="661"/>
    </row>
    <row r="216">
      <c r="A216" s="657">
        <v>217.0</v>
      </c>
      <c r="B216" s="658"/>
      <c r="C216" s="659"/>
      <c r="D216" s="675"/>
      <c r="E216" s="661"/>
    </row>
    <row r="217">
      <c r="A217" s="657">
        <v>218.0</v>
      </c>
      <c r="B217" s="658"/>
      <c r="C217" s="659"/>
      <c r="D217" s="692"/>
      <c r="E217" s="661"/>
    </row>
    <row r="218">
      <c r="A218" s="657">
        <v>219.0</v>
      </c>
      <c r="B218" s="658"/>
      <c r="C218" s="659"/>
      <c r="D218" s="675"/>
      <c r="E218" s="661"/>
    </row>
    <row r="219">
      <c r="A219" s="657">
        <v>220.0</v>
      </c>
      <c r="B219" s="658"/>
      <c r="C219" s="659"/>
      <c r="D219" s="692"/>
      <c r="E219" s="661"/>
    </row>
    <row r="220">
      <c r="A220" s="657">
        <v>221.0</v>
      </c>
      <c r="B220" s="658"/>
      <c r="C220" s="659"/>
      <c r="D220" s="675"/>
      <c r="E220" s="661"/>
    </row>
    <row r="221">
      <c r="A221" s="657">
        <v>222.0</v>
      </c>
      <c r="B221" s="658"/>
      <c r="C221" s="659"/>
      <c r="D221" s="692"/>
      <c r="E221" s="661"/>
    </row>
    <row r="222">
      <c r="A222" s="657">
        <v>223.0</v>
      </c>
      <c r="B222" s="658"/>
      <c r="C222" s="659"/>
      <c r="D222" s="675"/>
      <c r="E222" s="661"/>
    </row>
    <row r="223">
      <c r="A223" s="657">
        <v>224.0</v>
      </c>
      <c r="B223" s="658"/>
      <c r="C223" s="659"/>
      <c r="D223" s="692"/>
      <c r="E223" s="661"/>
    </row>
    <row r="224">
      <c r="A224" s="657">
        <v>225.0</v>
      </c>
      <c r="B224" s="658"/>
      <c r="C224" s="659"/>
      <c r="D224" s="675"/>
      <c r="E224" s="661"/>
    </row>
    <row r="225">
      <c r="A225" s="657">
        <v>226.0</v>
      </c>
      <c r="B225" s="658"/>
      <c r="C225" s="659"/>
      <c r="D225" s="692"/>
      <c r="E225" s="661"/>
    </row>
    <row r="226">
      <c r="A226" s="657">
        <v>227.0</v>
      </c>
      <c r="B226" s="658"/>
      <c r="C226" s="659"/>
      <c r="D226" s="675"/>
      <c r="E226" s="661"/>
    </row>
    <row r="227">
      <c r="A227" s="657">
        <v>228.0</v>
      </c>
      <c r="B227" s="658"/>
      <c r="C227" s="659"/>
      <c r="D227" s="692"/>
      <c r="E227" s="661"/>
    </row>
    <row r="228">
      <c r="A228" s="657">
        <v>229.0</v>
      </c>
      <c r="B228" s="658"/>
      <c r="C228" s="659"/>
      <c r="D228" s="675"/>
      <c r="E228" s="661"/>
    </row>
    <row r="229">
      <c r="A229" s="657">
        <v>230.0</v>
      </c>
      <c r="B229" s="658"/>
      <c r="C229" s="659"/>
      <c r="D229" s="692"/>
      <c r="E229" s="661"/>
    </row>
    <row r="230">
      <c r="A230" s="657">
        <v>231.0</v>
      </c>
      <c r="B230" s="658"/>
      <c r="C230" s="659"/>
      <c r="D230" s="675"/>
      <c r="E230" s="661"/>
    </row>
    <row r="231">
      <c r="A231" s="657">
        <v>232.0</v>
      </c>
      <c r="B231" s="658"/>
      <c r="C231" s="659"/>
      <c r="D231" s="692"/>
      <c r="E231" s="661"/>
    </row>
    <row r="232">
      <c r="A232" s="657">
        <v>233.0</v>
      </c>
      <c r="B232" s="658"/>
      <c r="C232" s="659"/>
      <c r="D232" s="675"/>
      <c r="E232" s="661"/>
    </row>
    <row r="233">
      <c r="A233" s="657">
        <v>234.0</v>
      </c>
      <c r="B233" s="658"/>
      <c r="C233" s="659"/>
      <c r="D233" s="692"/>
      <c r="E233" s="661"/>
    </row>
    <row r="234">
      <c r="A234" s="657">
        <v>235.0</v>
      </c>
      <c r="B234" s="658"/>
      <c r="C234" s="659"/>
      <c r="D234" s="675"/>
      <c r="E234" s="661"/>
    </row>
    <row r="235">
      <c r="A235" s="657">
        <v>236.0</v>
      </c>
      <c r="B235" s="658"/>
      <c r="C235" s="659"/>
      <c r="D235" s="692"/>
      <c r="E235" s="661"/>
    </row>
    <row r="236">
      <c r="A236" s="657">
        <v>237.0</v>
      </c>
      <c r="B236" s="658"/>
      <c r="C236" s="659"/>
      <c r="D236" s="675"/>
      <c r="E236" s="661"/>
    </row>
    <row r="237">
      <c r="A237" s="657">
        <v>238.0</v>
      </c>
      <c r="B237" s="658"/>
      <c r="C237" s="659"/>
      <c r="D237" s="692"/>
      <c r="E237" s="661"/>
    </row>
    <row r="238">
      <c r="A238" s="657">
        <v>239.0</v>
      </c>
      <c r="B238" s="658"/>
      <c r="C238" s="659"/>
      <c r="D238" s="675"/>
      <c r="E238" s="661"/>
    </row>
    <row r="239">
      <c r="A239" s="657">
        <v>240.0</v>
      </c>
      <c r="B239" s="658"/>
      <c r="C239" s="659"/>
      <c r="D239" s="692"/>
      <c r="E239" s="661"/>
    </row>
    <row r="240">
      <c r="A240" s="657">
        <v>241.0</v>
      </c>
      <c r="B240" s="658"/>
      <c r="C240" s="659"/>
      <c r="D240" s="675"/>
      <c r="E240" s="661"/>
    </row>
    <row r="241">
      <c r="A241" s="657">
        <v>242.0</v>
      </c>
      <c r="B241" s="658"/>
      <c r="C241" s="659"/>
      <c r="D241" s="692"/>
      <c r="E241" s="661"/>
    </row>
    <row r="242">
      <c r="A242" s="657">
        <v>243.0</v>
      </c>
      <c r="B242" s="658"/>
      <c r="C242" s="659"/>
      <c r="D242" s="675"/>
      <c r="E242" s="661"/>
    </row>
    <row r="243">
      <c r="A243" s="657">
        <v>244.0</v>
      </c>
      <c r="B243" s="658"/>
      <c r="C243" s="659"/>
      <c r="D243" s="692"/>
      <c r="E243" s="661"/>
    </row>
    <row r="244">
      <c r="A244" s="657">
        <v>245.0</v>
      </c>
      <c r="B244" s="658"/>
      <c r="C244" s="659"/>
      <c r="D244" s="675"/>
      <c r="E244" s="661"/>
    </row>
    <row r="245">
      <c r="A245" s="657">
        <v>246.0</v>
      </c>
      <c r="B245" s="658"/>
      <c r="C245" s="659"/>
      <c r="D245" s="692"/>
      <c r="E245" s="661"/>
    </row>
    <row r="246">
      <c r="A246" s="657">
        <v>247.0</v>
      </c>
      <c r="B246" s="658"/>
      <c r="C246" s="659"/>
      <c r="D246" s="675"/>
      <c r="E246" s="661"/>
    </row>
    <row r="247">
      <c r="A247" s="657">
        <v>248.0</v>
      </c>
      <c r="B247" s="658"/>
      <c r="C247" s="659"/>
      <c r="D247" s="692"/>
      <c r="E247" s="661"/>
    </row>
    <row r="248">
      <c r="A248" s="657">
        <v>249.0</v>
      </c>
      <c r="B248" s="658"/>
      <c r="C248" s="659"/>
      <c r="D248" s="675"/>
      <c r="E248" s="661"/>
    </row>
    <row r="249">
      <c r="A249" s="657">
        <v>250.0</v>
      </c>
      <c r="B249" s="658"/>
      <c r="C249" s="659"/>
      <c r="D249" s="692"/>
      <c r="E249" s="661"/>
    </row>
    <row r="250">
      <c r="A250" s="657">
        <v>251.0</v>
      </c>
      <c r="B250" s="658"/>
      <c r="C250" s="659"/>
      <c r="D250" s="675"/>
      <c r="E250" s="661"/>
    </row>
    <row r="251">
      <c r="A251" s="657">
        <v>252.0</v>
      </c>
      <c r="B251" s="658"/>
      <c r="C251" s="659"/>
      <c r="D251" s="692"/>
      <c r="E251" s="661"/>
    </row>
    <row r="252">
      <c r="A252" s="657">
        <v>253.0</v>
      </c>
      <c r="B252" s="658"/>
      <c r="C252" s="659"/>
      <c r="D252" s="675"/>
      <c r="E252" s="661"/>
    </row>
    <row r="253">
      <c r="A253" s="657">
        <v>254.0</v>
      </c>
      <c r="B253" s="658"/>
      <c r="C253" s="659"/>
      <c r="D253" s="692"/>
      <c r="E253" s="661"/>
    </row>
    <row r="254">
      <c r="A254" s="657">
        <v>255.0</v>
      </c>
      <c r="B254" s="658"/>
      <c r="C254" s="659"/>
      <c r="D254" s="675"/>
      <c r="E254" s="661"/>
    </row>
    <row r="255">
      <c r="A255" s="657">
        <v>256.0</v>
      </c>
      <c r="B255" s="658"/>
      <c r="C255" s="659"/>
      <c r="D255" s="692"/>
      <c r="E255" s="661"/>
    </row>
    <row r="256">
      <c r="A256" s="657">
        <v>257.0</v>
      </c>
      <c r="B256" s="658"/>
      <c r="C256" s="659"/>
      <c r="D256" s="675"/>
      <c r="E256" s="661"/>
    </row>
    <row r="257">
      <c r="A257" s="657">
        <v>258.0</v>
      </c>
      <c r="B257" s="658"/>
      <c r="C257" s="659"/>
      <c r="D257" s="692"/>
      <c r="E257" s="661"/>
    </row>
    <row r="258">
      <c r="A258" s="657">
        <v>259.0</v>
      </c>
      <c r="B258" s="658"/>
      <c r="C258" s="659"/>
      <c r="D258" s="675"/>
      <c r="E258" s="661"/>
    </row>
    <row r="259">
      <c r="A259" s="657">
        <v>260.0</v>
      </c>
      <c r="B259" s="658"/>
      <c r="C259" s="659"/>
      <c r="D259" s="692"/>
      <c r="E259" s="661"/>
    </row>
    <row r="260">
      <c r="A260" s="657">
        <v>261.0</v>
      </c>
      <c r="B260" s="658"/>
      <c r="C260" s="659"/>
      <c r="D260" s="675"/>
      <c r="E260" s="661"/>
    </row>
    <row r="261">
      <c r="A261" s="657">
        <v>262.0</v>
      </c>
      <c r="B261" s="658"/>
      <c r="C261" s="659"/>
      <c r="D261" s="692"/>
      <c r="E261" s="661"/>
    </row>
    <row r="262">
      <c r="A262" s="657">
        <v>263.0</v>
      </c>
      <c r="B262" s="658"/>
      <c r="C262" s="659"/>
      <c r="D262" s="675"/>
      <c r="E262" s="661"/>
    </row>
    <row r="263">
      <c r="A263" s="657">
        <v>264.0</v>
      </c>
      <c r="B263" s="658"/>
      <c r="C263" s="659"/>
      <c r="D263" s="692"/>
      <c r="E263" s="661"/>
    </row>
    <row r="264">
      <c r="A264" s="657">
        <v>265.0</v>
      </c>
      <c r="B264" s="658"/>
      <c r="C264" s="659"/>
      <c r="D264" s="675"/>
      <c r="E264" s="661"/>
    </row>
    <row r="265">
      <c r="A265" s="657">
        <v>266.0</v>
      </c>
      <c r="B265" s="658"/>
      <c r="C265" s="659"/>
      <c r="D265" s="692"/>
      <c r="E265" s="661"/>
    </row>
    <row r="266">
      <c r="A266" s="657">
        <v>267.0</v>
      </c>
      <c r="B266" s="658"/>
      <c r="C266" s="659"/>
      <c r="D266" s="675"/>
      <c r="E266" s="661"/>
    </row>
    <row r="267">
      <c r="A267" s="657">
        <v>268.0</v>
      </c>
      <c r="B267" s="658"/>
      <c r="C267" s="659"/>
      <c r="D267" s="692"/>
      <c r="E267" s="661"/>
    </row>
    <row r="268">
      <c r="A268" s="657">
        <v>269.0</v>
      </c>
      <c r="B268" s="658"/>
      <c r="C268" s="659"/>
      <c r="D268" s="675"/>
      <c r="E268" s="661"/>
    </row>
    <row r="269">
      <c r="A269" s="657">
        <v>270.0</v>
      </c>
      <c r="B269" s="658"/>
      <c r="C269" s="659"/>
      <c r="D269" s="692"/>
      <c r="E269" s="661"/>
    </row>
    <row r="270">
      <c r="A270" s="657">
        <v>271.0</v>
      </c>
      <c r="B270" s="658"/>
      <c r="C270" s="659"/>
      <c r="D270" s="675"/>
      <c r="E270" s="661"/>
    </row>
    <row r="271">
      <c r="A271" s="657">
        <v>272.0</v>
      </c>
      <c r="B271" s="658"/>
      <c r="C271" s="659"/>
      <c r="D271" s="692"/>
      <c r="E271" s="661"/>
    </row>
    <row r="272">
      <c r="A272" s="657">
        <v>273.0</v>
      </c>
      <c r="B272" s="658"/>
      <c r="C272" s="659"/>
      <c r="D272" s="675"/>
      <c r="E272" s="661"/>
    </row>
    <row r="273">
      <c r="A273" s="657">
        <v>274.0</v>
      </c>
      <c r="B273" s="658"/>
      <c r="C273" s="659"/>
      <c r="D273" s="692"/>
      <c r="E273" s="661"/>
    </row>
    <row r="274">
      <c r="A274" s="657">
        <v>275.0</v>
      </c>
      <c r="B274" s="658"/>
      <c r="C274" s="659"/>
      <c r="D274" s="675"/>
      <c r="E274" s="661"/>
    </row>
    <row r="275">
      <c r="A275" s="657">
        <v>276.0</v>
      </c>
      <c r="B275" s="658"/>
      <c r="C275" s="659"/>
      <c r="D275" s="692"/>
      <c r="E275" s="661"/>
    </row>
    <row r="276">
      <c r="A276" s="657">
        <v>277.0</v>
      </c>
      <c r="B276" s="658"/>
      <c r="C276" s="659"/>
      <c r="D276" s="675"/>
      <c r="E276" s="661"/>
    </row>
    <row r="277">
      <c r="A277" s="657">
        <v>278.0</v>
      </c>
      <c r="B277" s="658"/>
      <c r="C277" s="659"/>
      <c r="D277" s="692"/>
      <c r="E277" s="661"/>
    </row>
    <row r="278">
      <c r="A278" s="657">
        <v>279.0</v>
      </c>
      <c r="B278" s="658"/>
      <c r="C278" s="659"/>
      <c r="D278" s="675"/>
      <c r="E278" s="661"/>
    </row>
    <row r="279">
      <c r="A279" s="657">
        <v>280.0</v>
      </c>
      <c r="B279" s="658"/>
      <c r="C279" s="659"/>
      <c r="D279" s="692"/>
      <c r="E279" s="661"/>
    </row>
    <row r="280">
      <c r="A280" s="657">
        <v>281.0</v>
      </c>
      <c r="B280" s="658"/>
      <c r="C280" s="659"/>
      <c r="D280" s="675"/>
      <c r="E280" s="661"/>
    </row>
    <row r="281">
      <c r="A281" s="657">
        <v>282.0</v>
      </c>
      <c r="B281" s="658"/>
      <c r="C281" s="659"/>
      <c r="D281" s="692"/>
      <c r="E281" s="661"/>
    </row>
    <row r="282">
      <c r="A282" s="657">
        <v>283.0</v>
      </c>
      <c r="B282" s="658"/>
      <c r="C282" s="659"/>
      <c r="D282" s="675"/>
      <c r="E282" s="661"/>
    </row>
    <row r="283">
      <c r="A283" s="657">
        <v>284.0</v>
      </c>
      <c r="B283" s="658"/>
      <c r="C283" s="659"/>
      <c r="D283" s="692"/>
      <c r="E283" s="661"/>
    </row>
    <row r="284">
      <c r="A284" s="657">
        <v>285.0</v>
      </c>
      <c r="B284" s="658"/>
      <c r="C284" s="659"/>
      <c r="D284" s="675"/>
      <c r="E284" s="661"/>
    </row>
    <row r="285">
      <c r="A285" s="657">
        <v>286.0</v>
      </c>
      <c r="B285" s="658"/>
      <c r="C285" s="659"/>
      <c r="D285" s="692"/>
      <c r="E285" s="661"/>
    </row>
    <row r="286">
      <c r="A286" s="657">
        <v>287.0</v>
      </c>
      <c r="B286" s="658"/>
      <c r="C286" s="659"/>
      <c r="D286" s="675"/>
      <c r="E286" s="661"/>
    </row>
    <row r="287">
      <c r="A287" s="657">
        <v>288.0</v>
      </c>
      <c r="B287" s="658"/>
      <c r="C287" s="659"/>
      <c r="D287" s="692"/>
      <c r="E287" s="661"/>
    </row>
    <row r="288">
      <c r="A288" s="657">
        <v>289.0</v>
      </c>
      <c r="B288" s="658"/>
      <c r="C288" s="659"/>
      <c r="D288" s="675"/>
      <c r="E288" s="661"/>
    </row>
    <row r="289">
      <c r="A289" s="657">
        <v>290.0</v>
      </c>
      <c r="B289" s="658"/>
      <c r="C289" s="659"/>
      <c r="D289" s="692"/>
      <c r="E289" s="661"/>
    </row>
    <row r="290">
      <c r="A290" s="657">
        <v>291.0</v>
      </c>
      <c r="B290" s="658"/>
      <c r="C290" s="659"/>
      <c r="D290" s="675"/>
      <c r="E290" s="661"/>
    </row>
    <row r="291">
      <c r="A291" s="657">
        <v>292.0</v>
      </c>
      <c r="B291" s="658"/>
      <c r="C291" s="659"/>
      <c r="D291" s="692"/>
      <c r="E291" s="661"/>
    </row>
    <row r="292">
      <c r="A292" s="657">
        <v>293.0</v>
      </c>
      <c r="B292" s="658"/>
      <c r="C292" s="659"/>
      <c r="D292" s="675"/>
      <c r="E292" s="661"/>
    </row>
    <row r="293">
      <c r="A293" s="657">
        <v>294.0</v>
      </c>
      <c r="B293" s="658"/>
      <c r="C293" s="659"/>
      <c r="D293" s="692"/>
      <c r="E293" s="661"/>
    </row>
    <row r="294">
      <c r="A294" s="657">
        <v>295.0</v>
      </c>
      <c r="B294" s="658"/>
      <c r="C294" s="659"/>
      <c r="D294" s="675"/>
      <c r="E294" s="661"/>
    </row>
    <row r="295">
      <c r="A295" s="657">
        <v>296.0</v>
      </c>
      <c r="B295" s="658"/>
      <c r="C295" s="659"/>
      <c r="D295" s="692"/>
      <c r="E295" s="661"/>
    </row>
    <row r="296">
      <c r="A296" s="657">
        <v>297.0</v>
      </c>
      <c r="B296" s="658"/>
      <c r="C296" s="659"/>
      <c r="D296" s="675"/>
      <c r="E296" s="661"/>
    </row>
    <row r="297">
      <c r="A297" s="657">
        <v>298.0</v>
      </c>
      <c r="B297" s="658"/>
      <c r="C297" s="659"/>
      <c r="D297" s="692"/>
      <c r="E297" s="661"/>
    </row>
    <row r="298">
      <c r="A298" s="657">
        <v>299.0</v>
      </c>
      <c r="B298" s="658"/>
      <c r="C298" s="659"/>
      <c r="D298" s="675"/>
      <c r="E298" s="661"/>
    </row>
    <row r="299">
      <c r="A299" s="657">
        <v>300.0</v>
      </c>
      <c r="B299" s="658"/>
      <c r="C299" s="659"/>
      <c r="D299" s="692"/>
      <c r="E299" s="661"/>
    </row>
    <row r="300">
      <c r="A300" s="657">
        <v>301.0</v>
      </c>
      <c r="B300" s="658"/>
      <c r="C300" s="659"/>
      <c r="D300" s="675"/>
      <c r="E300" s="661"/>
    </row>
    <row r="301">
      <c r="A301" s="657">
        <v>302.0</v>
      </c>
      <c r="B301" s="658"/>
      <c r="C301" s="659"/>
      <c r="D301" s="692"/>
      <c r="E301" s="661"/>
    </row>
    <row r="302">
      <c r="A302" s="657">
        <v>303.0</v>
      </c>
      <c r="B302" s="658"/>
      <c r="C302" s="659"/>
      <c r="D302" s="675"/>
      <c r="E302" s="661"/>
    </row>
    <row r="303">
      <c r="A303" s="657">
        <v>304.0</v>
      </c>
      <c r="B303" s="658"/>
      <c r="C303" s="659"/>
      <c r="D303" s="692"/>
      <c r="E303" s="661"/>
    </row>
    <row r="304">
      <c r="A304" s="657">
        <v>305.0</v>
      </c>
      <c r="B304" s="658"/>
      <c r="C304" s="659"/>
      <c r="D304" s="675"/>
      <c r="E304" s="661"/>
    </row>
    <row r="305">
      <c r="A305" s="657">
        <v>306.0</v>
      </c>
      <c r="B305" s="658"/>
      <c r="C305" s="659"/>
      <c r="D305" s="692"/>
      <c r="E305" s="661"/>
    </row>
    <row r="306">
      <c r="A306" s="657">
        <v>307.0</v>
      </c>
      <c r="B306" s="658"/>
      <c r="C306" s="659"/>
      <c r="D306" s="675"/>
      <c r="E306" s="661"/>
    </row>
    <row r="307">
      <c r="A307" s="657">
        <v>308.0</v>
      </c>
      <c r="B307" s="658"/>
      <c r="C307" s="659"/>
      <c r="D307" s="692"/>
      <c r="E307" s="661"/>
    </row>
    <row r="308">
      <c r="A308" s="657">
        <v>309.0</v>
      </c>
      <c r="B308" s="658"/>
      <c r="C308" s="659"/>
      <c r="D308" s="675"/>
      <c r="E308" s="661"/>
    </row>
    <row r="309">
      <c r="A309" s="657">
        <v>310.0</v>
      </c>
      <c r="B309" s="658"/>
      <c r="C309" s="659"/>
      <c r="D309" s="692"/>
      <c r="E309" s="661"/>
    </row>
    <row r="310">
      <c r="A310" s="657">
        <v>311.0</v>
      </c>
      <c r="B310" s="658"/>
      <c r="C310" s="659"/>
      <c r="D310" s="675"/>
      <c r="E310" s="661"/>
    </row>
    <row r="311">
      <c r="A311" s="657">
        <v>312.0</v>
      </c>
      <c r="B311" s="658"/>
      <c r="C311" s="659"/>
      <c r="D311" s="692"/>
      <c r="E311" s="661"/>
    </row>
    <row r="312">
      <c r="A312" s="657">
        <v>313.0</v>
      </c>
      <c r="B312" s="658"/>
      <c r="C312" s="659"/>
      <c r="D312" s="675"/>
      <c r="E312" s="661"/>
    </row>
    <row r="313">
      <c r="A313" s="657">
        <v>314.0</v>
      </c>
      <c r="B313" s="658"/>
      <c r="C313" s="659"/>
      <c r="D313" s="692"/>
      <c r="E313" s="661"/>
    </row>
    <row r="314">
      <c r="A314" s="657">
        <v>315.0</v>
      </c>
      <c r="B314" s="658"/>
      <c r="C314" s="659"/>
      <c r="D314" s="675"/>
      <c r="E314" s="661"/>
    </row>
    <row r="315">
      <c r="A315" s="657">
        <v>316.0</v>
      </c>
      <c r="B315" s="658"/>
      <c r="C315" s="659"/>
      <c r="D315" s="692"/>
      <c r="E315" s="661"/>
    </row>
    <row r="316">
      <c r="A316" s="657">
        <v>317.0</v>
      </c>
      <c r="B316" s="658"/>
      <c r="C316" s="659"/>
      <c r="D316" s="675"/>
      <c r="E316" s="661"/>
    </row>
    <row r="317">
      <c r="A317" s="657">
        <v>318.0</v>
      </c>
      <c r="B317" s="658"/>
      <c r="C317" s="659"/>
      <c r="D317" s="692"/>
      <c r="E317" s="661"/>
    </row>
    <row r="318">
      <c r="A318" s="657">
        <v>319.0</v>
      </c>
      <c r="B318" s="658"/>
      <c r="C318" s="659"/>
      <c r="D318" s="675"/>
      <c r="E318" s="661"/>
    </row>
    <row r="319">
      <c r="A319" s="657">
        <v>320.0</v>
      </c>
      <c r="B319" s="658"/>
      <c r="C319" s="659"/>
      <c r="D319" s="692"/>
      <c r="E319" s="661"/>
    </row>
    <row r="320">
      <c r="A320" s="657">
        <v>321.0</v>
      </c>
      <c r="B320" s="658"/>
      <c r="C320" s="659"/>
      <c r="D320" s="675"/>
      <c r="E320" s="661"/>
    </row>
    <row r="321">
      <c r="A321" s="657">
        <v>322.0</v>
      </c>
      <c r="B321" s="658"/>
      <c r="C321" s="659"/>
      <c r="D321" s="692"/>
      <c r="E321" s="661"/>
    </row>
    <row r="322">
      <c r="A322" s="657">
        <v>323.0</v>
      </c>
      <c r="B322" s="658"/>
      <c r="C322" s="659"/>
      <c r="D322" s="675"/>
      <c r="E322" s="661"/>
    </row>
    <row r="323">
      <c r="A323" s="657">
        <v>324.0</v>
      </c>
      <c r="B323" s="658"/>
      <c r="C323" s="659"/>
      <c r="D323" s="692"/>
      <c r="E323" s="661"/>
    </row>
    <row r="324">
      <c r="A324" s="657">
        <v>325.0</v>
      </c>
      <c r="B324" s="658"/>
      <c r="C324" s="659"/>
      <c r="D324" s="675"/>
      <c r="E324" s="661"/>
    </row>
    <row r="325">
      <c r="A325" s="657">
        <v>326.0</v>
      </c>
      <c r="B325" s="658"/>
      <c r="C325" s="659"/>
      <c r="D325" s="692"/>
      <c r="E325" s="661"/>
    </row>
    <row r="326">
      <c r="A326" s="657">
        <v>327.0</v>
      </c>
      <c r="B326" s="658"/>
      <c r="C326" s="659"/>
      <c r="D326" s="675"/>
      <c r="E326" s="661"/>
    </row>
    <row r="327">
      <c r="A327" s="657">
        <v>328.0</v>
      </c>
      <c r="B327" s="658"/>
      <c r="C327" s="659"/>
      <c r="D327" s="692"/>
      <c r="E327" s="661"/>
    </row>
    <row r="328">
      <c r="A328" s="657">
        <v>329.0</v>
      </c>
      <c r="B328" s="658"/>
      <c r="C328" s="659"/>
      <c r="D328" s="675"/>
      <c r="E328" s="661"/>
    </row>
    <row r="329">
      <c r="A329" s="657">
        <v>330.0</v>
      </c>
      <c r="B329" s="658"/>
      <c r="C329" s="659"/>
      <c r="D329" s="692"/>
      <c r="E329" s="661"/>
    </row>
    <row r="330">
      <c r="A330" s="657">
        <v>331.0</v>
      </c>
      <c r="B330" s="658"/>
      <c r="C330" s="659"/>
      <c r="D330" s="675"/>
      <c r="E330" s="661"/>
    </row>
    <row r="331">
      <c r="A331" s="657">
        <v>332.0</v>
      </c>
      <c r="B331" s="658"/>
      <c r="C331" s="659"/>
      <c r="D331" s="692"/>
      <c r="E331" s="661"/>
    </row>
    <row r="332">
      <c r="A332" s="657">
        <v>333.0</v>
      </c>
      <c r="B332" s="658"/>
      <c r="C332" s="659"/>
      <c r="D332" s="675"/>
      <c r="E332" s="661"/>
    </row>
    <row r="333">
      <c r="A333" s="657">
        <v>334.0</v>
      </c>
      <c r="B333" s="658"/>
      <c r="C333" s="659"/>
      <c r="D333" s="692"/>
      <c r="E333" s="661"/>
    </row>
    <row r="334">
      <c r="A334" s="657">
        <v>335.0</v>
      </c>
      <c r="B334" s="658"/>
      <c r="C334" s="659"/>
      <c r="D334" s="675"/>
      <c r="E334" s="661"/>
    </row>
    <row r="335">
      <c r="A335" s="657">
        <v>336.0</v>
      </c>
      <c r="B335" s="658"/>
      <c r="C335" s="659"/>
      <c r="D335" s="692"/>
      <c r="E335" s="661"/>
    </row>
    <row r="336">
      <c r="A336" s="657">
        <v>337.0</v>
      </c>
      <c r="B336" s="658"/>
      <c r="C336" s="659"/>
      <c r="D336" s="675"/>
      <c r="E336" s="661"/>
    </row>
    <row r="337">
      <c r="A337" s="657">
        <v>338.0</v>
      </c>
      <c r="B337" s="658"/>
      <c r="C337" s="659"/>
      <c r="D337" s="692"/>
      <c r="E337" s="661"/>
    </row>
    <row r="338">
      <c r="A338" s="657">
        <v>339.0</v>
      </c>
      <c r="B338" s="658"/>
      <c r="C338" s="659"/>
      <c r="D338" s="675"/>
      <c r="E338" s="661"/>
    </row>
    <row r="339">
      <c r="A339" s="657">
        <v>340.0</v>
      </c>
      <c r="B339" s="658"/>
      <c r="C339" s="659"/>
      <c r="D339" s="692"/>
      <c r="E339" s="661"/>
    </row>
    <row r="340">
      <c r="A340" s="657">
        <v>341.0</v>
      </c>
      <c r="B340" s="658"/>
      <c r="C340" s="659"/>
      <c r="D340" s="675"/>
      <c r="E340" s="661"/>
    </row>
    <row r="341">
      <c r="A341" s="657">
        <v>342.0</v>
      </c>
      <c r="B341" s="658"/>
      <c r="C341" s="659"/>
      <c r="D341" s="692"/>
      <c r="E341" s="661"/>
    </row>
    <row r="342">
      <c r="A342" s="657">
        <v>343.0</v>
      </c>
      <c r="B342" s="658"/>
      <c r="C342" s="659"/>
      <c r="D342" s="675"/>
      <c r="E342" s="661"/>
    </row>
    <row r="343">
      <c r="A343" s="657">
        <v>344.0</v>
      </c>
      <c r="B343" s="658"/>
      <c r="C343" s="659"/>
      <c r="D343" s="692"/>
      <c r="E343" s="661"/>
    </row>
    <row r="344">
      <c r="A344" s="657">
        <v>345.0</v>
      </c>
      <c r="B344" s="658"/>
      <c r="C344" s="659"/>
      <c r="D344" s="675"/>
      <c r="E344" s="661"/>
    </row>
    <row r="345">
      <c r="A345" s="657">
        <v>346.0</v>
      </c>
      <c r="B345" s="658"/>
      <c r="C345" s="659"/>
      <c r="D345" s="692"/>
      <c r="E345" s="661"/>
    </row>
    <row r="346">
      <c r="A346" s="657">
        <v>347.0</v>
      </c>
      <c r="B346" s="658"/>
      <c r="C346" s="659"/>
      <c r="D346" s="675"/>
      <c r="E346" s="661"/>
    </row>
    <row r="347">
      <c r="A347" s="657">
        <v>348.0</v>
      </c>
      <c r="B347" s="658"/>
      <c r="C347" s="659"/>
      <c r="D347" s="692"/>
      <c r="E347" s="661"/>
    </row>
    <row r="348">
      <c r="A348" s="657">
        <v>349.0</v>
      </c>
      <c r="B348" s="658"/>
      <c r="C348" s="659"/>
      <c r="D348" s="675"/>
      <c r="E348" s="661"/>
    </row>
    <row r="349">
      <c r="A349" s="657">
        <v>350.0</v>
      </c>
      <c r="B349" s="658"/>
      <c r="C349" s="659"/>
      <c r="D349" s="692"/>
      <c r="E349" s="661"/>
    </row>
    <row r="350">
      <c r="A350" s="657">
        <v>351.0</v>
      </c>
      <c r="B350" s="658"/>
      <c r="C350" s="659"/>
      <c r="D350" s="675"/>
      <c r="E350" s="661"/>
    </row>
    <row r="351">
      <c r="A351" s="657">
        <v>352.0</v>
      </c>
      <c r="B351" s="658"/>
      <c r="C351" s="659"/>
      <c r="D351" s="692"/>
      <c r="E351" s="661"/>
    </row>
    <row r="352">
      <c r="A352" s="657">
        <v>353.0</v>
      </c>
      <c r="B352" s="658"/>
      <c r="C352" s="659"/>
      <c r="D352" s="675"/>
      <c r="E352" s="661"/>
    </row>
    <row r="353">
      <c r="A353" s="657">
        <v>354.0</v>
      </c>
      <c r="B353" s="658"/>
      <c r="C353" s="659"/>
      <c r="D353" s="692"/>
      <c r="E353" s="661"/>
    </row>
    <row r="354">
      <c r="A354" s="657">
        <v>355.0</v>
      </c>
      <c r="B354" s="658"/>
      <c r="C354" s="659"/>
      <c r="D354" s="675"/>
      <c r="E354" s="661"/>
    </row>
    <row r="355">
      <c r="A355" s="657">
        <v>356.0</v>
      </c>
      <c r="B355" s="658"/>
      <c r="C355" s="659"/>
      <c r="D355" s="692"/>
      <c r="E355" s="661"/>
    </row>
    <row r="356">
      <c r="A356" s="657">
        <v>357.0</v>
      </c>
      <c r="B356" s="658"/>
      <c r="C356" s="659"/>
      <c r="D356" s="675"/>
      <c r="E356" s="661"/>
    </row>
    <row r="357">
      <c r="A357" s="657">
        <v>358.0</v>
      </c>
      <c r="B357" s="658"/>
      <c r="C357" s="659"/>
      <c r="D357" s="692"/>
      <c r="E357" s="661"/>
    </row>
    <row r="358">
      <c r="A358" s="657">
        <v>359.0</v>
      </c>
      <c r="B358" s="658"/>
      <c r="C358" s="659"/>
      <c r="D358" s="675"/>
      <c r="E358" s="661"/>
    </row>
    <row r="359">
      <c r="A359" s="657">
        <v>360.0</v>
      </c>
      <c r="B359" s="658"/>
      <c r="C359" s="659"/>
      <c r="D359" s="692"/>
      <c r="E359" s="661"/>
    </row>
    <row r="360">
      <c r="A360" s="657">
        <v>361.0</v>
      </c>
      <c r="B360" s="658"/>
      <c r="C360" s="659"/>
      <c r="D360" s="675"/>
      <c r="E360" s="661"/>
    </row>
    <row r="361">
      <c r="A361" s="689"/>
      <c r="B361" s="701"/>
      <c r="C361" s="689"/>
      <c r="D361" s="689"/>
      <c r="E361" s="689"/>
    </row>
    <row r="362">
      <c r="A362" s="689"/>
      <c r="B362" s="701"/>
      <c r="C362" s="689"/>
      <c r="D362" s="689"/>
      <c r="E362" s="689"/>
    </row>
    <row r="363">
      <c r="A363" s="689"/>
      <c r="B363" s="701"/>
      <c r="C363" s="689"/>
      <c r="D363" s="689"/>
      <c r="E363" s="689"/>
    </row>
    <row r="364">
      <c r="A364" s="689"/>
      <c r="B364" s="701"/>
      <c r="C364" s="689"/>
      <c r="D364" s="689"/>
      <c r="E364" s="689"/>
    </row>
    <row r="365">
      <c r="A365" s="689"/>
      <c r="B365" s="701"/>
      <c r="C365" s="689"/>
      <c r="D365" s="689"/>
      <c r="E365" s="689"/>
    </row>
    <row r="366">
      <c r="A366" s="689"/>
      <c r="B366" s="701"/>
      <c r="C366" s="689"/>
      <c r="D366" s="689"/>
      <c r="E366" s="689"/>
    </row>
    <row r="367">
      <c r="A367" s="689"/>
      <c r="B367" s="701"/>
      <c r="C367" s="689"/>
      <c r="D367" s="689"/>
      <c r="E367" s="689"/>
    </row>
    <row r="368">
      <c r="A368" s="689"/>
      <c r="B368" s="701"/>
      <c r="C368" s="689"/>
      <c r="D368" s="689"/>
      <c r="E368" s="689"/>
    </row>
    <row r="369">
      <c r="A369" s="689"/>
      <c r="B369" s="701"/>
      <c r="C369" s="689"/>
      <c r="D369" s="689"/>
      <c r="E369" s="689"/>
    </row>
    <row r="370">
      <c r="A370" s="689"/>
      <c r="B370" s="701"/>
      <c r="C370" s="689"/>
      <c r="D370" s="689"/>
      <c r="E370" s="689"/>
    </row>
    <row r="371">
      <c r="A371" s="689"/>
      <c r="B371" s="701"/>
      <c r="C371" s="689"/>
      <c r="D371" s="689"/>
      <c r="E371" s="689"/>
    </row>
    <row r="372">
      <c r="A372" s="689"/>
      <c r="B372" s="701"/>
      <c r="C372" s="689"/>
      <c r="D372" s="689"/>
      <c r="E372" s="689"/>
    </row>
    <row r="373">
      <c r="A373" s="689"/>
      <c r="B373" s="701"/>
      <c r="C373" s="689"/>
      <c r="D373" s="689"/>
      <c r="E373" s="689"/>
    </row>
    <row r="374">
      <c r="A374" s="689"/>
      <c r="B374" s="701"/>
      <c r="C374" s="689"/>
      <c r="D374" s="689"/>
      <c r="E374" s="689"/>
    </row>
    <row r="375">
      <c r="A375" s="689"/>
      <c r="B375" s="701"/>
      <c r="C375" s="689"/>
      <c r="D375" s="689"/>
      <c r="E375" s="689"/>
    </row>
    <row r="376">
      <c r="A376" s="689"/>
      <c r="B376" s="701"/>
      <c r="C376" s="689"/>
      <c r="D376" s="689"/>
      <c r="E376" s="689"/>
    </row>
    <row r="377">
      <c r="A377" s="689"/>
      <c r="B377" s="701"/>
      <c r="C377" s="689"/>
      <c r="D377" s="689"/>
      <c r="E377" s="689"/>
    </row>
    <row r="378">
      <c r="A378" s="689"/>
      <c r="B378" s="701"/>
      <c r="C378" s="689"/>
      <c r="D378" s="689"/>
      <c r="E378" s="689"/>
    </row>
    <row r="379">
      <c r="A379" s="689"/>
      <c r="B379" s="701"/>
      <c r="C379" s="689"/>
      <c r="D379" s="689"/>
      <c r="E379" s="689"/>
    </row>
    <row r="380">
      <c r="A380" s="689"/>
      <c r="B380" s="701"/>
      <c r="C380" s="689"/>
      <c r="D380" s="689"/>
      <c r="E380" s="689"/>
    </row>
    <row r="381">
      <c r="A381" s="689"/>
      <c r="B381" s="701"/>
      <c r="C381" s="689"/>
      <c r="D381" s="689"/>
      <c r="E381" s="689"/>
    </row>
    <row r="382">
      <c r="A382" s="689"/>
      <c r="B382" s="701"/>
      <c r="C382" s="689"/>
      <c r="D382" s="689"/>
      <c r="E382" s="689"/>
    </row>
    <row r="383">
      <c r="A383" s="689"/>
      <c r="B383" s="701"/>
      <c r="C383" s="689"/>
      <c r="D383" s="689"/>
      <c r="E383" s="689"/>
    </row>
    <row r="384">
      <c r="A384" s="689"/>
      <c r="B384" s="701"/>
      <c r="C384" s="689"/>
      <c r="D384" s="689"/>
      <c r="E384" s="689"/>
    </row>
    <row r="385">
      <c r="A385" s="689"/>
      <c r="B385" s="701"/>
      <c r="C385" s="689"/>
      <c r="D385" s="689"/>
      <c r="E385" s="689"/>
    </row>
    <row r="386">
      <c r="A386" s="689"/>
      <c r="B386" s="701"/>
      <c r="C386" s="689"/>
      <c r="D386" s="689"/>
      <c r="E386" s="689"/>
    </row>
    <row r="387">
      <c r="A387" s="689"/>
      <c r="B387" s="701"/>
      <c r="C387" s="689"/>
      <c r="D387" s="689"/>
      <c r="E387" s="689"/>
    </row>
    <row r="388">
      <c r="A388" s="689"/>
      <c r="B388" s="701"/>
      <c r="C388" s="689"/>
      <c r="D388" s="689"/>
      <c r="E388" s="689"/>
    </row>
    <row r="389">
      <c r="A389" s="689"/>
      <c r="B389" s="701"/>
      <c r="C389" s="689"/>
      <c r="D389" s="689"/>
      <c r="E389" s="689"/>
    </row>
    <row r="390">
      <c r="A390" s="689"/>
      <c r="B390" s="701"/>
      <c r="C390" s="689"/>
      <c r="D390" s="689"/>
      <c r="E390" s="689"/>
    </row>
    <row r="391">
      <c r="A391" s="689"/>
      <c r="B391" s="701"/>
      <c r="C391" s="689"/>
      <c r="D391" s="689"/>
      <c r="E391" s="689"/>
    </row>
    <row r="392">
      <c r="A392" s="689"/>
      <c r="B392" s="701"/>
      <c r="C392" s="689"/>
      <c r="D392" s="689"/>
      <c r="E392" s="689"/>
    </row>
    <row r="393">
      <c r="A393" s="689"/>
      <c r="B393" s="701"/>
      <c r="C393" s="689"/>
      <c r="D393" s="689"/>
      <c r="E393" s="689"/>
    </row>
    <row r="394">
      <c r="A394" s="689"/>
      <c r="B394" s="701"/>
      <c r="C394" s="689"/>
      <c r="D394" s="689"/>
      <c r="E394" s="689"/>
    </row>
    <row r="395">
      <c r="A395" s="689"/>
      <c r="B395" s="701"/>
      <c r="C395" s="689"/>
      <c r="D395" s="689"/>
      <c r="E395" s="689"/>
    </row>
    <row r="396">
      <c r="A396" s="689"/>
      <c r="B396" s="701"/>
      <c r="C396" s="689"/>
      <c r="D396" s="689"/>
      <c r="E396" s="689"/>
    </row>
    <row r="397">
      <c r="A397" s="689"/>
      <c r="B397" s="701"/>
      <c r="C397" s="689"/>
      <c r="D397" s="689"/>
      <c r="E397" s="689"/>
    </row>
    <row r="398">
      <c r="A398" s="689"/>
      <c r="B398" s="701"/>
      <c r="C398" s="689"/>
      <c r="D398" s="689"/>
      <c r="E398" s="689"/>
    </row>
    <row r="399">
      <c r="A399" s="689"/>
      <c r="B399" s="701"/>
      <c r="C399" s="689"/>
      <c r="D399" s="689"/>
      <c r="E399" s="689"/>
    </row>
    <row r="400">
      <c r="A400" s="689"/>
      <c r="B400" s="701"/>
      <c r="C400" s="689"/>
      <c r="D400" s="689"/>
      <c r="E400" s="689"/>
    </row>
    <row r="401">
      <c r="A401" s="689"/>
      <c r="B401" s="701"/>
      <c r="C401" s="689"/>
      <c r="D401" s="689"/>
      <c r="E401" s="689"/>
    </row>
    <row r="402">
      <c r="A402" s="689"/>
      <c r="B402" s="701"/>
      <c r="C402" s="689"/>
      <c r="D402" s="689"/>
      <c r="E402" s="689"/>
    </row>
    <row r="403">
      <c r="A403" s="689"/>
      <c r="B403" s="701"/>
      <c r="C403" s="689"/>
      <c r="D403" s="689"/>
      <c r="E403" s="689"/>
    </row>
    <row r="404">
      <c r="A404" s="689"/>
      <c r="B404" s="701"/>
      <c r="C404" s="689"/>
      <c r="D404" s="689"/>
      <c r="E404" s="689"/>
    </row>
    <row r="405">
      <c r="A405" s="689"/>
      <c r="B405" s="701"/>
      <c r="C405" s="689"/>
      <c r="D405" s="689"/>
      <c r="E405" s="689"/>
    </row>
    <row r="406">
      <c r="A406" s="689"/>
      <c r="B406" s="701"/>
      <c r="C406" s="689"/>
      <c r="D406" s="689"/>
      <c r="E406" s="689"/>
    </row>
    <row r="407">
      <c r="A407" s="689"/>
      <c r="B407" s="701"/>
      <c r="C407" s="689"/>
      <c r="D407" s="689"/>
      <c r="E407" s="689"/>
    </row>
    <row r="408">
      <c r="A408" s="689"/>
      <c r="B408" s="701"/>
      <c r="C408" s="689"/>
      <c r="D408" s="689"/>
      <c r="E408" s="689"/>
    </row>
    <row r="409">
      <c r="A409" s="689"/>
      <c r="B409" s="701"/>
      <c r="C409" s="689"/>
      <c r="D409" s="689"/>
      <c r="E409" s="689"/>
    </row>
    <row r="410">
      <c r="A410" s="689"/>
      <c r="B410" s="701"/>
      <c r="C410" s="689"/>
      <c r="D410" s="689"/>
      <c r="E410" s="689"/>
    </row>
    <row r="411">
      <c r="A411" s="689"/>
      <c r="B411" s="701"/>
      <c r="C411" s="689"/>
      <c r="D411" s="689"/>
      <c r="E411" s="689"/>
    </row>
    <row r="412">
      <c r="A412" s="689"/>
      <c r="B412" s="701"/>
      <c r="C412" s="689"/>
      <c r="D412" s="689"/>
      <c r="E412" s="689"/>
    </row>
    <row r="413">
      <c r="A413" s="689"/>
      <c r="B413" s="701"/>
      <c r="C413" s="689"/>
      <c r="D413" s="689"/>
      <c r="E413" s="689"/>
    </row>
    <row r="414">
      <c r="A414" s="689"/>
      <c r="B414" s="701"/>
      <c r="C414" s="689"/>
      <c r="D414" s="689"/>
      <c r="E414" s="689"/>
    </row>
    <row r="415">
      <c r="A415" s="689"/>
      <c r="B415" s="701"/>
      <c r="C415" s="689"/>
      <c r="D415" s="689"/>
      <c r="E415" s="689"/>
    </row>
    <row r="416">
      <c r="A416" s="689"/>
      <c r="B416" s="701"/>
      <c r="C416" s="689"/>
      <c r="D416" s="689"/>
      <c r="E416" s="689"/>
    </row>
    <row r="417">
      <c r="A417" s="689"/>
      <c r="B417" s="701"/>
      <c r="C417" s="689"/>
      <c r="D417" s="689"/>
      <c r="E417" s="689"/>
    </row>
    <row r="418">
      <c r="A418" s="689"/>
      <c r="B418" s="701"/>
      <c r="C418" s="689"/>
      <c r="D418" s="689"/>
      <c r="E418" s="689"/>
    </row>
    <row r="419">
      <c r="A419" s="689"/>
      <c r="B419" s="701"/>
      <c r="C419" s="689"/>
      <c r="D419" s="689"/>
      <c r="E419" s="689"/>
    </row>
    <row r="420">
      <c r="A420" s="689"/>
      <c r="B420" s="701"/>
      <c r="C420" s="689"/>
      <c r="D420" s="689"/>
      <c r="E420" s="689"/>
    </row>
    <row r="421">
      <c r="A421" s="689"/>
      <c r="B421" s="701"/>
      <c r="C421" s="689"/>
      <c r="D421" s="689"/>
      <c r="E421" s="689"/>
    </row>
    <row r="422">
      <c r="A422" s="689"/>
      <c r="B422" s="701"/>
      <c r="C422" s="689"/>
      <c r="D422" s="689"/>
      <c r="E422" s="689"/>
    </row>
    <row r="423">
      <c r="A423" s="689"/>
      <c r="B423" s="701"/>
      <c r="C423" s="689"/>
      <c r="D423" s="689"/>
      <c r="E423" s="689"/>
    </row>
    <row r="424">
      <c r="A424" s="689"/>
      <c r="B424" s="701"/>
      <c r="C424" s="689"/>
      <c r="D424" s="689"/>
      <c r="E424" s="689"/>
    </row>
    <row r="425">
      <c r="A425" s="689"/>
      <c r="B425" s="701"/>
      <c r="C425" s="689"/>
      <c r="D425" s="689"/>
      <c r="E425" s="689"/>
    </row>
    <row r="426">
      <c r="A426" s="689"/>
      <c r="B426" s="701"/>
      <c r="C426" s="689"/>
      <c r="D426" s="689"/>
      <c r="E426" s="689"/>
    </row>
    <row r="427">
      <c r="A427" s="689"/>
      <c r="B427" s="701"/>
      <c r="C427" s="689"/>
      <c r="D427" s="689"/>
      <c r="E427" s="689"/>
    </row>
    <row r="428">
      <c r="A428" s="689"/>
      <c r="B428" s="701"/>
      <c r="C428" s="689"/>
      <c r="D428" s="689"/>
      <c r="E428" s="689"/>
    </row>
    <row r="429">
      <c r="A429" s="689"/>
      <c r="B429" s="701"/>
      <c r="C429" s="689"/>
      <c r="D429" s="689"/>
      <c r="E429" s="689"/>
    </row>
    <row r="430">
      <c r="A430" s="689"/>
      <c r="B430" s="701"/>
      <c r="C430" s="689"/>
      <c r="D430" s="689"/>
      <c r="E430" s="689"/>
    </row>
    <row r="431">
      <c r="A431" s="689"/>
      <c r="B431" s="701"/>
      <c r="C431" s="689"/>
      <c r="D431" s="689"/>
      <c r="E431" s="689"/>
    </row>
    <row r="432">
      <c r="A432" s="689"/>
      <c r="B432" s="701"/>
      <c r="C432" s="689"/>
      <c r="D432" s="689"/>
      <c r="E432" s="689"/>
    </row>
    <row r="433">
      <c r="A433" s="689"/>
      <c r="B433" s="701"/>
      <c r="C433" s="689"/>
      <c r="D433" s="689"/>
      <c r="E433" s="689"/>
    </row>
    <row r="434">
      <c r="A434" s="689"/>
      <c r="B434" s="701"/>
      <c r="C434" s="689"/>
      <c r="D434" s="689"/>
      <c r="E434" s="689"/>
    </row>
    <row r="435">
      <c r="A435" s="689"/>
      <c r="B435" s="701"/>
      <c r="C435" s="689"/>
      <c r="D435" s="689"/>
      <c r="E435" s="689"/>
    </row>
    <row r="436">
      <c r="A436" s="689"/>
      <c r="B436" s="701"/>
      <c r="C436" s="689"/>
      <c r="D436" s="689"/>
      <c r="E436" s="689"/>
    </row>
    <row r="437">
      <c r="A437" s="689"/>
      <c r="B437" s="701"/>
      <c r="C437" s="689"/>
      <c r="D437" s="689"/>
      <c r="E437" s="689"/>
    </row>
    <row r="438">
      <c r="A438" s="689"/>
      <c r="B438" s="701"/>
      <c r="C438" s="689"/>
      <c r="D438" s="689"/>
      <c r="E438" s="689"/>
    </row>
    <row r="439">
      <c r="A439" s="689"/>
      <c r="B439" s="701"/>
      <c r="C439" s="689"/>
      <c r="D439" s="689"/>
      <c r="E439" s="689"/>
    </row>
    <row r="440">
      <c r="A440" s="689"/>
      <c r="B440" s="701"/>
      <c r="C440" s="689"/>
      <c r="D440" s="689"/>
      <c r="E440" s="689"/>
    </row>
    <row r="441">
      <c r="A441" s="689"/>
      <c r="B441" s="701"/>
      <c r="C441" s="689"/>
      <c r="D441" s="689"/>
      <c r="E441" s="689"/>
    </row>
    <row r="442">
      <c r="A442" s="689"/>
      <c r="B442" s="701"/>
      <c r="C442" s="689"/>
      <c r="D442" s="689"/>
      <c r="E442" s="689"/>
    </row>
    <row r="443">
      <c r="A443" s="689"/>
      <c r="B443" s="701"/>
      <c r="C443" s="689"/>
      <c r="D443" s="689"/>
      <c r="E443" s="689"/>
    </row>
    <row r="444">
      <c r="A444" s="689"/>
      <c r="B444" s="701"/>
      <c r="C444" s="689"/>
      <c r="D444" s="689"/>
      <c r="E444" s="689"/>
    </row>
    <row r="445">
      <c r="A445" s="689"/>
      <c r="B445" s="701"/>
      <c r="C445" s="689"/>
      <c r="D445" s="689"/>
      <c r="E445" s="689"/>
    </row>
    <row r="446">
      <c r="A446" s="689"/>
      <c r="B446" s="701"/>
      <c r="C446" s="689"/>
      <c r="D446" s="689"/>
      <c r="E446" s="689"/>
    </row>
    <row r="447">
      <c r="A447" s="689"/>
      <c r="B447" s="701"/>
      <c r="C447" s="689"/>
      <c r="D447" s="689"/>
      <c r="E447" s="689"/>
    </row>
    <row r="448">
      <c r="A448" s="689"/>
      <c r="B448" s="701"/>
      <c r="C448" s="689"/>
      <c r="D448" s="689"/>
      <c r="E448" s="689"/>
    </row>
    <row r="449">
      <c r="A449" s="689"/>
      <c r="B449" s="701"/>
      <c r="C449" s="689"/>
      <c r="D449" s="689"/>
      <c r="E449" s="689"/>
    </row>
    <row r="450">
      <c r="A450" s="689"/>
      <c r="B450" s="701"/>
      <c r="C450" s="689"/>
      <c r="D450" s="689"/>
      <c r="E450" s="689"/>
    </row>
    <row r="451">
      <c r="A451" s="689"/>
      <c r="B451" s="701"/>
      <c r="C451" s="689"/>
      <c r="D451" s="689"/>
      <c r="E451" s="689"/>
    </row>
    <row r="452">
      <c r="A452" s="689"/>
      <c r="B452" s="701"/>
      <c r="C452" s="689"/>
      <c r="D452" s="689"/>
      <c r="E452" s="689"/>
    </row>
    <row r="453">
      <c r="A453" s="689"/>
      <c r="B453" s="701"/>
      <c r="C453" s="689"/>
      <c r="D453" s="689"/>
      <c r="E453" s="689"/>
    </row>
    <row r="454">
      <c r="A454" s="689"/>
      <c r="B454" s="701"/>
      <c r="C454" s="689"/>
      <c r="D454" s="689"/>
      <c r="E454" s="689"/>
    </row>
    <row r="455">
      <c r="A455" s="689"/>
      <c r="B455" s="701"/>
      <c r="C455" s="689"/>
      <c r="D455" s="689"/>
      <c r="E455" s="689"/>
    </row>
    <row r="456">
      <c r="A456" s="689"/>
      <c r="B456" s="701"/>
      <c r="C456" s="689"/>
      <c r="D456" s="689"/>
      <c r="E456" s="689"/>
    </row>
    <row r="457">
      <c r="A457" s="689"/>
      <c r="B457" s="701"/>
      <c r="C457" s="689"/>
      <c r="D457" s="689"/>
      <c r="E457" s="689"/>
    </row>
    <row r="458">
      <c r="A458" s="689"/>
      <c r="B458" s="701"/>
      <c r="C458" s="689"/>
      <c r="D458" s="689"/>
      <c r="E458" s="689"/>
    </row>
    <row r="459">
      <c r="A459" s="689"/>
      <c r="B459" s="701"/>
      <c r="C459" s="689"/>
      <c r="D459" s="689"/>
      <c r="E459" s="689"/>
    </row>
    <row r="460">
      <c r="A460" s="689"/>
      <c r="B460" s="701"/>
      <c r="C460" s="689"/>
      <c r="D460" s="689"/>
      <c r="E460" s="689"/>
    </row>
    <row r="461">
      <c r="A461" s="689"/>
      <c r="B461" s="701"/>
      <c r="C461" s="689"/>
      <c r="D461" s="689"/>
      <c r="E461" s="689"/>
    </row>
    <row r="462">
      <c r="A462" s="689"/>
      <c r="B462" s="701"/>
      <c r="C462" s="689"/>
      <c r="D462" s="689"/>
      <c r="E462" s="689"/>
    </row>
    <row r="463">
      <c r="A463" s="689"/>
      <c r="B463" s="701"/>
      <c r="C463" s="689"/>
      <c r="D463" s="689"/>
      <c r="E463" s="689"/>
    </row>
    <row r="464">
      <c r="A464" s="689"/>
      <c r="B464" s="701"/>
      <c r="C464" s="689"/>
      <c r="D464" s="689"/>
      <c r="E464" s="689"/>
    </row>
    <row r="465">
      <c r="A465" s="689"/>
      <c r="B465" s="701"/>
      <c r="C465" s="689"/>
      <c r="D465" s="689"/>
      <c r="E465" s="689"/>
    </row>
    <row r="466">
      <c r="A466" s="689"/>
      <c r="B466" s="701"/>
      <c r="C466" s="689"/>
      <c r="D466" s="689"/>
      <c r="E466" s="689"/>
    </row>
    <row r="467">
      <c r="A467" s="689"/>
      <c r="B467" s="701"/>
      <c r="C467" s="689"/>
      <c r="D467" s="689"/>
      <c r="E467" s="689"/>
    </row>
    <row r="468">
      <c r="A468" s="689"/>
      <c r="B468" s="701"/>
      <c r="C468" s="689"/>
      <c r="D468" s="689"/>
      <c r="E468" s="689"/>
    </row>
    <row r="469">
      <c r="A469" s="689"/>
      <c r="B469" s="701"/>
      <c r="C469" s="689"/>
      <c r="D469" s="689"/>
      <c r="E469" s="689"/>
    </row>
    <row r="470">
      <c r="A470" s="689"/>
      <c r="B470" s="701"/>
      <c r="C470" s="689"/>
      <c r="D470" s="689"/>
      <c r="E470" s="689"/>
    </row>
    <row r="471">
      <c r="A471" s="689"/>
      <c r="B471" s="701"/>
      <c r="C471" s="689"/>
      <c r="D471" s="689"/>
      <c r="E471" s="689"/>
    </row>
    <row r="472">
      <c r="A472" s="689"/>
      <c r="B472" s="701"/>
      <c r="C472" s="689"/>
      <c r="D472" s="689"/>
      <c r="E472" s="689"/>
    </row>
    <row r="473">
      <c r="A473" s="689"/>
      <c r="B473" s="701"/>
      <c r="C473" s="689"/>
      <c r="D473" s="689"/>
      <c r="E473" s="689"/>
    </row>
    <row r="474">
      <c r="A474" s="689"/>
      <c r="B474" s="701"/>
      <c r="C474" s="689"/>
      <c r="D474" s="689"/>
      <c r="E474" s="689"/>
    </row>
    <row r="475">
      <c r="A475" s="689"/>
      <c r="B475" s="701"/>
      <c r="C475" s="689"/>
      <c r="D475" s="689"/>
      <c r="E475" s="689"/>
    </row>
    <row r="476">
      <c r="A476" s="689"/>
      <c r="B476" s="701"/>
      <c r="C476" s="689"/>
      <c r="D476" s="689"/>
      <c r="E476" s="689"/>
    </row>
    <row r="477">
      <c r="A477" s="689"/>
      <c r="B477" s="701"/>
      <c r="C477" s="689"/>
      <c r="D477" s="689"/>
      <c r="E477" s="689"/>
    </row>
    <row r="478">
      <c r="A478" s="689"/>
      <c r="B478" s="701"/>
      <c r="C478" s="689"/>
      <c r="D478" s="689"/>
      <c r="E478" s="689"/>
    </row>
    <row r="479">
      <c r="A479" s="689"/>
      <c r="B479" s="701"/>
      <c r="C479" s="689"/>
      <c r="D479" s="689"/>
      <c r="E479" s="689"/>
    </row>
    <row r="480">
      <c r="A480" s="689"/>
      <c r="B480" s="701"/>
      <c r="C480" s="689"/>
      <c r="D480" s="689"/>
      <c r="E480" s="689"/>
    </row>
    <row r="481">
      <c r="A481" s="689"/>
      <c r="B481" s="701"/>
      <c r="C481" s="689"/>
      <c r="D481" s="689"/>
      <c r="E481" s="689"/>
    </row>
    <row r="482">
      <c r="A482" s="689"/>
      <c r="B482" s="701"/>
      <c r="C482" s="689"/>
      <c r="D482" s="689"/>
      <c r="E482" s="689"/>
    </row>
    <row r="483">
      <c r="A483" s="689"/>
      <c r="B483" s="701"/>
      <c r="C483" s="689"/>
      <c r="D483" s="689"/>
      <c r="E483" s="689"/>
    </row>
    <row r="484">
      <c r="A484" s="689"/>
      <c r="B484" s="701"/>
      <c r="C484" s="689"/>
      <c r="D484" s="689"/>
      <c r="E484" s="689"/>
    </row>
    <row r="485">
      <c r="A485" s="689"/>
      <c r="B485" s="701"/>
      <c r="C485" s="689"/>
      <c r="D485" s="689"/>
      <c r="E485" s="689"/>
    </row>
    <row r="486">
      <c r="A486" s="689"/>
      <c r="B486" s="701"/>
      <c r="C486" s="689"/>
      <c r="D486" s="689"/>
      <c r="E486" s="689"/>
    </row>
    <row r="487">
      <c r="A487" s="689"/>
      <c r="B487" s="701"/>
      <c r="C487" s="689"/>
      <c r="D487" s="689"/>
      <c r="E487" s="689"/>
    </row>
    <row r="488">
      <c r="A488" s="689"/>
      <c r="B488" s="701"/>
      <c r="C488" s="689"/>
      <c r="D488" s="689"/>
      <c r="E488" s="689"/>
    </row>
    <row r="489">
      <c r="A489" s="689"/>
      <c r="B489" s="701"/>
      <c r="C489" s="689"/>
      <c r="D489" s="689"/>
      <c r="E489" s="689"/>
    </row>
    <row r="490">
      <c r="A490" s="689"/>
      <c r="B490" s="701"/>
      <c r="C490" s="689"/>
      <c r="D490" s="689"/>
      <c r="E490" s="689"/>
    </row>
    <row r="491">
      <c r="A491" s="689"/>
      <c r="B491" s="701"/>
      <c r="C491" s="689"/>
      <c r="D491" s="689"/>
      <c r="E491" s="689"/>
    </row>
    <row r="492">
      <c r="A492" s="689"/>
      <c r="B492" s="701"/>
      <c r="C492" s="689"/>
      <c r="D492" s="689"/>
      <c r="E492" s="689"/>
    </row>
    <row r="493">
      <c r="A493" s="689"/>
      <c r="B493" s="701"/>
      <c r="C493" s="689"/>
      <c r="D493" s="689"/>
      <c r="E493" s="689"/>
    </row>
    <row r="494">
      <c r="A494" s="689"/>
      <c r="B494" s="701"/>
      <c r="C494" s="689"/>
      <c r="D494" s="689"/>
      <c r="E494" s="689"/>
    </row>
    <row r="495">
      <c r="A495" s="689"/>
      <c r="B495" s="701"/>
      <c r="C495" s="689"/>
      <c r="D495" s="689"/>
      <c r="E495" s="689"/>
    </row>
    <row r="496">
      <c r="A496" s="689"/>
      <c r="B496" s="701"/>
      <c r="C496" s="689"/>
      <c r="D496" s="689"/>
      <c r="E496" s="689"/>
    </row>
    <row r="497">
      <c r="A497" s="689"/>
      <c r="B497" s="701"/>
      <c r="C497" s="689"/>
      <c r="D497" s="689"/>
      <c r="E497" s="689"/>
    </row>
    <row r="498">
      <c r="A498" s="689"/>
      <c r="B498" s="701"/>
      <c r="C498" s="689"/>
      <c r="D498" s="689"/>
      <c r="E498" s="689"/>
    </row>
    <row r="499">
      <c r="A499" s="689"/>
      <c r="B499" s="701"/>
      <c r="C499" s="689"/>
      <c r="D499" s="689"/>
      <c r="E499" s="689"/>
    </row>
    <row r="500">
      <c r="A500" s="689"/>
      <c r="B500" s="701"/>
      <c r="C500" s="689"/>
      <c r="D500" s="689"/>
      <c r="E500" s="689"/>
    </row>
    <row r="501">
      <c r="A501" s="689"/>
      <c r="B501" s="701"/>
      <c r="C501" s="689"/>
      <c r="D501" s="689"/>
      <c r="E501" s="689"/>
    </row>
    <row r="502">
      <c r="A502" s="689"/>
      <c r="B502" s="701"/>
      <c r="C502" s="689"/>
      <c r="D502" s="689"/>
      <c r="E502" s="689"/>
    </row>
    <row r="503">
      <c r="A503" s="689"/>
      <c r="B503" s="701"/>
      <c r="C503" s="689"/>
      <c r="D503" s="689"/>
      <c r="E503" s="689"/>
    </row>
    <row r="504">
      <c r="A504" s="689"/>
      <c r="B504" s="701"/>
      <c r="C504" s="689"/>
      <c r="D504" s="689"/>
      <c r="E504" s="689"/>
    </row>
    <row r="505">
      <c r="A505" s="689"/>
      <c r="B505" s="701"/>
      <c r="C505" s="689"/>
      <c r="D505" s="689"/>
      <c r="E505" s="689"/>
    </row>
    <row r="506">
      <c r="A506" s="689"/>
      <c r="B506" s="701"/>
      <c r="C506" s="689"/>
      <c r="D506" s="689"/>
      <c r="E506" s="689"/>
    </row>
    <row r="507">
      <c r="A507" s="689"/>
      <c r="B507" s="701"/>
      <c r="C507" s="689"/>
      <c r="D507" s="689"/>
      <c r="E507" s="689"/>
    </row>
    <row r="508">
      <c r="A508" s="689"/>
      <c r="B508" s="701"/>
      <c r="C508" s="689"/>
      <c r="D508" s="689"/>
      <c r="E508" s="689"/>
    </row>
    <row r="509">
      <c r="A509" s="689"/>
      <c r="B509" s="701"/>
      <c r="C509" s="689"/>
      <c r="D509" s="689"/>
      <c r="E509" s="689"/>
    </row>
    <row r="510">
      <c r="A510" s="689"/>
      <c r="B510" s="701"/>
      <c r="C510" s="689"/>
      <c r="D510" s="689"/>
      <c r="E510" s="689"/>
    </row>
    <row r="511">
      <c r="A511" s="689"/>
      <c r="B511" s="701"/>
      <c r="C511" s="689"/>
      <c r="D511" s="689"/>
      <c r="E511" s="689"/>
    </row>
    <row r="512">
      <c r="A512" s="689"/>
      <c r="B512" s="701"/>
      <c r="C512" s="689"/>
      <c r="D512" s="689"/>
      <c r="E512" s="689"/>
    </row>
    <row r="513">
      <c r="A513" s="689"/>
      <c r="B513" s="701"/>
      <c r="C513" s="689"/>
      <c r="D513" s="689"/>
      <c r="E513" s="689"/>
    </row>
    <row r="514">
      <c r="A514" s="689"/>
      <c r="B514" s="701"/>
      <c r="C514" s="689"/>
      <c r="D514" s="689"/>
      <c r="E514" s="689"/>
    </row>
    <row r="515">
      <c r="A515" s="689"/>
      <c r="B515" s="701"/>
      <c r="C515" s="689"/>
      <c r="D515" s="689"/>
      <c r="E515" s="689"/>
    </row>
    <row r="516">
      <c r="A516" s="689"/>
      <c r="B516" s="701"/>
      <c r="C516" s="689"/>
      <c r="D516" s="689"/>
      <c r="E516" s="689"/>
    </row>
    <row r="517">
      <c r="A517" s="689"/>
      <c r="B517" s="701"/>
      <c r="C517" s="689"/>
      <c r="D517" s="689"/>
      <c r="E517" s="689"/>
    </row>
    <row r="518">
      <c r="A518" s="689"/>
      <c r="B518" s="701"/>
      <c r="C518" s="689"/>
      <c r="D518" s="689"/>
      <c r="E518" s="689"/>
    </row>
    <row r="519">
      <c r="A519" s="689"/>
      <c r="B519" s="701"/>
      <c r="C519" s="689"/>
      <c r="D519" s="689"/>
      <c r="E519" s="689"/>
    </row>
    <row r="520">
      <c r="A520" s="689"/>
      <c r="B520" s="701"/>
      <c r="C520" s="689"/>
      <c r="D520" s="689"/>
      <c r="E520" s="689"/>
    </row>
    <row r="521">
      <c r="A521" s="689"/>
      <c r="B521" s="701"/>
      <c r="C521" s="689"/>
      <c r="D521" s="689"/>
      <c r="E521" s="689"/>
    </row>
    <row r="522">
      <c r="A522" s="689"/>
      <c r="B522" s="701"/>
      <c r="C522" s="689"/>
      <c r="D522" s="689"/>
      <c r="E522" s="689"/>
    </row>
    <row r="523">
      <c r="A523" s="689"/>
      <c r="B523" s="701"/>
      <c r="C523" s="689"/>
      <c r="D523" s="689"/>
      <c r="E523" s="689"/>
    </row>
    <row r="524">
      <c r="A524" s="689"/>
      <c r="B524" s="701"/>
      <c r="C524" s="689"/>
      <c r="D524" s="689"/>
      <c r="E524" s="689"/>
    </row>
    <row r="525">
      <c r="A525" s="689"/>
      <c r="B525" s="701"/>
      <c r="C525" s="689"/>
      <c r="D525" s="689"/>
      <c r="E525" s="689"/>
    </row>
    <row r="526">
      <c r="A526" s="689"/>
      <c r="B526" s="701"/>
      <c r="C526" s="689"/>
      <c r="D526" s="689"/>
      <c r="E526" s="689"/>
    </row>
    <row r="527">
      <c r="A527" s="689"/>
      <c r="B527" s="701"/>
      <c r="C527" s="689"/>
      <c r="D527" s="689"/>
      <c r="E527" s="689"/>
    </row>
    <row r="528">
      <c r="A528" s="689"/>
      <c r="B528" s="701"/>
      <c r="C528" s="689"/>
      <c r="D528" s="689"/>
      <c r="E528" s="689"/>
    </row>
    <row r="529">
      <c r="A529" s="689"/>
      <c r="B529" s="701"/>
      <c r="C529" s="689"/>
      <c r="D529" s="689"/>
      <c r="E529" s="689"/>
    </row>
    <row r="530">
      <c r="A530" s="689"/>
      <c r="B530" s="701"/>
      <c r="C530" s="689"/>
      <c r="D530" s="689"/>
      <c r="E530" s="689"/>
    </row>
    <row r="531">
      <c r="A531" s="689"/>
      <c r="B531" s="701"/>
      <c r="C531" s="689"/>
      <c r="D531" s="689"/>
      <c r="E531" s="689"/>
    </row>
    <row r="532">
      <c r="A532" s="689"/>
      <c r="B532" s="701"/>
      <c r="C532" s="689"/>
      <c r="D532" s="689"/>
      <c r="E532" s="689"/>
    </row>
    <row r="533">
      <c r="A533" s="689"/>
      <c r="B533" s="701"/>
      <c r="C533" s="689"/>
      <c r="D533" s="689"/>
      <c r="E533" s="689"/>
    </row>
    <row r="534">
      <c r="A534" s="689"/>
      <c r="B534" s="701"/>
      <c r="C534" s="689"/>
      <c r="D534" s="689"/>
      <c r="E534" s="689"/>
    </row>
    <row r="535">
      <c r="A535" s="689"/>
      <c r="B535" s="701"/>
      <c r="C535" s="689"/>
      <c r="D535" s="689"/>
      <c r="E535" s="689"/>
    </row>
    <row r="536">
      <c r="A536" s="689"/>
      <c r="B536" s="701"/>
      <c r="C536" s="689"/>
      <c r="D536" s="689"/>
      <c r="E536" s="689"/>
    </row>
    <row r="537">
      <c r="A537" s="689"/>
      <c r="B537" s="701"/>
      <c r="C537" s="689"/>
      <c r="D537" s="689"/>
      <c r="E537" s="689"/>
    </row>
    <row r="538">
      <c r="A538" s="689"/>
      <c r="B538" s="701"/>
      <c r="C538" s="689"/>
      <c r="D538" s="689"/>
      <c r="E538" s="689"/>
    </row>
    <row r="539">
      <c r="A539" s="689"/>
      <c r="B539" s="701"/>
      <c r="C539" s="689"/>
      <c r="D539" s="689"/>
      <c r="E539" s="689"/>
    </row>
    <row r="540">
      <c r="A540" s="689"/>
      <c r="B540" s="701"/>
      <c r="C540" s="689"/>
      <c r="D540" s="689"/>
      <c r="E540" s="689"/>
    </row>
    <row r="541">
      <c r="A541" s="689"/>
      <c r="B541" s="701"/>
      <c r="C541" s="689"/>
      <c r="D541" s="689"/>
      <c r="E541" s="689"/>
    </row>
    <row r="542">
      <c r="A542" s="689"/>
      <c r="B542" s="701"/>
      <c r="C542" s="689"/>
      <c r="D542" s="689"/>
      <c r="E542" s="689"/>
    </row>
    <row r="543">
      <c r="A543" s="689"/>
      <c r="B543" s="701"/>
      <c r="C543" s="689"/>
      <c r="D543" s="689"/>
      <c r="E543" s="689"/>
    </row>
    <row r="544">
      <c r="A544" s="689"/>
      <c r="B544" s="701"/>
      <c r="C544" s="689"/>
      <c r="D544" s="689"/>
      <c r="E544" s="689"/>
    </row>
    <row r="545">
      <c r="A545" s="689"/>
      <c r="B545" s="701"/>
      <c r="C545" s="689"/>
      <c r="D545" s="689"/>
      <c r="E545" s="689"/>
    </row>
    <row r="546">
      <c r="A546" s="689"/>
      <c r="B546" s="701"/>
      <c r="C546" s="689"/>
      <c r="D546" s="689"/>
      <c r="E546" s="689"/>
    </row>
    <row r="547">
      <c r="A547" s="689"/>
      <c r="B547" s="701"/>
      <c r="C547" s="689"/>
      <c r="D547" s="689"/>
      <c r="E547" s="689"/>
    </row>
    <row r="548">
      <c r="A548" s="689"/>
      <c r="B548" s="701"/>
      <c r="C548" s="689"/>
      <c r="D548" s="689"/>
      <c r="E548" s="689"/>
    </row>
    <row r="549">
      <c r="A549" s="689"/>
      <c r="B549" s="701"/>
      <c r="C549" s="689"/>
      <c r="D549" s="689"/>
      <c r="E549" s="689"/>
    </row>
    <row r="550">
      <c r="A550" s="689"/>
      <c r="B550" s="701"/>
      <c r="C550" s="689"/>
      <c r="D550" s="689"/>
      <c r="E550" s="689"/>
    </row>
    <row r="551">
      <c r="A551" s="689"/>
      <c r="B551" s="701"/>
      <c r="C551" s="689"/>
      <c r="D551" s="689"/>
      <c r="E551" s="689"/>
    </row>
    <row r="552">
      <c r="A552" s="689"/>
      <c r="B552" s="701"/>
      <c r="C552" s="689"/>
      <c r="D552" s="689"/>
      <c r="E552" s="689"/>
    </row>
    <row r="553">
      <c r="A553" s="689"/>
      <c r="B553" s="701"/>
      <c r="C553" s="689"/>
      <c r="D553" s="689"/>
      <c r="E553" s="689"/>
    </row>
    <row r="554">
      <c r="A554" s="689"/>
      <c r="B554" s="701"/>
      <c r="C554" s="689"/>
      <c r="D554" s="689"/>
      <c r="E554" s="689"/>
    </row>
    <row r="555">
      <c r="A555" s="689"/>
      <c r="B555" s="701"/>
      <c r="C555" s="689"/>
      <c r="D555" s="689"/>
      <c r="E555" s="689"/>
    </row>
    <row r="556">
      <c r="A556" s="689"/>
      <c r="B556" s="701"/>
      <c r="C556" s="689"/>
      <c r="D556" s="689"/>
      <c r="E556" s="689"/>
    </row>
    <row r="557">
      <c r="A557" s="689"/>
      <c r="B557" s="701"/>
      <c r="C557" s="689"/>
      <c r="D557" s="689"/>
      <c r="E557" s="689"/>
    </row>
    <row r="558">
      <c r="A558" s="689"/>
      <c r="B558" s="701"/>
      <c r="C558" s="689"/>
      <c r="D558" s="689"/>
      <c r="E558" s="689"/>
    </row>
    <row r="559">
      <c r="A559" s="689"/>
      <c r="B559" s="701"/>
      <c r="C559" s="689"/>
      <c r="D559" s="689"/>
      <c r="E559" s="689"/>
    </row>
    <row r="560">
      <c r="A560" s="689"/>
      <c r="B560" s="701"/>
      <c r="C560" s="689"/>
      <c r="D560" s="689"/>
      <c r="E560" s="689"/>
    </row>
    <row r="561">
      <c r="A561" s="689"/>
      <c r="B561" s="701"/>
      <c r="C561" s="689"/>
      <c r="D561" s="689"/>
      <c r="E561" s="689"/>
    </row>
    <row r="562">
      <c r="A562" s="689"/>
      <c r="B562" s="701"/>
      <c r="C562" s="689"/>
      <c r="D562" s="689"/>
      <c r="E562" s="689"/>
    </row>
    <row r="563">
      <c r="A563" s="689"/>
      <c r="B563" s="701"/>
      <c r="C563" s="689"/>
      <c r="D563" s="689"/>
      <c r="E563" s="689"/>
    </row>
    <row r="564">
      <c r="A564" s="689"/>
      <c r="B564" s="701"/>
      <c r="C564" s="689"/>
      <c r="D564" s="689"/>
      <c r="E564" s="689"/>
    </row>
    <row r="565">
      <c r="A565" s="689"/>
      <c r="B565" s="701"/>
      <c r="C565" s="689"/>
      <c r="D565" s="689"/>
      <c r="E565" s="689"/>
    </row>
    <row r="566">
      <c r="A566" s="689"/>
      <c r="B566" s="701"/>
      <c r="C566" s="689"/>
      <c r="D566" s="689"/>
      <c r="E566" s="689"/>
    </row>
    <row r="567">
      <c r="A567" s="689"/>
      <c r="B567" s="701"/>
      <c r="C567" s="689"/>
      <c r="D567" s="689"/>
      <c r="E567" s="689"/>
    </row>
    <row r="568">
      <c r="A568" s="689"/>
      <c r="B568" s="701"/>
      <c r="C568" s="689"/>
      <c r="D568" s="689"/>
      <c r="E568" s="689"/>
    </row>
    <row r="569">
      <c r="A569" s="689"/>
      <c r="B569" s="701"/>
      <c r="C569" s="689"/>
      <c r="D569" s="689"/>
      <c r="E569" s="689"/>
    </row>
    <row r="570">
      <c r="A570" s="689"/>
      <c r="B570" s="701"/>
      <c r="C570" s="689"/>
      <c r="D570" s="689"/>
      <c r="E570" s="689"/>
    </row>
    <row r="571">
      <c r="A571" s="689"/>
      <c r="B571" s="701"/>
      <c r="C571" s="689"/>
      <c r="D571" s="689"/>
      <c r="E571" s="689"/>
    </row>
    <row r="572">
      <c r="A572" s="689"/>
      <c r="B572" s="701"/>
      <c r="C572" s="689"/>
      <c r="D572" s="689"/>
      <c r="E572" s="689"/>
    </row>
    <row r="573">
      <c r="A573" s="689"/>
      <c r="B573" s="701"/>
      <c r="C573" s="689"/>
      <c r="D573" s="689"/>
      <c r="E573" s="689"/>
    </row>
    <row r="574">
      <c r="A574" s="689"/>
      <c r="B574" s="701"/>
      <c r="C574" s="689"/>
      <c r="D574" s="689"/>
      <c r="E574" s="689"/>
    </row>
    <row r="575">
      <c r="A575" s="689"/>
      <c r="B575" s="701"/>
      <c r="C575" s="689"/>
      <c r="D575" s="689"/>
      <c r="E575" s="689"/>
    </row>
    <row r="576">
      <c r="A576" s="689"/>
      <c r="B576" s="701"/>
      <c r="C576" s="689"/>
      <c r="D576" s="689"/>
      <c r="E576" s="689"/>
    </row>
    <row r="577">
      <c r="A577" s="689"/>
      <c r="B577" s="701"/>
      <c r="C577" s="689"/>
      <c r="D577" s="689"/>
      <c r="E577" s="689"/>
    </row>
    <row r="578">
      <c r="A578" s="689"/>
      <c r="B578" s="701"/>
      <c r="C578" s="689"/>
      <c r="D578" s="689"/>
      <c r="E578" s="689"/>
    </row>
    <row r="579">
      <c r="A579" s="689"/>
      <c r="B579" s="701"/>
      <c r="C579" s="689"/>
      <c r="D579" s="689"/>
      <c r="E579" s="689"/>
    </row>
    <row r="580">
      <c r="A580" s="689"/>
      <c r="B580" s="701"/>
      <c r="C580" s="689"/>
      <c r="D580" s="689"/>
      <c r="E580" s="689"/>
    </row>
    <row r="581">
      <c r="A581" s="689"/>
      <c r="B581" s="701"/>
      <c r="C581" s="689"/>
      <c r="D581" s="689"/>
      <c r="E581" s="689"/>
    </row>
    <row r="582">
      <c r="A582" s="689"/>
      <c r="B582" s="701"/>
      <c r="C582" s="689"/>
      <c r="D582" s="689"/>
      <c r="E582" s="689"/>
    </row>
    <row r="583">
      <c r="A583" s="689"/>
      <c r="B583" s="701"/>
      <c r="C583" s="689"/>
      <c r="D583" s="689"/>
      <c r="E583" s="689"/>
    </row>
    <row r="584">
      <c r="A584" s="689"/>
      <c r="B584" s="701"/>
      <c r="C584" s="689"/>
      <c r="D584" s="689"/>
      <c r="E584" s="689"/>
    </row>
    <row r="585">
      <c r="A585" s="689"/>
      <c r="B585" s="701"/>
      <c r="C585" s="689"/>
      <c r="D585" s="689"/>
      <c r="E585" s="689"/>
    </row>
    <row r="586">
      <c r="A586" s="689"/>
      <c r="B586" s="701"/>
      <c r="C586" s="689"/>
      <c r="D586" s="689"/>
      <c r="E586" s="689"/>
    </row>
    <row r="587">
      <c r="A587" s="689"/>
      <c r="B587" s="701"/>
      <c r="C587" s="689"/>
      <c r="D587" s="689"/>
      <c r="E587" s="689"/>
    </row>
    <row r="588">
      <c r="A588" s="689"/>
      <c r="B588" s="701"/>
      <c r="C588" s="689"/>
      <c r="D588" s="689"/>
      <c r="E588" s="689"/>
    </row>
    <row r="589">
      <c r="A589" s="689"/>
      <c r="B589" s="701"/>
      <c r="C589" s="689"/>
      <c r="D589" s="689"/>
      <c r="E589" s="689"/>
    </row>
    <row r="590">
      <c r="A590" s="689"/>
      <c r="B590" s="701"/>
      <c r="C590" s="689"/>
      <c r="D590" s="689"/>
      <c r="E590" s="689"/>
    </row>
    <row r="591">
      <c r="A591" s="689"/>
      <c r="B591" s="701"/>
      <c r="C591" s="689"/>
      <c r="D591" s="689"/>
      <c r="E591" s="689"/>
    </row>
    <row r="592">
      <c r="A592" s="689"/>
      <c r="B592" s="701"/>
      <c r="C592" s="689"/>
      <c r="D592" s="689"/>
      <c r="E592" s="689"/>
    </row>
    <row r="593">
      <c r="A593" s="689"/>
      <c r="B593" s="701"/>
      <c r="C593" s="689"/>
      <c r="D593" s="689"/>
      <c r="E593" s="689"/>
    </row>
    <row r="594">
      <c r="A594" s="689"/>
      <c r="B594" s="701"/>
      <c r="C594" s="689"/>
      <c r="D594" s="689"/>
      <c r="E594" s="689"/>
    </row>
    <row r="595">
      <c r="A595" s="689"/>
      <c r="B595" s="701"/>
      <c r="C595" s="689"/>
      <c r="D595" s="689"/>
      <c r="E595" s="689"/>
    </row>
    <row r="596">
      <c r="A596" s="689"/>
      <c r="B596" s="701"/>
      <c r="C596" s="689"/>
      <c r="D596" s="689"/>
      <c r="E596" s="689"/>
    </row>
    <row r="597">
      <c r="A597" s="689"/>
      <c r="B597" s="701"/>
      <c r="C597" s="689"/>
      <c r="D597" s="689"/>
      <c r="E597" s="689"/>
    </row>
    <row r="598">
      <c r="A598" s="689"/>
      <c r="B598" s="701"/>
      <c r="C598" s="689"/>
      <c r="D598" s="689"/>
      <c r="E598" s="689"/>
    </row>
    <row r="599">
      <c r="A599" s="689"/>
      <c r="B599" s="701"/>
      <c r="C599" s="689"/>
      <c r="D599" s="689"/>
      <c r="E599" s="689"/>
    </row>
    <row r="600">
      <c r="A600" s="689"/>
      <c r="B600" s="701"/>
      <c r="C600" s="689"/>
      <c r="D600" s="689"/>
      <c r="E600" s="689"/>
    </row>
    <row r="601">
      <c r="A601" s="689"/>
      <c r="B601" s="701"/>
      <c r="C601" s="689"/>
      <c r="D601" s="689"/>
      <c r="E601" s="689"/>
    </row>
    <row r="602">
      <c r="A602" s="689"/>
      <c r="B602" s="701"/>
      <c r="C602" s="689"/>
      <c r="D602" s="689"/>
      <c r="E602" s="689"/>
    </row>
    <row r="603">
      <c r="A603" s="689"/>
      <c r="B603" s="701"/>
      <c r="C603" s="689"/>
      <c r="D603" s="689"/>
      <c r="E603" s="689"/>
    </row>
    <row r="604">
      <c r="A604" s="689"/>
      <c r="B604" s="701"/>
      <c r="C604" s="689"/>
      <c r="D604" s="689"/>
      <c r="E604" s="689"/>
    </row>
    <row r="605">
      <c r="A605" s="689"/>
      <c r="B605" s="701"/>
      <c r="C605" s="689"/>
      <c r="D605" s="689"/>
      <c r="E605" s="689"/>
    </row>
    <row r="606">
      <c r="A606" s="689"/>
      <c r="B606" s="701"/>
      <c r="C606" s="689"/>
      <c r="D606" s="689"/>
      <c r="E606" s="689"/>
    </row>
    <row r="607">
      <c r="A607" s="689"/>
      <c r="B607" s="701"/>
      <c r="C607" s="689"/>
      <c r="D607" s="689"/>
      <c r="E607" s="689"/>
    </row>
    <row r="608">
      <c r="A608" s="689"/>
      <c r="B608" s="701"/>
      <c r="C608" s="689"/>
      <c r="D608" s="689"/>
      <c r="E608" s="689"/>
    </row>
    <row r="609">
      <c r="A609" s="689"/>
      <c r="B609" s="701"/>
      <c r="C609" s="689"/>
      <c r="D609" s="689"/>
      <c r="E609" s="689"/>
    </row>
    <row r="610">
      <c r="A610" s="689"/>
      <c r="B610" s="701"/>
      <c r="C610" s="689"/>
      <c r="D610" s="689"/>
      <c r="E610" s="689"/>
    </row>
    <row r="611">
      <c r="A611" s="689"/>
      <c r="B611" s="701"/>
      <c r="C611" s="689"/>
      <c r="D611" s="689"/>
      <c r="E611" s="689"/>
    </row>
    <row r="612">
      <c r="A612" s="689"/>
      <c r="B612" s="701"/>
      <c r="C612" s="689"/>
      <c r="D612" s="689"/>
      <c r="E612" s="689"/>
    </row>
    <row r="613">
      <c r="A613" s="689"/>
      <c r="B613" s="701"/>
      <c r="C613" s="689"/>
      <c r="D613" s="689"/>
      <c r="E613" s="689"/>
    </row>
    <row r="614">
      <c r="A614" s="689"/>
      <c r="B614" s="701"/>
      <c r="C614" s="689"/>
      <c r="D614" s="689"/>
      <c r="E614" s="689"/>
    </row>
    <row r="615">
      <c r="A615" s="689"/>
      <c r="B615" s="701"/>
      <c r="C615" s="689"/>
      <c r="D615" s="689"/>
      <c r="E615" s="689"/>
    </row>
    <row r="616">
      <c r="A616" s="689"/>
      <c r="B616" s="701"/>
      <c r="C616" s="689"/>
      <c r="D616" s="689"/>
      <c r="E616" s="689"/>
    </row>
    <row r="617">
      <c r="A617" s="689"/>
      <c r="B617" s="701"/>
      <c r="C617" s="689"/>
      <c r="D617" s="689"/>
      <c r="E617" s="689"/>
    </row>
    <row r="618">
      <c r="A618" s="689"/>
      <c r="B618" s="701"/>
      <c r="C618" s="689"/>
      <c r="D618" s="689"/>
      <c r="E618" s="689"/>
    </row>
    <row r="619">
      <c r="A619" s="689"/>
      <c r="B619" s="701"/>
      <c r="C619" s="689"/>
      <c r="D619" s="689"/>
      <c r="E619" s="689"/>
    </row>
    <row r="620">
      <c r="A620" s="689"/>
      <c r="B620" s="701"/>
      <c r="C620" s="689"/>
      <c r="D620" s="689"/>
      <c r="E620" s="689"/>
    </row>
    <row r="621">
      <c r="A621" s="689"/>
      <c r="B621" s="701"/>
      <c r="C621" s="689"/>
      <c r="D621" s="689"/>
      <c r="E621" s="689"/>
    </row>
    <row r="622">
      <c r="A622" s="689"/>
      <c r="B622" s="701"/>
      <c r="C622" s="689"/>
      <c r="D622" s="689"/>
      <c r="E622" s="689"/>
    </row>
    <row r="623">
      <c r="A623" s="689"/>
      <c r="B623" s="701"/>
      <c r="C623" s="689"/>
      <c r="D623" s="689"/>
      <c r="E623" s="689"/>
    </row>
    <row r="624">
      <c r="A624" s="689"/>
      <c r="B624" s="701"/>
      <c r="C624" s="689"/>
      <c r="D624" s="689"/>
      <c r="E624" s="689"/>
    </row>
    <row r="625">
      <c r="A625" s="689"/>
      <c r="B625" s="701"/>
      <c r="C625" s="689"/>
      <c r="D625" s="689"/>
      <c r="E625" s="689"/>
    </row>
    <row r="626">
      <c r="A626" s="689"/>
      <c r="B626" s="701"/>
      <c r="C626" s="689"/>
      <c r="D626" s="689"/>
      <c r="E626" s="689"/>
    </row>
    <row r="627">
      <c r="A627" s="689"/>
      <c r="B627" s="701"/>
      <c r="C627" s="689"/>
      <c r="D627" s="689"/>
      <c r="E627" s="689"/>
    </row>
    <row r="628">
      <c r="A628" s="689"/>
      <c r="B628" s="701"/>
      <c r="C628" s="689"/>
      <c r="D628" s="689"/>
      <c r="E628" s="689"/>
    </row>
    <row r="629">
      <c r="A629" s="689"/>
      <c r="B629" s="701"/>
      <c r="C629" s="689"/>
      <c r="D629" s="689"/>
      <c r="E629" s="689"/>
    </row>
    <row r="630">
      <c r="A630" s="689"/>
      <c r="B630" s="701"/>
      <c r="C630" s="689"/>
      <c r="D630" s="689"/>
      <c r="E630" s="689"/>
    </row>
    <row r="631">
      <c r="A631" s="689"/>
      <c r="B631" s="701"/>
      <c r="C631" s="689"/>
      <c r="D631" s="689"/>
      <c r="E631" s="689"/>
    </row>
    <row r="632">
      <c r="A632" s="689"/>
      <c r="B632" s="701"/>
      <c r="C632" s="689"/>
      <c r="D632" s="689"/>
      <c r="E632" s="689"/>
    </row>
    <row r="633">
      <c r="A633" s="689"/>
      <c r="B633" s="701"/>
      <c r="C633" s="689"/>
      <c r="D633" s="689"/>
      <c r="E633" s="689"/>
    </row>
    <row r="634">
      <c r="A634" s="689"/>
      <c r="B634" s="701"/>
      <c r="C634" s="689"/>
      <c r="D634" s="689"/>
      <c r="E634" s="689"/>
    </row>
    <row r="635">
      <c r="A635" s="689"/>
      <c r="B635" s="701"/>
      <c r="C635" s="689"/>
      <c r="D635" s="689"/>
      <c r="E635" s="689"/>
    </row>
    <row r="636">
      <c r="A636" s="689"/>
      <c r="B636" s="701"/>
      <c r="C636" s="689"/>
      <c r="D636" s="689"/>
      <c r="E636" s="689"/>
    </row>
    <row r="637">
      <c r="A637" s="689"/>
      <c r="B637" s="701"/>
      <c r="C637" s="689"/>
      <c r="D637" s="689"/>
      <c r="E637" s="689"/>
    </row>
    <row r="638">
      <c r="A638" s="689"/>
      <c r="B638" s="701"/>
      <c r="C638" s="689"/>
      <c r="D638" s="689"/>
      <c r="E638" s="689"/>
    </row>
    <row r="639">
      <c r="A639" s="689"/>
      <c r="B639" s="701"/>
      <c r="C639" s="689"/>
      <c r="D639" s="689"/>
      <c r="E639" s="689"/>
    </row>
    <row r="640">
      <c r="A640" s="689"/>
      <c r="B640" s="701"/>
      <c r="C640" s="689"/>
      <c r="D640" s="689"/>
      <c r="E640" s="689"/>
    </row>
    <row r="641">
      <c r="A641" s="689"/>
      <c r="B641" s="701"/>
      <c r="C641" s="689"/>
      <c r="D641" s="689"/>
      <c r="E641" s="689"/>
    </row>
    <row r="642">
      <c r="A642" s="689"/>
      <c r="B642" s="701"/>
      <c r="C642" s="689"/>
      <c r="D642" s="689"/>
      <c r="E642" s="689"/>
    </row>
    <row r="643">
      <c r="A643" s="689"/>
      <c r="B643" s="701"/>
      <c r="C643" s="689"/>
      <c r="D643" s="689"/>
      <c r="E643" s="689"/>
    </row>
    <row r="644">
      <c r="A644" s="689"/>
      <c r="B644" s="701"/>
      <c r="C644" s="689"/>
      <c r="D644" s="689"/>
      <c r="E644" s="689"/>
    </row>
    <row r="645">
      <c r="A645" s="689"/>
      <c r="B645" s="701"/>
      <c r="C645" s="689"/>
      <c r="D645" s="689"/>
      <c r="E645" s="689"/>
    </row>
    <row r="646">
      <c r="A646" s="689"/>
      <c r="B646" s="701"/>
      <c r="C646" s="689"/>
      <c r="D646" s="689"/>
      <c r="E646" s="689"/>
    </row>
    <row r="647">
      <c r="A647" s="689"/>
      <c r="B647" s="701"/>
      <c r="C647" s="689"/>
      <c r="D647" s="689"/>
      <c r="E647" s="689"/>
    </row>
    <row r="648">
      <c r="A648" s="689"/>
      <c r="B648" s="701"/>
      <c r="C648" s="689"/>
      <c r="D648" s="689"/>
      <c r="E648" s="689"/>
    </row>
    <row r="649">
      <c r="A649" s="689"/>
      <c r="B649" s="701"/>
      <c r="C649" s="689"/>
      <c r="D649" s="689"/>
      <c r="E649" s="689"/>
    </row>
    <row r="650">
      <c r="A650" s="689"/>
      <c r="B650" s="701"/>
      <c r="C650" s="689"/>
      <c r="D650" s="689"/>
      <c r="E650" s="689"/>
    </row>
    <row r="651">
      <c r="A651" s="689"/>
      <c r="B651" s="701"/>
      <c r="C651" s="689"/>
      <c r="D651" s="689"/>
      <c r="E651" s="689"/>
    </row>
    <row r="652">
      <c r="A652" s="689"/>
      <c r="B652" s="701"/>
      <c r="C652" s="689"/>
      <c r="D652" s="689"/>
      <c r="E652" s="689"/>
    </row>
    <row r="653">
      <c r="A653" s="689"/>
      <c r="B653" s="701"/>
      <c r="C653" s="689"/>
      <c r="D653" s="689"/>
      <c r="E653" s="689"/>
    </row>
    <row r="654">
      <c r="A654" s="689"/>
      <c r="B654" s="701"/>
      <c r="C654" s="689"/>
      <c r="D654" s="689"/>
      <c r="E654" s="689"/>
    </row>
    <row r="655">
      <c r="A655" s="689"/>
      <c r="B655" s="701"/>
      <c r="C655" s="689"/>
      <c r="D655" s="689"/>
      <c r="E655" s="689"/>
    </row>
    <row r="656">
      <c r="A656" s="689"/>
      <c r="B656" s="701"/>
      <c r="C656" s="689"/>
      <c r="D656" s="689"/>
      <c r="E656" s="689"/>
    </row>
    <row r="657">
      <c r="A657" s="689"/>
      <c r="B657" s="701"/>
      <c r="C657" s="689"/>
      <c r="D657" s="689"/>
      <c r="E657" s="689"/>
    </row>
    <row r="658">
      <c r="A658" s="689"/>
      <c r="B658" s="701"/>
      <c r="C658" s="689"/>
      <c r="D658" s="689"/>
      <c r="E658" s="689"/>
    </row>
    <row r="659">
      <c r="A659" s="689"/>
      <c r="B659" s="701"/>
      <c r="C659" s="689"/>
      <c r="D659" s="689"/>
      <c r="E659" s="689"/>
    </row>
    <row r="660">
      <c r="A660" s="689"/>
      <c r="B660" s="701"/>
      <c r="C660" s="689"/>
      <c r="D660" s="689"/>
      <c r="E660" s="689"/>
    </row>
    <row r="661">
      <c r="A661" s="689"/>
      <c r="B661" s="701"/>
      <c r="C661" s="689"/>
      <c r="D661" s="689"/>
      <c r="E661" s="689"/>
    </row>
    <row r="662">
      <c r="A662" s="689"/>
      <c r="B662" s="701"/>
      <c r="C662" s="689"/>
      <c r="D662" s="689"/>
      <c r="E662" s="689"/>
    </row>
    <row r="663">
      <c r="A663" s="689"/>
      <c r="B663" s="701"/>
      <c r="C663" s="689"/>
      <c r="D663" s="689"/>
      <c r="E663" s="689"/>
    </row>
    <row r="664">
      <c r="A664" s="689"/>
      <c r="B664" s="701"/>
      <c r="C664" s="689"/>
      <c r="D664" s="689"/>
      <c r="E664" s="689"/>
    </row>
    <row r="665">
      <c r="A665" s="689"/>
      <c r="B665" s="701"/>
      <c r="C665" s="689"/>
      <c r="D665" s="689"/>
      <c r="E665" s="689"/>
    </row>
    <row r="666">
      <c r="A666" s="689"/>
      <c r="B666" s="701"/>
      <c r="C666" s="689"/>
      <c r="D666" s="689"/>
      <c r="E666" s="689"/>
    </row>
    <row r="667">
      <c r="A667" s="689"/>
      <c r="B667" s="701"/>
      <c r="C667" s="689"/>
      <c r="D667" s="689"/>
      <c r="E667" s="689"/>
    </row>
    <row r="668">
      <c r="A668" s="689"/>
      <c r="B668" s="701"/>
      <c r="C668" s="689"/>
      <c r="D668" s="689"/>
      <c r="E668" s="689"/>
    </row>
    <row r="669">
      <c r="A669" s="689"/>
      <c r="B669" s="701"/>
      <c r="C669" s="689"/>
      <c r="D669" s="689"/>
      <c r="E669" s="689"/>
    </row>
    <row r="670">
      <c r="A670" s="689"/>
      <c r="B670" s="701"/>
      <c r="C670" s="689"/>
      <c r="D670" s="689"/>
      <c r="E670" s="689"/>
    </row>
    <row r="671">
      <c r="A671" s="689"/>
      <c r="B671" s="701"/>
      <c r="C671" s="689"/>
      <c r="D671" s="689"/>
      <c r="E671" s="689"/>
    </row>
    <row r="672">
      <c r="A672" s="689"/>
      <c r="B672" s="701"/>
      <c r="C672" s="689"/>
      <c r="D672" s="689"/>
      <c r="E672" s="689"/>
    </row>
    <row r="673">
      <c r="A673" s="689"/>
      <c r="B673" s="701"/>
      <c r="C673" s="689"/>
      <c r="D673" s="689"/>
      <c r="E673" s="689"/>
    </row>
    <row r="674">
      <c r="A674" s="689"/>
      <c r="B674" s="701"/>
      <c r="C674" s="689"/>
      <c r="D674" s="689"/>
      <c r="E674" s="689"/>
    </row>
    <row r="675">
      <c r="A675" s="689"/>
      <c r="B675" s="701"/>
      <c r="C675" s="689"/>
      <c r="D675" s="689"/>
      <c r="E675" s="689"/>
    </row>
    <row r="676">
      <c r="A676" s="689"/>
      <c r="B676" s="701"/>
      <c r="C676" s="689"/>
      <c r="D676" s="689"/>
      <c r="E676" s="689"/>
    </row>
    <row r="677">
      <c r="A677" s="689"/>
      <c r="B677" s="701"/>
      <c r="C677" s="689"/>
      <c r="D677" s="689"/>
      <c r="E677" s="689"/>
    </row>
    <row r="678">
      <c r="A678" s="689"/>
      <c r="B678" s="701"/>
      <c r="C678" s="689"/>
      <c r="D678" s="689"/>
      <c r="E678" s="689"/>
    </row>
    <row r="679">
      <c r="A679" s="689"/>
      <c r="B679" s="701"/>
      <c r="C679" s="689"/>
      <c r="D679" s="689"/>
      <c r="E679" s="689"/>
    </row>
    <row r="680">
      <c r="A680" s="689"/>
      <c r="B680" s="701"/>
      <c r="C680" s="689"/>
      <c r="D680" s="689"/>
      <c r="E680" s="689"/>
    </row>
    <row r="681">
      <c r="A681" s="689"/>
      <c r="B681" s="701"/>
      <c r="C681" s="689"/>
      <c r="D681" s="689"/>
      <c r="E681" s="689"/>
    </row>
    <row r="682">
      <c r="A682" s="689"/>
      <c r="B682" s="701"/>
      <c r="C682" s="689"/>
      <c r="D682" s="689"/>
      <c r="E682" s="689"/>
    </row>
    <row r="683">
      <c r="A683" s="689"/>
      <c r="B683" s="701"/>
      <c r="C683" s="689"/>
      <c r="D683" s="689"/>
      <c r="E683" s="689"/>
    </row>
    <row r="684">
      <c r="A684" s="689"/>
      <c r="B684" s="701"/>
      <c r="C684" s="689"/>
      <c r="D684" s="689"/>
      <c r="E684" s="689"/>
    </row>
    <row r="685">
      <c r="A685" s="689"/>
      <c r="B685" s="701"/>
      <c r="C685" s="689"/>
      <c r="D685" s="689"/>
      <c r="E685" s="689"/>
    </row>
    <row r="686">
      <c r="A686" s="689"/>
      <c r="B686" s="701"/>
      <c r="C686" s="689"/>
      <c r="D686" s="689"/>
      <c r="E686" s="689"/>
    </row>
    <row r="687">
      <c r="A687" s="689"/>
      <c r="B687" s="701"/>
      <c r="C687" s="689"/>
      <c r="D687" s="689"/>
      <c r="E687" s="689"/>
    </row>
    <row r="688">
      <c r="A688" s="689"/>
      <c r="B688" s="701"/>
      <c r="C688" s="689"/>
      <c r="D688" s="689"/>
      <c r="E688" s="689"/>
    </row>
    <row r="689">
      <c r="A689" s="689"/>
      <c r="B689" s="701"/>
      <c r="C689" s="689"/>
      <c r="D689" s="689"/>
      <c r="E689" s="689"/>
    </row>
    <row r="690">
      <c r="A690" s="689"/>
      <c r="B690" s="701"/>
      <c r="C690" s="689"/>
      <c r="D690" s="689"/>
      <c r="E690" s="689"/>
    </row>
    <row r="691">
      <c r="A691" s="689"/>
      <c r="B691" s="701"/>
      <c r="C691" s="689"/>
      <c r="D691" s="689"/>
      <c r="E691" s="689"/>
    </row>
    <row r="692">
      <c r="A692" s="689"/>
      <c r="B692" s="701"/>
      <c r="C692" s="689"/>
      <c r="D692" s="689"/>
      <c r="E692" s="689"/>
    </row>
    <row r="693">
      <c r="A693" s="689"/>
      <c r="B693" s="701"/>
      <c r="C693" s="689"/>
      <c r="D693" s="689"/>
      <c r="E693" s="689"/>
    </row>
    <row r="694">
      <c r="A694" s="689"/>
      <c r="B694" s="701"/>
      <c r="C694" s="689"/>
      <c r="D694" s="689"/>
      <c r="E694" s="689"/>
    </row>
    <row r="695">
      <c r="A695" s="689"/>
      <c r="B695" s="701"/>
      <c r="C695" s="689"/>
      <c r="D695" s="689"/>
      <c r="E695" s="689"/>
    </row>
    <row r="696">
      <c r="A696" s="689"/>
      <c r="B696" s="701"/>
      <c r="C696" s="689"/>
      <c r="D696" s="689"/>
      <c r="E696" s="689"/>
    </row>
    <row r="697">
      <c r="A697" s="689"/>
      <c r="B697" s="701"/>
      <c r="C697" s="689"/>
      <c r="D697" s="689"/>
      <c r="E697" s="689"/>
    </row>
    <row r="698">
      <c r="A698" s="689"/>
      <c r="B698" s="701"/>
      <c r="C698" s="689"/>
      <c r="D698" s="689"/>
      <c r="E698" s="689"/>
    </row>
    <row r="699">
      <c r="A699" s="689"/>
      <c r="B699" s="701"/>
      <c r="C699" s="689"/>
      <c r="D699" s="689"/>
      <c r="E699" s="689"/>
    </row>
    <row r="700">
      <c r="A700" s="689"/>
      <c r="B700" s="701"/>
      <c r="C700" s="689"/>
      <c r="D700" s="689"/>
      <c r="E700" s="689"/>
    </row>
    <row r="701">
      <c r="A701" s="689"/>
      <c r="B701" s="701"/>
      <c r="C701" s="689"/>
      <c r="D701" s="689"/>
      <c r="E701" s="689"/>
    </row>
    <row r="702">
      <c r="A702" s="689"/>
      <c r="B702" s="701"/>
      <c r="C702" s="689"/>
      <c r="D702" s="689"/>
      <c r="E702" s="689"/>
    </row>
    <row r="703">
      <c r="A703" s="689"/>
      <c r="B703" s="701"/>
      <c r="C703" s="689"/>
      <c r="D703" s="689"/>
      <c r="E703" s="689"/>
    </row>
    <row r="704">
      <c r="A704" s="689"/>
      <c r="B704" s="701"/>
      <c r="C704" s="689"/>
      <c r="D704" s="689"/>
      <c r="E704" s="689"/>
    </row>
    <row r="705">
      <c r="A705" s="689"/>
      <c r="B705" s="701"/>
      <c r="C705" s="689"/>
      <c r="D705" s="689"/>
      <c r="E705" s="689"/>
    </row>
    <row r="706">
      <c r="A706" s="689"/>
      <c r="B706" s="701"/>
      <c r="C706" s="689"/>
      <c r="D706" s="689"/>
      <c r="E706" s="689"/>
    </row>
    <row r="707">
      <c r="A707" s="689"/>
      <c r="B707" s="701"/>
      <c r="C707" s="689"/>
      <c r="D707" s="689"/>
      <c r="E707" s="689"/>
    </row>
    <row r="708">
      <c r="A708" s="689"/>
      <c r="B708" s="701"/>
      <c r="C708" s="689"/>
      <c r="D708" s="689"/>
      <c r="E708" s="689"/>
    </row>
    <row r="709">
      <c r="A709" s="689"/>
      <c r="B709" s="701"/>
      <c r="C709" s="689"/>
      <c r="D709" s="689"/>
      <c r="E709" s="689"/>
    </row>
    <row r="710">
      <c r="A710" s="689"/>
      <c r="B710" s="701"/>
      <c r="C710" s="689"/>
      <c r="D710" s="689"/>
      <c r="E710" s="689"/>
    </row>
    <row r="711">
      <c r="A711" s="689"/>
      <c r="B711" s="701"/>
      <c r="C711" s="689"/>
      <c r="D711" s="689"/>
      <c r="E711" s="689"/>
    </row>
    <row r="712">
      <c r="A712" s="689"/>
      <c r="B712" s="701"/>
      <c r="C712" s="689"/>
      <c r="D712" s="689"/>
      <c r="E712" s="689"/>
    </row>
    <row r="713">
      <c r="A713" s="689"/>
      <c r="B713" s="701"/>
      <c r="C713" s="689"/>
      <c r="D713" s="689"/>
      <c r="E713" s="689"/>
    </row>
    <row r="714">
      <c r="A714" s="689"/>
      <c r="B714" s="701"/>
      <c r="C714" s="689"/>
      <c r="D714" s="689"/>
      <c r="E714" s="689"/>
    </row>
    <row r="715">
      <c r="A715" s="689"/>
      <c r="B715" s="701"/>
      <c r="C715" s="689"/>
      <c r="D715" s="689"/>
      <c r="E715" s="689"/>
    </row>
    <row r="716">
      <c r="A716" s="689"/>
      <c r="B716" s="701"/>
      <c r="C716" s="689"/>
      <c r="D716" s="689"/>
      <c r="E716" s="689"/>
    </row>
    <row r="717">
      <c r="A717" s="689"/>
      <c r="B717" s="701"/>
      <c r="C717" s="689"/>
      <c r="D717" s="689"/>
      <c r="E717" s="689"/>
    </row>
    <row r="718">
      <c r="A718" s="689"/>
      <c r="B718" s="701"/>
      <c r="C718" s="689"/>
      <c r="D718" s="689"/>
      <c r="E718" s="689"/>
    </row>
    <row r="719">
      <c r="A719" s="689"/>
      <c r="B719" s="701"/>
      <c r="C719" s="689"/>
      <c r="D719" s="689"/>
      <c r="E719" s="689"/>
    </row>
    <row r="720">
      <c r="A720" s="689"/>
      <c r="B720" s="701"/>
      <c r="C720" s="689"/>
      <c r="D720" s="689"/>
      <c r="E720" s="689"/>
    </row>
    <row r="721">
      <c r="A721" s="689"/>
      <c r="B721" s="701"/>
      <c r="C721" s="689"/>
      <c r="D721" s="689"/>
      <c r="E721" s="689"/>
    </row>
    <row r="722">
      <c r="A722" s="689"/>
      <c r="B722" s="701"/>
      <c r="C722" s="689"/>
      <c r="D722" s="689"/>
      <c r="E722" s="689"/>
    </row>
    <row r="723">
      <c r="A723" s="689"/>
      <c r="B723" s="701"/>
      <c r="C723" s="689"/>
      <c r="D723" s="689"/>
      <c r="E723" s="689"/>
    </row>
    <row r="724">
      <c r="A724" s="689"/>
      <c r="B724" s="701"/>
      <c r="C724" s="689"/>
      <c r="D724" s="689"/>
      <c r="E724" s="689"/>
    </row>
    <row r="725">
      <c r="A725" s="689"/>
      <c r="B725" s="701"/>
      <c r="C725" s="689"/>
      <c r="D725" s="689"/>
      <c r="E725" s="689"/>
    </row>
    <row r="726">
      <c r="A726" s="689"/>
      <c r="B726" s="701"/>
      <c r="C726" s="689"/>
      <c r="D726" s="689"/>
      <c r="E726" s="689"/>
    </row>
    <row r="727">
      <c r="A727" s="689"/>
      <c r="B727" s="701"/>
      <c r="C727" s="689"/>
      <c r="D727" s="689"/>
      <c r="E727" s="689"/>
    </row>
    <row r="728">
      <c r="A728" s="689"/>
      <c r="B728" s="701"/>
      <c r="C728" s="689"/>
      <c r="D728" s="689"/>
      <c r="E728" s="689"/>
    </row>
    <row r="729">
      <c r="A729" s="689"/>
      <c r="B729" s="701"/>
      <c r="C729" s="689"/>
      <c r="D729" s="689"/>
      <c r="E729" s="689"/>
    </row>
    <row r="730">
      <c r="A730" s="689"/>
      <c r="B730" s="701"/>
      <c r="C730" s="689"/>
      <c r="D730" s="689"/>
      <c r="E730" s="689"/>
    </row>
    <row r="731">
      <c r="A731" s="689"/>
      <c r="B731" s="701"/>
      <c r="C731" s="689"/>
      <c r="D731" s="689"/>
      <c r="E731" s="689"/>
    </row>
    <row r="732">
      <c r="A732" s="689"/>
      <c r="B732" s="701"/>
      <c r="C732" s="689"/>
      <c r="D732" s="689"/>
      <c r="E732" s="689"/>
    </row>
    <row r="733">
      <c r="A733" s="689"/>
      <c r="B733" s="701"/>
      <c r="C733" s="689"/>
      <c r="D733" s="689"/>
      <c r="E733" s="689"/>
    </row>
    <row r="734">
      <c r="A734" s="689"/>
      <c r="B734" s="701"/>
      <c r="C734" s="689"/>
      <c r="D734" s="689"/>
      <c r="E734" s="689"/>
    </row>
    <row r="735">
      <c r="A735" s="689"/>
      <c r="B735" s="701"/>
      <c r="C735" s="689"/>
      <c r="D735" s="689"/>
      <c r="E735" s="689"/>
    </row>
    <row r="736">
      <c r="A736" s="689"/>
      <c r="B736" s="701"/>
      <c r="C736" s="689"/>
      <c r="D736" s="689"/>
      <c r="E736" s="689"/>
    </row>
    <row r="737">
      <c r="A737" s="689"/>
      <c r="B737" s="701"/>
      <c r="C737" s="689"/>
      <c r="D737" s="689"/>
      <c r="E737" s="689"/>
    </row>
    <row r="738">
      <c r="A738" s="689"/>
      <c r="B738" s="701"/>
      <c r="C738" s="689"/>
      <c r="D738" s="689"/>
      <c r="E738" s="689"/>
    </row>
    <row r="739">
      <c r="A739" s="689"/>
      <c r="B739" s="701"/>
      <c r="C739" s="689"/>
      <c r="D739" s="689"/>
      <c r="E739" s="689"/>
    </row>
    <row r="740">
      <c r="A740" s="689"/>
      <c r="B740" s="701"/>
      <c r="C740" s="689"/>
      <c r="D740" s="689"/>
      <c r="E740" s="689"/>
    </row>
    <row r="741">
      <c r="A741" s="689"/>
      <c r="B741" s="701"/>
      <c r="C741" s="689"/>
      <c r="D741" s="689"/>
      <c r="E741" s="689"/>
    </row>
    <row r="742">
      <c r="A742" s="689"/>
      <c r="B742" s="701"/>
      <c r="C742" s="689"/>
      <c r="D742" s="689"/>
      <c r="E742" s="689"/>
    </row>
    <row r="743">
      <c r="A743" s="689"/>
      <c r="B743" s="701"/>
      <c r="C743" s="689"/>
      <c r="D743" s="689"/>
      <c r="E743" s="689"/>
    </row>
    <row r="744">
      <c r="A744" s="689"/>
      <c r="B744" s="701"/>
      <c r="C744" s="689"/>
      <c r="D744" s="689"/>
      <c r="E744" s="689"/>
    </row>
    <row r="745">
      <c r="A745" s="689"/>
      <c r="B745" s="701"/>
      <c r="C745" s="689"/>
      <c r="D745" s="689"/>
      <c r="E745" s="689"/>
    </row>
    <row r="746">
      <c r="A746" s="689"/>
      <c r="B746" s="701"/>
      <c r="C746" s="689"/>
      <c r="D746" s="689"/>
      <c r="E746" s="689"/>
    </row>
    <row r="747">
      <c r="A747" s="689"/>
      <c r="B747" s="701"/>
      <c r="C747" s="689"/>
      <c r="D747" s="689"/>
      <c r="E747" s="689"/>
    </row>
    <row r="748">
      <c r="A748" s="689"/>
      <c r="B748" s="701"/>
      <c r="C748" s="689"/>
      <c r="D748" s="689"/>
      <c r="E748" s="689"/>
    </row>
    <row r="749">
      <c r="A749" s="689"/>
      <c r="B749" s="701"/>
      <c r="C749" s="689"/>
      <c r="D749" s="689"/>
      <c r="E749" s="689"/>
    </row>
    <row r="750">
      <c r="A750" s="689"/>
      <c r="B750" s="701"/>
      <c r="C750" s="689"/>
      <c r="D750" s="689"/>
      <c r="E750" s="689"/>
    </row>
    <row r="751">
      <c r="A751" s="689"/>
      <c r="B751" s="701"/>
      <c r="C751" s="689"/>
      <c r="D751" s="689"/>
      <c r="E751" s="689"/>
    </row>
    <row r="752">
      <c r="A752" s="689"/>
      <c r="B752" s="701"/>
      <c r="C752" s="689"/>
      <c r="D752" s="689"/>
      <c r="E752" s="689"/>
    </row>
    <row r="753">
      <c r="A753" s="689"/>
      <c r="B753" s="701"/>
      <c r="C753" s="689"/>
      <c r="D753" s="689"/>
      <c r="E753" s="689"/>
    </row>
    <row r="754">
      <c r="A754" s="689"/>
      <c r="B754" s="701"/>
      <c r="C754" s="689"/>
      <c r="D754" s="689"/>
      <c r="E754" s="689"/>
    </row>
    <row r="755">
      <c r="A755" s="689"/>
      <c r="B755" s="701"/>
      <c r="C755" s="689"/>
      <c r="D755" s="689"/>
      <c r="E755" s="689"/>
    </row>
    <row r="756">
      <c r="A756" s="689"/>
      <c r="B756" s="701"/>
      <c r="C756" s="689"/>
      <c r="D756" s="689"/>
      <c r="E756" s="689"/>
    </row>
    <row r="757">
      <c r="A757" s="689"/>
      <c r="B757" s="701"/>
      <c r="C757" s="689"/>
      <c r="D757" s="689"/>
      <c r="E757" s="689"/>
    </row>
    <row r="758">
      <c r="A758" s="689"/>
      <c r="B758" s="701"/>
      <c r="C758" s="689"/>
      <c r="D758" s="689"/>
      <c r="E758" s="689"/>
    </row>
    <row r="759">
      <c r="A759" s="689"/>
      <c r="B759" s="701"/>
      <c r="C759" s="689"/>
      <c r="D759" s="689"/>
      <c r="E759" s="689"/>
    </row>
    <row r="760">
      <c r="A760" s="689"/>
      <c r="B760" s="701"/>
      <c r="C760" s="689"/>
      <c r="D760" s="689"/>
      <c r="E760" s="689"/>
    </row>
    <row r="761">
      <c r="A761" s="689"/>
      <c r="B761" s="701"/>
      <c r="C761" s="689"/>
      <c r="D761" s="689"/>
      <c r="E761" s="689"/>
    </row>
    <row r="762">
      <c r="A762" s="689"/>
      <c r="B762" s="701"/>
      <c r="C762" s="689"/>
      <c r="D762" s="689"/>
      <c r="E762" s="689"/>
    </row>
    <row r="763">
      <c r="A763" s="689"/>
      <c r="B763" s="701"/>
      <c r="C763" s="689"/>
      <c r="D763" s="689"/>
      <c r="E763" s="689"/>
    </row>
    <row r="764">
      <c r="A764" s="689"/>
      <c r="B764" s="701"/>
      <c r="C764" s="689"/>
      <c r="D764" s="689"/>
      <c r="E764" s="689"/>
    </row>
    <row r="765">
      <c r="A765" s="689"/>
      <c r="B765" s="701"/>
      <c r="C765" s="689"/>
      <c r="D765" s="689"/>
      <c r="E765" s="689"/>
    </row>
    <row r="766">
      <c r="A766" s="689"/>
      <c r="B766" s="701"/>
      <c r="C766" s="689"/>
      <c r="D766" s="689"/>
      <c r="E766" s="689"/>
    </row>
    <row r="767">
      <c r="A767" s="689"/>
      <c r="B767" s="701"/>
      <c r="C767" s="689"/>
      <c r="D767" s="689"/>
      <c r="E767" s="689"/>
    </row>
    <row r="768">
      <c r="A768" s="689"/>
      <c r="B768" s="701"/>
      <c r="C768" s="689"/>
      <c r="D768" s="689"/>
      <c r="E768" s="689"/>
    </row>
    <row r="769">
      <c r="A769" s="689"/>
      <c r="B769" s="701"/>
      <c r="C769" s="689"/>
      <c r="D769" s="689"/>
      <c r="E769" s="689"/>
    </row>
    <row r="770">
      <c r="A770" s="689"/>
      <c r="B770" s="701"/>
      <c r="C770" s="689"/>
      <c r="D770" s="689"/>
      <c r="E770" s="689"/>
    </row>
    <row r="771">
      <c r="A771" s="689"/>
      <c r="B771" s="701"/>
      <c r="C771" s="689"/>
      <c r="D771" s="689"/>
      <c r="E771" s="689"/>
    </row>
    <row r="772">
      <c r="A772" s="689"/>
      <c r="B772" s="701"/>
      <c r="C772" s="689"/>
      <c r="D772" s="689"/>
      <c r="E772" s="689"/>
    </row>
    <row r="773">
      <c r="A773" s="689"/>
      <c r="B773" s="701"/>
      <c r="C773" s="689"/>
      <c r="D773" s="689"/>
      <c r="E773" s="689"/>
    </row>
    <row r="774">
      <c r="A774" s="689"/>
      <c r="B774" s="701"/>
      <c r="C774" s="689"/>
      <c r="D774" s="689"/>
      <c r="E774" s="689"/>
    </row>
    <row r="775">
      <c r="A775" s="689"/>
      <c r="B775" s="701"/>
      <c r="C775" s="689"/>
      <c r="D775" s="689"/>
      <c r="E775" s="689"/>
    </row>
    <row r="776">
      <c r="A776" s="689"/>
      <c r="B776" s="701"/>
      <c r="C776" s="689"/>
      <c r="D776" s="689"/>
      <c r="E776" s="689"/>
    </row>
    <row r="777">
      <c r="A777" s="689"/>
      <c r="B777" s="701"/>
      <c r="C777" s="689"/>
      <c r="D777" s="689"/>
      <c r="E777" s="689"/>
    </row>
    <row r="778">
      <c r="A778" s="689"/>
      <c r="B778" s="701"/>
      <c r="C778" s="689"/>
      <c r="D778" s="689"/>
      <c r="E778" s="689"/>
    </row>
    <row r="779">
      <c r="A779" s="689"/>
      <c r="B779" s="701"/>
      <c r="C779" s="689"/>
      <c r="D779" s="689"/>
      <c r="E779" s="689"/>
    </row>
    <row r="780">
      <c r="A780" s="689"/>
      <c r="B780" s="701"/>
      <c r="C780" s="689"/>
      <c r="D780" s="689"/>
      <c r="E780" s="689"/>
    </row>
    <row r="781">
      <c r="A781" s="689"/>
      <c r="B781" s="701"/>
      <c r="C781" s="689"/>
      <c r="D781" s="689"/>
      <c r="E781" s="689"/>
    </row>
    <row r="782">
      <c r="A782" s="689"/>
      <c r="B782" s="701"/>
      <c r="C782" s="689"/>
      <c r="D782" s="689"/>
      <c r="E782" s="689"/>
    </row>
    <row r="783">
      <c r="A783" s="689"/>
      <c r="B783" s="701"/>
      <c r="C783" s="689"/>
      <c r="D783" s="689"/>
      <c r="E783" s="689"/>
    </row>
    <row r="784">
      <c r="A784" s="689"/>
      <c r="B784" s="701"/>
      <c r="C784" s="689"/>
      <c r="D784" s="689"/>
      <c r="E784" s="689"/>
    </row>
    <row r="785">
      <c r="A785" s="689"/>
      <c r="B785" s="701"/>
      <c r="C785" s="689"/>
      <c r="D785" s="689"/>
      <c r="E785" s="689"/>
    </row>
    <row r="786">
      <c r="A786" s="689"/>
      <c r="B786" s="701"/>
      <c r="C786" s="689"/>
      <c r="D786" s="689"/>
      <c r="E786" s="689"/>
    </row>
    <row r="787">
      <c r="A787" s="689"/>
      <c r="B787" s="701"/>
      <c r="C787" s="689"/>
      <c r="D787" s="689"/>
      <c r="E787" s="689"/>
    </row>
    <row r="788">
      <c r="A788" s="689"/>
      <c r="B788" s="701"/>
      <c r="C788" s="689"/>
      <c r="D788" s="689"/>
      <c r="E788" s="689"/>
    </row>
    <row r="789">
      <c r="A789" s="689"/>
      <c r="B789" s="701"/>
      <c r="C789" s="689"/>
      <c r="D789" s="689"/>
      <c r="E789" s="689"/>
    </row>
    <row r="790">
      <c r="A790" s="689"/>
      <c r="B790" s="701"/>
      <c r="C790" s="689"/>
      <c r="D790" s="689"/>
      <c r="E790" s="689"/>
    </row>
    <row r="791">
      <c r="A791" s="689"/>
      <c r="B791" s="701"/>
      <c r="C791" s="689"/>
      <c r="D791" s="689"/>
      <c r="E791" s="689"/>
    </row>
    <row r="792">
      <c r="A792" s="689"/>
      <c r="B792" s="701"/>
      <c r="C792" s="689"/>
      <c r="D792" s="689"/>
      <c r="E792" s="689"/>
    </row>
    <row r="793">
      <c r="A793" s="689"/>
      <c r="B793" s="701"/>
      <c r="C793" s="689"/>
      <c r="D793" s="689"/>
      <c r="E793" s="689"/>
    </row>
    <row r="794">
      <c r="A794" s="689"/>
      <c r="B794" s="701"/>
      <c r="C794" s="689"/>
      <c r="D794" s="689"/>
      <c r="E794" s="689"/>
    </row>
    <row r="795">
      <c r="A795" s="689"/>
      <c r="B795" s="701"/>
      <c r="C795" s="689"/>
      <c r="D795" s="689"/>
      <c r="E795" s="689"/>
    </row>
    <row r="796">
      <c r="A796" s="689"/>
      <c r="B796" s="701"/>
      <c r="C796" s="689"/>
      <c r="D796" s="689"/>
      <c r="E796" s="689"/>
    </row>
    <row r="797">
      <c r="A797" s="689"/>
      <c r="B797" s="701"/>
      <c r="C797" s="689"/>
      <c r="D797" s="689"/>
      <c r="E797" s="689"/>
    </row>
    <row r="798">
      <c r="A798" s="689"/>
      <c r="B798" s="701"/>
      <c r="C798" s="689"/>
      <c r="D798" s="689"/>
      <c r="E798" s="689"/>
    </row>
    <row r="799">
      <c r="A799" s="689"/>
      <c r="B799" s="701"/>
      <c r="C799" s="689"/>
      <c r="D799" s="689"/>
      <c r="E799" s="689"/>
    </row>
    <row r="800">
      <c r="A800" s="689"/>
      <c r="B800" s="701"/>
      <c r="C800" s="689"/>
      <c r="D800" s="689"/>
      <c r="E800" s="689"/>
    </row>
    <row r="801">
      <c r="A801" s="689"/>
      <c r="B801" s="701"/>
      <c r="C801" s="689"/>
      <c r="D801" s="689"/>
      <c r="E801" s="689"/>
    </row>
    <row r="802">
      <c r="A802" s="689"/>
      <c r="B802" s="701"/>
      <c r="C802" s="689"/>
      <c r="D802" s="689"/>
      <c r="E802" s="689"/>
    </row>
    <row r="803">
      <c r="A803" s="689"/>
      <c r="B803" s="701"/>
      <c r="C803" s="689"/>
      <c r="D803" s="689"/>
      <c r="E803" s="689"/>
    </row>
    <row r="804">
      <c r="A804" s="689"/>
      <c r="B804" s="701"/>
      <c r="C804" s="689"/>
      <c r="D804" s="689"/>
      <c r="E804" s="689"/>
    </row>
    <row r="805">
      <c r="A805" s="689"/>
      <c r="B805" s="701"/>
      <c r="C805" s="689"/>
      <c r="D805" s="689"/>
      <c r="E805" s="689"/>
    </row>
    <row r="806">
      <c r="A806" s="689"/>
      <c r="B806" s="701"/>
      <c r="C806" s="689"/>
      <c r="D806" s="689"/>
      <c r="E806" s="689"/>
    </row>
    <row r="807">
      <c r="A807" s="689"/>
      <c r="B807" s="701"/>
      <c r="C807" s="689"/>
      <c r="D807" s="689"/>
      <c r="E807" s="689"/>
    </row>
    <row r="808">
      <c r="A808" s="689"/>
      <c r="B808" s="701"/>
      <c r="C808" s="689"/>
      <c r="D808" s="689"/>
      <c r="E808" s="689"/>
    </row>
    <row r="809">
      <c r="A809" s="689"/>
      <c r="B809" s="701"/>
      <c r="C809" s="689"/>
      <c r="D809" s="689"/>
      <c r="E809" s="689"/>
    </row>
    <row r="810">
      <c r="A810" s="689"/>
      <c r="B810" s="701"/>
      <c r="C810" s="689"/>
      <c r="D810" s="689"/>
      <c r="E810" s="689"/>
    </row>
    <row r="811">
      <c r="A811" s="689"/>
      <c r="B811" s="701"/>
      <c r="C811" s="689"/>
      <c r="D811" s="689"/>
      <c r="E811" s="689"/>
    </row>
    <row r="812">
      <c r="A812" s="689"/>
      <c r="B812" s="701"/>
      <c r="C812" s="689"/>
      <c r="D812" s="689"/>
      <c r="E812" s="689"/>
    </row>
    <row r="813">
      <c r="A813" s="689"/>
      <c r="B813" s="701"/>
      <c r="C813" s="689"/>
      <c r="D813" s="689"/>
      <c r="E813" s="689"/>
    </row>
    <row r="814">
      <c r="A814" s="689"/>
      <c r="B814" s="701"/>
      <c r="C814" s="689"/>
      <c r="D814" s="689"/>
      <c r="E814" s="689"/>
    </row>
    <row r="815">
      <c r="A815" s="689"/>
      <c r="B815" s="701"/>
      <c r="C815" s="689"/>
      <c r="D815" s="689"/>
      <c r="E815" s="689"/>
    </row>
    <row r="816">
      <c r="A816" s="689"/>
      <c r="B816" s="701"/>
      <c r="C816" s="689"/>
      <c r="D816" s="689"/>
      <c r="E816" s="689"/>
    </row>
    <row r="817">
      <c r="A817" s="689"/>
      <c r="B817" s="701"/>
      <c r="C817" s="689"/>
      <c r="D817" s="689"/>
      <c r="E817" s="689"/>
    </row>
    <row r="818">
      <c r="A818" s="689"/>
      <c r="B818" s="701"/>
      <c r="C818" s="689"/>
      <c r="D818" s="689"/>
      <c r="E818" s="689"/>
    </row>
    <row r="819">
      <c r="A819" s="689"/>
      <c r="B819" s="701"/>
      <c r="C819" s="689"/>
      <c r="D819" s="689"/>
      <c r="E819" s="689"/>
    </row>
    <row r="820">
      <c r="A820" s="689"/>
      <c r="B820" s="701"/>
      <c r="C820" s="689"/>
      <c r="D820" s="689"/>
      <c r="E820" s="689"/>
    </row>
    <row r="821">
      <c r="A821" s="689"/>
      <c r="B821" s="701"/>
      <c r="C821" s="689"/>
      <c r="D821" s="689"/>
      <c r="E821" s="689"/>
    </row>
    <row r="822">
      <c r="A822" s="689"/>
      <c r="B822" s="701"/>
      <c r="C822" s="689"/>
      <c r="D822" s="689"/>
      <c r="E822" s="689"/>
    </row>
    <row r="823">
      <c r="A823" s="689"/>
      <c r="B823" s="701"/>
      <c r="C823" s="689"/>
      <c r="D823" s="689"/>
      <c r="E823" s="689"/>
    </row>
    <row r="824">
      <c r="A824" s="689"/>
      <c r="B824" s="701"/>
      <c r="C824" s="689"/>
      <c r="D824" s="689"/>
      <c r="E824" s="689"/>
    </row>
    <row r="825">
      <c r="A825" s="689"/>
      <c r="B825" s="701"/>
      <c r="C825" s="689"/>
      <c r="D825" s="689"/>
      <c r="E825" s="689"/>
    </row>
    <row r="826">
      <c r="A826" s="689"/>
      <c r="B826" s="701"/>
      <c r="C826" s="689"/>
      <c r="D826" s="689"/>
      <c r="E826" s="689"/>
    </row>
    <row r="827">
      <c r="A827" s="689"/>
      <c r="B827" s="701"/>
      <c r="C827" s="689"/>
      <c r="D827" s="689"/>
      <c r="E827" s="689"/>
    </row>
    <row r="828">
      <c r="A828" s="689"/>
      <c r="B828" s="701"/>
      <c r="C828" s="689"/>
      <c r="D828" s="689"/>
      <c r="E828" s="689"/>
    </row>
    <row r="829">
      <c r="A829" s="689"/>
      <c r="B829" s="701"/>
      <c r="C829" s="689"/>
      <c r="D829" s="689"/>
      <c r="E829" s="689"/>
    </row>
    <row r="830">
      <c r="A830" s="689"/>
      <c r="B830" s="701"/>
      <c r="C830" s="689"/>
      <c r="D830" s="689"/>
      <c r="E830" s="689"/>
    </row>
    <row r="831">
      <c r="A831" s="689"/>
      <c r="B831" s="701"/>
      <c r="C831" s="689"/>
      <c r="D831" s="689"/>
      <c r="E831" s="689"/>
    </row>
    <row r="832">
      <c r="A832" s="689"/>
      <c r="B832" s="701"/>
      <c r="C832" s="689"/>
      <c r="D832" s="689"/>
      <c r="E832" s="689"/>
    </row>
    <row r="833">
      <c r="A833" s="689"/>
      <c r="B833" s="701"/>
      <c r="C833" s="689"/>
      <c r="D833" s="689"/>
      <c r="E833" s="689"/>
    </row>
    <row r="834">
      <c r="A834" s="689"/>
      <c r="B834" s="701"/>
      <c r="C834" s="689"/>
      <c r="D834" s="689"/>
      <c r="E834" s="689"/>
    </row>
    <row r="835">
      <c r="A835" s="689"/>
      <c r="B835" s="701"/>
      <c r="C835" s="689"/>
      <c r="D835" s="689"/>
      <c r="E835" s="689"/>
    </row>
    <row r="836">
      <c r="A836" s="689"/>
      <c r="B836" s="701"/>
      <c r="C836" s="689"/>
      <c r="D836" s="689"/>
      <c r="E836" s="689"/>
    </row>
    <row r="837">
      <c r="A837" s="689"/>
      <c r="B837" s="701"/>
      <c r="C837" s="689"/>
      <c r="D837" s="689"/>
      <c r="E837" s="689"/>
    </row>
    <row r="838">
      <c r="A838" s="689"/>
      <c r="B838" s="701"/>
      <c r="C838" s="689"/>
      <c r="D838" s="689"/>
      <c r="E838" s="689"/>
    </row>
    <row r="839">
      <c r="A839" s="689"/>
      <c r="B839" s="701"/>
      <c r="C839" s="689"/>
      <c r="D839" s="689"/>
      <c r="E839" s="689"/>
    </row>
    <row r="840">
      <c r="A840" s="689"/>
      <c r="B840" s="701"/>
      <c r="C840" s="689"/>
      <c r="D840" s="689"/>
      <c r="E840" s="689"/>
    </row>
    <row r="841">
      <c r="A841" s="689"/>
      <c r="B841" s="701"/>
      <c r="C841" s="689"/>
      <c r="D841" s="689"/>
      <c r="E841" s="689"/>
    </row>
    <row r="842">
      <c r="A842" s="689"/>
      <c r="B842" s="701"/>
      <c r="C842" s="689"/>
      <c r="D842" s="689"/>
      <c r="E842" s="689"/>
    </row>
    <row r="843">
      <c r="A843" s="689"/>
      <c r="B843" s="701"/>
      <c r="C843" s="689"/>
      <c r="D843" s="689"/>
      <c r="E843" s="689"/>
    </row>
    <row r="844">
      <c r="A844" s="689"/>
      <c r="B844" s="701"/>
      <c r="C844" s="689"/>
      <c r="D844" s="689"/>
      <c r="E844" s="689"/>
    </row>
    <row r="845">
      <c r="A845" s="689"/>
      <c r="B845" s="701"/>
      <c r="C845" s="689"/>
      <c r="D845" s="689"/>
      <c r="E845" s="689"/>
    </row>
    <row r="846">
      <c r="A846" s="689"/>
      <c r="B846" s="701"/>
      <c r="C846" s="689"/>
      <c r="D846" s="689"/>
      <c r="E846" s="689"/>
    </row>
    <row r="847">
      <c r="A847" s="689"/>
      <c r="B847" s="701"/>
      <c r="C847" s="689"/>
      <c r="D847" s="689"/>
      <c r="E847" s="689"/>
    </row>
    <row r="848">
      <c r="A848" s="689"/>
      <c r="B848" s="701"/>
      <c r="C848" s="689"/>
      <c r="D848" s="689"/>
      <c r="E848" s="689"/>
    </row>
    <row r="849">
      <c r="A849" s="689"/>
      <c r="B849" s="701"/>
      <c r="C849" s="689"/>
      <c r="D849" s="689"/>
      <c r="E849" s="689"/>
    </row>
    <row r="850">
      <c r="A850" s="689"/>
      <c r="B850" s="701"/>
      <c r="C850" s="689"/>
      <c r="D850" s="689"/>
      <c r="E850" s="689"/>
    </row>
    <row r="851">
      <c r="A851" s="689"/>
      <c r="B851" s="701"/>
      <c r="C851" s="689"/>
      <c r="D851" s="689"/>
      <c r="E851" s="689"/>
    </row>
    <row r="852">
      <c r="A852" s="689"/>
      <c r="B852" s="701"/>
      <c r="C852" s="689"/>
      <c r="D852" s="689"/>
      <c r="E852" s="689"/>
    </row>
    <row r="853">
      <c r="A853" s="689"/>
      <c r="B853" s="701"/>
      <c r="C853" s="689"/>
      <c r="D853" s="689"/>
      <c r="E853" s="689"/>
    </row>
    <row r="854">
      <c r="A854" s="689"/>
      <c r="B854" s="701"/>
      <c r="C854" s="689"/>
      <c r="D854" s="689"/>
      <c r="E854" s="689"/>
    </row>
    <row r="855">
      <c r="A855" s="689"/>
      <c r="B855" s="701"/>
      <c r="C855" s="689"/>
      <c r="D855" s="689"/>
      <c r="E855" s="689"/>
    </row>
    <row r="856">
      <c r="A856" s="689"/>
      <c r="B856" s="701"/>
      <c r="C856" s="689"/>
      <c r="D856" s="689"/>
      <c r="E856" s="689"/>
    </row>
    <row r="857">
      <c r="A857" s="689"/>
      <c r="B857" s="701"/>
      <c r="C857" s="689"/>
      <c r="D857" s="689"/>
      <c r="E857" s="689"/>
    </row>
    <row r="858">
      <c r="A858" s="689"/>
      <c r="B858" s="701"/>
      <c r="C858" s="689"/>
      <c r="D858" s="689"/>
      <c r="E858" s="689"/>
    </row>
    <row r="859">
      <c r="A859" s="689"/>
      <c r="B859" s="701"/>
      <c r="C859" s="689"/>
      <c r="D859" s="689"/>
      <c r="E859" s="689"/>
    </row>
    <row r="860">
      <c r="A860" s="689"/>
      <c r="B860" s="701"/>
      <c r="C860" s="689"/>
      <c r="D860" s="689"/>
      <c r="E860" s="689"/>
    </row>
    <row r="861">
      <c r="A861" s="689"/>
      <c r="B861" s="701"/>
      <c r="C861" s="689"/>
      <c r="D861" s="689"/>
      <c r="E861" s="689"/>
    </row>
    <row r="862">
      <c r="A862" s="689"/>
      <c r="B862" s="701"/>
      <c r="C862" s="689"/>
      <c r="D862" s="689"/>
      <c r="E862" s="689"/>
    </row>
    <row r="863">
      <c r="A863" s="689"/>
      <c r="B863" s="701"/>
      <c r="C863" s="689"/>
      <c r="D863" s="689"/>
      <c r="E863" s="689"/>
    </row>
    <row r="864">
      <c r="A864" s="689"/>
      <c r="B864" s="701"/>
      <c r="C864" s="689"/>
      <c r="D864" s="689"/>
      <c r="E864" s="689"/>
    </row>
    <row r="865">
      <c r="A865" s="689"/>
      <c r="B865" s="701"/>
      <c r="C865" s="689"/>
      <c r="D865" s="689"/>
      <c r="E865" s="689"/>
    </row>
    <row r="866">
      <c r="A866" s="689"/>
      <c r="B866" s="701"/>
      <c r="C866" s="689"/>
      <c r="D866" s="689"/>
      <c r="E866" s="689"/>
    </row>
    <row r="867">
      <c r="A867" s="689"/>
      <c r="B867" s="701"/>
      <c r="C867" s="689"/>
      <c r="D867" s="689"/>
      <c r="E867" s="689"/>
    </row>
    <row r="868">
      <c r="A868" s="689"/>
      <c r="B868" s="701"/>
      <c r="C868" s="689"/>
      <c r="D868" s="689"/>
      <c r="E868" s="689"/>
    </row>
    <row r="869">
      <c r="A869" s="689"/>
      <c r="B869" s="701"/>
      <c r="C869" s="689"/>
      <c r="D869" s="689"/>
      <c r="E869" s="689"/>
    </row>
    <row r="870">
      <c r="A870" s="689"/>
      <c r="B870" s="701"/>
      <c r="C870" s="689"/>
      <c r="D870" s="689"/>
      <c r="E870" s="689"/>
    </row>
    <row r="871">
      <c r="A871" s="689"/>
      <c r="B871" s="701"/>
      <c r="C871" s="689"/>
      <c r="D871" s="689"/>
      <c r="E871" s="689"/>
    </row>
    <row r="872">
      <c r="A872" s="689"/>
      <c r="B872" s="701"/>
      <c r="C872" s="689"/>
      <c r="D872" s="689"/>
      <c r="E872" s="689"/>
    </row>
    <row r="873">
      <c r="A873" s="689"/>
      <c r="B873" s="701"/>
      <c r="C873" s="689"/>
      <c r="D873" s="689"/>
      <c r="E873" s="689"/>
    </row>
    <row r="874">
      <c r="A874" s="689"/>
      <c r="B874" s="701"/>
      <c r="C874" s="689"/>
      <c r="D874" s="689"/>
      <c r="E874" s="689"/>
    </row>
    <row r="875">
      <c r="A875" s="689"/>
      <c r="B875" s="701"/>
      <c r="C875" s="689"/>
      <c r="D875" s="689"/>
      <c r="E875" s="689"/>
    </row>
    <row r="876">
      <c r="A876" s="689"/>
      <c r="B876" s="701"/>
      <c r="C876" s="689"/>
      <c r="D876" s="689"/>
      <c r="E876" s="689"/>
    </row>
    <row r="877">
      <c r="A877" s="689"/>
      <c r="B877" s="701"/>
      <c r="C877" s="689"/>
      <c r="D877" s="689"/>
      <c r="E877" s="689"/>
    </row>
    <row r="878">
      <c r="A878" s="689"/>
      <c r="B878" s="701"/>
      <c r="C878" s="689"/>
      <c r="D878" s="689"/>
      <c r="E878" s="689"/>
    </row>
    <row r="879">
      <c r="A879" s="689"/>
      <c r="B879" s="701"/>
      <c r="C879" s="689"/>
      <c r="D879" s="689"/>
      <c r="E879" s="689"/>
    </row>
    <row r="880">
      <c r="A880" s="689"/>
      <c r="B880" s="701"/>
      <c r="C880" s="689"/>
      <c r="D880" s="689"/>
      <c r="E880" s="689"/>
    </row>
    <row r="881">
      <c r="A881" s="689"/>
      <c r="B881" s="701"/>
      <c r="C881" s="689"/>
      <c r="D881" s="689"/>
      <c r="E881" s="689"/>
    </row>
    <row r="882">
      <c r="A882" s="689"/>
      <c r="B882" s="701"/>
      <c r="C882" s="689"/>
      <c r="D882" s="689"/>
      <c r="E882" s="689"/>
    </row>
    <row r="883">
      <c r="A883" s="689"/>
      <c r="B883" s="701"/>
      <c r="C883" s="689"/>
      <c r="D883" s="689"/>
      <c r="E883" s="689"/>
    </row>
    <row r="884">
      <c r="A884" s="689"/>
      <c r="B884" s="701"/>
      <c r="C884" s="689"/>
      <c r="D884" s="689"/>
      <c r="E884" s="689"/>
    </row>
    <row r="885">
      <c r="A885" s="689"/>
      <c r="B885" s="701"/>
      <c r="C885" s="689"/>
      <c r="D885" s="689"/>
      <c r="E885" s="689"/>
    </row>
    <row r="886">
      <c r="A886" s="689"/>
      <c r="B886" s="701"/>
      <c r="C886" s="689"/>
      <c r="D886" s="689"/>
      <c r="E886" s="689"/>
    </row>
    <row r="887">
      <c r="A887" s="689"/>
      <c r="B887" s="701"/>
      <c r="C887" s="689"/>
      <c r="D887" s="689"/>
      <c r="E887" s="689"/>
    </row>
    <row r="888">
      <c r="A888" s="689"/>
      <c r="B888" s="701"/>
      <c r="C888" s="689"/>
      <c r="D888" s="689"/>
      <c r="E888" s="689"/>
    </row>
    <row r="889">
      <c r="A889" s="689"/>
      <c r="B889" s="701"/>
      <c r="C889" s="689"/>
      <c r="D889" s="689"/>
      <c r="E889" s="689"/>
    </row>
    <row r="890">
      <c r="A890" s="689"/>
      <c r="B890" s="701"/>
      <c r="C890" s="689"/>
      <c r="D890" s="689"/>
      <c r="E890" s="689"/>
    </row>
    <row r="891">
      <c r="A891" s="689"/>
      <c r="B891" s="701"/>
      <c r="C891" s="689"/>
      <c r="D891" s="689"/>
      <c r="E891" s="689"/>
    </row>
    <row r="892">
      <c r="A892" s="689"/>
      <c r="B892" s="701"/>
      <c r="C892" s="689"/>
      <c r="D892" s="689"/>
      <c r="E892" s="689"/>
    </row>
    <row r="893">
      <c r="A893" s="689"/>
      <c r="B893" s="701"/>
      <c r="C893" s="689"/>
      <c r="D893" s="689"/>
      <c r="E893" s="689"/>
    </row>
    <row r="894">
      <c r="A894" s="689"/>
      <c r="B894" s="701"/>
      <c r="C894" s="689"/>
      <c r="D894" s="689"/>
      <c r="E894" s="689"/>
    </row>
    <row r="895">
      <c r="A895" s="689"/>
      <c r="B895" s="701"/>
      <c r="C895" s="689"/>
      <c r="D895" s="689"/>
      <c r="E895" s="689"/>
    </row>
    <row r="896">
      <c r="A896" s="689"/>
      <c r="B896" s="701"/>
      <c r="C896" s="689"/>
      <c r="D896" s="689"/>
      <c r="E896" s="689"/>
    </row>
    <row r="897">
      <c r="A897" s="689"/>
      <c r="B897" s="701"/>
      <c r="C897" s="689"/>
      <c r="D897" s="689"/>
      <c r="E897" s="689"/>
    </row>
    <row r="898">
      <c r="A898" s="689"/>
      <c r="B898" s="701"/>
      <c r="C898" s="689"/>
      <c r="D898" s="689"/>
      <c r="E898" s="689"/>
    </row>
    <row r="899">
      <c r="A899" s="689"/>
      <c r="B899" s="701"/>
      <c r="C899" s="689"/>
      <c r="D899" s="689"/>
      <c r="E899" s="689"/>
    </row>
    <row r="900">
      <c r="A900" s="689"/>
      <c r="B900" s="701"/>
      <c r="C900" s="689"/>
      <c r="D900" s="689"/>
      <c r="E900" s="689"/>
    </row>
    <row r="901">
      <c r="A901" s="689"/>
      <c r="B901" s="701"/>
      <c r="C901" s="689"/>
      <c r="D901" s="689"/>
      <c r="E901" s="689"/>
    </row>
    <row r="902">
      <c r="A902" s="689"/>
      <c r="B902" s="701"/>
      <c r="C902" s="689"/>
      <c r="D902" s="689"/>
      <c r="E902" s="689"/>
    </row>
    <row r="903">
      <c r="A903" s="689"/>
      <c r="B903" s="701"/>
      <c r="C903" s="689"/>
      <c r="D903" s="689"/>
      <c r="E903" s="689"/>
    </row>
    <row r="904">
      <c r="A904" s="689"/>
      <c r="B904" s="701"/>
      <c r="C904" s="689"/>
      <c r="D904" s="689"/>
      <c r="E904" s="689"/>
    </row>
    <row r="905">
      <c r="A905" s="689"/>
      <c r="B905" s="701"/>
      <c r="C905" s="689"/>
      <c r="D905" s="689"/>
      <c r="E905" s="689"/>
    </row>
    <row r="906">
      <c r="A906" s="689"/>
      <c r="B906" s="701"/>
      <c r="C906" s="689"/>
      <c r="D906" s="689"/>
      <c r="E906" s="689"/>
    </row>
    <row r="907">
      <c r="A907" s="689"/>
      <c r="B907" s="701"/>
      <c r="C907" s="689"/>
      <c r="D907" s="689"/>
      <c r="E907" s="689"/>
    </row>
    <row r="908">
      <c r="A908" s="689"/>
      <c r="B908" s="701"/>
      <c r="C908" s="689"/>
      <c r="D908" s="689"/>
      <c r="E908" s="689"/>
    </row>
    <row r="909">
      <c r="A909" s="689"/>
      <c r="B909" s="701"/>
      <c r="C909" s="689"/>
      <c r="D909" s="689"/>
      <c r="E909" s="689"/>
    </row>
    <row r="910">
      <c r="A910" s="689"/>
      <c r="B910" s="701"/>
      <c r="C910" s="689"/>
      <c r="D910" s="689"/>
      <c r="E910" s="689"/>
    </row>
    <row r="911">
      <c r="A911" s="689"/>
      <c r="B911" s="701"/>
      <c r="C911" s="689"/>
      <c r="D911" s="689"/>
      <c r="E911" s="689"/>
    </row>
    <row r="912">
      <c r="A912" s="689"/>
      <c r="B912" s="701"/>
      <c r="C912" s="689"/>
      <c r="D912" s="689"/>
      <c r="E912" s="689"/>
    </row>
    <row r="913">
      <c r="A913" s="689"/>
      <c r="B913" s="701"/>
      <c r="C913" s="689"/>
      <c r="D913" s="689"/>
      <c r="E913" s="689"/>
    </row>
    <row r="914">
      <c r="A914" s="689"/>
      <c r="B914" s="701"/>
      <c r="C914" s="689"/>
      <c r="D914" s="689"/>
      <c r="E914" s="689"/>
    </row>
    <row r="915">
      <c r="A915" s="689"/>
      <c r="B915" s="701"/>
      <c r="C915" s="689"/>
      <c r="D915" s="689"/>
      <c r="E915" s="689"/>
    </row>
    <row r="916">
      <c r="A916" s="689"/>
      <c r="B916" s="701"/>
      <c r="C916" s="689"/>
      <c r="D916" s="689"/>
      <c r="E916" s="689"/>
    </row>
    <row r="917">
      <c r="A917" s="689"/>
      <c r="B917" s="701"/>
      <c r="C917" s="689"/>
      <c r="D917" s="689"/>
      <c r="E917" s="689"/>
    </row>
    <row r="918">
      <c r="A918" s="689"/>
      <c r="B918" s="701"/>
      <c r="C918" s="689"/>
      <c r="D918" s="689"/>
      <c r="E918" s="689"/>
    </row>
    <row r="919">
      <c r="A919" s="689"/>
      <c r="B919" s="701"/>
      <c r="C919" s="689"/>
      <c r="D919" s="689"/>
      <c r="E919" s="689"/>
    </row>
    <row r="920">
      <c r="A920" s="689"/>
      <c r="B920" s="701"/>
      <c r="C920" s="689"/>
      <c r="D920" s="689"/>
      <c r="E920" s="689"/>
    </row>
    <row r="921">
      <c r="A921" s="689"/>
      <c r="B921" s="701"/>
      <c r="C921" s="689"/>
      <c r="D921" s="689"/>
      <c r="E921" s="689"/>
    </row>
    <row r="922">
      <c r="A922" s="689"/>
      <c r="B922" s="701"/>
      <c r="C922" s="689"/>
      <c r="D922" s="689"/>
      <c r="E922" s="689"/>
    </row>
    <row r="923">
      <c r="A923" s="689"/>
      <c r="B923" s="701"/>
      <c r="C923" s="689"/>
      <c r="D923" s="689"/>
      <c r="E923" s="689"/>
    </row>
    <row r="924">
      <c r="A924" s="689"/>
      <c r="B924" s="701"/>
      <c r="C924" s="689"/>
      <c r="D924" s="689"/>
      <c r="E924" s="689"/>
    </row>
    <row r="925">
      <c r="A925" s="689"/>
      <c r="B925" s="701"/>
      <c r="C925" s="689"/>
      <c r="D925" s="689"/>
      <c r="E925" s="689"/>
    </row>
    <row r="926">
      <c r="A926" s="689"/>
      <c r="B926" s="701"/>
      <c r="C926" s="689"/>
      <c r="D926" s="689"/>
      <c r="E926" s="689"/>
    </row>
    <row r="927">
      <c r="A927" s="689"/>
      <c r="B927" s="701"/>
      <c r="C927" s="689"/>
      <c r="D927" s="689"/>
      <c r="E927" s="689"/>
    </row>
    <row r="928">
      <c r="A928" s="689"/>
      <c r="B928" s="701"/>
      <c r="C928" s="689"/>
      <c r="D928" s="689"/>
      <c r="E928" s="689"/>
    </row>
    <row r="929">
      <c r="A929" s="689"/>
      <c r="B929" s="701"/>
      <c r="C929" s="689"/>
      <c r="D929" s="689"/>
      <c r="E929" s="689"/>
    </row>
    <row r="930">
      <c r="A930" s="689"/>
      <c r="B930" s="701"/>
      <c r="C930" s="689"/>
      <c r="D930" s="689"/>
      <c r="E930" s="689"/>
    </row>
    <row r="931">
      <c r="A931" s="689"/>
      <c r="B931" s="701"/>
      <c r="C931" s="689"/>
      <c r="D931" s="689"/>
      <c r="E931" s="689"/>
    </row>
    <row r="932">
      <c r="A932" s="689"/>
      <c r="B932" s="701"/>
      <c r="C932" s="689"/>
      <c r="D932" s="689"/>
      <c r="E932" s="689"/>
    </row>
    <row r="933">
      <c r="A933" s="689"/>
      <c r="B933" s="701"/>
      <c r="C933" s="689"/>
      <c r="D933" s="689"/>
      <c r="E933" s="689"/>
    </row>
    <row r="934">
      <c r="A934" s="689"/>
      <c r="B934" s="701"/>
      <c r="C934" s="689"/>
      <c r="D934" s="689"/>
      <c r="E934" s="689"/>
    </row>
    <row r="935">
      <c r="A935" s="689"/>
      <c r="B935" s="701"/>
      <c r="C935" s="689"/>
      <c r="D935" s="689"/>
      <c r="E935" s="689"/>
    </row>
    <row r="936">
      <c r="A936" s="689"/>
      <c r="B936" s="701"/>
      <c r="C936" s="689"/>
      <c r="D936" s="689"/>
      <c r="E936" s="689"/>
    </row>
    <row r="937">
      <c r="A937" s="689"/>
      <c r="B937" s="701"/>
      <c r="C937" s="689"/>
      <c r="D937" s="689"/>
      <c r="E937" s="689"/>
    </row>
    <row r="938">
      <c r="A938" s="689"/>
      <c r="B938" s="701"/>
      <c r="C938" s="689"/>
      <c r="D938" s="689"/>
      <c r="E938" s="689"/>
    </row>
    <row r="939">
      <c r="A939" s="689"/>
      <c r="B939" s="701"/>
      <c r="C939" s="689"/>
      <c r="D939" s="689"/>
      <c r="E939" s="689"/>
    </row>
    <row r="940">
      <c r="A940" s="689"/>
      <c r="B940" s="701"/>
      <c r="C940" s="689"/>
      <c r="D940" s="689"/>
      <c r="E940" s="689"/>
    </row>
    <row r="941">
      <c r="A941" s="689"/>
      <c r="B941" s="701"/>
      <c r="C941" s="689"/>
      <c r="D941" s="689"/>
      <c r="E941" s="689"/>
    </row>
    <row r="942">
      <c r="A942" s="689"/>
      <c r="B942" s="701"/>
      <c r="C942" s="689"/>
      <c r="D942" s="689"/>
      <c r="E942" s="689"/>
    </row>
    <row r="943">
      <c r="A943" s="689"/>
      <c r="B943" s="701"/>
      <c r="C943" s="689"/>
      <c r="D943" s="689"/>
      <c r="E943" s="689"/>
    </row>
    <row r="944">
      <c r="A944" s="689"/>
      <c r="B944" s="701"/>
      <c r="C944" s="689"/>
      <c r="D944" s="689"/>
      <c r="E944" s="689"/>
    </row>
    <row r="945">
      <c r="A945" s="689"/>
      <c r="B945" s="701"/>
      <c r="C945" s="689"/>
      <c r="D945" s="689"/>
      <c r="E945" s="689"/>
    </row>
    <row r="946">
      <c r="A946" s="689"/>
      <c r="B946" s="701"/>
      <c r="C946" s="689"/>
      <c r="D946" s="689"/>
      <c r="E946" s="689"/>
    </row>
    <row r="947">
      <c r="A947" s="689"/>
      <c r="B947" s="701"/>
      <c r="C947" s="689"/>
      <c r="D947" s="689"/>
      <c r="E947" s="689"/>
    </row>
    <row r="948">
      <c r="A948" s="689"/>
      <c r="B948" s="701"/>
      <c r="C948" s="689"/>
      <c r="D948" s="689"/>
      <c r="E948" s="689"/>
    </row>
    <row r="949">
      <c r="A949" s="689"/>
      <c r="B949" s="701"/>
      <c r="C949" s="689"/>
      <c r="D949" s="689"/>
      <c r="E949" s="689"/>
    </row>
    <row r="950">
      <c r="A950" s="689"/>
      <c r="B950" s="701"/>
      <c r="C950" s="689"/>
      <c r="D950" s="689"/>
      <c r="E950" s="689"/>
    </row>
    <row r="951">
      <c r="A951" s="689"/>
      <c r="B951" s="701"/>
      <c r="C951" s="689"/>
      <c r="D951" s="689"/>
      <c r="E951" s="689"/>
    </row>
    <row r="952">
      <c r="A952" s="689"/>
      <c r="B952" s="701"/>
      <c r="C952" s="689"/>
      <c r="D952" s="689"/>
      <c r="E952" s="689"/>
    </row>
    <row r="953">
      <c r="A953" s="689"/>
      <c r="B953" s="701"/>
      <c r="C953" s="689"/>
      <c r="D953" s="689"/>
      <c r="E953" s="689"/>
    </row>
    <row r="954">
      <c r="A954" s="689"/>
      <c r="B954" s="701"/>
      <c r="C954" s="689"/>
      <c r="D954" s="689"/>
      <c r="E954" s="689"/>
    </row>
    <row r="955">
      <c r="A955" s="689"/>
      <c r="B955" s="701"/>
      <c r="C955" s="689"/>
      <c r="D955" s="689"/>
      <c r="E955" s="689"/>
    </row>
    <row r="956">
      <c r="A956" s="689"/>
      <c r="B956" s="701"/>
      <c r="C956" s="689"/>
      <c r="D956" s="689"/>
      <c r="E956" s="689"/>
    </row>
    <row r="957">
      <c r="A957" s="689"/>
      <c r="B957" s="701"/>
      <c r="C957" s="689"/>
      <c r="D957" s="689"/>
      <c r="E957" s="689"/>
    </row>
    <row r="958">
      <c r="A958" s="689"/>
      <c r="B958" s="701"/>
      <c r="C958" s="689"/>
      <c r="D958" s="689"/>
      <c r="E958" s="689"/>
    </row>
    <row r="959">
      <c r="A959" s="689"/>
      <c r="B959" s="701"/>
      <c r="C959" s="689"/>
      <c r="D959" s="689"/>
      <c r="E959" s="689"/>
    </row>
    <row r="960">
      <c r="A960" s="689"/>
      <c r="B960" s="701"/>
      <c r="C960" s="689"/>
      <c r="D960" s="689"/>
      <c r="E960" s="689"/>
    </row>
    <row r="961">
      <c r="A961" s="689"/>
      <c r="B961" s="701"/>
      <c r="C961" s="689"/>
      <c r="D961" s="689"/>
      <c r="E961" s="689"/>
    </row>
    <row r="962">
      <c r="A962" s="689"/>
      <c r="B962" s="701"/>
      <c r="C962" s="689"/>
      <c r="D962" s="689"/>
      <c r="E962" s="689"/>
    </row>
    <row r="963">
      <c r="A963" s="689"/>
      <c r="B963" s="701"/>
      <c r="C963" s="689"/>
      <c r="D963" s="689"/>
      <c r="E963" s="689"/>
    </row>
    <row r="964">
      <c r="A964" s="689"/>
      <c r="B964" s="701"/>
      <c r="C964" s="689"/>
      <c r="D964" s="689"/>
      <c r="E964" s="689"/>
    </row>
    <row r="965">
      <c r="A965" s="689"/>
      <c r="B965" s="701"/>
      <c r="C965" s="689"/>
      <c r="D965" s="689"/>
      <c r="E965" s="689"/>
    </row>
    <row r="966">
      <c r="A966" s="689"/>
      <c r="B966" s="701"/>
      <c r="C966" s="689"/>
      <c r="D966" s="689"/>
      <c r="E966" s="689"/>
    </row>
    <row r="967">
      <c r="A967" s="689"/>
      <c r="B967" s="701"/>
      <c r="C967" s="689"/>
      <c r="D967" s="689"/>
      <c r="E967" s="689"/>
    </row>
    <row r="968">
      <c r="A968" s="689"/>
      <c r="B968" s="701"/>
      <c r="C968" s="689"/>
      <c r="D968" s="689"/>
      <c r="E968" s="689"/>
    </row>
    <row r="969">
      <c r="A969" s="689"/>
      <c r="B969" s="701"/>
      <c r="C969" s="689"/>
      <c r="D969" s="689"/>
      <c r="E969" s="689"/>
    </row>
    <row r="970">
      <c r="A970" s="689"/>
      <c r="B970" s="701"/>
      <c r="C970" s="689"/>
      <c r="D970" s="689"/>
      <c r="E970" s="689"/>
    </row>
    <row r="971">
      <c r="A971" s="689"/>
      <c r="B971" s="701"/>
      <c r="C971" s="689"/>
      <c r="D971" s="689"/>
      <c r="E971" s="689"/>
    </row>
    <row r="972">
      <c r="A972" s="689"/>
      <c r="B972" s="701"/>
      <c r="C972" s="689"/>
      <c r="D972" s="689"/>
      <c r="E972" s="689"/>
    </row>
    <row r="973">
      <c r="A973" s="689"/>
      <c r="B973" s="701"/>
      <c r="C973" s="689"/>
      <c r="D973" s="689"/>
      <c r="E973" s="689"/>
    </row>
    <row r="974">
      <c r="A974" s="689"/>
      <c r="B974" s="701"/>
      <c r="C974" s="689"/>
      <c r="D974" s="689"/>
      <c r="E974" s="689"/>
    </row>
    <row r="975">
      <c r="A975" s="689"/>
      <c r="B975" s="701"/>
      <c r="C975" s="689"/>
      <c r="D975" s="689"/>
      <c r="E975" s="689"/>
    </row>
    <row r="976">
      <c r="A976" s="689"/>
      <c r="B976" s="701"/>
      <c r="C976" s="689"/>
      <c r="D976" s="689"/>
      <c r="E976" s="689"/>
    </row>
    <row r="977">
      <c r="A977" s="689"/>
      <c r="B977" s="701"/>
      <c r="C977" s="689"/>
      <c r="D977" s="689"/>
      <c r="E977" s="689"/>
    </row>
    <row r="978">
      <c r="A978" s="689"/>
      <c r="B978" s="701"/>
      <c r="C978" s="689"/>
      <c r="D978" s="689"/>
      <c r="E978" s="689"/>
    </row>
    <row r="979">
      <c r="A979" s="689"/>
      <c r="B979" s="701"/>
      <c r="C979" s="689"/>
      <c r="D979" s="689"/>
      <c r="E979" s="689"/>
    </row>
    <row r="980">
      <c r="A980" s="689"/>
      <c r="B980" s="701"/>
      <c r="C980" s="689"/>
      <c r="D980" s="689"/>
      <c r="E980" s="689"/>
    </row>
    <row r="981">
      <c r="A981" s="689"/>
      <c r="B981" s="701"/>
      <c r="C981" s="689"/>
      <c r="D981" s="689"/>
      <c r="E981" s="689"/>
    </row>
    <row r="982">
      <c r="A982" s="689"/>
      <c r="B982" s="701"/>
      <c r="C982" s="689"/>
      <c r="D982" s="689"/>
      <c r="E982" s="689"/>
    </row>
    <row r="983">
      <c r="A983" s="689"/>
      <c r="B983" s="701"/>
      <c r="C983" s="689"/>
      <c r="D983" s="689"/>
      <c r="E983" s="689"/>
    </row>
    <row r="984">
      <c r="A984" s="689"/>
      <c r="B984" s="701"/>
      <c r="C984" s="689"/>
      <c r="D984" s="689"/>
      <c r="E984" s="689"/>
    </row>
    <row r="985">
      <c r="A985" s="689"/>
      <c r="B985" s="701"/>
      <c r="C985" s="689"/>
      <c r="D985" s="689"/>
      <c r="E985" s="689"/>
    </row>
    <row r="986">
      <c r="A986" s="689"/>
      <c r="B986" s="701"/>
      <c r="C986" s="689"/>
      <c r="D986" s="689"/>
      <c r="E986" s="689"/>
    </row>
    <row r="987">
      <c r="A987" s="689"/>
      <c r="B987" s="701"/>
      <c r="C987" s="689"/>
      <c r="D987" s="689"/>
      <c r="E987" s="689"/>
    </row>
    <row r="988">
      <c r="A988" s="689"/>
      <c r="B988" s="701"/>
      <c r="C988" s="689"/>
      <c r="D988" s="689"/>
      <c r="E988" s="689"/>
    </row>
    <row r="989">
      <c r="A989" s="689"/>
      <c r="B989" s="701"/>
      <c r="C989" s="689"/>
      <c r="D989" s="689"/>
      <c r="E989" s="689"/>
    </row>
    <row r="990">
      <c r="A990" s="689"/>
      <c r="B990" s="701"/>
      <c r="C990" s="689"/>
      <c r="D990" s="689"/>
      <c r="E990" s="689"/>
    </row>
    <row r="991">
      <c r="A991" s="689"/>
      <c r="B991" s="701"/>
      <c r="C991" s="689"/>
      <c r="D991" s="689"/>
      <c r="E991" s="689"/>
    </row>
    <row r="992">
      <c r="A992" s="689"/>
      <c r="B992" s="701"/>
      <c r="C992" s="689"/>
      <c r="D992" s="689"/>
      <c r="E992" s="689"/>
    </row>
    <row r="993">
      <c r="A993" s="689"/>
      <c r="B993" s="701"/>
      <c r="C993" s="689"/>
      <c r="D993" s="689"/>
      <c r="E993" s="689"/>
    </row>
    <row r="994">
      <c r="A994" s="689"/>
      <c r="B994" s="701"/>
      <c r="C994" s="689"/>
      <c r="D994" s="689"/>
      <c r="E994" s="689"/>
    </row>
    <row r="995">
      <c r="A995" s="689"/>
      <c r="B995" s="701"/>
      <c r="C995" s="689"/>
      <c r="D995" s="689"/>
      <c r="E995" s="689"/>
    </row>
    <row r="996">
      <c r="A996" s="689"/>
      <c r="B996" s="701"/>
      <c r="C996" s="689"/>
      <c r="D996" s="689"/>
      <c r="E996" s="689"/>
    </row>
    <row r="997">
      <c r="A997" s="689"/>
      <c r="B997" s="701"/>
      <c r="C997" s="689"/>
      <c r="D997" s="689"/>
      <c r="E997" s="689"/>
    </row>
  </sheetData>
  <mergeCells count="1">
    <mergeCell ref="A1:E1"/>
  </mergeCells>
  <conditionalFormatting sqref="A1:E360">
    <cfRule type="expression" dxfId="0" priority="1">
      <formula>#REF!=TRUE</formula>
    </cfRule>
  </conditionalFormatting>
  <hyperlinks>
    <hyperlink r:id="rId1" ref="D3"/>
    <hyperlink r:id="rId2" ref="E4"/>
    <hyperlink r:id="rId3" ref="B6"/>
    <hyperlink r:id="rId4" ref="E6"/>
    <hyperlink r:id="rId5" ref="E8"/>
    <hyperlink r:id="rId6" ref="E9"/>
    <hyperlink r:id="rId7" ref="B11"/>
    <hyperlink r:id="rId8" ref="E11"/>
    <hyperlink r:id="rId9" ref="E18"/>
    <hyperlink r:id="rId10" ref="E19"/>
    <hyperlink r:id="rId11" ref="E24"/>
    <hyperlink r:id="rId12" ref="E27"/>
  </hyperlinks>
  <drawing r:id="rId1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75"/>
    <col customWidth="1" min="2" max="2" width="8.0"/>
    <col customWidth="1" min="3" max="3" width="38.0"/>
    <col customWidth="1" min="4" max="4" width="23.25"/>
    <col customWidth="1" min="5" max="5" width="36.0"/>
    <col customWidth="1" min="6" max="6" width="31.13"/>
  </cols>
  <sheetData>
    <row r="1" ht="30.0" customHeight="1">
      <c r="A1" s="702" t="s">
        <v>5351</v>
      </c>
      <c r="B1" s="53"/>
      <c r="C1" s="53"/>
      <c r="D1" s="53"/>
      <c r="E1" s="53"/>
      <c r="F1" s="53"/>
      <c r="G1" s="202"/>
    </row>
    <row r="2" ht="30.0" customHeight="1">
      <c r="A2" s="703"/>
      <c r="B2" s="703" t="s">
        <v>0</v>
      </c>
      <c r="C2" s="703" t="s">
        <v>1</v>
      </c>
      <c r="D2" s="703" t="s">
        <v>2</v>
      </c>
      <c r="E2" s="704" t="s">
        <v>3</v>
      </c>
      <c r="F2" s="703" t="s">
        <v>4</v>
      </c>
      <c r="G2" s="705" t="s">
        <v>5352</v>
      </c>
    </row>
    <row r="3">
      <c r="A3" s="706">
        <v>1.0</v>
      </c>
      <c r="B3" s="362" t="b">
        <v>0</v>
      </c>
      <c r="C3" s="707" t="s">
        <v>5353</v>
      </c>
      <c r="D3" s="208"/>
      <c r="E3" s="708">
        <v>9.66920031881E11</v>
      </c>
      <c r="F3" s="709"/>
      <c r="G3" s="194"/>
    </row>
    <row r="4">
      <c r="A4" s="706">
        <v>2.0</v>
      </c>
      <c r="B4" s="362" t="b">
        <v>0</v>
      </c>
      <c r="C4" s="710" t="s">
        <v>5354</v>
      </c>
      <c r="D4" s="208"/>
      <c r="E4" s="711" t="s">
        <v>5355</v>
      </c>
      <c r="F4" s="709"/>
      <c r="G4" s="194"/>
    </row>
    <row r="5">
      <c r="A5" s="706">
        <v>3.0</v>
      </c>
      <c r="B5" s="362" t="b">
        <v>0</v>
      </c>
      <c r="C5" s="305" t="s">
        <v>5356</v>
      </c>
      <c r="D5" s="208"/>
      <c r="E5" s="712" t="s">
        <v>5357</v>
      </c>
      <c r="F5" s="713" t="s">
        <v>5358</v>
      </c>
      <c r="G5" s="362" t="b">
        <v>1</v>
      </c>
    </row>
    <row r="6">
      <c r="A6" s="706">
        <v>4.0</v>
      </c>
      <c r="B6" s="362" t="b">
        <v>0</v>
      </c>
      <c r="C6" s="207" t="s">
        <v>5359</v>
      </c>
      <c r="D6" s="208"/>
      <c r="E6" s="708">
        <v>9.20010088E8</v>
      </c>
      <c r="F6" s="714" t="s">
        <v>5360</v>
      </c>
      <c r="G6" s="362" t="b">
        <v>1</v>
      </c>
    </row>
    <row r="7">
      <c r="A7" s="706">
        <v>5.0</v>
      </c>
      <c r="B7" s="362" t="b">
        <v>0</v>
      </c>
      <c r="C7" s="207" t="s">
        <v>5361</v>
      </c>
      <c r="D7" s="208"/>
      <c r="E7" s="715" t="s">
        <v>5362</v>
      </c>
      <c r="F7" s="713" t="s">
        <v>5363</v>
      </c>
      <c r="G7" s="362" t="b">
        <v>1</v>
      </c>
    </row>
    <row r="8">
      <c r="A8" s="706">
        <v>6.0</v>
      </c>
      <c r="B8" s="362" t="b">
        <v>0</v>
      </c>
      <c r="C8" s="207" t="s">
        <v>5364</v>
      </c>
      <c r="D8" s="208"/>
      <c r="E8" s="208">
        <v>9.661269624E11</v>
      </c>
      <c r="F8" s="709" t="s">
        <v>5365</v>
      </c>
      <c r="G8" s="362" t="b">
        <v>0</v>
      </c>
    </row>
    <row r="9">
      <c r="A9" s="706">
        <v>7.0</v>
      </c>
      <c r="B9" s="362" t="b">
        <v>0</v>
      </c>
      <c r="C9" s="207" t="s">
        <v>5366</v>
      </c>
      <c r="D9" s="208"/>
      <c r="E9" s="708" t="s">
        <v>5367</v>
      </c>
      <c r="F9" s="709" t="s">
        <v>5368</v>
      </c>
      <c r="G9" s="362" t="b">
        <v>0</v>
      </c>
    </row>
    <row r="10">
      <c r="A10" s="706">
        <v>8.0</v>
      </c>
      <c r="B10" s="362" t="b">
        <v>0</v>
      </c>
      <c r="C10" s="716" t="s">
        <v>5369</v>
      </c>
      <c r="D10" s="208"/>
      <c r="E10" s="717" t="s">
        <v>5370</v>
      </c>
      <c r="F10" s="717" t="s">
        <v>5371</v>
      </c>
      <c r="G10" s="362" t="b">
        <v>0</v>
      </c>
    </row>
    <row r="11">
      <c r="A11" s="706">
        <v>9.0</v>
      </c>
      <c r="B11" s="362" t="b">
        <v>0</v>
      </c>
      <c r="C11" s="718" t="s">
        <v>5372</v>
      </c>
      <c r="D11" s="208"/>
      <c r="E11" s="708" t="s">
        <v>5373</v>
      </c>
      <c r="F11" s="709" t="s">
        <v>5374</v>
      </c>
      <c r="G11" s="362" t="b">
        <v>1</v>
      </c>
    </row>
    <row r="12">
      <c r="A12" s="706">
        <v>10.0</v>
      </c>
      <c r="B12" s="362" t="b">
        <v>0</v>
      </c>
      <c r="C12" s="207" t="s">
        <v>5375</v>
      </c>
      <c r="D12" s="208"/>
      <c r="E12" s="708">
        <v>8.0011101E9</v>
      </c>
      <c r="F12" s="719" t="s">
        <v>5376</v>
      </c>
      <c r="G12" s="362" t="b">
        <v>1</v>
      </c>
    </row>
    <row r="13">
      <c r="A13" s="706">
        <v>11.0</v>
      </c>
      <c r="B13" s="362" t="b">
        <v>0</v>
      </c>
      <c r="C13" s="305" t="s">
        <v>5377</v>
      </c>
      <c r="D13" s="208"/>
      <c r="E13" s="720">
        <v>5.55317247E8</v>
      </c>
      <c r="F13" s="720" t="s">
        <v>5378</v>
      </c>
      <c r="G13" s="362" t="b">
        <v>1</v>
      </c>
    </row>
    <row r="14">
      <c r="A14" s="706">
        <v>12.0</v>
      </c>
      <c r="B14" s="362" t="b">
        <v>0</v>
      </c>
      <c r="C14" s="305" t="s">
        <v>5379</v>
      </c>
      <c r="D14" s="208"/>
      <c r="E14" s="208">
        <v>9.2001317E8</v>
      </c>
      <c r="F14" s="709"/>
      <c r="G14" s="362" t="b">
        <v>1</v>
      </c>
    </row>
    <row r="15">
      <c r="A15" s="706">
        <v>13.0</v>
      </c>
      <c r="B15" s="362" t="b">
        <v>0</v>
      </c>
      <c r="C15" s="207" t="s">
        <v>5380</v>
      </c>
      <c r="D15" s="208"/>
      <c r="E15" s="721">
        <v>9.20013532E8</v>
      </c>
      <c r="F15" s="714" t="s">
        <v>5381</v>
      </c>
      <c r="G15" s="362" t="b">
        <v>1</v>
      </c>
    </row>
    <row r="16">
      <c r="A16" s="706">
        <v>14.0</v>
      </c>
      <c r="B16" s="362" t="b">
        <v>0</v>
      </c>
      <c r="C16" s="722" t="s">
        <v>5382</v>
      </c>
      <c r="D16" s="208"/>
      <c r="E16" s="723" t="s">
        <v>5383</v>
      </c>
      <c r="F16" s="713" t="s">
        <v>5384</v>
      </c>
      <c r="G16" s="362" t="b">
        <v>1</v>
      </c>
    </row>
    <row r="17">
      <c r="A17" s="706">
        <v>15.0</v>
      </c>
      <c r="B17" s="362" t="b">
        <v>0</v>
      </c>
      <c r="C17" s="207" t="s">
        <v>5385</v>
      </c>
      <c r="D17" s="208"/>
      <c r="E17" s="208"/>
      <c r="F17" s="715" t="s">
        <v>5386</v>
      </c>
      <c r="G17" s="362" t="b">
        <v>1</v>
      </c>
    </row>
    <row r="18">
      <c r="A18" s="706">
        <v>16.0</v>
      </c>
      <c r="B18" s="362" t="b">
        <v>0</v>
      </c>
      <c r="C18" s="207" t="s">
        <v>5387</v>
      </c>
      <c r="D18" s="208"/>
      <c r="E18" s="719" t="s">
        <v>5388</v>
      </c>
      <c r="F18" s="724" t="s">
        <v>5389</v>
      </c>
      <c r="G18" s="362" t="b">
        <v>1</v>
      </c>
    </row>
    <row r="19">
      <c r="A19" s="706">
        <v>17.0</v>
      </c>
      <c r="B19" s="362" t="b">
        <v>0</v>
      </c>
      <c r="C19" s="207" t="s">
        <v>5390</v>
      </c>
      <c r="D19" s="208"/>
      <c r="E19" s="719" t="s">
        <v>5391</v>
      </c>
      <c r="F19" s="709"/>
      <c r="G19" s="362" t="b">
        <v>1</v>
      </c>
    </row>
    <row r="20">
      <c r="A20" s="706">
        <v>18.0</v>
      </c>
      <c r="B20" s="362" t="b">
        <v>0</v>
      </c>
      <c r="C20" s="207" t="s">
        <v>5392</v>
      </c>
      <c r="D20" s="208"/>
      <c r="E20" s="725">
        <v>9.20007277E8</v>
      </c>
      <c r="F20" s="725" t="s">
        <v>5393</v>
      </c>
      <c r="G20" s="362" t="b">
        <v>1</v>
      </c>
    </row>
    <row r="21">
      <c r="A21" s="706">
        <v>19.0</v>
      </c>
      <c r="B21" s="362" t="b">
        <v>0</v>
      </c>
      <c r="C21" s="207" t="s">
        <v>5394</v>
      </c>
      <c r="D21" s="208"/>
      <c r="E21" s="208">
        <v>1.14972727E8</v>
      </c>
      <c r="F21" s="726" t="s">
        <v>5395</v>
      </c>
      <c r="G21" s="362" t="b">
        <v>1</v>
      </c>
    </row>
    <row r="22">
      <c r="A22" s="706">
        <v>20.0</v>
      </c>
      <c r="B22" s="362" t="b">
        <v>0</v>
      </c>
      <c r="C22" s="727" t="s">
        <v>5396</v>
      </c>
      <c r="D22" s="208"/>
      <c r="E22" s="217" t="s">
        <v>5397</v>
      </c>
      <c r="F22" s="709" t="s">
        <v>5398</v>
      </c>
      <c r="G22" s="362" t="b">
        <v>1</v>
      </c>
    </row>
    <row r="23">
      <c r="A23" s="706">
        <v>21.0</v>
      </c>
      <c r="B23" s="362" t="b">
        <v>0</v>
      </c>
      <c r="C23" s="207" t="s">
        <v>5399</v>
      </c>
      <c r="D23" s="208"/>
      <c r="E23" s="208">
        <v>9.20033158E8</v>
      </c>
      <c r="F23" s="709" t="s">
        <v>5400</v>
      </c>
      <c r="G23" s="362" t="b">
        <v>1</v>
      </c>
    </row>
    <row r="24">
      <c r="A24" s="706">
        <v>22.0</v>
      </c>
      <c r="B24" s="362" t="b">
        <v>0</v>
      </c>
      <c r="C24" s="207" t="s">
        <v>5401</v>
      </c>
      <c r="D24" s="208"/>
      <c r="E24" s="708">
        <v>9.2002223E8</v>
      </c>
      <c r="F24" s="709" t="s">
        <v>5402</v>
      </c>
      <c r="G24" s="362" t="b">
        <v>1</v>
      </c>
    </row>
    <row r="25">
      <c r="A25" s="706">
        <v>23.0</v>
      </c>
      <c r="B25" s="362" t="b">
        <v>0</v>
      </c>
      <c r="C25" s="305" t="s">
        <v>5403</v>
      </c>
      <c r="D25" s="208"/>
      <c r="E25" s="728">
        <v>9.20004077E8</v>
      </c>
      <c r="F25" s="715" t="s">
        <v>5404</v>
      </c>
      <c r="G25" s="362" t="b">
        <v>1</v>
      </c>
    </row>
    <row r="26">
      <c r="A26" s="706">
        <v>24.0</v>
      </c>
      <c r="B26" s="362" t="b">
        <v>0</v>
      </c>
      <c r="C26" s="207" t="s">
        <v>5405</v>
      </c>
      <c r="D26" s="208"/>
      <c r="E26" s="721">
        <v>9.2000872E8</v>
      </c>
      <c r="F26" s="709" t="s">
        <v>5406</v>
      </c>
      <c r="G26" s="362" t="b">
        <v>1</v>
      </c>
    </row>
    <row r="27">
      <c r="A27" s="706">
        <v>25.0</v>
      </c>
      <c r="B27" s="362" t="b">
        <v>0</v>
      </c>
      <c r="C27" s="207" t="s">
        <v>5407</v>
      </c>
      <c r="D27" s="208"/>
      <c r="E27" s="708" t="s">
        <v>5408</v>
      </c>
      <c r="F27" s="729" t="s">
        <v>5409</v>
      </c>
      <c r="G27" s="362" t="b">
        <v>1</v>
      </c>
    </row>
    <row r="28">
      <c r="A28" s="706">
        <v>26.0</v>
      </c>
      <c r="B28" s="362" t="b">
        <v>0</v>
      </c>
      <c r="C28" s="207" t="s">
        <v>5410</v>
      </c>
      <c r="D28" s="208"/>
      <c r="E28" s="712" t="s">
        <v>5357</v>
      </c>
      <c r="F28" s="712" t="s">
        <v>5358</v>
      </c>
      <c r="G28" s="362" t="b">
        <v>0</v>
      </c>
    </row>
    <row r="29">
      <c r="A29" s="706">
        <v>27.0</v>
      </c>
      <c r="B29" s="362" t="b">
        <v>0</v>
      </c>
      <c r="C29" s="207" t="s">
        <v>5411</v>
      </c>
      <c r="D29" s="208"/>
      <c r="E29" s="708" t="s">
        <v>5412</v>
      </c>
      <c r="F29" s="709"/>
      <c r="G29" s="362" t="b">
        <v>0</v>
      </c>
    </row>
    <row r="30">
      <c r="A30" s="706">
        <v>28.0</v>
      </c>
      <c r="B30" s="362" t="b">
        <v>0</v>
      </c>
      <c r="C30" s="207" t="s">
        <v>5413</v>
      </c>
      <c r="D30" s="208"/>
      <c r="E30" s="708">
        <v>9.200311E8</v>
      </c>
      <c r="F30" s="709" t="s">
        <v>5414</v>
      </c>
      <c r="G30" s="362" t="b">
        <v>1</v>
      </c>
    </row>
    <row r="31">
      <c r="A31" s="706">
        <v>29.0</v>
      </c>
      <c r="B31" s="362" t="b">
        <v>0</v>
      </c>
      <c r="C31" s="305" t="s">
        <v>5415</v>
      </c>
      <c r="D31" s="208"/>
      <c r="E31" s="730">
        <v>9.20019691E8</v>
      </c>
      <c r="F31" s="709" t="s">
        <v>5416</v>
      </c>
      <c r="G31" s="362" t="b">
        <v>1</v>
      </c>
    </row>
    <row r="32">
      <c r="A32" s="706">
        <v>30.0</v>
      </c>
      <c r="B32" s="362" t="b">
        <v>0</v>
      </c>
      <c r="C32" s="207" t="s">
        <v>5417</v>
      </c>
      <c r="D32" s="208"/>
      <c r="E32" s="724">
        <v>5.52703322E8</v>
      </c>
      <c r="F32" s="709" t="s">
        <v>5418</v>
      </c>
      <c r="G32" s="362" t="b">
        <v>1</v>
      </c>
    </row>
    <row r="33">
      <c r="A33" s="706">
        <v>31.0</v>
      </c>
      <c r="B33" s="362" t="b">
        <v>0</v>
      </c>
      <c r="C33" s="207" t="s">
        <v>5419</v>
      </c>
      <c r="D33" s="208"/>
      <c r="E33" s="708" t="s">
        <v>5420</v>
      </c>
      <c r="F33" s="709"/>
      <c r="G33" s="362" t="b">
        <v>1</v>
      </c>
    </row>
    <row r="34">
      <c r="A34" s="706">
        <v>32.0</v>
      </c>
      <c r="B34" s="362" t="b">
        <v>0</v>
      </c>
      <c r="C34" s="207" t="s">
        <v>5421</v>
      </c>
      <c r="D34" s="208"/>
      <c r="E34" s="208" t="s">
        <v>5422</v>
      </c>
      <c r="F34" s="709"/>
      <c r="G34" s="362" t="b">
        <v>1</v>
      </c>
    </row>
    <row r="35">
      <c r="A35" s="706">
        <v>33.0</v>
      </c>
      <c r="B35" s="362" t="b">
        <v>0</v>
      </c>
      <c r="C35" s="207" t="s">
        <v>5423</v>
      </c>
      <c r="D35" s="208"/>
      <c r="E35" s="731">
        <v>9.20035153E8</v>
      </c>
      <c r="F35" s="709"/>
      <c r="G35" s="362" t="b">
        <v>1</v>
      </c>
    </row>
    <row r="36">
      <c r="A36" s="706">
        <v>34.0</v>
      </c>
      <c r="B36" s="362" t="b">
        <v>0</v>
      </c>
      <c r="C36" s="207" t="s">
        <v>5424</v>
      </c>
      <c r="D36" s="208"/>
      <c r="E36" s="724" t="s">
        <v>5425</v>
      </c>
      <c r="F36" s="709"/>
      <c r="G36" s="362" t="b">
        <v>1</v>
      </c>
    </row>
    <row r="37">
      <c r="A37" s="706">
        <v>35.0</v>
      </c>
      <c r="B37" s="362" t="b">
        <v>0</v>
      </c>
      <c r="C37" s="207" t="s">
        <v>5426</v>
      </c>
      <c r="D37" s="208"/>
      <c r="E37" s="724" t="s">
        <v>5427</v>
      </c>
      <c r="F37" s="709"/>
      <c r="G37" s="362" t="b">
        <v>1</v>
      </c>
    </row>
    <row r="38">
      <c r="A38" s="706">
        <v>36.0</v>
      </c>
      <c r="B38" s="362" t="b">
        <v>0</v>
      </c>
      <c r="C38" s="207" t="s">
        <v>4519</v>
      </c>
      <c r="D38" s="208"/>
      <c r="E38" s="732" t="s">
        <v>4517</v>
      </c>
      <c r="F38" s="732" t="s">
        <v>4516</v>
      </c>
      <c r="G38" s="362" t="b">
        <v>1</v>
      </c>
    </row>
    <row r="39">
      <c r="A39" s="706">
        <v>37.0</v>
      </c>
      <c r="B39" s="362" t="b">
        <v>0</v>
      </c>
      <c r="C39" s="207" t="s">
        <v>5428</v>
      </c>
      <c r="D39" s="208"/>
      <c r="E39" s="208"/>
      <c r="F39" s="709" t="s">
        <v>5429</v>
      </c>
      <c r="G39" s="362" t="b">
        <v>1</v>
      </c>
    </row>
    <row r="40">
      <c r="A40" s="706">
        <v>38.0</v>
      </c>
      <c r="B40" s="362" t="b">
        <v>0</v>
      </c>
      <c r="C40" s="207" t="s">
        <v>5430</v>
      </c>
      <c r="D40" s="208"/>
      <c r="E40" s="708">
        <v>9.200112E8</v>
      </c>
      <c r="F40" s="709" t="s">
        <v>5431</v>
      </c>
      <c r="G40" s="362" t="b">
        <v>1</v>
      </c>
    </row>
    <row r="41">
      <c r="A41" s="706">
        <v>39.0</v>
      </c>
      <c r="B41" s="362" t="b">
        <v>0</v>
      </c>
      <c r="C41" s="305" t="s">
        <v>5432</v>
      </c>
      <c r="D41" s="208"/>
      <c r="E41" s="708">
        <v>9.20033157E8</v>
      </c>
      <c r="F41" s="733" t="s">
        <v>5433</v>
      </c>
      <c r="G41" s="362" t="b">
        <v>1</v>
      </c>
    </row>
    <row r="42">
      <c r="A42" s="706">
        <v>40.0</v>
      </c>
      <c r="B42" s="362" t="b">
        <v>0</v>
      </c>
      <c r="C42" s="207" t="s">
        <v>5434</v>
      </c>
      <c r="D42" s="208"/>
      <c r="E42" s="734" t="s">
        <v>5435</v>
      </c>
      <c r="F42" s="734" t="s">
        <v>5436</v>
      </c>
      <c r="G42" s="362" t="b">
        <v>1</v>
      </c>
    </row>
    <row r="43">
      <c r="A43" s="706">
        <v>41.0</v>
      </c>
      <c r="B43" s="362" t="b">
        <v>0</v>
      </c>
      <c r="C43" s="207" t="s">
        <v>5437</v>
      </c>
      <c r="D43" s="208"/>
      <c r="E43" s="735">
        <v>9.20023989E8</v>
      </c>
      <c r="F43" s="736" t="s">
        <v>5438</v>
      </c>
      <c r="G43" s="362" t="b">
        <v>1</v>
      </c>
    </row>
    <row r="44">
      <c r="A44" s="706">
        <v>42.0</v>
      </c>
      <c r="B44" s="362" t="b">
        <v>0</v>
      </c>
      <c r="C44" s="207" t="s">
        <v>5439</v>
      </c>
      <c r="D44" s="208"/>
      <c r="E44" s="208"/>
      <c r="F44" s="724" t="s">
        <v>5440</v>
      </c>
      <c r="G44" s="362" t="b">
        <v>1</v>
      </c>
    </row>
    <row r="45">
      <c r="A45" s="706">
        <v>43.0</v>
      </c>
      <c r="B45" s="362" t="b">
        <v>0</v>
      </c>
      <c r="C45" s="207" t="s">
        <v>5441</v>
      </c>
      <c r="D45" s="208"/>
      <c r="E45" s="208"/>
      <c r="F45" s="737" t="s">
        <v>5442</v>
      </c>
      <c r="G45" s="362" t="b">
        <v>1</v>
      </c>
    </row>
    <row r="46">
      <c r="A46" s="706">
        <v>44.0</v>
      </c>
      <c r="B46" s="362" t="b">
        <v>0</v>
      </c>
      <c r="C46" s="207" t="s">
        <v>5443</v>
      </c>
      <c r="D46" s="208"/>
      <c r="E46" s="708">
        <v>9.20003344E8</v>
      </c>
      <c r="F46" s="735"/>
      <c r="G46" s="362" t="b">
        <v>1</v>
      </c>
    </row>
    <row r="47">
      <c r="A47" s="706">
        <v>45.0</v>
      </c>
      <c r="B47" s="362" t="b">
        <v>0</v>
      </c>
      <c r="C47" s="207" t="s">
        <v>5444</v>
      </c>
      <c r="D47" s="208"/>
      <c r="E47" s="208">
        <v>9.20012908E8</v>
      </c>
      <c r="F47" s="724" t="s">
        <v>5445</v>
      </c>
      <c r="G47" s="362" t="b">
        <v>1</v>
      </c>
    </row>
    <row r="48">
      <c r="A48" s="706">
        <v>46.0</v>
      </c>
      <c r="B48" s="362" t="b">
        <v>0</v>
      </c>
      <c r="C48" s="207" t="s">
        <v>5446</v>
      </c>
      <c r="D48" s="208"/>
      <c r="E48" s="208">
        <v>9.7142481444E10</v>
      </c>
      <c r="F48" s="724" t="s">
        <v>5447</v>
      </c>
      <c r="G48" s="362" t="b">
        <v>1</v>
      </c>
    </row>
    <row r="49">
      <c r="A49" s="706">
        <v>47.0</v>
      </c>
      <c r="B49" s="362" t="b">
        <v>0</v>
      </c>
      <c r="C49" s="207" t="s">
        <v>5448</v>
      </c>
      <c r="D49" s="208"/>
      <c r="E49" s="711" t="s">
        <v>5449</v>
      </c>
      <c r="F49" s="738" t="s">
        <v>5450</v>
      </c>
      <c r="G49" s="362" t="b">
        <v>1</v>
      </c>
    </row>
    <row r="50">
      <c r="A50" s="706">
        <v>48.0</v>
      </c>
      <c r="B50" s="362" t="b">
        <v>0</v>
      </c>
      <c r="C50" s="207" t="s">
        <v>5451</v>
      </c>
      <c r="D50" s="208"/>
      <c r="E50" s="724" t="s">
        <v>5452</v>
      </c>
      <c r="F50" s="709"/>
      <c r="G50" s="362" t="b">
        <v>1</v>
      </c>
    </row>
    <row r="51">
      <c r="A51" s="706">
        <v>49.0</v>
      </c>
      <c r="B51" s="362" t="b">
        <v>0</v>
      </c>
      <c r="C51" s="207" t="s">
        <v>5453</v>
      </c>
      <c r="D51" s="208"/>
      <c r="E51" s="208">
        <v>9.20033232E8</v>
      </c>
      <c r="F51" s="739" t="s">
        <v>5454</v>
      </c>
      <c r="G51" s="362" t="b">
        <v>1</v>
      </c>
    </row>
    <row r="52">
      <c r="A52" s="706">
        <v>50.0</v>
      </c>
      <c r="B52" s="362" t="b">
        <v>0</v>
      </c>
      <c r="C52" s="207" t="s">
        <v>5455</v>
      </c>
      <c r="D52" s="208"/>
      <c r="E52" s="740">
        <v>9.66138147E11</v>
      </c>
      <c r="F52" s="741" t="s">
        <v>5456</v>
      </c>
      <c r="G52" s="362" t="b">
        <v>1</v>
      </c>
    </row>
    <row r="53">
      <c r="A53" s="706">
        <v>51.0</v>
      </c>
      <c r="B53" s="362" t="b">
        <v>0</v>
      </c>
      <c r="C53" s="207" t="s">
        <v>5457</v>
      </c>
      <c r="D53" s="208"/>
      <c r="E53" s="708">
        <v>9.661251061E11</v>
      </c>
      <c r="F53" s="724" t="s">
        <v>5458</v>
      </c>
      <c r="G53" s="362" t="b">
        <v>1</v>
      </c>
    </row>
    <row r="54">
      <c r="A54" s="706">
        <v>52.0</v>
      </c>
      <c r="B54" s="362" t="b">
        <v>0</v>
      </c>
      <c r="C54" s="207" t="s">
        <v>5459</v>
      </c>
      <c r="D54" s="208"/>
      <c r="E54" s="208"/>
      <c r="F54" s="734" t="s">
        <v>5460</v>
      </c>
      <c r="G54" s="362" t="b">
        <v>1</v>
      </c>
    </row>
    <row r="55">
      <c r="A55" s="706">
        <v>53.0</v>
      </c>
      <c r="B55" s="362" t="b">
        <v>0</v>
      </c>
      <c r="C55" s="207" t="s">
        <v>5461</v>
      </c>
      <c r="D55" s="208"/>
      <c r="E55" s="742">
        <v>9.20013508E8</v>
      </c>
      <c r="F55" s="709"/>
      <c r="G55" s="362" t="b">
        <v>1</v>
      </c>
    </row>
    <row r="56">
      <c r="A56" s="706">
        <v>54.0</v>
      </c>
      <c r="B56" s="362" t="b">
        <v>0</v>
      </c>
      <c r="C56" s="207" t="s">
        <v>5462</v>
      </c>
      <c r="D56" s="208"/>
      <c r="E56" s="734" t="s">
        <v>5463</v>
      </c>
      <c r="F56" s="709"/>
      <c r="G56" s="362" t="b">
        <v>1</v>
      </c>
    </row>
    <row r="57">
      <c r="A57" s="706">
        <v>55.0</v>
      </c>
      <c r="B57" s="362" t="b">
        <v>0</v>
      </c>
      <c r="C57" s="207" t="s">
        <v>5464</v>
      </c>
      <c r="D57" s="208"/>
      <c r="E57" s="743" t="s">
        <v>5465</v>
      </c>
      <c r="F57" s="743" t="s">
        <v>5466</v>
      </c>
      <c r="G57" s="362" t="b">
        <v>1</v>
      </c>
    </row>
    <row r="58">
      <c r="A58" s="706">
        <v>56.0</v>
      </c>
      <c r="B58" s="362" t="b">
        <v>0</v>
      </c>
      <c r="C58" s="207" t="s">
        <v>4540</v>
      </c>
      <c r="D58" s="208"/>
      <c r="E58" s="744" t="s">
        <v>5467</v>
      </c>
      <c r="F58" s="709"/>
      <c r="G58" s="362" t="b">
        <v>1</v>
      </c>
    </row>
    <row r="59">
      <c r="A59" s="706">
        <v>57.0</v>
      </c>
      <c r="B59" s="362" t="b">
        <v>0</v>
      </c>
      <c r="C59" s="207" t="s">
        <v>5468</v>
      </c>
      <c r="D59" s="208"/>
      <c r="E59" s="745" t="s">
        <v>5469</v>
      </c>
      <c r="F59" s="709"/>
      <c r="G59" s="362" t="b">
        <v>1</v>
      </c>
    </row>
    <row r="60">
      <c r="A60" s="706">
        <v>58.0</v>
      </c>
      <c r="B60" s="362" t="b">
        <v>0</v>
      </c>
      <c r="C60" s="207" t="s">
        <v>5470</v>
      </c>
      <c r="D60" s="208"/>
      <c r="E60" s="208"/>
      <c r="F60" s="746" t="s">
        <v>5471</v>
      </c>
      <c r="G60" s="362" t="b">
        <v>1</v>
      </c>
    </row>
    <row r="61">
      <c r="A61" s="706">
        <v>59.0</v>
      </c>
      <c r="B61" s="362" t="b">
        <v>0</v>
      </c>
      <c r="C61" s="305" t="s">
        <v>5472</v>
      </c>
      <c r="D61" s="208"/>
      <c r="E61" s="208" t="s">
        <v>5473</v>
      </c>
      <c r="F61" s="709" t="s">
        <v>5474</v>
      </c>
      <c r="G61" s="362" t="b">
        <v>1</v>
      </c>
    </row>
    <row r="62">
      <c r="A62" s="706">
        <v>60.0</v>
      </c>
      <c r="B62" s="362" t="b">
        <v>0</v>
      </c>
      <c r="C62" s="207" t="s">
        <v>5475</v>
      </c>
      <c r="D62" s="208"/>
      <c r="E62" s="208"/>
      <c r="F62" s="747" t="s">
        <v>5476</v>
      </c>
      <c r="G62" s="362" t="b">
        <v>1</v>
      </c>
    </row>
    <row r="63">
      <c r="A63" s="706">
        <v>61.0</v>
      </c>
      <c r="B63" s="362" t="b">
        <v>0</v>
      </c>
      <c r="C63" s="207" t="s">
        <v>5477</v>
      </c>
      <c r="D63" s="208"/>
      <c r="E63" s="208"/>
      <c r="F63" s="724" t="s">
        <v>5478</v>
      </c>
      <c r="G63" s="362" t="b">
        <v>1</v>
      </c>
    </row>
    <row r="64">
      <c r="A64" s="706">
        <v>62.0</v>
      </c>
      <c r="B64" s="362" t="b">
        <v>0</v>
      </c>
      <c r="C64" s="207" t="s">
        <v>5479</v>
      </c>
      <c r="D64" s="208"/>
      <c r="E64" s="748" t="s">
        <v>5480</v>
      </c>
      <c r="F64" s="724" t="s">
        <v>5481</v>
      </c>
      <c r="G64" s="362" t="b">
        <v>1</v>
      </c>
    </row>
    <row r="65">
      <c r="A65" s="706">
        <v>63.0</v>
      </c>
      <c r="B65" s="362" t="b">
        <v>0</v>
      </c>
      <c r="C65" s="207" t="s">
        <v>5482</v>
      </c>
      <c r="D65" s="208"/>
      <c r="E65" s="208"/>
      <c r="F65" s="734" t="s">
        <v>5483</v>
      </c>
      <c r="G65" s="362" t="b">
        <v>1</v>
      </c>
    </row>
    <row r="66">
      <c r="A66" s="706">
        <v>64.0</v>
      </c>
      <c r="B66" s="362" t="b">
        <v>0</v>
      </c>
      <c r="C66" s="207" t="s">
        <v>5484</v>
      </c>
      <c r="D66" s="208"/>
      <c r="E66" s="749" t="s">
        <v>5485</v>
      </c>
      <c r="F66" s="749" t="s">
        <v>5486</v>
      </c>
      <c r="G66" s="362" t="b">
        <v>1</v>
      </c>
    </row>
    <row r="67">
      <c r="A67" s="706">
        <v>65.0</v>
      </c>
      <c r="B67" s="362" t="b">
        <v>0</v>
      </c>
      <c r="C67" s="207" t="s">
        <v>5487</v>
      </c>
      <c r="D67" s="208"/>
      <c r="E67" s="740" t="s">
        <v>5488</v>
      </c>
      <c r="F67" s="709" t="s">
        <v>5489</v>
      </c>
      <c r="G67" s="362" t="b">
        <v>1</v>
      </c>
    </row>
    <row r="68">
      <c r="A68" s="706">
        <v>66.0</v>
      </c>
      <c r="B68" s="362" t="b">
        <v>0</v>
      </c>
      <c r="C68" s="207" t="s">
        <v>5490</v>
      </c>
      <c r="D68" s="208"/>
      <c r="E68" s="750" t="s">
        <v>5491</v>
      </c>
      <c r="F68" s="709" t="s">
        <v>5492</v>
      </c>
      <c r="G68" s="362" t="b">
        <v>1</v>
      </c>
    </row>
    <row r="69">
      <c r="A69" s="706">
        <v>67.0</v>
      </c>
      <c r="B69" s="362" t="b">
        <v>0</v>
      </c>
      <c r="C69" s="207" t="s">
        <v>5493</v>
      </c>
      <c r="D69" s="208"/>
      <c r="E69" s="208"/>
      <c r="F69" s="751" t="s">
        <v>5494</v>
      </c>
      <c r="G69" s="362" t="b">
        <v>1</v>
      </c>
    </row>
    <row r="70">
      <c r="A70" s="706">
        <v>68.0</v>
      </c>
      <c r="B70" s="362" t="b">
        <v>0</v>
      </c>
      <c r="C70" s="207" t="s">
        <v>5495</v>
      </c>
      <c r="D70" s="208"/>
      <c r="E70" s="752" t="s">
        <v>5496</v>
      </c>
      <c r="F70" s="753" t="s">
        <v>5497</v>
      </c>
      <c r="G70" s="362" t="b">
        <v>1</v>
      </c>
    </row>
    <row r="71">
      <c r="A71" s="706">
        <v>69.0</v>
      </c>
      <c r="B71" s="362" t="b">
        <v>0</v>
      </c>
      <c r="C71" s="207" t="s">
        <v>5498</v>
      </c>
      <c r="D71" s="208"/>
      <c r="E71" s="734" t="s">
        <v>5499</v>
      </c>
      <c r="F71" s="734" t="s">
        <v>5500</v>
      </c>
      <c r="G71" s="362" t="b">
        <v>1</v>
      </c>
    </row>
    <row r="72">
      <c r="A72" s="706">
        <v>70.0</v>
      </c>
      <c r="B72" s="362" t="b">
        <v>0</v>
      </c>
      <c r="C72" s="207" t="s">
        <v>5501</v>
      </c>
      <c r="D72" s="208"/>
      <c r="E72" s="708" t="s">
        <v>5502</v>
      </c>
      <c r="F72" s="709"/>
      <c r="G72" s="362" t="b">
        <v>1</v>
      </c>
    </row>
    <row r="73">
      <c r="A73" s="706">
        <v>71.0</v>
      </c>
      <c r="B73" s="362" t="b">
        <v>0</v>
      </c>
      <c r="C73" s="207" t="s">
        <v>5503</v>
      </c>
      <c r="D73" s="208"/>
      <c r="E73" s="754" t="s">
        <v>5504</v>
      </c>
      <c r="F73" s="709"/>
      <c r="G73" s="362" t="b">
        <v>1</v>
      </c>
    </row>
    <row r="74">
      <c r="A74" s="706">
        <v>72.0</v>
      </c>
      <c r="B74" s="362" t="b">
        <v>0</v>
      </c>
      <c r="C74" s="207" t="s">
        <v>5505</v>
      </c>
      <c r="D74" s="208"/>
      <c r="E74" s="734" t="s">
        <v>5506</v>
      </c>
      <c r="F74" s="734" t="s">
        <v>5507</v>
      </c>
      <c r="G74" s="362" t="b">
        <v>1</v>
      </c>
    </row>
    <row r="75">
      <c r="A75" s="706">
        <v>73.0</v>
      </c>
      <c r="B75" s="362" t="b">
        <v>0</v>
      </c>
      <c r="C75" s="207" t="s">
        <v>5508</v>
      </c>
      <c r="D75" s="208"/>
      <c r="E75" s="208"/>
      <c r="F75" s="734" t="s">
        <v>5509</v>
      </c>
      <c r="G75" s="362" t="b">
        <v>1</v>
      </c>
    </row>
    <row r="76">
      <c r="A76" s="706">
        <v>74.0</v>
      </c>
      <c r="B76" s="362" t="b">
        <v>0</v>
      </c>
      <c r="C76" s="305" t="s">
        <v>4527</v>
      </c>
      <c r="D76" s="208"/>
      <c r="E76" s="734" t="s">
        <v>5510</v>
      </c>
      <c r="F76" s="734" t="s">
        <v>4524</v>
      </c>
      <c r="G76" s="362" t="b">
        <v>1</v>
      </c>
    </row>
    <row r="77">
      <c r="A77" s="706">
        <v>75.0</v>
      </c>
      <c r="B77" s="362" t="b">
        <v>0</v>
      </c>
      <c r="C77" s="207" t="s">
        <v>5511</v>
      </c>
      <c r="D77" s="208"/>
      <c r="E77" s="734" t="s">
        <v>5512</v>
      </c>
      <c r="F77" s="734" t="s">
        <v>5513</v>
      </c>
      <c r="G77" s="362" t="b">
        <v>1</v>
      </c>
    </row>
    <row r="78">
      <c r="A78" s="706">
        <v>76.0</v>
      </c>
      <c r="B78" s="362" t="b">
        <v>0</v>
      </c>
      <c r="C78" s="207" t="s">
        <v>4530</v>
      </c>
      <c r="D78" s="208"/>
      <c r="E78" s="708" t="s">
        <v>5514</v>
      </c>
      <c r="F78" s="724" t="s">
        <v>5515</v>
      </c>
      <c r="G78" s="362" t="b">
        <v>1</v>
      </c>
    </row>
    <row r="79">
      <c r="A79" s="706">
        <v>77.0</v>
      </c>
      <c r="B79" s="362" t="b">
        <v>0</v>
      </c>
      <c r="C79" s="207" t="s">
        <v>5516</v>
      </c>
      <c r="D79" s="208"/>
      <c r="E79" s="724" t="s">
        <v>5517</v>
      </c>
      <c r="F79" s="709"/>
      <c r="G79" s="362" t="b">
        <v>1</v>
      </c>
    </row>
    <row r="80">
      <c r="A80" s="706">
        <v>78.0</v>
      </c>
      <c r="B80" s="362" t="b">
        <v>0</v>
      </c>
      <c r="C80" s="207" t="s">
        <v>5518</v>
      </c>
      <c r="D80" s="208"/>
      <c r="E80" s="208"/>
      <c r="F80" s="755" t="s">
        <v>4583</v>
      </c>
      <c r="G80" s="362" t="b">
        <v>1</v>
      </c>
    </row>
    <row r="81">
      <c r="A81" s="706">
        <v>79.0</v>
      </c>
      <c r="B81" s="362" t="b">
        <v>0</v>
      </c>
      <c r="C81" s="207" t="s">
        <v>5519</v>
      </c>
      <c r="D81" s="208"/>
      <c r="E81" s="734" t="s">
        <v>5520</v>
      </c>
      <c r="F81" s="734" t="s">
        <v>5521</v>
      </c>
      <c r="G81" s="362" t="b">
        <v>1</v>
      </c>
    </row>
    <row r="82">
      <c r="A82" s="706">
        <v>80.0</v>
      </c>
      <c r="B82" s="362" t="b">
        <v>0</v>
      </c>
      <c r="C82" s="207" t="s">
        <v>5522</v>
      </c>
      <c r="D82" s="208"/>
      <c r="E82" s="734" t="s">
        <v>5523</v>
      </c>
      <c r="F82" s="724" t="s">
        <v>5524</v>
      </c>
      <c r="G82" s="362" t="b">
        <v>1</v>
      </c>
    </row>
    <row r="83">
      <c r="A83" s="706">
        <v>81.0</v>
      </c>
      <c r="B83" s="362" t="b">
        <v>0</v>
      </c>
      <c r="C83" s="207" t="s">
        <v>5525</v>
      </c>
      <c r="D83" s="208"/>
      <c r="E83" s="708" t="s">
        <v>5526</v>
      </c>
      <c r="F83" s="709"/>
      <c r="G83" s="362" t="b">
        <v>1</v>
      </c>
    </row>
    <row r="84">
      <c r="A84" s="706">
        <v>82.0</v>
      </c>
      <c r="B84" s="362" t="b">
        <v>0</v>
      </c>
      <c r="C84" s="207" t="s">
        <v>5527</v>
      </c>
      <c r="D84" s="208"/>
      <c r="E84" s="708" t="s">
        <v>5528</v>
      </c>
      <c r="F84" s="724" t="s">
        <v>5529</v>
      </c>
      <c r="G84" s="362" t="b">
        <v>1</v>
      </c>
    </row>
    <row r="85">
      <c r="A85" s="706">
        <v>83.0</v>
      </c>
      <c r="B85" s="362" t="b">
        <v>0</v>
      </c>
      <c r="C85" s="207" t="s">
        <v>5530</v>
      </c>
      <c r="D85" s="208"/>
      <c r="E85" s="756" t="s">
        <v>5531</v>
      </c>
      <c r="F85" s="709"/>
      <c r="G85" s="362" t="b">
        <v>1</v>
      </c>
    </row>
    <row r="86">
      <c r="A86" s="706">
        <v>84.0</v>
      </c>
      <c r="B86" s="362" t="b">
        <v>0</v>
      </c>
      <c r="C86" s="207" t="s">
        <v>5532</v>
      </c>
      <c r="D86" s="208"/>
      <c r="E86" s="734" t="s">
        <v>5533</v>
      </c>
      <c r="F86" s="734" t="s">
        <v>5534</v>
      </c>
      <c r="G86" s="362" t="b">
        <v>1</v>
      </c>
    </row>
    <row r="87">
      <c r="A87" s="706">
        <v>85.0</v>
      </c>
      <c r="B87" s="362" t="b">
        <v>0</v>
      </c>
      <c r="C87" s="207" t="s">
        <v>5535</v>
      </c>
      <c r="D87" s="208"/>
      <c r="E87" s="757" t="s">
        <v>5536</v>
      </c>
      <c r="F87" s="758" t="s">
        <v>5537</v>
      </c>
      <c r="G87" s="362" t="b">
        <v>1</v>
      </c>
    </row>
    <row r="88">
      <c r="A88" s="706">
        <v>86.0</v>
      </c>
      <c r="B88" s="362" t="b">
        <v>0</v>
      </c>
      <c r="C88" s="207" t="s">
        <v>5538</v>
      </c>
      <c r="D88" s="208"/>
      <c r="E88" s="759" t="s">
        <v>5539</v>
      </c>
      <c r="F88" s="724" t="s">
        <v>5540</v>
      </c>
      <c r="G88" s="362" t="b">
        <v>1</v>
      </c>
    </row>
    <row r="89">
      <c r="A89" s="706">
        <v>87.0</v>
      </c>
      <c r="B89" s="362" t="b">
        <v>0</v>
      </c>
      <c r="C89" s="305" t="s">
        <v>5541</v>
      </c>
      <c r="D89" s="208"/>
      <c r="E89" s="708" t="s">
        <v>5542</v>
      </c>
      <c r="F89" s="709"/>
      <c r="G89" s="362" t="b">
        <v>1</v>
      </c>
    </row>
    <row r="90">
      <c r="A90" s="706">
        <v>88.0</v>
      </c>
      <c r="B90" s="362" t="b">
        <v>0</v>
      </c>
      <c r="C90" s="207" t="s">
        <v>5543</v>
      </c>
      <c r="D90" s="208"/>
      <c r="E90" s="760">
        <v>9.66553993435E11</v>
      </c>
      <c r="F90" s="724" t="s">
        <v>5544</v>
      </c>
      <c r="G90" s="362" t="b">
        <v>1</v>
      </c>
    </row>
    <row r="91">
      <c r="A91" s="706">
        <v>89.0</v>
      </c>
      <c r="B91" s="362" t="b">
        <v>0</v>
      </c>
      <c r="C91" s="207" t="s">
        <v>5545</v>
      </c>
      <c r="D91" s="208"/>
      <c r="E91" s="208"/>
      <c r="F91" s="734" t="s">
        <v>5546</v>
      </c>
      <c r="G91" s="362" t="b">
        <v>1</v>
      </c>
    </row>
    <row r="92">
      <c r="A92" s="706">
        <v>90.0</v>
      </c>
      <c r="B92" s="362" t="b">
        <v>0</v>
      </c>
      <c r="C92" s="207" t="s">
        <v>5547</v>
      </c>
      <c r="D92" s="208"/>
      <c r="E92" s="761">
        <v>9.20022288E8</v>
      </c>
      <c r="F92" s="709"/>
      <c r="G92" s="362" t="b">
        <v>1</v>
      </c>
    </row>
    <row r="93">
      <c r="A93" s="706">
        <v>91.0</v>
      </c>
      <c r="B93" s="362" t="b">
        <v>0</v>
      </c>
      <c r="C93" s="305" t="s">
        <v>5548</v>
      </c>
      <c r="D93" s="208"/>
      <c r="E93" s="762">
        <v>8.002440247E9</v>
      </c>
      <c r="F93" s="763" t="s">
        <v>5549</v>
      </c>
      <c r="G93" s="362" t="b">
        <v>1</v>
      </c>
    </row>
    <row r="94">
      <c r="A94" s="706">
        <v>92.0</v>
      </c>
      <c r="B94" s="362" t="b">
        <v>0</v>
      </c>
      <c r="C94" s="207" t="s">
        <v>5550</v>
      </c>
      <c r="D94" s="208"/>
      <c r="E94" s="762"/>
      <c r="F94" s="734" t="s">
        <v>5551</v>
      </c>
      <c r="G94" s="362" t="b">
        <v>1</v>
      </c>
    </row>
    <row r="95">
      <c r="A95" s="706">
        <v>93.0</v>
      </c>
      <c r="B95" s="362" t="b">
        <v>0</v>
      </c>
      <c r="C95" s="305" t="s">
        <v>5552</v>
      </c>
      <c r="D95" s="208"/>
      <c r="E95" s="208" t="s">
        <v>5553</v>
      </c>
      <c r="F95" s="724" t="s">
        <v>5554</v>
      </c>
      <c r="G95" s="362" t="b">
        <v>1</v>
      </c>
    </row>
    <row r="96">
      <c r="A96" s="706">
        <v>94.0</v>
      </c>
      <c r="B96" s="362" t="b">
        <v>0</v>
      </c>
      <c r="C96" s="207" t="s">
        <v>5555</v>
      </c>
      <c r="D96" s="208"/>
      <c r="E96" s="208" t="s">
        <v>5556</v>
      </c>
      <c r="F96" s="709"/>
      <c r="G96" s="362" t="b">
        <v>1</v>
      </c>
    </row>
    <row r="97">
      <c r="A97" s="706">
        <v>95.0</v>
      </c>
      <c r="B97" s="362" t="b">
        <v>0</v>
      </c>
      <c r="C97" s="305" t="s">
        <v>5557</v>
      </c>
      <c r="D97" s="208"/>
      <c r="E97" s="764" t="s">
        <v>5558</v>
      </c>
      <c r="F97" s="724" t="s">
        <v>5559</v>
      </c>
      <c r="G97" s="362" t="b">
        <v>1</v>
      </c>
    </row>
    <row r="98">
      <c r="A98" s="706">
        <v>96.0</v>
      </c>
      <c r="B98" s="362" t="b">
        <v>0</v>
      </c>
      <c r="C98" s="207" t="s">
        <v>5560</v>
      </c>
      <c r="D98" s="208"/>
      <c r="E98" s="708" t="s">
        <v>5561</v>
      </c>
      <c r="F98" s="724" t="s">
        <v>5562</v>
      </c>
      <c r="G98" s="362" t="b">
        <v>1</v>
      </c>
    </row>
    <row r="99">
      <c r="A99" s="706">
        <v>97.0</v>
      </c>
      <c r="B99" s="362" t="b">
        <v>0</v>
      </c>
      <c r="C99" s="207" t="s">
        <v>5563</v>
      </c>
      <c r="D99" s="208"/>
      <c r="E99" s="708">
        <v>9.20004989E8</v>
      </c>
      <c r="F99" s="709" t="s">
        <v>5564</v>
      </c>
      <c r="G99" s="362" t="b">
        <v>1</v>
      </c>
    </row>
    <row r="100">
      <c r="A100" s="706">
        <v>98.0</v>
      </c>
      <c r="B100" s="362" t="b">
        <v>0</v>
      </c>
      <c r="C100" s="207" t="s">
        <v>5565</v>
      </c>
      <c r="D100" s="208"/>
      <c r="E100" s="734" t="s">
        <v>5566</v>
      </c>
      <c r="F100" s="709"/>
      <c r="G100" s="362" t="b">
        <v>1</v>
      </c>
    </row>
    <row r="101">
      <c r="A101" s="706">
        <v>99.0</v>
      </c>
      <c r="B101" s="362" t="b">
        <v>0</v>
      </c>
      <c r="C101" s="207" t="s">
        <v>5567</v>
      </c>
      <c r="D101" s="208"/>
      <c r="E101" s="765" t="s">
        <v>5568</v>
      </c>
      <c r="F101" s="765" t="s">
        <v>5569</v>
      </c>
      <c r="G101" s="362" t="b">
        <v>1</v>
      </c>
    </row>
    <row r="102">
      <c r="A102" s="706">
        <v>100.0</v>
      </c>
      <c r="B102" s="362" t="b">
        <v>0</v>
      </c>
      <c r="C102" s="207" t="s">
        <v>5570</v>
      </c>
      <c r="D102" s="208"/>
      <c r="E102" s="713">
        <v>9.20033566E8</v>
      </c>
      <c r="F102" s="709" t="s">
        <v>5571</v>
      </c>
      <c r="G102" s="362" t="b">
        <v>1</v>
      </c>
    </row>
    <row r="103">
      <c r="A103" s="706">
        <v>101.0</v>
      </c>
      <c r="B103" s="362" t="b">
        <v>0</v>
      </c>
      <c r="C103" s="207" t="s">
        <v>5572</v>
      </c>
      <c r="D103" s="208"/>
      <c r="E103" s="708" t="s">
        <v>5573</v>
      </c>
      <c r="F103" s="724" t="s">
        <v>5574</v>
      </c>
      <c r="G103" s="362" t="b">
        <v>1</v>
      </c>
    </row>
    <row r="104">
      <c r="A104" s="706">
        <v>102.0</v>
      </c>
      <c r="B104" s="362" t="b">
        <v>0</v>
      </c>
      <c r="C104" s="207" t="s">
        <v>5575</v>
      </c>
      <c r="D104" s="208"/>
      <c r="E104" s="708" t="s">
        <v>5576</v>
      </c>
      <c r="F104" s="724" t="s">
        <v>5577</v>
      </c>
      <c r="G104" s="362" t="b">
        <v>1</v>
      </c>
    </row>
    <row r="105">
      <c r="A105" s="706">
        <v>103.0</v>
      </c>
      <c r="B105" s="362" t="b">
        <v>0</v>
      </c>
      <c r="C105" s="207" t="s">
        <v>5578</v>
      </c>
      <c r="D105" s="208"/>
      <c r="E105" s="713" t="s">
        <v>5579</v>
      </c>
      <c r="F105" s="709" t="s">
        <v>5580</v>
      </c>
      <c r="G105" s="362" t="b">
        <v>1</v>
      </c>
    </row>
    <row r="106">
      <c r="A106" s="706">
        <v>104.0</v>
      </c>
      <c r="B106" s="362" t="b">
        <v>0</v>
      </c>
      <c r="C106" s="207" t="s">
        <v>5581</v>
      </c>
      <c r="D106" s="208"/>
      <c r="E106" s="208"/>
      <c r="F106" s="734" t="s">
        <v>5582</v>
      </c>
      <c r="G106" s="362" t="b">
        <v>1</v>
      </c>
    </row>
    <row r="107">
      <c r="A107" s="706">
        <v>105.0</v>
      </c>
      <c r="B107" s="362" t="b">
        <v>0</v>
      </c>
      <c r="C107" s="207" t="s">
        <v>5583</v>
      </c>
      <c r="D107" s="208"/>
      <c r="E107" s="766">
        <v>9.20015955E8</v>
      </c>
      <c r="F107" s="711" t="s">
        <v>5584</v>
      </c>
      <c r="G107" s="362" t="b">
        <v>1</v>
      </c>
    </row>
    <row r="108">
      <c r="A108" s="706">
        <v>106.0</v>
      </c>
      <c r="B108" s="362" t="b">
        <v>0</v>
      </c>
      <c r="C108" s="207" t="s">
        <v>5585</v>
      </c>
      <c r="D108" s="208"/>
      <c r="E108" s="734" t="s">
        <v>5586</v>
      </c>
      <c r="F108" s="734" t="s">
        <v>5587</v>
      </c>
      <c r="G108" s="362" t="b">
        <v>1</v>
      </c>
    </row>
    <row r="109">
      <c r="A109" s="706">
        <v>107.0</v>
      </c>
      <c r="B109" s="362" t="b">
        <v>0</v>
      </c>
      <c r="C109" s="207" t="s">
        <v>5588</v>
      </c>
      <c r="D109" s="208"/>
      <c r="E109" s="208"/>
      <c r="F109" s="767" t="s">
        <v>5589</v>
      </c>
      <c r="G109" s="362" t="b">
        <v>1</v>
      </c>
    </row>
    <row r="110">
      <c r="A110" s="706">
        <v>108.0</v>
      </c>
      <c r="B110" s="362" t="b">
        <v>0</v>
      </c>
      <c r="C110" s="207" t="s">
        <v>4579</v>
      </c>
      <c r="D110" s="208"/>
      <c r="E110" s="208"/>
      <c r="F110" s="724" t="s">
        <v>5590</v>
      </c>
      <c r="G110" s="362" t="b">
        <v>1</v>
      </c>
    </row>
    <row r="111">
      <c r="A111" s="312">
        <v>109.0</v>
      </c>
      <c r="B111" s="768" t="b">
        <v>0</v>
      </c>
      <c r="C111" s="313" t="s">
        <v>4564</v>
      </c>
      <c r="D111" s="769"/>
      <c r="E111" s="769"/>
      <c r="F111" s="770" t="s">
        <v>5591</v>
      </c>
      <c r="G111" s="768" t="b">
        <v>1</v>
      </c>
      <c r="H111" s="317"/>
      <c r="I111" s="317"/>
      <c r="J111" s="317"/>
      <c r="K111" s="317"/>
      <c r="L111" s="317"/>
      <c r="M111" s="317"/>
      <c r="N111" s="317"/>
      <c r="O111" s="317"/>
      <c r="P111" s="317"/>
      <c r="Q111" s="317"/>
      <c r="R111" s="317"/>
      <c r="S111" s="317"/>
      <c r="T111" s="317"/>
      <c r="U111" s="317"/>
      <c r="V111" s="317"/>
      <c r="W111" s="317"/>
      <c r="X111" s="317"/>
      <c r="Y111" s="317"/>
      <c r="Z111" s="317"/>
    </row>
    <row r="112">
      <c r="A112" s="706">
        <v>110.0</v>
      </c>
      <c r="B112" s="362" t="b">
        <v>0</v>
      </c>
      <c r="C112" s="305" t="s">
        <v>4569</v>
      </c>
      <c r="D112" s="208"/>
      <c r="E112" s="208"/>
      <c r="F112" s="771" t="s">
        <v>5592</v>
      </c>
      <c r="G112" s="362" t="b">
        <v>1</v>
      </c>
    </row>
    <row r="113">
      <c r="A113" s="706">
        <v>111.0</v>
      </c>
      <c r="B113" s="362" t="b">
        <v>0</v>
      </c>
      <c r="C113" s="207" t="s">
        <v>4590</v>
      </c>
      <c r="D113" s="208"/>
      <c r="E113" s="208"/>
      <c r="F113" s="709" t="s">
        <v>5593</v>
      </c>
      <c r="G113" s="362" t="b">
        <v>1</v>
      </c>
    </row>
    <row r="114">
      <c r="A114" s="706">
        <v>112.0</v>
      </c>
      <c r="B114" s="362" t="b">
        <v>0</v>
      </c>
      <c r="C114" s="207" t="s">
        <v>5594</v>
      </c>
      <c r="D114" s="208"/>
      <c r="E114" s="208"/>
      <c r="F114" s="772" t="s">
        <v>4553</v>
      </c>
      <c r="G114" s="362" t="b">
        <v>1</v>
      </c>
    </row>
    <row r="115">
      <c r="A115" s="706">
        <v>113.0</v>
      </c>
      <c r="B115" s="362" t="b">
        <v>0</v>
      </c>
      <c r="C115" s="207" t="s">
        <v>4602</v>
      </c>
      <c r="D115" s="208"/>
      <c r="E115" s="208"/>
      <c r="F115" s="773" t="s">
        <v>4603</v>
      </c>
      <c r="G115" s="362" t="b">
        <v>1</v>
      </c>
    </row>
    <row r="116">
      <c r="A116" s="706">
        <v>114.0</v>
      </c>
      <c r="B116" s="362" t="b">
        <v>0</v>
      </c>
      <c r="C116" s="207" t="s">
        <v>5595</v>
      </c>
      <c r="D116" s="208"/>
      <c r="E116" s="774" t="s">
        <v>5596</v>
      </c>
      <c r="F116" s="775" t="s">
        <v>5597</v>
      </c>
      <c r="G116" s="362" t="b">
        <v>1</v>
      </c>
    </row>
    <row r="117">
      <c r="A117" s="706">
        <v>115.0</v>
      </c>
      <c r="B117" s="362" t="b">
        <v>0</v>
      </c>
      <c r="C117" s="207" t="s">
        <v>5598</v>
      </c>
      <c r="D117" s="208"/>
      <c r="E117" s="776"/>
      <c r="F117" s="743" t="s">
        <v>5599</v>
      </c>
      <c r="G117" s="362" t="b">
        <v>1</v>
      </c>
    </row>
    <row r="118">
      <c r="A118" s="706">
        <v>116.0</v>
      </c>
      <c r="B118" s="362" t="b">
        <v>0</v>
      </c>
      <c r="C118" s="207" t="s">
        <v>5600</v>
      </c>
      <c r="D118" s="208"/>
      <c r="E118" s="208"/>
      <c r="F118" s="777" t="s">
        <v>5601</v>
      </c>
      <c r="G118" s="362" t="b">
        <v>1</v>
      </c>
    </row>
    <row r="119">
      <c r="A119" s="706">
        <v>117.0</v>
      </c>
      <c r="B119" s="362" t="b">
        <v>0</v>
      </c>
      <c r="C119" s="207" t="s">
        <v>5602</v>
      </c>
      <c r="D119" s="208"/>
      <c r="E119" s="208"/>
      <c r="F119" s="724" t="s">
        <v>5603</v>
      </c>
      <c r="G119" s="362" t="b">
        <v>1</v>
      </c>
    </row>
    <row r="120">
      <c r="A120" s="706">
        <v>118.0</v>
      </c>
      <c r="B120" s="362" t="b">
        <v>0</v>
      </c>
      <c r="C120" s="207" t="s">
        <v>5604</v>
      </c>
      <c r="D120" s="208"/>
      <c r="E120" s="724" t="s">
        <v>5605</v>
      </c>
      <c r="F120" s="709"/>
      <c r="G120" s="362" t="b">
        <v>1</v>
      </c>
    </row>
    <row r="121">
      <c r="A121" s="706">
        <v>119.0</v>
      </c>
      <c r="B121" s="362" t="b">
        <v>0</v>
      </c>
      <c r="C121" s="207" t="s">
        <v>5606</v>
      </c>
      <c r="D121" s="208"/>
      <c r="E121" s="208"/>
      <c r="F121" s="743" t="s">
        <v>5607</v>
      </c>
      <c r="G121" s="362" t="b">
        <v>1</v>
      </c>
    </row>
    <row r="122" ht="51.75" customHeight="1">
      <c r="A122" s="706">
        <v>120.0</v>
      </c>
      <c r="B122" s="778" t="b">
        <v>0</v>
      </c>
      <c r="C122" s="305" t="s">
        <v>5608</v>
      </c>
      <c r="D122" s="217"/>
      <c r="E122" s="779" t="s">
        <v>5609</v>
      </c>
      <c r="F122" s="202"/>
      <c r="G122" s="362" t="b">
        <v>1</v>
      </c>
      <c r="H122" s="780"/>
      <c r="I122" s="780"/>
      <c r="J122" s="780"/>
      <c r="K122" s="780"/>
      <c r="L122" s="780"/>
      <c r="M122" s="780"/>
      <c r="N122" s="780"/>
      <c r="O122" s="780"/>
      <c r="P122" s="780"/>
      <c r="Q122" s="780"/>
      <c r="R122" s="780"/>
      <c r="S122" s="780"/>
      <c r="T122" s="780"/>
      <c r="U122" s="780"/>
      <c r="V122" s="780"/>
      <c r="W122" s="780"/>
      <c r="X122" s="780"/>
      <c r="Y122" s="780"/>
      <c r="Z122" s="780"/>
    </row>
    <row r="123">
      <c r="A123" s="706">
        <v>121.0</v>
      </c>
      <c r="B123" s="362" t="b">
        <v>0</v>
      </c>
      <c r="C123" s="207" t="s">
        <v>5610</v>
      </c>
      <c r="D123" s="208"/>
      <c r="E123" s="708" t="s">
        <v>5611</v>
      </c>
      <c r="F123" s="781" t="s">
        <v>5612</v>
      </c>
      <c r="G123" s="362" t="b">
        <v>1</v>
      </c>
    </row>
    <row r="124">
      <c r="A124" s="706">
        <v>122.0</v>
      </c>
      <c r="B124" s="362" t="b">
        <v>0</v>
      </c>
      <c r="C124" s="207" t="s">
        <v>5613</v>
      </c>
      <c r="D124" s="208"/>
      <c r="E124" s="734" t="s">
        <v>5614</v>
      </c>
      <c r="F124" s="734" t="s">
        <v>5615</v>
      </c>
      <c r="G124" s="362" t="b">
        <v>1</v>
      </c>
    </row>
    <row r="125">
      <c r="A125" s="706">
        <v>123.0</v>
      </c>
      <c r="B125" s="362" t="b">
        <v>0</v>
      </c>
      <c r="C125" s="207" t="s">
        <v>5616</v>
      </c>
      <c r="D125" s="208"/>
      <c r="E125" s="734" t="s">
        <v>5617</v>
      </c>
      <c r="F125" s="734" t="s">
        <v>5618</v>
      </c>
      <c r="G125" s="362" t="b">
        <v>1</v>
      </c>
    </row>
    <row r="126">
      <c r="A126" s="706">
        <v>124.0</v>
      </c>
      <c r="B126" s="362" t="b">
        <v>0</v>
      </c>
      <c r="C126" s="722" t="s">
        <v>5619</v>
      </c>
      <c r="D126" s="208"/>
      <c r="E126" s="708" t="s">
        <v>5620</v>
      </c>
      <c r="F126" s="724" t="s">
        <v>5621</v>
      </c>
      <c r="G126" s="362" t="b">
        <v>1</v>
      </c>
    </row>
    <row r="127">
      <c r="A127" s="706">
        <v>125.0</v>
      </c>
      <c r="B127" s="362" t="b">
        <v>0</v>
      </c>
      <c r="C127" s="722" t="s">
        <v>5622</v>
      </c>
      <c r="D127" s="208"/>
      <c r="E127" s="734" t="s">
        <v>5623</v>
      </c>
      <c r="F127" s="734" t="s">
        <v>5624</v>
      </c>
      <c r="G127" s="362" t="b">
        <v>1</v>
      </c>
    </row>
    <row r="128">
      <c r="A128" s="706">
        <v>126.0</v>
      </c>
      <c r="B128" s="362" t="b">
        <v>0</v>
      </c>
      <c r="C128" s="722" t="s">
        <v>5625</v>
      </c>
      <c r="D128" s="208"/>
      <c r="E128" s="743"/>
      <c r="F128" s="743" t="s">
        <v>5626</v>
      </c>
      <c r="G128" s="362" t="b">
        <v>1</v>
      </c>
    </row>
    <row r="129">
      <c r="A129" s="706">
        <v>127.0</v>
      </c>
      <c r="B129" s="362" t="b">
        <v>0</v>
      </c>
      <c r="C129" s="722" t="s">
        <v>5627</v>
      </c>
      <c r="D129" s="208"/>
      <c r="E129" s="782">
        <f>+966920015064</f>
        <v>966920015064</v>
      </c>
      <c r="F129" s="783" t="s">
        <v>5628</v>
      </c>
      <c r="G129" s="362" t="b">
        <v>1</v>
      </c>
    </row>
    <row r="130">
      <c r="A130" s="706">
        <v>128.0</v>
      </c>
      <c r="B130" s="362" t="b">
        <v>0</v>
      </c>
      <c r="C130" s="722" t="s">
        <v>5629</v>
      </c>
      <c r="D130" s="208"/>
      <c r="E130" s="784">
        <v>4.3720704433E10</v>
      </c>
      <c r="F130" s="781" t="s">
        <v>5630</v>
      </c>
      <c r="G130" s="362" t="b">
        <v>1</v>
      </c>
    </row>
    <row r="131">
      <c r="A131" s="706">
        <v>129.0</v>
      </c>
      <c r="B131" s="362" t="b">
        <v>0</v>
      </c>
      <c r="C131" s="722" t="s">
        <v>5631</v>
      </c>
      <c r="D131" s="208"/>
      <c r="E131" s="785" t="s">
        <v>5632</v>
      </c>
      <c r="F131" s="785" t="s">
        <v>5633</v>
      </c>
      <c r="G131" s="362" t="b">
        <v>1</v>
      </c>
    </row>
    <row r="132">
      <c r="A132" s="706">
        <v>130.0</v>
      </c>
      <c r="B132" s="362" t="b">
        <v>0</v>
      </c>
      <c r="C132" s="722" t="s">
        <v>5634</v>
      </c>
      <c r="D132" s="208"/>
      <c r="E132" s="708" t="s">
        <v>5635</v>
      </c>
      <c r="F132" s="786"/>
      <c r="G132" s="362" t="b">
        <v>1</v>
      </c>
    </row>
    <row r="133">
      <c r="A133" s="706">
        <v>131.0</v>
      </c>
      <c r="B133" s="362" t="b">
        <v>0</v>
      </c>
      <c r="C133" s="716" t="s">
        <v>5636</v>
      </c>
      <c r="D133" s="208"/>
      <c r="E133" s="787" t="s">
        <v>5637</v>
      </c>
      <c r="F133" s="787" t="s">
        <v>5638</v>
      </c>
      <c r="G133" s="362" t="b">
        <v>1</v>
      </c>
    </row>
    <row r="134">
      <c r="A134" s="706">
        <v>132.0</v>
      </c>
      <c r="B134" s="362" t="b">
        <v>0</v>
      </c>
      <c r="C134" s="722" t="s">
        <v>5639</v>
      </c>
      <c r="D134" s="208"/>
      <c r="E134" s="708" t="s">
        <v>5640</v>
      </c>
      <c r="F134" s="781" t="s">
        <v>5641</v>
      </c>
      <c r="G134" s="362" t="b">
        <v>1</v>
      </c>
    </row>
    <row r="135">
      <c r="A135" s="706">
        <v>133.0</v>
      </c>
      <c r="B135" s="362" t="b">
        <v>0</v>
      </c>
      <c r="C135" s="722" t="s">
        <v>5642</v>
      </c>
      <c r="D135" s="208"/>
      <c r="E135" s="708">
        <v>9.66530545566E11</v>
      </c>
      <c r="F135" s="724" t="s">
        <v>5643</v>
      </c>
      <c r="G135" s="362" t="b">
        <v>1</v>
      </c>
    </row>
    <row r="136">
      <c r="A136" s="706">
        <v>134.0</v>
      </c>
      <c r="B136" s="362" t="b">
        <v>0</v>
      </c>
      <c r="C136" s="722" t="s">
        <v>5644</v>
      </c>
      <c r="D136" s="208"/>
      <c r="E136" s="759" t="s">
        <v>5645</v>
      </c>
      <c r="F136" s="759" t="s">
        <v>5646</v>
      </c>
      <c r="G136" s="362" t="b">
        <v>1</v>
      </c>
    </row>
    <row r="137">
      <c r="A137" s="706">
        <v>135.0</v>
      </c>
      <c r="B137" s="362" t="b">
        <v>0</v>
      </c>
      <c r="C137" s="722" t="s">
        <v>5647</v>
      </c>
      <c r="D137" s="208"/>
      <c r="E137" s="708" t="s">
        <v>5648</v>
      </c>
      <c r="F137" s="788" t="s">
        <v>5649</v>
      </c>
      <c r="G137" s="362" t="b">
        <v>1</v>
      </c>
    </row>
    <row r="138">
      <c r="A138" s="706">
        <v>136.0</v>
      </c>
      <c r="B138" s="362" t="b">
        <v>0</v>
      </c>
      <c r="C138" s="722" t="s">
        <v>5650</v>
      </c>
      <c r="D138" s="208"/>
      <c r="E138" s="789" t="s">
        <v>5651</v>
      </c>
      <c r="F138" s="789" t="s">
        <v>5652</v>
      </c>
      <c r="G138" s="362" t="b">
        <v>1</v>
      </c>
    </row>
    <row r="139">
      <c r="A139" s="706">
        <v>137.0</v>
      </c>
      <c r="B139" s="362" t="b">
        <v>0</v>
      </c>
      <c r="C139" s="722" t="s">
        <v>5653</v>
      </c>
      <c r="D139" s="208"/>
      <c r="E139" s="208" t="s">
        <v>5654</v>
      </c>
      <c r="F139" s="781"/>
      <c r="G139" s="362" t="b">
        <v>1</v>
      </c>
    </row>
    <row r="140">
      <c r="A140" s="706">
        <v>138.0</v>
      </c>
      <c r="B140" s="362" t="b">
        <v>0</v>
      </c>
      <c r="C140" s="722" t="s">
        <v>5655</v>
      </c>
      <c r="D140" s="208"/>
      <c r="E140" s="743">
        <v>3.1623740683E10</v>
      </c>
      <c r="F140" s="743" t="s">
        <v>5656</v>
      </c>
      <c r="G140" s="362" t="b">
        <v>1</v>
      </c>
    </row>
    <row r="141">
      <c r="A141" s="706">
        <v>139.0</v>
      </c>
      <c r="B141" s="362" t="b">
        <v>0</v>
      </c>
      <c r="C141" s="722" t="s">
        <v>5657</v>
      </c>
      <c r="D141" s="208"/>
      <c r="E141" s="208"/>
      <c r="F141" s="724" t="s">
        <v>5658</v>
      </c>
      <c r="G141" s="362" t="b">
        <v>1</v>
      </c>
    </row>
    <row r="142">
      <c r="A142" s="706">
        <v>140.0</v>
      </c>
      <c r="B142" s="362" t="b">
        <v>0</v>
      </c>
      <c r="C142" s="722" t="s">
        <v>5659</v>
      </c>
      <c r="D142" s="208"/>
      <c r="E142" s="208" t="s">
        <v>5660</v>
      </c>
      <c r="F142" s="709"/>
      <c r="G142" s="362" t="b">
        <v>1</v>
      </c>
    </row>
    <row r="143">
      <c r="A143" s="706">
        <v>141.0</v>
      </c>
      <c r="B143" s="362" t="b">
        <v>0</v>
      </c>
      <c r="C143" s="722" t="s">
        <v>5661</v>
      </c>
      <c r="D143" s="208"/>
      <c r="E143" s="734" t="s">
        <v>5662</v>
      </c>
      <c r="F143" s="734" t="s">
        <v>5663</v>
      </c>
      <c r="G143" s="362" t="b">
        <v>1</v>
      </c>
    </row>
    <row r="144">
      <c r="A144" s="706">
        <v>142.0</v>
      </c>
      <c r="B144" s="362" t="b">
        <v>0</v>
      </c>
      <c r="C144" s="722" t="s">
        <v>5664</v>
      </c>
      <c r="D144" s="208"/>
      <c r="E144" s="208"/>
      <c r="F144" s="734" t="s">
        <v>5665</v>
      </c>
      <c r="G144" s="362" t="b">
        <v>1</v>
      </c>
    </row>
    <row r="145">
      <c r="A145" s="706">
        <v>143.0</v>
      </c>
      <c r="B145" s="362" t="b">
        <v>0</v>
      </c>
      <c r="C145" s="716" t="s">
        <v>5666</v>
      </c>
      <c r="D145" s="208"/>
      <c r="E145" s="208"/>
      <c r="F145" s="734" t="s">
        <v>5667</v>
      </c>
      <c r="G145" s="362" t="b">
        <v>1</v>
      </c>
    </row>
    <row r="146">
      <c r="A146" s="706">
        <v>144.0</v>
      </c>
      <c r="B146" s="362" t="b">
        <v>0</v>
      </c>
      <c r="C146" s="716" t="s">
        <v>5668</v>
      </c>
      <c r="D146" s="208"/>
      <c r="E146" s="790" t="s">
        <v>5669</v>
      </c>
      <c r="F146" s="724" t="s">
        <v>5670</v>
      </c>
      <c r="G146" s="362" t="b">
        <v>1</v>
      </c>
    </row>
    <row r="147">
      <c r="A147" s="706">
        <v>145.0</v>
      </c>
      <c r="B147" s="362" t="b">
        <v>0</v>
      </c>
      <c r="C147" s="791" t="s">
        <v>5671</v>
      </c>
      <c r="D147" s="208"/>
      <c r="E147" s="792" t="s">
        <v>5672</v>
      </c>
      <c r="F147" s="724" t="s">
        <v>5673</v>
      </c>
      <c r="G147" s="362" t="b">
        <v>1</v>
      </c>
    </row>
    <row r="148">
      <c r="A148" s="706">
        <v>146.0</v>
      </c>
      <c r="B148" s="362" t="b">
        <v>0</v>
      </c>
      <c r="C148" s="722" t="s">
        <v>5674</v>
      </c>
      <c r="D148" s="208"/>
      <c r="E148" s="793" t="s">
        <v>5675</v>
      </c>
      <c r="F148" s="724" t="s">
        <v>5676</v>
      </c>
      <c r="G148" s="362" t="b">
        <v>1</v>
      </c>
    </row>
    <row r="149">
      <c r="A149" s="706">
        <v>147.0</v>
      </c>
      <c r="B149" s="362" t="b">
        <v>0</v>
      </c>
      <c r="C149" s="722" t="s">
        <v>5644</v>
      </c>
      <c r="D149" s="208"/>
      <c r="E149" s="759" t="s">
        <v>5645</v>
      </c>
      <c r="F149" s="724" t="s">
        <v>5677</v>
      </c>
      <c r="G149" s="362" t="b">
        <v>1</v>
      </c>
    </row>
    <row r="150">
      <c r="A150" s="706">
        <v>148.0</v>
      </c>
      <c r="B150" s="362" t="b">
        <v>0</v>
      </c>
      <c r="C150" s="722" t="s">
        <v>5642</v>
      </c>
      <c r="D150" s="208"/>
      <c r="E150" s="208" t="s">
        <v>5678</v>
      </c>
      <c r="F150" s="709" t="s">
        <v>5679</v>
      </c>
      <c r="G150" s="362" t="b">
        <v>1</v>
      </c>
    </row>
    <row r="151">
      <c r="A151" s="706">
        <v>149.0</v>
      </c>
      <c r="B151" s="362" t="b">
        <v>0</v>
      </c>
      <c r="C151" s="716" t="s">
        <v>5680</v>
      </c>
      <c r="D151" s="208"/>
      <c r="E151" s="208"/>
      <c r="F151" s="743" t="s">
        <v>5681</v>
      </c>
      <c r="G151" s="362" t="b">
        <v>1</v>
      </c>
    </row>
    <row r="152">
      <c r="A152" s="706">
        <v>150.0</v>
      </c>
      <c r="B152" s="362" t="b">
        <v>0</v>
      </c>
      <c r="C152" s="722" t="s">
        <v>5682</v>
      </c>
      <c r="D152" s="208"/>
      <c r="E152" s="208"/>
      <c r="F152" s="724" t="s">
        <v>5683</v>
      </c>
      <c r="G152" s="362" t="b">
        <v>1</v>
      </c>
    </row>
    <row r="153">
      <c r="A153" s="706">
        <v>151.0</v>
      </c>
      <c r="B153" s="362" t="b">
        <v>0</v>
      </c>
      <c r="C153" s="722" t="s">
        <v>5684</v>
      </c>
      <c r="D153" s="208"/>
      <c r="E153" s="208"/>
      <c r="F153" s="794" t="s">
        <v>5685</v>
      </c>
      <c r="G153" s="362" t="b">
        <v>1</v>
      </c>
    </row>
    <row r="154">
      <c r="A154" s="706">
        <v>152.0</v>
      </c>
      <c r="B154" s="362" t="b">
        <v>0</v>
      </c>
      <c r="C154" s="722" t="s">
        <v>5686</v>
      </c>
      <c r="D154" s="208"/>
      <c r="E154" s="208"/>
      <c r="F154" s="724" t="s">
        <v>5687</v>
      </c>
      <c r="G154" s="362" t="b">
        <v>1</v>
      </c>
    </row>
    <row r="155">
      <c r="A155" s="706">
        <v>153.0</v>
      </c>
      <c r="B155" s="362" t="b">
        <v>0</v>
      </c>
      <c r="C155" s="722" t="s">
        <v>5688</v>
      </c>
      <c r="D155" s="208"/>
      <c r="E155" s="208"/>
      <c r="F155" s="709" t="s">
        <v>5689</v>
      </c>
      <c r="G155" s="362" t="b">
        <v>1</v>
      </c>
    </row>
    <row r="156">
      <c r="A156" s="706">
        <v>154.0</v>
      </c>
      <c r="B156" s="362" t="b">
        <v>0</v>
      </c>
      <c r="C156" s="722" t="s">
        <v>5690</v>
      </c>
      <c r="D156" s="208"/>
      <c r="E156" s="734" t="s">
        <v>5691</v>
      </c>
      <c r="F156" s="734" t="s">
        <v>5692</v>
      </c>
      <c r="G156" s="362" t="b">
        <v>1</v>
      </c>
    </row>
    <row r="157">
      <c r="A157" s="706">
        <v>155.0</v>
      </c>
      <c r="B157" s="362" t="b">
        <v>0</v>
      </c>
      <c r="C157" s="722" t="s">
        <v>5693</v>
      </c>
      <c r="D157" s="208"/>
      <c r="E157" s="734" t="s">
        <v>5694</v>
      </c>
      <c r="F157" s="795" t="s">
        <v>5695</v>
      </c>
      <c r="G157" s="362" t="b">
        <v>1</v>
      </c>
    </row>
    <row r="158">
      <c r="A158" s="706">
        <v>156.0</v>
      </c>
      <c r="B158" s="362" t="b">
        <v>0</v>
      </c>
      <c r="C158" s="716" t="s">
        <v>5696</v>
      </c>
      <c r="D158" s="208"/>
      <c r="E158" s="208"/>
      <c r="F158" s="796" t="s">
        <v>5697</v>
      </c>
      <c r="G158" s="362" t="b">
        <v>1</v>
      </c>
    </row>
    <row r="159">
      <c r="A159" s="706">
        <v>157.0</v>
      </c>
      <c r="B159" s="362" t="b">
        <v>0</v>
      </c>
      <c r="C159" s="722" t="s">
        <v>5698</v>
      </c>
      <c r="D159" s="208"/>
      <c r="E159" s="797" t="s">
        <v>5699</v>
      </c>
      <c r="F159" s="798" t="s">
        <v>5700</v>
      </c>
      <c r="G159" s="362" t="b">
        <v>1</v>
      </c>
    </row>
    <row r="160">
      <c r="A160" s="706">
        <v>158.0</v>
      </c>
      <c r="B160" s="362" t="b">
        <v>0</v>
      </c>
      <c r="C160" s="722" t="s">
        <v>5701</v>
      </c>
      <c r="D160" s="208"/>
      <c r="E160" s="799" t="s">
        <v>5702</v>
      </c>
      <c r="F160" s="800" t="s">
        <v>5703</v>
      </c>
      <c r="G160" s="362" t="b">
        <v>1</v>
      </c>
    </row>
    <row r="161">
      <c r="A161" s="706">
        <v>159.0</v>
      </c>
      <c r="B161" s="362" t="b">
        <v>0</v>
      </c>
      <c r="C161" s="722" t="s">
        <v>5704</v>
      </c>
      <c r="D161" s="208"/>
      <c r="E161" s="734" t="s">
        <v>5705</v>
      </c>
      <c r="F161" s="734" t="s">
        <v>5706</v>
      </c>
      <c r="G161" s="362" t="b">
        <v>1</v>
      </c>
    </row>
    <row r="162">
      <c r="A162" s="706">
        <v>160.0</v>
      </c>
      <c r="B162" s="362" t="b">
        <v>0</v>
      </c>
      <c r="C162" s="722" t="s">
        <v>5639</v>
      </c>
      <c r="D162" s="208"/>
      <c r="E162" s="734" t="s">
        <v>5707</v>
      </c>
      <c r="F162" s="801" t="s">
        <v>5708</v>
      </c>
      <c r="G162" s="362" t="b">
        <v>1</v>
      </c>
    </row>
    <row r="163">
      <c r="A163" s="706">
        <v>161.0</v>
      </c>
      <c r="B163" s="362" t="b">
        <v>0</v>
      </c>
      <c r="C163" s="722" t="s">
        <v>5709</v>
      </c>
      <c r="D163" s="208"/>
      <c r="E163" s="208"/>
      <c r="F163" s="802" t="s">
        <v>5710</v>
      </c>
      <c r="G163" s="362" t="b">
        <v>1</v>
      </c>
    </row>
    <row r="164">
      <c r="A164" s="706">
        <v>162.0</v>
      </c>
      <c r="B164" s="362" t="b">
        <v>0</v>
      </c>
      <c r="C164" s="722" t="s">
        <v>5711</v>
      </c>
      <c r="D164" s="208"/>
      <c r="E164" s="708" t="s">
        <v>5712</v>
      </c>
      <c r="F164" s="709" t="s">
        <v>5713</v>
      </c>
      <c r="G164" s="362" t="b">
        <v>1</v>
      </c>
    </row>
    <row r="165">
      <c r="A165" s="706">
        <v>163.0</v>
      </c>
      <c r="B165" s="362" t="b">
        <v>0</v>
      </c>
      <c r="C165" s="722" t="s">
        <v>5714</v>
      </c>
      <c r="D165" s="208"/>
      <c r="E165" s="708" t="s">
        <v>5715</v>
      </c>
      <c r="F165" s="724" t="s">
        <v>5716</v>
      </c>
      <c r="G165" s="362" t="b">
        <v>1</v>
      </c>
    </row>
    <row r="166">
      <c r="A166" s="706">
        <v>164.0</v>
      </c>
      <c r="B166" s="362" t="b">
        <v>0</v>
      </c>
      <c r="C166" s="722" t="s">
        <v>4489</v>
      </c>
      <c r="D166" s="208"/>
      <c r="E166" s="803" t="s">
        <v>4493</v>
      </c>
      <c r="F166" s="804" t="s">
        <v>5717</v>
      </c>
      <c r="G166" s="362" t="b">
        <v>1</v>
      </c>
    </row>
    <row r="167">
      <c r="A167" s="706">
        <v>165.0</v>
      </c>
      <c r="B167" s="362" t="b">
        <v>0</v>
      </c>
      <c r="C167" s="722" t="s">
        <v>5718</v>
      </c>
      <c r="D167" s="208"/>
      <c r="E167" s="208"/>
      <c r="F167" s="734" t="s">
        <v>5719</v>
      </c>
      <c r="G167" s="362" t="b">
        <v>1</v>
      </c>
    </row>
    <row r="168">
      <c r="A168" s="706">
        <v>166.0</v>
      </c>
      <c r="B168" s="362" t="b">
        <v>0</v>
      </c>
      <c r="C168" s="722" t="s">
        <v>5720</v>
      </c>
      <c r="D168" s="208"/>
      <c r="E168" s="208"/>
      <c r="F168" s="709" t="s">
        <v>5721</v>
      </c>
      <c r="G168" s="362" t="b">
        <v>1</v>
      </c>
    </row>
    <row r="169">
      <c r="A169" s="706">
        <v>167.0</v>
      </c>
      <c r="B169" s="362" t="b">
        <v>0</v>
      </c>
      <c r="C169" s="805" t="s">
        <v>5722</v>
      </c>
      <c r="D169" s="208"/>
      <c r="E169" s="208"/>
      <c r="F169" s="806" t="s">
        <v>5723</v>
      </c>
      <c r="G169" s="362" t="b">
        <v>1</v>
      </c>
    </row>
    <row r="170">
      <c r="A170" s="706">
        <v>168.0</v>
      </c>
      <c r="B170" s="362" t="b">
        <v>0</v>
      </c>
      <c r="C170" s="722" t="s">
        <v>5724</v>
      </c>
      <c r="D170" s="208"/>
      <c r="E170" s="208"/>
      <c r="F170" s="807" t="s">
        <v>5725</v>
      </c>
      <c r="G170" s="362" t="b">
        <v>1</v>
      </c>
    </row>
    <row r="171">
      <c r="A171" s="706">
        <v>169.0</v>
      </c>
      <c r="B171" s="362" t="b">
        <v>0</v>
      </c>
      <c r="C171" s="722" t="s">
        <v>5563</v>
      </c>
      <c r="D171" s="208"/>
      <c r="E171" s="708" t="s">
        <v>5726</v>
      </c>
      <c r="F171" s="709" t="s">
        <v>5564</v>
      </c>
      <c r="G171" s="362" t="b">
        <v>1</v>
      </c>
    </row>
    <row r="172">
      <c r="A172" s="706">
        <v>170.0</v>
      </c>
      <c r="B172" s="362" t="b">
        <v>0</v>
      </c>
      <c r="C172" s="722" t="s">
        <v>5727</v>
      </c>
      <c r="D172" s="208"/>
      <c r="E172" s="208"/>
      <c r="F172" s="734" t="s">
        <v>5728</v>
      </c>
      <c r="G172" s="362" t="b">
        <v>1</v>
      </c>
    </row>
    <row r="173">
      <c r="A173" s="706">
        <v>171.0</v>
      </c>
      <c r="B173" s="362" t="b">
        <v>0</v>
      </c>
      <c r="C173" s="722" t="s">
        <v>5729</v>
      </c>
      <c r="D173" s="208"/>
      <c r="E173" s="208"/>
      <c r="F173" s="808" t="s">
        <v>5730</v>
      </c>
      <c r="G173" s="362" t="b">
        <v>1</v>
      </c>
    </row>
    <row r="174">
      <c r="A174" s="706">
        <v>172.0</v>
      </c>
      <c r="B174" s="362" t="b">
        <v>0</v>
      </c>
      <c r="C174" s="722" t="s">
        <v>5731</v>
      </c>
      <c r="D174" s="208"/>
      <c r="E174" s="208"/>
      <c r="F174" s="709" t="s">
        <v>5732</v>
      </c>
      <c r="G174" s="362" t="b">
        <v>1</v>
      </c>
    </row>
    <row r="175">
      <c r="A175" s="706">
        <v>173.0</v>
      </c>
      <c r="B175" s="362" t="b">
        <v>0</v>
      </c>
      <c r="C175" s="722" t="s">
        <v>5733</v>
      </c>
      <c r="D175" s="208"/>
      <c r="E175" s="208"/>
      <c r="F175" s="734" t="s">
        <v>5734</v>
      </c>
      <c r="G175" s="362" t="b">
        <v>1</v>
      </c>
    </row>
    <row r="176">
      <c r="A176" s="706">
        <v>174.0</v>
      </c>
      <c r="B176" s="362" t="b">
        <v>0</v>
      </c>
      <c r="C176" s="809" t="s">
        <v>5735</v>
      </c>
      <c r="D176" s="208"/>
      <c r="E176" s="208"/>
      <c r="F176" s="724" t="s">
        <v>5736</v>
      </c>
      <c r="G176" s="362" t="b">
        <v>1</v>
      </c>
    </row>
    <row r="177">
      <c r="A177" s="706">
        <v>175.0</v>
      </c>
      <c r="B177" s="362" t="b">
        <v>0</v>
      </c>
      <c r="C177" s="722" t="s">
        <v>5737</v>
      </c>
      <c r="D177" s="208"/>
      <c r="E177" s="734" t="s">
        <v>5738</v>
      </c>
      <c r="F177" s="709"/>
      <c r="G177" s="362" t="b">
        <v>1</v>
      </c>
    </row>
    <row r="178">
      <c r="A178" s="706">
        <v>176.0</v>
      </c>
      <c r="B178" s="362" t="b">
        <v>0</v>
      </c>
      <c r="C178" s="722" t="s">
        <v>5739</v>
      </c>
      <c r="D178" s="208"/>
      <c r="E178" s="208"/>
      <c r="F178" s="709" t="s">
        <v>5740</v>
      </c>
      <c r="G178" s="362" t="b">
        <v>1</v>
      </c>
    </row>
    <row r="179">
      <c r="A179" s="706">
        <v>177.0</v>
      </c>
      <c r="B179" s="362" t="b">
        <v>0</v>
      </c>
      <c r="C179" s="722" t="s">
        <v>5741</v>
      </c>
      <c r="D179" s="208"/>
      <c r="E179" s="208"/>
      <c r="F179" s="724" t="s">
        <v>5742</v>
      </c>
      <c r="G179" s="362" t="b">
        <v>1</v>
      </c>
    </row>
    <row r="180">
      <c r="A180" s="706">
        <v>178.0</v>
      </c>
      <c r="B180" s="362" t="b">
        <v>0</v>
      </c>
      <c r="C180" s="722" t="s">
        <v>5743</v>
      </c>
      <c r="D180" s="208"/>
      <c r="E180" s="708" t="s">
        <v>5744</v>
      </c>
      <c r="F180" s="709" t="s">
        <v>5745</v>
      </c>
      <c r="G180" s="362" t="b">
        <v>1</v>
      </c>
    </row>
    <row r="181">
      <c r="A181" s="706">
        <v>179.0</v>
      </c>
      <c r="B181" s="362" t="b">
        <v>0</v>
      </c>
      <c r="C181" s="722" t="s">
        <v>5746</v>
      </c>
      <c r="D181" s="208"/>
      <c r="E181" s="208"/>
      <c r="F181" s="724" t="s">
        <v>5747</v>
      </c>
      <c r="G181" s="362" t="b">
        <v>1</v>
      </c>
    </row>
    <row r="182">
      <c r="A182" s="706">
        <v>180.0</v>
      </c>
      <c r="B182" s="362" t="b">
        <v>0</v>
      </c>
      <c r="C182" s="722" t="s">
        <v>5748</v>
      </c>
      <c r="D182" s="208"/>
      <c r="E182" s="208"/>
      <c r="F182" s="709" t="s">
        <v>5442</v>
      </c>
      <c r="G182" s="362" t="b">
        <v>1</v>
      </c>
    </row>
    <row r="183">
      <c r="A183" s="706">
        <v>181.0</v>
      </c>
      <c r="B183" s="362" t="b">
        <v>0</v>
      </c>
      <c r="C183" s="722" t="s">
        <v>5749</v>
      </c>
      <c r="D183" s="208"/>
      <c r="E183" s="208"/>
      <c r="F183" s="743" t="s">
        <v>5750</v>
      </c>
      <c r="G183" s="362" t="b">
        <v>1</v>
      </c>
    </row>
    <row r="184">
      <c r="A184" s="706">
        <v>182.0</v>
      </c>
      <c r="B184" s="362" t="b">
        <v>0</v>
      </c>
      <c r="C184" s="722" t="s">
        <v>5751</v>
      </c>
      <c r="D184" s="208"/>
      <c r="E184" s="208"/>
      <c r="F184" s="709" t="s">
        <v>5752</v>
      </c>
      <c r="G184" s="362" t="b">
        <v>1</v>
      </c>
    </row>
    <row r="185">
      <c r="A185" s="706">
        <v>183.0</v>
      </c>
      <c r="B185" s="362" t="b">
        <v>0</v>
      </c>
      <c r="C185" s="722" t="s">
        <v>5753</v>
      </c>
      <c r="D185" s="208"/>
      <c r="E185" s="208"/>
      <c r="F185" s="724" t="s">
        <v>5754</v>
      </c>
      <c r="G185" s="362" t="b">
        <v>1</v>
      </c>
    </row>
    <row r="186">
      <c r="A186" s="706">
        <v>184.0</v>
      </c>
      <c r="B186" s="362" t="b">
        <v>0</v>
      </c>
      <c r="C186" s="722" t="s">
        <v>5755</v>
      </c>
      <c r="D186" s="208"/>
      <c r="E186" s="734" t="s">
        <v>5614</v>
      </c>
      <c r="F186" s="734" t="s">
        <v>5615</v>
      </c>
      <c r="G186" s="362" t="b">
        <v>1</v>
      </c>
    </row>
    <row r="187">
      <c r="A187" s="706">
        <v>185.0</v>
      </c>
      <c r="B187" s="362" t="b">
        <v>0</v>
      </c>
      <c r="C187" s="722" t="s">
        <v>5756</v>
      </c>
      <c r="D187" s="208"/>
      <c r="E187" s="810" t="s">
        <v>5757</v>
      </c>
      <c r="F187" s="810"/>
      <c r="G187" s="362" t="b">
        <v>1</v>
      </c>
    </row>
    <row r="188">
      <c r="A188" s="706">
        <v>186.0</v>
      </c>
      <c r="B188" s="362" t="b">
        <v>0</v>
      </c>
      <c r="C188" s="722" t="s">
        <v>5758</v>
      </c>
      <c r="D188" s="208"/>
      <c r="E188" s="208"/>
      <c r="F188" s="724" t="s">
        <v>5759</v>
      </c>
      <c r="G188" s="362" t="b">
        <v>1</v>
      </c>
    </row>
    <row r="189">
      <c r="A189" s="706">
        <v>187.0</v>
      </c>
      <c r="B189" s="362" t="b">
        <v>0</v>
      </c>
      <c r="C189" s="722" t="s">
        <v>5760</v>
      </c>
      <c r="D189" s="208"/>
      <c r="E189" s="208"/>
      <c r="F189" s="709"/>
      <c r="G189" s="362" t="b">
        <v>1</v>
      </c>
    </row>
    <row r="190">
      <c r="A190" s="706">
        <v>188.0</v>
      </c>
      <c r="B190" s="362" t="b">
        <v>0</v>
      </c>
      <c r="C190" s="811" t="s">
        <v>5761</v>
      </c>
      <c r="D190" s="208"/>
      <c r="E190" s="812">
        <v>1.030030111E9</v>
      </c>
      <c r="F190" s="708" t="s">
        <v>5762</v>
      </c>
      <c r="G190" s="362" t="b">
        <v>1</v>
      </c>
    </row>
    <row r="191">
      <c r="A191" s="706">
        <v>189.0</v>
      </c>
      <c r="B191" s="362" t="b">
        <v>0</v>
      </c>
      <c r="C191" s="811" t="s">
        <v>5763</v>
      </c>
      <c r="D191" s="208"/>
      <c r="E191" s="208" t="s">
        <v>5764</v>
      </c>
      <c r="F191" s="709" t="s">
        <v>5765</v>
      </c>
      <c r="G191" s="362" t="b">
        <v>1</v>
      </c>
    </row>
    <row r="192">
      <c r="A192" s="706">
        <v>190.0</v>
      </c>
      <c r="B192" s="362" t="b">
        <v>0</v>
      </c>
      <c r="C192" s="811" t="s">
        <v>5766</v>
      </c>
      <c r="D192" s="208"/>
      <c r="E192" s="208"/>
      <c r="F192" s="813" t="s">
        <v>2428</v>
      </c>
      <c r="G192" s="362" t="b">
        <v>1</v>
      </c>
    </row>
    <row r="193">
      <c r="A193" s="706">
        <v>191.0</v>
      </c>
      <c r="B193" s="362" t="b">
        <v>0</v>
      </c>
      <c r="C193" s="811" t="s">
        <v>5767</v>
      </c>
      <c r="D193" s="208"/>
      <c r="E193" s="814" t="s">
        <v>5768</v>
      </c>
      <c r="F193" s="813" t="s">
        <v>5769</v>
      </c>
      <c r="G193" s="362" t="b">
        <v>1</v>
      </c>
    </row>
    <row r="194">
      <c r="A194" s="706">
        <v>192.0</v>
      </c>
      <c r="B194" s="362" t="b">
        <v>0</v>
      </c>
      <c r="C194" s="815" t="s">
        <v>5770</v>
      </c>
      <c r="D194" s="208"/>
      <c r="E194" s="208"/>
      <c r="F194" s="813" t="s">
        <v>5771</v>
      </c>
      <c r="G194" s="362" t="b">
        <v>1</v>
      </c>
    </row>
    <row r="195">
      <c r="A195" s="706">
        <v>193.0</v>
      </c>
      <c r="B195" s="362" t="b">
        <v>0</v>
      </c>
      <c r="C195" s="811" t="s">
        <v>5772</v>
      </c>
      <c r="D195" s="208"/>
      <c r="E195" s="813" t="s">
        <v>5773</v>
      </c>
      <c r="F195" s="813" t="s">
        <v>5774</v>
      </c>
      <c r="G195" s="362" t="b">
        <v>1</v>
      </c>
    </row>
    <row r="196">
      <c r="A196" s="706">
        <v>194.0</v>
      </c>
      <c r="B196" s="362" t="b">
        <v>0</v>
      </c>
      <c r="C196" s="811" t="s">
        <v>3827</v>
      </c>
      <c r="D196" s="208"/>
      <c r="E196" s="208"/>
      <c r="F196" s="814" t="s">
        <v>5775</v>
      </c>
      <c r="G196" s="362" t="b">
        <v>1</v>
      </c>
    </row>
    <row r="197">
      <c r="A197" s="706">
        <v>195.0</v>
      </c>
      <c r="B197" s="362" t="b">
        <v>0</v>
      </c>
      <c r="C197" s="811" t="s">
        <v>5776</v>
      </c>
      <c r="D197" s="208"/>
      <c r="E197" s="669" t="s">
        <v>5777</v>
      </c>
      <c r="F197" s="816" t="s">
        <v>5778</v>
      </c>
      <c r="G197" s="362" t="b">
        <v>1</v>
      </c>
    </row>
    <row r="198">
      <c r="A198" s="706">
        <v>196.0</v>
      </c>
      <c r="B198" s="362" t="b">
        <v>0</v>
      </c>
      <c r="C198" s="811" t="s">
        <v>5779</v>
      </c>
      <c r="D198" s="208"/>
      <c r="E198" s="208"/>
      <c r="F198" s="708"/>
      <c r="G198" s="362" t="b">
        <v>1</v>
      </c>
    </row>
    <row r="199">
      <c r="A199" s="706">
        <v>197.0</v>
      </c>
      <c r="B199" s="362" t="b">
        <v>0</v>
      </c>
      <c r="C199" s="811" t="s">
        <v>5780</v>
      </c>
      <c r="D199" s="208"/>
      <c r="E199" s="208"/>
      <c r="F199" s="813" t="s">
        <v>5781</v>
      </c>
      <c r="G199" s="362" t="b">
        <v>1</v>
      </c>
    </row>
    <row r="200">
      <c r="A200" s="706">
        <v>198.0</v>
      </c>
      <c r="B200" s="362" t="b">
        <v>0</v>
      </c>
      <c r="C200" s="811" t="s">
        <v>5782</v>
      </c>
      <c r="D200" s="208"/>
      <c r="E200" s="208"/>
      <c r="F200" s="813"/>
      <c r="G200" s="362" t="b">
        <v>1</v>
      </c>
    </row>
    <row r="201">
      <c r="A201" s="706">
        <v>199.0</v>
      </c>
      <c r="B201" s="362" t="b">
        <v>0</v>
      </c>
      <c r="C201" s="811" t="s">
        <v>5783</v>
      </c>
      <c r="D201" s="208"/>
      <c r="E201" s="208"/>
      <c r="F201" s="813" t="s">
        <v>5784</v>
      </c>
      <c r="G201" s="362" t="b">
        <v>1</v>
      </c>
    </row>
    <row r="202">
      <c r="A202" s="706">
        <v>200.0</v>
      </c>
      <c r="B202" s="362" t="b">
        <v>0</v>
      </c>
      <c r="C202" s="811" t="s">
        <v>5785</v>
      </c>
      <c r="D202" s="208"/>
      <c r="E202" s="208"/>
      <c r="F202" s="813" t="s">
        <v>5786</v>
      </c>
      <c r="G202" s="362" t="b">
        <v>1</v>
      </c>
    </row>
    <row r="203">
      <c r="A203" s="706">
        <v>201.0</v>
      </c>
      <c r="B203" s="362" t="b">
        <v>0</v>
      </c>
      <c r="C203" s="811" t="s">
        <v>5787</v>
      </c>
      <c r="D203" s="208"/>
      <c r="E203" s="208"/>
      <c r="F203" s="813" t="s">
        <v>4619</v>
      </c>
      <c r="G203" s="362" t="b">
        <v>1</v>
      </c>
    </row>
    <row r="204">
      <c r="A204" s="706">
        <v>202.0</v>
      </c>
      <c r="B204" s="362" t="b">
        <v>0</v>
      </c>
      <c r="C204" s="815" t="s">
        <v>5788</v>
      </c>
      <c r="D204" s="208"/>
      <c r="E204" s="208"/>
      <c r="F204" s="708"/>
      <c r="G204" s="362" t="b">
        <v>1</v>
      </c>
    </row>
    <row r="205">
      <c r="A205" s="706">
        <v>203.0</v>
      </c>
      <c r="B205" s="362" t="b">
        <v>0</v>
      </c>
      <c r="C205" s="815" t="s">
        <v>5789</v>
      </c>
      <c r="D205" s="208"/>
      <c r="E205" s="813" t="s">
        <v>5790</v>
      </c>
      <c r="F205" s="813" t="s">
        <v>5791</v>
      </c>
      <c r="G205" s="362" t="b">
        <v>1</v>
      </c>
    </row>
    <row r="206">
      <c r="A206" s="706">
        <v>204.0</v>
      </c>
      <c r="B206" s="362" t="b">
        <v>0</v>
      </c>
      <c r="C206" s="815" t="s">
        <v>5792</v>
      </c>
      <c r="D206" s="208"/>
      <c r="E206" s="208"/>
      <c r="F206" s="817" t="s">
        <v>5793</v>
      </c>
      <c r="G206" s="362" t="b">
        <v>1</v>
      </c>
    </row>
    <row r="207">
      <c r="A207" s="706">
        <v>205.0</v>
      </c>
      <c r="B207" s="362" t="b">
        <v>0</v>
      </c>
      <c r="C207" s="815"/>
      <c r="D207" s="208"/>
      <c r="E207" s="208"/>
      <c r="F207" s="709"/>
      <c r="G207" s="362" t="b">
        <v>1</v>
      </c>
    </row>
    <row r="208">
      <c r="A208" s="706">
        <v>206.0</v>
      </c>
      <c r="B208" s="362" t="b">
        <v>0</v>
      </c>
      <c r="C208" s="815" t="s">
        <v>5794</v>
      </c>
      <c r="D208" s="208"/>
      <c r="E208" s="208"/>
      <c r="F208" s="708"/>
      <c r="G208" s="362" t="b">
        <v>1</v>
      </c>
    </row>
    <row r="209">
      <c r="A209" s="706">
        <v>207.0</v>
      </c>
      <c r="B209" s="362" t="b">
        <v>0</v>
      </c>
      <c r="C209" s="818" t="s">
        <v>5795</v>
      </c>
      <c r="D209" s="208"/>
      <c r="E209" s="669" t="s">
        <v>5796</v>
      </c>
      <c r="F209" s="709"/>
      <c r="G209" s="362" t="b">
        <v>1</v>
      </c>
    </row>
    <row r="210">
      <c r="A210" s="706">
        <v>208.0</v>
      </c>
      <c r="B210" s="362" t="b">
        <v>0</v>
      </c>
      <c r="C210" s="815" t="s">
        <v>5797</v>
      </c>
      <c r="D210" s="208"/>
      <c r="E210" s="819" t="s">
        <v>5798</v>
      </c>
      <c r="F210" s="814" t="s">
        <v>5799</v>
      </c>
      <c r="G210" s="362" t="b">
        <v>1</v>
      </c>
    </row>
    <row r="211">
      <c r="A211" s="706">
        <v>209.0</v>
      </c>
      <c r="B211" s="362" t="b">
        <v>0</v>
      </c>
      <c r="C211" s="815" t="s">
        <v>5800</v>
      </c>
      <c r="D211" s="208"/>
      <c r="E211" s="820"/>
      <c r="F211" s="709"/>
      <c r="G211" s="362" t="b">
        <v>1</v>
      </c>
    </row>
    <row r="212">
      <c r="A212" s="706">
        <v>210.0</v>
      </c>
      <c r="B212" s="362" t="b">
        <v>0</v>
      </c>
      <c r="C212" s="811" t="s">
        <v>5801</v>
      </c>
      <c r="D212" s="217" t="s">
        <v>5802</v>
      </c>
      <c r="E212" s="217" t="s">
        <v>5803</v>
      </c>
      <c r="F212" s="821" t="s">
        <v>5804</v>
      </c>
      <c r="G212" s="362" t="b">
        <v>1</v>
      </c>
    </row>
    <row r="213">
      <c r="A213" s="706">
        <v>211.0</v>
      </c>
      <c r="B213" s="362" t="b">
        <v>0</v>
      </c>
      <c r="C213" s="811" t="s">
        <v>5805</v>
      </c>
      <c r="D213" s="208"/>
      <c r="E213" s="208" t="s">
        <v>5806</v>
      </c>
      <c r="F213" s="822"/>
      <c r="G213" s="362" t="b">
        <v>1</v>
      </c>
    </row>
    <row r="214">
      <c r="A214" s="706">
        <v>212.0</v>
      </c>
      <c r="B214" s="362" t="b">
        <v>0</v>
      </c>
      <c r="C214" s="815" t="s">
        <v>5807</v>
      </c>
      <c r="D214" s="208"/>
      <c r="E214" s="208" t="s">
        <v>5808</v>
      </c>
      <c r="F214" s="823" t="s">
        <v>5809</v>
      </c>
      <c r="G214" s="362" t="b">
        <v>1</v>
      </c>
    </row>
    <row r="215">
      <c r="A215" s="706">
        <v>213.0</v>
      </c>
      <c r="B215" s="362" t="b">
        <v>0</v>
      </c>
      <c r="C215" s="815" t="s">
        <v>5810</v>
      </c>
      <c r="D215" s="208"/>
      <c r="E215" s="208"/>
      <c r="F215" s="824"/>
      <c r="G215" s="362" t="b">
        <v>0</v>
      </c>
    </row>
    <row r="216">
      <c r="A216" s="706">
        <v>214.0</v>
      </c>
      <c r="B216" s="362" t="b">
        <v>0</v>
      </c>
      <c r="C216" s="811" t="s">
        <v>5811</v>
      </c>
      <c r="D216" s="208"/>
      <c r="E216" s="208"/>
      <c r="F216" s="708"/>
      <c r="G216" s="362" t="b">
        <v>0</v>
      </c>
    </row>
    <row r="217">
      <c r="A217" s="706">
        <v>215.0</v>
      </c>
      <c r="B217" s="362" t="b">
        <v>0</v>
      </c>
      <c r="C217" s="815" t="s">
        <v>5812</v>
      </c>
      <c r="D217" s="208"/>
      <c r="E217" s="208"/>
      <c r="F217" s="709"/>
      <c r="G217" s="362" t="b">
        <v>0</v>
      </c>
    </row>
    <row r="218">
      <c r="A218" s="706">
        <v>216.0</v>
      </c>
      <c r="B218" s="362" t="b">
        <v>0</v>
      </c>
      <c r="C218" s="815" t="s">
        <v>5813</v>
      </c>
      <c r="D218" s="208"/>
      <c r="E218" s="208"/>
      <c r="F218" s="708"/>
      <c r="G218" s="362" t="b">
        <v>0</v>
      </c>
    </row>
    <row r="219">
      <c r="A219" s="706">
        <v>217.0</v>
      </c>
      <c r="B219" s="362" t="b">
        <v>0</v>
      </c>
      <c r="C219" s="815" t="s">
        <v>5814</v>
      </c>
      <c r="D219" s="208"/>
      <c r="E219" s="208"/>
      <c r="F219" s="709"/>
      <c r="G219" s="362" t="b">
        <v>0</v>
      </c>
    </row>
    <row r="220">
      <c r="A220" s="706">
        <v>218.0</v>
      </c>
      <c r="B220" s="362" t="b">
        <v>0</v>
      </c>
      <c r="C220" s="815" t="s">
        <v>5815</v>
      </c>
      <c r="D220" s="208"/>
      <c r="E220" s="208"/>
      <c r="F220" s="708"/>
      <c r="G220" s="362" t="b">
        <v>0</v>
      </c>
    </row>
    <row r="221">
      <c r="A221" s="706">
        <v>219.0</v>
      </c>
      <c r="B221" s="362" t="b">
        <v>0</v>
      </c>
      <c r="C221" s="818" t="s">
        <v>5816</v>
      </c>
      <c r="D221" s="208"/>
      <c r="E221" s="208"/>
      <c r="F221" s="709"/>
      <c r="G221" s="362" t="b">
        <v>0</v>
      </c>
    </row>
    <row r="222">
      <c r="A222" s="706">
        <v>220.0</v>
      </c>
      <c r="B222" s="362" t="b">
        <v>0</v>
      </c>
      <c r="C222" s="815" t="s">
        <v>5817</v>
      </c>
      <c r="D222" s="208"/>
      <c r="E222" s="208"/>
      <c r="F222" s="708"/>
      <c r="G222" s="362" t="b">
        <v>0</v>
      </c>
    </row>
    <row r="223">
      <c r="A223" s="706">
        <v>221.0</v>
      </c>
      <c r="B223" s="362" t="b">
        <v>0</v>
      </c>
      <c r="C223" s="815" t="s">
        <v>5818</v>
      </c>
      <c r="D223" s="208"/>
      <c r="E223" s="208"/>
      <c r="F223" s="709"/>
      <c r="G223" s="362" t="b">
        <v>0</v>
      </c>
    </row>
    <row r="224">
      <c r="A224" s="706">
        <v>222.0</v>
      </c>
      <c r="B224" s="362" t="b">
        <v>0</v>
      </c>
      <c r="C224" s="815" t="s">
        <v>5819</v>
      </c>
      <c r="D224" s="208"/>
      <c r="E224" s="208"/>
      <c r="F224" s="708"/>
      <c r="G224" s="362" t="b">
        <v>0</v>
      </c>
    </row>
    <row r="225">
      <c r="A225" s="706">
        <v>223.0</v>
      </c>
      <c r="B225" s="362" t="b">
        <v>0</v>
      </c>
      <c r="C225" s="815" t="s">
        <v>5820</v>
      </c>
      <c r="D225" s="208"/>
      <c r="E225" s="208"/>
      <c r="F225" s="709"/>
      <c r="G225" s="362" t="b">
        <v>0</v>
      </c>
    </row>
    <row r="226">
      <c r="A226" s="706">
        <v>224.0</v>
      </c>
      <c r="B226" s="362" t="b">
        <v>0</v>
      </c>
      <c r="C226" s="815" t="s">
        <v>5821</v>
      </c>
      <c r="D226" s="208"/>
      <c r="E226" s="208"/>
      <c r="F226" s="708"/>
      <c r="G226" s="362" t="b">
        <v>0</v>
      </c>
    </row>
    <row r="227">
      <c r="A227" s="706">
        <v>225.0</v>
      </c>
      <c r="B227" s="362" t="b">
        <v>0</v>
      </c>
      <c r="C227" s="815" t="s">
        <v>5822</v>
      </c>
      <c r="D227" s="208"/>
      <c r="E227" s="208"/>
      <c r="F227" s="709"/>
      <c r="G227" s="362" t="b">
        <v>0</v>
      </c>
    </row>
    <row r="228">
      <c r="A228" s="706">
        <v>226.0</v>
      </c>
      <c r="B228" s="362" t="b">
        <v>0</v>
      </c>
      <c r="C228" s="815" t="s">
        <v>5823</v>
      </c>
      <c r="D228" s="208"/>
      <c r="E228" s="208"/>
      <c r="F228" s="708"/>
      <c r="G228" s="362" t="b">
        <v>0</v>
      </c>
    </row>
    <row r="229">
      <c r="A229" s="706">
        <v>227.0</v>
      </c>
      <c r="B229" s="362" t="b">
        <v>0</v>
      </c>
      <c r="C229" s="815" t="s">
        <v>5824</v>
      </c>
      <c r="D229" s="208"/>
      <c r="E229" s="208"/>
      <c r="F229" s="709"/>
      <c r="G229" s="362" t="b">
        <v>0</v>
      </c>
    </row>
    <row r="230">
      <c r="A230" s="706">
        <v>228.0</v>
      </c>
      <c r="B230" s="362" t="b">
        <v>0</v>
      </c>
      <c r="C230" s="815" t="s">
        <v>5825</v>
      </c>
      <c r="D230" s="208"/>
      <c r="E230" s="208"/>
      <c r="F230" s="708"/>
      <c r="G230" s="362" t="b">
        <v>0</v>
      </c>
    </row>
    <row r="231">
      <c r="A231" s="706">
        <v>229.0</v>
      </c>
      <c r="B231" s="362" t="b">
        <v>0</v>
      </c>
      <c r="C231" s="815" t="s">
        <v>5826</v>
      </c>
      <c r="D231" s="208"/>
      <c r="E231" s="208"/>
      <c r="F231" s="709"/>
      <c r="G231" s="362" t="b">
        <v>0</v>
      </c>
    </row>
    <row r="232">
      <c r="A232" s="706">
        <v>230.0</v>
      </c>
      <c r="B232" s="362" t="b">
        <v>0</v>
      </c>
      <c r="C232" s="815" t="s">
        <v>5827</v>
      </c>
      <c r="D232" s="208"/>
      <c r="E232" s="208"/>
      <c r="F232" s="708"/>
      <c r="G232" s="362" t="b">
        <v>0</v>
      </c>
    </row>
    <row r="233">
      <c r="A233" s="706">
        <v>231.0</v>
      </c>
      <c r="B233" s="362" t="b">
        <v>0</v>
      </c>
      <c r="C233" s="815" t="s">
        <v>5828</v>
      </c>
      <c r="D233" s="208"/>
      <c r="E233" s="208"/>
      <c r="F233" s="709"/>
      <c r="G233" s="362" t="b">
        <v>0</v>
      </c>
    </row>
    <row r="234">
      <c r="A234" s="706">
        <v>232.0</v>
      </c>
      <c r="B234" s="362" t="b">
        <v>0</v>
      </c>
      <c r="C234" s="815" t="s">
        <v>5829</v>
      </c>
      <c r="D234" s="208"/>
      <c r="E234" s="208"/>
      <c r="F234" s="708"/>
      <c r="G234" s="362" t="b">
        <v>0</v>
      </c>
    </row>
    <row r="235">
      <c r="A235" s="706">
        <v>233.0</v>
      </c>
      <c r="B235" s="362" t="b">
        <v>0</v>
      </c>
      <c r="C235" s="815" t="s">
        <v>5830</v>
      </c>
      <c r="D235" s="208"/>
      <c r="E235" s="208"/>
      <c r="F235" s="709"/>
      <c r="G235" s="362" t="b">
        <v>0</v>
      </c>
    </row>
    <row r="236">
      <c r="A236" s="706">
        <v>234.0</v>
      </c>
      <c r="B236" s="362" t="b">
        <v>0</v>
      </c>
      <c r="C236" s="815" t="s">
        <v>5831</v>
      </c>
      <c r="D236" s="208"/>
      <c r="E236" s="208"/>
      <c r="F236" s="708"/>
      <c r="G236" s="362" t="b">
        <v>0</v>
      </c>
    </row>
    <row r="237">
      <c r="A237" s="706">
        <v>235.0</v>
      </c>
      <c r="B237" s="362" t="b">
        <v>0</v>
      </c>
      <c r="C237" s="815" t="s">
        <v>5832</v>
      </c>
      <c r="D237" s="208"/>
      <c r="E237" s="208"/>
      <c r="F237" s="709"/>
      <c r="G237" s="362" t="b">
        <v>0</v>
      </c>
    </row>
    <row r="238">
      <c r="A238" s="706">
        <v>236.0</v>
      </c>
      <c r="B238" s="362" t="b">
        <v>0</v>
      </c>
      <c r="C238" s="815" t="s">
        <v>5833</v>
      </c>
      <c r="D238" s="208"/>
      <c r="E238" s="208"/>
      <c r="F238" s="708"/>
      <c r="G238" s="362" t="b">
        <v>0</v>
      </c>
    </row>
    <row r="239">
      <c r="A239" s="706">
        <v>237.0</v>
      </c>
      <c r="B239" s="362" t="b">
        <v>0</v>
      </c>
      <c r="C239" s="811" t="s">
        <v>5834</v>
      </c>
      <c r="D239" s="208"/>
      <c r="E239" s="208"/>
      <c r="F239" s="709"/>
      <c r="G239" s="362" t="b">
        <v>0</v>
      </c>
    </row>
    <row r="240">
      <c r="A240" s="706">
        <v>238.0</v>
      </c>
      <c r="B240" s="362" t="b">
        <v>0</v>
      </c>
      <c r="C240" s="811" t="s">
        <v>5835</v>
      </c>
      <c r="D240" s="208"/>
      <c r="E240" s="208"/>
      <c r="F240" s="708"/>
      <c r="G240" s="362" t="b">
        <v>0</v>
      </c>
    </row>
    <row r="241">
      <c r="A241" s="706">
        <v>239.0</v>
      </c>
      <c r="B241" s="362" t="b">
        <v>0</v>
      </c>
      <c r="C241" s="815" t="s">
        <v>5836</v>
      </c>
      <c r="D241" s="208"/>
      <c r="E241" s="208"/>
      <c r="F241" s="709"/>
      <c r="G241" s="362" t="b">
        <v>0</v>
      </c>
    </row>
    <row r="242">
      <c r="A242" s="706">
        <v>240.0</v>
      </c>
      <c r="B242" s="362" t="b">
        <v>0</v>
      </c>
      <c r="C242" s="815" t="s">
        <v>5837</v>
      </c>
      <c r="D242" s="208"/>
      <c r="E242" s="208"/>
      <c r="F242" s="708"/>
      <c r="G242" s="362" t="b">
        <v>0</v>
      </c>
    </row>
    <row r="243">
      <c r="A243" s="706">
        <v>241.0</v>
      </c>
      <c r="B243" s="362" t="b">
        <v>0</v>
      </c>
      <c r="C243" s="811" t="s">
        <v>5838</v>
      </c>
      <c r="D243" s="208"/>
      <c r="E243" s="208"/>
      <c r="F243" s="709"/>
      <c r="G243" s="362" t="b">
        <v>0</v>
      </c>
    </row>
    <row r="244">
      <c r="A244" s="706">
        <v>242.0</v>
      </c>
      <c r="B244" s="362" t="b">
        <v>0</v>
      </c>
      <c r="C244" s="815" t="s">
        <v>5839</v>
      </c>
      <c r="D244" s="208"/>
      <c r="E244" s="208"/>
      <c r="F244" s="708"/>
      <c r="G244" s="362" t="b">
        <v>0</v>
      </c>
    </row>
    <row r="245">
      <c r="A245" s="706">
        <v>243.0</v>
      </c>
      <c r="B245" s="362" t="b">
        <v>0</v>
      </c>
      <c r="C245" s="815" t="s">
        <v>5840</v>
      </c>
      <c r="D245" s="208"/>
      <c r="E245" s="208"/>
      <c r="F245" s="709"/>
      <c r="G245" s="362" t="b">
        <v>0</v>
      </c>
    </row>
    <row r="246">
      <c r="A246" s="706">
        <v>244.0</v>
      </c>
      <c r="B246" s="362" t="b">
        <v>0</v>
      </c>
      <c r="C246" s="815" t="s">
        <v>5841</v>
      </c>
      <c r="D246" s="208"/>
      <c r="E246" s="208"/>
      <c r="F246" s="708"/>
      <c r="G246" s="362" t="b">
        <v>0</v>
      </c>
    </row>
    <row r="247">
      <c r="A247" s="706">
        <v>245.0</v>
      </c>
      <c r="B247" s="362" t="b">
        <v>0</v>
      </c>
      <c r="C247" s="815" t="s">
        <v>5842</v>
      </c>
      <c r="D247" s="208"/>
      <c r="E247" s="208"/>
      <c r="F247" s="709"/>
    </row>
    <row r="248">
      <c r="A248" s="706">
        <v>246.0</v>
      </c>
      <c r="B248" s="362" t="b">
        <v>0</v>
      </c>
      <c r="C248" s="815" t="s">
        <v>5843</v>
      </c>
      <c r="D248" s="208"/>
      <c r="E248" s="208"/>
      <c r="F248" s="708"/>
    </row>
    <row r="249">
      <c r="A249" s="706">
        <v>247.0</v>
      </c>
      <c r="B249" s="362" t="b">
        <v>0</v>
      </c>
      <c r="C249" s="818" t="s">
        <v>5844</v>
      </c>
      <c r="D249" s="208"/>
      <c r="E249" s="208"/>
      <c r="F249" s="709"/>
    </row>
    <row r="250">
      <c r="A250" s="706">
        <v>248.0</v>
      </c>
      <c r="B250" s="362" t="b">
        <v>0</v>
      </c>
      <c r="C250" s="818" t="s">
        <v>5845</v>
      </c>
      <c r="D250" s="208"/>
      <c r="E250" s="208"/>
      <c r="F250" s="708"/>
    </row>
    <row r="251">
      <c r="A251" s="706">
        <v>249.0</v>
      </c>
      <c r="B251" s="362" t="b">
        <v>0</v>
      </c>
      <c r="C251" s="815" t="s">
        <v>4502</v>
      </c>
      <c r="D251" s="208"/>
      <c r="E251" s="208"/>
      <c r="F251" s="709"/>
    </row>
    <row r="252">
      <c r="A252" s="706">
        <v>250.0</v>
      </c>
      <c r="B252" s="362" t="b">
        <v>0</v>
      </c>
      <c r="C252" s="815" t="s">
        <v>4507</v>
      </c>
      <c r="D252" s="208"/>
      <c r="E252" s="208"/>
      <c r="F252" s="708"/>
    </row>
    <row r="253">
      <c r="A253" s="706">
        <v>251.0</v>
      </c>
      <c r="B253" s="362" t="b">
        <v>0</v>
      </c>
      <c r="C253" s="815" t="s">
        <v>4496</v>
      </c>
      <c r="D253" s="208"/>
      <c r="E253" s="208"/>
      <c r="F253" s="709"/>
    </row>
    <row r="254">
      <c r="A254" s="706">
        <v>252.0</v>
      </c>
      <c r="B254" s="362" t="b">
        <v>0</v>
      </c>
      <c r="C254" s="815" t="s">
        <v>5846</v>
      </c>
      <c r="D254" s="208"/>
      <c r="E254" s="208"/>
      <c r="F254" s="708"/>
    </row>
    <row r="255">
      <c r="A255" s="706">
        <v>253.0</v>
      </c>
      <c r="B255" s="362" t="b">
        <v>0</v>
      </c>
      <c r="C255" s="815" t="s">
        <v>5847</v>
      </c>
      <c r="D255" s="208"/>
      <c r="E255" s="208"/>
      <c r="F255" s="709"/>
    </row>
    <row r="256">
      <c r="A256" s="706">
        <v>254.0</v>
      </c>
      <c r="B256" s="362" t="b">
        <v>0</v>
      </c>
      <c r="C256" s="815" t="s">
        <v>5848</v>
      </c>
      <c r="D256" s="208"/>
      <c r="E256" s="208"/>
      <c r="F256" s="708"/>
    </row>
    <row r="257">
      <c r="A257" s="706">
        <v>255.0</v>
      </c>
      <c r="B257" s="362" t="b">
        <v>0</v>
      </c>
      <c r="C257" s="818" t="s">
        <v>5849</v>
      </c>
      <c r="D257" s="208"/>
      <c r="E257" s="208"/>
      <c r="F257" s="709"/>
    </row>
    <row r="258">
      <c r="A258" s="706">
        <v>256.0</v>
      </c>
      <c r="B258" s="362" t="b">
        <v>0</v>
      </c>
      <c r="C258" s="815" t="s">
        <v>5850</v>
      </c>
      <c r="D258" s="208"/>
      <c r="E258" s="208"/>
      <c r="F258" s="708"/>
    </row>
    <row r="259">
      <c r="A259" s="706">
        <v>257.0</v>
      </c>
      <c r="B259" s="362" t="b">
        <v>0</v>
      </c>
      <c r="C259" s="815" t="s">
        <v>5851</v>
      </c>
      <c r="D259" s="208"/>
      <c r="E259" s="208"/>
      <c r="F259" s="709"/>
    </row>
    <row r="260">
      <c r="A260" s="706">
        <v>258.0</v>
      </c>
      <c r="B260" s="362" t="b">
        <v>0</v>
      </c>
      <c r="C260" s="815" t="s">
        <v>5852</v>
      </c>
      <c r="D260" s="208"/>
      <c r="E260" s="208"/>
      <c r="F260" s="708"/>
    </row>
    <row r="261">
      <c r="A261" s="706">
        <v>259.0</v>
      </c>
      <c r="B261" s="362" t="b">
        <v>0</v>
      </c>
      <c r="C261" s="815" t="s">
        <v>5853</v>
      </c>
      <c r="D261" s="208"/>
      <c r="E261" s="208"/>
      <c r="F261" s="709"/>
    </row>
    <row r="262">
      <c r="A262" s="706">
        <v>260.0</v>
      </c>
      <c r="B262" s="362" t="b">
        <v>0</v>
      </c>
      <c r="C262" s="815" t="s">
        <v>5854</v>
      </c>
      <c r="D262" s="208"/>
      <c r="E262" s="208"/>
      <c r="F262" s="708"/>
    </row>
    <row r="263">
      <c r="A263" s="706">
        <v>261.0</v>
      </c>
      <c r="B263" s="362" t="b">
        <v>0</v>
      </c>
      <c r="C263" s="815" t="s">
        <v>5855</v>
      </c>
      <c r="D263" s="208"/>
      <c r="E263" s="208"/>
      <c r="F263" s="709"/>
    </row>
    <row r="264">
      <c r="A264" s="706">
        <v>262.0</v>
      </c>
      <c r="B264" s="362" t="b">
        <v>0</v>
      </c>
      <c r="C264" s="815" t="s">
        <v>5856</v>
      </c>
      <c r="D264" s="208"/>
      <c r="E264" s="208"/>
      <c r="F264" s="708"/>
    </row>
    <row r="265">
      <c r="A265" s="706">
        <v>263.0</v>
      </c>
      <c r="B265" s="362" t="b">
        <v>0</v>
      </c>
      <c r="C265" s="815" t="s">
        <v>5857</v>
      </c>
      <c r="D265" s="208"/>
      <c r="E265" s="208"/>
      <c r="F265" s="709"/>
    </row>
    <row r="266">
      <c r="A266" s="706">
        <v>264.0</v>
      </c>
      <c r="B266" s="362" t="b">
        <v>0</v>
      </c>
      <c r="C266" s="815" t="s">
        <v>5858</v>
      </c>
      <c r="D266" s="208"/>
      <c r="E266" s="208"/>
      <c r="F266" s="708"/>
    </row>
    <row r="267">
      <c r="A267" s="706">
        <v>265.0</v>
      </c>
      <c r="B267" s="362" t="b">
        <v>0</v>
      </c>
      <c r="C267" s="815" t="s">
        <v>4519</v>
      </c>
      <c r="D267" s="208"/>
      <c r="E267" s="208"/>
      <c r="F267" s="709"/>
    </row>
    <row r="268">
      <c r="A268" s="706">
        <v>266.0</v>
      </c>
      <c r="B268" s="362" t="b">
        <v>0</v>
      </c>
      <c r="C268" s="815" t="s">
        <v>5859</v>
      </c>
      <c r="D268" s="208"/>
      <c r="E268" s="208"/>
      <c r="F268" s="708"/>
    </row>
    <row r="269">
      <c r="A269" s="706">
        <v>267.0</v>
      </c>
      <c r="B269" s="362" t="b">
        <v>0</v>
      </c>
      <c r="C269" s="815" t="s">
        <v>5860</v>
      </c>
      <c r="D269" s="208"/>
      <c r="E269" s="208"/>
      <c r="F269" s="709"/>
    </row>
    <row r="270">
      <c r="A270" s="706">
        <v>268.0</v>
      </c>
      <c r="B270" s="362" t="b">
        <v>0</v>
      </c>
      <c r="C270" s="825"/>
      <c r="D270" s="208"/>
      <c r="E270" s="208"/>
      <c r="F270" s="708"/>
    </row>
    <row r="271">
      <c r="A271" s="706">
        <v>269.0</v>
      </c>
      <c r="B271" s="362" t="b">
        <v>0</v>
      </c>
      <c r="C271" s="377"/>
      <c r="D271" s="208"/>
      <c r="E271" s="208"/>
      <c r="F271" s="709"/>
    </row>
    <row r="272">
      <c r="A272" s="706">
        <v>270.0</v>
      </c>
      <c r="B272" s="362" t="b">
        <v>0</v>
      </c>
      <c r="C272" s="826"/>
      <c r="D272" s="208"/>
      <c r="E272" s="208"/>
      <c r="F272" s="708"/>
    </row>
    <row r="273">
      <c r="A273" s="706">
        <v>271.0</v>
      </c>
      <c r="B273" s="362" t="b">
        <v>0</v>
      </c>
      <c r="C273" s="377"/>
      <c r="D273" s="208"/>
      <c r="E273" s="208"/>
      <c r="F273" s="709"/>
    </row>
    <row r="274">
      <c r="A274" s="706">
        <v>272.0</v>
      </c>
      <c r="B274" s="362" t="b">
        <v>0</v>
      </c>
      <c r="C274" s="825"/>
      <c r="D274" s="208"/>
      <c r="E274" s="208"/>
      <c r="F274" s="708"/>
    </row>
    <row r="275">
      <c r="A275" s="706">
        <v>273.0</v>
      </c>
      <c r="B275" s="362" t="b">
        <v>0</v>
      </c>
      <c r="C275" s="377"/>
      <c r="D275" s="208"/>
      <c r="E275" s="208"/>
      <c r="F275" s="709"/>
    </row>
    <row r="276">
      <c r="A276" s="706">
        <v>274.0</v>
      </c>
      <c r="B276" s="362" t="b">
        <v>0</v>
      </c>
      <c r="C276" s="826"/>
      <c r="D276" s="208"/>
      <c r="E276" s="208"/>
      <c r="F276" s="708"/>
    </row>
    <row r="277">
      <c r="A277" s="706">
        <v>275.0</v>
      </c>
      <c r="B277" s="362" t="b">
        <v>0</v>
      </c>
      <c r="C277" s="377"/>
      <c r="D277" s="208"/>
      <c r="E277" s="208"/>
      <c r="F277" s="709"/>
    </row>
    <row r="278">
      <c r="A278" s="706">
        <v>276.0</v>
      </c>
      <c r="B278" s="362" t="b">
        <v>0</v>
      </c>
      <c r="C278" s="825"/>
      <c r="D278" s="208"/>
      <c r="E278" s="208"/>
      <c r="F278" s="708"/>
    </row>
    <row r="279">
      <c r="A279" s="706">
        <v>277.0</v>
      </c>
      <c r="B279" s="362" t="b">
        <v>0</v>
      </c>
      <c r="C279" s="377"/>
      <c r="D279" s="208"/>
      <c r="E279" s="208"/>
      <c r="F279" s="709"/>
    </row>
    <row r="280">
      <c r="A280" s="706">
        <v>278.0</v>
      </c>
      <c r="B280" s="362" t="b">
        <v>0</v>
      </c>
      <c r="C280" s="826"/>
      <c r="D280" s="208"/>
      <c r="E280" s="208"/>
      <c r="F280" s="708"/>
    </row>
    <row r="281">
      <c r="A281" s="706">
        <v>279.0</v>
      </c>
      <c r="B281" s="362" t="b">
        <v>0</v>
      </c>
      <c r="C281" s="377"/>
      <c r="D281" s="208"/>
      <c r="E281" s="208"/>
      <c r="F281" s="709"/>
    </row>
    <row r="282">
      <c r="A282" s="706">
        <v>280.0</v>
      </c>
      <c r="B282" s="362" t="b">
        <v>0</v>
      </c>
      <c r="C282" s="825"/>
      <c r="D282" s="208"/>
      <c r="E282" s="208"/>
      <c r="F282" s="708"/>
    </row>
    <row r="283">
      <c r="A283" s="706">
        <v>281.0</v>
      </c>
      <c r="B283" s="362" t="b">
        <v>0</v>
      </c>
      <c r="C283" s="377"/>
      <c r="D283" s="208"/>
      <c r="E283" s="208"/>
      <c r="F283" s="709"/>
    </row>
    <row r="284">
      <c r="A284" s="706">
        <v>282.0</v>
      </c>
      <c r="B284" s="362" t="b">
        <v>0</v>
      </c>
      <c r="C284" s="826"/>
      <c r="D284" s="208"/>
      <c r="E284" s="208"/>
      <c r="F284" s="708"/>
    </row>
    <row r="285">
      <c r="A285" s="706">
        <v>283.0</v>
      </c>
      <c r="B285" s="362" t="b">
        <v>0</v>
      </c>
      <c r="C285" s="377"/>
      <c r="D285" s="208"/>
      <c r="E285" s="208"/>
      <c r="F285" s="709"/>
    </row>
    <row r="286">
      <c r="A286" s="706">
        <v>284.0</v>
      </c>
      <c r="B286" s="362" t="b">
        <v>0</v>
      </c>
      <c r="C286" s="825"/>
      <c r="D286" s="208"/>
      <c r="E286" s="208"/>
      <c r="F286" s="708"/>
    </row>
    <row r="287">
      <c r="A287" s="706">
        <v>285.0</v>
      </c>
      <c r="B287" s="362" t="b">
        <v>0</v>
      </c>
      <c r="C287" s="377"/>
      <c r="D287" s="208"/>
      <c r="E287" s="208"/>
      <c r="F287" s="709"/>
    </row>
    <row r="288">
      <c r="A288" s="706">
        <v>286.0</v>
      </c>
      <c r="B288" s="362" t="b">
        <v>0</v>
      </c>
      <c r="C288" s="826"/>
      <c r="D288" s="208"/>
      <c r="E288" s="208"/>
      <c r="F288" s="708"/>
    </row>
    <row r="289">
      <c r="A289" s="706">
        <v>287.0</v>
      </c>
      <c r="B289" s="362" t="b">
        <v>0</v>
      </c>
      <c r="C289" s="377"/>
      <c r="D289" s="208"/>
      <c r="E289" s="208"/>
      <c r="F289" s="709"/>
    </row>
    <row r="290">
      <c r="A290" s="706">
        <v>288.0</v>
      </c>
      <c r="B290" s="362" t="b">
        <v>0</v>
      </c>
      <c r="C290" s="825"/>
      <c r="D290" s="208"/>
      <c r="E290" s="208"/>
      <c r="F290" s="708"/>
    </row>
    <row r="291">
      <c r="A291" s="706">
        <v>289.0</v>
      </c>
      <c r="B291" s="362" t="b">
        <v>0</v>
      </c>
      <c r="C291" s="377"/>
      <c r="D291" s="208"/>
      <c r="E291" s="208"/>
      <c r="F291" s="709"/>
    </row>
    <row r="292">
      <c r="A292" s="706">
        <v>290.0</v>
      </c>
      <c r="B292" s="362" t="b">
        <v>0</v>
      </c>
      <c r="C292" s="826"/>
      <c r="D292" s="208"/>
      <c r="E292" s="208"/>
      <c r="F292" s="708"/>
    </row>
    <row r="293">
      <c r="A293" s="706">
        <v>291.0</v>
      </c>
      <c r="B293" s="362" t="b">
        <v>0</v>
      </c>
      <c r="C293" s="377"/>
      <c r="D293" s="208"/>
      <c r="E293" s="208"/>
      <c r="F293" s="709"/>
    </row>
    <row r="294">
      <c r="A294" s="706">
        <v>292.0</v>
      </c>
      <c r="B294" s="362" t="b">
        <v>0</v>
      </c>
      <c r="C294" s="825"/>
      <c r="D294" s="208"/>
      <c r="E294" s="208"/>
      <c r="F294" s="708"/>
    </row>
    <row r="295">
      <c r="A295" s="706">
        <v>293.0</v>
      </c>
      <c r="B295" s="362" t="b">
        <v>0</v>
      </c>
      <c r="C295" s="377"/>
      <c r="D295" s="208"/>
      <c r="E295" s="208"/>
      <c r="F295" s="709"/>
    </row>
    <row r="296">
      <c r="A296" s="706">
        <v>294.0</v>
      </c>
      <c r="B296" s="362" t="b">
        <v>0</v>
      </c>
      <c r="C296" s="826"/>
      <c r="D296" s="208"/>
      <c r="E296" s="208"/>
      <c r="F296" s="708"/>
    </row>
    <row r="297">
      <c r="A297" s="706">
        <v>295.0</v>
      </c>
      <c r="B297" s="362" t="b">
        <v>0</v>
      </c>
      <c r="C297" s="377"/>
      <c r="D297" s="208"/>
      <c r="E297" s="208"/>
      <c r="F297" s="709"/>
    </row>
    <row r="298">
      <c r="A298" s="706">
        <v>296.0</v>
      </c>
      <c r="B298" s="362" t="b">
        <v>0</v>
      </c>
      <c r="C298" s="825"/>
      <c r="D298" s="208"/>
      <c r="E298" s="208"/>
      <c r="F298" s="708"/>
    </row>
    <row r="299">
      <c r="A299" s="706">
        <v>297.0</v>
      </c>
      <c r="B299" s="362" t="b">
        <v>0</v>
      </c>
      <c r="C299" s="377"/>
      <c r="D299" s="208"/>
      <c r="E299" s="208"/>
      <c r="F299" s="709"/>
    </row>
    <row r="300">
      <c r="A300" s="706">
        <v>298.0</v>
      </c>
      <c r="B300" s="362" t="b">
        <v>0</v>
      </c>
      <c r="C300" s="826"/>
      <c r="D300" s="208"/>
      <c r="E300" s="208"/>
      <c r="F300" s="708"/>
    </row>
    <row r="301">
      <c r="A301" s="706">
        <v>299.0</v>
      </c>
      <c r="B301" s="362" t="b">
        <v>0</v>
      </c>
      <c r="C301" s="377"/>
      <c r="D301" s="208"/>
      <c r="E301" s="208"/>
      <c r="F301" s="709"/>
    </row>
    <row r="302">
      <c r="A302" s="706">
        <v>300.0</v>
      </c>
      <c r="B302" s="362" t="b">
        <v>0</v>
      </c>
      <c r="C302" s="825"/>
      <c r="D302" s="208"/>
      <c r="E302" s="208"/>
      <c r="F302" s="708"/>
    </row>
    <row r="303">
      <c r="A303" s="706">
        <v>301.0</v>
      </c>
      <c r="B303" s="362" t="b">
        <v>0</v>
      </c>
      <c r="C303" s="377"/>
      <c r="D303" s="208"/>
      <c r="E303" s="208"/>
      <c r="F303" s="709"/>
    </row>
    <row r="304">
      <c r="A304" s="706">
        <v>302.0</v>
      </c>
      <c r="B304" s="362" t="b">
        <v>0</v>
      </c>
      <c r="C304" s="826"/>
      <c r="D304" s="208"/>
      <c r="E304" s="208"/>
      <c r="F304" s="708"/>
    </row>
    <row r="305">
      <c r="A305" s="706">
        <v>303.0</v>
      </c>
      <c r="B305" s="362" t="b">
        <v>0</v>
      </c>
      <c r="C305" s="377"/>
      <c r="D305" s="208"/>
      <c r="E305" s="208"/>
      <c r="F305" s="709"/>
    </row>
    <row r="306">
      <c r="A306" s="706">
        <v>304.0</v>
      </c>
      <c r="B306" s="362" t="b">
        <v>0</v>
      </c>
      <c r="C306" s="825"/>
      <c r="D306" s="208"/>
      <c r="E306" s="208"/>
      <c r="F306" s="708"/>
    </row>
    <row r="307">
      <c r="A307" s="706">
        <v>305.0</v>
      </c>
      <c r="B307" s="362" t="b">
        <v>0</v>
      </c>
      <c r="C307" s="377"/>
      <c r="D307" s="208"/>
      <c r="E307" s="208"/>
      <c r="F307" s="709"/>
    </row>
    <row r="308">
      <c r="A308" s="706">
        <v>306.0</v>
      </c>
      <c r="B308" s="362" t="b">
        <v>0</v>
      </c>
      <c r="C308" s="826"/>
      <c r="D308" s="208"/>
      <c r="E308" s="208"/>
      <c r="F308" s="708"/>
    </row>
    <row r="309">
      <c r="A309" s="706">
        <v>307.0</v>
      </c>
      <c r="B309" s="362" t="b">
        <v>0</v>
      </c>
      <c r="C309" s="377"/>
      <c r="D309" s="208"/>
      <c r="E309" s="208"/>
      <c r="F309" s="709"/>
    </row>
    <row r="310">
      <c r="A310" s="706">
        <v>308.0</v>
      </c>
      <c r="B310" s="362" t="b">
        <v>0</v>
      </c>
      <c r="C310" s="825"/>
      <c r="D310" s="208"/>
      <c r="E310" s="208"/>
      <c r="F310" s="708"/>
    </row>
    <row r="311">
      <c r="A311" s="706">
        <v>309.0</v>
      </c>
      <c r="B311" s="362" t="b">
        <v>0</v>
      </c>
      <c r="C311" s="377"/>
      <c r="D311" s="208"/>
      <c r="E311" s="208"/>
      <c r="F311" s="709"/>
    </row>
    <row r="312">
      <c r="A312" s="706">
        <v>310.0</v>
      </c>
      <c r="B312" s="362" t="b">
        <v>0</v>
      </c>
      <c r="C312" s="826"/>
      <c r="D312" s="208"/>
      <c r="E312" s="208"/>
      <c r="F312" s="708"/>
    </row>
    <row r="313">
      <c r="A313" s="706">
        <v>311.0</v>
      </c>
      <c r="B313" s="362" t="b">
        <v>0</v>
      </c>
      <c r="C313" s="377"/>
      <c r="D313" s="208"/>
      <c r="E313" s="208"/>
      <c r="F313" s="709"/>
    </row>
    <row r="314">
      <c r="A314" s="706">
        <v>312.0</v>
      </c>
      <c r="B314" s="362" t="b">
        <v>0</v>
      </c>
      <c r="C314" s="825"/>
      <c r="D314" s="208"/>
      <c r="E314" s="208"/>
      <c r="F314" s="708"/>
    </row>
    <row r="315">
      <c r="A315" s="706">
        <v>313.0</v>
      </c>
      <c r="B315" s="362" t="b">
        <v>0</v>
      </c>
      <c r="C315" s="377"/>
      <c r="D315" s="208"/>
      <c r="E315" s="208"/>
      <c r="F315" s="709"/>
    </row>
    <row r="316">
      <c r="A316" s="706">
        <v>314.0</v>
      </c>
      <c r="B316" s="362" t="b">
        <v>0</v>
      </c>
      <c r="C316" s="826"/>
      <c r="D316" s="208"/>
      <c r="E316" s="208"/>
      <c r="F316" s="708"/>
    </row>
    <row r="317">
      <c r="A317" s="706">
        <v>315.0</v>
      </c>
      <c r="B317" s="362" t="b">
        <v>0</v>
      </c>
      <c r="C317" s="377"/>
      <c r="D317" s="208"/>
      <c r="E317" s="208"/>
      <c r="F317" s="709"/>
    </row>
    <row r="318">
      <c r="A318" s="706">
        <v>316.0</v>
      </c>
      <c r="B318" s="362" t="b">
        <v>0</v>
      </c>
      <c r="C318" s="825"/>
      <c r="D318" s="208"/>
      <c r="E318" s="208"/>
      <c r="F318" s="708"/>
    </row>
    <row r="319">
      <c r="A319" s="706">
        <v>317.0</v>
      </c>
      <c r="B319" s="362" t="b">
        <v>0</v>
      </c>
      <c r="C319" s="377"/>
      <c r="D319" s="208"/>
      <c r="E319" s="208"/>
      <c r="F319" s="709"/>
    </row>
    <row r="320">
      <c r="A320" s="706">
        <v>318.0</v>
      </c>
      <c r="B320" s="362" t="b">
        <v>0</v>
      </c>
      <c r="C320" s="826"/>
      <c r="D320" s="208"/>
      <c r="E320" s="208"/>
      <c r="F320" s="708"/>
    </row>
    <row r="321">
      <c r="A321" s="706">
        <v>319.0</v>
      </c>
      <c r="B321" s="362" t="b">
        <v>0</v>
      </c>
      <c r="C321" s="377"/>
      <c r="D321" s="208"/>
      <c r="E321" s="208"/>
      <c r="F321" s="709"/>
    </row>
    <row r="322">
      <c r="A322" s="706">
        <v>320.0</v>
      </c>
      <c r="B322" s="362" t="b">
        <v>0</v>
      </c>
      <c r="C322" s="825"/>
      <c r="D322" s="208"/>
      <c r="E322" s="208"/>
      <c r="F322" s="708"/>
    </row>
    <row r="323">
      <c r="A323" s="345"/>
      <c r="B323" s="345"/>
      <c r="C323" s="345"/>
      <c r="D323" s="345"/>
      <c r="E323" s="827"/>
      <c r="F323" s="345"/>
    </row>
    <row r="324">
      <c r="A324" s="345"/>
      <c r="B324" s="345"/>
      <c r="C324" s="345"/>
      <c r="D324" s="345"/>
      <c r="E324" s="827"/>
      <c r="F324" s="345"/>
    </row>
    <row r="325">
      <c r="A325" s="345"/>
      <c r="B325" s="345"/>
      <c r="C325" s="345"/>
      <c r="D325" s="345"/>
      <c r="E325" s="827"/>
      <c r="F325" s="345"/>
    </row>
    <row r="326">
      <c r="A326" s="345"/>
      <c r="B326" s="345"/>
      <c r="C326" s="345"/>
      <c r="D326" s="345"/>
      <c r="E326" s="827"/>
      <c r="F326" s="345"/>
    </row>
    <row r="327">
      <c r="A327" s="345"/>
      <c r="B327" s="345"/>
      <c r="C327" s="345"/>
      <c r="D327" s="345"/>
      <c r="E327" s="827"/>
      <c r="F327" s="345"/>
    </row>
    <row r="328">
      <c r="A328" s="345"/>
      <c r="B328" s="345"/>
      <c r="C328" s="345"/>
      <c r="D328" s="345"/>
      <c r="E328" s="827"/>
      <c r="F328" s="345"/>
    </row>
    <row r="329">
      <c r="A329" s="345"/>
      <c r="B329" s="345"/>
      <c r="C329" s="345"/>
      <c r="D329" s="345"/>
      <c r="E329" s="827"/>
      <c r="F329" s="345"/>
    </row>
    <row r="330">
      <c r="A330" s="345"/>
      <c r="B330" s="345"/>
      <c r="C330" s="345"/>
      <c r="D330" s="345"/>
      <c r="E330" s="827"/>
      <c r="F330" s="345"/>
    </row>
    <row r="331">
      <c r="A331" s="345"/>
      <c r="B331" s="345"/>
      <c r="C331" s="345"/>
      <c r="D331" s="345"/>
      <c r="E331" s="827"/>
      <c r="F331" s="345"/>
    </row>
    <row r="332">
      <c r="A332" s="345"/>
      <c r="B332" s="345"/>
      <c r="C332" s="345"/>
      <c r="D332" s="345"/>
      <c r="E332" s="827"/>
      <c r="F332" s="345"/>
    </row>
    <row r="333">
      <c r="A333" s="345"/>
      <c r="B333" s="345"/>
      <c r="C333" s="345"/>
      <c r="D333" s="345"/>
      <c r="E333" s="827"/>
      <c r="F333" s="345"/>
    </row>
    <row r="334">
      <c r="A334" s="345"/>
      <c r="B334" s="345"/>
      <c r="C334" s="345"/>
      <c r="D334" s="345"/>
      <c r="E334" s="827"/>
      <c r="F334" s="345"/>
    </row>
    <row r="335">
      <c r="A335" s="345"/>
      <c r="B335" s="345"/>
      <c r="C335" s="345"/>
      <c r="D335" s="345"/>
      <c r="E335" s="827"/>
      <c r="F335" s="345"/>
    </row>
    <row r="336">
      <c r="A336" s="345"/>
      <c r="B336" s="345"/>
      <c r="C336" s="345"/>
      <c r="D336" s="345"/>
      <c r="E336" s="827"/>
      <c r="F336" s="345"/>
    </row>
    <row r="337">
      <c r="A337" s="345"/>
      <c r="B337" s="345"/>
      <c r="C337" s="345"/>
      <c r="D337" s="345"/>
      <c r="E337" s="827"/>
      <c r="F337" s="345"/>
    </row>
    <row r="338">
      <c r="A338" s="345"/>
      <c r="B338" s="345"/>
      <c r="C338" s="345"/>
      <c r="D338" s="345"/>
      <c r="E338" s="827"/>
      <c r="F338" s="345"/>
    </row>
    <row r="339">
      <c r="A339" s="345"/>
      <c r="B339" s="345"/>
      <c r="C339" s="345"/>
      <c r="D339" s="345"/>
      <c r="E339" s="827"/>
      <c r="F339" s="345"/>
    </row>
    <row r="340">
      <c r="A340" s="345"/>
      <c r="B340" s="345"/>
      <c r="C340" s="345"/>
      <c r="D340" s="345"/>
      <c r="E340" s="827"/>
      <c r="F340" s="345"/>
    </row>
    <row r="341">
      <c r="A341" s="345"/>
      <c r="B341" s="345"/>
      <c r="C341" s="345"/>
      <c r="D341" s="345"/>
      <c r="E341" s="827"/>
      <c r="F341" s="345"/>
    </row>
    <row r="342">
      <c r="A342" s="345"/>
      <c r="B342" s="345"/>
      <c r="C342" s="345"/>
      <c r="D342" s="345"/>
      <c r="E342" s="827"/>
      <c r="F342" s="345"/>
    </row>
    <row r="343">
      <c r="A343" s="345"/>
      <c r="B343" s="345"/>
      <c r="C343" s="345"/>
      <c r="D343" s="345"/>
      <c r="E343" s="827"/>
      <c r="F343" s="345"/>
    </row>
    <row r="344">
      <c r="A344" s="345"/>
      <c r="B344" s="345"/>
      <c r="C344" s="345"/>
      <c r="D344" s="345"/>
      <c r="E344" s="827"/>
      <c r="F344" s="345"/>
    </row>
    <row r="345">
      <c r="A345" s="345"/>
      <c r="B345" s="345"/>
      <c r="C345" s="345"/>
      <c r="D345" s="345"/>
      <c r="E345" s="827"/>
      <c r="F345" s="345"/>
    </row>
    <row r="346">
      <c r="A346" s="345"/>
      <c r="B346" s="345"/>
      <c r="C346" s="345"/>
      <c r="D346" s="345"/>
      <c r="E346" s="827"/>
      <c r="F346" s="345"/>
    </row>
    <row r="347">
      <c r="A347" s="345"/>
      <c r="B347" s="345"/>
      <c r="C347" s="345"/>
      <c r="D347" s="345"/>
      <c r="E347" s="827"/>
      <c r="F347" s="345"/>
    </row>
    <row r="348">
      <c r="A348" s="345"/>
      <c r="B348" s="345"/>
      <c r="C348" s="345"/>
      <c r="D348" s="345"/>
      <c r="E348" s="827"/>
      <c r="F348" s="345"/>
    </row>
    <row r="349">
      <c r="A349" s="345"/>
      <c r="B349" s="345"/>
      <c r="C349" s="345"/>
      <c r="D349" s="345"/>
      <c r="E349" s="827"/>
      <c r="F349" s="345"/>
    </row>
    <row r="350">
      <c r="A350" s="345"/>
      <c r="B350" s="345"/>
      <c r="C350" s="345"/>
      <c r="D350" s="345"/>
      <c r="E350" s="827"/>
      <c r="F350" s="345"/>
    </row>
    <row r="351">
      <c r="A351" s="345"/>
      <c r="B351" s="345"/>
      <c r="C351" s="345"/>
      <c r="D351" s="345"/>
      <c r="E351" s="827"/>
      <c r="F351" s="345"/>
    </row>
    <row r="352">
      <c r="A352" s="345"/>
      <c r="B352" s="345"/>
      <c r="C352" s="345"/>
      <c r="D352" s="345"/>
      <c r="E352" s="827"/>
      <c r="F352" s="345"/>
    </row>
    <row r="353">
      <c r="A353" s="345"/>
      <c r="B353" s="345"/>
      <c r="C353" s="345"/>
      <c r="D353" s="345"/>
      <c r="E353" s="827"/>
      <c r="F353" s="345"/>
    </row>
    <row r="354">
      <c r="A354" s="345"/>
      <c r="B354" s="345"/>
      <c r="C354" s="345"/>
      <c r="D354" s="345"/>
      <c r="E354" s="827"/>
      <c r="F354" s="345"/>
    </row>
    <row r="355">
      <c r="A355" s="345"/>
      <c r="B355" s="345"/>
      <c r="C355" s="345"/>
      <c r="D355" s="345"/>
      <c r="E355" s="827"/>
      <c r="F355" s="345"/>
    </row>
    <row r="356">
      <c r="A356" s="345"/>
      <c r="B356" s="345"/>
      <c r="C356" s="345"/>
      <c r="D356" s="345"/>
      <c r="E356" s="827"/>
      <c r="F356" s="345"/>
    </row>
    <row r="357">
      <c r="A357" s="345"/>
      <c r="B357" s="345"/>
      <c r="C357" s="345"/>
      <c r="D357" s="345"/>
      <c r="E357" s="827"/>
      <c r="F357" s="345"/>
    </row>
    <row r="358">
      <c r="A358" s="345"/>
      <c r="B358" s="345"/>
      <c r="C358" s="345"/>
      <c r="D358" s="345"/>
      <c r="E358" s="827"/>
      <c r="F358" s="345"/>
    </row>
    <row r="359">
      <c r="A359" s="345"/>
      <c r="B359" s="345"/>
      <c r="C359" s="345"/>
      <c r="D359" s="345"/>
      <c r="E359" s="827"/>
      <c r="F359" s="345"/>
    </row>
    <row r="360">
      <c r="A360" s="345"/>
      <c r="B360" s="345"/>
      <c r="C360" s="345"/>
      <c r="D360" s="345"/>
      <c r="E360" s="827"/>
      <c r="F360" s="345"/>
    </row>
    <row r="361">
      <c r="A361" s="345"/>
      <c r="B361" s="345"/>
      <c r="C361" s="345"/>
      <c r="D361" s="345"/>
      <c r="E361" s="827"/>
      <c r="F361" s="345"/>
    </row>
    <row r="362">
      <c r="A362" s="345"/>
      <c r="B362" s="345"/>
      <c r="C362" s="345"/>
      <c r="D362" s="345"/>
      <c r="E362" s="827"/>
      <c r="F362" s="345"/>
    </row>
    <row r="363">
      <c r="A363" s="345"/>
      <c r="B363" s="345"/>
      <c r="C363" s="345"/>
      <c r="D363" s="345"/>
      <c r="E363" s="827"/>
      <c r="F363" s="345"/>
    </row>
    <row r="364">
      <c r="A364" s="345"/>
      <c r="B364" s="345"/>
      <c r="C364" s="345"/>
      <c r="D364" s="345"/>
      <c r="E364" s="827"/>
      <c r="F364" s="345"/>
    </row>
    <row r="365">
      <c r="A365" s="345"/>
      <c r="B365" s="345"/>
      <c r="C365" s="345"/>
      <c r="D365" s="345"/>
      <c r="E365" s="827"/>
      <c r="F365" s="345"/>
    </row>
    <row r="366">
      <c r="A366" s="345"/>
      <c r="B366" s="345"/>
      <c r="C366" s="345"/>
      <c r="D366" s="345"/>
      <c r="E366" s="827"/>
      <c r="F366" s="345"/>
    </row>
    <row r="367">
      <c r="A367" s="345"/>
      <c r="B367" s="345"/>
      <c r="C367" s="345"/>
      <c r="D367" s="345"/>
      <c r="E367" s="827"/>
      <c r="F367" s="345"/>
    </row>
    <row r="368">
      <c r="A368" s="345"/>
      <c r="B368" s="345"/>
      <c r="C368" s="345"/>
      <c r="D368" s="345"/>
      <c r="E368" s="827"/>
      <c r="F368" s="345"/>
    </row>
    <row r="369">
      <c r="A369" s="345"/>
      <c r="B369" s="345"/>
      <c r="C369" s="345"/>
      <c r="D369" s="345"/>
      <c r="E369" s="827"/>
      <c r="F369" s="345"/>
    </row>
    <row r="370">
      <c r="A370" s="345"/>
      <c r="B370" s="345"/>
      <c r="C370" s="345"/>
      <c r="D370" s="345"/>
      <c r="E370" s="827"/>
      <c r="F370" s="345"/>
    </row>
    <row r="371">
      <c r="A371" s="345"/>
      <c r="B371" s="345"/>
      <c r="C371" s="345"/>
      <c r="D371" s="345"/>
      <c r="E371" s="827"/>
      <c r="F371" s="345"/>
    </row>
    <row r="372">
      <c r="A372" s="345"/>
      <c r="B372" s="345"/>
      <c r="C372" s="345"/>
      <c r="D372" s="345"/>
      <c r="E372" s="827"/>
      <c r="F372" s="345"/>
    </row>
    <row r="373">
      <c r="A373" s="345"/>
      <c r="B373" s="345"/>
      <c r="C373" s="345"/>
      <c r="D373" s="345"/>
      <c r="E373" s="827"/>
      <c r="F373" s="345"/>
    </row>
    <row r="374">
      <c r="A374" s="345"/>
      <c r="B374" s="345"/>
      <c r="C374" s="345"/>
      <c r="D374" s="345"/>
      <c r="E374" s="827"/>
      <c r="F374" s="345"/>
    </row>
    <row r="375">
      <c r="A375" s="345"/>
      <c r="B375" s="345"/>
      <c r="C375" s="345"/>
      <c r="D375" s="345"/>
      <c r="E375" s="827"/>
      <c r="F375" s="345"/>
    </row>
    <row r="376">
      <c r="A376" s="345"/>
      <c r="B376" s="345"/>
      <c r="C376" s="345"/>
      <c r="D376" s="345"/>
      <c r="E376" s="827"/>
      <c r="F376" s="345"/>
    </row>
    <row r="377">
      <c r="A377" s="345"/>
      <c r="B377" s="345"/>
      <c r="C377" s="345"/>
      <c r="D377" s="345"/>
      <c r="E377" s="827"/>
      <c r="F377" s="345"/>
    </row>
    <row r="378">
      <c r="A378" s="345"/>
      <c r="B378" s="345"/>
      <c r="C378" s="345"/>
      <c r="D378" s="345"/>
      <c r="E378" s="827"/>
      <c r="F378" s="345"/>
    </row>
    <row r="379">
      <c r="A379" s="345"/>
      <c r="B379" s="345"/>
      <c r="C379" s="345"/>
      <c r="D379" s="345"/>
      <c r="E379" s="827"/>
      <c r="F379" s="345"/>
    </row>
    <row r="380">
      <c r="A380" s="345"/>
      <c r="B380" s="345"/>
      <c r="C380" s="345"/>
      <c r="D380" s="345"/>
      <c r="E380" s="827"/>
      <c r="F380" s="345"/>
    </row>
    <row r="381">
      <c r="A381" s="345"/>
      <c r="B381" s="345"/>
      <c r="C381" s="345"/>
      <c r="D381" s="345"/>
      <c r="E381" s="827"/>
      <c r="F381" s="345"/>
    </row>
    <row r="382">
      <c r="A382" s="345"/>
      <c r="B382" s="345"/>
      <c r="C382" s="345"/>
      <c r="D382" s="345"/>
      <c r="E382" s="827"/>
      <c r="F382" s="345"/>
    </row>
    <row r="383">
      <c r="A383" s="345"/>
      <c r="B383" s="345"/>
      <c r="C383" s="345"/>
      <c r="D383" s="345"/>
      <c r="E383" s="827"/>
      <c r="F383" s="345"/>
    </row>
    <row r="384">
      <c r="A384" s="345"/>
      <c r="B384" s="345"/>
      <c r="C384" s="345"/>
      <c r="D384" s="345"/>
      <c r="E384" s="827"/>
      <c r="F384" s="345"/>
    </row>
    <row r="385">
      <c r="A385" s="345"/>
      <c r="B385" s="345"/>
      <c r="C385" s="345"/>
      <c r="D385" s="345"/>
      <c r="E385" s="827"/>
      <c r="F385" s="345"/>
    </row>
    <row r="386">
      <c r="A386" s="345"/>
      <c r="B386" s="345"/>
      <c r="C386" s="345"/>
      <c r="D386" s="345"/>
      <c r="E386" s="827"/>
      <c r="F386" s="345"/>
    </row>
    <row r="387">
      <c r="A387" s="345"/>
      <c r="B387" s="345"/>
      <c r="C387" s="345"/>
      <c r="D387" s="345"/>
      <c r="E387" s="827"/>
      <c r="F387" s="345"/>
    </row>
    <row r="388">
      <c r="A388" s="345"/>
      <c r="B388" s="345"/>
      <c r="C388" s="345"/>
      <c r="D388" s="345"/>
      <c r="E388" s="827"/>
      <c r="F388" s="345"/>
    </row>
    <row r="389">
      <c r="A389" s="345"/>
      <c r="B389" s="345"/>
      <c r="C389" s="345"/>
      <c r="D389" s="345"/>
      <c r="E389" s="827"/>
      <c r="F389" s="345"/>
    </row>
    <row r="390">
      <c r="A390" s="345"/>
      <c r="B390" s="345"/>
      <c r="C390" s="345"/>
      <c r="D390" s="345"/>
      <c r="E390" s="827"/>
      <c r="F390" s="345"/>
    </row>
    <row r="391">
      <c r="A391" s="345"/>
      <c r="B391" s="345"/>
      <c r="C391" s="345"/>
      <c r="D391" s="345"/>
      <c r="E391" s="827"/>
      <c r="F391" s="345"/>
    </row>
    <row r="392">
      <c r="A392" s="345"/>
      <c r="B392" s="345"/>
      <c r="C392" s="345"/>
      <c r="D392" s="345"/>
      <c r="E392" s="827"/>
      <c r="F392" s="345"/>
    </row>
    <row r="393">
      <c r="A393" s="345"/>
      <c r="B393" s="345"/>
      <c r="C393" s="345"/>
      <c r="D393" s="345"/>
      <c r="E393" s="827"/>
      <c r="F393" s="345"/>
    </row>
    <row r="394">
      <c r="A394" s="345"/>
      <c r="B394" s="345"/>
      <c r="C394" s="345"/>
      <c r="D394" s="345"/>
      <c r="E394" s="827"/>
      <c r="F394" s="345"/>
    </row>
    <row r="395">
      <c r="A395" s="345"/>
      <c r="B395" s="345"/>
      <c r="C395" s="345"/>
      <c r="D395" s="345"/>
      <c r="E395" s="827"/>
      <c r="F395" s="345"/>
    </row>
    <row r="396">
      <c r="A396" s="345"/>
      <c r="B396" s="345"/>
      <c r="C396" s="345"/>
      <c r="D396" s="345"/>
      <c r="E396" s="827"/>
      <c r="F396" s="345"/>
    </row>
    <row r="397">
      <c r="A397" s="345"/>
      <c r="B397" s="345"/>
      <c r="C397" s="345"/>
      <c r="D397" s="345"/>
      <c r="E397" s="827"/>
      <c r="F397" s="345"/>
    </row>
    <row r="398">
      <c r="A398" s="345"/>
      <c r="B398" s="345"/>
      <c r="C398" s="345"/>
      <c r="D398" s="345"/>
      <c r="E398" s="827"/>
      <c r="F398" s="345"/>
    </row>
    <row r="399">
      <c r="A399" s="345"/>
      <c r="B399" s="345"/>
      <c r="C399" s="345"/>
      <c r="D399" s="345"/>
      <c r="E399" s="827"/>
      <c r="F399" s="345"/>
    </row>
    <row r="400">
      <c r="A400" s="345"/>
      <c r="B400" s="345"/>
      <c r="C400" s="345"/>
      <c r="D400" s="345"/>
      <c r="E400" s="827"/>
      <c r="F400" s="345"/>
    </row>
    <row r="401">
      <c r="A401" s="345"/>
      <c r="B401" s="345"/>
      <c r="C401" s="345"/>
      <c r="D401" s="345"/>
      <c r="E401" s="827"/>
      <c r="F401" s="345"/>
    </row>
    <row r="402">
      <c r="A402" s="345"/>
      <c r="B402" s="345"/>
      <c r="C402" s="345"/>
      <c r="D402" s="345"/>
      <c r="E402" s="827"/>
      <c r="F402" s="345"/>
    </row>
    <row r="403">
      <c r="A403" s="345"/>
      <c r="B403" s="345"/>
      <c r="C403" s="345"/>
      <c r="D403" s="345"/>
      <c r="E403" s="827"/>
      <c r="F403" s="345"/>
    </row>
    <row r="404">
      <c r="A404" s="345"/>
      <c r="B404" s="345"/>
      <c r="C404" s="345"/>
      <c r="D404" s="345"/>
      <c r="E404" s="827"/>
      <c r="F404" s="345"/>
    </row>
    <row r="405">
      <c r="A405" s="345"/>
      <c r="B405" s="345"/>
      <c r="C405" s="345"/>
      <c r="D405" s="345"/>
      <c r="E405" s="827"/>
      <c r="F405" s="345"/>
    </row>
    <row r="406">
      <c r="A406" s="345"/>
      <c r="B406" s="345"/>
      <c r="C406" s="345"/>
      <c r="D406" s="345"/>
      <c r="E406" s="827"/>
      <c r="F406" s="345"/>
    </row>
    <row r="407">
      <c r="A407" s="345"/>
      <c r="B407" s="345"/>
      <c r="C407" s="345"/>
      <c r="D407" s="345"/>
      <c r="E407" s="827"/>
      <c r="F407" s="345"/>
    </row>
    <row r="408">
      <c r="A408" s="345"/>
      <c r="B408" s="345"/>
      <c r="C408" s="345"/>
      <c r="D408" s="345"/>
      <c r="E408" s="827"/>
      <c r="F408" s="345"/>
    </row>
    <row r="409">
      <c r="A409" s="345"/>
      <c r="B409" s="345"/>
      <c r="C409" s="345"/>
      <c r="D409" s="345"/>
      <c r="E409" s="827"/>
      <c r="F409" s="345"/>
    </row>
    <row r="410">
      <c r="A410" s="345"/>
      <c r="B410" s="345"/>
      <c r="C410" s="345"/>
      <c r="D410" s="345"/>
      <c r="E410" s="827"/>
      <c r="F410" s="345"/>
    </row>
    <row r="411">
      <c r="A411" s="345"/>
      <c r="B411" s="345"/>
      <c r="C411" s="345"/>
      <c r="D411" s="345"/>
      <c r="E411" s="827"/>
      <c r="F411" s="345"/>
    </row>
    <row r="412">
      <c r="A412" s="345"/>
      <c r="B412" s="345"/>
      <c r="C412" s="345"/>
      <c r="D412" s="345"/>
      <c r="E412" s="827"/>
      <c r="F412" s="345"/>
    </row>
    <row r="413">
      <c r="A413" s="345"/>
      <c r="B413" s="345"/>
      <c r="C413" s="345"/>
      <c r="D413" s="345"/>
      <c r="E413" s="827"/>
      <c r="F413" s="345"/>
    </row>
    <row r="414">
      <c r="A414" s="345"/>
      <c r="B414" s="345"/>
      <c r="C414" s="345"/>
      <c r="D414" s="345"/>
      <c r="E414" s="827"/>
      <c r="F414" s="345"/>
    </row>
    <row r="415">
      <c r="A415" s="345"/>
      <c r="B415" s="345"/>
      <c r="C415" s="345"/>
      <c r="D415" s="345"/>
      <c r="E415" s="827"/>
      <c r="F415" s="345"/>
    </row>
    <row r="416">
      <c r="A416" s="345"/>
      <c r="B416" s="345"/>
      <c r="C416" s="345"/>
      <c r="D416" s="345"/>
      <c r="E416" s="827"/>
      <c r="F416" s="345"/>
    </row>
    <row r="417">
      <c r="A417" s="345"/>
      <c r="B417" s="345"/>
      <c r="C417" s="345"/>
      <c r="D417" s="345"/>
      <c r="E417" s="827"/>
      <c r="F417" s="345"/>
    </row>
    <row r="418">
      <c r="A418" s="345"/>
      <c r="B418" s="345"/>
      <c r="C418" s="345"/>
      <c r="D418" s="345"/>
      <c r="E418" s="827"/>
      <c r="F418" s="345"/>
    </row>
    <row r="419">
      <c r="A419" s="345"/>
      <c r="B419" s="345"/>
      <c r="C419" s="345"/>
      <c r="D419" s="345"/>
      <c r="E419" s="827"/>
      <c r="F419" s="345"/>
    </row>
    <row r="420">
      <c r="A420" s="345"/>
      <c r="B420" s="345"/>
      <c r="C420" s="345"/>
      <c r="D420" s="345"/>
      <c r="E420" s="827"/>
      <c r="F420" s="345"/>
    </row>
    <row r="421">
      <c r="A421" s="345"/>
      <c r="B421" s="345"/>
      <c r="C421" s="345"/>
      <c r="D421" s="345"/>
      <c r="E421" s="827"/>
      <c r="F421" s="345"/>
    </row>
    <row r="422">
      <c r="A422" s="345"/>
      <c r="B422" s="345"/>
      <c r="C422" s="345"/>
      <c r="D422" s="345"/>
      <c r="E422" s="827"/>
      <c r="F422" s="345"/>
    </row>
    <row r="423">
      <c r="A423" s="345"/>
      <c r="B423" s="345"/>
      <c r="C423" s="345"/>
      <c r="D423" s="345"/>
      <c r="E423" s="827"/>
      <c r="F423" s="345"/>
    </row>
    <row r="424">
      <c r="A424" s="345"/>
      <c r="B424" s="345"/>
      <c r="C424" s="345"/>
      <c r="D424" s="345"/>
      <c r="E424" s="827"/>
      <c r="F424" s="345"/>
    </row>
    <row r="425">
      <c r="A425" s="345"/>
      <c r="B425" s="345"/>
      <c r="C425" s="345"/>
      <c r="D425" s="345"/>
      <c r="E425" s="827"/>
      <c r="F425" s="345"/>
    </row>
    <row r="426">
      <c r="A426" s="345"/>
      <c r="B426" s="345"/>
      <c r="C426" s="345"/>
      <c r="D426" s="345"/>
      <c r="E426" s="827"/>
      <c r="F426" s="345"/>
    </row>
    <row r="427">
      <c r="A427" s="345"/>
      <c r="B427" s="345"/>
      <c r="C427" s="345"/>
      <c r="D427" s="345"/>
      <c r="E427" s="827"/>
      <c r="F427" s="345"/>
    </row>
    <row r="428">
      <c r="A428" s="345"/>
      <c r="B428" s="345"/>
      <c r="C428" s="345"/>
      <c r="D428" s="345"/>
      <c r="E428" s="827"/>
      <c r="F428" s="345"/>
    </row>
    <row r="429">
      <c r="A429" s="345"/>
      <c r="B429" s="345"/>
      <c r="C429" s="345"/>
      <c r="D429" s="345"/>
      <c r="E429" s="827"/>
      <c r="F429" s="345"/>
    </row>
    <row r="430">
      <c r="A430" s="345"/>
      <c r="B430" s="345"/>
      <c r="C430" s="345"/>
      <c r="D430" s="345"/>
      <c r="E430" s="827"/>
      <c r="F430" s="345"/>
    </row>
    <row r="431">
      <c r="A431" s="345"/>
      <c r="B431" s="345"/>
      <c r="C431" s="345"/>
      <c r="D431" s="345"/>
      <c r="E431" s="827"/>
      <c r="F431" s="345"/>
    </row>
    <row r="432">
      <c r="A432" s="345"/>
      <c r="B432" s="345"/>
      <c r="C432" s="345"/>
      <c r="D432" s="345"/>
      <c r="E432" s="827"/>
      <c r="F432" s="345"/>
    </row>
    <row r="433">
      <c r="A433" s="345"/>
      <c r="B433" s="345"/>
      <c r="C433" s="345"/>
      <c r="D433" s="345"/>
      <c r="E433" s="827"/>
      <c r="F433" s="345"/>
    </row>
    <row r="434">
      <c r="A434" s="345"/>
      <c r="B434" s="345"/>
      <c r="C434" s="345"/>
      <c r="D434" s="345"/>
      <c r="E434" s="827"/>
      <c r="F434" s="345"/>
    </row>
    <row r="435">
      <c r="A435" s="345"/>
      <c r="B435" s="345"/>
      <c r="C435" s="345"/>
      <c r="D435" s="345"/>
      <c r="E435" s="827"/>
      <c r="F435" s="345"/>
    </row>
    <row r="436">
      <c r="A436" s="345"/>
      <c r="B436" s="345"/>
      <c r="C436" s="345"/>
      <c r="D436" s="345"/>
      <c r="E436" s="827"/>
      <c r="F436" s="345"/>
    </row>
    <row r="437">
      <c r="A437" s="345"/>
      <c r="B437" s="345"/>
      <c r="C437" s="345"/>
      <c r="D437" s="345"/>
      <c r="E437" s="827"/>
      <c r="F437" s="345"/>
    </row>
    <row r="438">
      <c r="A438" s="345"/>
      <c r="B438" s="345"/>
      <c r="C438" s="345"/>
      <c r="D438" s="345"/>
      <c r="E438" s="827"/>
      <c r="F438" s="345"/>
    </row>
    <row r="439">
      <c r="A439" s="345"/>
      <c r="B439" s="345"/>
      <c r="C439" s="345"/>
      <c r="D439" s="345"/>
      <c r="E439" s="827"/>
      <c r="F439" s="345"/>
    </row>
    <row r="440">
      <c r="A440" s="345"/>
      <c r="B440" s="345"/>
      <c r="C440" s="345"/>
      <c r="D440" s="345"/>
      <c r="E440" s="827"/>
      <c r="F440" s="345"/>
    </row>
    <row r="441">
      <c r="A441" s="345"/>
      <c r="B441" s="345"/>
      <c r="C441" s="345"/>
      <c r="D441" s="345"/>
      <c r="E441" s="827"/>
      <c r="F441" s="345"/>
    </row>
    <row r="442">
      <c r="A442" s="345"/>
      <c r="B442" s="345"/>
      <c r="C442" s="345"/>
      <c r="D442" s="345"/>
      <c r="E442" s="827"/>
      <c r="F442" s="345"/>
    </row>
    <row r="443">
      <c r="A443" s="345"/>
      <c r="B443" s="345"/>
      <c r="C443" s="345"/>
      <c r="D443" s="345"/>
      <c r="E443" s="827"/>
      <c r="F443" s="345"/>
    </row>
    <row r="444">
      <c r="A444" s="345"/>
      <c r="B444" s="345"/>
      <c r="C444" s="345"/>
      <c r="D444" s="345"/>
      <c r="E444" s="827"/>
      <c r="F444" s="345"/>
    </row>
    <row r="445">
      <c r="A445" s="345"/>
      <c r="B445" s="345"/>
      <c r="C445" s="345"/>
      <c r="D445" s="345"/>
      <c r="E445" s="827"/>
      <c r="F445" s="345"/>
    </row>
    <row r="446">
      <c r="A446" s="345"/>
      <c r="B446" s="345"/>
      <c r="C446" s="345"/>
      <c r="D446" s="345"/>
      <c r="E446" s="827"/>
      <c r="F446" s="345"/>
    </row>
    <row r="447">
      <c r="A447" s="345"/>
      <c r="B447" s="345"/>
      <c r="C447" s="345"/>
      <c r="D447" s="345"/>
      <c r="E447" s="827"/>
      <c r="F447" s="345"/>
    </row>
    <row r="448">
      <c r="A448" s="345"/>
      <c r="B448" s="345"/>
      <c r="C448" s="345"/>
      <c r="D448" s="345"/>
      <c r="E448" s="827"/>
      <c r="F448" s="345"/>
    </row>
    <row r="449">
      <c r="A449" s="345"/>
      <c r="B449" s="345"/>
      <c r="C449" s="345"/>
      <c r="D449" s="345"/>
      <c r="E449" s="827"/>
      <c r="F449" s="345"/>
    </row>
    <row r="450">
      <c r="A450" s="345"/>
      <c r="B450" s="345"/>
      <c r="C450" s="345"/>
      <c r="D450" s="345"/>
      <c r="E450" s="827"/>
      <c r="F450" s="345"/>
    </row>
    <row r="451">
      <c r="A451" s="345"/>
      <c r="B451" s="345"/>
      <c r="C451" s="345"/>
      <c r="D451" s="345"/>
      <c r="E451" s="827"/>
      <c r="F451" s="345"/>
    </row>
    <row r="452">
      <c r="A452" s="345"/>
      <c r="B452" s="345"/>
      <c r="C452" s="345"/>
      <c r="D452" s="345"/>
      <c r="E452" s="827"/>
      <c r="F452" s="345"/>
    </row>
    <row r="453">
      <c r="A453" s="345"/>
      <c r="B453" s="345"/>
      <c r="C453" s="345"/>
      <c r="D453" s="345"/>
      <c r="E453" s="827"/>
      <c r="F453" s="345"/>
    </row>
    <row r="454">
      <c r="A454" s="345"/>
      <c r="B454" s="345"/>
      <c r="C454" s="345"/>
      <c r="D454" s="345"/>
      <c r="E454" s="827"/>
      <c r="F454" s="345"/>
    </row>
    <row r="455">
      <c r="A455" s="345"/>
      <c r="B455" s="345"/>
      <c r="C455" s="345"/>
      <c r="D455" s="345"/>
      <c r="E455" s="827"/>
      <c r="F455" s="345"/>
    </row>
    <row r="456">
      <c r="A456" s="345"/>
      <c r="B456" s="345"/>
      <c r="C456" s="345"/>
      <c r="D456" s="345"/>
      <c r="E456" s="827"/>
      <c r="F456" s="345"/>
    </row>
    <row r="457">
      <c r="A457" s="345"/>
      <c r="B457" s="345"/>
      <c r="C457" s="345"/>
      <c r="D457" s="345"/>
      <c r="E457" s="827"/>
      <c r="F457" s="345"/>
    </row>
    <row r="458">
      <c r="A458" s="345"/>
      <c r="B458" s="345"/>
      <c r="C458" s="345"/>
      <c r="D458" s="345"/>
      <c r="E458" s="827"/>
      <c r="F458" s="345"/>
    </row>
    <row r="459">
      <c r="A459" s="345"/>
      <c r="B459" s="345"/>
      <c r="C459" s="345"/>
      <c r="D459" s="345"/>
      <c r="E459" s="827"/>
      <c r="F459" s="345"/>
    </row>
    <row r="460">
      <c r="A460" s="345"/>
      <c r="B460" s="345"/>
      <c r="C460" s="345"/>
      <c r="D460" s="345"/>
      <c r="E460" s="827"/>
      <c r="F460" s="345"/>
    </row>
    <row r="461">
      <c r="A461" s="345"/>
      <c r="B461" s="345"/>
      <c r="C461" s="345"/>
      <c r="D461" s="345"/>
      <c r="E461" s="827"/>
      <c r="F461" s="345"/>
    </row>
    <row r="462">
      <c r="A462" s="345"/>
      <c r="B462" s="345"/>
      <c r="C462" s="345"/>
      <c r="D462" s="345"/>
      <c r="E462" s="827"/>
      <c r="F462" s="345"/>
    </row>
    <row r="463">
      <c r="A463" s="345"/>
      <c r="B463" s="345"/>
      <c r="C463" s="345"/>
      <c r="D463" s="345"/>
      <c r="E463" s="827"/>
      <c r="F463" s="345"/>
    </row>
    <row r="464">
      <c r="A464" s="345"/>
      <c r="B464" s="345"/>
      <c r="C464" s="345"/>
      <c r="D464" s="345"/>
      <c r="E464" s="827"/>
      <c r="F464" s="345"/>
    </row>
    <row r="465">
      <c r="A465" s="345"/>
      <c r="B465" s="345"/>
      <c r="C465" s="345"/>
      <c r="D465" s="345"/>
      <c r="E465" s="827"/>
      <c r="F465" s="345"/>
    </row>
    <row r="466">
      <c r="A466" s="345"/>
      <c r="B466" s="345"/>
      <c r="C466" s="345"/>
      <c r="D466" s="345"/>
      <c r="E466" s="827"/>
      <c r="F466" s="345"/>
    </row>
    <row r="467">
      <c r="A467" s="345"/>
      <c r="B467" s="345"/>
      <c r="C467" s="345"/>
      <c r="D467" s="345"/>
      <c r="E467" s="827"/>
      <c r="F467" s="345"/>
    </row>
    <row r="468">
      <c r="A468" s="345"/>
      <c r="B468" s="345"/>
      <c r="C468" s="345"/>
      <c r="D468" s="345"/>
      <c r="E468" s="827"/>
      <c r="F468" s="345"/>
    </row>
    <row r="469">
      <c r="A469" s="345"/>
      <c r="B469" s="345"/>
      <c r="C469" s="345"/>
      <c r="D469" s="345"/>
      <c r="E469" s="827"/>
      <c r="F469" s="345"/>
    </row>
    <row r="470">
      <c r="A470" s="345"/>
      <c r="B470" s="345"/>
      <c r="C470" s="345"/>
      <c r="D470" s="345"/>
      <c r="E470" s="827"/>
      <c r="F470" s="345"/>
    </row>
    <row r="471">
      <c r="A471" s="345"/>
      <c r="B471" s="345"/>
      <c r="C471" s="345"/>
      <c r="D471" s="345"/>
      <c r="E471" s="827"/>
      <c r="F471" s="345"/>
    </row>
    <row r="472">
      <c r="A472" s="345"/>
      <c r="B472" s="345"/>
      <c r="C472" s="345"/>
      <c r="D472" s="345"/>
      <c r="E472" s="827"/>
      <c r="F472" s="345"/>
    </row>
    <row r="473">
      <c r="A473" s="345"/>
      <c r="B473" s="345"/>
      <c r="C473" s="345"/>
      <c r="D473" s="345"/>
      <c r="E473" s="827"/>
      <c r="F473" s="345"/>
    </row>
    <row r="474">
      <c r="A474" s="345"/>
      <c r="B474" s="345"/>
      <c r="C474" s="345"/>
      <c r="D474" s="345"/>
      <c r="E474" s="827"/>
      <c r="F474" s="345"/>
    </row>
    <row r="475">
      <c r="A475" s="345"/>
      <c r="B475" s="345"/>
      <c r="C475" s="345"/>
      <c r="D475" s="345"/>
      <c r="E475" s="827"/>
      <c r="F475" s="345"/>
    </row>
    <row r="476">
      <c r="A476" s="345"/>
      <c r="B476" s="345"/>
      <c r="C476" s="345"/>
      <c r="D476" s="345"/>
      <c r="E476" s="827"/>
      <c r="F476" s="345"/>
    </row>
    <row r="477">
      <c r="A477" s="345"/>
      <c r="B477" s="345"/>
      <c r="C477" s="345"/>
      <c r="D477" s="345"/>
      <c r="E477" s="827"/>
      <c r="F477" s="345"/>
    </row>
    <row r="478">
      <c r="A478" s="345"/>
      <c r="B478" s="345"/>
      <c r="C478" s="345"/>
      <c r="D478" s="345"/>
      <c r="E478" s="827"/>
      <c r="F478" s="345"/>
    </row>
    <row r="479">
      <c r="A479" s="345"/>
      <c r="B479" s="345"/>
      <c r="C479" s="345"/>
      <c r="D479" s="345"/>
      <c r="E479" s="827"/>
      <c r="F479" s="345"/>
    </row>
    <row r="480">
      <c r="A480" s="345"/>
      <c r="B480" s="345"/>
      <c r="C480" s="345"/>
      <c r="D480" s="345"/>
      <c r="E480" s="827"/>
      <c r="F480" s="345"/>
    </row>
    <row r="481">
      <c r="A481" s="345"/>
      <c r="B481" s="345"/>
      <c r="C481" s="345"/>
      <c r="D481" s="345"/>
      <c r="E481" s="827"/>
      <c r="F481" s="345"/>
    </row>
    <row r="482">
      <c r="A482" s="345"/>
      <c r="B482" s="345"/>
      <c r="C482" s="345"/>
      <c r="D482" s="345"/>
      <c r="E482" s="827"/>
      <c r="F482" s="345"/>
    </row>
    <row r="483">
      <c r="A483" s="345"/>
      <c r="B483" s="345"/>
      <c r="C483" s="345"/>
      <c r="D483" s="345"/>
      <c r="E483" s="827"/>
      <c r="F483" s="345"/>
    </row>
    <row r="484">
      <c r="A484" s="345"/>
      <c r="B484" s="345"/>
      <c r="C484" s="345"/>
      <c r="D484" s="345"/>
      <c r="E484" s="827"/>
      <c r="F484" s="345"/>
    </row>
    <row r="485">
      <c r="A485" s="345"/>
      <c r="B485" s="345"/>
      <c r="C485" s="345"/>
      <c r="D485" s="345"/>
      <c r="E485" s="827"/>
      <c r="F485" s="345"/>
    </row>
    <row r="486">
      <c r="A486" s="345"/>
      <c r="B486" s="345"/>
      <c r="C486" s="345"/>
      <c r="D486" s="345"/>
      <c r="E486" s="827"/>
      <c r="F486" s="345"/>
    </row>
    <row r="487">
      <c r="A487" s="345"/>
      <c r="B487" s="345"/>
      <c r="C487" s="345"/>
      <c r="D487" s="345"/>
      <c r="E487" s="827"/>
      <c r="F487" s="345"/>
    </row>
    <row r="488">
      <c r="A488" s="345"/>
      <c r="B488" s="345"/>
      <c r="C488" s="345"/>
      <c r="D488" s="345"/>
      <c r="E488" s="827"/>
      <c r="F488" s="345"/>
    </row>
    <row r="489">
      <c r="A489" s="345"/>
      <c r="B489" s="345"/>
      <c r="C489" s="345"/>
      <c r="D489" s="345"/>
      <c r="E489" s="827"/>
      <c r="F489" s="345"/>
    </row>
    <row r="490">
      <c r="A490" s="345"/>
      <c r="B490" s="345"/>
      <c r="C490" s="345"/>
      <c r="D490" s="345"/>
      <c r="E490" s="827"/>
      <c r="F490" s="345"/>
    </row>
    <row r="491">
      <c r="A491" s="345"/>
      <c r="B491" s="345"/>
      <c r="C491" s="345"/>
      <c r="D491" s="345"/>
      <c r="E491" s="827"/>
      <c r="F491" s="345"/>
    </row>
    <row r="492">
      <c r="A492" s="345"/>
      <c r="B492" s="345"/>
      <c r="C492" s="345"/>
      <c r="D492" s="345"/>
      <c r="E492" s="827"/>
      <c r="F492" s="345"/>
    </row>
    <row r="493">
      <c r="A493" s="345"/>
      <c r="B493" s="345"/>
      <c r="C493" s="345"/>
      <c r="D493" s="345"/>
      <c r="E493" s="827"/>
      <c r="F493" s="345"/>
    </row>
    <row r="494">
      <c r="A494" s="345"/>
      <c r="B494" s="345"/>
      <c r="C494" s="345"/>
      <c r="D494" s="345"/>
      <c r="E494" s="827"/>
      <c r="F494" s="345"/>
    </row>
    <row r="495">
      <c r="A495" s="345"/>
      <c r="B495" s="345"/>
      <c r="C495" s="345"/>
      <c r="D495" s="345"/>
      <c r="E495" s="827"/>
      <c r="F495" s="345"/>
    </row>
    <row r="496">
      <c r="A496" s="345"/>
      <c r="B496" s="345"/>
      <c r="C496" s="345"/>
      <c r="D496" s="345"/>
      <c r="E496" s="827"/>
      <c r="F496" s="345"/>
    </row>
    <row r="497">
      <c r="A497" s="345"/>
      <c r="B497" s="345"/>
      <c r="C497" s="345"/>
      <c r="D497" s="345"/>
      <c r="E497" s="827"/>
      <c r="F497" s="345"/>
    </row>
    <row r="498">
      <c r="A498" s="345"/>
      <c r="B498" s="345"/>
      <c r="C498" s="345"/>
      <c r="D498" s="345"/>
      <c r="E498" s="827"/>
      <c r="F498" s="345"/>
    </row>
    <row r="499">
      <c r="A499" s="345"/>
      <c r="B499" s="345"/>
      <c r="C499" s="345"/>
      <c r="D499" s="345"/>
      <c r="E499" s="827"/>
      <c r="F499" s="345"/>
    </row>
    <row r="500">
      <c r="A500" s="345"/>
      <c r="B500" s="345"/>
      <c r="C500" s="345"/>
      <c r="D500" s="345"/>
      <c r="E500" s="827"/>
      <c r="F500" s="345"/>
    </row>
    <row r="501">
      <c r="A501" s="345"/>
      <c r="B501" s="345"/>
      <c r="C501" s="345"/>
      <c r="D501" s="345"/>
      <c r="E501" s="827"/>
      <c r="F501" s="345"/>
    </row>
    <row r="502">
      <c r="A502" s="345"/>
      <c r="B502" s="345"/>
      <c r="C502" s="345"/>
      <c r="D502" s="345"/>
      <c r="E502" s="827"/>
      <c r="F502" s="345"/>
    </row>
    <row r="503">
      <c r="A503" s="345"/>
      <c r="B503" s="345"/>
      <c r="C503" s="345"/>
      <c r="D503" s="345"/>
      <c r="E503" s="827"/>
      <c r="F503" s="345"/>
    </row>
    <row r="504">
      <c r="A504" s="345"/>
      <c r="B504" s="345"/>
      <c r="C504" s="345"/>
      <c r="D504" s="345"/>
      <c r="E504" s="827"/>
      <c r="F504" s="345"/>
    </row>
    <row r="505">
      <c r="A505" s="345"/>
      <c r="B505" s="345"/>
      <c r="C505" s="345"/>
      <c r="D505" s="345"/>
      <c r="E505" s="827"/>
      <c r="F505" s="345"/>
    </row>
    <row r="506">
      <c r="A506" s="345"/>
      <c r="B506" s="345"/>
      <c r="C506" s="345"/>
      <c r="D506" s="345"/>
      <c r="E506" s="827"/>
      <c r="F506" s="345"/>
    </row>
    <row r="507">
      <c r="A507" s="345"/>
      <c r="B507" s="345"/>
      <c r="C507" s="345"/>
      <c r="D507" s="345"/>
      <c r="E507" s="827"/>
      <c r="F507" s="345"/>
    </row>
    <row r="508">
      <c r="A508" s="345"/>
      <c r="B508" s="345"/>
      <c r="C508" s="345"/>
      <c r="D508" s="345"/>
      <c r="E508" s="827"/>
      <c r="F508" s="345"/>
    </row>
    <row r="509">
      <c r="A509" s="345"/>
      <c r="B509" s="345"/>
      <c r="C509" s="345"/>
      <c r="D509" s="345"/>
      <c r="E509" s="827"/>
      <c r="F509" s="345"/>
    </row>
    <row r="510">
      <c r="A510" s="345"/>
      <c r="B510" s="345"/>
      <c r="C510" s="345"/>
      <c r="D510" s="345"/>
      <c r="E510" s="827"/>
      <c r="F510" s="345"/>
    </row>
    <row r="511">
      <c r="A511" s="345"/>
      <c r="B511" s="345"/>
      <c r="C511" s="345"/>
      <c r="D511" s="345"/>
      <c r="E511" s="827"/>
      <c r="F511" s="345"/>
    </row>
    <row r="512">
      <c r="A512" s="345"/>
      <c r="B512" s="345"/>
      <c r="C512" s="345"/>
      <c r="D512" s="345"/>
      <c r="E512" s="827"/>
      <c r="F512" s="345"/>
    </row>
    <row r="513">
      <c r="A513" s="345"/>
      <c r="B513" s="345"/>
      <c r="C513" s="345"/>
      <c r="D513" s="345"/>
      <c r="E513" s="827"/>
      <c r="F513" s="345"/>
    </row>
    <row r="514">
      <c r="A514" s="345"/>
      <c r="B514" s="345"/>
      <c r="C514" s="345"/>
      <c r="D514" s="345"/>
      <c r="E514" s="827"/>
      <c r="F514" s="345"/>
    </row>
    <row r="515">
      <c r="A515" s="345"/>
      <c r="B515" s="345"/>
      <c r="C515" s="345"/>
      <c r="D515" s="345"/>
      <c r="E515" s="827"/>
      <c r="F515" s="345"/>
    </row>
    <row r="516">
      <c r="A516" s="345"/>
      <c r="B516" s="345"/>
      <c r="C516" s="345"/>
      <c r="D516" s="345"/>
      <c r="E516" s="827"/>
      <c r="F516" s="345"/>
    </row>
    <row r="517">
      <c r="A517" s="345"/>
      <c r="B517" s="345"/>
      <c r="C517" s="345"/>
      <c r="D517" s="345"/>
      <c r="E517" s="827"/>
      <c r="F517" s="345"/>
    </row>
    <row r="518">
      <c r="A518" s="345"/>
      <c r="B518" s="345"/>
      <c r="C518" s="345"/>
      <c r="D518" s="345"/>
      <c r="E518" s="827"/>
      <c r="F518" s="345"/>
    </row>
    <row r="519">
      <c r="A519" s="345"/>
      <c r="B519" s="345"/>
      <c r="C519" s="345"/>
      <c r="D519" s="345"/>
      <c r="E519" s="827"/>
      <c r="F519" s="345"/>
    </row>
    <row r="520">
      <c r="A520" s="345"/>
      <c r="B520" s="345"/>
      <c r="C520" s="345"/>
      <c r="D520" s="345"/>
      <c r="E520" s="827"/>
      <c r="F520" s="345"/>
    </row>
    <row r="521">
      <c r="A521" s="345"/>
      <c r="B521" s="345"/>
      <c r="C521" s="345"/>
      <c r="D521" s="345"/>
      <c r="E521" s="827"/>
      <c r="F521" s="345"/>
    </row>
    <row r="522">
      <c r="A522" s="345"/>
      <c r="B522" s="345"/>
      <c r="C522" s="345"/>
      <c r="D522" s="345"/>
      <c r="E522" s="827"/>
      <c r="F522" s="345"/>
    </row>
    <row r="523">
      <c r="A523" s="345"/>
      <c r="B523" s="345"/>
      <c r="C523" s="345"/>
      <c r="D523" s="345"/>
      <c r="E523" s="827"/>
      <c r="F523" s="345"/>
    </row>
    <row r="524">
      <c r="A524" s="345"/>
      <c r="B524" s="345"/>
      <c r="C524" s="345"/>
      <c r="D524" s="345"/>
      <c r="E524" s="827"/>
      <c r="F524" s="345"/>
    </row>
    <row r="525">
      <c r="A525" s="345"/>
      <c r="B525" s="345"/>
      <c r="C525" s="345"/>
      <c r="D525" s="345"/>
      <c r="E525" s="827"/>
      <c r="F525" s="345"/>
    </row>
    <row r="526">
      <c r="A526" s="345"/>
      <c r="B526" s="345"/>
      <c r="C526" s="345"/>
      <c r="D526" s="345"/>
      <c r="E526" s="827"/>
      <c r="F526" s="345"/>
    </row>
    <row r="527">
      <c r="A527" s="345"/>
      <c r="B527" s="345"/>
      <c r="C527" s="345"/>
      <c r="D527" s="345"/>
      <c r="E527" s="827"/>
      <c r="F527" s="345"/>
    </row>
    <row r="528">
      <c r="A528" s="345"/>
      <c r="B528" s="345"/>
      <c r="C528" s="345"/>
      <c r="D528" s="345"/>
      <c r="E528" s="827"/>
      <c r="F528" s="345"/>
    </row>
    <row r="529">
      <c r="A529" s="345"/>
      <c r="B529" s="345"/>
      <c r="C529" s="345"/>
      <c r="D529" s="345"/>
      <c r="E529" s="827"/>
      <c r="F529" s="345"/>
    </row>
    <row r="530">
      <c r="A530" s="345"/>
      <c r="B530" s="345"/>
      <c r="C530" s="345"/>
      <c r="D530" s="345"/>
      <c r="E530" s="827"/>
      <c r="F530" s="345"/>
    </row>
    <row r="531">
      <c r="A531" s="345"/>
      <c r="B531" s="345"/>
      <c r="C531" s="345"/>
      <c r="D531" s="345"/>
      <c r="E531" s="827"/>
      <c r="F531" s="345"/>
    </row>
    <row r="532">
      <c r="A532" s="345"/>
      <c r="B532" s="345"/>
      <c r="C532" s="345"/>
      <c r="D532" s="345"/>
      <c r="E532" s="827"/>
      <c r="F532" s="345"/>
    </row>
    <row r="533">
      <c r="A533" s="345"/>
      <c r="B533" s="345"/>
      <c r="C533" s="345"/>
      <c r="D533" s="345"/>
      <c r="E533" s="827"/>
      <c r="F533" s="345"/>
    </row>
    <row r="534">
      <c r="A534" s="345"/>
      <c r="B534" s="345"/>
      <c r="C534" s="345"/>
      <c r="D534" s="345"/>
      <c r="E534" s="827"/>
      <c r="F534" s="345"/>
    </row>
    <row r="535">
      <c r="A535" s="345"/>
      <c r="B535" s="345"/>
      <c r="C535" s="345"/>
      <c r="D535" s="345"/>
      <c r="E535" s="827"/>
      <c r="F535" s="345"/>
    </row>
    <row r="536">
      <c r="A536" s="345"/>
      <c r="B536" s="345"/>
      <c r="C536" s="345"/>
      <c r="D536" s="345"/>
      <c r="E536" s="827"/>
      <c r="F536" s="345"/>
    </row>
    <row r="537">
      <c r="A537" s="345"/>
      <c r="B537" s="345"/>
      <c r="C537" s="345"/>
      <c r="D537" s="345"/>
      <c r="E537" s="827"/>
      <c r="F537" s="345"/>
    </row>
    <row r="538">
      <c r="A538" s="345"/>
      <c r="B538" s="345"/>
      <c r="C538" s="345"/>
      <c r="D538" s="345"/>
      <c r="E538" s="827"/>
      <c r="F538" s="345"/>
    </row>
    <row r="539">
      <c r="A539" s="345"/>
      <c r="B539" s="345"/>
      <c r="C539" s="345"/>
      <c r="D539" s="345"/>
      <c r="E539" s="827"/>
      <c r="F539" s="345"/>
    </row>
    <row r="540">
      <c r="A540" s="345"/>
      <c r="B540" s="345"/>
      <c r="C540" s="345"/>
      <c r="D540" s="345"/>
      <c r="E540" s="827"/>
      <c r="F540" s="345"/>
    </row>
    <row r="541">
      <c r="A541" s="345"/>
      <c r="B541" s="345"/>
      <c r="C541" s="345"/>
      <c r="D541" s="345"/>
      <c r="E541" s="827"/>
      <c r="F541" s="345"/>
    </row>
    <row r="542">
      <c r="A542" s="345"/>
      <c r="B542" s="345"/>
      <c r="C542" s="345"/>
      <c r="D542" s="345"/>
      <c r="E542" s="827"/>
      <c r="F542" s="345"/>
    </row>
    <row r="543">
      <c r="A543" s="345"/>
      <c r="B543" s="345"/>
      <c r="C543" s="345"/>
      <c r="D543" s="345"/>
      <c r="E543" s="827"/>
      <c r="F543" s="345"/>
    </row>
    <row r="544">
      <c r="A544" s="345"/>
      <c r="B544" s="345"/>
      <c r="C544" s="345"/>
      <c r="D544" s="345"/>
      <c r="E544" s="827"/>
      <c r="F544" s="345"/>
    </row>
    <row r="545">
      <c r="A545" s="345"/>
      <c r="B545" s="345"/>
      <c r="C545" s="345"/>
      <c r="D545" s="345"/>
      <c r="E545" s="827"/>
      <c r="F545" s="345"/>
    </row>
    <row r="546">
      <c r="A546" s="345"/>
      <c r="B546" s="345"/>
      <c r="C546" s="345"/>
      <c r="D546" s="345"/>
      <c r="E546" s="827"/>
      <c r="F546" s="345"/>
    </row>
    <row r="547">
      <c r="A547" s="345"/>
      <c r="B547" s="345"/>
      <c r="C547" s="345"/>
      <c r="D547" s="345"/>
      <c r="E547" s="827"/>
      <c r="F547" s="345"/>
    </row>
    <row r="548">
      <c r="A548" s="345"/>
      <c r="B548" s="345"/>
      <c r="C548" s="345"/>
      <c r="D548" s="345"/>
      <c r="E548" s="827"/>
      <c r="F548" s="345"/>
    </row>
    <row r="549">
      <c r="A549" s="345"/>
      <c r="B549" s="345"/>
      <c r="C549" s="345"/>
      <c r="D549" s="345"/>
      <c r="E549" s="827"/>
      <c r="F549" s="345"/>
    </row>
    <row r="550">
      <c r="A550" s="345"/>
      <c r="B550" s="345"/>
      <c r="C550" s="345"/>
      <c r="D550" s="345"/>
      <c r="E550" s="827"/>
      <c r="F550" s="345"/>
    </row>
    <row r="551">
      <c r="A551" s="345"/>
      <c r="B551" s="345"/>
      <c r="C551" s="345"/>
      <c r="D551" s="345"/>
      <c r="E551" s="827"/>
      <c r="F551" s="345"/>
    </row>
    <row r="552">
      <c r="A552" s="345"/>
      <c r="B552" s="345"/>
      <c r="C552" s="345"/>
      <c r="D552" s="345"/>
      <c r="E552" s="827"/>
      <c r="F552" s="345"/>
    </row>
    <row r="553">
      <c r="A553" s="345"/>
      <c r="B553" s="345"/>
      <c r="C553" s="345"/>
      <c r="D553" s="345"/>
      <c r="E553" s="827"/>
      <c r="F553" s="345"/>
    </row>
    <row r="554">
      <c r="A554" s="345"/>
      <c r="B554" s="345"/>
      <c r="C554" s="345"/>
      <c r="D554" s="345"/>
      <c r="E554" s="827"/>
      <c r="F554" s="345"/>
    </row>
    <row r="555">
      <c r="A555" s="345"/>
      <c r="B555" s="345"/>
      <c r="C555" s="345"/>
      <c r="D555" s="345"/>
      <c r="E555" s="827"/>
      <c r="F555" s="345"/>
    </row>
    <row r="556">
      <c r="A556" s="345"/>
      <c r="B556" s="345"/>
      <c r="C556" s="345"/>
      <c r="D556" s="345"/>
      <c r="E556" s="827"/>
      <c r="F556" s="345"/>
    </row>
    <row r="557">
      <c r="A557" s="345"/>
      <c r="B557" s="345"/>
      <c r="C557" s="345"/>
      <c r="D557" s="345"/>
      <c r="E557" s="827"/>
      <c r="F557" s="345"/>
    </row>
    <row r="558">
      <c r="A558" s="345"/>
      <c r="B558" s="345"/>
      <c r="C558" s="345"/>
      <c r="D558" s="345"/>
      <c r="E558" s="827"/>
      <c r="F558" s="345"/>
    </row>
    <row r="559">
      <c r="A559" s="345"/>
      <c r="B559" s="345"/>
      <c r="C559" s="345"/>
      <c r="D559" s="345"/>
      <c r="E559" s="827"/>
      <c r="F559" s="345"/>
    </row>
    <row r="560">
      <c r="A560" s="345"/>
      <c r="B560" s="345"/>
      <c r="C560" s="345"/>
      <c r="D560" s="345"/>
      <c r="E560" s="827"/>
      <c r="F560" s="345"/>
    </row>
    <row r="561">
      <c r="A561" s="345"/>
      <c r="B561" s="345"/>
      <c r="C561" s="345"/>
      <c r="D561" s="345"/>
      <c r="E561" s="827"/>
      <c r="F561" s="345"/>
    </row>
    <row r="562">
      <c r="A562" s="345"/>
      <c r="B562" s="345"/>
      <c r="C562" s="345"/>
      <c r="D562" s="345"/>
      <c r="E562" s="827"/>
      <c r="F562" s="345"/>
    </row>
    <row r="563">
      <c r="A563" s="345"/>
      <c r="B563" s="345"/>
      <c r="C563" s="345"/>
      <c r="D563" s="345"/>
      <c r="E563" s="827"/>
      <c r="F563" s="345"/>
    </row>
    <row r="564">
      <c r="A564" s="345"/>
      <c r="B564" s="345"/>
      <c r="C564" s="345"/>
      <c r="D564" s="345"/>
      <c r="E564" s="827"/>
      <c r="F564" s="345"/>
    </row>
    <row r="565">
      <c r="A565" s="345"/>
      <c r="B565" s="345"/>
      <c r="C565" s="345"/>
      <c r="D565" s="345"/>
      <c r="E565" s="827"/>
      <c r="F565" s="345"/>
    </row>
    <row r="566">
      <c r="A566" s="345"/>
      <c r="B566" s="345"/>
      <c r="C566" s="345"/>
      <c r="D566" s="345"/>
      <c r="E566" s="827"/>
      <c r="F566" s="345"/>
    </row>
    <row r="567">
      <c r="A567" s="345"/>
      <c r="B567" s="345"/>
      <c r="C567" s="345"/>
      <c r="D567" s="345"/>
      <c r="E567" s="827"/>
      <c r="F567" s="345"/>
    </row>
    <row r="568">
      <c r="A568" s="345"/>
      <c r="B568" s="345"/>
      <c r="C568" s="345"/>
      <c r="D568" s="345"/>
      <c r="E568" s="827"/>
      <c r="F568" s="345"/>
    </row>
    <row r="569">
      <c r="A569" s="345"/>
      <c r="B569" s="345"/>
      <c r="C569" s="345"/>
      <c r="D569" s="345"/>
      <c r="E569" s="827"/>
      <c r="F569" s="345"/>
    </row>
    <row r="570">
      <c r="A570" s="345"/>
      <c r="B570" s="345"/>
      <c r="C570" s="345"/>
      <c r="D570" s="345"/>
      <c r="E570" s="827"/>
      <c r="F570" s="345"/>
    </row>
    <row r="571">
      <c r="A571" s="345"/>
      <c r="B571" s="345"/>
      <c r="C571" s="345"/>
      <c r="D571" s="345"/>
      <c r="E571" s="827"/>
      <c r="F571" s="345"/>
    </row>
    <row r="572">
      <c r="A572" s="345"/>
      <c r="B572" s="345"/>
      <c r="C572" s="345"/>
      <c r="D572" s="345"/>
      <c r="E572" s="827"/>
      <c r="F572" s="345"/>
    </row>
    <row r="573">
      <c r="A573" s="345"/>
      <c r="B573" s="345"/>
      <c r="C573" s="345"/>
      <c r="D573" s="345"/>
      <c r="E573" s="827"/>
      <c r="F573" s="345"/>
    </row>
    <row r="574">
      <c r="A574" s="345"/>
      <c r="B574" s="345"/>
      <c r="C574" s="345"/>
      <c r="D574" s="345"/>
      <c r="E574" s="827"/>
      <c r="F574" s="345"/>
    </row>
    <row r="575">
      <c r="A575" s="345"/>
      <c r="B575" s="345"/>
      <c r="C575" s="345"/>
      <c r="D575" s="345"/>
      <c r="E575" s="827"/>
      <c r="F575" s="345"/>
    </row>
    <row r="576">
      <c r="A576" s="345"/>
      <c r="B576" s="345"/>
      <c r="C576" s="345"/>
      <c r="D576" s="345"/>
      <c r="E576" s="827"/>
      <c r="F576" s="345"/>
    </row>
    <row r="577">
      <c r="A577" s="345"/>
      <c r="B577" s="345"/>
      <c r="C577" s="345"/>
      <c r="D577" s="345"/>
      <c r="E577" s="827"/>
      <c r="F577" s="345"/>
    </row>
    <row r="578">
      <c r="A578" s="345"/>
      <c r="B578" s="345"/>
      <c r="C578" s="345"/>
      <c r="D578" s="345"/>
      <c r="E578" s="827"/>
      <c r="F578" s="345"/>
    </row>
    <row r="579">
      <c r="A579" s="345"/>
      <c r="B579" s="345"/>
      <c r="C579" s="345"/>
      <c r="D579" s="345"/>
      <c r="E579" s="827"/>
      <c r="F579" s="345"/>
    </row>
    <row r="580">
      <c r="A580" s="345"/>
      <c r="B580" s="345"/>
      <c r="C580" s="345"/>
      <c r="D580" s="345"/>
      <c r="E580" s="827"/>
      <c r="F580" s="345"/>
    </row>
    <row r="581">
      <c r="A581" s="345"/>
      <c r="B581" s="345"/>
      <c r="C581" s="345"/>
      <c r="D581" s="345"/>
      <c r="E581" s="827"/>
      <c r="F581" s="345"/>
    </row>
    <row r="582">
      <c r="A582" s="345"/>
      <c r="B582" s="345"/>
      <c r="C582" s="345"/>
      <c r="D582" s="345"/>
      <c r="E582" s="827"/>
      <c r="F582" s="345"/>
    </row>
    <row r="583">
      <c r="A583" s="345"/>
      <c r="B583" s="345"/>
      <c r="C583" s="345"/>
      <c r="D583" s="345"/>
      <c r="E583" s="827"/>
      <c r="F583" s="345"/>
    </row>
    <row r="584">
      <c r="A584" s="345"/>
      <c r="B584" s="345"/>
      <c r="C584" s="345"/>
      <c r="D584" s="345"/>
      <c r="E584" s="827"/>
      <c r="F584" s="345"/>
    </row>
    <row r="585">
      <c r="A585" s="345"/>
      <c r="B585" s="345"/>
      <c r="C585" s="345"/>
      <c r="D585" s="345"/>
      <c r="E585" s="827"/>
      <c r="F585" s="345"/>
    </row>
    <row r="586">
      <c r="A586" s="345"/>
      <c r="B586" s="345"/>
      <c r="C586" s="345"/>
      <c r="D586" s="345"/>
      <c r="E586" s="827"/>
      <c r="F586" s="345"/>
    </row>
    <row r="587">
      <c r="A587" s="345"/>
      <c r="B587" s="345"/>
      <c r="C587" s="345"/>
      <c r="D587" s="345"/>
      <c r="E587" s="827"/>
      <c r="F587" s="345"/>
    </row>
    <row r="588">
      <c r="A588" s="345"/>
      <c r="B588" s="345"/>
      <c r="C588" s="345"/>
      <c r="D588" s="345"/>
      <c r="E588" s="827"/>
      <c r="F588" s="345"/>
    </row>
    <row r="589">
      <c r="A589" s="345"/>
      <c r="B589" s="345"/>
      <c r="C589" s="345"/>
      <c r="D589" s="345"/>
      <c r="E589" s="827"/>
      <c r="F589" s="345"/>
    </row>
    <row r="590">
      <c r="A590" s="345"/>
      <c r="B590" s="345"/>
      <c r="C590" s="345"/>
      <c r="D590" s="345"/>
      <c r="E590" s="827"/>
      <c r="F590" s="345"/>
    </row>
    <row r="591">
      <c r="A591" s="345"/>
      <c r="B591" s="345"/>
      <c r="C591" s="345"/>
      <c r="D591" s="345"/>
      <c r="E591" s="827"/>
      <c r="F591" s="345"/>
    </row>
    <row r="592">
      <c r="A592" s="345"/>
      <c r="B592" s="345"/>
      <c r="C592" s="345"/>
      <c r="D592" s="345"/>
      <c r="E592" s="827"/>
      <c r="F592" s="345"/>
    </row>
    <row r="593">
      <c r="A593" s="345"/>
      <c r="B593" s="345"/>
      <c r="C593" s="345"/>
      <c r="D593" s="345"/>
      <c r="E593" s="827"/>
      <c r="F593" s="345"/>
    </row>
    <row r="594">
      <c r="A594" s="345"/>
      <c r="B594" s="345"/>
      <c r="C594" s="345"/>
      <c r="D594" s="345"/>
      <c r="E594" s="827"/>
      <c r="F594" s="345"/>
    </row>
    <row r="595">
      <c r="A595" s="345"/>
      <c r="B595" s="345"/>
      <c r="C595" s="345"/>
      <c r="D595" s="345"/>
      <c r="E595" s="827"/>
      <c r="F595" s="345"/>
    </row>
    <row r="596">
      <c r="A596" s="345"/>
      <c r="B596" s="345"/>
      <c r="C596" s="345"/>
      <c r="D596" s="345"/>
      <c r="E596" s="827"/>
      <c r="F596" s="345"/>
    </row>
    <row r="597">
      <c r="A597" s="345"/>
      <c r="B597" s="345"/>
      <c r="C597" s="345"/>
      <c r="D597" s="345"/>
      <c r="E597" s="827"/>
      <c r="F597" s="345"/>
    </row>
    <row r="598">
      <c r="A598" s="345"/>
      <c r="B598" s="345"/>
      <c r="C598" s="345"/>
      <c r="D598" s="345"/>
      <c r="E598" s="827"/>
      <c r="F598" s="345"/>
    </row>
    <row r="599">
      <c r="A599" s="345"/>
      <c r="B599" s="345"/>
      <c r="C599" s="345"/>
      <c r="D599" s="345"/>
      <c r="E599" s="827"/>
      <c r="F599" s="345"/>
    </row>
    <row r="600">
      <c r="A600" s="345"/>
      <c r="B600" s="345"/>
      <c r="C600" s="345"/>
      <c r="D600" s="345"/>
      <c r="E600" s="827"/>
      <c r="F600" s="345"/>
    </row>
    <row r="601">
      <c r="A601" s="345"/>
      <c r="B601" s="345"/>
      <c r="C601" s="345"/>
      <c r="D601" s="345"/>
      <c r="E601" s="827"/>
      <c r="F601" s="345"/>
    </row>
    <row r="602">
      <c r="A602" s="345"/>
      <c r="B602" s="345"/>
      <c r="C602" s="345"/>
      <c r="D602" s="345"/>
      <c r="E602" s="827"/>
      <c r="F602" s="345"/>
    </row>
    <row r="603">
      <c r="A603" s="345"/>
      <c r="B603" s="345"/>
      <c r="C603" s="345"/>
      <c r="D603" s="345"/>
      <c r="E603" s="827"/>
      <c r="F603" s="345"/>
    </row>
    <row r="604">
      <c r="A604" s="345"/>
      <c r="B604" s="345"/>
      <c r="C604" s="345"/>
      <c r="D604" s="345"/>
      <c r="E604" s="827"/>
      <c r="F604" s="345"/>
    </row>
    <row r="605">
      <c r="A605" s="345"/>
      <c r="B605" s="345"/>
      <c r="C605" s="345"/>
      <c r="D605" s="345"/>
      <c r="E605" s="827"/>
      <c r="F605" s="345"/>
    </row>
    <row r="606">
      <c r="A606" s="345"/>
      <c r="B606" s="345"/>
      <c r="C606" s="345"/>
      <c r="D606" s="345"/>
      <c r="E606" s="827"/>
      <c r="F606" s="345"/>
    </row>
    <row r="607">
      <c r="A607" s="345"/>
      <c r="B607" s="345"/>
      <c r="C607" s="345"/>
      <c r="D607" s="345"/>
      <c r="E607" s="827"/>
      <c r="F607" s="345"/>
    </row>
    <row r="608">
      <c r="A608" s="345"/>
      <c r="B608" s="345"/>
      <c r="C608" s="345"/>
      <c r="D608" s="345"/>
      <c r="E608" s="827"/>
      <c r="F608" s="345"/>
    </row>
    <row r="609">
      <c r="A609" s="345"/>
      <c r="B609" s="345"/>
      <c r="C609" s="345"/>
      <c r="D609" s="345"/>
      <c r="E609" s="827"/>
      <c r="F609" s="345"/>
    </row>
    <row r="610">
      <c r="A610" s="345"/>
      <c r="B610" s="345"/>
      <c r="C610" s="345"/>
      <c r="D610" s="345"/>
      <c r="E610" s="827"/>
      <c r="F610" s="345"/>
    </row>
    <row r="611">
      <c r="A611" s="345"/>
      <c r="B611" s="345"/>
      <c r="C611" s="345"/>
      <c r="D611" s="345"/>
      <c r="E611" s="827"/>
      <c r="F611" s="345"/>
    </row>
    <row r="612">
      <c r="A612" s="345"/>
      <c r="B612" s="345"/>
      <c r="C612" s="345"/>
      <c r="D612" s="345"/>
      <c r="E612" s="827"/>
      <c r="F612" s="345"/>
    </row>
    <row r="613">
      <c r="A613" s="345"/>
      <c r="B613" s="345"/>
      <c r="C613" s="345"/>
      <c r="D613" s="345"/>
      <c r="E613" s="827"/>
      <c r="F613" s="345"/>
    </row>
    <row r="614">
      <c r="A614" s="345"/>
      <c r="B614" s="345"/>
      <c r="C614" s="345"/>
      <c r="D614" s="345"/>
      <c r="E614" s="827"/>
      <c r="F614" s="345"/>
    </row>
    <row r="615">
      <c r="A615" s="345"/>
      <c r="B615" s="345"/>
      <c r="C615" s="345"/>
      <c r="D615" s="345"/>
      <c r="E615" s="827"/>
      <c r="F615" s="345"/>
    </row>
    <row r="616">
      <c r="A616" s="345"/>
      <c r="B616" s="345"/>
      <c r="C616" s="345"/>
      <c r="D616" s="345"/>
      <c r="E616" s="827"/>
      <c r="F616" s="345"/>
    </row>
    <row r="617">
      <c r="A617" s="345"/>
      <c r="B617" s="345"/>
      <c r="C617" s="345"/>
      <c r="D617" s="345"/>
      <c r="E617" s="827"/>
      <c r="F617" s="345"/>
    </row>
    <row r="618">
      <c r="A618" s="345"/>
      <c r="B618" s="345"/>
      <c r="C618" s="345"/>
      <c r="D618" s="345"/>
      <c r="E618" s="827"/>
      <c r="F618" s="345"/>
    </row>
    <row r="619">
      <c r="A619" s="345"/>
      <c r="B619" s="345"/>
      <c r="C619" s="345"/>
      <c r="D619" s="345"/>
      <c r="E619" s="827"/>
      <c r="F619" s="345"/>
    </row>
    <row r="620">
      <c r="A620" s="345"/>
      <c r="B620" s="345"/>
      <c r="C620" s="345"/>
      <c r="D620" s="345"/>
      <c r="E620" s="827"/>
      <c r="F620" s="345"/>
    </row>
    <row r="621">
      <c r="A621" s="345"/>
      <c r="B621" s="345"/>
      <c r="C621" s="345"/>
      <c r="D621" s="345"/>
      <c r="E621" s="827"/>
      <c r="F621" s="345"/>
    </row>
    <row r="622">
      <c r="A622" s="345"/>
      <c r="B622" s="345"/>
      <c r="C622" s="345"/>
      <c r="D622" s="345"/>
      <c r="E622" s="827"/>
      <c r="F622" s="345"/>
    </row>
    <row r="623">
      <c r="A623" s="345"/>
      <c r="B623" s="345"/>
      <c r="C623" s="345"/>
      <c r="D623" s="345"/>
      <c r="E623" s="827"/>
      <c r="F623" s="345"/>
    </row>
    <row r="624">
      <c r="A624" s="345"/>
      <c r="B624" s="345"/>
      <c r="C624" s="345"/>
      <c r="D624" s="345"/>
      <c r="E624" s="827"/>
      <c r="F624" s="345"/>
    </row>
    <row r="625">
      <c r="A625" s="345"/>
      <c r="B625" s="345"/>
      <c r="C625" s="345"/>
      <c r="D625" s="345"/>
      <c r="E625" s="827"/>
      <c r="F625" s="345"/>
    </row>
    <row r="626">
      <c r="A626" s="345"/>
      <c r="B626" s="345"/>
      <c r="C626" s="345"/>
      <c r="D626" s="345"/>
      <c r="E626" s="827"/>
      <c r="F626" s="345"/>
    </row>
    <row r="627">
      <c r="A627" s="345"/>
      <c r="B627" s="345"/>
      <c r="C627" s="345"/>
      <c r="D627" s="345"/>
      <c r="E627" s="827"/>
      <c r="F627" s="345"/>
    </row>
    <row r="628">
      <c r="A628" s="345"/>
      <c r="B628" s="345"/>
      <c r="C628" s="345"/>
      <c r="D628" s="345"/>
      <c r="E628" s="827"/>
      <c r="F628" s="345"/>
    </row>
    <row r="629">
      <c r="A629" s="345"/>
      <c r="B629" s="345"/>
      <c r="C629" s="345"/>
      <c r="D629" s="345"/>
      <c r="E629" s="827"/>
      <c r="F629" s="345"/>
    </row>
    <row r="630">
      <c r="A630" s="345"/>
      <c r="B630" s="345"/>
      <c r="C630" s="345"/>
      <c r="D630" s="345"/>
      <c r="E630" s="827"/>
      <c r="F630" s="345"/>
    </row>
    <row r="631">
      <c r="A631" s="345"/>
      <c r="B631" s="345"/>
      <c r="C631" s="345"/>
      <c r="D631" s="345"/>
      <c r="E631" s="827"/>
      <c r="F631" s="345"/>
    </row>
    <row r="632">
      <c r="A632" s="345"/>
      <c r="B632" s="345"/>
      <c r="C632" s="345"/>
      <c r="D632" s="345"/>
      <c r="E632" s="827"/>
      <c r="F632" s="345"/>
    </row>
    <row r="633">
      <c r="A633" s="345"/>
      <c r="B633" s="345"/>
      <c r="C633" s="345"/>
      <c r="D633" s="345"/>
      <c r="E633" s="827"/>
      <c r="F633" s="345"/>
    </row>
    <row r="634">
      <c r="A634" s="345"/>
      <c r="B634" s="345"/>
      <c r="C634" s="345"/>
      <c r="D634" s="345"/>
      <c r="E634" s="827"/>
      <c r="F634" s="345"/>
    </row>
    <row r="635">
      <c r="A635" s="345"/>
      <c r="B635" s="345"/>
      <c r="C635" s="345"/>
      <c r="D635" s="345"/>
      <c r="E635" s="827"/>
      <c r="F635" s="345"/>
    </row>
    <row r="636">
      <c r="A636" s="345"/>
      <c r="B636" s="345"/>
      <c r="C636" s="345"/>
      <c r="D636" s="345"/>
      <c r="E636" s="827"/>
      <c r="F636" s="345"/>
    </row>
    <row r="637">
      <c r="A637" s="345"/>
      <c r="B637" s="345"/>
      <c r="C637" s="345"/>
      <c r="D637" s="345"/>
      <c r="E637" s="827"/>
      <c r="F637" s="345"/>
    </row>
    <row r="638">
      <c r="A638" s="345"/>
      <c r="B638" s="345"/>
      <c r="C638" s="345"/>
      <c r="D638" s="345"/>
      <c r="E638" s="827"/>
      <c r="F638" s="345"/>
    </row>
    <row r="639">
      <c r="A639" s="345"/>
      <c r="B639" s="345"/>
      <c r="C639" s="345"/>
      <c r="D639" s="345"/>
      <c r="E639" s="827"/>
      <c r="F639" s="345"/>
    </row>
    <row r="640">
      <c r="A640" s="345"/>
      <c r="B640" s="345"/>
      <c r="C640" s="345"/>
      <c r="D640" s="345"/>
      <c r="E640" s="827"/>
      <c r="F640" s="345"/>
    </row>
    <row r="641">
      <c r="A641" s="345"/>
      <c r="B641" s="345"/>
      <c r="C641" s="345"/>
      <c r="D641" s="345"/>
      <c r="E641" s="827"/>
      <c r="F641" s="345"/>
    </row>
    <row r="642">
      <c r="A642" s="345"/>
      <c r="B642" s="345"/>
      <c r="C642" s="345"/>
      <c r="D642" s="345"/>
      <c r="E642" s="827"/>
      <c r="F642" s="345"/>
    </row>
    <row r="643">
      <c r="A643" s="345"/>
      <c r="B643" s="345"/>
      <c r="C643" s="345"/>
      <c r="D643" s="345"/>
      <c r="E643" s="827"/>
      <c r="F643" s="345"/>
    </row>
    <row r="644">
      <c r="A644" s="345"/>
      <c r="B644" s="345"/>
      <c r="C644" s="345"/>
      <c r="D644" s="345"/>
      <c r="E644" s="827"/>
      <c r="F644" s="345"/>
    </row>
    <row r="645">
      <c r="A645" s="345"/>
      <c r="B645" s="345"/>
      <c r="C645" s="345"/>
      <c r="D645" s="345"/>
      <c r="E645" s="827"/>
      <c r="F645" s="345"/>
    </row>
    <row r="646">
      <c r="A646" s="345"/>
      <c r="B646" s="345"/>
      <c r="C646" s="345"/>
      <c r="D646" s="345"/>
      <c r="E646" s="827"/>
      <c r="F646" s="345"/>
    </row>
    <row r="647">
      <c r="A647" s="345"/>
      <c r="B647" s="345"/>
      <c r="C647" s="345"/>
      <c r="D647" s="345"/>
      <c r="E647" s="827"/>
      <c r="F647" s="345"/>
    </row>
    <row r="648">
      <c r="A648" s="345"/>
      <c r="B648" s="345"/>
      <c r="C648" s="345"/>
      <c r="D648" s="345"/>
      <c r="E648" s="827"/>
      <c r="F648" s="345"/>
    </row>
    <row r="649">
      <c r="A649" s="345"/>
      <c r="B649" s="345"/>
      <c r="C649" s="345"/>
      <c r="D649" s="345"/>
      <c r="E649" s="827"/>
      <c r="F649" s="345"/>
    </row>
    <row r="650">
      <c r="A650" s="345"/>
      <c r="B650" s="345"/>
      <c r="C650" s="345"/>
      <c r="D650" s="345"/>
      <c r="E650" s="827"/>
      <c r="F650" s="345"/>
    </row>
    <row r="651">
      <c r="A651" s="345"/>
      <c r="B651" s="345"/>
      <c r="C651" s="345"/>
      <c r="D651" s="345"/>
      <c r="E651" s="827"/>
      <c r="F651" s="345"/>
    </row>
    <row r="652">
      <c r="A652" s="345"/>
      <c r="B652" s="345"/>
      <c r="C652" s="345"/>
      <c r="D652" s="345"/>
      <c r="E652" s="827"/>
      <c r="F652" s="345"/>
    </row>
    <row r="653">
      <c r="A653" s="345"/>
      <c r="B653" s="345"/>
      <c r="C653" s="345"/>
      <c r="D653" s="345"/>
      <c r="E653" s="827"/>
      <c r="F653" s="345"/>
    </row>
    <row r="654">
      <c r="A654" s="345"/>
      <c r="B654" s="345"/>
      <c r="C654" s="345"/>
      <c r="D654" s="345"/>
      <c r="E654" s="827"/>
      <c r="F654" s="345"/>
    </row>
    <row r="655">
      <c r="A655" s="345"/>
      <c r="B655" s="345"/>
      <c r="C655" s="345"/>
      <c r="D655" s="345"/>
      <c r="E655" s="827"/>
      <c r="F655" s="345"/>
    </row>
    <row r="656">
      <c r="A656" s="345"/>
      <c r="B656" s="345"/>
      <c r="C656" s="345"/>
      <c r="D656" s="345"/>
      <c r="E656" s="827"/>
      <c r="F656" s="345"/>
    </row>
    <row r="657">
      <c r="A657" s="345"/>
      <c r="B657" s="345"/>
      <c r="C657" s="345"/>
      <c r="D657" s="345"/>
      <c r="E657" s="827"/>
      <c r="F657" s="345"/>
    </row>
    <row r="658">
      <c r="A658" s="345"/>
      <c r="B658" s="345"/>
      <c r="C658" s="345"/>
      <c r="D658" s="345"/>
      <c r="E658" s="827"/>
      <c r="F658" s="345"/>
    </row>
    <row r="659">
      <c r="A659" s="345"/>
      <c r="B659" s="345"/>
      <c r="C659" s="345"/>
      <c r="D659" s="345"/>
      <c r="E659" s="827"/>
      <c r="F659" s="345"/>
    </row>
    <row r="660">
      <c r="A660" s="345"/>
      <c r="B660" s="345"/>
      <c r="C660" s="345"/>
      <c r="D660" s="345"/>
      <c r="E660" s="827"/>
      <c r="F660" s="345"/>
    </row>
    <row r="661">
      <c r="A661" s="345"/>
      <c r="B661" s="345"/>
      <c r="C661" s="345"/>
      <c r="D661" s="345"/>
      <c r="E661" s="827"/>
      <c r="F661" s="345"/>
    </row>
    <row r="662">
      <c r="A662" s="345"/>
      <c r="B662" s="345"/>
      <c r="C662" s="345"/>
      <c r="D662" s="345"/>
      <c r="E662" s="827"/>
      <c r="F662" s="345"/>
    </row>
    <row r="663">
      <c r="A663" s="345"/>
      <c r="B663" s="345"/>
      <c r="C663" s="345"/>
      <c r="D663" s="345"/>
      <c r="E663" s="827"/>
      <c r="F663" s="345"/>
    </row>
    <row r="664">
      <c r="A664" s="345"/>
      <c r="B664" s="345"/>
      <c r="C664" s="345"/>
      <c r="D664" s="345"/>
      <c r="E664" s="827"/>
      <c r="F664" s="345"/>
    </row>
    <row r="665">
      <c r="A665" s="345"/>
      <c r="B665" s="345"/>
      <c r="C665" s="345"/>
      <c r="D665" s="345"/>
      <c r="E665" s="827"/>
      <c r="F665" s="345"/>
    </row>
    <row r="666">
      <c r="A666" s="345"/>
      <c r="B666" s="345"/>
      <c r="C666" s="345"/>
      <c r="D666" s="345"/>
      <c r="E666" s="827"/>
      <c r="F666" s="345"/>
    </row>
    <row r="667">
      <c r="A667" s="345"/>
      <c r="B667" s="345"/>
      <c r="C667" s="345"/>
      <c r="D667" s="345"/>
      <c r="E667" s="827"/>
      <c r="F667" s="345"/>
    </row>
    <row r="668">
      <c r="A668" s="345"/>
      <c r="B668" s="345"/>
      <c r="C668" s="345"/>
      <c r="D668" s="345"/>
      <c r="E668" s="827"/>
      <c r="F668" s="345"/>
    </row>
    <row r="669">
      <c r="A669" s="345"/>
      <c r="B669" s="345"/>
      <c r="C669" s="345"/>
      <c r="D669" s="345"/>
      <c r="E669" s="827"/>
      <c r="F669" s="345"/>
    </row>
    <row r="670">
      <c r="A670" s="345"/>
      <c r="B670" s="345"/>
      <c r="C670" s="345"/>
      <c r="D670" s="345"/>
      <c r="E670" s="827"/>
      <c r="F670" s="345"/>
    </row>
    <row r="671">
      <c r="A671" s="345"/>
      <c r="B671" s="345"/>
      <c r="C671" s="345"/>
      <c r="D671" s="345"/>
      <c r="E671" s="827"/>
      <c r="F671" s="345"/>
    </row>
    <row r="672">
      <c r="A672" s="345"/>
      <c r="B672" s="345"/>
      <c r="C672" s="345"/>
      <c r="D672" s="345"/>
      <c r="E672" s="827"/>
      <c r="F672" s="345"/>
    </row>
    <row r="673">
      <c r="A673" s="345"/>
      <c r="B673" s="345"/>
      <c r="C673" s="345"/>
      <c r="D673" s="345"/>
      <c r="E673" s="827"/>
      <c r="F673" s="345"/>
    </row>
    <row r="674">
      <c r="A674" s="345"/>
      <c r="B674" s="345"/>
      <c r="C674" s="345"/>
      <c r="D674" s="345"/>
      <c r="E674" s="827"/>
      <c r="F674" s="345"/>
    </row>
    <row r="675">
      <c r="A675" s="345"/>
      <c r="B675" s="345"/>
      <c r="C675" s="345"/>
      <c r="D675" s="345"/>
      <c r="E675" s="827"/>
      <c r="F675" s="345"/>
    </row>
    <row r="676">
      <c r="A676" s="345"/>
      <c r="B676" s="345"/>
      <c r="C676" s="345"/>
      <c r="D676" s="345"/>
      <c r="E676" s="827"/>
      <c r="F676" s="345"/>
    </row>
    <row r="677">
      <c r="A677" s="345"/>
      <c r="B677" s="345"/>
      <c r="C677" s="345"/>
      <c r="D677" s="345"/>
      <c r="E677" s="827"/>
      <c r="F677" s="345"/>
    </row>
    <row r="678">
      <c r="A678" s="345"/>
      <c r="B678" s="345"/>
      <c r="C678" s="345"/>
      <c r="D678" s="345"/>
      <c r="E678" s="827"/>
      <c r="F678" s="345"/>
    </row>
    <row r="679">
      <c r="A679" s="345"/>
      <c r="B679" s="345"/>
      <c r="C679" s="345"/>
      <c r="D679" s="345"/>
      <c r="E679" s="827"/>
      <c r="F679" s="345"/>
    </row>
    <row r="680">
      <c r="A680" s="345"/>
      <c r="B680" s="345"/>
      <c r="C680" s="345"/>
      <c r="D680" s="345"/>
      <c r="E680" s="827"/>
      <c r="F680" s="345"/>
    </row>
    <row r="681">
      <c r="A681" s="345"/>
      <c r="B681" s="345"/>
      <c r="C681" s="345"/>
      <c r="D681" s="345"/>
      <c r="E681" s="827"/>
      <c r="F681" s="345"/>
    </row>
    <row r="682">
      <c r="A682" s="345"/>
      <c r="B682" s="345"/>
      <c r="C682" s="345"/>
      <c r="D682" s="345"/>
      <c r="E682" s="827"/>
      <c r="F682" s="345"/>
    </row>
    <row r="683">
      <c r="A683" s="345"/>
      <c r="B683" s="345"/>
      <c r="C683" s="345"/>
      <c r="D683" s="345"/>
      <c r="E683" s="827"/>
      <c r="F683" s="345"/>
    </row>
    <row r="684">
      <c r="A684" s="345"/>
      <c r="B684" s="345"/>
      <c r="C684" s="345"/>
      <c r="D684" s="345"/>
      <c r="E684" s="827"/>
      <c r="F684" s="345"/>
    </row>
    <row r="685">
      <c r="A685" s="345"/>
      <c r="B685" s="345"/>
      <c r="C685" s="345"/>
      <c r="D685" s="345"/>
      <c r="E685" s="827"/>
      <c r="F685" s="345"/>
    </row>
    <row r="686">
      <c r="A686" s="345"/>
      <c r="B686" s="345"/>
      <c r="C686" s="345"/>
      <c r="D686" s="345"/>
      <c r="E686" s="827"/>
      <c r="F686" s="345"/>
    </row>
    <row r="687">
      <c r="A687" s="345"/>
      <c r="B687" s="345"/>
      <c r="C687" s="345"/>
      <c r="D687" s="345"/>
      <c r="E687" s="827"/>
      <c r="F687" s="345"/>
    </row>
    <row r="688">
      <c r="A688" s="345"/>
      <c r="B688" s="345"/>
      <c r="C688" s="345"/>
      <c r="D688" s="345"/>
      <c r="E688" s="827"/>
      <c r="F688" s="345"/>
    </row>
    <row r="689">
      <c r="A689" s="345"/>
      <c r="B689" s="345"/>
      <c r="C689" s="345"/>
      <c r="D689" s="345"/>
      <c r="E689" s="827"/>
      <c r="F689" s="345"/>
    </row>
    <row r="690">
      <c r="A690" s="345"/>
      <c r="B690" s="345"/>
      <c r="C690" s="345"/>
      <c r="D690" s="345"/>
      <c r="E690" s="827"/>
      <c r="F690" s="345"/>
    </row>
    <row r="691">
      <c r="A691" s="345"/>
      <c r="B691" s="345"/>
      <c r="C691" s="345"/>
      <c r="D691" s="345"/>
      <c r="E691" s="827"/>
      <c r="F691" s="345"/>
    </row>
    <row r="692">
      <c r="A692" s="345"/>
      <c r="B692" s="345"/>
      <c r="C692" s="345"/>
      <c r="D692" s="345"/>
      <c r="E692" s="827"/>
      <c r="F692" s="345"/>
    </row>
    <row r="693">
      <c r="A693" s="345"/>
      <c r="B693" s="345"/>
      <c r="C693" s="345"/>
      <c r="D693" s="345"/>
      <c r="E693" s="827"/>
      <c r="F693" s="345"/>
    </row>
    <row r="694">
      <c r="A694" s="345"/>
      <c r="B694" s="345"/>
      <c r="C694" s="345"/>
      <c r="D694" s="345"/>
      <c r="E694" s="827"/>
      <c r="F694" s="345"/>
    </row>
    <row r="695">
      <c r="A695" s="345"/>
      <c r="B695" s="345"/>
      <c r="C695" s="345"/>
      <c r="D695" s="345"/>
      <c r="E695" s="827"/>
      <c r="F695" s="345"/>
    </row>
    <row r="696">
      <c r="A696" s="345"/>
      <c r="B696" s="345"/>
      <c r="C696" s="345"/>
      <c r="D696" s="345"/>
      <c r="E696" s="827"/>
      <c r="F696" s="345"/>
    </row>
    <row r="697">
      <c r="A697" s="345"/>
      <c r="B697" s="345"/>
      <c r="C697" s="345"/>
      <c r="D697" s="345"/>
      <c r="E697" s="827"/>
      <c r="F697" s="345"/>
    </row>
    <row r="698">
      <c r="A698" s="345"/>
      <c r="B698" s="345"/>
      <c r="C698" s="345"/>
      <c r="D698" s="345"/>
      <c r="E698" s="827"/>
      <c r="F698" s="345"/>
    </row>
    <row r="699">
      <c r="A699" s="345"/>
      <c r="B699" s="345"/>
      <c r="C699" s="345"/>
      <c r="D699" s="345"/>
      <c r="E699" s="827"/>
      <c r="F699" s="345"/>
    </row>
    <row r="700">
      <c r="A700" s="345"/>
      <c r="B700" s="345"/>
      <c r="C700" s="345"/>
      <c r="D700" s="345"/>
      <c r="E700" s="827"/>
      <c r="F700" s="345"/>
    </row>
    <row r="701">
      <c r="A701" s="345"/>
      <c r="B701" s="345"/>
      <c r="C701" s="345"/>
      <c r="D701" s="345"/>
      <c r="E701" s="827"/>
      <c r="F701" s="345"/>
    </row>
    <row r="702">
      <c r="A702" s="345"/>
      <c r="B702" s="345"/>
      <c r="C702" s="345"/>
      <c r="D702" s="345"/>
      <c r="E702" s="827"/>
      <c r="F702" s="345"/>
    </row>
    <row r="703">
      <c r="A703" s="345"/>
      <c r="B703" s="345"/>
      <c r="C703" s="345"/>
      <c r="D703" s="345"/>
      <c r="E703" s="827"/>
      <c r="F703" s="345"/>
    </row>
    <row r="704">
      <c r="A704" s="345"/>
      <c r="B704" s="345"/>
      <c r="C704" s="345"/>
      <c r="D704" s="345"/>
      <c r="E704" s="827"/>
      <c r="F704" s="345"/>
    </row>
    <row r="705">
      <c r="A705" s="345"/>
      <c r="B705" s="345"/>
      <c r="C705" s="345"/>
      <c r="D705" s="345"/>
      <c r="E705" s="827"/>
      <c r="F705" s="345"/>
    </row>
    <row r="706">
      <c r="A706" s="345"/>
      <c r="B706" s="345"/>
      <c r="C706" s="345"/>
      <c r="D706" s="345"/>
      <c r="E706" s="827"/>
      <c r="F706" s="345"/>
    </row>
    <row r="707">
      <c r="A707" s="345"/>
      <c r="B707" s="345"/>
      <c r="C707" s="345"/>
      <c r="D707" s="345"/>
      <c r="E707" s="827"/>
      <c r="F707" s="345"/>
    </row>
    <row r="708">
      <c r="A708" s="345"/>
      <c r="B708" s="345"/>
      <c r="C708" s="345"/>
      <c r="D708" s="345"/>
      <c r="E708" s="827"/>
      <c r="F708" s="345"/>
    </row>
    <row r="709">
      <c r="A709" s="345"/>
      <c r="B709" s="345"/>
      <c r="C709" s="345"/>
      <c r="D709" s="345"/>
      <c r="E709" s="827"/>
      <c r="F709" s="345"/>
    </row>
    <row r="710">
      <c r="A710" s="345"/>
      <c r="B710" s="345"/>
      <c r="C710" s="345"/>
      <c r="D710" s="345"/>
      <c r="E710" s="827"/>
      <c r="F710" s="345"/>
    </row>
    <row r="711">
      <c r="A711" s="345"/>
      <c r="B711" s="345"/>
      <c r="C711" s="345"/>
      <c r="D711" s="345"/>
      <c r="E711" s="827"/>
      <c r="F711" s="345"/>
    </row>
    <row r="712">
      <c r="A712" s="345"/>
      <c r="B712" s="345"/>
      <c r="C712" s="345"/>
      <c r="D712" s="345"/>
      <c r="E712" s="827"/>
      <c r="F712" s="345"/>
    </row>
    <row r="713">
      <c r="A713" s="345"/>
      <c r="B713" s="345"/>
      <c r="C713" s="345"/>
      <c r="D713" s="345"/>
      <c r="E713" s="827"/>
      <c r="F713" s="345"/>
    </row>
    <row r="714">
      <c r="A714" s="345"/>
      <c r="B714" s="345"/>
      <c r="C714" s="345"/>
      <c r="D714" s="345"/>
      <c r="E714" s="827"/>
      <c r="F714" s="345"/>
    </row>
    <row r="715">
      <c r="A715" s="345"/>
      <c r="B715" s="345"/>
      <c r="C715" s="345"/>
      <c r="D715" s="345"/>
      <c r="E715" s="827"/>
      <c r="F715" s="345"/>
    </row>
    <row r="716">
      <c r="A716" s="345"/>
      <c r="B716" s="345"/>
      <c r="C716" s="345"/>
      <c r="D716" s="345"/>
      <c r="E716" s="827"/>
      <c r="F716" s="345"/>
    </row>
    <row r="717">
      <c r="A717" s="345"/>
      <c r="B717" s="345"/>
      <c r="C717" s="345"/>
      <c r="D717" s="345"/>
      <c r="E717" s="827"/>
      <c r="F717" s="345"/>
    </row>
    <row r="718">
      <c r="A718" s="345"/>
      <c r="B718" s="345"/>
      <c r="C718" s="345"/>
      <c r="D718" s="345"/>
      <c r="E718" s="827"/>
      <c r="F718" s="345"/>
    </row>
    <row r="719">
      <c r="A719" s="345"/>
      <c r="B719" s="345"/>
      <c r="C719" s="345"/>
      <c r="D719" s="345"/>
      <c r="E719" s="827"/>
      <c r="F719" s="345"/>
    </row>
    <row r="720">
      <c r="A720" s="345"/>
      <c r="B720" s="345"/>
      <c r="C720" s="345"/>
      <c r="D720" s="345"/>
      <c r="E720" s="827"/>
      <c r="F720" s="345"/>
    </row>
    <row r="721">
      <c r="A721" s="345"/>
      <c r="B721" s="345"/>
      <c r="C721" s="345"/>
      <c r="D721" s="345"/>
      <c r="E721" s="827"/>
      <c r="F721" s="345"/>
    </row>
    <row r="722">
      <c r="A722" s="345"/>
      <c r="B722" s="345"/>
      <c r="C722" s="345"/>
      <c r="D722" s="345"/>
      <c r="E722" s="827"/>
      <c r="F722" s="345"/>
    </row>
    <row r="723">
      <c r="A723" s="345"/>
      <c r="B723" s="345"/>
      <c r="C723" s="345"/>
      <c r="D723" s="345"/>
      <c r="E723" s="827"/>
      <c r="F723" s="345"/>
    </row>
    <row r="724">
      <c r="A724" s="345"/>
      <c r="B724" s="345"/>
      <c r="C724" s="345"/>
      <c r="D724" s="345"/>
      <c r="E724" s="827"/>
      <c r="F724" s="345"/>
    </row>
    <row r="725">
      <c r="A725" s="345"/>
      <c r="B725" s="345"/>
      <c r="C725" s="345"/>
      <c r="D725" s="345"/>
      <c r="E725" s="827"/>
      <c r="F725" s="345"/>
    </row>
    <row r="726">
      <c r="A726" s="345"/>
      <c r="B726" s="345"/>
      <c r="C726" s="345"/>
      <c r="D726" s="345"/>
      <c r="E726" s="827"/>
      <c r="F726" s="345"/>
    </row>
    <row r="727">
      <c r="A727" s="345"/>
      <c r="B727" s="345"/>
      <c r="C727" s="345"/>
      <c r="D727" s="345"/>
      <c r="E727" s="827"/>
      <c r="F727" s="345"/>
    </row>
    <row r="728">
      <c r="A728" s="345"/>
      <c r="B728" s="345"/>
      <c r="C728" s="345"/>
      <c r="D728" s="345"/>
      <c r="E728" s="827"/>
      <c r="F728" s="345"/>
    </row>
    <row r="729">
      <c r="A729" s="345"/>
      <c r="B729" s="345"/>
      <c r="C729" s="345"/>
      <c r="D729" s="345"/>
      <c r="E729" s="827"/>
      <c r="F729" s="345"/>
    </row>
    <row r="730">
      <c r="A730" s="345"/>
      <c r="B730" s="345"/>
      <c r="C730" s="345"/>
      <c r="D730" s="345"/>
      <c r="E730" s="827"/>
      <c r="F730" s="345"/>
    </row>
    <row r="731">
      <c r="A731" s="345"/>
      <c r="B731" s="345"/>
      <c r="C731" s="345"/>
      <c r="D731" s="345"/>
      <c r="E731" s="827"/>
      <c r="F731" s="345"/>
    </row>
    <row r="732">
      <c r="A732" s="345"/>
      <c r="B732" s="345"/>
      <c r="C732" s="345"/>
      <c r="D732" s="345"/>
      <c r="E732" s="827"/>
      <c r="F732" s="345"/>
    </row>
    <row r="733">
      <c r="A733" s="345"/>
      <c r="B733" s="345"/>
      <c r="C733" s="345"/>
      <c r="D733" s="345"/>
      <c r="E733" s="827"/>
      <c r="F733" s="345"/>
    </row>
    <row r="734">
      <c r="A734" s="345"/>
      <c r="B734" s="345"/>
      <c r="C734" s="345"/>
      <c r="D734" s="345"/>
      <c r="E734" s="827"/>
      <c r="F734" s="345"/>
    </row>
    <row r="735">
      <c r="A735" s="345"/>
      <c r="B735" s="345"/>
      <c r="C735" s="345"/>
      <c r="D735" s="345"/>
      <c r="E735" s="827"/>
      <c r="F735" s="345"/>
    </row>
    <row r="736">
      <c r="A736" s="345"/>
      <c r="B736" s="345"/>
      <c r="C736" s="345"/>
      <c r="D736" s="345"/>
      <c r="E736" s="827"/>
      <c r="F736" s="345"/>
    </row>
    <row r="737">
      <c r="A737" s="345"/>
      <c r="B737" s="345"/>
      <c r="C737" s="345"/>
      <c r="D737" s="345"/>
      <c r="E737" s="827"/>
      <c r="F737" s="345"/>
    </row>
    <row r="738">
      <c r="A738" s="345"/>
      <c r="B738" s="345"/>
      <c r="C738" s="345"/>
      <c r="D738" s="345"/>
      <c r="E738" s="827"/>
      <c r="F738" s="345"/>
    </row>
    <row r="739">
      <c r="A739" s="345"/>
      <c r="B739" s="345"/>
      <c r="C739" s="345"/>
      <c r="D739" s="345"/>
      <c r="E739" s="827"/>
      <c r="F739" s="345"/>
    </row>
    <row r="740">
      <c r="A740" s="345"/>
      <c r="B740" s="345"/>
      <c r="C740" s="345"/>
      <c r="D740" s="345"/>
      <c r="E740" s="827"/>
      <c r="F740" s="345"/>
    </row>
    <row r="741">
      <c r="A741" s="345"/>
      <c r="B741" s="345"/>
      <c r="C741" s="345"/>
      <c r="D741" s="345"/>
      <c r="E741" s="827"/>
      <c r="F741" s="345"/>
    </row>
    <row r="742">
      <c r="A742" s="345"/>
      <c r="B742" s="345"/>
      <c r="C742" s="345"/>
      <c r="D742" s="345"/>
      <c r="E742" s="827"/>
      <c r="F742" s="345"/>
    </row>
    <row r="743">
      <c r="A743" s="345"/>
      <c r="B743" s="345"/>
      <c r="C743" s="345"/>
      <c r="D743" s="345"/>
      <c r="E743" s="827"/>
      <c r="F743" s="345"/>
    </row>
    <row r="744">
      <c r="A744" s="345"/>
      <c r="B744" s="345"/>
      <c r="C744" s="345"/>
      <c r="D744" s="345"/>
      <c r="E744" s="827"/>
      <c r="F744" s="345"/>
    </row>
    <row r="745">
      <c r="A745" s="345"/>
      <c r="B745" s="345"/>
      <c r="C745" s="345"/>
      <c r="D745" s="345"/>
      <c r="E745" s="827"/>
      <c r="F745" s="345"/>
    </row>
    <row r="746">
      <c r="A746" s="345"/>
      <c r="B746" s="345"/>
      <c r="C746" s="345"/>
      <c r="D746" s="345"/>
      <c r="E746" s="827"/>
      <c r="F746" s="345"/>
    </row>
    <row r="747">
      <c r="A747" s="345"/>
      <c r="B747" s="345"/>
      <c r="C747" s="345"/>
      <c r="D747" s="345"/>
      <c r="E747" s="827"/>
      <c r="F747" s="345"/>
    </row>
    <row r="748">
      <c r="A748" s="345"/>
      <c r="B748" s="345"/>
      <c r="C748" s="345"/>
      <c r="D748" s="345"/>
      <c r="E748" s="827"/>
      <c r="F748" s="345"/>
    </row>
    <row r="749">
      <c r="A749" s="345"/>
      <c r="B749" s="345"/>
      <c r="C749" s="345"/>
      <c r="D749" s="345"/>
      <c r="E749" s="827"/>
      <c r="F749" s="345"/>
    </row>
    <row r="750">
      <c r="A750" s="345"/>
      <c r="B750" s="345"/>
      <c r="C750" s="345"/>
      <c r="D750" s="345"/>
      <c r="E750" s="827"/>
      <c r="F750" s="345"/>
    </row>
    <row r="751">
      <c r="A751" s="345"/>
      <c r="B751" s="345"/>
      <c r="C751" s="345"/>
      <c r="D751" s="345"/>
      <c r="E751" s="827"/>
      <c r="F751" s="345"/>
    </row>
    <row r="752">
      <c r="A752" s="345"/>
      <c r="B752" s="345"/>
      <c r="C752" s="345"/>
      <c r="D752" s="345"/>
      <c r="E752" s="827"/>
      <c r="F752" s="345"/>
    </row>
    <row r="753">
      <c r="A753" s="345"/>
      <c r="B753" s="345"/>
      <c r="C753" s="345"/>
      <c r="D753" s="345"/>
      <c r="E753" s="827"/>
      <c r="F753" s="345"/>
    </row>
    <row r="754">
      <c r="A754" s="345"/>
      <c r="B754" s="345"/>
      <c r="C754" s="345"/>
      <c r="D754" s="345"/>
      <c r="E754" s="827"/>
      <c r="F754" s="345"/>
    </row>
    <row r="755">
      <c r="A755" s="345"/>
      <c r="B755" s="345"/>
      <c r="C755" s="345"/>
      <c r="D755" s="345"/>
      <c r="E755" s="827"/>
      <c r="F755" s="345"/>
    </row>
    <row r="756">
      <c r="A756" s="345"/>
      <c r="B756" s="345"/>
      <c r="C756" s="345"/>
      <c r="D756" s="345"/>
      <c r="E756" s="827"/>
      <c r="F756" s="345"/>
    </row>
    <row r="757">
      <c r="A757" s="345"/>
      <c r="B757" s="345"/>
      <c r="C757" s="345"/>
      <c r="D757" s="345"/>
      <c r="E757" s="827"/>
      <c r="F757" s="345"/>
    </row>
    <row r="758">
      <c r="A758" s="345"/>
      <c r="B758" s="345"/>
      <c r="C758" s="345"/>
      <c r="D758" s="345"/>
      <c r="E758" s="827"/>
      <c r="F758" s="345"/>
    </row>
    <row r="759">
      <c r="A759" s="345"/>
      <c r="B759" s="345"/>
      <c r="C759" s="345"/>
      <c r="D759" s="345"/>
      <c r="E759" s="827"/>
      <c r="F759" s="345"/>
    </row>
    <row r="760">
      <c r="A760" s="345"/>
      <c r="B760" s="345"/>
      <c r="C760" s="345"/>
      <c r="D760" s="345"/>
      <c r="E760" s="827"/>
      <c r="F760" s="345"/>
    </row>
    <row r="761">
      <c r="A761" s="345"/>
      <c r="B761" s="345"/>
      <c r="C761" s="345"/>
      <c r="D761" s="345"/>
      <c r="E761" s="827"/>
      <c r="F761" s="345"/>
    </row>
    <row r="762">
      <c r="A762" s="345"/>
      <c r="B762" s="345"/>
      <c r="C762" s="345"/>
      <c r="D762" s="345"/>
      <c r="E762" s="827"/>
      <c r="F762" s="345"/>
    </row>
    <row r="763">
      <c r="A763" s="345"/>
      <c r="B763" s="345"/>
      <c r="C763" s="345"/>
      <c r="D763" s="345"/>
      <c r="E763" s="827"/>
      <c r="F763" s="345"/>
    </row>
    <row r="764">
      <c r="A764" s="345"/>
      <c r="B764" s="345"/>
      <c r="C764" s="345"/>
      <c r="D764" s="345"/>
      <c r="E764" s="827"/>
      <c r="F764" s="345"/>
    </row>
    <row r="765">
      <c r="A765" s="345"/>
      <c r="B765" s="345"/>
      <c r="C765" s="345"/>
      <c r="D765" s="345"/>
      <c r="E765" s="827"/>
      <c r="F765" s="345"/>
    </row>
    <row r="766">
      <c r="A766" s="345"/>
      <c r="B766" s="345"/>
      <c r="C766" s="345"/>
      <c r="D766" s="345"/>
      <c r="E766" s="827"/>
      <c r="F766" s="345"/>
    </row>
    <row r="767">
      <c r="A767" s="345"/>
      <c r="B767" s="345"/>
      <c r="C767" s="345"/>
      <c r="D767" s="345"/>
      <c r="E767" s="827"/>
      <c r="F767" s="345"/>
    </row>
    <row r="768">
      <c r="A768" s="345"/>
      <c r="B768" s="345"/>
      <c r="C768" s="345"/>
      <c r="D768" s="345"/>
      <c r="E768" s="827"/>
      <c r="F768" s="345"/>
    </row>
    <row r="769">
      <c r="A769" s="345"/>
      <c r="B769" s="345"/>
      <c r="C769" s="345"/>
      <c r="D769" s="345"/>
      <c r="E769" s="827"/>
      <c r="F769" s="345"/>
    </row>
    <row r="770">
      <c r="A770" s="345"/>
      <c r="B770" s="345"/>
      <c r="C770" s="345"/>
      <c r="D770" s="345"/>
      <c r="E770" s="827"/>
      <c r="F770" s="345"/>
    </row>
    <row r="771">
      <c r="A771" s="345"/>
      <c r="B771" s="345"/>
      <c r="C771" s="345"/>
      <c r="D771" s="345"/>
      <c r="E771" s="827"/>
      <c r="F771" s="345"/>
    </row>
    <row r="772">
      <c r="A772" s="345"/>
      <c r="B772" s="345"/>
      <c r="C772" s="345"/>
      <c r="D772" s="345"/>
      <c r="E772" s="827"/>
      <c r="F772" s="345"/>
    </row>
    <row r="773">
      <c r="A773" s="345"/>
      <c r="B773" s="345"/>
      <c r="C773" s="345"/>
      <c r="D773" s="345"/>
      <c r="E773" s="827"/>
      <c r="F773" s="345"/>
    </row>
    <row r="774">
      <c r="A774" s="345"/>
      <c r="B774" s="345"/>
      <c r="C774" s="345"/>
      <c r="D774" s="345"/>
      <c r="E774" s="827"/>
      <c r="F774" s="345"/>
    </row>
    <row r="775">
      <c r="A775" s="345"/>
      <c r="B775" s="345"/>
      <c r="C775" s="345"/>
      <c r="D775" s="345"/>
      <c r="E775" s="827"/>
      <c r="F775" s="345"/>
    </row>
    <row r="776">
      <c r="A776" s="345"/>
      <c r="B776" s="345"/>
      <c r="C776" s="345"/>
      <c r="D776" s="345"/>
      <c r="E776" s="827"/>
      <c r="F776" s="345"/>
    </row>
    <row r="777">
      <c r="A777" s="345"/>
      <c r="B777" s="345"/>
      <c r="C777" s="345"/>
      <c r="D777" s="345"/>
      <c r="E777" s="827"/>
      <c r="F777" s="345"/>
    </row>
    <row r="778">
      <c r="A778" s="345"/>
      <c r="B778" s="345"/>
      <c r="C778" s="345"/>
      <c r="D778" s="345"/>
      <c r="E778" s="827"/>
      <c r="F778" s="345"/>
    </row>
    <row r="779">
      <c r="A779" s="345"/>
      <c r="B779" s="345"/>
      <c r="C779" s="345"/>
      <c r="D779" s="345"/>
      <c r="E779" s="827"/>
      <c r="F779" s="345"/>
    </row>
    <row r="780">
      <c r="A780" s="345"/>
      <c r="B780" s="345"/>
      <c r="C780" s="345"/>
      <c r="D780" s="345"/>
      <c r="E780" s="827"/>
      <c r="F780" s="345"/>
    </row>
    <row r="781">
      <c r="A781" s="345"/>
      <c r="B781" s="345"/>
      <c r="C781" s="345"/>
      <c r="D781" s="345"/>
      <c r="E781" s="827"/>
      <c r="F781" s="345"/>
    </row>
    <row r="782">
      <c r="A782" s="345"/>
      <c r="B782" s="345"/>
      <c r="C782" s="345"/>
      <c r="D782" s="345"/>
      <c r="E782" s="827"/>
      <c r="F782" s="345"/>
    </row>
    <row r="783">
      <c r="A783" s="345"/>
      <c r="B783" s="345"/>
      <c r="C783" s="345"/>
      <c r="D783" s="345"/>
      <c r="E783" s="827"/>
      <c r="F783" s="345"/>
    </row>
    <row r="784">
      <c r="A784" s="345"/>
      <c r="B784" s="345"/>
      <c r="C784" s="345"/>
      <c r="D784" s="345"/>
      <c r="E784" s="827"/>
      <c r="F784" s="345"/>
    </row>
    <row r="785">
      <c r="A785" s="345"/>
      <c r="B785" s="345"/>
      <c r="C785" s="345"/>
      <c r="D785" s="345"/>
      <c r="E785" s="827"/>
      <c r="F785" s="345"/>
    </row>
    <row r="786">
      <c r="A786" s="345"/>
      <c r="B786" s="345"/>
      <c r="C786" s="345"/>
      <c r="D786" s="345"/>
      <c r="E786" s="827"/>
      <c r="F786" s="345"/>
    </row>
    <row r="787">
      <c r="A787" s="345"/>
      <c r="B787" s="345"/>
      <c r="C787" s="345"/>
      <c r="D787" s="345"/>
      <c r="E787" s="827"/>
      <c r="F787" s="345"/>
    </row>
    <row r="788">
      <c r="A788" s="345"/>
      <c r="B788" s="345"/>
      <c r="C788" s="345"/>
      <c r="D788" s="345"/>
      <c r="E788" s="827"/>
      <c r="F788" s="345"/>
    </row>
    <row r="789">
      <c r="A789" s="345"/>
      <c r="B789" s="345"/>
      <c r="C789" s="345"/>
      <c r="D789" s="345"/>
      <c r="E789" s="827"/>
      <c r="F789" s="345"/>
    </row>
    <row r="790">
      <c r="A790" s="345"/>
      <c r="B790" s="345"/>
      <c r="C790" s="345"/>
      <c r="D790" s="345"/>
      <c r="E790" s="827"/>
      <c r="F790" s="345"/>
    </row>
    <row r="791">
      <c r="A791" s="345"/>
      <c r="B791" s="345"/>
      <c r="C791" s="345"/>
      <c r="D791" s="345"/>
      <c r="E791" s="827"/>
      <c r="F791" s="345"/>
    </row>
    <row r="792">
      <c r="A792" s="345"/>
      <c r="B792" s="345"/>
      <c r="C792" s="345"/>
      <c r="D792" s="345"/>
      <c r="E792" s="827"/>
      <c r="F792" s="345"/>
    </row>
    <row r="793">
      <c r="A793" s="345"/>
      <c r="B793" s="345"/>
      <c r="C793" s="345"/>
      <c r="D793" s="345"/>
      <c r="E793" s="827"/>
      <c r="F793" s="345"/>
    </row>
    <row r="794">
      <c r="A794" s="345"/>
      <c r="B794" s="345"/>
      <c r="C794" s="345"/>
      <c r="D794" s="345"/>
      <c r="E794" s="827"/>
      <c r="F794" s="345"/>
    </row>
    <row r="795">
      <c r="A795" s="345"/>
      <c r="B795" s="345"/>
      <c r="C795" s="345"/>
      <c r="D795" s="345"/>
      <c r="E795" s="827"/>
      <c r="F795" s="345"/>
    </row>
    <row r="796">
      <c r="A796" s="345"/>
      <c r="B796" s="345"/>
      <c r="C796" s="345"/>
      <c r="D796" s="345"/>
      <c r="E796" s="827"/>
      <c r="F796" s="345"/>
    </row>
    <row r="797">
      <c r="A797" s="345"/>
      <c r="B797" s="345"/>
      <c r="C797" s="345"/>
      <c r="D797" s="345"/>
      <c r="E797" s="827"/>
      <c r="F797" s="345"/>
    </row>
    <row r="798">
      <c r="A798" s="345"/>
      <c r="B798" s="345"/>
      <c r="C798" s="345"/>
      <c r="D798" s="345"/>
      <c r="E798" s="827"/>
      <c r="F798" s="345"/>
    </row>
    <row r="799">
      <c r="A799" s="345"/>
      <c r="B799" s="345"/>
      <c r="C799" s="345"/>
      <c r="D799" s="345"/>
      <c r="E799" s="827"/>
      <c r="F799" s="345"/>
    </row>
    <row r="800">
      <c r="A800" s="345"/>
      <c r="B800" s="345"/>
      <c r="C800" s="345"/>
      <c r="D800" s="345"/>
      <c r="E800" s="827"/>
      <c r="F800" s="345"/>
    </row>
    <row r="801">
      <c r="A801" s="345"/>
      <c r="B801" s="345"/>
      <c r="C801" s="345"/>
      <c r="D801" s="345"/>
      <c r="E801" s="827"/>
      <c r="F801" s="345"/>
    </row>
    <row r="802">
      <c r="A802" s="345"/>
      <c r="B802" s="345"/>
      <c r="C802" s="345"/>
      <c r="D802" s="345"/>
      <c r="E802" s="827"/>
      <c r="F802" s="345"/>
    </row>
    <row r="803">
      <c r="A803" s="345"/>
      <c r="B803" s="345"/>
      <c r="C803" s="345"/>
      <c r="D803" s="345"/>
      <c r="E803" s="827"/>
      <c r="F803" s="345"/>
    </row>
    <row r="804">
      <c r="A804" s="345"/>
      <c r="B804" s="345"/>
      <c r="C804" s="345"/>
      <c r="D804" s="345"/>
      <c r="E804" s="827"/>
      <c r="F804" s="345"/>
    </row>
    <row r="805">
      <c r="A805" s="345"/>
      <c r="B805" s="345"/>
      <c r="C805" s="345"/>
      <c r="D805" s="345"/>
      <c r="E805" s="827"/>
      <c r="F805" s="345"/>
    </row>
    <row r="806">
      <c r="A806" s="345"/>
      <c r="B806" s="345"/>
      <c r="C806" s="345"/>
      <c r="D806" s="345"/>
      <c r="E806" s="827"/>
      <c r="F806" s="345"/>
    </row>
    <row r="807">
      <c r="A807" s="345"/>
      <c r="B807" s="345"/>
      <c r="C807" s="345"/>
      <c r="D807" s="345"/>
      <c r="E807" s="827"/>
      <c r="F807" s="345"/>
    </row>
    <row r="808">
      <c r="A808" s="345"/>
      <c r="B808" s="345"/>
      <c r="C808" s="345"/>
      <c r="D808" s="345"/>
      <c r="E808" s="827"/>
      <c r="F808" s="345"/>
    </row>
    <row r="809">
      <c r="A809" s="345"/>
      <c r="B809" s="345"/>
      <c r="C809" s="345"/>
      <c r="D809" s="345"/>
      <c r="E809" s="827"/>
      <c r="F809" s="345"/>
    </row>
    <row r="810">
      <c r="A810" s="345"/>
      <c r="B810" s="345"/>
      <c r="C810" s="345"/>
      <c r="D810" s="345"/>
      <c r="E810" s="827"/>
      <c r="F810" s="345"/>
    </row>
    <row r="811">
      <c r="A811" s="345"/>
      <c r="B811" s="345"/>
      <c r="C811" s="345"/>
      <c r="D811" s="345"/>
      <c r="E811" s="827"/>
      <c r="F811" s="345"/>
    </row>
    <row r="812">
      <c r="A812" s="345"/>
      <c r="B812" s="345"/>
      <c r="C812" s="345"/>
      <c r="D812" s="345"/>
      <c r="E812" s="827"/>
      <c r="F812" s="345"/>
    </row>
    <row r="813">
      <c r="A813" s="345"/>
      <c r="B813" s="345"/>
      <c r="C813" s="345"/>
      <c r="D813" s="345"/>
      <c r="E813" s="827"/>
      <c r="F813" s="345"/>
    </row>
    <row r="814">
      <c r="A814" s="345"/>
      <c r="B814" s="345"/>
      <c r="C814" s="345"/>
      <c r="D814" s="345"/>
      <c r="E814" s="827"/>
      <c r="F814" s="345"/>
    </row>
    <row r="815">
      <c r="A815" s="345"/>
      <c r="B815" s="345"/>
      <c r="C815" s="345"/>
      <c r="D815" s="345"/>
      <c r="E815" s="827"/>
      <c r="F815" s="345"/>
    </row>
  </sheetData>
  <autoFilter ref="$B$2:$F$189"/>
  <mergeCells count="2">
    <mergeCell ref="A1:G1"/>
    <mergeCell ref="E122:F122"/>
  </mergeCells>
  <conditionalFormatting sqref="A3:E322 F3:F61 G5:G246 F63:F322">
    <cfRule type="expression" dxfId="0" priority="1">
      <formula>$B3=TRUE</formula>
    </cfRule>
  </conditionalFormatting>
  <hyperlinks>
    <hyperlink r:id="rId1" ref="F6"/>
    <hyperlink r:id="rId2" ref="F12"/>
    <hyperlink r:id="rId3" ref="F15"/>
    <hyperlink r:id="rId4" ref="E18"/>
    <hyperlink r:id="rId5" ref="F18"/>
    <hyperlink r:id="rId6" ref="E19"/>
    <hyperlink r:id="rId7" ref="F27"/>
    <hyperlink r:id="rId8" ref="E31"/>
    <hyperlink r:id="rId9" ref="E32"/>
    <hyperlink r:id="rId10" ref="E36"/>
    <hyperlink r:id="rId11" ref="E37"/>
    <hyperlink r:id="rId12" ref="F41"/>
    <hyperlink r:id="rId13" ref="F43"/>
    <hyperlink r:id="rId14" ref="F44"/>
    <hyperlink r:id="rId15" ref="F47"/>
    <hyperlink r:id="rId16" ref="F48"/>
    <hyperlink r:id="rId17" ref="E50"/>
    <hyperlink r:id="rId18" ref="F52"/>
    <hyperlink r:id="rId19" ref="F53"/>
    <hyperlink r:id="rId20" ref="F62"/>
    <hyperlink r:id="rId21" ref="F63"/>
    <hyperlink r:id="rId22" ref="F64"/>
    <hyperlink r:id="rId23" ref="F70"/>
    <hyperlink r:id="rId24" ref="F78"/>
    <hyperlink r:id="rId25" ref="E79"/>
    <hyperlink r:id="rId26" ref="F82"/>
    <hyperlink r:id="rId27" ref="F84"/>
    <hyperlink r:id="rId28" ref="F88"/>
    <hyperlink r:id="rId29" ref="F90"/>
    <hyperlink r:id="rId30" ref="F93"/>
    <hyperlink r:id="rId31" location="inquiry_area" ref="F95"/>
    <hyperlink r:id="rId32" ref="F97"/>
    <hyperlink r:id="rId33" ref="F98"/>
    <hyperlink r:id="rId34" ref="F103"/>
    <hyperlink r:id="rId35" ref="F104"/>
    <hyperlink r:id="rId36" ref="F109"/>
    <hyperlink r:id="rId37" ref="F110"/>
    <hyperlink r:id="rId38" ref="F118"/>
    <hyperlink r:id="rId39" ref="F119"/>
    <hyperlink r:id="rId40" ref="E120"/>
    <hyperlink r:id="rId41" ref="F126"/>
    <hyperlink r:id="rId42" ref="F135"/>
    <hyperlink r:id="rId43" ref="F137"/>
    <hyperlink r:id="rId44" ref="F141"/>
    <hyperlink r:id="rId45" ref="F146"/>
    <hyperlink r:id="rId46" ref="C147"/>
    <hyperlink r:id="rId47" ref="F147"/>
    <hyperlink r:id="rId48" ref="F148"/>
    <hyperlink r:id="rId49" ref="F149"/>
    <hyperlink r:id="rId50" ref="F152"/>
    <hyperlink r:id="rId51" ref="F154"/>
    <hyperlink r:id="rId52" ref="F165"/>
    <hyperlink r:id="rId53" ref="C169"/>
    <hyperlink r:id="rId54" ref="F169"/>
    <hyperlink r:id="rId55" ref="F176"/>
    <hyperlink r:id="rId56" ref="F179"/>
    <hyperlink r:id="rId57" ref="F181"/>
    <hyperlink r:id="rId58" ref="F185"/>
    <hyperlink r:id="rId59" ref="F188"/>
    <hyperlink r:id="rId60" ref="E193"/>
    <hyperlink r:id="rId61" ref="F196"/>
    <hyperlink r:id="rId62" ref="F197"/>
    <hyperlink r:id="rId63" ref="E210"/>
    <hyperlink r:id="rId64" ref="F210"/>
    <hyperlink r:id="rId65" ref="F212"/>
  </hyperlinks>
  <drawing r:id="rId6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3.63"/>
    <col customWidth="1" min="3" max="3" width="33.75"/>
    <col customWidth="1" min="4" max="4" width="27.25"/>
    <col customWidth="1" min="5" max="5" width="20.63"/>
    <col customWidth="1" min="6" max="6" width="36.25"/>
    <col customWidth="1" min="7" max="7" width="35.5"/>
    <col customWidth="1" min="8" max="8" width="17.88"/>
  </cols>
  <sheetData>
    <row r="1">
      <c r="A1" s="828" t="s">
        <v>5861</v>
      </c>
      <c r="B1" s="53"/>
      <c r="C1" s="53"/>
      <c r="D1" s="53"/>
      <c r="E1" s="53"/>
      <c r="F1" s="53"/>
      <c r="G1" s="53"/>
      <c r="H1" s="53"/>
      <c r="I1" s="202"/>
      <c r="J1" s="829"/>
      <c r="K1" s="829"/>
      <c r="L1" s="829"/>
      <c r="M1" s="829"/>
      <c r="N1" s="829"/>
      <c r="O1" s="829"/>
      <c r="P1" s="829"/>
      <c r="Q1" s="829"/>
      <c r="R1" s="829"/>
      <c r="S1" s="829"/>
      <c r="T1" s="829"/>
      <c r="U1" s="829"/>
      <c r="V1" s="829"/>
      <c r="W1" s="829"/>
      <c r="X1" s="829"/>
      <c r="Y1" s="829"/>
      <c r="Z1" s="829"/>
    </row>
    <row r="2">
      <c r="A2" s="830"/>
      <c r="B2" s="831" t="s">
        <v>0</v>
      </c>
      <c r="C2" s="832" t="s">
        <v>1</v>
      </c>
      <c r="D2" s="831" t="s">
        <v>2</v>
      </c>
      <c r="E2" s="832" t="s">
        <v>3</v>
      </c>
      <c r="F2" s="832" t="s">
        <v>4</v>
      </c>
      <c r="G2" s="832" t="s">
        <v>5</v>
      </c>
      <c r="H2" s="831" t="s">
        <v>5862</v>
      </c>
      <c r="I2" s="831" t="s">
        <v>6</v>
      </c>
      <c r="J2" s="829"/>
      <c r="K2" s="829"/>
      <c r="L2" s="829"/>
      <c r="M2" s="829"/>
      <c r="N2" s="829"/>
      <c r="O2" s="829"/>
      <c r="P2" s="829"/>
      <c r="Q2" s="829"/>
      <c r="R2" s="829"/>
      <c r="S2" s="829"/>
      <c r="T2" s="829"/>
      <c r="U2" s="829"/>
      <c r="V2" s="829"/>
      <c r="W2" s="829"/>
      <c r="X2" s="829"/>
      <c r="Y2" s="829"/>
      <c r="Z2" s="829"/>
    </row>
    <row r="3">
      <c r="A3" s="833">
        <v>1.0</v>
      </c>
      <c r="B3" s="834" t="b">
        <v>0</v>
      </c>
      <c r="C3" s="835" t="s">
        <v>5863</v>
      </c>
      <c r="D3" s="836"/>
      <c r="E3" s="837" t="s">
        <v>5864</v>
      </c>
      <c r="F3" s="836"/>
      <c r="G3" s="836"/>
      <c r="H3" s="836"/>
      <c r="I3" s="836"/>
      <c r="J3" s="829"/>
      <c r="K3" s="829"/>
      <c r="L3" s="829"/>
      <c r="M3" s="829"/>
      <c r="N3" s="829"/>
      <c r="O3" s="829"/>
      <c r="P3" s="829"/>
      <c r="Q3" s="829"/>
      <c r="R3" s="829"/>
      <c r="S3" s="829"/>
      <c r="T3" s="829"/>
      <c r="U3" s="829"/>
      <c r="V3" s="829"/>
      <c r="W3" s="829"/>
      <c r="X3" s="829"/>
      <c r="Y3" s="829"/>
      <c r="Z3" s="829"/>
    </row>
    <row r="4">
      <c r="A4" s="833">
        <v>2.0</v>
      </c>
      <c r="B4" s="834" t="b">
        <v>0</v>
      </c>
      <c r="C4" s="838"/>
      <c r="D4" s="839"/>
      <c r="E4" s="840" t="s">
        <v>5865</v>
      </c>
      <c r="F4" s="839"/>
      <c r="G4" s="839"/>
      <c r="H4" s="836"/>
      <c r="I4" s="836"/>
      <c r="J4" s="829"/>
      <c r="K4" s="829"/>
      <c r="L4" s="829"/>
      <c r="M4" s="829"/>
      <c r="N4" s="829"/>
      <c r="O4" s="829"/>
      <c r="P4" s="829"/>
      <c r="Q4" s="829"/>
      <c r="R4" s="829"/>
      <c r="S4" s="829"/>
      <c r="T4" s="829"/>
      <c r="U4" s="829"/>
      <c r="V4" s="829"/>
      <c r="W4" s="829"/>
      <c r="X4" s="829"/>
      <c r="Y4" s="829"/>
      <c r="Z4" s="829"/>
    </row>
    <row r="5">
      <c r="A5" s="833">
        <v>3.0</v>
      </c>
      <c r="B5" s="834" t="b">
        <v>0</v>
      </c>
      <c r="C5" s="838"/>
      <c r="D5" s="836"/>
      <c r="E5" s="837" t="s">
        <v>5866</v>
      </c>
      <c r="F5" s="836"/>
      <c r="G5" s="836"/>
      <c r="H5" s="836"/>
      <c r="I5" s="836"/>
      <c r="J5" s="829"/>
      <c r="K5" s="829"/>
      <c r="L5" s="829"/>
      <c r="M5" s="829"/>
      <c r="N5" s="829"/>
      <c r="O5" s="829"/>
      <c r="P5" s="829"/>
      <c r="Q5" s="829"/>
      <c r="R5" s="829"/>
      <c r="S5" s="829"/>
      <c r="T5" s="829"/>
      <c r="U5" s="829"/>
      <c r="V5" s="829"/>
      <c r="W5" s="829"/>
      <c r="X5" s="829"/>
      <c r="Y5" s="829"/>
      <c r="Z5" s="829"/>
    </row>
    <row r="6">
      <c r="A6" s="833">
        <v>4.0</v>
      </c>
      <c r="B6" s="834" t="b">
        <v>0</v>
      </c>
      <c r="C6" s="835" t="s">
        <v>5867</v>
      </c>
      <c r="D6" s="839"/>
      <c r="E6" s="839"/>
      <c r="F6" s="841" t="s">
        <v>5868</v>
      </c>
      <c r="G6" s="839"/>
      <c r="H6" s="836"/>
      <c r="I6" s="836"/>
      <c r="J6" s="829"/>
      <c r="K6" s="829"/>
      <c r="L6" s="829"/>
      <c r="M6" s="829"/>
      <c r="N6" s="829"/>
      <c r="O6" s="829"/>
      <c r="P6" s="829"/>
      <c r="Q6" s="829"/>
      <c r="R6" s="829"/>
      <c r="S6" s="829"/>
      <c r="T6" s="829"/>
      <c r="U6" s="829"/>
      <c r="V6" s="829"/>
      <c r="W6" s="829"/>
      <c r="X6" s="829"/>
      <c r="Y6" s="829"/>
      <c r="Z6" s="829"/>
    </row>
    <row r="7">
      <c r="A7" s="833">
        <v>5.0</v>
      </c>
      <c r="B7" s="834" t="b">
        <v>0</v>
      </c>
      <c r="C7" s="840" t="s">
        <v>5869</v>
      </c>
      <c r="D7" s="836"/>
      <c r="E7" s="836"/>
      <c r="F7" s="836"/>
      <c r="G7" s="836"/>
      <c r="H7" s="836"/>
      <c r="I7" s="836"/>
      <c r="J7" s="829"/>
      <c r="K7" s="829"/>
      <c r="L7" s="829"/>
      <c r="M7" s="829"/>
      <c r="N7" s="829"/>
      <c r="O7" s="829"/>
      <c r="P7" s="829"/>
      <c r="Q7" s="829"/>
      <c r="R7" s="829"/>
      <c r="S7" s="829"/>
      <c r="T7" s="829"/>
      <c r="U7" s="829"/>
      <c r="V7" s="829"/>
      <c r="W7" s="829"/>
      <c r="X7" s="829"/>
      <c r="Y7" s="829"/>
      <c r="Z7" s="829"/>
    </row>
    <row r="8">
      <c r="A8" s="833">
        <v>6.0</v>
      </c>
      <c r="B8" s="834" t="b">
        <v>0</v>
      </c>
      <c r="C8" s="840" t="s">
        <v>5870</v>
      </c>
      <c r="D8" s="839"/>
      <c r="E8" s="839"/>
      <c r="F8" s="839"/>
      <c r="G8" s="839"/>
      <c r="H8" s="836"/>
      <c r="I8" s="836"/>
      <c r="J8" s="829"/>
      <c r="K8" s="829"/>
      <c r="L8" s="829"/>
      <c r="M8" s="829"/>
      <c r="N8" s="829"/>
      <c r="O8" s="829"/>
      <c r="P8" s="829"/>
      <c r="Q8" s="829"/>
      <c r="R8" s="829"/>
      <c r="S8" s="829"/>
      <c r="T8" s="829"/>
      <c r="U8" s="829"/>
      <c r="V8" s="829"/>
      <c r="W8" s="829"/>
      <c r="X8" s="829"/>
      <c r="Y8" s="829"/>
      <c r="Z8" s="829"/>
    </row>
    <row r="9">
      <c r="A9" s="833">
        <v>7.0</v>
      </c>
      <c r="B9" s="834" t="b">
        <v>0</v>
      </c>
      <c r="C9" s="842" t="s">
        <v>5871</v>
      </c>
      <c r="D9" s="843" t="s">
        <v>5872</v>
      </c>
      <c r="E9" s="843" t="s">
        <v>5873</v>
      </c>
      <c r="F9" s="844" t="s">
        <v>5874</v>
      </c>
      <c r="G9" s="845" t="s">
        <v>5875</v>
      </c>
      <c r="H9" s="836"/>
      <c r="I9" s="836"/>
      <c r="J9" s="829"/>
      <c r="K9" s="829"/>
      <c r="L9" s="829"/>
      <c r="M9" s="829"/>
      <c r="N9" s="829"/>
      <c r="O9" s="829"/>
      <c r="P9" s="829"/>
      <c r="Q9" s="829"/>
      <c r="R9" s="829"/>
      <c r="S9" s="829"/>
      <c r="T9" s="829"/>
      <c r="U9" s="829"/>
      <c r="V9" s="829"/>
      <c r="W9" s="829"/>
      <c r="X9" s="829"/>
      <c r="Y9" s="829"/>
      <c r="Z9" s="829"/>
    </row>
    <row r="10">
      <c r="A10" s="833">
        <v>8.0</v>
      </c>
      <c r="B10" s="834" t="b">
        <v>0</v>
      </c>
      <c r="C10" s="846"/>
      <c r="D10" s="847" t="s">
        <v>5876</v>
      </c>
      <c r="E10" s="842" t="s">
        <v>5876</v>
      </c>
      <c r="F10" s="846"/>
      <c r="G10" s="844" t="s">
        <v>5876</v>
      </c>
      <c r="H10" s="836"/>
      <c r="I10" s="836"/>
      <c r="J10" s="829"/>
      <c r="K10" s="829"/>
      <c r="L10" s="829"/>
      <c r="M10" s="829"/>
      <c r="N10" s="829"/>
      <c r="O10" s="829"/>
      <c r="P10" s="829"/>
      <c r="Q10" s="829"/>
      <c r="R10" s="829"/>
      <c r="S10" s="829"/>
      <c r="T10" s="829"/>
      <c r="U10" s="829"/>
      <c r="V10" s="829"/>
      <c r="W10" s="829"/>
      <c r="X10" s="829"/>
      <c r="Y10" s="829"/>
      <c r="Z10" s="829"/>
    </row>
    <row r="11">
      <c r="A11" s="833">
        <v>9.0</v>
      </c>
      <c r="B11" s="834" t="b">
        <v>0</v>
      </c>
      <c r="C11" s="846"/>
      <c r="D11" s="848" t="s">
        <v>5877</v>
      </c>
      <c r="E11" s="849"/>
      <c r="F11" s="845" t="s">
        <v>5878</v>
      </c>
      <c r="G11" s="845" t="s">
        <v>5879</v>
      </c>
      <c r="H11" s="836"/>
      <c r="I11" s="836"/>
      <c r="J11" s="829"/>
      <c r="K11" s="829"/>
      <c r="L11" s="829"/>
      <c r="M11" s="829"/>
      <c r="N11" s="829"/>
      <c r="O11" s="829"/>
      <c r="P11" s="829"/>
      <c r="Q11" s="829"/>
      <c r="R11" s="829"/>
      <c r="S11" s="829"/>
      <c r="T11" s="829"/>
      <c r="U11" s="829"/>
      <c r="V11" s="829"/>
      <c r="W11" s="829"/>
      <c r="X11" s="829"/>
      <c r="Y11" s="829"/>
      <c r="Z11" s="829"/>
    </row>
    <row r="12">
      <c r="A12" s="833">
        <v>10.0</v>
      </c>
      <c r="B12" s="834" t="b">
        <v>0</v>
      </c>
      <c r="C12" s="846"/>
      <c r="D12" s="846"/>
      <c r="E12" s="846"/>
      <c r="F12" s="845" t="s">
        <v>5880</v>
      </c>
      <c r="G12" s="844" t="s">
        <v>5881</v>
      </c>
      <c r="H12" s="836"/>
      <c r="I12" s="836"/>
      <c r="J12" s="829"/>
      <c r="K12" s="829"/>
      <c r="L12" s="829"/>
      <c r="M12" s="829"/>
      <c r="N12" s="829"/>
      <c r="O12" s="829"/>
      <c r="P12" s="829"/>
      <c r="Q12" s="829"/>
      <c r="R12" s="829"/>
      <c r="S12" s="829"/>
      <c r="T12" s="829"/>
      <c r="U12" s="829"/>
      <c r="V12" s="829"/>
      <c r="W12" s="829"/>
      <c r="X12" s="829"/>
      <c r="Y12" s="829"/>
      <c r="Z12" s="829"/>
    </row>
    <row r="13">
      <c r="A13" s="833">
        <v>11.0</v>
      </c>
      <c r="B13" s="834" t="b">
        <v>0</v>
      </c>
      <c r="C13" s="840" t="s">
        <v>5882</v>
      </c>
      <c r="D13" s="836"/>
      <c r="E13" s="837" t="s">
        <v>5883</v>
      </c>
      <c r="F13" s="850" t="s">
        <v>5884</v>
      </c>
      <c r="G13" s="836"/>
      <c r="H13" s="836"/>
      <c r="I13" s="836"/>
      <c r="J13" s="829"/>
      <c r="K13" s="829"/>
      <c r="L13" s="829"/>
      <c r="M13" s="829"/>
      <c r="N13" s="829"/>
      <c r="O13" s="829"/>
      <c r="P13" s="829"/>
      <c r="Q13" s="829"/>
      <c r="R13" s="829"/>
      <c r="S13" s="829"/>
      <c r="T13" s="829"/>
      <c r="U13" s="829"/>
      <c r="V13" s="829"/>
      <c r="W13" s="829"/>
      <c r="X13" s="829"/>
      <c r="Y13" s="829"/>
      <c r="Z13" s="829"/>
    </row>
    <row r="14">
      <c r="A14" s="833">
        <v>12.0</v>
      </c>
      <c r="B14" s="834" t="b">
        <v>0</v>
      </c>
      <c r="C14" s="840" t="s">
        <v>5885</v>
      </c>
      <c r="D14" s="839"/>
      <c r="E14" s="839"/>
      <c r="F14" s="839"/>
      <c r="G14" s="839"/>
      <c r="H14" s="836"/>
      <c r="I14" s="836"/>
      <c r="J14" s="829"/>
      <c r="K14" s="829"/>
      <c r="L14" s="829"/>
      <c r="M14" s="829"/>
      <c r="N14" s="829"/>
      <c r="O14" s="829"/>
      <c r="P14" s="829"/>
      <c r="Q14" s="829"/>
      <c r="R14" s="829"/>
      <c r="S14" s="829"/>
      <c r="T14" s="829"/>
      <c r="U14" s="829"/>
      <c r="V14" s="829"/>
      <c r="W14" s="829"/>
      <c r="X14" s="829"/>
      <c r="Y14" s="829"/>
      <c r="Z14" s="829"/>
    </row>
    <row r="15">
      <c r="A15" s="833">
        <v>13.0</v>
      </c>
      <c r="B15" s="834" t="b">
        <v>0</v>
      </c>
      <c r="C15" s="840" t="s">
        <v>5886</v>
      </c>
      <c r="D15" s="836"/>
      <c r="E15" s="837" t="s">
        <v>5887</v>
      </c>
      <c r="F15" s="841" t="s">
        <v>5888</v>
      </c>
      <c r="G15" s="836"/>
      <c r="H15" s="836"/>
      <c r="I15" s="836"/>
      <c r="J15" s="829"/>
      <c r="K15" s="829"/>
      <c r="L15" s="829"/>
      <c r="M15" s="829"/>
      <c r="N15" s="829"/>
      <c r="O15" s="829"/>
      <c r="P15" s="829"/>
      <c r="Q15" s="829"/>
      <c r="R15" s="829"/>
      <c r="S15" s="829"/>
      <c r="T15" s="829"/>
      <c r="U15" s="829"/>
      <c r="V15" s="829"/>
      <c r="W15" s="829"/>
      <c r="X15" s="829"/>
      <c r="Y15" s="829"/>
      <c r="Z15" s="829"/>
    </row>
    <row r="16">
      <c r="A16" s="833">
        <v>14.0</v>
      </c>
      <c r="B16" s="834" t="b">
        <v>0</v>
      </c>
      <c r="C16" s="840" t="s">
        <v>5889</v>
      </c>
      <c r="D16" s="839"/>
      <c r="E16" s="837" t="s">
        <v>5890</v>
      </c>
      <c r="F16" s="841" t="s">
        <v>5891</v>
      </c>
      <c r="G16" s="839"/>
      <c r="H16" s="836"/>
      <c r="I16" s="836"/>
      <c r="J16" s="829"/>
      <c r="K16" s="829"/>
      <c r="L16" s="829"/>
      <c r="M16" s="829"/>
      <c r="N16" s="829"/>
      <c r="O16" s="829"/>
      <c r="P16" s="829"/>
      <c r="Q16" s="829"/>
      <c r="R16" s="829"/>
      <c r="S16" s="829"/>
      <c r="T16" s="829"/>
      <c r="U16" s="829"/>
      <c r="V16" s="829"/>
      <c r="W16" s="829"/>
      <c r="X16" s="829"/>
      <c r="Y16" s="829"/>
      <c r="Z16" s="829"/>
    </row>
    <row r="17">
      <c r="A17" s="833">
        <v>15.0</v>
      </c>
      <c r="B17" s="834" t="b">
        <v>0</v>
      </c>
      <c r="C17" s="840" t="s">
        <v>5892</v>
      </c>
      <c r="D17" s="836"/>
      <c r="E17" s="836"/>
      <c r="F17" s="836"/>
      <c r="G17" s="836"/>
      <c r="H17" s="836"/>
      <c r="I17" s="836"/>
      <c r="J17" s="829"/>
      <c r="K17" s="829"/>
      <c r="L17" s="829"/>
      <c r="M17" s="829"/>
      <c r="N17" s="829"/>
      <c r="O17" s="829"/>
      <c r="P17" s="829"/>
      <c r="Q17" s="829"/>
      <c r="R17" s="829"/>
      <c r="S17" s="829"/>
      <c r="T17" s="829"/>
      <c r="U17" s="829"/>
      <c r="V17" s="829"/>
      <c r="W17" s="829"/>
      <c r="X17" s="829"/>
      <c r="Y17" s="829"/>
      <c r="Z17" s="829"/>
    </row>
    <row r="18">
      <c r="A18" s="833">
        <v>16.0</v>
      </c>
      <c r="B18" s="834" t="b">
        <v>0</v>
      </c>
      <c r="C18" s="840" t="s">
        <v>5893</v>
      </c>
      <c r="D18" s="839"/>
      <c r="E18" s="839"/>
      <c r="F18" s="839"/>
      <c r="G18" s="839"/>
      <c r="H18" s="836"/>
      <c r="I18" s="836"/>
      <c r="J18" s="829"/>
      <c r="K18" s="829"/>
      <c r="L18" s="829"/>
      <c r="M18" s="829"/>
      <c r="N18" s="829"/>
      <c r="O18" s="829"/>
      <c r="P18" s="829"/>
      <c r="Q18" s="829"/>
      <c r="R18" s="829"/>
      <c r="S18" s="829"/>
      <c r="T18" s="829"/>
      <c r="U18" s="829"/>
      <c r="V18" s="829"/>
      <c r="W18" s="829"/>
      <c r="X18" s="829"/>
      <c r="Y18" s="829"/>
      <c r="Z18" s="829"/>
    </row>
    <row r="19">
      <c r="A19" s="833">
        <v>17.0</v>
      </c>
      <c r="B19" s="834" t="b">
        <v>0</v>
      </c>
      <c r="C19" s="840" t="s">
        <v>5894</v>
      </c>
      <c r="D19" s="836"/>
      <c r="E19" s="837">
        <v>7.86343609E9</v>
      </c>
      <c r="F19" s="836"/>
      <c r="G19" s="836"/>
      <c r="H19" s="836"/>
      <c r="I19" s="836"/>
      <c r="J19" s="829"/>
      <c r="K19" s="829"/>
      <c r="L19" s="829"/>
      <c r="M19" s="829"/>
      <c r="N19" s="829"/>
      <c r="O19" s="829"/>
      <c r="P19" s="829"/>
      <c r="Q19" s="829"/>
      <c r="R19" s="829"/>
      <c r="S19" s="829"/>
      <c r="T19" s="829"/>
      <c r="U19" s="829"/>
      <c r="V19" s="829"/>
      <c r="W19" s="829"/>
      <c r="X19" s="829"/>
      <c r="Y19" s="829"/>
      <c r="Z19" s="829"/>
    </row>
    <row r="20">
      <c r="A20" s="833">
        <v>18.0</v>
      </c>
      <c r="B20" s="834" t="b">
        <v>0</v>
      </c>
      <c r="C20" s="840" t="s">
        <v>5895</v>
      </c>
      <c r="D20" s="839"/>
      <c r="E20" s="837" t="s">
        <v>5896</v>
      </c>
      <c r="F20" s="839"/>
      <c r="G20" s="839"/>
      <c r="H20" s="836"/>
      <c r="I20" s="836"/>
      <c r="J20" s="829"/>
      <c r="K20" s="829"/>
      <c r="L20" s="829"/>
      <c r="M20" s="829"/>
      <c r="N20" s="829"/>
      <c r="O20" s="829"/>
      <c r="P20" s="829"/>
      <c r="Q20" s="829"/>
      <c r="R20" s="829"/>
      <c r="S20" s="829"/>
      <c r="T20" s="829"/>
      <c r="U20" s="829"/>
      <c r="V20" s="829"/>
      <c r="W20" s="829"/>
      <c r="X20" s="829"/>
      <c r="Y20" s="829"/>
      <c r="Z20" s="829"/>
    </row>
    <row r="21">
      <c r="A21" s="833">
        <v>19.0</v>
      </c>
      <c r="B21" s="834" t="b">
        <v>0</v>
      </c>
      <c r="C21" s="840" t="s">
        <v>5897</v>
      </c>
      <c r="D21" s="851" t="s">
        <v>5898</v>
      </c>
      <c r="E21" s="837">
        <v>7.902357802E9</v>
      </c>
      <c r="F21" s="836"/>
      <c r="G21" s="836"/>
      <c r="H21" s="836"/>
      <c r="I21" s="836"/>
      <c r="J21" s="829"/>
      <c r="K21" s="829"/>
      <c r="L21" s="829"/>
      <c r="M21" s="829"/>
      <c r="N21" s="829"/>
      <c r="O21" s="829"/>
      <c r="P21" s="829"/>
      <c r="Q21" s="829"/>
      <c r="R21" s="829"/>
      <c r="S21" s="829"/>
      <c r="T21" s="829"/>
      <c r="U21" s="829"/>
      <c r="V21" s="829"/>
      <c r="W21" s="829"/>
      <c r="X21" s="829"/>
      <c r="Y21" s="829"/>
      <c r="Z21" s="829"/>
    </row>
    <row r="22">
      <c r="A22" s="833">
        <v>20.0</v>
      </c>
      <c r="B22" s="834" t="b">
        <v>0</v>
      </c>
      <c r="C22" s="840" t="s">
        <v>5899</v>
      </c>
      <c r="D22" s="839"/>
      <c r="E22" s="852" t="s">
        <v>5900</v>
      </c>
      <c r="F22" s="839"/>
      <c r="G22" s="839"/>
      <c r="H22" s="836"/>
      <c r="I22" s="836"/>
      <c r="J22" s="829"/>
      <c r="K22" s="829"/>
      <c r="L22" s="829"/>
      <c r="M22" s="829"/>
      <c r="N22" s="829"/>
      <c r="O22" s="829"/>
      <c r="P22" s="829"/>
      <c r="Q22" s="829"/>
      <c r="R22" s="829"/>
      <c r="S22" s="829"/>
      <c r="T22" s="829"/>
      <c r="U22" s="829"/>
      <c r="V22" s="829"/>
      <c r="W22" s="829"/>
      <c r="X22" s="829"/>
      <c r="Y22" s="829"/>
      <c r="Z22" s="829"/>
    </row>
    <row r="23">
      <c r="A23" s="833">
        <v>21.0</v>
      </c>
      <c r="B23" s="834" t="b">
        <v>0</v>
      </c>
      <c r="C23" s="840" t="s">
        <v>5901</v>
      </c>
      <c r="D23" s="836"/>
      <c r="E23" s="413" t="s">
        <v>5900</v>
      </c>
      <c r="F23" s="836"/>
      <c r="G23" s="836"/>
      <c r="H23" s="836"/>
      <c r="I23" s="836"/>
      <c r="J23" s="829"/>
      <c r="K23" s="829"/>
      <c r="L23" s="829"/>
      <c r="M23" s="829"/>
      <c r="N23" s="829"/>
      <c r="O23" s="829"/>
      <c r="P23" s="829"/>
      <c r="Q23" s="829"/>
      <c r="R23" s="829"/>
      <c r="S23" s="829"/>
      <c r="T23" s="829"/>
      <c r="U23" s="829"/>
      <c r="V23" s="829"/>
      <c r="W23" s="829"/>
      <c r="X23" s="829"/>
      <c r="Y23" s="829"/>
      <c r="Z23" s="829"/>
    </row>
    <row r="24">
      <c r="A24" s="833">
        <v>22.0</v>
      </c>
      <c r="B24" s="834" t="b">
        <v>0</v>
      </c>
      <c r="C24" s="840" t="s">
        <v>5902</v>
      </c>
      <c r="D24" s="839"/>
      <c r="E24" s="839"/>
      <c r="F24" s="839"/>
      <c r="G24" s="839"/>
      <c r="H24" s="836"/>
      <c r="I24" s="836"/>
      <c r="J24" s="829"/>
      <c r="K24" s="829"/>
      <c r="L24" s="829"/>
      <c r="M24" s="829"/>
      <c r="N24" s="829"/>
      <c r="O24" s="829"/>
      <c r="P24" s="829"/>
      <c r="Q24" s="829"/>
      <c r="R24" s="829"/>
      <c r="S24" s="829"/>
      <c r="T24" s="829"/>
      <c r="U24" s="829"/>
      <c r="V24" s="829"/>
      <c r="W24" s="829"/>
      <c r="X24" s="829"/>
      <c r="Y24" s="829"/>
      <c r="Z24" s="829"/>
    </row>
    <row r="25">
      <c r="A25" s="833">
        <v>23.0</v>
      </c>
      <c r="B25" s="834" t="b">
        <v>0</v>
      </c>
      <c r="C25" s="840" t="s">
        <v>5903</v>
      </c>
      <c r="D25" s="836"/>
      <c r="E25" s="836"/>
      <c r="F25" s="836"/>
      <c r="G25" s="836"/>
      <c r="H25" s="836"/>
      <c r="I25" s="836"/>
      <c r="J25" s="829"/>
      <c r="K25" s="829"/>
      <c r="L25" s="829"/>
      <c r="M25" s="829"/>
      <c r="N25" s="829"/>
      <c r="O25" s="829"/>
      <c r="P25" s="829"/>
      <c r="Q25" s="829"/>
      <c r="R25" s="829"/>
      <c r="S25" s="829"/>
      <c r="T25" s="829"/>
      <c r="U25" s="829"/>
      <c r="V25" s="829"/>
      <c r="W25" s="829"/>
      <c r="X25" s="829"/>
      <c r="Y25" s="829"/>
      <c r="Z25" s="829"/>
    </row>
    <row r="26">
      <c r="A26" s="833">
        <v>24.0</v>
      </c>
      <c r="B26" s="834" t="b">
        <v>0</v>
      </c>
      <c r="C26" s="840" t="s">
        <v>5904</v>
      </c>
      <c r="D26" s="839"/>
      <c r="E26" s="839"/>
      <c r="F26" s="839"/>
      <c r="G26" s="839"/>
      <c r="H26" s="836"/>
      <c r="I26" s="836"/>
      <c r="J26" s="829"/>
      <c r="K26" s="829"/>
      <c r="L26" s="829"/>
      <c r="M26" s="829"/>
      <c r="N26" s="829"/>
      <c r="O26" s="829"/>
      <c r="P26" s="829"/>
      <c r="Q26" s="829"/>
      <c r="R26" s="829"/>
      <c r="S26" s="829"/>
      <c r="T26" s="829"/>
      <c r="U26" s="829"/>
      <c r="V26" s="829"/>
      <c r="W26" s="829"/>
      <c r="X26" s="829"/>
      <c r="Y26" s="829"/>
      <c r="Z26" s="829"/>
    </row>
    <row r="27">
      <c r="A27" s="833">
        <v>25.0</v>
      </c>
      <c r="B27" s="834" t="b">
        <v>0</v>
      </c>
      <c r="C27" s="840" t="s">
        <v>5905</v>
      </c>
      <c r="D27" s="836"/>
      <c r="E27" s="836"/>
      <c r="F27" s="836"/>
      <c r="G27" s="836"/>
      <c r="H27" s="836"/>
      <c r="I27" s="836"/>
      <c r="J27" s="829"/>
      <c r="K27" s="829"/>
      <c r="L27" s="829"/>
      <c r="M27" s="829"/>
      <c r="N27" s="829"/>
      <c r="O27" s="829"/>
      <c r="P27" s="829"/>
      <c r="Q27" s="829"/>
      <c r="R27" s="829"/>
      <c r="S27" s="829"/>
      <c r="T27" s="829"/>
      <c r="U27" s="829"/>
      <c r="V27" s="829"/>
      <c r="W27" s="829"/>
      <c r="X27" s="829"/>
      <c r="Y27" s="829"/>
      <c r="Z27" s="829"/>
    </row>
    <row r="28">
      <c r="A28" s="833">
        <v>26.0</v>
      </c>
      <c r="B28" s="834" t="b">
        <v>0</v>
      </c>
      <c r="C28" s="840" t="s">
        <v>5906</v>
      </c>
      <c r="D28" s="839"/>
      <c r="E28" s="839"/>
      <c r="F28" s="839"/>
      <c r="G28" s="839"/>
      <c r="H28" s="836"/>
      <c r="I28" s="836"/>
      <c r="J28" s="829"/>
      <c r="K28" s="829"/>
      <c r="L28" s="829"/>
      <c r="M28" s="829"/>
      <c r="N28" s="829"/>
      <c r="O28" s="829"/>
      <c r="P28" s="829"/>
      <c r="Q28" s="829"/>
      <c r="R28" s="829"/>
      <c r="S28" s="829"/>
      <c r="T28" s="829"/>
      <c r="U28" s="829"/>
      <c r="V28" s="829"/>
      <c r="W28" s="829"/>
      <c r="X28" s="829"/>
      <c r="Y28" s="829"/>
      <c r="Z28" s="829"/>
    </row>
    <row r="29">
      <c r="A29" s="833">
        <v>27.0</v>
      </c>
      <c r="B29" s="834" t="b">
        <v>0</v>
      </c>
      <c r="C29" s="840" t="s">
        <v>5907</v>
      </c>
      <c r="D29" s="836"/>
      <c r="E29" s="836"/>
      <c r="F29" s="836"/>
      <c r="G29" s="836"/>
      <c r="H29" s="836"/>
      <c r="I29" s="836"/>
      <c r="J29" s="829"/>
      <c r="K29" s="829"/>
      <c r="L29" s="829"/>
      <c r="M29" s="829"/>
      <c r="N29" s="829"/>
      <c r="O29" s="829"/>
      <c r="P29" s="829"/>
      <c r="Q29" s="829"/>
      <c r="R29" s="829"/>
      <c r="S29" s="829"/>
      <c r="T29" s="829"/>
      <c r="U29" s="829"/>
      <c r="V29" s="829"/>
      <c r="W29" s="829"/>
      <c r="X29" s="829"/>
      <c r="Y29" s="829"/>
      <c r="Z29" s="829"/>
    </row>
    <row r="30">
      <c r="A30" s="833">
        <v>28.0</v>
      </c>
      <c r="B30" s="834" t="b">
        <v>0</v>
      </c>
      <c r="C30" s="840" t="s">
        <v>5908</v>
      </c>
      <c r="D30" s="839"/>
      <c r="E30" s="839"/>
      <c r="F30" s="839"/>
      <c r="G30" s="839"/>
      <c r="H30" s="836"/>
      <c r="I30" s="836"/>
      <c r="J30" s="829"/>
      <c r="K30" s="829"/>
      <c r="L30" s="829"/>
      <c r="M30" s="829"/>
      <c r="N30" s="829"/>
      <c r="O30" s="829"/>
      <c r="P30" s="829"/>
      <c r="Q30" s="829"/>
      <c r="R30" s="829"/>
      <c r="S30" s="829"/>
      <c r="T30" s="829"/>
      <c r="U30" s="829"/>
      <c r="V30" s="829"/>
      <c r="W30" s="829"/>
      <c r="X30" s="829"/>
      <c r="Y30" s="829"/>
      <c r="Z30" s="829"/>
    </row>
    <row r="31">
      <c r="A31" s="833">
        <v>29.0</v>
      </c>
      <c r="B31" s="834" t="b">
        <v>0</v>
      </c>
      <c r="C31" s="840" t="s">
        <v>5909</v>
      </c>
      <c r="D31" s="836"/>
      <c r="E31" s="836"/>
      <c r="F31" s="836"/>
      <c r="G31" s="836"/>
      <c r="H31" s="836"/>
      <c r="I31" s="836"/>
      <c r="J31" s="829"/>
      <c r="K31" s="829"/>
      <c r="L31" s="829"/>
      <c r="M31" s="829"/>
      <c r="N31" s="829"/>
      <c r="O31" s="829"/>
      <c r="P31" s="829"/>
      <c r="Q31" s="829"/>
      <c r="R31" s="829"/>
      <c r="S31" s="829"/>
      <c r="T31" s="829"/>
      <c r="U31" s="829"/>
      <c r="V31" s="829"/>
      <c r="W31" s="829"/>
      <c r="X31" s="829"/>
      <c r="Y31" s="829"/>
      <c r="Z31" s="829"/>
    </row>
    <row r="32">
      <c r="A32" s="833">
        <v>30.0</v>
      </c>
      <c r="B32" s="834" t="b">
        <v>0</v>
      </c>
      <c r="C32" s="840" t="s">
        <v>5910</v>
      </c>
      <c r="D32" s="839"/>
      <c r="E32" s="839"/>
      <c r="F32" s="839"/>
      <c r="G32" s="839"/>
      <c r="H32" s="836"/>
      <c r="I32" s="836"/>
      <c r="J32" s="829"/>
      <c r="K32" s="829"/>
      <c r="L32" s="829"/>
      <c r="M32" s="829"/>
      <c r="N32" s="829"/>
      <c r="O32" s="829"/>
      <c r="P32" s="829"/>
      <c r="Q32" s="829"/>
      <c r="R32" s="829"/>
      <c r="S32" s="829"/>
      <c r="T32" s="829"/>
      <c r="U32" s="829"/>
      <c r="V32" s="829"/>
      <c r="W32" s="829"/>
      <c r="X32" s="829"/>
      <c r="Y32" s="829"/>
      <c r="Z32" s="829"/>
    </row>
    <row r="33">
      <c r="A33" s="833">
        <v>31.0</v>
      </c>
      <c r="B33" s="834" t="b">
        <v>0</v>
      </c>
      <c r="C33" s="840" t="s">
        <v>5911</v>
      </c>
      <c r="D33" s="836"/>
      <c r="E33" s="836"/>
      <c r="F33" s="836"/>
      <c r="G33" s="836"/>
      <c r="H33" s="836"/>
      <c r="I33" s="836"/>
      <c r="J33" s="829"/>
      <c r="K33" s="829"/>
      <c r="L33" s="829"/>
      <c r="M33" s="829"/>
      <c r="N33" s="829"/>
      <c r="O33" s="829"/>
      <c r="P33" s="829"/>
      <c r="Q33" s="829"/>
      <c r="R33" s="829"/>
      <c r="S33" s="829"/>
      <c r="T33" s="829"/>
      <c r="U33" s="829"/>
      <c r="V33" s="829"/>
      <c r="W33" s="829"/>
      <c r="X33" s="829"/>
      <c r="Y33" s="829"/>
      <c r="Z33" s="829"/>
    </row>
    <row r="34">
      <c r="A34" s="833">
        <v>32.0</v>
      </c>
      <c r="B34" s="834" t="b">
        <v>0</v>
      </c>
      <c r="C34" s="840" t="s">
        <v>5912</v>
      </c>
      <c r="D34" s="839"/>
      <c r="E34" s="853" t="s">
        <v>5913</v>
      </c>
      <c r="F34" s="839"/>
      <c r="G34" s="839"/>
      <c r="H34" s="836"/>
      <c r="I34" s="836"/>
      <c r="J34" s="829"/>
      <c r="K34" s="829"/>
      <c r="L34" s="829"/>
      <c r="M34" s="829"/>
      <c r="N34" s="829"/>
      <c r="O34" s="829"/>
      <c r="P34" s="829"/>
      <c r="Q34" s="829"/>
      <c r="R34" s="829"/>
      <c r="S34" s="829"/>
      <c r="T34" s="829"/>
      <c r="U34" s="829"/>
      <c r="V34" s="829"/>
      <c r="W34" s="829"/>
      <c r="X34" s="829"/>
      <c r="Y34" s="829"/>
      <c r="Z34" s="829"/>
    </row>
    <row r="35">
      <c r="A35" s="833">
        <v>33.0</v>
      </c>
      <c r="B35" s="834" t="b">
        <v>0</v>
      </c>
      <c r="C35" s="854" t="s">
        <v>5914</v>
      </c>
      <c r="D35" s="836"/>
      <c r="E35" s="852" t="s">
        <v>5915</v>
      </c>
      <c r="F35" s="836"/>
      <c r="G35" s="836"/>
      <c r="H35" s="836"/>
      <c r="I35" s="836"/>
      <c r="J35" s="829"/>
      <c r="K35" s="829"/>
      <c r="L35" s="829"/>
      <c r="M35" s="829"/>
      <c r="N35" s="829"/>
      <c r="O35" s="829"/>
      <c r="P35" s="829"/>
      <c r="Q35" s="829"/>
      <c r="R35" s="829"/>
      <c r="S35" s="829"/>
      <c r="T35" s="829"/>
      <c r="U35" s="829"/>
      <c r="V35" s="829"/>
      <c r="W35" s="829"/>
      <c r="X35" s="829"/>
      <c r="Y35" s="829"/>
      <c r="Z35" s="829"/>
    </row>
    <row r="36">
      <c r="A36" s="833">
        <v>34.0</v>
      </c>
      <c r="B36" s="834" t="b">
        <v>0</v>
      </c>
      <c r="C36" s="840" t="s">
        <v>5916</v>
      </c>
      <c r="D36" s="839"/>
      <c r="E36" s="853" t="s">
        <v>5917</v>
      </c>
      <c r="F36" s="853"/>
      <c r="G36" s="839"/>
      <c r="H36" s="836"/>
      <c r="I36" s="836"/>
      <c r="J36" s="829"/>
      <c r="K36" s="829"/>
      <c r="L36" s="829"/>
      <c r="M36" s="829"/>
      <c r="N36" s="829"/>
      <c r="O36" s="829"/>
      <c r="P36" s="829"/>
      <c r="Q36" s="829"/>
      <c r="R36" s="829"/>
      <c r="S36" s="829"/>
      <c r="T36" s="829"/>
      <c r="U36" s="829"/>
      <c r="V36" s="829"/>
      <c r="W36" s="829"/>
      <c r="X36" s="829"/>
      <c r="Y36" s="829"/>
      <c r="Z36" s="829"/>
    </row>
    <row r="37">
      <c r="A37" s="833">
        <v>35.0</v>
      </c>
      <c r="B37" s="834" t="b">
        <v>0</v>
      </c>
      <c r="C37" s="840" t="s">
        <v>5918</v>
      </c>
      <c r="D37" s="836"/>
      <c r="E37" s="836"/>
      <c r="F37" s="836"/>
      <c r="G37" s="836"/>
      <c r="H37" s="836"/>
      <c r="I37" s="836"/>
      <c r="J37" s="829"/>
      <c r="K37" s="829"/>
      <c r="L37" s="829"/>
      <c r="M37" s="829"/>
      <c r="N37" s="829"/>
      <c r="O37" s="829"/>
      <c r="P37" s="829"/>
      <c r="Q37" s="829"/>
      <c r="R37" s="829"/>
      <c r="S37" s="829"/>
      <c r="T37" s="829"/>
      <c r="U37" s="829"/>
      <c r="V37" s="829"/>
      <c r="W37" s="829"/>
      <c r="X37" s="829"/>
      <c r="Y37" s="829"/>
      <c r="Z37" s="829"/>
    </row>
    <row r="38">
      <c r="A38" s="833">
        <v>36.0</v>
      </c>
      <c r="B38" s="834" t="b">
        <v>0</v>
      </c>
      <c r="C38" s="840" t="s">
        <v>5919</v>
      </c>
      <c r="D38" s="839"/>
      <c r="E38" s="839"/>
      <c r="F38" s="839"/>
      <c r="G38" s="839"/>
      <c r="H38" s="836"/>
      <c r="I38" s="836"/>
      <c r="J38" s="829"/>
      <c r="K38" s="829"/>
      <c r="L38" s="829"/>
      <c r="M38" s="829"/>
      <c r="N38" s="829"/>
      <c r="O38" s="829"/>
      <c r="P38" s="829"/>
      <c r="Q38" s="829"/>
      <c r="R38" s="829"/>
      <c r="S38" s="829"/>
      <c r="T38" s="829"/>
      <c r="U38" s="829"/>
      <c r="V38" s="829"/>
      <c r="W38" s="829"/>
      <c r="X38" s="829"/>
      <c r="Y38" s="829"/>
      <c r="Z38" s="829"/>
    </row>
    <row r="39">
      <c r="A39" s="833">
        <v>37.0</v>
      </c>
      <c r="B39" s="834" t="b">
        <v>0</v>
      </c>
      <c r="C39" s="840" t="s">
        <v>5920</v>
      </c>
      <c r="D39" s="836"/>
      <c r="E39" s="836"/>
      <c r="F39" s="836"/>
      <c r="G39" s="836"/>
      <c r="H39" s="836"/>
      <c r="I39" s="836"/>
      <c r="J39" s="829"/>
      <c r="K39" s="829"/>
      <c r="L39" s="829"/>
      <c r="M39" s="829"/>
      <c r="N39" s="829"/>
      <c r="O39" s="829"/>
      <c r="P39" s="829"/>
      <c r="Q39" s="829"/>
      <c r="R39" s="829"/>
      <c r="S39" s="829"/>
      <c r="T39" s="829"/>
      <c r="U39" s="829"/>
      <c r="V39" s="829"/>
      <c r="W39" s="829"/>
      <c r="X39" s="829"/>
      <c r="Y39" s="829"/>
      <c r="Z39" s="829"/>
    </row>
    <row r="40">
      <c r="A40" s="833">
        <v>38.0</v>
      </c>
      <c r="B40" s="834" t="b">
        <v>0</v>
      </c>
      <c r="C40" s="840" t="s">
        <v>5921</v>
      </c>
      <c r="D40" s="839"/>
      <c r="E40" s="839"/>
      <c r="F40" s="839"/>
      <c r="G40" s="839"/>
      <c r="H40" s="836"/>
      <c r="I40" s="836"/>
      <c r="J40" s="829"/>
      <c r="K40" s="829"/>
      <c r="L40" s="829"/>
      <c r="M40" s="829"/>
      <c r="N40" s="829"/>
      <c r="O40" s="829"/>
      <c r="P40" s="829"/>
      <c r="Q40" s="829"/>
      <c r="R40" s="829"/>
      <c r="S40" s="829"/>
      <c r="T40" s="829"/>
      <c r="U40" s="829"/>
      <c r="V40" s="829"/>
      <c r="W40" s="829"/>
      <c r="X40" s="829"/>
      <c r="Y40" s="829"/>
      <c r="Z40" s="829"/>
    </row>
    <row r="41">
      <c r="A41" s="833">
        <v>39.0</v>
      </c>
      <c r="B41" s="834" t="b">
        <v>0</v>
      </c>
      <c r="C41" s="840" t="s">
        <v>5922</v>
      </c>
      <c r="D41" s="836"/>
      <c r="E41" s="836"/>
      <c r="F41" s="836"/>
      <c r="G41" s="836"/>
      <c r="H41" s="836"/>
      <c r="I41" s="836"/>
      <c r="J41" s="829"/>
      <c r="K41" s="829"/>
      <c r="L41" s="829"/>
      <c r="M41" s="829"/>
      <c r="N41" s="829"/>
      <c r="O41" s="829"/>
      <c r="P41" s="829"/>
      <c r="Q41" s="829"/>
      <c r="R41" s="829"/>
      <c r="S41" s="829"/>
      <c r="T41" s="829"/>
      <c r="U41" s="829"/>
      <c r="V41" s="829"/>
      <c r="W41" s="829"/>
      <c r="X41" s="829"/>
      <c r="Y41" s="829"/>
      <c r="Z41" s="829"/>
    </row>
    <row r="42">
      <c r="A42" s="833">
        <v>40.0</v>
      </c>
      <c r="B42" s="834" t="b">
        <v>0</v>
      </c>
      <c r="C42" s="840" t="s">
        <v>5923</v>
      </c>
      <c r="D42" s="839"/>
      <c r="E42" s="839"/>
      <c r="F42" s="839"/>
      <c r="G42" s="839"/>
      <c r="H42" s="836"/>
      <c r="I42" s="836"/>
      <c r="J42" s="829"/>
      <c r="K42" s="829"/>
      <c r="L42" s="829"/>
      <c r="M42" s="829"/>
      <c r="N42" s="829"/>
      <c r="O42" s="829"/>
      <c r="P42" s="829"/>
      <c r="Q42" s="829"/>
      <c r="R42" s="829"/>
      <c r="S42" s="829"/>
      <c r="T42" s="829"/>
      <c r="U42" s="829"/>
      <c r="V42" s="829"/>
      <c r="W42" s="829"/>
      <c r="X42" s="829"/>
      <c r="Y42" s="829"/>
      <c r="Z42" s="829"/>
    </row>
    <row r="43">
      <c r="A43" s="833">
        <v>41.0</v>
      </c>
      <c r="B43" s="834" t="b">
        <v>0</v>
      </c>
      <c r="C43" s="840" t="s">
        <v>5924</v>
      </c>
      <c r="D43" s="836"/>
      <c r="E43" s="836"/>
      <c r="F43" s="836"/>
      <c r="G43" s="836"/>
      <c r="H43" s="836"/>
      <c r="I43" s="836"/>
      <c r="J43" s="829"/>
      <c r="K43" s="829"/>
      <c r="L43" s="829"/>
      <c r="M43" s="829"/>
      <c r="N43" s="829"/>
      <c r="O43" s="829"/>
      <c r="P43" s="829"/>
      <c r="Q43" s="829"/>
      <c r="R43" s="829"/>
      <c r="S43" s="829"/>
      <c r="T43" s="829"/>
      <c r="U43" s="829"/>
      <c r="V43" s="829"/>
      <c r="W43" s="829"/>
      <c r="X43" s="829"/>
      <c r="Y43" s="829"/>
      <c r="Z43" s="829"/>
    </row>
    <row r="44">
      <c r="A44" s="833">
        <v>42.0</v>
      </c>
      <c r="B44" s="834" t="b">
        <v>0</v>
      </c>
      <c r="C44" s="840" t="s">
        <v>5925</v>
      </c>
      <c r="D44" s="839"/>
      <c r="E44" s="839"/>
      <c r="F44" s="839"/>
      <c r="G44" s="839"/>
      <c r="H44" s="836"/>
      <c r="I44" s="836"/>
      <c r="J44" s="829"/>
      <c r="K44" s="829"/>
      <c r="L44" s="829"/>
      <c r="M44" s="829"/>
      <c r="N44" s="829"/>
      <c r="O44" s="829"/>
      <c r="P44" s="829"/>
      <c r="Q44" s="829"/>
      <c r="R44" s="829"/>
      <c r="S44" s="829"/>
      <c r="T44" s="829"/>
      <c r="U44" s="829"/>
      <c r="V44" s="829"/>
      <c r="W44" s="829"/>
      <c r="X44" s="829"/>
      <c r="Y44" s="829"/>
      <c r="Z44" s="829"/>
    </row>
    <row r="45">
      <c r="A45" s="833">
        <v>43.0</v>
      </c>
      <c r="B45" s="834" t="b">
        <v>0</v>
      </c>
      <c r="C45" s="840" t="s">
        <v>5926</v>
      </c>
      <c r="D45" s="836"/>
      <c r="E45" s="836"/>
      <c r="F45" s="836"/>
      <c r="G45" s="836"/>
      <c r="H45" s="836"/>
      <c r="I45" s="836"/>
      <c r="J45" s="829"/>
      <c r="K45" s="829"/>
      <c r="L45" s="829"/>
      <c r="M45" s="829"/>
      <c r="N45" s="829"/>
      <c r="O45" s="829"/>
      <c r="P45" s="829"/>
      <c r="Q45" s="829"/>
      <c r="R45" s="829"/>
      <c r="S45" s="829"/>
      <c r="T45" s="829"/>
      <c r="U45" s="829"/>
      <c r="V45" s="829"/>
      <c r="W45" s="829"/>
      <c r="X45" s="829"/>
      <c r="Y45" s="829"/>
      <c r="Z45" s="829"/>
    </row>
    <row r="46">
      <c r="A46" s="833">
        <v>44.0</v>
      </c>
      <c r="B46" s="834" t="b">
        <v>0</v>
      </c>
      <c r="C46" s="840" t="s">
        <v>5927</v>
      </c>
      <c r="D46" s="839"/>
      <c r="E46" s="839"/>
      <c r="F46" s="839"/>
      <c r="G46" s="839"/>
      <c r="H46" s="836"/>
      <c r="I46" s="836"/>
      <c r="J46" s="829"/>
      <c r="K46" s="829"/>
      <c r="L46" s="829"/>
      <c r="M46" s="829"/>
      <c r="N46" s="829"/>
      <c r="O46" s="829"/>
      <c r="P46" s="829"/>
      <c r="Q46" s="829"/>
      <c r="R46" s="829"/>
      <c r="S46" s="829"/>
      <c r="T46" s="829"/>
      <c r="U46" s="829"/>
      <c r="V46" s="829"/>
      <c r="W46" s="829"/>
      <c r="X46" s="829"/>
      <c r="Y46" s="829"/>
      <c r="Z46" s="829"/>
    </row>
    <row r="47">
      <c r="A47" s="833">
        <v>45.0</v>
      </c>
      <c r="B47" s="834" t="b">
        <v>0</v>
      </c>
      <c r="C47" s="840" t="s">
        <v>5928</v>
      </c>
      <c r="D47" s="836"/>
      <c r="E47" s="836"/>
      <c r="F47" s="836"/>
      <c r="G47" s="836"/>
      <c r="H47" s="836"/>
      <c r="I47" s="836"/>
      <c r="J47" s="829"/>
      <c r="K47" s="829"/>
      <c r="L47" s="829"/>
      <c r="M47" s="829"/>
      <c r="N47" s="829"/>
      <c r="O47" s="829"/>
      <c r="P47" s="829"/>
      <c r="Q47" s="829"/>
      <c r="R47" s="829"/>
      <c r="S47" s="829"/>
      <c r="T47" s="829"/>
      <c r="U47" s="829"/>
      <c r="V47" s="829"/>
      <c r="W47" s="829"/>
      <c r="X47" s="829"/>
      <c r="Y47" s="829"/>
      <c r="Z47" s="829"/>
    </row>
    <row r="48">
      <c r="A48" s="833">
        <v>46.0</v>
      </c>
      <c r="B48" s="834" t="b">
        <v>0</v>
      </c>
      <c r="C48" s="840" t="s">
        <v>5929</v>
      </c>
      <c r="D48" s="839"/>
      <c r="E48" s="839"/>
      <c r="F48" s="839"/>
      <c r="G48" s="839"/>
      <c r="H48" s="836"/>
      <c r="I48" s="836"/>
      <c r="J48" s="829"/>
      <c r="K48" s="829"/>
      <c r="L48" s="829"/>
      <c r="M48" s="829"/>
      <c r="N48" s="829"/>
      <c r="O48" s="829"/>
      <c r="P48" s="829"/>
      <c r="Q48" s="829"/>
      <c r="R48" s="829"/>
      <c r="S48" s="829"/>
      <c r="T48" s="829"/>
      <c r="U48" s="829"/>
      <c r="V48" s="829"/>
      <c r="W48" s="829"/>
      <c r="X48" s="829"/>
      <c r="Y48" s="829"/>
      <c r="Z48" s="829"/>
    </row>
    <row r="49">
      <c r="A49" s="833">
        <v>47.0</v>
      </c>
      <c r="B49" s="834" t="b">
        <v>0</v>
      </c>
      <c r="C49" s="840" t="s">
        <v>5930</v>
      </c>
      <c r="D49" s="836"/>
      <c r="E49" s="836"/>
      <c r="F49" s="836"/>
      <c r="G49" s="836"/>
      <c r="H49" s="836"/>
      <c r="I49" s="836"/>
      <c r="J49" s="829"/>
      <c r="K49" s="829"/>
      <c r="L49" s="829"/>
      <c r="M49" s="829"/>
      <c r="N49" s="829"/>
      <c r="O49" s="829"/>
      <c r="P49" s="829"/>
      <c r="Q49" s="829"/>
      <c r="R49" s="829"/>
      <c r="S49" s="829"/>
      <c r="T49" s="829"/>
      <c r="U49" s="829"/>
      <c r="V49" s="829"/>
      <c r="W49" s="829"/>
      <c r="X49" s="829"/>
      <c r="Y49" s="829"/>
      <c r="Z49" s="829"/>
    </row>
    <row r="50">
      <c r="A50" s="833">
        <v>48.0</v>
      </c>
      <c r="B50" s="855" t="b">
        <v>1</v>
      </c>
      <c r="C50" s="840" t="s">
        <v>5931</v>
      </c>
      <c r="D50" s="839"/>
      <c r="E50" s="853" t="s">
        <v>5932</v>
      </c>
      <c r="F50" s="839"/>
      <c r="G50" s="839"/>
      <c r="H50" s="836"/>
      <c r="I50" s="836"/>
      <c r="J50" s="829"/>
      <c r="K50" s="829"/>
      <c r="L50" s="829"/>
      <c r="M50" s="829"/>
      <c r="N50" s="829"/>
      <c r="O50" s="829"/>
      <c r="P50" s="829"/>
      <c r="Q50" s="829"/>
      <c r="R50" s="829"/>
      <c r="S50" s="829"/>
      <c r="T50" s="829"/>
      <c r="U50" s="829"/>
      <c r="V50" s="829"/>
      <c r="W50" s="829"/>
      <c r="X50" s="829"/>
      <c r="Y50" s="829"/>
      <c r="Z50" s="829"/>
    </row>
    <row r="51">
      <c r="A51" s="833">
        <v>49.0</v>
      </c>
      <c r="B51" s="834" t="b">
        <v>0</v>
      </c>
      <c r="C51" s="840" t="s">
        <v>5933</v>
      </c>
      <c r="D51" s="836"/>
      <c r="E51" s="836"/>
      <c r="F51" s="836"/>
      <c r="G51" s="836"/>
      <c r="H51" s="836"/>
      <c r="I51" s="836"/>
      <c r="J51" s="829"/>
      <c r="K51" s="829"/>
      <c r="L51" s="829"/>
      <c r="M51" s="829"/>
      <c r="N51" s="829"/>
      <c r="O51" s="829"/>
      <c r="P51" s="829"/>
      <c r="Q51" s="829"/>
      <c r="R51" s="829"/>
      <c r="S51" s="829"/>
      <c r="T51" s="829"/>
      <c r="U51" s="829"/>
      <c r="V51" s="829"/>
      <c r="W51" s="829"/>
      <c r="X51" s="829"/>
      <c r="Y51" s="829"/>
      <c r="Z51" s="829"/>
    </row>
    <row r="52">
      <c r="A52" s="833">
        <v>50.0</v>
      </c>
      <c r="B52" s="855" t="b">
        <v>1</v>
      </c>
      <c r="C52" s="856" t="s">
        <v>5934</v>
      </c>
      <c r="D52" s="839"/>
      <c r="E52" s="853" t="s">
        <v>5935</v>
      </c>
      <c r="F52" s="839"/>
      <c r="G52" s="839"/>
      <c r="H52" s="836"/>
      <c r="I52" s="836"/>
      <c r="J52" s="829"/>
      <c r="K52" s="829"/>
      <c r="L52" s="829"/>
      <c r="M52" s="829"/>
      <c r="N52" s="829"/>
      <c r="O52" s="829"/>
      <c r="P52" s="829"/>
      <c r="Q52" s="829"/>
      <c r="R52" s="829"/>
      <c r="S52" s="829"/>
      <c r="T52" s="829"/>
      <c r="U52" s="829"/>
      <c r="V52" s="829"/>
      <c r="W52" s="829"/>
      <c r="X52" s="829"/>
      <c r="Y52" s="829"/>
      <c r="Z52" s="829"/>
    </row>
    <row r="53">
      <c r="A53" s="833">
        <v>51.0</v>
      </c>
      <c r="B53" s="855" t="b">
        <v>1</v>
      </c>
      <c r="C53" s="857" t="s">
        <v>5936</v>
      </c>
      <c r="D53" s="836"/>
      <c r="E53" s="852" t="s">
        <v>5937</v>
      </c>
      <c r="F53" s="836"/>
      <c r="G53" s="852" t="s">
        <v>5938</v>
      </c>
      <c r="H53" s="836"/>
      <c r="I53" s="836"/>
      <c r="J53" s="829"/>
      <c r="K53" s="829"/>
      <c r="L53" s="829"/>
      <c r="M53" s="829"/>
      <c r="N53" s="829"/>
      <c r="O53" s="829"/>
      <c r="P53" s="829"/>
      <c r="Q53" s="829"/>
      <c r="R53" s="829"/>
      <c r="S53" s="829"/>
      <c r="T53" s="829"/>
      <c r="U53" s="829"/>
      <c r="V53" s="829"/>
      <c r="W53" s="829"/>
      <c r="X53" s="829"/>
      <c r="Y53" s="829"/>
      <c r="Z53" s="829"/>
    </row>
    <row r="54">
      <c r="A54" s="833">
        <v>52.0</v>
      </c>
      <c r="B54" s="834" t="b">
        <v>0</v>
      </c>
      <c r="C54" s="839"/>
      <c r="D54" s="839"/>
      <c r="E54" s="839"/>
      <c r="F54" s="839"/>
      <c r="G54" s="839"/>
      <c r="H54" s="836"/>
      <c r="I54" s="836"/>
      <c r="J54" s="829"/>
      <c r="K54" s="829"/>
      <c r="L54" s="829"/>
      <c r="M54" s="829"/>
      <c r="N54" s="829"/>
      <c r="O54" s="829"/>
      <c r="P54" s="829"/>
      <c r="Q54" s="829"/>
      <c r="R54" s="829"/>
      <c r="S54" s="829"/>
      <c r="T54" s="829"/>
      <c r="U54" s="829"/>
      <c r="V54" s="829"/>
      <c r="W54" s="829"/>
      <c r="X54" s="829"/>
      <c r="Y54" s="829"/>
      <c r="Z54" s="829"/>
    </row>
    <row r="55">
      <c r="A55" s="833">
        <v>53.0</v>
      </c>
      <c r="B55" s="834" t="b">
        <v>0</v>
      </c>
      <c r="C55" s="839"/>
      <c r="D55" s="836"/>
      <c r="E55" s="836"/>
      <c r="F55" s="836"/>
      <c r="G55" s="836"/>
      <c r="H55" s="836"/>
      <c r="I55" s="836"/>
      <c r="J55" s="829"/>
      <c r="K55" s="829"/>
      <c r="L55" s="829"/>
      <c r="M55" s="829"/>
      <c r="N55" s="829"/>
      <c r="O55" s="829"/>
      <c r="P55" s="829"/>
      <c r="Q55" s="829"/>
      <c r="R55" s="829"/>
      <c r="S55" s="829"/>
      <c r="T55" s="829"/>
      <c r="U55" s="829"/>
      <c r="V55" s="829"/>
      <c r="W55" s="829"/>
      <c r="X55" s="829"/>
      <c r="Y55" s="829"/>
      <c r="Z55" s="829"/>
    </row>
    <row r="56">
      <c r="A56" s="833">
        <v>54.0</v>
      </c>
      <c r="B56" s="834" t="b">
        <v>0</v>
      </c>
      <c r="C56" s="839"/>
      <c r="D56" s="839"/>
      <c r="E56" s="839"/>
      <c r="F56" s="839"/>
      <c r="G56" s="839"/>
      <c r="H56" s="836"/>
      <c r="I56" s="836"/>
      <c r="J56" s="829"/>
      <c r="K56" s="829"/>
      <c r="L56" s="829"/>
      <c r="M56" s="829"/>
      <c r="N56" s="829"/>
      <c r="O56" s="829"/>
      <c r="P56" s="829"/>
      <c r="Q56" s="829"/>
      <c r="R56" s="829"/>
      <c r="S56" s="829"/>
      <c r="T56" s="829"/>
      <c r="U56" s="829"/>
      <c r="V56" s="829"/>
      <c r="W56" s="829"/>
      <c r="X56" s="829"/>
      <c r="Y56" s="829"/>
      <c r="Z56" s="829"/>
    </row>
    <row r="57">
      <c r="A57" s="833">
        <v>55.0</v>
      </c>
      <c r="B57" s="834" t="b">
        <v>0</v>
      </c>
      <c r="C57" s="839"/>
      <c r="D57" s="836"/>
      <c r="E57" s="836"/>
      <c r="F57" s="836"/>
      <c r="G57" s="836"/>
      <c r="H57" s="836"/>
      <c r="I57" s="836"/>
      <c r="J57" s="829"/>
      <c r="K57" s="829"/>
      <c r="L57" s="829"/>
      <c r="M57" s="829"/>
      <c r="N57" s="829"/>
      <c r="O57" s="829"/>
      <c r="P57" s="829"/>
      <c r="Q57" s="829"/>
      <c r="R57" s="829"/>
      <c r="S57" s="829"/>
      <c r="T57" s="829"/>
      <c r="U57" s="829"/>
      <c r="V57" s="829"/>
      <c r="W57" s="829"/>
      <c r="X57" s="829"/>
      <c r="Y57" s="829"/>
      <c r="Z57" s="829"/>
    </row>
    <row r="58">
      <c r="A58" s="833">
        <v>56.0</v>
      </c>
      <c r="B58" s="834" t="b">
        <v>0</v>
      </c>
      <c r="C58" s="839"/>
      <c r="D58" s="839"/>
      <c r="E58" s="839"/>
      <c r="F58" s="839"/>
      <c r="G58" s="839"/>
      <c r="H58" s="836"/>
      <c r="I58" s="836"/>
      <c r="J58" s="829"/>
      <c r="K58" s="829"/>
      <c r="L58" s="829"/>
      <c r="M58" s="829"/>
      <c r="N58" s="829"/>
      <c r="O58" s="829"/>
      <c r="P58" s="829"/>
      <c r="Q58" s="829"/>
      <c r="R58" s="829"/>
      <c r="S58" s="829"/>
      <c r="T58" s="829"/>
      <c r="U58" s="829"/>
      <c r="V58" s="829"/>
      <c r="W58" s="829"/>
      <c r="X58" s="829"/>
      <c r="Y58" s="829"/>
      <c r="Z58" s="829"/>
    </row>
    <row r="59">
      <c r="A59" s="833">
        <v>57.0</v>
      </c>
      <c r="B59" s="834" t="b">
        <v>0</v>
      </c>
      <c r="C59" s="839"/>
      <c r="D59" s="836"/>
      <c r="E59" s="836"/>
      <c r="F59" s="836"/>
      <c r="G59" s="836"/>
      <c r="H59" s="836"/>
      <c r="I59" s="836"/>
      <c r="J59" s="829"/>
      <c r="K59" s="829"/>
      <c r="L59" s="829"/>
      <c r="M59" s="829"/>
      <c r="N59" s="829"/>
      <c r="O59" s="829"/>
      <c r="P59" s="829"/>
      <c r="Q59" s="829"/>
      <c r="R59" s="829"/>
      <c r="S59" s="829"/>
      <c r="T59" s="829"/>
      <c r="U59" s="829"/>
      <c r="V59" s="829"/>
      <c r="W59" s="829"/>
      <c r="X59" s="829"/>
      <c r="Y59" s="829"/>
      <c r="Z59" s="829"/>
    </row>
    <row r="60">
      <c r="A60" s="833">
        <v>58.0</v>
      </c>
      <c r="B60" s="834" t="b">
        <v>0</v>
      </c>
      <c r="C60" s="839"/>
      <c r="D60" s="839"/>
      <c r="E60" s="839"/>
      <c r="F60" s="839"/>
      <c r="G60" s="839"/>
      <c r="H60" s="836"/>
      <c r="I60" s="836"/>
      <c r="J60" s="829"/>
      <c r="K60" s="829"/>
      <c r="L60" s="829"/>
      <c r="M60" s="829"/>
      <c r="N60" s="829"/>
      <c r="O60" s="829"/>
      <c r="P60" s="829"/>
      <c r="Q60" s="829"/>
      <c r="R60" s="829"/>
      <c r="S60" s="829"/>
      <c r="T60" s="829"/>
      <c r="U60" s="829"/>
      <c r="V60" s="829"/>
      <c r="W60" s="829"/>
      <c r="X60" s="829"/>
      <c r="Y60" s="829"/>
      <c r="Z60" s="829"/>
    </row>
    <row r="61">
      <c r="A61" s="833">
        <v>59.0</v>
      </c>
      <c r="B61" s="834" t="b">
        <v>0</v>
      </c>
      <c r="C61" s="839"/>
      <c r="D61" s="836"/>
      <c r="E61" s="836"/>
      <c r="F61" s="836"/>
      <c r="G61" s="836"/>
      <c r="H61" s="836"/>
      <c r="I61" s="836"/>
      <c r="J61" s="829"/>
      <c r="K61" s="829"/>
      <c r="L61" s="829"/>
      <c r="M61" s="829"/>
      <c r="N61" s="829"/>
      <c r="O61" s="829"/>
      <c r="P61" s="829"/>
      <c r="Q61" s="829"/>
      <c r="R61" s="829"/>
      <c r="S61" s="829"/>
      <c r="T61" s="829"/>
      <c r="U61" s="829"/>
      <c r="V61" s="829"/>
      <c r="W61" s="829"/>
      <c r="X61" s="829"/>
      <c r="Y61" s="829"/>
      <c r="Z61" s="829"/>
    </row>
    <row r="62">
      <c r="A62" s="833">
        <v>60.0</v>
      </c>
      <c r="B62" s="834" t="b">
        <v>0</v>
      </c>
      <c r="C62" s="839"/>
      <c r="D62" s="839"/>
      <c r="E62" s="839"/>
      <c r="F62" s="839"/>
      <c r="G62" s="839"/>
      <c r="H62" s="836"/>
      <c r="I62" s="836"/>
      <c r="J62" s="829"/>
      <c r="K62" s="829"/>
      <c r="L62" s="829"/>
      <c r="M62" s="829"/>
      <c r="N62" s="829"/>
      <c r="O62" s="829"/>
      <c r="P62" s="829"/>
      <c r="Q62" s="829"/>
      <c r="R62" s="829"/>
      <c r="S62" s="829"/>
      <c r="T62" s="829"/>
      <c r="U62" s="829"/>
      <c r="V62" s="829"/>
      <c r="W62" s="829"/>
      <c r="X62" s="829"/>
      <c r="Y62" s="829"/>
      <c r="Z62" s="829"/>
    </row>
    <row r="63">
      <c r="A63" s="833">
        <v>61.0</v>
      </c>
      <c r="B63" s="834" t="b">
        <v>0</v>
      </c>
      <c r="C63" s="839"/>
      <c r="D63" s="836"/>
      <c r="E63" s="836"/>
      <c r="F63" s="836"/>
      <c r="G63" s="836"/>
      <c r="H63" s="836"/>
      <c r="I63" s="836"/>
      <c r="J63" s="829"/>
      <c r="K63" s="829"/>
      <c r="L63" s="829"/>
      <c r="M63" s="829"/>
      <c r="N63" s="829"/>
      <c r="O63" s="829"/>
      <c r="P63" s="829"/>
      <c r="Q63" s="829"/>
      <c r="R63" s="829"/>
      <c r="S63" s="829"/>
      <c r="T63" s="829"/>
      <c r="U63" s="829"/>
      <c r="V63" s="829"/>
      <c r="W63" s="829"/>
      <c r="X63" s="829"/>
      <c r="Y63" s="829"/>
      <c r="Z63" s="829"/>
    </row>
    <row r="64">
      <c r="A64" s="833">
        <v>62.0</v>
      </c>
      <c r="B64" s="834" t="b">
        <v>0</v>
      </c>
      <c r="C64" s="839"/>
      <c r="D64" s="839"/>
      <c r="E64" s="839"/>
      <c r="F64" s="839"/>
      <c r="G64" s="839"/>
      <c r="H64" s="836"/>
      <c r="I64" s="836"/>
      <c r="J64" s="829"/>
      <c r="K64" s="829"/>
      <c r="L64" s="829"/>
      <c r="M64" s="829"/>
      <c r="N64" s="829"/>
      <c r="O64" s="829"/>
      <c r="P64" s="829"/>
      <c r="Q64" s="829"/>
      <c r="R64" s="829"/>
      <c r="S64" s="829"/>
      <c r="T64" s="829"/>
      <c r="U64" s="829"/>
      <c r="V64" s="829"/>
      <c r="W64" s="829"/>
      <c r="X64" s="829"/>
      <c r="Y64" s="829"/>
      <c r="Z64" s="829"/>
    </row>
    <row r="65">
      <c r="A65" s="833">
        <v>63.0</v>
      </c>
      <c r="B65" s="834" t="b">
        <v>0</v>
      </c>
      <c r="C65" s="839"/>
      <c r="D65" s="836"/>
      <c r="E65" s="836"/>
      <c r="F65" s="836"/>
      <c r="G65" s="836"/>
      <c r="H65" s="836"/>
      <c r="I65" s="836"/>
      <c r="J65" s="829"/>
      <c r="K65" s="829"/>
      <c r="L65" s="829"/>
      <c r="M65" s="829"/>
      <c r="N65" s="829"/>
      <c r="O65" s="829"/>
      <c r="P65" s="829"/>
      <c r="Q65" s="829"/>
      <c r="R65" s="829"/>
      <c r="S65" s="829"/>
      <c r="T65" s="829"/>
      <c r="U65" s="829"/>
      <c r="V65" s="829"/>
      <c r="W65" s="829"/>
      <c r="X65" s="829"/>
      <c r="Y65" s="829"/>
      <c r="Z65" s="829"/>
    </row>
    <row r="66">
      <c r="A66" s="829"/>
      <c r="B66" s="829"/>
      <c r="C66" s="829"/>
      <c r="D66" s="829"/>
      <c r="E66" s="829"/>
      <c r="F66" s="829"/>
      <c r="G66" s="829"/>
      <c r="H66" s="829"/>
      <c r="I66" s="829"/>
      <c r="J66" s="829"/>
      <c r="K66" s="829"/>
      <c r="L66" s="829"/>
      <c r="M66" s="829"/>
      <c r="N66" s="829"/>
      <c r="O66" s="829"/>
      <c r="P66" s="829"/>
      <c r="Q66" s="829"/>
      <c r="R66" s="829"/>
      <c r="S66" s="829"/>
      <c r="T66" s="829"/>
      <c r="U66" s="829"/>
      <c r="V66" s="829"/>
      <c r="W66" s="829"/>
      <c r="X66" s="829"/>
      <c r="Y66" s="829"/>
      <c r="Z66" s="829"/>
    </row>
    <row r="67">
      <c r="A67" s="829"/>
      <c r="B67" s="829"/>
      <c r="C67" s="829"/>
      <c r="D67" s="829"/>
      <c r="E67" s="829"/>
      <c r="F67" s="829"/>
      <c r="G67" s="829"/>
      <c r="H67" s="829"/>
      <c r="I67" s="829"/>
      <c r="J67" s="829"/>
      <c r="K67" s="829"/>
      <c r="L67" s="829"/>
      <c r="M67" s="829"/>
      <c r="N67" s="829"/>
      <c r="O67" s="829"/>
      <c r="P67" s="829"/>
      <c r="Q67" s="829"/>
      <c r="R67" s="829"/>
      <c r="S67" s="829"/>
      <c r="T67" s="829"/>
      <c r="U67" s="829"/>
      <c r="V67" s="829"/>
      <c r="W67" s="829"/>
      <c r="X67" s="829"/>
      <c r="Y67" s="829"/>
      <c r="Z67" s="829"/>
    </row>
    <row r="68">
      <c r="A68" s="829"/>
      <c r="B68" s="829"/>
      <c r="C68" s="829"/>
      <c r="D68" s="829"/>
      <c r="E68" s="829"/>
      <c r="F68" s="829"/>
      <c r="G68" s="829"/>
      <c r="H68" s="829"/>
      <c r="I68" s="829"/>
      <c r="J68" s="829"/>
      <c r="K68" s="829"/>
      <c r="L68" s="829"/>
      <c r="M68" s="829"/>
      <c r="N68" s="829"/>
      <c r="O68" s="829"/>
      <c r="P68" s="829"/>
      <c r="Q68" s="829"/>
      <c r="R68" s="829"/>
      <c r="S68" s="829"/>
      <c r="T68" s="829"/>
      <c r="U68" s="829"/>
      <c r="V68" s="829"/>
      <c r="W68" s="829"/>
      <c r="X68" s="829"/>
      <c r="Y68" s="829"/>
      <c r="Z68" s="829"/>
    </row>
    <row r="69">
      <c r="A69" s="829"/>
      <c r="B69" s="829"/>
      <c r="C69" s="829"/>
      <c r="D69" s="829"/>
      <c r="E69" s="829"/>
      <c r="F69" s="829"/>
      <c r="G69" s="829"/>
      <c r="H69" s="829"/>
      <c r="I69" s="829"/>
      <c r="J69" s="829"/>
      <c r="K69" s="829"/>
      <c r="L69" s="829"/>
      <c r="M69" s="829"/>
      <c r="N69" s="829"/>
      <c r="O69" s="829"/>
      <c r="P69" s="829"/>
      <c r="Q69" s="829"/>
      <c r="R69" s="829"/>
      <c r="S69" s="829"/>
      <c r="T69" s="829"/>
      <c r="U69" s="829"/>
      <c r="V69" s="829"/>
      <c r="W69" s="829"/>
      <c r="X69" s="829"/>
      <c r="Y69" s="829"/>
      <c r="Z69" s="829"/>
    </row>
    <row r="70">
      <c r="A70" s="829"/>
      <c r="B70" s="829"/>
      <c r="C70" s="829"/>
      <c r="D70" s="829"/>
      <c r="E70" s="829"/>
      <c r="F70" s="829"/>
      <c r="G70" s="829"/>
      <c r="H70" s="829"/>
      <c r="I70" s="829"/>
      <c r="J70" s="829"/>
      <c r="K70" s="829"/>
      <c r="L70" s="829"/>
      <c r="M70" s="829"/>
      <c r="N70" s="829"/>
      <c r="O70" s="829"/>
      <c r="P70" s="829"/>
      <c r="Q70" s="829"/>
      <c r="R70" s="829"/>
      <c r="S70" s="829"/>
      <c r="T70" s="829"/>
      <c r="U70" s="829"/>
      <c r="V70" s="829"/>
      <c r="W70" s="829"/>
      <c r="X70" s="829"/>
      <c r="Y70" s="829"/>
      <c r="Z70" s="829"/>
    </row>
    <row r="71">
      <c r="A71" s="829"/>
      <c r="B71" s="829"/>
      <c r="C71" s="829"/>
      <c r="D71" s="829"/>
      <c r="E71" s="829"/>
      <c r="F71" s="829"/>
      <c r="G71" s="829"/>
      <c r="H71" s="829"/>
      <c r="I71" s="829"/>
      <c r="J71" s="829"/>
      <c r="K71" s="829"/>
      <c r="L71" s="829"/>
      <c r="M71" s="829"/>
      <c r="N71" s="829"/>
      <c r="O71" s="829"/>
      <c r="P71" s="829"/>
      <c r="Q71" s="829"/>
      <c r="R71" s="829"/>
      <c r="S71" s="829"/>
      <c r="T71" s="829"/>
      <c r="U71" s="829"/>
      <c r="V71" s="829"/>
      <c r="W71" s="829"/>
      <c r="X71" s="829"/>
      <c r="Y71" s="829"/>
      <c r="Z71" s="829"/>
    </row>
    <row r="72">
      <c r="A72" s="829"/>
      <c r="B72" s="829"/>
      <c r="C72" s="829"/>
      <c r="D72" s="829"/>
      <c r="E72" s="829"/>
      <c r="F72" s="829"/>
      <c r="G72" s="829"/>
      <c r="H72" s="829"/>
      <c r="I72" s="829"/>
      <c r="J72" s="829"/>
      <c r="K72" s="829"/>
      <c r="L72" s="829"/>
      <c r="M72" s="829"/>
      <c r="N72" s="829"/>
      <c r="O72" s="829"/>
      <c r="P72" s="829"/>
      <c r="Q72" s="829"/>
      <c r="R72" s="829"/>
      <c r="S72" s="829"/>
      <c r="T72" s="829"/>
      <c r="U72" s="829"/>
      <c r="V72" s="829"/>
      <c r="W72" s="829"/>
      <c r="X72" s="829"/>
      <c r="Y72" s="829"/>
      <c r="Z72" s="829"/>
    </row>
    <row r="73">
      <c r="A73" s="829"/>
      <c r="B73" s="829"/>
      <c r="C73" s="829"/>
      <c r="D73" s="829"/>
      <c r="E73" s="829"/>
      <c r="F73" s="829"/>
      <c r="G73" s="829"/>
      <c r="H73" s="829"/>
      <c r="I73" s="829"/>
      <c r="J73" s="829"/>
      <c r="K73" s="829"/>
      <c r="L73" s="829"/>
      <c r="M73" s="829"/>
      <c r="N73" s="829"/>
      <c r="O73" s="829"/>
      <c r="P73" s="829"/>
      <c r="Q73" s="829"/>
      <c r="R73" s="829"/>
      <c r="S73" s="829"/>
      <c r="T73" s="829"/>
      <c r="U73" s="829"/>
      <c r="V73" s="829"/>
      <c r="W73" s="829"/>
      <c r="X73" s="829"/>
      <c r="Y73" s="829"/>
      <c r="Z73" s="829"/>
    </row>
    <row r="74">
      <c r="A74" s="829"/>
      <c r="B74" s="829"/>
      <c r="C74" s="829"/>
      <c r="D74" s="829"/>
      <c r="E74" s="829"/>
      <c r="F74" s="829"/>
      <c r="G74" s="829"/>
      <c r="H74" s="829"/>
      <c r="I74" s="829"/>
      <c r="J74" s="829"/>
      <c r="K74" s="829"/>
      <c r="L74" s="829"/>
      <c r="M74" s="829"/>
      <c r="N74" s="829"/>
      <c r="O74" s="829"/>
      <c r="P74" s="829"/>
      <c r="Q74" s="829"/>
      <c r="R74" s="829"/>
      <c r="S74" s="829"/>
      <c r="T74" s="829"/>
      <c r="U74" s="829"/>
      <c r="V74" s="829"/>
      <c r="W74" s="829"/>
      <c r="X74" s="829"/>
      <c r="Y74" s="829"/>
      <c r="Z74" s="829"/>
    </row>
    <row r="75">
      <c r="A75" s="829"/>
      <c r="B75" s="829"/>
      <c r="C75" s="829"/>
      <c r="D75" s="829"/>
      <c r="E75" s="829"/>
      <c r="F75" s="829"/>
      <c r="G75" s="829"/>
      <c r="H75" s="829"/>
      <c r="I75" s="829"/>
      <c r="J75" s="829"/>
      <c r="K75" s="829"/>
      <c r="L75" s="829"/>
      <c r="M75" s="829"/>
      <c r="N75" s="829"/>
      <c r="O75" s="829"/>
      <c r="P75" s="829"/>
      <c r="Q75" s="829"/>
      <c r="R75" s="829"/>
      <c r="S75" s="829"/>
      <c r="T75" s="829"/>
      <c r="U75" s="829"/>
      <c r="V75" s="829"/>
      <c r="W75" s="829"/>
      <c r="X75" s="829"/>
      <c r="Y75" s="829"/>
      <c r="Z75" s="829"/>
    </row>
    <row r="76">
      <c r="A76" s="829"/>
      <c r="B76" s="829"/>
      <c r="C76" s="829"/>
      <c r="D76" s="829"/>
      <c r="E76" s="829"/>
      <c r="F76" s="829"/>
      <c r="G76" s="829"/>
      <c r="H76" s="829"/>
      <c r="I76" s="829"/>
      <c r="J76" s="829"/>
      <c r="K76" s="829"/>
      <c r="L76" s="829"/>
      <c r="M76" s="829"/>
      <c r="N76" s="829"/>
      <c r="O76" s="829"/>
      <c r="P76" s="829"/>
      <c r="Q76" s="829"/>
      <c r="R76" s="829"/>
      <c r="S76" s="829"/>
      <c r="T76" s="829"/>
      <c r="U76" s="829"/>
      <c r="V76" s="829"/>
      <c r="W76" s="829"/>
      <c r="X76" s="829"/>
      <c r="Y76" s="829"/>
      <c r="Z76" s="829"/>
    </row>
    <row r="77">
      <c r="A77" s="829"/>
      <c r="B77" s="829"/>
      <c r="C77" s="829"/>
      <c r="D77" s="829"/>
      <c r="E77" s="829"/>
      <c r="F77" s="829"/>
      <c r="G77" s="829"/>
      <c r="H77" s="829"/>
      <c r="I77" s="829"/>
      <c r="J77" s="829"/>
      <c r="K77" s="829"/>
      <c r="L77" s="829"/>
      <c r="M77" s="829"/>
      <c r="N77" s="829"/>
      <c r="O77" s="829"/>
      <c r="P77" s="829"/>
      <c r="Q77" s="829"/>
      <c r="R77" s="829"/>
      <c r="S77" s="829"/>
      <c r="T77" s="829"/>
      <c r="U77" s="829"/>
      <c r="V77" s="829"/>
      <c r="W77" s="829"/>
      <c r="X77" s="829"/>
      <c r="Y77" s="829"/>
      <c r="Z77" s="829"/>
    </row>
    <row r="78">
      <c r="A78" s="829"/>
      <c r="B78" s="829"/>
      <c r="C78" s="829"/>
      <c r="D78" s="829"/>
      <c r="E78" s="829"/>
      <c r="F78" s="829"/>
      <c r="G78" s="829"/>
      <c r="H78" s="829"/>
      <c r="I78" s="829"/>
      <c r="J78" s="829"/>
      <c r="K78" s="829"/>
      <c r="L78" s="829"/>
      <c r="M78" s="829"/>
      <c r="N78" s="829"/>
      <c r="O78" s="829"/>
      <c r="P78" s="829"/>
      <c r="Q78" s="829"/>
      <c r="R78" s="829"/>
      <c r="S78" s="829"/>
      <c r="T78" s="829"/>
      <c r="U78" s="829"/>
      <c r="V78" s="829"/>
      <c r="W78" s="829"/>
      <c r="X78" s="829"/>
      <c r="Y78" s="829"/>
      <c r="Z78" s="829"/>
    </row>
    <row r="79">
      <c r="A79" s="829"/>
      <c r="B79" s="829"/>
      <c r="C79" s="829"/>
      <c r="D79" s="829"/>
      <c r="E79" s="829"/>
      <c r="F79" s="829"/>
      <c r="G79" s="829"/>
      <c r="H79" s="829"/>
      <c r="I79" s="829"/>
      <c r="J79" s="829"/>
      <c r="K79" s="829"/>
      <c r="L79" s="829"/>
      <c r="M79" s="829"/>
      <c r="N79" s="829"/>
      <c r="O79" s="829"/>
      <c r="P79" s="829"/>
      <c r="Q79" s="829"/>
      <c r="R79" s="829"/>
      <c r="S79" s="829"/>
      <c r="T79" s="829"/>
      <c r="U79" s="829"/>
      <c r="V79" s="829"/>
      <c r="W79" s="829"/>
      <c r="X79" s="829"/>
      <c r="Y79" s="829"/>
      <c r="Z79" s="829"/>
    </row>
    <row r="80">
      <c r="A80" s="829"/>
      <c r="B80" s="829"/>
      <c r="C80" s="829"/>
      <c r="D80" s="829"/>
      <c r="E80" s="829"/>
      <c r="F80" s="829"/>
      <c r="G80" s="829"/>
      <c r="H80" s="829"/>
      <c r="I80" s="829"/>
      <c r="J80" s="829"/>
      <c r="K80" s="829"/>
      <c r="L80" s="829"/>
      <c r="M80" s="829"/>
      <c r="N80" s="829"/>
      <c r="O80" s="829"/>
      <c r="P80" s="829"/>
      <c r="Q80" s="829"/>
      <c r="R80" s="829"/>
      <c r="S80" s="829"/>
      <c r="T80" s="829"/>
      <c r="U80" s="829"/>
      <c r="V80" s="829"/>
      <c r="W80" s="829"/>
      <c r="X80" s="829"/>
      <c r="Y80" s="829"/>
      <c r="Z80" s="829"/>
    </row>
    <row r="81">
      <c r="A81" s="829"/>
      <c r="B81" s="829"/>
      <c r="C81" s="829"/>
      <c r="D81" s="829"/>
      <c r="E81" s="829"/>
      <c r="F81" s="829"/>
      <c r="G81" s="829"/>
      <c r="H81" s="829"/>
      <c r="I81" s="829"/>
      <c r="J81" s="829"/>
      <c r="K81" s="829"/>
      <c r="L81" s="829"/>
      <c r="M81" s="829"/>
      <c r="N81" s="829"/>
      <c r="O81" s="829"/>
      <c r="P81" s="829"/>
      <c r="Q81" s="829"/>
      <c r="R81" s="829"/>
      <c r="S81" s="829"/>
      <c r="T81" s="829"/>
      <c r="U81" s="829"/>
      <c r="V81" s="829"/>
      <c r="W81" s="829"/>
      <c r="X81" s="829"/>
      <c r="Y81" s="829"/>
      <c r="Z81" s="829"/>
    </row>
    <row r="82">
      <c r="A82" s="829"/>
      <c r="B82" s="829"/>
      <c r="C82" s="829"/>
      <c r="D82" s="829"/>
      <c r="E82" s="829"/>
      <c r="F82" s="829"/>
      <c r="G82" s="829"/>
      <c r="H82" s="829"/>
      <c r="I82" s="829"/>
      <c r="J82" s="829"/>
      <c r="K82" s="829"/>
      <c r="L82" s="829"/>
      <c r="M82" s="829"/>
      <c r="N82" s="829"/>
      <c r="O82" s="829"/>
      <c r="P82" s="829"/>
      <c r="Q82" s="829"/>
      <c r="R82" s="829"/>
      <c r="S82" s="829"/>
      <c r="T82" s="829"/>
      <c r="U82" s="829"/>
      <c r="V82" s="829"/>
      <c r="W82" s="829"/>
      <c r="X82" s="829"/>
      <c r="Y82" s="829"/>
      <c r="Z82" s="829"/>
    </row>
    <row r="83">
      <c r="A83" s="829"/>
      <c r="B83" s="829"/>
      <c r="C83" s="829"/>
      <c r="D83" s="829"/>
      <c r="E83" s="829"/>
      <c r="F83" s="829"/>
      <c r="G83" s="829"/>
      <c r="H83" s="829"/>
      <c r="I83" s="829"/>
      <c r="J83" s="829"/>
      <c r="K83" s="829"/>
      <c r="L83" s="829"/>
      <c r="M83" s="829"/>
      <c r="N83" s="829"/>
      <c r="O83" s="829"/>
      <c r="P83" s="829"/>
      <c r="Q83" s="829"/>
      <c r="R83" s="829"/>
      <c r="S83" s="829"/>
      <c r="T83" s="829"/>
      <c r="U83" s="829"/>
      <c r="V83" s="829"/>
      <c r="W83" s="829"/>
      <c r="X83" s="829"/>
      <c r="Y83" s="829"/>
      <c r="Z83" s="829"/>
    </row>
    <row r="84">
      <c r="A84" s="829"/>
      <c r="B84" s="829"/>
      <c r="C84" s="829"/>
      <c r="D84" s="829"/>
      <c r="E84" s="829"/>
      <c r="F84" s="829"/>
      <c r="G84" s="829"/>
      <c r="H84" s="829"/>
      <c r="I84" s="829"/>
      <c r="J84" s="829"/>
      <c r="K84" s="829"/>
      <c r="L84" s="829"/>
      <c r="M84" s="829"/>
      <c r="N84" s="829"/>
      <c r="O84" s="829"/>
      <c r="P84" s="829"/>
      <c r="Q84" s="829"/>
      <c r="R84" s="829"/>
      <c r="S84" s="829"/>
      <c r="T84" s="829"/>
      <c r="U84" s="829"/>
      <c r="V84" s="829"/>
      <c r="W84" s="829"/>
      <c r="X84" s="829"/>
      <c r="Y84" s="829"/>
      <c r="Z84" s="829"/>
    </row>
    <row r="85">
      <c r="A85" s="829"/>
      <c r="B85" s="829"/>
      <c r="C85" s="829"/>
      <c r="D85" s="829"/>
      <c r="E85" s="829"/>
      <c r="F85" s="829"/>
      <c r="G85" s="829"/>
      <c r="H85" s="829"/>
      <c r="I85" s="829"/>
      <c r="J85" s="829"/>
      <c r="K85" s="829"/>
      <c r="L85" s="829"/>
      <c r="M85" s="829"/>
      <c r="N85" s="829"/>
      <c r="O85" s="829"/>
      <c r="P85" s="829"/>
      <c r="Q85" s="829"/>
      <c r="R85" s="829"/>
      <c r="S85" s="829"/>
      <c r="T85" s="829"/>
      <c r="U85" s="829"/>
      <c r="V85" s="829"/>
      <c r="W85" s="829"/>
      <c r="X85" s="829"/>
      <c r="Y85" s="829"/>
      <c r="Z85" s="829"/>
    </row>
    <row r="86">
      <c r="A86" s="829"/>
      <c r="B86" s="829"/>
      <c r="C86" s="829"/>
      <c r="D86" s="829"/>
      <c r="E86" s="829"/>
      <c r="F86" s="829"/>
      <c r="G86" s="829"/>
      <c r="H86" s="829"/>
      <c r="I86" s="829"/>
      <c r="J86" s="829"/>
      <c r="K86" s="829"/>
      <c r="L86" s="829"/>
      <c r="M86" s="829"/>
      <c r="N86" s="829"/>
      <c r="O86" s="829"/>
      <c r="P86" s="829"/>
      <c r="Q86" s="829"/>
      <c r="R86" s="829"/>
      <c r="S86" s="829"/>
      <c r="T86" s="829"/>
      <c r="U86" s="829"/>
      <c r="V86" s="829"/>
      <c r="W86" s="829"/>
      <c r="X86" s="829"/>
      <c r="Y86" s="829"/>
      <c r="Z86" s="829"/>
    </row>
    <row r="87">
      <c r="A87" s="829"/>
      <c r="B87" s="829"/>
      <c r="C87" s="829"/>
      <c r="D87" s="829"/>
      <c r="E87" s="829"/>
      <c r="F87" s="829"/>
      <c r="G87" s="829"/>
      <c r="H87" s="829"/>
      <c r="I87" s="829"/>
      <c r="J87" s="829"/>
      <c r="K87" s="829"/>
      <c r="L87" s="829"/>
      <c r="M87" s="829"/>
      <c r="N87" s="829"/>
      <c r="O87" s="829"/>
      <c r="P87" s="829"/>
      <c r="Q87" s="829"/>
      <c r="R87" s="829"/>
      <c r="S87" s="829"/>
      <c r="T87" s="829"/>
      <c r="U87" s="829"/>
      <c r="V87" s="829"/>
      <c r="W87" s="829"/>
      <c r="X87" s="829"/>
      <c r="Y87" s="829"/>
      <c r="Z87" s="829"/>
    </row>
    <row r="88">
      <c r="A88" s="829"/>
      <c r="B88" s="829"/>
      <c r="C88" s="829"/>
      <c r="D88" s="829"/>
      <c r="E88" s="829"/>
      <c r="F88" s="829"/>
      <c r="G88" s="829"/>
      <c r="H88" s="829"/>
      <c r="I88" s="829"/>
      <c r="J88" s="829"/>
      <c r="K88" s="829"/>
      <c r="L88" s="829"/>
      <c r="M88" s="829"/>
      <c r="N88" s="829"/>
      <c r="O88" s="829"/>
      <c r="P88" s="829"/>
      <c r="Q88" s="829"/>
      <c r="R88" s="829"/>
      <c r="S88" s="829"/>
      <c r="T88" s="829"/>
      <c r="U88" s="829"/>
      <c r="V88" s="829"/>
      <c r="W88" s="829"/>
      <c r="X88" s="829"/>
      <c r="Y88" s="829"/>
      <c r="Z88" s="829"/>
    </row>
    <row r="89">
      <c r="A89" s="829"/>
      <c r="B89" s="829"/>
      <c r="C89" s="829"/>
      <c r="D89" s="829"/>
      <c r="E89" s="829"/>
      <c r="F89" s="829"/>
      <c r="G89" s="829"/>
      <c r="H89" s="829"/>
      <c r="I89" s="829"/>
      <c r="J89" s="829"/>
      <c r="K89" s="829"/>
      <c r="L89" s="829"/>
      <c r="M89" s="829"/>
      <c r="N89" s="829"/>
      <c r="O89" s="829"/>
      <c r="P89" s="829"/>
      <c r="Q89" s="829"/>
      <c r="R89" s="829"/>
      <c r="S89" s="829"/>
      <c r="T89" s="829"/>
      <c r="U89" s="829"/>
      <c r="V89" s="829"/>
      <c r="W89" s="829"/>
      <c r="X89" s="829"/>
      <c r="Y89" s="829"/>
      <c r="Z89" s="829"/>
    </row>
    <row r="90">
      <c r="A90" s="829"/>
      <c r="B90" s="829"/>
      <c r="C90" s="829"/>
      <c r="D90" s="829"/>
      <c r="E90" s="829"/>
      <c r="F90" s="829"/>
      <c r="G90" s="829"/>
      <c r="H90" s="829"/>
      <c r="I90" s="829"/>
      <c r="J90" s="829"/>
      <c r="K90" s="829"/>
      <c r="L90" s="829"/>
      <c r="M90" s="829"/>
      <c r="N90" s="829"/>
      <c r="O90" s="829"/>
      <c r="P90" s="829"/>
      <c r="Q90" s="829"/>
      <c r="R90" s="829"/>
      <c r="S90" s="829"/>
      <c r="T90" s="829"/>
      <c r="U90" s="829"/>
      <c r="V90" s="829"/>
      <c r="W90" s="829"/>
      <c r="X90" s="829"/>
      <c r="Y90" s="829"/>
      <c r="Z90" s="829"/>
    </row>
    <row r="91">
      <c r="A91" s="829"/>
      <c r="B91" s="829"/>
      <c r="C91" s="829"/>
      <c r="D91" s="829"/>
      <c r="E91" s="829"/>
      <c r="F91" s="829"/>
      <c r="G91" s="829"/>
      <c r="H91" s="829"/>
      <c r="I91" s="829"/>
      <c r="J91" s="829"/>
      <c r="K91" s="829"/>
      <c r="L91" s="829"/>
      <c r="M91" s="829"/>
      <c r="N91" s="829"/>
      <c r="O91" s="829"/>
      <c r="P91" s="829"/>
      <c r="Q91" s="829"/>
      <c r="R91" s="829"/>
      <c r="S91" s="829"/>
      <c r="T91" s="829"/>
      <c r="U91" s="829"/>
      <c r="V91" s="829"/>
      <c r="W91" s="829"/>
      <c r="X91" s="829"/>
      <c r="Y91" s="829"/>
      <c r="Z91" s="829"/>
    </row>
    <row r="92">
      <c r="A92" s="829"/>
      <c r="B92" s="829"/>
      <c r="C92" s="829"/>
      <c r="D92" s="829"/>
      <c r="E92" s="829"/>
      <c r="F92" s="829"/>
      <c r="G92" s="829"/>
      <c r="H92" s="829"/>
      <c r="I92" s="829"/>
      <c r="J92" s="829"/>
      <c r="K92" s="829"/>
      <c r="L92" s="829"/>
      <c r="M92" s="829"/>
      <c r="N92" s="829"/>
      <c r="O92" s="829"/>
      <c r="P92" s="829"/>
      <c r="Q92" s="829"/>
      <c r="R92" s="829"/>
      <c r="S92" s="829"/>
      <c r="T92" s="829"/>
      <c r="U92" s="829"/>
      <c r="V92" s="829"/>
      <c r="W92" s="829"/>
      <c r="X92" s="829"/>
      <c r="Y92" s="829"/>
      <c r="Z92" s="829"/>
    </row>
    <row r="93">
      <c r="A93" s="829"/>
      <c r="B93" s="829"/>
      <c r="C93" s="829"/>
      <c r="D93" s="829"/>
      <c r="E93" s="829"/>
      <c r="F93" s="829"/>
      <c r="G93" s="829"/>
      <c r="H93" s="829"/>
      <c r="I93" s="829"/>
      <c r="J93" s="829"/>
      <c r="K93" s="829"/>
      <c r="L93" s="829"/>
      <c r="M93" s="829"/>
      <c r="N93" s="829"/>
      <c r="O93" s="829"/>
      <c r="P93" s="829"/>
      <c r="Q93" s="829"/>
      <c r="R93" s="829"/>
      <c r="S93" s="829"/>
      <c r="T93" s="829"/>
      <c r="U93" s="829"/>
      <c r="V93" s="829"/>
      <c r="W93" s="829"/>
      <c r="X93" s="829"/>
      <c r="Y93" s="829"/>
      <c r="Z93" s="829"/>
    </row>
    <row r="94">
      <c r="A94" s="829"/>
      <c r="B94" s="829"/>
      <c r="C94" s="829"/>
      <c r="D94" s="829"/>
      <c r="E94" s="829"/>
      <c r="F94" s="829"/>
      <c r="G94" s="829"/>
      <c r="H94" s="829"/>
      <c r="I94" s="829"/>
      <c r="J94" s="829"/>
      <c r="K94" s="829"/>
      <c r="L94" s="829"/>
      <c r="M94" s="829"/>
      <c r="N94" s="829"/>
      <c r="O94" s="829"/>
      <c r="P94" s="829"/>
      <c r="Q94" s="829"/>
      <c r="R94" s="829"/>
      <c r="S94" s="829"/>
      <c r="T94" s="829"/>
      <c r="U94" s="829"/>
      <c r="V94" s="829"/>
      <c r="W94" s="829"/>
      <c r="X94" s="829"/>
      <c r="Y94" s="829"/>
      <c r="Z94" s="829"/>
    </row>
    <row r="95">
      <c r="A95" s="829"/>
      <c r="B95" s="829"/>
      <c r="C95" s="829"/>
      <c r="D95" s="829"/>
      <c r="E95" s="829"/>
      <c r="F95" s="829"/>
      <c r="G95" s="829"/>
      <c r="H95" s="829"/>
      <c r="I95" s="829"/>
      <c r="J95" s="829"/>
      <c r="K95" s="829"/>
      <c r="L95" s="829"/>
      <c r="M95" s="829"/>
      <c r="N95" s="829"/>
      <c r="O95" s="829"/>
      <c r="P95" s="829"/>
      <c r="Q95" s="829"/>
      <c r="R95" s="829"/>
      <c r="S95" s="829"/>
      <c r="T95" s="829"/>
      <c r="U95" s="829"/>
      <c r="V95" s="829"/>
      <c r="W95" s="829"/>
      <c r="X95" s="829"/>
      <c r="Y95" s="829"/>
      <c r="Z95" s="829"/>
    </row>
    <row r="96">
      <c r="A96" s="829"/>
      <c r="B96" s="829"/>
      <c r="C96" s="829"/>
      <c r="D96" s="829"/>
      <c r="E96" s="829"/>
      <c r="F96" s="829"/>
      <c r="G96" s="829"/>
      <c r="H96" s="829"/>
      <c r="I96" s="829"/>
      <c r="J96" s="829"/>
      <c r="K96" s="829"/>
      <c r="L96" s="829"/>
      <c r="M96" s="829"/>
      <c r="N96" s="829"/>
      <c r="O96" s="829"/>
      <c r="P96" s="829"/>
      <c r="Q96" s="829"/>
      <c r="R96" s="829"/>
      <c r="S96" s="829"/>
      <c r="T96" s="829"/>
      <c r="U96" s="829"/>
      <c r="V96" s="829"/>
      <c r="W96" s="829"/>
      <c r="X96" s="829"/>
      <c r="Y96" s="829"/>
      <c r="Z96" s="829"/>
    </row>
    <row r="97">
      <c r="A97" s="829"/>
      <c r="B97" s="829"/>
      <c r="C97" s="829"/>
      <c r="D97" s="829"/>
      <c r="E97" s="829"/>
      <c r="F97" s="829"/>
      <c r="G97" s="829"/>
      <c r="H97" s="829"/>
      <c r="I97" s="829"/>
      <c r="J97" s="829"/>
      <c r="K97" s="829"/>
      <c r="L97" s="829"/>
      <c r="M97" s="829"/>
      <c r="N97" s="829"/>
      <c r="O97" s="829"/>
      <c r="P97" s="829"/>
      <c r="Q97" s="829"/>
      <c r="R97" s="829"/>
      <c r="S97" s="829"/>
      <c r="T97" s="829"/>
      <c r="U97" s="829"/>
      <c r="V97" s="829"/>
      <c r="W97" s="829"/>
      <c r="X97" s="829"/>
      <c r="Y97" s="829"/>
      <c r="Z97" s="829"/>
    </row>
    <row r="98">
      <c r="A98" s="829"/>
      <c r="B98" s="829"/>
      <c r="C98" s="829"/>
      <c r="D98" s="829"/>
      <c r="E98" s="829"/>
      <c r="F98" s="829"/>
      <c r="G98" s="829"/>
      <c r="H98" s="829"/>
      <c r="I98" s="829"/>
      <c r="J98" s="829"/>
      <c r="K98" s="829"/>
      <c r="L98" s="829"/>
      <c r="M98" s="829"/>
      <c r="N98" s="829"/>
      <c r="O98" s="829"/>
      <c r="P98" s="829"/>
      <c r="Q98" s="829"/>
      <c r="R98" s="829"/>
      <c r="S98" s="829"/>
      <c r="T98" s="829"/>
      <c r="U98" s="829"/>
      <c r="V98" s="829"/>
      <c r="W98" s="829"/>
      <c r="X98" s="829"/>
      <c r="Y98" s="829"/>
      <c r="Z98" s="829"/>
    </row>
    <row r="99">
      <c r="A99" s="829"/>
      <c r="B99" s="829"/>
      <c r="C99" s="829"/>
      <c r="D99" s="829"/>
      <c r="E99" s="829"/>
      <c r="F99" s="829"/>
      <c r="G99" s="829"/>
      <c r="H99" s="829"/>
      <c r="I99" s="829"/>
      <c r="J99" s="829"/>
      <c r="K99" s="829"/>
      <c r="L99" s="829"/>
      <c r="M99" s="829"/>
      <c r="N99" s="829"/>
      <c r="O99" s="829"/>
      <c r="P99" s="829"/>
      <c r="Q99" s="829"/>
      <c r="R99" s="829"/>
      <c r="S99" s="829"/>
      <c r="T99" s="829"/>
      <c r="U99" s="829"/>
      <c r="V99" s="829"/>
      <c r="W99" s="829"/>
      <c r="X99" s="829"/>
      <c r="Y99" s="829"/>
      <c r="Z99" s="829"/>
    </row>
    <row r="100">
      <c r="A100" s="829"/>
      <c r="B100" s="829"/>
      <c r="C100" s="829"/>
      <c r="D100" s="829"/>
      <c r="E100" s="829"/>
      <c r="F100" s="829"/>
      <c r="G100" s="829"/>
      <c r="H100" s="829"/>
      <c r="I100" s="829"/>
      <c r="J100" s="829"/>
      <c r="K100" s="829"/>
      <c r="L100" s="829"/>
      <c r="M100" s="829"/>
      <c r="N100" s="829"/>
      <c r="O100" s="829"/>
      <c r="P100" s="829"/>
      <c r="Q100" s="829"/>
      <c r="R100" s="829"/>
      <c r="S100" s="829"/>
      <c r="T100" s="829"/>
      <c r="U100" s="829"/>
      <c r="V100" s="829"/>
      <c r="W100" s="829"/>
      <c r="X100" s="829"/>
      <c r="Y100" s="829"/>
      <c r="Z100" s="829"/>
    </row>
    <row r="101">
      <c r="A101" s="829"/>
      <c r="B101" s="829"/>
      <c r="C101" s="829"/>
      <c r="D101" s="829"/>
      <c r="E101" s="829"/>
      <c r="F101" s="829"/>
      <c r="G101" s="829"/>
      <c r="H101" s="829"/>
      <c r="I101" s="829"/>
      <c r="J101" s="829"/>
      <c r="K101" s="829"/>
      <c r="L101" s="829"/>
      <c r="M101" s="829"/>
      <c r="N101" s="829"/>
      <c r="O101" s="829"/>
      <c r="P101" s="829"/>
      <c r="Q101" s="829"/>
      <c r="R101" s="829"/>
      <c r="S101" s="829"/>
      <c r="T101" s="829"/>
      <c r="U101" s="829"/>
      <c r="V101" s="829"/>
      <c r="W101" s="829"/>
      <c r="X101" s="829"/>
      <c r="Y101" s="829"/>
      <c r="Z101" s="829"/>
    </row>
    <row r="102">
      <c r="A102" s="829"/>
      <c r="B102" s="829"/>
      <c r="C102" s="829"/>
      <c r="D102" s="829"/>
      <c r="E102" s="829"/>
      <c r="F102" s="829"/>
      <c r="G102" s="829"/>
      <c r="H102" s="829"/>
      <c r="I102" s="829"/>
      <c r="J102" s="829"/>
      <c r="K102" s="829"/>
      <c r="L102" s="829"/>
      <c r="M102" s="829"/>
      <c r="N102" s="829"/>
      <c r="O102" s="829"/>
      <c r="P102" s="829"/>
      <c r="Q102" s="829"/>
      <c r="R102" s="829"/>
      <c r="S102" s="829"/>
      <c r="T102" s="829"/>
      <c r="U102" s="829"/>
      <c r="V102" s="829"/>
      <c r="W102" s="829"/>
      <c r="X102" s="829"/>
      <c r="Y102" s="829"/>
      <c r="Z102" s="829"/>
    </row>
    <row r="103">
      <c r="A103" s="829"/>
      <c r="B103" s="829"/>
      <c r="C103" s="829"/>
      <c r="D103" s="829"/>
      <c r="E103" s="829"/>
      <c r="F103" s="829"/>
      <c r="G103" s="829"/>
      <c r="H103" s="829"/>
      <c r="I103" s="829"/>
      <c r="J103" s="829"/>
      <c r="K103" s="829"/>
      <c r="L103" s="829"/>
      <c r="M103" s="829"/>
      <c r="N103" s="829"/>
      <c r="O103" s="829"/>
      <c r="P103" s="829"/>
      <c r="Q103" s="829"/>
      <c r="R103" s="829"/>
      <c r="S103" s="829"/>
      <c r="T103" s="829"/>
      <c r="U103" s="829"/>
      <c r="V103" s="829"/>
      <c r="W103" s="829"/>
      <c r="X103" s="829"/>
      <c r="Y103" s="829"/>
      <c r="Z103" s="829"/>
    </row>
    <row r="104">
      <c r="A104" s="829"/>
      <c r="B104" s="829"/>
      <c r="C104" s="829"/>
      <c r="D104" s="829"/>
      <c r="E104" s="829"/>
      <c r="F104" s="829"/>
      <c r="G104" s="829"/>
      <c r="H104" s="829"/>
      <c r="I104" s="829"/>
      <c r="J104" s="829"/>
      <c r="K104" s="829"/>
      <c r="L104" s="829"/>
      <c r="M104" s="829"/>
      <c r="N104" s="829"/>
      <c r="O104" s="829"/>
      <c r="P104" s="829"/>
      <c r="Q104" s="829"/>
      <c r="R104" s="829"/>
      <c r="S104" s="829"/>
      <c r="T104" s="829"/>
      <c r="U104" s="829"/>
      <c r="V104" s="829"/>
      <c r="W104" s="829"/>
      <c r="X104" s="829"/>
      <c r="Y104" s="829"/>
      <c r="Z104" s="829"/>
    </row>
    <row r="105">
      <c r="A105" s="829"/>
      <c r="B105" s="829"/>
      <c r="C105" s="829"/>
      <c r="D105" s="829"/>
      <c r="E105" s="829"/>
      <c r="F105" s="829"/>
      <c r="G105" s="829"/>
      <c r="H105" s="829"/>
      <c r="I105" s="829"/>
      <c r="J105" s="829"/>
      <c r="K105" s="829"/>
      <c r="L105" s="829"/>
      <c r="M105" s="829"/>
      <c r="N105" s="829"/>
      <c r="O105" s="829"/>
      <c r="P105" s="829"/>
      <c r="Q105" s="829"/>
      <c r="R105" s="829"/>
      <c r="S105" s="829"/>
      <c r="T105" s="829"/>
      <c r="U105" s="829"/>
      <c r="V105" s="829"/>
      <c r="W105" s="829"/>
      <c r="X105" s="829"/>
      <c r="Y105" s="829"/>
      <c r="Z105" s="829"/>
    </row>
    <row r="106">
      <c r="A106" s="829"/>
      <c r="B106" s="829"/>
      <c r="C106" s="829"/>
      <c r="D106" s="829"/>
      <c r="E106" s="829"/>
      <c r="F106" s="829"/>
      <c r="G106" s="829"/>
      <c r="H106" s="829"/>
      <c r="I106" s="829"/>
      <c r="J106" s="829"/>
      <c r="K106" s="829"/>
      <c r="L106" s="829"/>
      <c r="M106" s="829"/>
      <c r="N106" s="829"/>
      <c r="O106" s="829"/>
      <c r="P106" s="829"/>
      <c r="Q106" s="829"/>
      <c r="R106" s="829"/>
      <c r="S106" s="829"/>
      <c r="T106" s="829"/>
      <c r="U106" s="829"/>
      <c r="V106" s="829"/>
      <c r="W106" s="829"/>
      <c r="X106" s="829"/>
      <c r="Y106" s="829"/>
      <c r="Z106" s="829"/>
    </row>
    <row r="107">
      <c r="A107" s="829"/>
      <c r="B107" s="829"/>
      <c r="C107" s="829"/>
      <c r="D107" s="829"/>
      <c r="E107" s="829"/>
      <c r="F107" s="829"/>
      <c r="G107" s="829"/>
      <c r="H107" s="829"/>
      <c r="I107" s="829"/>
      <c r="J107" s="829"/>
      <c r="K107" s="829"/>
      <c r="L107" s="829"/>
      <c r="M107" s="829"/>
      <c r="N107" s="829"/>
      <c r="O107" s="829"/>
      <c r="P107" s="829"/>
      <c r="Q107" s="829"/>
      <c r="R107" s="829"/>
      <c r="S107" s="829"/>
      <c r="T107" s="829"/>
      <c r="U107" s="829"/>
      <c r="V107" s="829"/>
      <c r="W107" s="829"/>
      <c r="X107" s="829"/>
      <c r="Y107" s="829"/>
      <c r="Z107" s="829"/>
    </row>
    <row r="108">
      <c r="A108" s="829"/>
      <c r="B108" s="829"/>
      <c r="C108" s="829"/>
      <c r="D108" s="829"/>
      <c r="E108" s="829"/>
      <c r="F108" s="829"/>
      <c r="G108" s="829"/>
      <c r="H108" s="829"/>
      <c r="I108" s="829"/>
      <c r="J108" s="829"/>
      <c r="K108" s="829"/>
      <c r="L108" s="829"/>
      <c r="M108" s="829"/>
      <c r="N108" s="829"/>
      <c r="O108" s="829"/>
      <c r="P108" s="829"/>
      <c r="Q108" s="829"/>
      <c r="R108" s="829"/>
      <c r="S108" s="829"/>
      <c r="T108" s="829"/>
      <c r="U108" s="829"/>
      <c r="V108" s="829"/>
      <c r="W108" s="829"/>
      <c r="X108" s="829"/>
      <c r="Y108" s="829"/>
      <c r="Z108" s="829"/>
    </row>
    <row r="109">
      <c r="A109" s="829"/>
      <c r="B109" s="829"/>
      <c r="C109" s="829"/>
      <c r="D109" s="829"/>
      <c r="E109" s="829"/>
      <c r="F109" s="829"/>
      <c r="G109" s="829"/>
      <c r="H109" s="829"/>
      <c r="I109" s="829"/>
      <c r="J109" s="829"/>
      <c r="K109" s="829"/>
      <c r="L109" s="829"/>
      <c r="M109" s="829"/>
      <c r="N109" s="829"/>
      <c r="O109" s="829"/>
      <c r="P109" s="829"/>
      <c r="Q109" s="829"/>
      <c r="R109" s="829"/>
      <c r="S109" s="829"/>
      <c r="T109" s="829"/>
      <c r="U109" s="829"/>
      <c r="V109" s="829"/>
      <c r="W109" s="829"/>
      <c r="X109" s="829"/>
      <c r="Y109" s="829"/>
      <c r="Z109" s="829"/>
    </row>
    <row r="110">
      <c r="A110" s="829"/>
      <c r="B110" s="829"/>
      <c r="C110" s="829"/>
      <c r="D110" s="829"/>
      <c r="E110" s="829"/>
      <c r="F110" s="829"/>
      <c r="G110" s="829"/>
      <c r="H110" s="829"/>
      <c r="I110" s="829"/>
      <c r="J110" s="829"/>
      <c r="K110" s="829"/>
      <c r="L110" s="829"/>
      <c r="M110" s="829"/>
      <c r="N110" s="829"/>
      <c r="O110" s="829"/>
      <c r="P110" s="829"/>
      <c r="Q110" s="829"/>
      <c r="R110" s="829"/>
      <c r="S110" s="829"/>
      <c r="T110" s="829"/>
      <c r="U110" s="829"/>
      <c r="V110" s="829"/>
      <c r="W110" s="829"/>
      <c r="X110" s="829"/>
      <c r="Y110" s="829"/>
      <c r="Z110" s="829"/>
    </row>
    <row r="111">
      <c r="A111" s="829"/>
      <c r="B111" s="829"/>
      <c r="C111" s="829"/>
      <c r="D111" s="829"/>
      <c r="E111" s="829"/>
      <c r="F111" s="829"/>
      <c r="G111" s="829"/>
      <c r="H111" s="829"/>
      <c r="I111" s="829"/>
      <c r="J111" s="829"/>
      <c r="K111" s="829"/>
      <c r="L111" s="829"/>
      <c r="M111" s="829"/>
      <c r="N111" s="829"/>
      <c r="O111" s="829"/>
      <c r="P111" s="829"/>
      <c r="Q111" s="829"/>
      <c r="R111" s="829"/>
      <c r="S111" s="829"/>
      <c r="T111" s="829"/>
      <c r="U111" s="829"/>
      <c r="V111" s="829"/>
      <c r="W111" s="829"/>
      <c r="X111" s="829"/>
      <c r="Y111" s="829"/>
      <c r="Z111" s="829"/>
    </row>
    <row r="112">
      <c r="A112" s="829"/>
      <c r="B112" s="829"/>
      <c r="C112" s="829"/>
      <c r="D112" s="829"/>
      <c r="E112" s="829"/>
      <c r="F112" s="829"/>
      <c r="G112" s="829"/>
      <c r="H112" s="829"/>
      <c r="I112" s="829"/>
      <c r="J112" s="829"/>
      <c r="K112" s="829"/>
      <c r="L112" s="829"/>
      <c r="M112" s="829"/>
      <c r="N112" s="829"/>
      <c r="O112" s="829"/>
      <c r="P112" s="829"/>
      <c r="Q112" s="829"/>
      <c r="R112" s="829"/>
      <c r="S112" s="829"/>
      <c r="T112" s="829"/>
      <c r="U112" s="829"/>
      <c r="V112" s="829"/>
      <c r="W112" s="829"/>
      <c r="X112" s="829"/>
      <c r="Y112" s="829"/>
      <c r="Z112" s="829"/>
    </row>
    <row r="113">
      <c r="A113" s="829"/>
      <c r="B113" s="829"/>
      <c r="C113" s="829"/>
      <c r="D113" s="829"/>
      <c r="E113" s="829"/>
      <c r="F113" s="829"/>
      <c r="G113" s="829"/>
      <c r="H113" s="829"/>
      <c r="I113" s="829"/>
      <c r="J113" s="829"/>
      <c r="K113" s="829"/>
      <c r="L113" s="829"/>
      <c r="M113" s="829"/>
      <c r="N113" s="829"/>
      <c r="O113" s="829"/>
      <c r="P113" s="829"/>
      <c r="Q113" s="829"/>
      <c r="R113" s="829"/>
      <c r="S113" s="829"/>
      <c r="T113" s="829"/>
      <c r="U113" s="829"/>
      <c r="V113" s="829"/>
      <c r="W113" s="829"/>
      <c r="X113" s="829"/>
      <c r="Y113" s="829"/>
      <c r="Z113" s="829"/>
    </row>
    <row r="114">
      <c r="A114" s="829"/>
      <c r="B114" s="829"/>
      <c r="C114" s="829"/>
      <c r="D114" s="829"/>
      <c r="E114" s="829"/>
      <c r="F114" s="829"/>
      <c r="G114" s="829"/>
      <c r="H114" s="829"/>
      <c r="I114" s="829"/>
      <c r="J114" s="829"/>
      <c r="K114" s="829"/>
      <c r="L114" s="829"/>
      <c r="M114" s="829"/>
      <c r="N114" s="829"/>
      <c r="O114" s="829"/>
      <c r="P114" s="829"/>
      <c r="Q114" s="829"/>
      <c r="R114" s="829"/>
      <c r="S114" s="829"/>
      <c r="T114" s="829"/>
      <c r="U114" s="829"/>
      <c r="V114" s="829"/>
      <c r="W114" s="829"/>
      <c r="X114" s="829"/>
      <c r="Y114" s="829"/>
      <c r="Z114" s="829"/>
    </row>
    <row r="115">
      <c r="A115" s="829"/>
      <c r="B115" s="829"/>
      <c r="C115" s="829"/>
      <c r="D115" s="829"/>
      <c r="E115" s="829"/>
      <c r="F115" s="829"/>
      <c r="G115" s="829"/>
      <c r="H115" s="829"/>
      <c r="I115" s="829"/>
      <c r="J115" s="829"/>
      <c r="K115" s="829"/>
      <c r="L115" s="829"/>
      <c r="M115" s="829"/>
      <c r="N115" s="829"/>
      <c r="O115" s="829"/>
      <c r="P115" s="829"/>
      <c r="Q115" s="829"/>
      <c r="R115" s="829"/>
      <c r="S115" s="829"/>
      <c r="T115" s="829"/>
      <c r="U115" s="829"/>
      <c r="V115" s="829"/>
      <c r="W115" s="829"/>
      <c r="X115" s="829"/>
      <c r="Y115" s="829"/>
      <c r="Z115" s="829"/>
    </row>
    <row r="116">
      <c r="A116" s="829"/>
      <c r="B116" s="829"/>
      <c r="C116" s="829"/>
      <c r="D116" s="829"/>
      <c r="E116" s="829"/>
      <c r="F116" s="829"/>
      <c r="G116" s="829"/>
      <c r="H116" s="829"/>
      <c r="I116" s="829"/>
      <c r="J116" s="829"/>
      <c r="K116" s="829"/>
      <c r="L116" s="829"/>
      <c r="M116" s="829"/>
      <c r="N116" s="829"/>
      <c r="O116" s="829"/>
      <c r="P116" s="829"/>
      <c r="Q116" s="829"/>
      <c r="R116" s="829"/>
      <c r="S116" s="829"/>
      <c r="T116" s="829"/>
      <c r="U116" s="829"/>
      <c r="V116" s="829"/>
      <c r="W116" s="829"/>
      <c r="X116" s="829"/>
      <c r="Y116" s="829"/>
      <c r="Z116" s="829"/>
    </row>
    <row r="117">
      <c r="A117" s="829"/>
      <c r="B117" s="829"/>
      <c r="C117" s="829"/>
      <c r="D117" s="829"/>
      <c r="E117" s="829"/>
      <c r="F117" s="829"/>
      <c r="G117" s="829"/>
      <c r="H117" s="829"/>
      <c r="I117" s="829"/>
      <c r="J117" s="829"/>
      <c r="K117" s="829"/>
      <c r="L117" s="829"/>
      <c r="M117" s="829"/>
      <c r="N117" s="829"/>
      <c r="O117" s="829"/>
      <c r="P117" s="829"/>
      <c r="Q117" s="829"/>
      <c r="R117" s="829"/>
      <c r="S117" s="829"/>
      <c r="T117" s="829"/>
      <c r="U117" s="829"/>
      <c r="V117" s="829"/>
      <c r="W117" s="829"/>
      <c r="X117" s="829"/>
      <c r="Y117" s="829"/>
      <c r="Z117" s="829"/>
    </row>
    <row r="118">
      <c r="A118" s="829"/>
      <c r="B118" s="829"/>
      <c r="C118" s="829"/>
      <c r="D118" s="829"/>
      <c r="E118" s="829"/>
      <c r="F118" s="829"/>
      <c r="G118" s="829"/>
      <c r="H118" s="829"/>
      <c r="I118" s="829"/>
      <c r="J118" s="829"/>
      <c r="K118" s="829"/>
      <c r="L118" s="829"/>
      <c r="M118" s="829"/>
      <c r="N118" s="829"/>
      <c r="O118" s="829"/>
      <c r="P118" s="829"/>
      <c r="Q118" s="829"/>
      <c r="R118" s="829"/>
      <c r="S118" s="829"/>
      <c r="T118" s="829"/>
      <c r="U118" s="829"/>
      <c r="V118" s="829"/>
      <c r="W118" s="829"/>
      <c r="X118" s="829"/>
      <c r="Y118" s="829"/>
      <c r="Z118" s="829"/>
    </row>
    <row r="119">
      <c r="A119" s="829"/>
      <c r="B119" s="829"/>
      <c r="C119" s="829"/>
      <c r="D119" s="829"/>
      <c r="E119" s="829"/>
      <c r="F119" s="829"/>
      <c r="G119" s="829"/>
      <c r="H119" s="829"/>
      <c r="I119" s="829"/>
      <c r="J119" s="829"/>
      <c r="K119" s="829"/>
      <c r="L119" s="829"/>
      <c r="M119" s="829"/>
      <c r="N119" s="829"/>
      <c r="O119" s="829"/>
      <c r="P119" s="829"/>
      <c r="Q119" s="829"/>
      <c r="R119" s="829"/>
      <c r="S119" s="829"/>
      <c r="T119" s="829"/>
      <c r="U119" s="829"/>
      <c r="V119" s="829"/>
      <c r="W119" s="829"/>
      <c r="X119" s="829"/>
      <c r="Y119" s="829"/>
      <c r="Z119" s="829"/>
    </row>
    <row r="120">
      <c r="A120" s="829"/>
      <c r="B120" s="829"/>
      <c r="C120" s="829"/>
      <c r="D120" s="829"/>
      <c r="E120" s="829"/>
      <c r="F120" s="829"/>
      <c r="G120" s="829"/>
      <c r="H120" s="829"/>
      <c r="I120" s="829"/>
      <c r="J120" s="829"/>
      <c r="K120" s="829"/>
      <c r="L120" s="829"/>
      <c r="M120" s="829"/>
      <c r="N120" s="829"/>
      <c r="O120" s="829"/>
      <c r="P120" s="829"/>
      <c r="Q120" s="829"/>
      <c r="R120" s="829"/>
      <c r="S120" s="829"/>
      <c r="T120" s="829"/>
      <c r="U120" s="829"/>
      <c r="V120" s="829"/>
      <c r="W120" s="829"/>
      <c r="X120" s="829"/>
      <c r="Y120" s="829"/>
      <c r="Z120" s="829"/>
    </row>
    <row r="121">
      <c r="A121" s="829"/>
      <c r="B121" s="829"/>
      <c r="C121" s="829"/>
      <c r="D121" s="829"/>
      <c r="E121" s="829"/>
      <c r="F121" s="829"/>
      <c r="G121" s="829"/>
      <c r="H121" s="829"/>
      <c r="I121" s="829"/>
      <c r="J121" s="829"/>
      <c r="K121" s="829"/>
      <c r="L121" s="829"/>
      <c r="M121" s="829"/>
      <c r="N121" s="829"/>
      <c r="O121" s="829"/>
      <c r="P121" s="829"/>
      <c r="Q121" s="829"/>
      <c r="R121" s="829"/>
      <c r="S121" s="829"/>
      <c r="T121" s="829"/>
      <c r="U121" s="829"/>
      <c r="V121" s="829"/>
      <c r="W121" s="829"/>
      <c r="X121" s="829"/>
      <c r="Y121" s="829"/>
      <c r="Z121" s="829"/>
    </row>
    <row r="122">
      <c r="A122" s="829"/>
      <c r="B122" s="829"/>
      <c r="C122" s="829"/>
      <c r="D122" s="829"/>
      <c r="E122" s="829"/>
      <c r="F122" s="829"/>
      <c r="G122" s="829"/>
      <c r="H122" s="829"/>
      <c r="I122" s="829"/>
      <c r="J122" s="829"/>
      <c r="K122" s="829"/>
      <c r="L122" s="829"/>
      <c r="M122" s="829"/>
      <c r="N122" s="829"/>
      <c r="O122" s="829"/>
      <c r="P122" s="829"/>
      <c r="Q122" s="829"/>
      <c r="R122" s="829"/>
      <c r="S122" s="829"/>
      <c r="T122" s="829"/>
      <c r="U122" s="829"/>
      <c r="V122" s="829"/>
      <c r="W122" s="829"/>
      <c r="X122" s="829"/>
      <c r="Y122" s="829"/>
      <c r="Z122" s="829"/>
    </row>
    <row r="123">
      <c r="A123" s="829"/>
      <c r="B123" s="829"/>
      <c r="C123" s="829"/>
      <c r="D123" s="829"/>
      <c r="E123" s="829"/>
      <c r="F123" s="829"/>
      <c r="G123" s="829"/>
      <c r="H123" s="829"/>
      <c r="I123" s="829"/>
      <c r="J123" s="829"/>
      <c r="K123" s="829"/>
      <c r="L123" s="829"/>
      <c r="M123" s="829"/>
      <c r="N123" s="829"/>
      <c r="O123" s="829"/>
      <c r="P123" s="829"/>
      <c r="Q123" s="829"/>
      <c r="R123" s="829"/>
      <c r="S123" s="829"/>
      <c r="T123" s="829"/>
      <c r="U123" s="829"/>
      <c r="V123" s="829"/>
      <c r="W123" s="829"/>
      <c r="X123" s="829"/>
      <c r="Y123" s="829"/>
      <c r="Z123" s="829"/>
    </row>
    <row r="124">
      <c r="A124" s="829"/>
      <c r="B124" s="829"/>
      <c r="C124" s="829"/>
      <c r="D124" s="829"/>
      <c r="E124" s="829"/>
      <c r="F124" s="829"/>
      <c r="G124" s="829"/>
      <c r="H124" s="829"/>
      <c r="I124" s="829"/>
      <c r="J124" s="829"/>
      <c r="K124" s="829"/>
      <c r="L124" s="829"/>
      <c r="M124" s="829"/>
      <c r="N124" s="829"/>
      <c r="O124" s="829"/>
      <c r="P124" s="829"/>
      <c r="Q124" s="829"/>
      <c r="R124" s="829"/>
      <c r="S124" s="829"/>
      <c r="T124" s="829"/>
      <c r="U124" s="829"/>
      <c r="V124" s="829"/>
      <c r="W124" s="829"/>
      <c r="X124" s="829"/>
      <c r="Y124" s="829"/>
      <c r="Z124" s="829"/>
    </row>
    <row r="125">
      <c r="A125" s="829"/>
      <c r="B125" s="829"/>
      <c r="C125" s="829"/>
      <c r="D125" s="829"/>
      <c r="E125" s="829"/>
      <c r="F125" s="829"/>
      <c r="G125" s="829"/>
      <c r="H125" s="829"/>
      <c r="I125" s="829"/>
      <c r="J125" s="829"/>
      <c r="K125" s="829"/>
      <c r="L125" s="829"/>
      <c r="M125" s="829"/>
      <c r="N125" s="829"/>
      <c r="O125" s="829"/>
      <c r="P125" s="829"/>
      <c r="Q125" s="829"/>
      <c r="R125" s="829"/>
      <c r="S125" s="829"/>
      <c r="T125" s="829"/>
      <c r="U125" s="829"/>
      <c r="V125" s="829"/>
      <c r="W125" s="829"/>
      <c r="X125" s="829"/>
      <c r="Y125" s="829"/>
      <c r="Z125" s="829"/>
    </row>
    <row r="126">
      <c r="A126" s="829"/>
      <c r="B126" s="829"/>
      <c r="C126" s="829"/>
      <c r="D126" s="829"/>
      <c r="E126" s="829"/>
      <c r="F126" s="829"/>
      <c r="G126" s="829"/>
      <c r="H126" s="829"/>
      <c r="I126" s="829"/>
      <c r="J126" s="829"/>
      <c r="K126" s="829"/>
      <c r="L126" s="829"/>
      <c r="M126" s="829"/>
      <c r="N126" s="829"/>
      <c r="O126" s="829"/>
      <c r="P126" s="829"/>
      <c r="Q126" s="829"/>
      <c r="R126" s="829"/>
      <c r="S126" s="829"/>
      <c r="T126" s="829"/>
      <c r="U126" s="829"/>
      <c r="V126" s="829"/>
      <c r="W126" s="829"/>
      <c r="X126" s="829"/>
      <c r="Y126" s="829"/>
      <c r="Z126" s="829"/>
    </row>
    <row r="127">
      <c r="A127" s="829"/>
      <c r="B127" s="829"/>
      <c r="C127" s="829"/>
      <c r="D127" s="829"/>
      <c r="E127" s="829"/>
      <c r="F127" s="829"/>
      <c r="G127" s="829"/>
      <c r="H127" s="829"/>
      <c r="I127" s="829"/>
      <c r="J127" s="829"/>
      <c r="K127" s="829"/>
      <c r="L127" s="829"/>
      <c r="M127" s="829"/>
      <c r="N127" s="829"/>
      <c r="O127" s="829"/>
      <c r="P127" s="829"/>
      <c r="Q127" s="829"/>
      <c r="R127" s="829"/>
      <c r="S127" s="829"/>
      <c r="T127" s="829"/>
      <c r="U127" s="829"/>
      <c r="V127" s="829"/>
      <c r="W127" s="829"/>
      <c r="X127" s="829"/>
      <c r="Y127" s="829"/>
      <c r="Z127" s="829"/>
    </row>
    <row r="128">
      <c r="A128" s="829"/>
      <c r="B128" s="829"/>
      <c r="C128" s="829"/>
      <c r="D128" s="829"/>
      <c r="E128" s="829"/>
      <c r="F128" s="829"/>
      <c r="G128" s="829"/>
      <c r="H128" s="829"/>
      <c r="I128" s="829"/>
      <c r="J128" s="829"/>
      <c r="K128" s="829"/>
      <c r="L128" s="829"/>
      <c r="M128" s="829"/>
      <c r="N128" s="829"/>
      <c r="O128" s="829"/>
      <c r="P128" s="829"/>
      <c r="Q128" s="829"/>
      <c r="R128" s="829"/>
      <c r="S128" s="829"/>
      <c r="T128" s="829"/>
      <c r="U128" s="829"/>
      <c r="V128" s="829"/>
      <c r="W128" s="829"/>
      <c r="X128" s="829"/>
      <c r="Y128" s="829"/>
      <c r="Z128" s="829"/>
    </row>
    <row r="129">
      <c r="A129" s="829"/>
      <c r="B129" s="829"/>
      <c r="C129" s="829"/>
      <c r="D129" s="829"/>
      <c r="E129" s="829"/>
      <c r="F129" s="829"/>
      <c r="G129" s="829"/>
      <c r="H129" s="829"/>
      <c r="I129" s="829"/>
      <c r="J129" s="829"/>
      <c r="K129" s="829"/>
      <c r="L129" s="829"/>
      <c r="M129" s="829"/>
      <c r="N129" s="829"/>
      <c r="O129" s="829"/>
      <c r="P129" s="829"/>
      <c r="Q129" s="829"/>
      <c r="R129" s="829"/>
      <c r="S129" s="829"/>
      <c r="T129" s="829"/>
      <c r="U129" s="829"/>
      <c r="V129" s="829"/>
      <c r="W129" s="829"/>
      <c r="X129" s="829"/>
      <c r="Y129" s="829"/>
      <c r="Z129" s="829"/>
    </row>
    <row r="130">
      <c r="A130" s="829"/>
      <c r="B130" s="829"/>
      <c r="C130" s="829"/>
      <c r="D130" s="829"/>
      <c r="E130" s="829"/>
      <c r="F130" s="829"/>
      <c r="G130" s="829"/>
      <c r="H130" s="829"/>
      <c r="I130" s="829"/>
      <c r="J130" s="829"/>
      <c r="K130" s="829"/>
      <c r="L130" s="829"/>
      <c r="M130" s="829"/>
      <c r="N130" s="829"/>
      <c r="O130" s="829"/>
      <c r="P130" s="829"/>
      <c r="Q130" s="829"/>
      <c r="R130" s="829"/>
      <c r="S130" s="829"/>
      <c r="T130" s="829"/>
      <c r="U130" s="829"/>
      <c r="V130" s="829"/>
      <c r="W130" s="829"/>
      <c r="X130" s="829"/>
      <c r="Y130" s="829"/>
      <c r="Z130" s="829"/>
    </row>
    <row r="131">
      <c r="A131" s="829"/>
      <c r="B131" s="829"/>
      <c r="C131" s="829"/>
      <c r="D131" s="829"/>
      <c r="E131" s="829"/>
      <c r="F131" s="829"/>
      <c r="G131" s="829"/>
      <c r="H131" s="829"/>
      <c r="I131" s="829"/>
      <c r="J131" s="829"/>
      <c r="K131" s="829"/>
      <c r="L131" s="829"/>
      <c r="M131" s="829"/>
      <c r="N131" s="829"/>
      <c r="O131" s="829"/>
      <c r="P131" s="829"/>
      <c r="Q131" s="829"/>
      <c r="R131" s="829"/>
      <c r="S131" s="829"/>
      <c r="T131" s="829"/>
      <c r="U131" s="829"/>
      <c r="V131" s="829"/>
      <c r="W131" s="829"/>
      <c r="X131" s="829"/>
      <c r="Y131" s="829"/>
      <c r="Z131" s="829"/>
    </row>
    <row r="132">
      <c r="A132" s="829"/>
      <c r="B132" s="829"/>
      <c r="C132" s="829"/>
      <c r="D132" s="829"/>
      <c r="E132" s="829"/>
      <c r="F132" s="829"/>
      <c r="G132" s="829"/>
      <c r="H132" s="829"/>
      <c r="I132" s="829"/>
      <c r="J132" s="829"/>
      <c r="K132" s="829"/>
      <c r="L132" s="829"/>
      <c r="M132" s="829"/>
      <c r="N132" s="829"/>
      <c r="O132" s="829"/>
      <c r="P132" s="829"/>
      <c r="Q132" s="829"/>
      <c r="R132" s="829"/>
      <c r="S132" s="829"/>
      <c r="T132" s="829"/>
      <c r="U132" s="829"/>
      <c r="V132" s="829"/>
      <c r="W132" s="829"/>
      <c r="X132" s="829"/>
      <c r="Y132" s="829"/>
      <c r="Z132" s="829"/>
    </row>
    <row r="133">
      <c r="A133" s="829"/>
      <c r="B133" s="829"/>
      <c r="C133" s="829"/>
      <c r="D133" s="829"/>
      <c r="E133" s="829"/>
      <c r="F133" s="829"/>
      <c r="G133" s="829"/>
      <c r="H133" s="829"/>
      <c r="I133" s="829"/>
      <c r="J133" s="829"/>
      <c r="K133" s="829"/>
      <c r="L133" s="829"/>
      <c r="M133" s="829"/>
      <c r="N133" s="829"/>
      <c r="O133" s="829"/>
      <c r="P133" s="829"/>
      <c r="Q133" s="829"/>
      <c r="R133" s="829"/>
      <c r="S133" s="829"/>
      <c r="T133" s="829"/>
      <c r="U133" s="829"/>
      <c r="V133" s="829"/>
      <c r="W133" s="829"/>
      <c r="X133" s="829"/>
      <c r="Y133" s="829"/>
      <c r="Z133" s="829"/>
    </row>
    <row r="134">
      <c r="A134" s="829"/>
      <c r="B134" s="829"/>
      <c r="C134" s="829"/>
      <c r="D134" s="829"/>
      <c r="E134" s="829"/>
      <c r="F134" s="829"/>
      <c r="G134" s="829"/>
      <c r="H134" s="829"/>
      <c r="I134" s="829"/>
      <c r="J134" s="829"/>
      <c r="K134" s="829"/>
      <c r="L134" s="829"/>
      <c r="M134" s="829"/>
      <c r="N134" s="829"/>
      <c r="O134" s="829"/>
      <c r="P134" s="829"/>
      <c r="Q134" s="829"/>
      <c r="R134" s="829"/>
      <c r="S134" s="829"/>
      <c r="T134" s="829"/>
      <c r="U134" s="829"/>
      <c r="V134" s="829"/>
      <c r="W134" s="829"/>
      <c r="X134" s="829"/>
      <c r="Y134" s="829"/>
      <c r="Z134" s="829"/>
    </row>
    <row r="135">
      <c r="A135" s="829"/>
      <c r="B135" s="829"/>
      <c r="C135" s="829"/>
      <c r="D135" s="829"/>
      <c r="E135" s="829"/>
      <c r="F135" s="829"/>
      <c r="G135" s="829"/>
      <c r="H135" s="829"/>
      <c r="I135" s="829"/>
      <c r="J135" s="829"/>
      <c r="K135" s="829"/>
      <c r="L135" s="829"/>
      <c r="M135" s="829"/>
      <c r="N135" s="829"/>
      <c r="O135" s="829"/>
      <c r="P135" s="829"/>
      <c r="Q135" s="829"/>
      <c r="R135" s="829"/>
      <c r="S135" s="829"/>
      <c r="T135" s="829"/>
      <c r="U135" s="829"/>
      <c r="V135" s="829"/>
      <c r="W135" s="829"/>
      <c r="X135" s="829"/>
      <c r="Y135" s="829"/>
      <c r="Z135" s="829"/>
    </row>
    <row r="136">
      <c r="A136" s="829"/>
      <c r="B136" s="829"/>
      <c r="C136" s="829"/>
      <c r="D136" s="829"/>
      <c r="E136" s="829"/>
      <c r="F136" s="829"/>
      <c r="G136" s="829"/>
      <c r="H136" s="829"/>
      <c r="I136" s="829"/>
      <c r="J136" s="829"/>
      <c r="K136" s="829"/>
      <c r="L136" s="829"/>
      <c r="M136" s="829"/>
      <c r="N136" s="829"/>
      <c r="O136" s="829"/>
      <c r="P136" s="829"/>
      <c r="Q136" s="829"/>
      <c r="R136" s="829"/>
      <c r="S136" s="829"/>
      <c r="T136" s="829"/>
      <c r="U136" s="829"/>
      <c r="V136" s="829"/>
      <c r="W136" s="829"/>
      <c r="X136" s="829"/>
      <c r="Y136" s="829"/>
      <c r="Z136" s="829"/>
    </row>
    <row r="137">
      <c r="A137" s="829"/>
      <c r="B137" s="829"/>
      <c r="C137" s="829"/>
      <c r="D137" s="829"/>
      <c r="E137" s="829"/>
      <c r="F137" s="829"/>
      <c r="G137" s="829"/>
      <c r="H137" s="829"/>
      <c r="I137" s="829"/>
      <c r="J137" s="829"/>
      <c r="K137" s="829"/>
      <c r="L137" s="829"/>
      <c r="M137" s="829"/>
      <c r="N137" s="829"/>
      <c r="O137" s="829"/>
      <c r="P137" s="829"/>
      <c r="Q137" s="829"/>
      <c r="R137" s="829"/>
      <c r="S137" s="829"/>
      <c r="T137" s="829"/>
      <c r="U137" s="829"/>
      <c r="V137" s="829"/>
      <c r="W137" s="829"/>
      <c r="X137" s="829"/>
      <c r="Y137" s="829"/>
      <c r="Z137" s="829"/>
    </row>
    <row r="138">
      <c r="A138" s="829"/>
      <c r="B138" s="829"/>
      <c r="C138" s="829"/>
      <c r="D138" s="829"/>
      <c r="E138" s="829"/>
      <c r="F138" s="829"/>
      <c r="G138" s="829"/>
      <c r="H138" s="829"/>
      <c r="I138" s="829"/>
      <c r="J138" s="829"/>
      <c r="K138" s="829"/>
      <c r="L138" s="829"/>
      <c r="M138" s="829"/>
      <c r="N138" s="829"/>
      <c r="O138" s="829"/>
      <c r="P138" s="829"/>
      <c r="Q138" s="829"/>
      <c r="R138" s="829"/>
      <c r="S138" s="829"/>
      <c r="T138" s="829"/>
      <c r="U138" s="829"/>
      <c r="V138" s="829"/>
      <c r="W138" s="829"/>
      <c r="X138" s="829"/>
      <c r="Y138" s="829"/>
      <c r="Z138" s="829"/>
    </row>
    <row r="139">
      <c r="A139" s="829"/>
      <c r="B139" s="829"/>
      <c r="C139" s="829"/>
      <c r="D139" s="829"/>
      <c r="E139" s="829"/>
      <c r="F139" s="829"/>
      <c r="G139" s="829"/>
      <c r="H139" s="829"/>
      <c r="I139" s="829"/>
      <c r="J139" s="829"/>
      <c r="K139" s="829"/>
      <c r="L139" s="829"/>
      <c r="M139" s="829"/>
      <c r="N139" s="829"/>
      <c r="O139" s="829"/>
      <c r="P139" s="829"/>
      <c r="Q139" s="829"/>
      <c r="R139" s="829"/>
      <c r="S139" s="829"/>
      <c r="T139" s="829"/>
      <c r="U139" s="829"/>
      <c r="V139" s="829"/>
      <c r="W139" s="829"/>
      <c r="X139" s="829"/>
      <c r="Y139" s="829"/>
      <c r="Z139" s="829"/>
    </row>
    <row r="140">
      <c r="A140" s="829"/>
      <c r="B140" s="829"/>
      <c r="C140" s="829"/>
      <c r="D140" s="829"/>
      <c r="E140" s="829"/>
      <c r="F140" s="829"/>
      <c r="G140" s="829"/>
      <c r="H140" s="829"/>
      <c r="I140" s="829"/>
      <c r="J140" s="829"/>
      <c r="K140" s="829"/>
      <c r="L140" s="829"/>
      <c r="M140" s="829"/>
      <c r="N140" s="829"/>
      <c r="O140" s="829"/>
      <c r="P140" s="829"/>
      <c r="Q140" s="829"/>
      <c r="R140" s="829"/>
      <c r="S140" s="829"/>
      <c r="T140" s="829"/>
      <c r="U140" s="829"/>
      <c r="V140" s="829"/>
      <c r="W140" s="829"/>
      <c r="X140" s="829"/>
      <c r="Y140" s="829"/>
      <c r="Z140" s="829"/>
    </row>
    <row r="141">
      <c r="A141" s="829"/>
      <c r="B141" s="829"/>
      <c r="C141" s="829"/>
      <c r="D141" s="829"/>
      <c r="E141" s="829"/>
      <c r="F141" s="829"/>
      <c r="G141" s="829"/>
      <c r="H141" s="829"/>
      <c r="I141" s="829"/>
      <c r="J141" s="829"/>
      <c r="K141" s="829"/>
      <c r="L141" s="829"/>
      <c r="M141" s="829"/>
      <c r="N141" s="829"/>
      <c r="O141" s="829"/>
      <c r="P141" s="829"/>
      <c r="Q141" s="829"/>
      <c r="R141" s="829"/>
      <c r="S141" s="829"/>
      <c r="T141" s="829"/>
      <c r="U141" s="829"/>
      <c r="V141" s="829"/>
      <c r="W141" s="829"/>
      <c r="X141" s="829"/>
      <c r="Y141" s="829"/>
      <c r="Z141" s="829"/>
    </row>
    <row r="142">
      <c r="A142" s="829"/>
      <c r="B142" s="829"/>
      <c r="C142" s="829"/>
      <c r="D142" s="829"/>
      <c r="E142" s="829"/>
      <c r="F142" s="829"/>
      <c r="G142" s="829"/>
      <c r="H142" s="829"/>
      <c r="I142" s="829"/>
      <c r="J142" s="829"/>
      <c r="K142" s="829"/>
      <c r="L142" s="829"/>
      <c r="M142" s="829"/>
      <c r="N142" s="829"/>
      <c r="O142" s="829"/>
      <c r="P142" s="829"/>
      <c r="Q142" s="829"/>
      <c r="R142" s="829"/>
      <c r="S142" s="829"/>
      <c r="T142" s="829"/>
      <c r="U142" s="829"/>
      <c r="V142" s="829"/>
      <c r="W142" s="829"/>
      <c r="X142" s="829"/>
      <c r="Y142" s="829"/>
      <c r="Z142" s="829"/>
    </row>
    <row r="143">
      <c r="A143" s="829"/>
      <c r="B143" s="829"/>
      <c r="C143" s="829"/>
      <c r="D143" s="829"/>
      <c r="E143" s="829"/>
      <c r="F143" s="829"/>
      <c r="G143" s="829"/>
      <c r="H143" s="829"/>
      <c r="I143" s="829"/>
      <c r="J143" s="829"/>
      <c r="K143" s="829"/>
      <c r="L143" s="829"/>
      <c r="M143" s="829"/>
      <c r="N143" s="829"/>
      <c r="O143" s="829"/>
      <c r="P143" s="829"/>
      <c r="Q143" s="829"/>
      <c r="R143" s="829"/>
      <c r="S143" s="829"/>
      <c r="T143" s="829"/>
      <c r="U143" s="829"/>
      <c r="V143" s="829"/>
      <c r="W143" s="829"/>
      <c r="X143" s="829"/>
      <c r="Y143" s="829"/>
      <c r="Z143" s="829"/>
    </row>
    <row r="144">
      <c r="A144" s="829"/>
      <c r="B144" s="829"/>
      <c r="C144" s="829"/>
      <c r="D144" s="829"/>
      <c r="E144" s="829"/>
      <c r="F144" s="829"/>
      <c r="G144" s="829"/>
      <c r="H144" s="829"/>
      <c r="I144" s="829"/>
      <c r="J144" s="829"/>
      <c r="K144" s="829"/>
      <c r="L144" s="829"/>
      <c r="M144" s="829"/>
      <c r="N144" s="829"/>
      <c r="O144" s="829"/>
      <c r="P144" s="829"/>
      <c r="Q144" s="829"/>
      <c r="R144" s="829"/>
      <c r="S144" s="829"/>
      <c r="T144" s="829"/>
      <c r="U144" s="829"/>
      <c r="V144" s="829"/>
      <c r="W144" s="829"/>
      <c r="X144" s="829"/>
      <c r="Y144" s="829"/>
      <c r="Z144" s="829"/>
    </row>
    <row r="145">
      <c r="A145" s="829"/>
      <c r="B145" s="829"/>
      <c r="C145" s="829"/>
      <c r="D145" s="829"/>
      <c r="E145" s="829"/>
      <c r="F145" s="829"/>
      <c r="G145" s="829"/>
      <c r="H145" s="829"/>
      <c r="I145" s="829"/>
      <c r="J145" s="829"/>
      <c r="K145" s="829"/>
      <c r="L145" s="829"/>
      <c r="M145" s="829"/>
      <c r="N145" s="829"/>
      <c r="O145" s="829"/>
      <c r="P145" s="829"/>
      <c r="Q145" s="829"/>
      <c r="R145" s="829"/>
      <c r="S145" s="829"/>
      <c r="T145" s="829"/>
      <c r="U145" s="829"/>
      <c r="V145" s="829"/>
      <c r="W145" s="829"/>
      <c r="X145" s="829"/>
      <c r="Y145" s="829"/>
      <c r="Z145" s="829"/>
    </row>
    <row r="146">
      <c r="A146" s="829"/>
      <c r="B146" s="829"/>
      <c r="C146" s="829"/>
      <c r="D146" s="829"/>
      <c r="E146" s="829"/>
      <c r="F146" s="829"/>
      <c r="G146" s="829"/>
      <c r="H146" s="829"/>
      <c r="I146" s="829"/>
      <c r="J146" s="829"/>
      <c r="K146" s="829"/>
      <c r="L146" s="829"/>
      <c r="M146" s="829"/>
      <c r="N146" s="829"/>
      <c r="O146" s="829"/>
      <c r="P146" s="829"/>
      <c r="Q146" s="829"/>
      <c r="R146" s="829"/>
      <c r="S146" s="829"/>
      <c r="T146" s="829"/>
      <c r="U146" s="829"/>
      <c r="V146" s="829"/>
      <c r="W146" s="829"/>
      <c r="X146" s="829"/>
      <c r="Y146" s="829"/>
      <c r="Z146" s="829"/>
    </row>
    <row r="147">
      <c r="A147" s="829"/>
      <c r="B147" s="829"/>
      <c r="C147" s="829"/>
      <c r="D147" s="829"/>
      <c r="E147" s="829"/>
      <c r="F147" s="829"/>
      <c r="G147" s="829"/>
      <c r="H147" s="829"/>
      <c r="I147" s="829"/>
      <c r="J147" s="829"/>
      <c r="K147" s="829"/>
      <c r="L147" s="829"/>
      <c r="M147" s="829"/>
      <c r="N147" s="829"/>
      <c r="O147" s="829"/>
      <c r="P147" s="829"/>
      <c r="Q147" s="829"/>
      <c r="R147" s="829"/>
      <c r="S147" s="829"/>
      <c r="T147" s="829"/>
      <c r="U147" s="829"/>
      <c r="V147" s="829"/>
      <c r="W147" s="829"/>
      <c r="X147" s="829"/>
      <c r="Y147" s="829"/>
      <c r="Z147" s="829"/>
    </row>
    <row r="148">
      <c r="A148" s="829"/>
      <c r="B148" s="829"/>
      <c r="C148" s="829"/>
      <c r="D148" s="829"/>
      <c r="E148" s="829"/>
      <c r="F148" s="829"/>
      <c r="G148" s="829"/>
      <c r="H148" s="829"/>
      <c r="I148" s="829"/>
      <c r="J148" s="829"/>
      <c r="K148" s="829"/>
      <c r="L148" s="829"/>
      <c r="M148" s="829"/>
      <c r="N148" s="829"/>
      <c r="O148" s="829"/>
      <c r="P148" s="829"/>
      <c r="Q148" s="829"/>
      <c r="R148" s="829"/>
      <c r="S148" s="829"/>
      <c r="T148" s="829"/>
      <c r="U148" s="829"/>
      <c r="V148" s="829"/>
      <c r="W148" s="829"/>
      <c r="X148" s="829"/>
      <c r="Y148" s="829"/>
      <c r="Z148" s="829"/>
    </row>
    <row r="149">
      <c r="A149" s="829"/>
      <c r="B149" s="829"/>
      <c r="C149" s="829"/>
      <c r="D149" s="829"/>
      <c r="E149" s="829"/>
      <c r="F149" s="829"/>
      <c r="G149" s="829"/>
      <c r="H149" s="829"/>
      <c r="I149" s="829"/>
      <c r="J149" s="829"/>
      <c r="K149" s="829"/>
      <c r="L149" s="829"/>
      <c r="M149" s="829"/>
      <c r="N149" s="829"/>
      <c r="O149" s="829"/>
      <c r="P149" s="829"/>
      <c r="Q149" s="829"/>
      <c r="R149" s="829"/>
      <c r="S149" s="829"/>
      <c r="T149" s="829"/>
      <c r="U149" s="829"/>
      <c r="V149" s="829"/>
      <c r="W149" s="829"/>
      <c r="X149" s="829"/>
      <c r="Y149" s="829"/>
      <c r="Z149" s="829"/>
    </row>
    <row r="150">
      <c r="A150" s="829"/>
      <c r="B150" s="829"/>
      <c r="C150" s="829"/>
      <c r="D150" s="829"/>
      <c r="E150" s="829"/>
      <c r="F150" s="829"/>
      <c r="G150" s="829"/>
      <c r="H150" s="829"/>
      <c r="I150" s="829"/>
      <c r="J150" s="829"/>
      <c r="K150" s="829"/>
      <c r="L150" s="829"/>
      <c r="M150" s="829"/>
      <c r="N150" s="829"/>
      <c r="O150" s="829"/>
      <c r="P150" s="829"/>
      <c r="Q150" s="829"/>
      <c r="R150" s="829"/>
      <c r="S150" s="829"/>
      <c r="T150" s="829"/>
      <c r="U150" s="829"/>
      <c r="V150" s="829"/>
      <c r="W150" s="829"/>
      <c r="X150" s="829"/>
      <c r="Y150" s="829"/>
      <c r="Z150" s="829"/>
    </row>
    <row r="151">
      <c r="A151" s="829"/>
      <c r="B151" s="829"/>
      <c r="C151" s="829"/>
      <c r="D151" s="829"/>
      <c r="E151" s="829"/>
      <c r="F151" s="829"/>
      <c r="G151" s="829"/>
      <c r="H151" s="829"/>
      <c r="I151" s="829"/>
      <c r="J151" s="829"/>
      <c r="K151" s="829"/>
      <c r="L151" s="829"/>
      <c r="M151" s="829"/>
      <c r="N151" s="829"/>
      <c r="O151" s="829"/>
      <c r="P151" s="829"/>
      <c r="Q151" s="829"/>
      <c r="R151" s="829"/>
      <c r="S151" s="829"/>
      <c r="T151" s="829"/>
      <c r="U151" s="829"/>
      <c r="V151" s="829"/>
      <c r="W151" s="829"/>
      <c r="X151" s="829"/>
      <c r="Y151" s="829"/>
      <c r="Z151" s="829"/>
    </row>
    <row r="152">
      <c r="A152" s="829"/>
      <c r="B152" s="829"/>
      <c r="C152" s="829"/>
      <c r="D152" s="829"/>
      <c r="E152" s="829"/>
      <c r="F152" s="829"/>
      <c r="G152" s="829"/>
      <c r="H152" s="829"/>
      <c r="I152" s="829"/>
      <c r="J152" s="829"/>
      <c r="K152" s="829"/>
      <c r="L152" s="829"/>
      <c r="M152" s="829"/>
      <c r="N152" s="829"/>
      <c r="O152" s="829"/>
      <c r="P152" s="829"/>
      <c r="Q152" s="829"/>
      <c r="R152" s="829"/>
      <c r="S152" s="829"/>
      <c r="T152" s="829"/>
      <c r="U152" s="829"/>
      <c r="V152" s="829"/>
      <c r="W152" s="829"/>
      <c r="X152" s="829"/>
      <c r="Y152" s="829"/>
      <c r="Z152" s="829"/>
    </row>
    <row r="153">
      <c r="A153" s="829"/>
      <c r="B153" s="829"/>
      <c r="C153" s="829"/>
      <c r="D153" s="829"/>
      <c r="E153" s="829"/>
      <c r="F153" s="829"/>
      <c r="G153" s="829"/>
      <c r="H153" s="829"/>
      <c r="I153" s="829"/>
      <c r="J153" s="829"/>
      <c r="K153" s="829"/>
      <c r="L153" s="829"/>
      <c r="M153" s="829"/>
      <c r="N153" s="829"/>
      <c r="O153" s="829"/>
      <c r="P153" s="829"/>
      <c r="Q153" s="829"/>
      <c r="R153" s="829"/>
      <c r="S153" s="829"/>
      <c r="T153" s="829"/>
      <c r="U153" s="829"/>
      <c r="V153" s="829"/>
      <c r="W153" s="829"/>
      <c r="X153" s="829"/>
      <c r="Y153" s="829"/>
      <c r="Z153" s="829"/>
    </row>
    <row r="154">
      <c r="A154" s="829"/>
      <c r="B154" s="829"/>
      <c r="C154" s="829"/>
      <c r="D154" s="829"/>
      <c r="E154" s="829"/>
      <c r="F154" s="829"/>
      <c r="G154" s="829"/>
      <c r="H154" s="829"/>
      <c r="I154" s="829"/>
      <c r="J154" s="829"/>
      <c r="K154" s="829"/>
      <c r="L154" s="829"/>
      <c r="M154" s="829"/>
      <c r="N154" s="829"/>
      <c r="O154" s="829"/>
      <c r="P154" s="829"/>
      <c r="Q154" s="829"/>
      <c r="R154" s="829"/>
      <c r="S154" s="829"/>
      <c r="T154" s="829"/>
      <c r="U154" s="829"/>
      <c r="V154" s="829"/>
      <c r="W154" s="829"/>
      <c r="X154" s="829"/>
      <c r="Y154" s="829"/>
      <c r="Z154" s="829"/>
    </row>
    <row r="155">
      <c r="A155" s="829"/>
      <c r="B155" s="829"/>
      <c r="C155" s="829"/>
      <c r="D155" s="829"/>
      <c r="E155" s="829"/>
      <c r="F155" s="829"/>
      <c r="G155" s="829"/>
      <c r="H155" s="829"/>
      <c r="I155" s="829"/>
      <c r="J155" s="829"/>
      <c r="K155" s="829"/>
      <c r="L155" s="829"/>
      <c r="M155" s="829"/>
      <c r="N155" s="829"/>
      <c r="O155" s="829"/>
      <c r="P155" s="829"/>
      <c r="Q155" s="829"/>
      <c r="R155" s="829"/>
      <c r="S155" s="829"/>
      <c r="T155" s="829"/>
      <c r="U155" s="829"/>
      <c r="V155" s="829"/>
      <c r="W155" s="829"/>
      <c r="X155" s="829"/>
      <c r="Y155" s="829"/>
      <c r="Z155" s="829"/>
    </row>
    <row r="156">
      <c r="A156" s="829"/>
      <c r="B156" s="829"/>
      <c r="C156" s="829"/>
      <c r="D156" s="829"/>
      <c r="E156" s="829"/>
      <c r="F156" s="829"/>
      <c r="G156" s="829"/>
      <c r="H156" s="829"/>
      <c r="I156" s="829"/>
      <c r="J156" s="829"/>
      <c r="K156" s="829"/>
      <c r="L156" s="829"/>
      <c r="M156" s="829"/>
      <c r="N156" s="829"/>
      <c r="O156" s="829"/>
      <c r="P156" s="829"/>
      <c r="Q156" s="829"/>
      <c r="R156" s="829"/>
      <c r="S156" s="829"/>
      <c r="T156" s="829"/>
      <c r="U156" s="829"/>
      <c r="V156" s="829"/>
      <c r="W156" s="829"/>
      <c r="X156" s="829"/>
      <c r="Y156" s="829"/>
      <c r="Z156" s="829"/>
    </row>
    <row r="157">
      <c r="A157" s="829"/>
      <c r="B157" s="829"/>
      <c r="C157" s="829"/>
      <c r="D157" s="829"/>
      <c r="E157" s="829"/>
      <c r="F157" s="829"/>
      <c r="G157" s="829"/>
      <c r="H157" s="829"/>
      <c r="I157" s="829"/>
      <c r="J157" s="829"/>
      <c r="K157" s="829"/>
      <c r="L157" s="829"/>
      <c r="M157" s="829"/>
      <c r="N157" s="829"/>
      <c r="O157" s="829"/>
      <c r="P157" s="829"/>
      <c r="Q157" s="829"/>
      <c r="R157" s="829"/>
      <c r="S157" s="829"/>
      <c r="T157" s="829"/>
      <c r="U157" s="829"/>
      <c r="V157" s="829"/>
      <c r="W157" s="829"/>
      <c r="X157" s="829"/>
      <c r="Y157" s="829"/>
      <c r="Z157" s="829"/>
    </row>
    <row r="158">
      <c r="A158" s="829"/>
      <c r="B158" s="829"/>
      <c r="C158" s="829"/>
      <c r="D158" s="829"/>
      <c r="E158" s="829"/>
      <c r="F158" s="829"/>
      <c r="G158" s="829"/>
      <c r="H158" s="829"/>
      <c r="I158" s="829"/>
      <c r="J158" s="829"/>
      <c r="K158" s="829"/>
      <c r="L158" s="829"/>
      <c r="M158" s="829"/>
      <c r="N158" s="829"/>
      <c r="O158" s="829"/>
      <c r="P158" s="829"/>
      <c r="Q158" s="829"/>
      <c r="R158" s="829"/>
      <c r="S158" s="829"/>
      <c r="T158" s="829"/>
      <c r="U158" s="829"/>
      <c r="V158" s="829"/>
      <c r="W158" s="829"/>
      <c r="X158" s="829"/>
      <c r="Y158" s="829"/>
      <c r="Z158" s="829"/>
    </row>
    <row r="159">
      <c r="A159" s="829"/>
      <c r="B159" s="829"/>
      <c r="C159" s="829"/>
      <c r="D159" s="829"/>
      <c r="E159" s="829"/>
      <c r="F159" s="829"/>
      <c r="G159" s="829"/>
      <c r="H159" s="829"/>
      <c r="I159" s="829"/>
      <c r="J159" s="829"/>
      <c r="K159" s="829"/>
      <c r="L159" s="829"/>
      <c r="M159" s="829"/>
      <c r="N159" s="829"/>
      <c r="O159" s="829"/>
      <c r="P159" s="829"/>
      <c r="Q159" s="829"/>
      <c r="R159" s="829"/>
      <c r="S159" s="829"/>
      <c r="T159" s="829"/>
      <c r="U159" s="829"/>
      <c r="V159" s="829"/>
      <c r="W159" s="829"/>
      <c r="X159" s="829"/>
      <c r="Y159" s="829"/>
      <c r="Z159" s="829"/>
    </row>
    <row r="160">
      <c r="A160" s="829"/>
      <c r="B160" s="829"/>
      <c r="C160" s="829"/>
      <c r="D160" s="829"/>
      <c r="E160" s="829"/>
      <c r="F160" s="829"/>
      <c r="G160" s="829"/>
      <c r="H160" s="829"/>
      <c r="I160" s="829"/>
      <c r="J160" s="829"/>
      <c r="K160" s="829"/>
      <c r="L160" s="829"/>
      <c r="M160" s="829"/>
      <c r="N160" s="829"/>
      <c r="O160" s="829"/>
      <c r="P160" s="829"/>
      <c r="Q160" s="829"/>
      <c r="R160" s="829"/>
      <c r="S160" s="829"/>
      <c r="T160" s="829"/>
      <c r="U160" s="829"/>
      <c r="V160" s="829"/>
      <c r="W160" s="829"/>
      <c r="X160" s="829"/>
      <c r="Y160" s="829"/>
      <c r="Z160" s="829"/>
    </row>
    <row r="161">
      <c r="A161" s="829"/>
      <c r="B161" s="829"/>
      <c r="C161" s="829"/>
      <c r="D161" s="829"/>
      <c r="E161" s="829"/>
      <c r="F161" s="829"/>
      <c r="G161" s="829"/>
      <c r="H161" s="829"/>
      <c r="I161" s="829"/>
      <c r="J161" s="829"/>
      <c r="K161" s="829"/>
      <c r="L161" s="829"/>
      <c r="M161" s="829"/>
      <c r="N161" s="829"/>
      <c r="O161" s="829"/>
      <c r="P161" s="829"/>
      <c r="Q161" s="829"/>
      <c r="R161" s="829"/>
      <c r="S161" s="829"/>
      <c r="T161" s="829"/>
      <c r="U161" s="829"/>
      <c r="V161" s="829"/>
      <c r="W161" s="829"/>
      <c r="X161" s="829"/>
      <c r="Y161" s="829"/>
      <c r="Z161" s="829"/>
    </row>
    <row r="162">
      <c r="A162" s="829"/>
      <c r="B162" s="829"/>
      <c r="C162" s="829"/>
      <c r="D162" s="829"/>
      <c r="E162" s="829"/>
      <c r="F162" s="829"/>
      <c r="G162" s="829"/>
      <c r="H162" s="829"/>
      <c r="I162" s="829"/>
      <c r="J162" s="829"/>
      <c r="K162" s="829"/>
      <c r="L162" s="829"/>
      <c r="M162" s="829"/>
      <c r="N162" s="829"/>
      <c r="O162" s="829"/>
      <c r="P162" s="829"/>
      <c r="Q162" s="829"/>
      <c r="R162" s="829"/>
      <c r="S162" s="829"/>
      <c r="T162" s="829"/>
      <c r="U162" s="829"/>
      <c r="V162" s="829"/>
      <c r="W162" s="829"/>
      <c r="X162" s="829"/>
      <c r="Y162" s="829"/>
      <c r="Z162" s="829"/>
    </row>
    <row r="163">
      <c r="A163" s="829"/>
      <c r="B163" s="829"/>
      <c r="C163" s="829"/>
      <c r="D163" s="829"/>
      <c r="E163" s="829"/>
      <c r="F163" s="829"/>
      <c r="G163" s="829"/>
      <c r="H163" s="829"/>
      <c r="I163" s="829"/>
      <c r="J163" s="829"/>
      <c r="K163" s="829"/>
      <c r="L163" s="829"/>
      <c r="M163" s="829"/>
      <c r="N163" s="829"/>
      <c r="O163" s="829"/>
      <c r="P163" s="829"/>
      <c r="Q163" s="829"/>
      <c r="R163" s="829"/>
      <c r="S163" s="829"/>
      <c r="T163" s="829"/>
      <c r="U163" s="829"/>
      <c r="V163" s="829"/>
      <c r="W163" s="829"/>
      <c r="X163" s="829"/>
      <c r="Y163" s="829"/>
      <c r="Z163" s="829"/>
    </row>
    <row r="164">
      <c r="A164" s="829"/>
      <c r="B164" s="829"/>
      <c r="C164" s="829"/>
      <c r="D164" s="829"/>
      <c r="E164" s="829"/>
      <c r="F164" s="829"/>
      <c r="G164" s="829"/>
      <c r="H164" s="829"/>
      <c r="I164" s="829"/>
      <c r="J164" s="829"/>
      <c r="K164" s="829"/>
      <c r="L164" s="829"/>
      <c r="M164" s="829"/>
      <c r="N164" s="829"/>
      <c r="O164" s="829"/>
      <c r="P164" s="829"/>
      <c r="Q164" s="829"/>
      <c r="R164" s="829"/>
      <c r="S164" s="829"/>
      <c r="T164" s="829"/>
      <c r="U164" s="829"/>
      <c r="V164" s="829"/>
      <c r="W164" s="829"/>
      <c r="X164" s="829"/>
      <c r="Y164" s="829"/>
      <c r="Z164" s="829"/>
    </row>
    <row r="165">
      <c r="A165" s="829"/>
      <c r="B165" s="829"/>
      <c r="C165" s="829"/>
      <c r="D165" s="829"/>
      <c r="E165" s="829"/>
      <c r="F165" s="829"/>
      <c r="G165" s="829"/>
      <c r="H165" s="829"/>
      <c r="I165" s="829"/>
      <c r="J165" s="829"/>
      <c r="K165" s="829"/>
      <c r="L165" s="829"/>
      <c r="M165" s="829"/>
      <c r="N165" s="829"/>
      <c r="O165" s="829"/>
      <c r="P165" s="829"/>
      <c r="Q165" s="829"/>
      <c r="R165" s="829"/>
      <c r="S165" s="829"/>
      <c r="T165" s="829"/>
      <c r="U165" s="829"/>
      <c r="V165" s="829"/>
      <c r="W165" s="829"/>
      <c r="X165" s="829"/>
      <c r="Y165" s="829"/>
      <c r="Z165" s="829"/>
    </row>
    <row r="166">
      <c r="A166" s="829"/>
      <c r="B166" s="829"/>
      <c r="C166" s="829"/>
      <c r="D166" s="829"/>
      <c r="E166" s="829"/>
      <c r="F166" s="829"/>
      <c r="G166" s="829"/>
      <c r="H166" s="829"/>
      <c r="I166" s="829"/>
      <c r="J166" s="829"/>
      <c r="K166" s="829"/>
      <c r="L166" s="829"/>
      <c r="M166" s="829"/>
      <c r="N166" s="829"/>
      <c r="O166" s="829"/>
      <c r="P166" s="829"/>
      <c r="Q166" s="829"/>
      <c r="R166" s="829"/>
      <c r="S166" s="829"/>
      <c r="T166" s="829"/>
      <c r="U166" s="829"/>
      <c r="V166" s="829"/>
      <c r="W166" s="829"/>
      <c r="X166" s="829"/>
      <c r="Y166" s="829"/>
      <c r="Z166" s="829"/>
    </row>
    <row r="167">
      <c r="A167" s="829"/>
      <c r="B167" s="829"/>
      <c r="C167" s="829"/>
      <c r="D167" s="829"/>
      <c r="E167" s="829"/>
      <c r="F167" s="829"/>
      <c r="G167" s="829"/>
      <c r="H167" s="829"/>
      <c r="I167" s="829"/>
      <c r="J167" s="829"/>
      <c r="K167" s="829"/>
      <c r="L167" s="829"/>
      <c r="M167" s="829"/>
      <c r="N167" s="829"/>
      <c r="O167" s="829"/>
      <c r="P167" s="829"/>
      <c r="Q167" s="829"/>
      <c r="R167" s="829"/>
      <c r="S167" s="829"/>
      <c r="T167" s="829"/>
      <c r="U167" s="829"/>
      <c r="V167" s="829"/>
      <c r="W167" s="829"/>
      <c r="X167" s="829"/>
      <c r="Y167" s="829"/>
      <c r="Z167" s="829"/>
    </row>
    <row r="168">
      <c r="A168" s="829"/>
      <c r="B168" s="829"/>
      <c r="C168" s="829"/>
      <c r="D168" s="829"/>
      <c r="E168" s="829"/>
      <c r="F168" s="829"/>
      <c r="G168" s="829"/>
      <c r="H168" s="829"/>
      <c r="I168" s="829"/>
      <c r="J168" s="829"/>
      <c r="K168" s="829"/>
      <c r="L168" s="829"/>
      <c r="M168" s="829"/>
      <c r="N168" s="829"/>
      <c r="O168" s="829"/>
      <c r="P168" s="829"/>
      <c r="Q168" s="829"/>
      <c r="R168" s="829"/>
      <c r="S168" s="829"/>
      <c r="T168" s="829"/>
      <c r="U168" s="829"/>
      <c r="V168" s="829"/>
      <c r="W168" s="829"/>
      <c r="X168" s="829"/>
      <c r="Y168" s="829"/>
      <c r="Z168" s="829"/>
    </row>
    <row r="169">
      <c r="A169" s="829"/>
      <c r="B169" s="829"/>
      <c r="C169" s="829"/>
      <c r="D169" s="829"/>
      <c r="E169" s="829"/>
      <c r="F169" s="829"/>
      <c r="G169" s="829"/>
      <c r="H169" s="829"/>
      <c r="I169" s="829"/>
      <c r="J169" s="829"/>
      <c r="K169" s="829"/>
      <c r="L169" s="829"/>
      <c r="M169" s="829"/>
      <c r="N169" s="829"/>
      <c r="O169" s="829"/>
      <c r="P169" s="829"/>
      <c r="Q169" s="829"/>
      <c r="R169" s="829"/>
      <c r="S169" s="829"/>
      <c r="T169" s="829"/>
      <c r="U169" s="829"/>
      <c r="V169" s="829"/>
      <c r="W169" s="829"/>
      <c r="X169" s="829"/>
      <c r="Y169" s="829"/>
      <c r="Z169" s="829"/>
    </row>
    <row r="170">
      <c r="A170" s="829"/>
      <c r="B170" s="829"/>
      <c r="C170" s="829"/>
      <c r="D170" s="829"/>
      <c r="E170" s="829"/>
      <c r="F170" s="829"/>
      <c r="G170" s="829"/>
      <c r="H170" s="829"/>
      <c r="I170" s="829"/>
      <c r="J170" s="829"/>
      <c r="K170" s="829"/>
      <c r="L170" s="829"/>
      <c r="M170" s="829"/>
      <c r="N170" s="829"/>
      <c r="O170" s="829"/>
      <c r="P170" s="829"/>
      <c r="Q170" s="829"/>
      <c r="R170" s="829"/>
      <c r="S170" s="829"/>
      <c r="T170" s="829"/>
      <c r="U170" s="829"/>
      <c r="V170" s="829"/>
      <c r="W170" s="829"/>
      <c r="X170" s="829"/>
      <c r="Y170" s="829"/>
      <c r="Z170" s="829"/>
    </row>
    <row r="171">
      <c r="A171" s="829"/>
      <c r="B171" s="829"/>
      <c r="C171" s="829"/>
      <c r="D171" s="829"/>
      <c r="E171" s="829"/>
      <c r="F171" s="829"/>
      <c r="G171" s="829"/>
      <c r="H171" s="829"/>
      <c r="I171" s="829"/>
      <c r="J171" s="829"/>
      <c r="K171" s="829"/>
      <c r="L171" s="829"/>
      <c r="M171" s="829"/>
      <c r="N171" s="829"/>
      <c r="O171" s="829"/>
      <c r="P171" s="829"/>
      <c r="Q171" s="829"/>
      <c r="R171" s="829"/>
      <c r="S171" s="829"/>
      <c r="T171" s="829"/>
      <c r="U171" s="829"/>
      <c r="V171" s="829"/>
      <c r="W171" s="829"/>
      <c r="X171" s="829"/>
      <c r="Y171" s="829"/>
      <c r="Z171" s="829"/>
    </row>
    <row r="172">
      <c r="A172" s="829"/>
      <c r="B172" s="829"/>
      <c r="C172" s="829"/>
      <c r="D172" s="829"/>
      <c r="E172" s="829"/>
      <c r="F172" s="829"/>
      <c r="G172" s="829"/>
      <c r="H172" s="829"/>
      <c r="I172" s="829"/>
      <c r="J172" s="829"/>
      <c r="K172" s="829"/>
      <c r="L172" s="829"/>
      <c r="M172" s="829"/>
      <c r="N172" s="829"/>
      <c r="O172" s="829"/>
      <c r="P172" s="829"/>
      <c r="Q172" s="829"/>
      <c r="R172" s="829"/>
      <c r="S172" s="829"/>
      <c r="T172" s="829"/>
      <c r="U172" s="829"/>
      <c r="V172" s="829"/>
      <c r="W172" s="829"/>
      <c r="X172" s="829"/>
      <c r="Y172" s="829"/>
      <c r="Z172" s="829"/>
    </row>
    <row r="173">
      <c r="A173" s="829"/>
      <c r="B173" s="829"/>
      <c r="C173" s="829"/>
      <c r="D173" s="829"/>
      <c r="E173" s="829"/>
      <c r="F173" s="829"/>
      <c r="G173" s="829"/>
      <c r="H173" s="829"/>
      <c r="I173" s="829"/>
      <c r="J173" s="829"/>
      <c r="K173" s="829"/>
      <c r="L173" s="829"/>
      <c r="M173" s="829"/>
      <c r="N173" s="829"/>
      <c r="O173" s="829"/>
      <c r="P173" s="829"/>
      <c r="Q173" s="829"/>
      <c r="R173" s="829"/>
      <c r="S173" s="829"/>
      <c r="T173" s="829"/>
      <c r="U173" s="829"/>
      <c r="V173" s="829"/>
      <c r="W173" s="829"/>
      <c r="X173" s="829"/>
      <c r="Y173" s="829"/>
      <c r="Z173" s="829"/>
    </row>
    <row r="174">
      <c r="A174" s="829"/>
      <c r="B174" s="829"/>
      <c r="C174" s="829"/>
      <c r="D174" s="829"/>
      <c r="E174" s="829"/>
      <c r="F174" s="829"/>
      <c r="G174" s="829"/>
      <c r="H174" s="829"/>
      <c r="I174" s="829"/>
      <c r="J174" s="829"/>
      <c r="K174" s="829"/>
      <c r="L174" s="829"/>
      <c r="M174" s="829"/>
      <c r="N174" s="829"/>
      <c r="O174" s="829"/>
      <c r="P174" s="829"/>
      <c r="Q174" s="829"/>
      <c r="R174" s="829"/>
      <c r="S174" s="829"/>
      <c r="T174" s="829"/>
      <c r="U174" s="829"/>
      <c r="V174" s="829"/>
      <c r="W174" s="829"/>
      <c r="X174" s="829"/>
      <c r="Y174" s="829"/>
      <c r="Z174" s="829"/>
    </row>
    <row r="175">
      <c r="A175" s="829"/>
      <c r="B175" s="829"/>
      <c r="C175" s="829"/>
      <c r="D175" s="829"/>
      <c r="E175" s="829"/>
      <c r="F175" s="829"/>
      <c r="G175" s="829"/>
      <c r="H175" s="829"/>
      <c r="I175" s="829"/>
      <c r="J175" s="829"/>
      <c r="K175" s="829"/>
      <c r="L175" s="829"/>
      <c r="M175" s="829"/>
      <c r="N175" s="829"/>
      <c r="O175" s="829"/>
      <c r="P175" s="829"/>
      <c r="Q175" s="829"/>
      <c r="R175" s="829"/>
      <c r="S175" s="829"/>
      <c r="T175" s="829"/>
      <c r="U175" s="829"/>
      <c r="V175" s="829"/>
      <c r="W175" s="829"/>
      <c r="X175" s="829"/>
      <c r="Y175" s="829"/>
      <c r="Z175" s="829"/>
    </row>
    <row r="176">
      <c r="A176" s="829"/>
      <c r="B176" s="829"/>
      <c r="C176" s="829"/>
      <c r="D176" s="829"/>
      <c r="E176" s="829"/>
      <c r="F176" s="829"/>
      <c r="G176" s="829"/>
      <c r="H176" s="829"/>
      <c r="I176" s="829"/>
      <c r="J176" s="829"/>
      <c r="K176" s="829"/>
      <c r="L176" s="829"/>
      <c r="M176" s="829"/>
      <c r="N176" s="829"/>
      <c r="O176" s="829"/>
      <c r="P176" s="829"/>
      <c r="Q176" s="829"/>
      <c r="R176" s="829"/>
      <c r="S176" s="829"/>
      <c r="T176" s="829"/>
      <c r="U176" s="829"/>
      <c r="V176" s="829"/>
      <c r="W176" s="829"/>
      <c r="X176" s="829"/>
      <c r="Y176" s="829"/>
      <c r="Z176" s="829"/>
    </row>
    <row r="177">
      <c r="A177" s="829"/>
      <c r="B177" s="829"/>
      <c r="C177" s="829"/>
      <c r="D177" s="829"/>
      <c r="E177" s="829"/>
      <c r="F177" s="829"/>
      <c r="G177" s="829"/>
      <c r="H177" s="829"/>
      <c r="I177" s="829"/>
      <c r="J177" s="829"/>
      <c r="K177" s="829"/>
      <c r="L177" s="829"/>
      <c r="M177" s="829"/>
      <c r="N177" s="829"/>
      <c r="O177" s="829"/>
      <c r="P177" s="829"/>
      <c r="Q177" s="829"/>
      <c r="R177" s="829"/>
      <c r="S177" s="829"/>
      <c r="T177" s="829"/>
      <c r="U177" s="829"/>
      <c r="V177" s="829"/>
      <c r="W177" s="829"/>
      <c r="X177" s="829"/>
      <c r="Y177" s="829"/>
      <c r="Z177" s="829"/>
    </row>
    <row r="178">
      <c r="A178" s="829"/>
      <c r="B178" s="829"/>
      <c r="C178" s="829"/>
      <c r="D178" s="829"/>
      <c r="E178" s="829"/>
      <c r="F178" s="829"/>
      <c r="G178" s="829"/>
      <c r="H178" s="829"/>
      <c r="I178" s="829"/>
      <c r="J178" s="829"/>
      <c r="K178" s="829"/>
      <c r="L178" s="829"/>
      <c r="M178" s="829"/>
      <c r="N178" s="829"/>
      <c r="O178" s="829"/>
      <c r="P178" s="829"/>
      <c r="Q178" s="829"/>
      <c r="R178" s="829"/>
      <c r="S178" s="829"/>
      <c r="T178" s="829"/>
      <c r="U178" s="829"/>
      <c r="V178" s="829"/>
      <c r="W178" s="829"/>
      <c r="X178" s="829"/>
      <c r="Y178" s="829"/>
      <c r="Z178" s="829"/>
    </row>
    <row r="179">
      <c r="A179" s="829"/>
      <c r="B179" s="829"/>
      <c r="C179" s="829"/>
      <c r="D179" s="829"/>
      <c r="E179" s="829"/>
      <c r="F179" s="829"/>
      <c r="G179" s="829"/>
      <c r="H179" s="829"/>
      <c r="I179" s="829"/>
      <c r="J179" s="829"/>
      <c r="K179" s="829"/>
      <c r="L179" s="829"/>
      <c r="M179" s="829"/>
      <c r="N179" s="829"/>
      <c r="O179" s="829"/>
      <c r="P179" s="829"/>
      <c r="Q179" s="829"/>
      <c r="R179" s="829"/>
      <c r="S179" s="829"/>
      <c r="T179" s="829"/>
      <c r="U179" s="829"/>
      <c r="V179" s="829"/>
      <c r="W179" s="829"/>
      <c r="X179" s="829"/>
      <c r="Y179" s="829"/>
      <c r="Z179" s="829"/>
    </row>
    <row r="180">
      <c r="A180" s="829"/>
      <c r="B180" s="829"/>
      <c r="C180" s="829"/>
      <c r="D180" s="829"/>
      <c r="E180" s="829"/>
      <c r="F180" s="829"/>
      <c r="G180" s="829"/>
      <c r="H180" s="829"/>
      <c r="I180" s="829"/>
      <c r="J180" s="829"/>
      <c r="K180" s="829"/>
      <c r="L180" s="829"/>
      <c r="M180" s="829"/>
      <c r="N180" s="829"/>
      <c r="O180" s="829"/>
      <c r="P180" s="829"/>
      <c r="Q180" s="829"/>
      <c r="R180" s="829"/>
      <c r="S180" s="829"/>
      <c r="T180" s="829"/>
      <c r="U180" s="829"/>
      <c r="V180" s="829"/>
      <c r="W180" s="829"/>
      <c r="X180" s="829"/>
      <c r="Y180" s="829"/>
      <c r="Z180" s="829"/>
    </row>
    <row r="181">
      <c r="A181" s="829"/>
      <c r="B181" s="829"/>
      <c r="C181" s="829"/>
      <c r="D181" s="829"/>
      <c r="E181" s="829"/>
      <c r="F181" s="829"/>
      <c r="G181" s="829"/>
      <c r="H181" s="829"/>
      <c r="I181" s="829"/>
      <c r="J181" s="829"/>
      <c r="K181" s="829"/>
      <c r="L181" s="829"/>
      <c r="M181" s="829"/>
      <c r="N181" s="829"/>
      <c r="O181" s="829"/>
      <c r="P181" s="829"/>
      <c r="Q181" s="829"/>
      <c r="R181" s="829"/>
      <c r="S181" s="829"/>
      <c r="T181" s="829"/>
      <c r="U181" s="829"/>
      <c r="V181" s="829"/>
      <c r="W181" s="829"/>
      <c r="X181" s="829"/>
      <c r="Y181" s="829"/>
      <c r="Z181" s="829"/>
    </row>
    <row r="182">
      <c r="A182" s="829"/>
      <c r="B182" s="829"/>
      <c r="C182" s="829"/>
      <c r="D182" s="829"/>
      <c r="E182" s="829"/>
      <c r="F182" s="829"/>
      <c r="G182" s="829"/>
      <c r="H182" s="829"/>
      <c r="I182" s="829"/>
      <c r="J182" s="829"/>
      <c r="K182" s="829"/>
      <c r="L182" s="829"/>
      <c r="M182" s="829"/>
      <c r="N182" s="829"/>
      <c r="O182" s="829"/>
      <c r="P182" s="829"/>
      <c r="Q182" s="829"/>
      <c r="R182" s="829"/>
      <c r="S182" s="829"/>
      <c r="T182" s="829"/>
      <c r="U182" s="829"/>
      <c r="V182" s="829"/>
      <c r="W182" s="829"/>
      <c r="X182" s="829"/>
      <c r="Y182" s="829"/>
      <c r="Z182" s="829"/>
    </row>
    <row r="183">
      <c r="A183" s="829"/>
      <c r="B183" s="829"/>
      <c r="C183" s="829"/>
      <c r="D183" s="829"/>
      <c r="E183" s="829"/>
      <c r="F183" s="829"/>
      <c r="G183" s="829"/>
      <c r="H183" s="829"/>
      <c r="I183" s="829"/>
      <c r="J183" s="829"/>
      <c r="K183" s="829"/>
      <c r="L183" s="829"/>
      <c r="M183" s="829"/>
      <c r="N183" s="829"/>
      <c r="O183" s="829"/>
      <c r="P183" s="829"/>
      <c r="Q183" s="829"/>
      <c r="R183" s="829"/>
      <c r="S183" s="829"/>
      <c r="T183" s="829"/>
      <c r="U183" s="829"/>
      <c r="V183" s="829"/>
      <c r="W183" s="829"/>
      <c r="X183" s="829"/>
      <c r="Y183" s="829"/>
      <c r="Z183" s="829"/>
    </row>
    <row r="184">
      <c r="A184" s="829"/>
      <c r="B184" s="829"/>
      <c r="C184" s="829"/>
      <c r="D184" s="829"/>
      <c r="E184" s="829"/>
      <c r="F184" s="829"/>
      <c r="G184" s="829"/>
      <c r="H184" s="829"/>
      <c r="I184" s="829"/>
      <c r="J184" s="829"/>
      <c r="K184" s="829"/>
      <c r="L184" s="829"/>
      <c r="M184" s="829"/>
      <c r="N184" s="829"/>
      <c r="O184" s="829"/>
      <c r="P184" s="829"/>
      <c r="Q184" s="829"/>
      <c r="R184" s="829"/>
      <c r="S184" s="829"/>
      <c r="T184" s="829"/>
      <c r="U184" s="829"/>
      <c r="V184" s="829"/>
      <c r="W184" s="829"/>
      <c r="X184" s="829"/>
      <c r="Y184" s="829"/>
      <c r="Z184" s="829"/>
    </row>
    <row r="185">
      <c r="A185" s="829"/>
      <c r="B185" s="829"/>
      <c r="C185" s="829"/>
      <c r="D185" s="829"/>
      <c r="E185" s="829"/>
      <c r="F185" s="829"/>
      <c r="G185" s="829"/>
      <c r="H185" s="829"/>
      <c r="I185" s="829"/>
      <c r="J185" s="829"/>
      <c r="K185" s="829"/>
      <c r="L185" s="829"/>
      <c r="M185" s="829"/>
      <c r="N185" s="829"/>
      <c r="O185" s="829"/>
      <c r="P185" s="829"/>
      <c r="Q185" s="829"/>
      <c r="R185" s="829"/>
      <c r="S185" s="829"/>
      <c r="T185" s="829"/>
      <c r="U185" s="829"/>
      <c r="V185" s="829"/>
      <c r="W185" s="829"/>
      <c r="X185" s="829"/>
      <c r="Y185" s="829"/>
      <c r="Z185" s="829"/>
    </row>
    <row r="186">
      <c r="A186" s="829"/>
      <c r="B186" s="829"/>
      <c r="C186" s="829"/>
      <c r="D186" s="829"/>
      <c r="E186" s="829"/>
      <c r="F186" s="829"/>
      <c r="G186" s="829"/>
      <c r="H186" s="829"/>
      <c r="I186" s="829"/>
      <c r="J186" s="829"/>
      <c r="K186" s="829"/>
      <c r="L186" s="829"/>
      <c r="M186" s="829"/>
      <c r="N186" s="829"/>
      <c r="O186" s="829"/>
      <c r="P186" s="829"/>
      <c r="Q186" s="829"/>
      <c r="R186" s="829"/>
      <c r="S186" s="829"/>
      <c r="T186" s="829"/>
      <c r="U186" s="829"/>
      <c r="V186" s="829"/>
      <c r="W186" s="829"/>
      <c r="X186" s="829"/>
      <c r="Y186" s="829"/>
      <c r="Z186" s="829"/>
    </row>
    <row r="187">
      <c r="A187" s="829"/>
      <c r="B187" s="829"/>
      <c r="C187" s="829"/>
      <c r="D187" s="829"/>
      <c r="E187" s="829"/>
      <c r="F187" s="829"/>
      <c r="G187" s="829"/>
      <c r="H187" s="829"/>
      <c r="I187" s="829"/>
      <c r="J187" s="829"/>
      <c r="K187" s="829"/>
      <c r="L187" s="829"/>
      <c r="M187" s="829"/>
      <c r="N187" s="829"/>
      <c r="O187" s="829"/>
      <c r="P187" s="829"/>
      <c r="Q187" s="829"/>
      <c r="R187" s="829"/>
      <c r="S187" s="829"/>
      <c r="T187" s="829"/>
      <c r="U187" s="829"/>
      <c r="V187" s="829"/>
      <c r="W187" s="829"/>
      <c r="X187" s="829"/>
      <c r="Y187" s="829"/>
      <c r="Z187" s="829"/>
    </row>
    <row r="188">
      <c r="A188" s="829"/>
      <c r="B188" s="829"/>
      <c r="C188" s="829"/>
      <c r="D188" s="829"/>
      <c r="E188" s="829"/>
      <c r="F188" s="829"/>
      <c r="G188" s="829"/>
      <c r="H188" s="829"/>
      <c r="I188" s="829"/>
      <c r="J188" s="829"/>
      <c r="K188" s="829"/>
      <c r="L188" s="829"/>
      <c r="M188" s="829"/>
      <c r="N188" s="829"/>
      <c r="O188" s="829"/>
      <c r="P188" s="829"/>
      <c r="Q188" s="829"/>
      <c r="R188" s="829"/>
      <c r="S188" s="829"/>
      <c r="T188" s="829"/>
      <c r="U188" s="829"/>
      <c r="V188" s="829"/>
      <c r="W188" s="829"/>
      <c r="X188" s="829"/>
      <c r="Y188" s="829"/>
      <c r="Z188" s="829"/>
    </row>
    <row r="189">
      <c r="A189" s="829"/>
      <c r="B189" s="829"/>
      <c r="C189" s="829"/>
      <c r="D189" s="829"/>
      <c r="E189" s="829"/>
      <c r="F189" s="829"/>
      <c r="G189" s="829"/>
      <c r="H189" s="829"/>
      <c r="I189" s="829"/>
      <c r="J189" s="829"/>
      <c r="K189" s="829"/>
      <c r="L189" s="829"/>
      <c r="M189" s="829"/>
      <c r="N189" s="829"/>
      <c r="O189" s="829"/>
      <c r="P189" s="829"/>
      <c r="Q189" s="829"/>
      <c r="R189" s="829"/>
      <c r="S189" s="829"/>
      <c r="T189" s="829"/>
      <c r="U189" s="829"/>
      <c r="V189" s="829"/>
      <c r="W189" s="829"/>
      <c r="X189" s="829"/>
      <c r="Y189" s="829"/>
      <c r="Z189" s="829"/>
    </row>
    <row r="190">
      <c r="A190" s="829"/>
      <c r="B190" s="829"/>
      <c r="C190" s="829"/>
      <c r="D190" s="829"/>
      <c r="E190" s="829"/>
      <c r="F190" s="829"/>
      <c r="G190" s="829"/>
      <c r="H190" s="829"/>
      <c r="I190" s="829"/>
      <c r="J190" s="829"/>
      <c r="K190" s="829"/>
      <c r="L190" s="829"/>
      <c r="M190" s="829"/>
      <c r="N190" s="829"/>
      <c r="O190" s="829"/>
      <c r="P190" s="829"/>
      <c r="Q190" s="829"/>
      <c r="R190" s="829"/>
      <c r="S190" s="829"/>
      <c r="T190" s="829"/>
      <c r="U190" s="829"/>
      <c r="V190" s="829"/>
      <c r="W190" s="829"/>
      <c r="X190" s="829"/>
      <c r="Y190" s="829"/>
      <c r="Z190" s="829"/>
    </row>
    <row r="191">
      <c r="A191" s="829"/>
      <c r="B191" s="829"/>
      <c r="C191" s="829"/>
      <c r="D191" s="829"/>
      <c r="E191" s="829"/>
      <c r="F191" s="829"/>
      <c r="G191" s="829"/>
      <c r="H191" s="829"/>
      <c r="I191" s="829"/>
      <c r="J191" s="829"/>
      <c r="K191" s="829"/>
      <c r="L191" s="829"/>
      <c r="M191" s="829"/>
      <c r="N191" s="829"/>
      <c r="O191" s="829"/>
      <c r="P191" s="829"/>
      <c r="Q191" s="829"/>
      <c r="R191" s="829"/>
      <c r="S191" s="829"/>
      <c r="T191" s="829"/>
      <c r="U191" s="829"/>
      <c r="V191" s="829"/>
      <c r="W191" s="829"/>
      <c r="X191" s="829"/>
      <c r="Y191" s="829"/>
      <c r="Z191" s="829"/>
    </row>
    <row r="192">
      <c r="A192" s="829"/>
      <c r="B192" s="829"/>
      <c r="C192" s="829"/>
      <c r="D192" s="829"/>
      <c r="E192" s="829"/>
      <c r="F192" s="829"/>
      <c r="G192" s="829"/>
      <c r="H192" s="829"/>
      <c r="I192" s="829"/>
      <c r="J192" s="829"/>
      <c r="K192" s="829"/>
      <c r="L192" s="829"/>
      <c r="M192" s="829"/>
      <c r="N192" s="829"/>
      <c r="O192" s="829"/>
      <c r="P192" s="829"/>
      <c r="Q192" s="829"/>
      <c r="R192" s="829"/>
      <c r="S192" s="829"/>
      <c r="T192" s="829"/>
      <c r="U192" s="829"/>
      <c r="V192" s="829"/>
      <c r="W192" s="829"/>
      <c r="X192" s="829"/>
      <c r="Y192" s="829"/>
      <c r="Z192" s="829"/>
    </row>
    <row r="193">
      <c r="A193" s="829"/>
      <c r="B193" s="829"/>
      <c r="C193" s="829"/>
      <c r="D193" s="829"/>
      <c r="E193" s="829"/>
      <c r="F193" s="829"/>
      <c r="G193" s="829"/>
      <c r="H193" s="829"/>
      <c r="I193" s="829"/>
      <c r="J193" s="829"/>
      <c r="K193" s="829"/>
      <c r="L193" s="829"/>
      <c r="M193" s="829"/>
      <c r="N193" s="829"/>
      <c r="O193" s="829"/>
      <c r="P193" s="829"/>
      <c r="Q193" s="829"/>
      <c r="R193" s="829"/>
      <c r="S193" s="829"/>
      <c r="T193" s="829"/>
      <c r="U193" s="829"/>
      <c r="V193" s="829"/>
      <c r="W193" s="829"/>
      <c r="X193" s="829"/>
      <c r="Y193" s="829"/>
      <c r="Z193" s="829"/>
    </row>
    <row r="194">
      <c r="A194" s="829"/>
      <c r="B194" s="829"/>
      <c r="C194" s="829"/>
      <c r="D194" s="829"/>
      <c r="E194" s="829"/>
      <c r="F194" s="829"/>
      <c r="G194" s="829"/>
      <c r="H194" s="829"/>
      <c r="I194" s="829"/>
      <c r="J194" s="829"/>
      <c r="K194" s="829"/>
      <c r="L194" s="829"/>
      <c r="M194" s="829"/>
      <c r="N194" s="829"/>
      <c r="O194" s="829"/>
      <c r="P194" s="829"/>
      <c r="Q194" s="829"/>
      <c r="R194" s="829"/>
      <c r="S194" s="829"/>
      <c r="T194" s="829"/>
      <c r="U194" s="829"/>
      <c r="V194" s="829"/>
      <c r="W194" s="829"/>
      <c r="X194" s="829"/>
      <c r="Y194" s="829"/>
      <c r="Z194" s="829"/>
    </row>
    <row r="195">
      <c r="A195" s="829"/>
      <c r="B195" s="829"/>
      <c r="C195" s="829"/>
      <c r="D195" s="829"/>
      <c r="E195" s="829"/>
      <c r="F195" s="829"/>
      <c r="G195" s="829"/>
      <c r="H195" s="829"/>
      <c r="I195" s="829"/>
      <c r="J195" s="829"/>
      <c r="K195" s="829"/>
      <c r="L195" s="829"/>
      <c r="M195" s="829"/>
      <c r="N195" s="829"/>
      <c r="O195" s="829"/>
      <c r="P195" s="829"/>
      <c r="Q195" s="829"/>
      <c r="R195" s="829"/>
      <c r="S195" s="829"/>
      <c r="T195" s="829"/>
      <c r="U195" s="829"/>
      <c r="V195" s="829"/>
      <c r="W195" s="829"/>
      <c r="X195" s="829"/>
      <c r="Y195" s="829"/>
      <c r="Z195" s="829"/>
    </row>
    <row r="196">
      <c r="A196" s="829"/>
      <c r="B196" s="829"/>
      <c r="C196" s="829"/>
      <c r="D196" s="829"/>
      <c r="E196" s="829"/>
      <c r="F196" s="829"/>
      <c r="G196" s="829"/>
      <c r="H196" s="829"/>
      <c r="I196" s="829"/>
      <c r="J196" s="829"/>
      <c r="K196" s="829"/>
      <c r="L196" s="829"/>
      <c r="M196" s="829"/>
      <c r="N196" s="829"/>
      <c r="O196" s="829"/>
      <c r="P196" s="829"/>
      <c r="Q196" s="829"/>
      <c r="R196" s="829"/>
      <c r="S196" s="829"/>
      <c r="T196" s="829"/>
      <c r="U196" s="829"/>
      <c r="V196" s="829"/>
      <c r="W196" s="829"/>
      <c r="X196" s="829"/>
      <c r="Y196" s="829"/>
      <c r="Z196" s="829"/>
    </row>
    <row r="197">
      <c r="A197" s="829"/>
      <c r="B197" s="829"/>
      <c r="C197" s="829"/>
      <c r="D197" s="829"/>
      <c r="E197" s="829"/>
      <c r="F197" s="829"/>
      <c r="G197" s="829"/>
      <c r="H197" s="829"/>
      <c r="I197" s="829"/>
      <c r="J197" s="829"/>
      <c r="K197" s="829"/>
      <c r="L197" s="829"/>
      <c r="M197" s="829"/>
      <c r="N197" s="829"/>
      <c r="O197" s="829"/>
      <c r="P197" s="829"/>
      <c r="Q197" s="829"/>
      <c r="R197" s="829"/>
      <c r="S197" s="829"/>
      <c r="T197" s="829"/>
      <c r="U197" s="829"/>
      <c r="V197" s="829"/>
      <c r="W197" s="829"/>
      <c r="X197" s="829"/>
      <c r="Y197" s="829"/>
      <c r="Z197" s="829"/>
    </row>
    <row r="198">
      <c r="A198" s="829"/>
      <c r="B198" s="829"/>
      <c r="C198" s="829"/>
      <c r="D198" s="829"/>
      <c r="E198" s="829"/>
      <c r="F198" s="829"/>
      <c r="G198" s="829"/>
      <c r="H198" s="829"/>
      <c r="I198" s="829"/>
      <c r="J198" s="829"/>
      <c r="K198" s="829"/>
      <c r="L198" s="829"/>
      <c r="M198" s="829"/>
      <c r="N198" s="829"/>
      <c r="O198" s="829"/>
      <c r="P198" s="829"/>
      <c r="Q198" s="829"/>
      <c r="R198" s="829"/>
      <c r="S198" s="829"/>
      <c r="T198" s="829"/>
      <c r="U198" s="829"/>
      <c r="V198" s="829"/>
      <c r="W198" s="829"/>
      <c r="X198" s="829"/>
      <c r="Y198" s="829"/>
      <c r="Z198" s="829"/>
    </row>
    <row r="199">
      <c r="A199" s="829"/>
      <c r="B199" s="829"/>
      <c r="C199" s="829"/>
      <c r="D199" s="829"/>
      <c r="E199" s="829"/>
      <c r="F199" s="829"/>
      <c r="G199" s="829"/>
      <c r="H199" s="829"/>
      <c r="I199" s="829"/>
      <c r="J199" s="829"/>
      <c r="K199" s="829"/>
      <c r="L199" s="829"/>
      <c r="M199" s="829"/>
      <c r="N199" s="829"/>
      <c r="O199" s="829"/>
      <c r="P199" s="829"/>
      <c r="Q199" s="829"/>
      <c r="R199" s="829"/>
      <c r="S199" s="829"/>
      <c r="T199" s="829"/>
      <c r="U199" s="829"/>
      <c r="V199" s="829"/>
      <c r="W199" s="829"/>
      <c r="X199" s="829"/>
      <c r="Y199" s="829"/>
      <c r="Z199" s="829"/>
    </row>
    <row r="200">
      <c r="A200" s="829"/>
      <c r="B200" s="829"/>
      <c r="C200" s="829"/>
      <c r="D200" s="829"/>
      <c r="E200" s="829"/>
      <c r="F200" s="829"/>
      <c r="G200" s="829"/>
      <c r="H200" s="829"/>
      <c r="I200" s="829"/>
      <c r="J200" s="829"/>
      <c r="K200" s="829"/>
      <c r="L200" s="829"/>
      <c r="M200" s="829"/>
      <c r="N200" s="829"/>
      <c r="O200" s="829"/>
      <c r="P200" s="829"/>
      <c r="Q200" s="829"/>
      <c r="R200" s="829"/>
      <c r="S200" s="829"/>
      <c r="T200" s="829"/>
      <c r="U200" s="829"/>
      <c r="V200" s="829"/>
      <c r="W200" s="829"/>
      <c r="X200" s="829"/>
      <c r="Y200" s="829"/>
      <c r="Z200" s="829"/>
    </row>
    <row r="201">
      <c r="A201" s="829"/>
      <c r="B201" s="829"/>
      <c r="C201" s="829"/>
      <c r="D201" s="829"/>
      <c r="E201" s="829"/>
      <c r="F201" s="829"/>
      <c r="G201" s="829"/>
      <c r="H201" s="829"/>
      <c r="I201" s="829"/>
      <c r="J201" s="829"/>
      <c r="K201" s="829"/>
      <c r="L201" s="829"/>
      <c r="M201" s="829"/>
      <c r="N201" s="829"/>
      <c r="O201" s="829"/>
      <c r="P201" s="829"/>
      <c r="Q201" s="829"/>
      <c r="R201" s="829"/>
      <c r="S201" s="829"/>
      <c r="T201" s="829"/>
      <c r="U201" s="829"/>
      <c r="V201" s="829"/>
      <c r="W201" s="829"/>
      <c r="X201" s="829"/>
      <c r="Y201" s="829"/>
      <c r="Z201" s="829"/>
    </row>
    <row r="202">
      <c r="A202" s="829"/>
      <c r="B202" s="829"/>
      <c r="C202" s="829"/>
      <c r="D202" s="829"/>
      <c r="E202" s="829"/>
      <c r="F202" s="829"/>
      <c r="G202" s="829"/>
      <c r="H202" s="829"/>
      <c r="I202" s="829"/>
      <c r="J202" s="829"/>
      <c r="K202" s="829"/>
      <c r="L202" s="829"/>
      <c r="M202" s="829"/>
      <c r="N202" s="829"/>
      <c r="O202" s="829"/>
      <c r="P202" s="829"/>
      <c r="Q202" s="829"/>
      <c r="R202" s="829"/>
      <c r="S202" s="829"/>
      <c r="T202" s="829"/>
      <c r="U202" s="829"/>
      <c r="V202" s="829"/>
      <c r="W202" s="829"/>
      <c r="X202" s="829"/>
      <c r="Y202" s="829"/>
      <c r="Z202" s="829"/>
    </row>
    <row r="203">
      <c r="A203" s="829"/>
      <c r="B203" s="829"/>
      <c r="C203" s="829"/>
      <c r="D203" s="829"/>
      <c r="E203" s="829"/>
      <c r="F203" s="829"/>
      <c r="G203" s="829"/>
      <c r="H203" s="829"/>
      <c r="I203" s="829"/>
      <c r="J203" s="829"/>
      <c r="K203" s="829"/>
      <c r="L203" s="829"/>
      <c r="M203" s="829"/>
      <c r="N203" s="829"/>
      <c r="O203" s="829"/>
      <c r="P203" s="829"/>
      <c r="Q203" s="829"/>
      <c r="R203" s="829"/>
      <c r="S203" s="829"/>
      <c r="T203" s="829"/>
      <c r="U203" s="829"/>
      <c r="V203" s="829"/>
      <c r="W203" s="829"/>
      <c r="X203" s="829"/>
      <c r="Y203" s="829"/>
      <c r="Z203" s="829"/>
    </row>
    <row r="204">
      <c r="A204" s="829"/>
      <c r="B204" s="829"/>
      <c r="C204" s="829"/>
      <c r="D204" s="829"/>
      <c r="E204" s="829"/>
      <c r="F204" s="829"/>
      <c r="G204" s="829"/>
      <c r="H204" s="829"/>
      <c r="I204" s="829"/>
      <c r="J204" s="829"/>
      <c r="K204" s="829"/>
      <c r="L204" s="829"/>
      <c r="M204" s="829"/>
      <c r="N204" s="829"/>
      <c r="O204" s="829"/>
      <c r="P204" s="829"/>
      <c r="Q204" s="829"/>
      <c r="R204" s="829"/>
      <c r="S204" s="829"/>
      <c r="T204" s="829"/>
      <c r="U204" s="829"/>
      <c r="V204" s="829"/>
      <c r="W204" s="829"/>
      <c r="X204" s="829"/>
      <c r="Y204" s="829"/>
      <c r="Z204" s="829"/>
    </row>
    <row r="205">
      <c r="A205" s="829"/>
      <c r="B205" s="829"/>
      <c r="C205" s="829"/>
      <c r="D205" s="829"/>
      <c r="E205" s="829"/>
      <c r="F205" s="829"/>
      <c r="G205" s="829"/>
      <c r="H205" s="829"/>
      <c r="I205" s="829"/>
      <c r="J205" s="829"/>
      <c r="K205" s="829"/>
      <c r="L205" s="829"/>
      <c r="M205" s="829"/>
      <c r="N205" s="829"/>
      <c r="O205" s="829"/>
      <c r="P205" s="829"/>
      <c r="Q205" s="829"/>
      <c r="R205" s="829"/>
      <c r="S205" s="829"/>
      <c r="T205" s="829"/>
      <c r="U205" s="829"/>
      <c r="V205" s="829"/>
      <c r="W205" s="829"/>
      <c r="X205" s="829"/>
      <c r="Y205" s="829"/>
      <c r="Z205" s="829"/>
    </row>
    <row r="206">
      <c r="A206" s="829"/>
      <c r="B206" s="829"/>
      <c r="C206" s="829"/>
      <c r="D206" s="829"/>
      <c r="E206" s="829"/>
      <c r="F206" s="829"/>
      <c r="G206" s="829"/>
      <c r="H206" s="829"/>
      <c r="I206" s="829"/>
      <c r="J206" s="829"/>
      <c r="K206" s="829"/>
      <c r="L206" s="829"/>
      <c r="M206" s="829"/>
      <c r="N206" s="829"/>
      <c r="O206" s="829"/>
      <c r="P206" s="829"/>
      <c r="Q206" s="829"/>
      <c r="R206" s="829"/>
      <c r="S206" s="829"/>
      <c r="T206" s="829"/>
      <c r="U206" s="829"/>
      <c r="V206" s="829"/>
      <c r="W206" s="829"/>
      <c r="X206" s="829"/>
      <c r="Y206" s="829"/>
      <c r="Z206" s="829"/>
    </row>
    <row r="207">
      <c r="A207" s="829"/>
      <c r="B207" s="829"/>
      <c r="C207" s="829"/>
      <c r="D207" s="829"/>
      <c r="E207" s="829"/>
      <c r="F207" s="829"/>
      <c r="G207" s="829"/>
      <c r="H207" s="829"/>
      <c r="I207" s="829"/>
      <c r="J207" s="829"/>
      <c r="K207" s="829"/>
      <c r="L207" s="829"/>
      <c r="M207" s="829"/>
      <c r="N207" s="829"/>
      <c r="O207" s="829"/>
      <c r="P207" s="829"/>
      <c r="Q207" s="829"/>
      <c r="R207" s="829"/>
      <c r="S207" s="829"/>
      <c r="T207" s="829"/>
      <c r="U207" s="829"/>
      <c r="V207" s="829"/>
      <c r="W207" s="829"/>
      <c r="X207" s="829"/>
      <c r="Y207" s="829"/>
      <c r="Z207" s="829"/>
    </row>
    <row r="208">
      <c r="A208" s="829"/>
      <c r="B208" s="829"/>
      <c r="C208" s="829"/>
      <c r="D208" s="829"/>
      <c r="E208" s="829"/>
      <c r="F208" s="829"/>
      <c r="G208" s="829"/>
      <c r="H208" s="829"/>
      <c r="I208" s="829"/>
      <c r="J208" s="829"/>
      <c r="K208" s="829"/>
      <c r="L208" s="829"/>
      <c r="M208" s="829"/>
      <c r="N208" s="829"/>
      <c r="O208" s="829"/>
      <c r="P208" s="829"/>
      <c r="Q208" s="829"/>
      <c r="R208" s="829"/>
      <c r="S208" s="829"/>
      <c r="T208" s="829"/>
      <c r="U208" s="829"/>
      <c r="V208" s="829"/>
      <c r="W208" s="829"/>
      <c r="X208" s="829"/>
      <c r="Y208" s="829"/>
      <c r="Z208" s="829"/>
    </row>
    <row r="209">
      <c r="A209" s="829"/>
      <c r="B209" s="829"/>
      <c r="C209" s="829"/>
      <c r="D209" s="829"/>
      <c r="E209" s="829"/>
      <c r="F209" s="829"/>
      <c r="G209" s="829"/>
      <c r="H209" s="829"/>
      <c r="I209" s="829"/>
      <c r="J209" s="829"/>
      <c r="K209" s="829"/>
      <c r="L209" s="829"/>
      <c r="M209" s="829"/>
      <c r="N209" s="829"/>
      <c r="O209" s="829"/>
      <c r="P209" s="829"/>
      <c r="Q209" s="829"/>
      <c r="R209" s="829"/>
      <c r="S209" s="829"/>
      <c r="T209" s="829"/>
      <c r="U209" s="829"/>
      <c r="V209" s="829"/>
      <c r="W209" s="829"/>
      <c r="X209" s="829"/>
      <c r="Y209" s="829"/>
      <c r="Z209" s="829"/>
    </row>
    <row r="210">
      <c r="A210" s="829"/>
      <c r="B210" s="829"/>
      <c r="C210" s="829"/>
      <c r="D210" s="829"/>
      <c r="E210" s="829"/>
      <c r="F210" s="829"/>
      <c r="G210" s="829"/>
      <c r="H210" s="829"/>
      <c r="I210" s="829"/>
      <c r="J210" s="829"/>
      <c r="K210" s="829"/>
      <c r="L210" s="829"/>
      <c r="M210" s="829"/>
      <c r="N210" s="829"/>
      <c r="O210" s="829"/>
      <c r="P210" s="829"/>
      <c r="Q210" s="829"/>
      <c r="R210" s="829"/>
      <c r="S210" s="829"/>
      <c r="T210" s="829"/>
      <c r="U210" s="829"/>
      <c r="V210" s="829"/>
      <c r="W210" s="829"/>
      <c r="X210" s="829"/>
      <c r="Y210" s="829"/>
      <c r="Z210" s="829"/>
    </row>
    <row r="211">
      <c r="A211" s="829"/>
      <c r="B211" s="829"/>
      <c r="C211" s="829"/>
      <c r="D211" s="829"/>
      <c r="E211" s="829"/>
      <c r="F211" s="829"/>
      <c r="G211" s="829"/>
      <c r="H211" s="829"/>
      <c r="I211" s="829"/>
      <c r="J211" s="829"/>
      <c r="K211" s="829"/>
      <c r="L211" s="829"/>
      <c r="M211" s="829"/>
      <c r="N211" s="829"/>
      <c r="O211" s="829"/>
      <c r="P211" s="829"/>
      <c r="Q211" s="829"/>
      <c r="R211" s="829"/>
      <c r="S211" s="829"/>
      <c r="T211" s="829"/>
      <c r="U211" s="829"/>
      <c r="V211" s="829"/>
      <c r="W211" s="829"/>
      <c r="X211" s="829"/>
      <c r="Y211" s="829"/>
      <c r="Z211" s="829"/>
    </row>
    <row r="212">
      <c r="A212" s="829"/>
      <c r="B212" s="829"/>
      <c r="C212" s="829"/>
      <c r="D212" s="829"/>
      <c r="E212" s="829"/>
      <c r="F212" s="829"/>
      <c r="G212" s="829"/>
      <c r="H212" s="829"/>
      <c r="I212" s="829"/>
      <c r="J212" s="829"/>
      <c r="K212" s="829"/>
      <c r="L212" s="829"/>
      <c r="M212" s="829"/>
      <c r="N212" s="829"/>
      <c r="O212" s="829"/>
      <c r="P212" s="829"/>
      <c r="Q212" s="829"/>
      <c r="R212" s="829"/>
      <c r="S212" s="829"/>
      <c r="T212" s="829"/>
      <c r="U212" s="829"/>
      <c r="V212" s="829"/>
      <c r="W212" s="829"/>
      <c r="X212" s="829"/>
      <c r="Y212" s="829"/>
      <c r="Z212" s="829"/>
    </row>
    <row r="213">
      <c r="A213" s="829"/>
      <c r="B213" s="829"/>
      <c r="C213" s="829"/>
      <c r="D213" s="829"/>
      <c r="E213" s="829"/>
      <c r="F213" s="829"/>
      <c r="G213" s="829"/>
      <c r="H213" s="829"/>
      <c r="I213" s="829"/>
      <c r="J213" s="829"/>
      <c r="K213" s="829"/>
      <c r="L213" s="829"/>
      <c r="M213" s="829"/>
      <c r="N213" s="829"/>
      <c r="O213" s="829"/>
      <c r="P213" s="829"/>
      <c r="Q213" s="829"/>
      <c r="R213" s="829"/>
      <c r="S213" s="829"/>
      <c r="T213" s="829"/>
      <c r="U213" s="829"/>
      <c r="V213" s="829"/>
      <c r="W213" s="829"/>
      <c r="X213" s="829"/>
      <c r="Y213" s="829"/>
      <c r="Z213" s="829"/>
    </row>
    <row r="214">
      <c r="A214" s="829"/>
      <c r="B214" s="829"/>
      <c r="C214" s="829"/>
      <c r="D214" s="829"/>
      <c r="E214" s="829"/>
      <c r="F214" s="829"/>
      <c r="G214" s="829"/>
      <c r="H214" s="829"/>
      <c r="I214" s="829"/>
      <c r="J214" s="829"/>
      <c r="K214" s="829"/>
      <c r="L214" s="829"/>
      <c r="M214" s="829"/>
      <c r="N214" s="829"/>
      <c r="O214" s="829"/>
      <c r="P214" s="829"/>
      <c r="Q214" s="829"/>
      <c r="R214" s="829"/>
      <c r="S214" s="829"/>
      <c r="T214" s="829"/>
      <c r="U214" s="829"/>
      <c r="V214" s="829"/>
      <c r="W214" s="829"/>
      <c r="X214" s="829"/>
      <c r="Y214" s="829"/>
      <c r="Z214" s="829"/>
    </row>
    <row r="215">
      <c r="A215" s="829"/>
      <c r="B215" s="829"/>
      <c r="C215" s="829"/>
      <c r="D215" s="829"/>
      <c r="E215" s="829"/>
      <c r="F215" s="829"/>
      <c r="G215" s="829"/>
      <c r="H215" s="829"/>
      <c r="I215" s="829"/>
      <c r="J215" s="829"/>
      <c r="K215" s="829"/>
      <c r="L215" s="829"/>
      <c r="M215" s="829"/>
      <c r="N215" s="829"/>
      <c r="O215" s="829"/>
      <c r="P215" s="829"/>
      <c r="Q215" s="829"/>
      <c r="R215" s="829"/>
      <c r="S215" s="829"/>
      <c r="T215" s="829"/>
      <c r="U215" s="829"/>
      <c r="V215" s="829"/>
      <c r="W215" s="829"/>
      <c r="X215" s="829"/>
      <c r="Y215" s="829"/>
      <c r="Z215" s="829"/>
    </row>
    <row r="216">
      <c r="A216" s="829"/>
      <c r="B216" s="829"/>
      <c r="C216" s="829"/>
      <c r="D216" s="829"/>
      <c r="E216" s="829"/>
      <c r="F216" s="829"/>
      <c r="G216" s="829"/>
      <c r="H216" s="829"/>
      <c r="I216" s="829"/>
      <c r="J216" s="829"/>
      <c r="K216" s="829"/>
      <c r="L216" s="829"/>
      <c r="M216" s="829"/>
      <c r="N216" s="829"/>
      <c r="O216" s="829"/>
      <c r="P216" s="829"/>
      <c r="Q216" s="829"/>
      <c r="R216" s="829"/>
      <c r="S216" s="829"/>
      <c r="T216" s="829"/>
      <c r="U216" s="829"/>
      <c r="V216" s="829"/>
      <c r="W216" s="829"/>
      <c r="X216" s="829"/>
      <c r="Y216" s="829"/>
      <c r="Z216" s="829"/>
    </row>
    <row r="217">
      <c r="A217" s="829"/>
      <c r="B217" s="829"/>
      <c r="C217" s="829"/>
      <c r="D217" s="829"/>
      <c r="E217" s="829"/>
      <c r="F217" s="829"/>
      <c r="G217" s="829"/>
      <c r="H217" s="829"/>
      <c r="I217" s="829"/>
      <c r="J217" s="829"/>
      <c r="K217" s="829"/>
      <c r="L217" s="829"/>
      <c r="M217" s="829"/>
      <c r="N217" s="829"/>
      <c r="O217" s="829"/>
      <c r="P217" s="829"/>
      <c r="Q217" s="829"/>
      <c r="R217" s="829"/>
      <c r="S217" s="829"/>
      <c r="T217" s="829"/>
      <c r="U217" s="829"/>
      <c r="V217" s="829"/>
      <c r="W217" s="829"/>
      <c r="X217" s="829"/>
      <c r="Y217" s="829"/>
      <c r="Z217" s="829"/>
    </row>
    <row r="218">
      <c r="A218" s="829"/>
      <c r="B218" s="829"/>
      <c r="C218" s="829"/>
      <c r="D218" s="829"/>
      <c r="E218" s="829"/>
      <c r="F218" s="829"/>
      <c r="G218" s="829"/>
      <c r="H218" s="829"/>
      <c r="I218" s="829"/>
      <c r="J218" s="829"/>
      <c r="K218" s="829"/>
      <c r="L218" s="829"/>
      <c r="M218" s="829"/>
      <c r="N218" s="829"/>
      <c r="O218" s="829"/>
      <c r="P218" s="829"/>
      <c r="Q218" s="829"/>
      <c r="R218" s="829"/>
      <c r="S218" s="829"/>
      <c r="T218" s="829"/>
      <c r="U218" s="829"/>
      <c r="V218" s="829"/>
      <c r="W218" s="829"/>
      <c r="X218" s="829"/>
      <c r="Y218" s="829"/>
      <c r="Z218" s="829"/>
    </row>
    <row r="219">
      <c r="A219" s="829"/>
      <c r="B219" s="829"/>
      <c r="C219" s="829"/>
      <c r="D219" s="829"/>
      <c r="E219" s="829"/>
      <c r="F219" s="829"/>
      <c r="G219" s="829"/>
      <c r="H219" s="829"/>
      <c r="I219" s="829"/>
      <c r="J219" s="829"/>
      <c r="K219" s="829"/>
      <c r="L219" s="829"/>
      <c r="M219" s="829"/>
      <c r="N219" s="829"/>
      <c r="O219" s="829"/>
      <c r="P219" s="829"/>
      <c r="Q219" s="829"/>
      <c r="R219" s="829"/>
      <c r="S219" s="829"/>
      <c r="T219" s="829"/>
      <c r="U219" s="829"/>
      <c r="V219" s="829"/>
      <c r="W219" s="829"/>
      <c r="X219" s="829"/>
      <c r="Y219" s="829"/>
      <c r="Z219" s="829"/>
    </row>
    <row r="220">
      <c r="A220" s="829"/>
      <c r="B220" s="829"/>
      <c r="C220" s="829"/>
      <c r="D220" s="829"/>
      <c r="E220" s="829"/>
      <c r="F220" s="829"/>
      <c r="G220" s="829"/>
      <c r="H220" s="829"/>
      <c r="I220" s="829"/>
      <c r="J220" s="829"/>
      <c r="K220" s="829"/>
      <c r="L220" s="829"/>
      <c r="M220" s="829"/>
      <c r="N220" s="829"/>
      <c r="O220" s="829"/>
      <c r="P220" s="829"/>
      <c r="Q220" s="829"/>
      <c r="R220" s="829"/>
      <c r="S220" s="829"/>
      <c r="T220" s="829"/>
      <c r="U220" s="829"/>
      <c r="V220" s="829"/>
      <c r="W220" s="829"/>
      <c r="X220" s="829"/>
      <c r="Y220" s="829"/>
      <c r="Z220" s="829"/>
    </row>
    <row r="221">
      <c r="A221" s="829"/>
      <c r="B221" s="829"/>
      <c r="C221" s="829"/>
      <c r="D221" s="829"/>
      <c r="E221" s="829"/>
      <c r="F221" s="829"/>
      <c r="G221" s="829"/>
      <c r="H221" s="829"/>
      <c r="I221" s="829"/>
      <c r="J221" s="829"/>
      <c r="K221" s="829"/>
      <c r="L221" s="829"/>
      <c r="M221" s="829"/>
      <c r="N221" s="829"/>
      <c r="O221" s="829"/>
      <c r="P221" s="829"/>
      <c r="Q221" s="829"/>
      <c r="R221" s="829"/>
      <c r="S221" s="829"/>
      <c r="T221" s="829"/>
      <c r="U221" s="829"/>
      <c r="V221" s="829"/>
      <c r="W221" s="829"/>
      <c r="X221" s="829"/>
      <c r="Y221" s="829"/>
      <c r="Z221" s="829"/>
    </row>
    <row r="222">
      <c r="A222" s="829"/>
      <c r="B222" s="829"/>
      <c r="C222" s="829"/>
      <c r="D222" s="829"/>
      <c r="E222" s="829"/>
      <c r="F222" s="829"/>
      <c r="G222" s="829"/>
      <c r="H222" s="829"/>
      <c r="I222" s="829"/>
      <c r="J222" s="829"/>
      <c r="K222" s="829"/>
      <c r="L222" s="829"/>
      <c r="M222" s="829"/>
      <c r="N222" s="829"/>
      <c r="O222" s="829"/>
      <c r="P222" s="829"/>
      <c r="Q222" s="829"/>
      <c r="R222" s="829"/>
      <c r="S222" s="829"/>
      <c r="T222" s="829"/>
      <c r="U222" s="829"/>
      <c r="V222" s="829"/>
      <c r="W222" s="829"/>
      <c r="X222" s="829"/>
      <c r="Y222" s="829"/>
      <c r="Z222" s="829"/>
    </row>
    <row r="223">
      <c r="A223" s="829"/>
      <c r="B223" s="829"/>
      <c r="C223" s="829"/>
      <c r="D223" s="829"/>
      <c r="E223" s="829"/>
      <c r="F223" s="829"/>
      <c r="G223" s="829"/>
      <c r="H223" s="829"/>
      <c r="I223" s="829"/>
      <c r="J223" s="829"/>
      <c r="K223" s="829"/>
      <c r="L223" s="829"/>
      <c r="M223" s="829"/>
      <c r="N223" s="829"/>
      <c r="O223" s="829"/>
      <c r="P223" s="829"/>
      <c r="Q223" s="829"/>
      <c r="R223" s="829"/>
      <c r="S223" s="829"/>
      <c r="T223" s="829"/>
      <c r="U223" s="829"/>
      <c r="V223" s="829"/>
      <c r="W223" s="829"/>
      <c r="X223" s="829"/>
      <c r="Y223" s="829"/>
      <c r="Z223" s="829"/>
    </row>
    <row r="224">
      <c r="A224" s="829"/>
      <c r="B224" s="829"/>
      <c r="C224" s="829"/>
      <c r="D224" s="829"/>
      <c r="E224" s="829"/>
      <c r="F224" s="829"/>
      <c r="G224" s="829"/>
      <c r="H224" s="829"/>
      <c r="I224" s="829"/>
      <c r="J224" s="829"/>
      <c r="K224" s="829"/>
      <c r="L224" s="829"/>
      <c r="M224" s="829"/>
      <c r="N224" s="829"/>
      <c r="O224" s="829"/>
      <c r="P224" s="829"/>
      <c r="Q224" s="829"/>
      <c r="R224" s="829"/>
      <c r="S224" s="829"/>
      <c r="T224" s="829"/>
      <c r="U224" s="829"/>
      <c r="V224" s="829"/>
      <c r="W224" s="829"/>
      <c r="X224" s="829"/>
      <c r="Y224" s="829"/>
      <c r="Z224" s="829"/>
    </row>
    <row r="225">
      <c r="A225" s="829"/>
      <c r="B225" s="829"/>
      <c r="C225" s="829"/>
      <c r="D225" s="829"/>
      <c r="E225" s="829"/>
      <c r="F225" s="829"/>
      <c r="G225" s="829"/>
      <c r="H225" s="829"/>
      <c r="I225" s="829"/>
      <c r="J225" s="829"/>
      <c r="K225" s="829"/>
      <c r="L225" s="829"/>
      <c r="M225" s="829"/>
      <c r="N225" s="829"/>
      <c r="O225" s="829"/>
      <c r="P225" s="829"/>
      <c r="Q225" s="829"/>
      <c r="R225" s="829"/>
      <c r="S225" s="829"/>
      <c r="T225" s="829"/>
      <c r="U225" s="829"/>
      <c r="V225" s="829"/>
      <c r="W225" s="829"/>
      <c r="X225" s="829"/>
      <c r="Y225" s="829"/>
      <c r="Z225" s="829"/>
    </row>
    <row r="226">
      <c r="A226" s="829"/>
      <c r="B226" s="829"/>
      <c r="C226" s="829"/>
      <c r="D226" s="829"/>
      <c r="E226" s="829"/>
      <c r="F226" s="829"/>
      <c r="G226" s="829"/>
      <c r="H226" s="829"/>
      <c r="I226" s="829"/>
      <c r="J226" s="829"/>
      <c r="K226" s="829"/>
      <c r="L226" s="829"/>
      <c r="M226" s="829"/>
      <c r="N226" s="829"/>
      <c r="O226" s="829"/>
      <c r="P226" s="829"/>
      <c r="Q226" s="829"/>
      <c r="R226" s="829"/>
      <c r="S226" s="829"/>
      <c r="T226" s="829"/>
      <c r="U226" s="829"/>
      <c r="V226" s="829"/>
      <c r="W226" s="829"/>
      <c r="X226" s="829"/>
      <c r="Y226" s="829"/>
      <c r="Z226" s="829"/>
    </row>
    <row r="227">
      <c r="A227" s="829"/>
      <c r="B227" s="829"/>
      <c r="C227" s="829"/>
      <c r="D227" s="829"/>
      <c r="E227" s="829"/>
      <c r="F227" s="829"/>
      <c r="G227" s="829"/>
      <c r="H227" s="829"/>
      <c r="I227" s="829"/>
      <c r="J227" s="829"/>
      <c r="K227" s="829"/>
      <c r="L227" s="829"/>
      <c r="M227" s="829"/>
      <c r="N227" s="829"/>
      <c r="O227" s="829"/>
      <c r="P227" s="829"/>
      <c r="Q227" s="829"/>
      <c r="R227" s="829"/>
      <c r="S227" s="829"/>
      <c r="T227" s="829"/>
      <c r="U227" s="829"/>
      <c r="V227" s="829"/>
      <c r="W227" s="829"/>
      <c r="X227" s="829"/>
      <c r="Y227" s="829"/>
      <c r="Z227" s="829"/>
    </row>
    <row r="228">
      <c r="A228" s="829"/>
      <c r="B228" s="829"/>
      <c r="C228" s="829"/>
      <c r="D228" s="829"/>
      <c r="E228" s="829"/>
      <c r="F228" s="829"/>
      <c r="G228" s="829"/>
      <c r="H228" s="829"/>
      <c r="I228" s="829"/>
      <c r="J228" s="829"/>
      <c r="K228" s="829"/>
      <c r="L228" s="829"/>
      <c r="M228" s="829"/>
      <c r="N228" s="829"/>
      <c r="O228" s="829"/>
      <c r="P228" s="829"/>
      <c r="Q228" s="829"/>
      <c r="R228" s="829"/>
      <c r="S228" s="829"/>
      <c r="T228" s="829"/>
      <c r="U228" s="829"/>
      <c r="V228" s="829"/>
      <c r="W228" s="829"/>
      <c r="X228" s="829"/>
      <c r="Y228" s="829"/>
      <c r="Z228" s="829"/>
    </row>
    <row r="229">
      <c r="A229" s="829"/>
      <c r="B229" s="829"/>
      <c r="C229" s="829"/>
      <c r="D229" s="829"/>
      <c r="E229" s="829"/>
      <c r="F229" s="829"/>
      <c r="G229" s="829"/>
      <c r="H229" s="829"/>
      <c r="I229" s="829"/>
      <c r="J229" s="829"/>
      <c r="K229" s="829"/>
      <c r="L229" s="829"/>
      <c r="M229" s="829"/>
      <c r="N229" s="829"/>
      <c r="O229" s="829"/>
      <c r="P229" s="829"/>
      <c r="Q229" s="829"/>
      <c r="R229" s="829"/>
      <c r="S229" s="829"/>
      <c r="T229" s="829"/>
      <c r="U229" s="829"/>
      <c r="V229" s="829"/>
      <c r="W229" s="829"/>
      <c r="X229" s="829"/>
      <c r="Y229" s="829"/>
      <c r="Z229" s="829"/>
    </row>
    <row r="230">
      <c r="A230" s="829"/>
      <c r="B230" s="829"/>
      <c r="C230" s="829"/>
      <c r="D230" s="829"/>
      <c r="E230" s="829"/>
      <c r="F230" s="829"/>
      <c r="G230" s="829"/>
      <c r="H230" s="829"/>
      <c r="I230" s="829"/>
      <c r="J230" s="829"/>
      <c r="K230" s="829"/>
      <c r="L230" s="829"/>
      <c r="M230" s="829"/>
      <c r="N230" s="829"/>
      <c r="O230" s="829"/>
      <c r="P230" s="829"/>
      <c r="Q230" s="829"/>
      <c r="R230" s="829"/>
      <c r="S230" s="829"/>
      <c r="T230" s="829"/>
      <c r="U230" s="829"/>
      <c r="V230" s="829"/>
      <c r="W230" s="829"/>
      <c r="X230" s="829"/>
      <c r="Y230" s="829"/>
      <c r="Z230" s="829"/>
    </row>
    <row r="231">
      <c r="A231" s="829"/>
      <c r="B231" s="829"/>
      <c r="C231" s="829"/>
      <c r="D231" s="829"/>
      <c r="E231" s="829"/>
      <c r="F231" s="829"/>
      <c r="G231" s="829"/>
      <c r="H231" s="829"/>
      <c r="I231" s="829"/>
      <c r="J231" s="829"/>
      <c r="K231" s="829"/>
      <c r="L231" s="829"/>
      <c r="M231" s="829"/>
      <c r="N231" s="829"/>
      <c r="O231" s="829"/>
      <c r="P231" s="829"/>
      <c r="Q231" s="829"/>
      <c r="R231" s="829"/>
      <c r="S231" s="829"/>
      <c r="T231" s="829"/>
      <c r="U231" s="829"/>
      <c r="V231" s="829"/>
      <c r="W231" s="829"/>
      <c r="X231" s="829"/>
      <c r="Y231" s="829"/>
      <c r="Z231" s="829"/>
    </row>
    <row r="232">
      <c r="A232" s="829"/>
      <c r="B232" s="829"/>
      <c r="C232" s="829"/>
      <c r="D232" s="829"/>
      <c r="E232" s="829"/>
      <c r="F232" s="829"/>
      <c r="G232" s="829"/>
      <c r="H232" s="829"/>
      <c r="I232" s="829"/>
      <c r="J232" s="829"/>
      <c r="K232" s="829"/>
      <c r="L232" s="829"/>
      <c r="M232" s="829"/>
      <c r="N232" s="829"/>
      <c r="O232" s="829"/>
      <c r="P232" s="829"/>
      <c r="Q232" s="829"/>
      <c r="R232" s="829"/>
      <c r="S232" s="829"/>
      <c r="T232" s="829"/>
      <c r="U232" s="829"/>
      <c r="V232" s="829"/>
      <c r="W232" s="829"/>
      <c r="X232" s="829"/>
      <c r="Y232" s="829"/>
      <c r="Z232" s="829"/>
    </row>
    <row r="233">
      <c r="A233" s="829"/>
      <c r="B233" s="829"/>
      <c r="C233" s="829"/>
      <c r="D233" s="829"/>
      <c r="E233" s="829"/>
      <c r="F233" s="829"/>
      <c r="G233" s="829"/>
      <c r="H233" s="829"/>
      <c r="I233" s="829"/>
      <c r="J233" s="829"/>
      <c r="K233" s="829"/>
      <c r="L233" s="829"/>
      <c r="M233" s="829"/>
      <c r="N233" s="829"/>
      <c r="O233" s="829"/>
      <c r="P233" s="829"/>
      <c r="Q233" s="829"/>
      <c r="R233" s="829"/>
      <c r="S233" s="829"/>
      <c r="T233" s="829"/>
      <c r="U233" s="829"/>
      <c r="V233" s="829"/>
      <c r="W233" s="829"/>
      <c r="X233" s="829"/>
      <c r="Y233" s="829"/>
      <c r="Z233" s="829"/>
    </row>
    <row r="234">
      <c r="A234" s="829"/>
      <c r="B234" s="829"/>
      <c r="C234" s="829"/>
      <c r="D234" s="829"/>
      <c r="E234" s="829"/>
      <c r="F234" s="829"/>
      <c r="G234" s="829"/>
      <c r="H234" s="829"/>
      <c r="I234" s="829"/>
      <c r="J234" s="829"/>
      <c r="K234" s="829"/>
      <c r="L234" s="829"/>
      <c r="M234" s="829"/>
      <c r="N234" s="829"/>
      <c r="O234" s="829"/>
      <c r="P234" s="829"/>
      <c r="Q234" s="829"/>
      <c r="R234" s="829"/>
      <c r="S234" s="829"/>
      <c r="T234" s="829"/>
      <c r="U234" s="829"/>
      <c r="V234" s="829"/>
      <c r="W234" s="829"/>
      <c r="X234" s="829"/>
      <c r="Y234" s="829"/>
      <c r="Z234" s="829"/>
    </row>
    <row r="235">
      <c r="A235" s="829"/>
      <c r="B235" s="829"/>
      <c r="C235" s="829"/>
      <c r="D235" s="829"/>
      <c r="E235" s="829"/>
      <c r="F235" s="829"/>
      <c r="G235" s="829"/>
      <c r="H235" s="829"/>
      <c r="I235" s="829"/>
      <c r="J235" s="829"/>
      <c r="K235" s="829"/>
      <c r="L235" s="829"/>
      <c r="M235" s="829"/>
      <c r="N235" s="829"/>
      <c r="O235" s="829"/>
      <c r="P235" s="829"/>
      <c r="Q235" s="829"/>
      <c r="R235" s="829"/>
      <c r="S235" s="829"/>
      <c r="T235" s="829"/>
      <c r="U235" s="829"/>
      <c r="V235" s="829"/>
      <c r="W235" s="829"/>
      <c r="X235" s="829"/>
      <c r="Y235" s="829"/>
      <c r="Z235" s="829"/>
    </row>
    <row r="236">
      <c r="A236" s="829"/>
      <c r="B236" s="829"/>
      <c r="C236" s="829"/>
      <c r="D236" s="829"/>
      <c r="E236" s="829"/>
      <c r="F236" s="829"/>
      <c r="G236" s="829"/>
      <c r="H236" s="829"/>
      <c r="I236" s="829"/>
      <c r="J236" s="829"/>
      <c r="K236" s="829"/>
      <c r="L236" s="829"/>
      <c r="M236" s="829"/>
      <c r="N236" s="829"/>
      <c r="O236" s="829"/>
      <c r="P236" s="829"/>
      <c r="Q236" s="829"/>
      <c r="R236" s="829"/>
      <c r="S236" s="829"/>
      <c r="T236" s="829"/>
      <c r="U236" s="829"/>
      <c r="V236" s="829"/>
      <c r="W236" s="829"/>
      <c r="X236" s="829"/>
      <c r="Y236" s="829"/>
      <c r="Z236" s="829"/>
    </row>
    <row r="237">
      <c r="A237" s="829"/>
      <c r="B237" s="829"/>
      <c r="C237" s="829"/>
      <c r="D237" s="829"/>
      <c r="E237" s="829"/>
      <c r="F237" s="829"/>
      <c r="G237" s="829"/>
      <c r="H237" s="829"/>
      <c r="I237" s="829"/>
      <c r="J237" s="829"/>
      <c r="K237" s="829"/>
      <c r="L237" s="829"/>
      <c r="M237" s="829"/>
      <c r="N237" s="829"/>
      <c r="O237" s="829"/>
      <c r="P237" s="829"/>
      <c r="Q237" s="829"/>
      <c r="R237" s="829"/>
      <c r="S237" s="829"/>
      <c r="T237" s="829"/>
      <c r="U237" s="829"/>
      <c r="V237" s="829"/>
      <c r="W237" s="829"/>
      <c r="X237" s="829"/>
      <c r="Y237" s="829"/>
      <c r="Z237" s="829"/>
    </row>
    <row r="238">
      <c r="A238" s="829"/>
      <c r="B238" s="829"/>
      <c r="C238" s="829"/>
      <c r="D238" s="829"/>
      <c r="E238" s="829"/>
      <c r="F238" s="829"/>
      <c r="G238" s="829"/>
      <c r="H238" s="829"/>
      <c r="I238" s="829"/>
      <c r="J238" s="829"/>
      <c r="K238" s="829"/>
      <c r="L238" s="829"/>
      <c r="M238" s="829"/>
      <c r="N238" s="829"/>
      <c r="O238" s="829"/>
      <c r="P238" s="829"/>
      <c r="Q238" s="829"/>
      <c r="R238" s="829"/>
      <c r="S238" s="829"/>
      <c r="T238" s="829"/>
      <c r="U238" s="829"/>
      <c r="V238" s="829"/>
      <c r="W238" s="829"/>
      <c r="X238" s="829"/>
      <c r="Y238" s="829"/>
      <c r="Z238" s="829"/>
    </row>
    <row r="239">
      <c r="A239" s="829"/>
      <c r="B239" s="829"/>
      <c r="C239" s="829"/>
      <c r="D239" s="829"/>
      <c r="E239" s="829"/>
      <c r="F239" s="829"/>
      <c r="G239" s="829"/>
      <c r="H239" s="829"/>
      <c r="I239" s="829"/>
      <c r="J239" s="829"/>
      <c r="K239" s="829"/>
      <c r="L239" s="829"/>
      <c r="M239" s="829"/>
      <c r="N239" s="829"/>
      <c r="O239" s="829"/>
      <c r="P239" s="829"/>
      <c r="Q239" s="829"/>
      <c r="R239" s="829"/>
      <c r="S239" s="829"/>
      <c r="T239" s="829"/>
      <c r="U239" s="829"/>
      <c r="V239" s="829"/>
      <c r="W239" s="829"/>
      <c r="X239" s="829"/>
      <c r="Y239" s="829"/>
      <c r="Z239" s="829"/>
    </row>
    <row r="240">
      <c r="A240" s="829"/>
      <c r="B240" s="829"/>
      <c r="C240" s="829"/>
      <c r="D240" s="829"/>
      <c r="E240" s="829"/>
      <c r="F240" s="829"/>
      <c r="G240" s="829"/>
      <c r="H240" s="829"/>
      <c r="I240" s="829"/>
      <c r="J240" s="829"/>
      <c r="K240" s="829"/>
      <c r="L240" s="829"/>
      <c r="M240" s="829"/>
      <c r="N240" s="829"/>
      <c r="O240" s="829"/>
      <c r="P240" s="829"/>
      <c r="Q240" s="829"/>
      <c r="R240" s="829"/>
      <c r="S240" s="829"/>
      <c r="T240" s="829"/>
      <c r="U240" s="829"/>
      <c r="V240" s="829"/>
      <c r="W240" s="829"/>
      <c r="X240" s="829"/>
      <c r="Y240" s="829"/>
      <c r="Z240" s="829"/>
    </row>
    <row r="241">
      <c r="A241" s="829"/>
      <c r="B241" s="829"/>
      <c r="C241" s="829"/>
      <c r="D241" s="829"/>
      <c r="E241" s="829"/>
      <c r="F241" s="829"/>
      <c r="G241" s="829"/>
      <c r="H241" s="829"/>
      <c r="I241" s="829"/>
      <c r="J241" s="829"/>
      <c r="K241" s="829"/>
      <c r="L241" s="829"/>
      <c r="M241" s="829"/>
      <c r="N241" s="829"/>
      <c r="O241" s="829"/>
      <c r="P241" s="829"/>
      <c r="Q241" s="829"/>
      <c r="R241" s="829"/>
      <c r="S241" s="829"/>
      <c r="T241" s="829"/>
      <c r="U241" s="829"/>
      <c r="V241" s="829"/>
      <c r="W241" s="829"/>
      <c r="X241" s="829"/>
      <c r="Y241" s="829"/>
      <c r="Z241" s="829"/>
    </row>
    <row r="242">
      <c r="A242" s="829"/>
      <c r="B242" s="829"/>
      <c r="C242" s="829"/>
      <c r="D242" s="829"/>
      <c r="E242" s="829"/>
      <c r="F242" s="829"/>
      <c r="G242" s="829"/>
      <c r="H242" s="829"/>
      <c r="I242" s="829"/>
      <c r="J242" s="829"/>
      <c r="K242" s="829"/>
      <c r="L242" s="829"/>
      <c r="M242" s="829"/>
      <c r="N242" s="829"/>
      <c r="O242" s="829"/>
      <c r="P242" s="829"/>
      <c r="Q242" s="829"/>
      <c r="R242" s="829"/>
      <c r="S242" s="829"/>
      <c r="T242" s="829"/>
      <c r="U242" s="829"/>
      <c r="V242" s="829"/>
      <c r="W242" s="829"/>
      <c r="X242" s="829"/>
      <c r="Y242" s="829"/>
      <c r="Z242" s="829"/>
    </row>
    <row r="243">
      <c r="A243" s="829"/>
      <c r="B243" s="829"/>
      <c r="C243" s="829"/>
      <c r="D243" s="829"/>
      <c r="E243" s="829"/>
      <c r="F243" s="829"/>
      <c r="G243" s="829"/>
      <c r="H243" s="829"/>
      <c r="I243" s="829"/>
      <c r="J243" s="829"/>
      <c r="K243" s="829"/>
      <c r="L243" s="829"/>
      <c r="M243" s="829"/>
      <c r="N243" s="829"/>
      <c r="O243" s="829"/>
      <c r="P243" s="829"/>
      <c r="Q243" s="829"/>
      <c r="R243" s="829"/>
      <c r="S243" s="829"/>
      <c r="T243" s="829"/>
      <c r="U243" s="829"/>
      <c r="V243" s="829"/>
      <c r="W243" s="829"/>
      <c r="X243" s="829"/>
      <c r="Y243" s="829"/>
      <c r="Z243" s="829"/>
    </row>
    <row r="244">
      <c r="A244" s="829"/>
      <c r="B244" s="829"/>
      <c r="C244" s="829"/>
      <c r="D244" s="829"/>
      <c r="E244" s="829"/>
      <c r="F244" s="829"/>
      <c r="G244" s="829"/>
      <c r="H244" s="829"/>
      <c r="I244" s="829"/>
      <c r="J244" s="829"/>
      <c r="K244" s="829"/>
      <c r="L244" s="829"/>
      <c r="M244" s="829"/>
      <c r="N244" s="829"/>
      <c r="O244" s="829"/>
      <c r="P244" s="829"/>
      <c r="Q244" s="829"/>
      <c r="R244" s="829"/>
      <c r="S244" s="829"/>
      <c r="T244" s="829"/>
      <c r="U244" s="829"/>
      <c r="V244" s="829"/>
      <c r="W244" s="829"/>
      <c r="X244" s="829"/>
      <c r="Y244" s="829"/>
      <c r="Z244" s="829"/>
    </row>
    <row r="245">
      <c r="A245" s="829"/>
      <c r="B245" s="829"/>
      <c r="C245" s="829"/>
      <c r="D245" s="829"/>
      <c r="E245" s="829"/>
      <c r="F245" s="829"/>
      <c r="G245" s="829"/>
      <c r="H245" s="829"/>
      <c r="I245" s="829"/>
      <c r="J245" s="829"/>
      <c r="K245" s="829"/>
      <c r="L245" s="829"/>
      <c r="M245" s="829"/>
      <c r="N245" s="829"/>
      <c r="O245" s="829"/>
      <c r="P245" s="829"/>
      <c r="Q245" s="829"/>
      <c r="R245" s="829"/>
      <c r="S245" s="829"/>
      <c r="T245" s="829"/>
      <c r="U245" s="829"/>
      <c r="V245" s="829"/>
      <c r="W245" s="829"/>
      <c r="X245" s="829"/>
      <c r="Y245" s="829"/>
      <c r="Z245" s="829"/>
    </row>
    <row r="246">
      <c r="A246" s="829"/>
      <c r="B246" s="829"/>
      <c r="C246" s="829"/>
      <c r="D246" s="829"/>
      <c r="E246" s="829"/>
      <c r="F246" s="829"/>
      <c r="G246" s="829"/>
      <c r="H246" s="829"/>
      <c r="I246" s="829"/>
      <c r="J246" s="829"/>
      <c r="K246" s="829"/>
      <c r="L246" s="829"/>
      <c r="M246" s="829"/>
      <c r="N246" s="829"/>
      <c r="O246" s="829"/>
      <c r="P246" s="829"/>
      <c r="Q246" s="829"/>
      <c r="R246" s="829"/>
      <c r="S246" s="829"/>
      <c r="T246" s="829"/>
      <c r="U246" s="829"/>
      <c r="V246" s="829"/>
      <c r="W246" s="829"/>
      <c r="X246" s="829"/>
      <c r="Y246" s="829"/>
      <c r="Z246" s="829"/>
    </row>
    <row r="247">
      <c r="A247" s="829"/>
      <c r="B247" s="829"/>
      <c r="C247" s="829"/>
      <c r="D247" s="829"/>
      <c r="E247" s="829"/>
      <c r="F247" s="829"/>
      <c r="G247" s="829"/>
      <c r="H247" s="829"/>
      <c r="I247" s="829"/>
      <c r="J247" s="829"/>
      <c r="K247" s="829"/>
      <c r="L247" s="829"/>
      <c r="M247" s="829"/>
      <c r="N247" s="829"/>
      <c r="O247" s="829"/>
      <c r="P247" s="829"/>
      <c r="Q247" s="829"/>
      <c r="R247" s="829"/>
      <c r="S247" s="829"/>
      <c r="T247" s="829"/>
      <c r="U247" s="829"/>
      <c r="V247" s="829"/>
      <c r="W247" s="829"/>
      <c r="X247" s="829"/>
      <c r="Y247" s="829"/>
      <c r="Z247" s="829"/>
    </row>
    <row r="248">
      <c r="A248" s="829"/>
      <c r="B248" s="829"/>
      <c r="C248" s="829"/>
      <c r="D248" s="829"/>
      <c r="E248" s="829"/>
      <c r="F248" s="829"/>
      <c r="G248" s="829"/>
      <c r="H248" s="829"/>
      <c r="I248" s="829"/>
      <c r="J248" s="829"/>
      <c r="K248" s="829"/>
      <c r="L248" s="829"/>
      <c r="M248" s="829"/>
      <c r="N248" s="829"/>
      <c r="O248" s="829"/>
      <c r="P248" s="829"/>
      <c r="Q248" s="829"/>
      <c r="R248" s="829"/>
      <c r="S248" s="829"/>
      <c r="T248" s="829"/>
      <c r="U248" s="829"/>
      <c r="V248" s="829"/>
      <c r="W248" s="829"/>
      <c r="X248" s="829"/>
      <c r="Y248" s="829"/>
      <c r="Z248" s="829"/>
    </row>
    <row r="249">
      <c r="A249" s="829"/>
      <c r="B249" s="829"/>
      <c r="C249" s="829"/>
      <c r="D249" s="829"/>
      <c r="E249" s="829"/>
      <c r="F249" s="829"/>
      <c r="G249" s="829"/>
      <c r="H249" s="829"/>
      <c r="I249" s="829"/>
      <c r="J249" s="829"/>
      <c r="K249" s="829"/>
      <c r="L249" s="829"/>
      <c r="M249" s="829"/>
      <c r="N249" s="829"/>
      <c r="O249" s="829"/>
      <c r="P249" s="829"/>
      <c r="Q249" s="829"/>
      <c r="R249" s="829"/>
      <c r="S249" s="829"/>
      <c r="T249" s="829"/>
      <c r="U249" s="829"/>
      <c r="V249" s="829"/>
      <c r="W249" s="829"/>
      <c r="X249" s="829"/>
      <c r="Y249" s="829"/>
      <c r="Z249" s="829"/>
    </row>
    <row r="250">
      <c r="A250" s="829"/>
      <c r="B250" s="829"/>
      <c r="C250" s="829"/>
      <c r="D250" s="829"/>
      <c r="E250" s="829"/>
      <c r="F250" s="829"/>
      <c r="G250" s="829"/>
      <c r="H250" s="829"/>
      <c r="I250" s="829"/>
      <c r="J250" s="829"/>
      <c r="K250" s="829"/>
      <c r="L250" s="829"/>
      <c r="M250" s="829"/>
      <c r="N250" s="829"/>
      <c r="O250" s="829"/>
      <c r="P250" s="829"/>
      <c r="Q250" s="829"/>
      <c r="R250" s="829"/>
      <c r="S250" s="829"/>
      <c r="T250" s="829"/>
      <c r="U250" s="829"/>
      <c r="V250" s="829"/>
      <c r="W250" s="829"/>
      <c r="X250" s="829"/>
      <c r="Y250" s="829"/>
      <c r="Z250" s="829"/>
    </row>
    <row r="251">
      <c r="A251" s="829"/>
      <c r="B251" s="829"/>
      <c r="C251" s="829"/>
      <c r="D251" s="829"/>
      <c r="E251" s="829"/>
      <c r="F251" s="829"/>
      <c r="G251" s="829"/>
      <c r="H251" s="829"/>
      <c r="I251" s="829"/>
      <c r="J251" s="829"/>
      <c r="K251" s="829"/>
      <c r="L251" s="829"/>
      <c r="M251" s="829"/>
      <c r="N251" s="829"/>
      <c r="O251" s="829"/>
      <c r="P251" s="829"/>
      <c r="Q251" s="829"/>
      <c r="R251" s="829"/>
      <c r="S251" s="829"/>
      <c r="T251" s="829"/>
      <c r="U251" s="829"/>
      <c r="V251" s="829"/>
      <c r="W251" s="829"/>
      <c r="X251" s="829"/>
      <c r="Y251" s="829"/>
      <c r="Z251" s="829"/>
    </row>
    <row r="252">
      <c r="A252" s="829"/>
      <c r="B252" s="829"/>
      <c r="C252" s="829"/>
      <c r="D252" s="829"/>
      <c r="E252" s="829"/>
      <c r="F252" s="829"/>
      <c r="G252" s="829"/>
      <c r="H252" s="829"/>
      <c r="I252" s="829"/>
      <c r="J252" s="829"/>
      <c r="K252" s="829"/>
      <c r="L252" s="829"/>
      <c r="M252" s="829"/>
      <c r="N252" s="829"/>
      <c r="O252" s="829"/>
      <c r="P252" s="829"/>
      <c r="Q252" s="829"/>
      <c r="R252" s="829"/>
      <c r="S252" s="829"/>
      <c r="T252" s="829"/>
      <c r="U252" s="829"/>
      <c r="V252" s="829"/>
      <c r="W252" s="829"/>
      <c r="X252" s="829"/>
      <c r="Y252" s="829"/>
      <c r="Z252" s="829"/>
    </row>
    <row r="253">
      <c r="A253" s="829"/>
      <c r="B253" s="829"/>
      <c r="C253" s="829"/>
      <c r="D253" s="829"/>
      <c r="E253" s="829"/>
      <c r="F253" s="829"/>
      <c r="G253" s="829"/>
      <c r="H253" s="829"/>
      <c r="I253" s="829"/>
      <c r="J253" s="829"/>
      <c r="K253" s="829"/>
      <c r="L253" s="829"/>
      <c r="M253" s="829"/>
      <c r="N253" s="829"/>
      <c r="O253" s="829"/>
      <c r="P253" s="829"/>
      <c r="Q253" s="829"/>
      <c r="R253" s="829"/>
      <c r="S253" s="829"/>
      <c r="T253" s="829"/>
      <c r="U253" s="829"/>
      <c r="V253" s="829"/>
      <c r="W253" s="829"/>
      <c r="X253" s="829"/>
      <c r="Y253" s="829"/>
      <c r="Z253" s="829"/>
    </row>
    <row r="254">
      <c r="A254" s="829"/>
      <c r="B254" s="829"/>
      <c r="C254" s="829"/>
      <c r="D254" s="829"/>
      <c r="E254" s="829"/>
      <c r="F254" s="829"/>
      <c r="G254" s="829"/>
      <c r="H254" s="829"/>
      <c r="I254" s="829"/>
      <c r="J254" s="829"/>
      <c r="K254" s="829"/>
      <c r="L254" s="829"/>
      <c r="M254" s="829"/>
      <c r="N254" s="829"/>
      <c r="O254" s="829"/>
      <c r="P254" s="829"/>
      <c r="Q254" s="829"/>
      <c r="R254" s="829"/>
      <c r="S254" s="829"/>
      <c r="T254" s="829"/>
      <c r="U254" s="829"/>
      <c r="V254" s="829"/>
      <c r="W254" s="829"/>
      <c r="X254" s="829"/>
      <c r="Y254" s="829"/>
      <c r="Z254" s="829"/>
    </row>
    <row r="255">
      <c r="A255" s="829"/>
      <c r="B255" s="829"/>
      <c r="C255" s="829"/>
      <c r="D255" s="829"/>
      <c r="E255" s="829"/>
      <c r="F255" s="829"/>
      <c r="G255" s="829"/>
      <c r="H255" s="829"/>
      <c r="I255" s="829"/>
      <c r="J255" s="829"/>
      <c r="K255" s="829"/>
      <c r="L255" s="829"/>
      <c r="M255" s="829"/>
      <c r="N255" s="829"/>
      <c r="O255" s="829"/>
      <c r="P255" s="829"/>
      <c r="Q255" s="829"/>
      <c r="R255" s="829"/>
      <c r="S255" s="829"/>
      <c r="T255" s="829"/>
      <c r="U255" s="829"/>
      <c r="V255" s="829"/>
      <c r="W255" s="829"/>
      <c r="X255" s="829"/>
      <c r="Y255" s="829"/>
      <c r="Z255" s="829"/>
    </row>
    <row r="256">
      <c r="A256" s="829"/>
      <c r="B256" s="829"/>
      <c r="C256" s="829"/>
      <c r="D256" s="829"/>
      <c r="E256" s="829"/>
      <c r="F256" s="829"/>
      <c r="G256" s="829"/>
      <c r="H256" s="829"/>
      <c r="I256" s="829"/>
      <c r="J256" s="829"/>
      <c r="K256" s="829"/>
      <c r="L256" s="829"/>
      <c r="M256" s="829"/>
      <c r="N256" s="829"/>
      <c r="O256" s="829"/>
      <c r="P256" s="829"/>
      <c r="Q256" s="829"/>
      <c r="R256" s="829"/>
      <c r="S256" s="829"/>
      <c r="T256" s="829"/>
      <c r="U256" s="829"/>
      <c r="V256" s="829"/>
      <c r="W256" s="829"/>
      <c r="X256" s="829"/>
      <c r="Y256" s="829"/>
      <c r="Z256" s="829"/>
    </row>
    <row r="257">
      <c r="A257" s="829"/>
      <c r="B257" s="829"/>
      <c r="C257" s="829"/>
      <c r="D257" s="829"/>
      <c r="E257" s="829"/>
      <c r="F257" s="829"/>
      <c r="G257" s="829"/>
      <c r="H257" s="829"/>
      <c r="I257" s="829"/>
      <c r="J257" s="829"/>
      <c r="K257" s="829"/>
      <c r="L257" s="829"/>
      <c r="M257" s="829"/>
      <c r="N257" s="829"/>
      <c r="O257" s="829"/>
      <c r="P257" s="829"/>
      <c r="Q257" s="829"/>
      <c r="R257" s="829"/>
      <c r="S257" s="829"/>
      <c r="T257" s="829"/>
      <c r="U257" s="829"/>
      <c r="V257" s="829"/>
      <c r="W257" s="829"/>
      <c r="X257" s="829"/>
      <c r="Y257" s="829"/>
      <c r="Z257" s="829"/>
    </row>
    <row r="258">
      <c r="A258" s="829"/>
      <c r="B258" s="829"/>
      <c r="C258" s="829"/>
      <c r="D258" s="829"/>
      <c r="E258" s="829"/>
      <c r="F258" s="829"/>
      <c r="G258" s="829"/>
      <c r="H258" s="829"/>
      <c r="I258" s="829"/>
      <c r="J258" s="829"/>
      <c r="K258" s="829"/>
      <c r="L258" s="829"/>
      <c r="M258" s="829"/>
      <c r="N258" s="829"/>
      <c r="O258" s="829"/>
      <c r="P258" s="829"/>
      <c r="Q258" s="829"/>
      <c r="R258" s="829"/>
      <c r="S258" s="829"/>
      <c r="T258" s="829"/>
      <c r="U258" s="829"/>
      <c r="V258" s="829"/>
      <c r="W258" s="829"/>
      <c r="X258" s="829"/>
      <c r="Y258" s="829"/>
      <c r="Z258" s="829"/>
    </row>
    <row r="259">
      <c r="A259" s="829"/>
      <c r="B259" s="829"/>
      <c r="C259" s="829"/>
      <c r="D259" s="829"/>
      <c r="E259" s="829"/>
      <c r="F259" s="829"/>
      <c r="G259" s="829"/>
      <c r="H259" s="829"/>
      <c r="I259" s="829"/>
      <c r="J259" s="829"/>
      <c r="K259" s="829"/>
      <c r="L259" s="829"/>
      <c r="M259" s="829"/>
      <c r="N259" s="829"/>
      <c r="O259" s="829"/>
      <c r="P259" s="829"/>
      <c r="Q259" s="829"/>
      <c r="R259" s="829"/>
      <c r="S259" s="829"/>
      <c r="T259" s="829"/>
      <c r="U259" s="829"/>
      <c r="V259" s="829"/>
      <c r="W259" s="829"/>
      <c r="X259" s="829"/>
      <c r="Y259" s="829"/>
      <c r="Z259" s="829"/>
    </row>
    <row r="260">
      <c r="A260" s="829"/>
      <c r="B260" s="829"/>
      <c r="C260" s="829"/>
      <c r="D260" s="829"/>
      <c r="E260" s="829"/>
      <c r="F260" s="829"/>
      <c r="G260" s="829"/>
      <c r="H260" s="829"/>
      <c r="I260" s="829"/>
      <c r="J260" s="829"/>
      <c r="K260" s="829"/>
      <c r="L260" s="829"/>
      <c r="M260" s="829"/>
      <c r="N260" s="829"/>
      <c r="O260" s="829"/>
      <c r="P260" s="829"/>
      <c r="Q260" s="829"/>
      <c r="R260" s="829"/>
      <c r="S260" s="829"/>
      <c r="T260" s="829"/>
      <c r="U260" s="829"/>
      <c r="V260" s="829"/>
      <c r="W260" s="829"/>
      <c r="X260" s="829"/>
      <c r="Y260" s="829"/>
      <c r="Z260" s="829"/>
    </row>
    <row r="261">
      <c r="A261" s="829"/>
      <c r="B261" s="829"/>
      <c r="C261" s="829"/>
      <c r="D261" s="829"/>
      <c r="E261" s="829"/>
      <c r="F261" s="829"/>
      <c r="G261" s="829"/>
      <c r="H261" s="829"/>
      <c r="I261" s="829"/>
      <c r="J261" s="829"/>
      <c r="K261" s="829"/>
      <c r="L261" s="829"/>
      <c r="M261" s="829"/>
      <c r="N261" s="829"/>
      <c r="O261" s="829"/>
      <c r="P261" s="829"/>
      <c r="Q261" s="829"/>
      <c r="R261" s="829"/>
      <c r="S261" s="829"/>
      <c r="T261" s="829"/>
      <c r="U261" s="829"/>
      <c r="V261" s="829"/>
      <c r="W261" s="829"/>
      <c r="X261" s="829"/>
      <c r="Y261" s="829"/>
      <c r="Z261" s="829"/>
    </row>
    <row r="262">
      <c r="A262" s="829"/>
      <c r="B262" s="829"/>
      <c r="C262" s="829"/>
      <c r="D262" s="829"/>
      <c r="E262" s="829"/>
      <c r="F262" s="829"/>
      <c r="G262" s="829"/>
      <c r="H262" s="829"/>
      <c r="I262" s="829"/>
      <c r="J262" s="829"/>
      <c r="K262" s="829"/>
      <c r="L262" s="829"/>
      <c r="M262" s="829"/>
      <c r="N262" s="829"/>
      <c r="O262" s="829"/>
      <c r="P262" s="829"/>
      <c r="Q262" s="829"/>
      <c r="R262" s="829"/>
      <c r="S262" s="829"/>
      <c r="T262" s="829"/>
      <c r="U262" s="829"/>
      <c r="V262" s="829"/>
      <c r="W262" s="829"/>
      <c r="X262" s="829"/>
      <c r="Y262" s="829"/>
      <c r="Z262" s="829"/>
    </row>
    <row r="263">
      <c r="A263" s="829"/>
      <c r="B263" s="829"/>
      <c r="C263" s="829"/>
      <c r="D263" s="829"/>
      <c r="E263" s="829"/>
      <c r="F263" s="829"/>
      <c r="G263" s="829"/>
      <c r="H263" s="829"/>
      <c r="I263" s="829"/>
      <c r="J263" s="829"/>
      <c r="K263" s="829"/>
      <c r="L263" s="829"/>
      <c r="M263" s="829"/>
      <c r="N263" s="829"/>
      <c r="O263" s="829"/>
      <c r="P263" s="829"/>
      <c r="Q263" s="829"/>
      <c r="R263" s="829"/>
      <c r="S263" s="829"/>
      <c r="T263" s="829"/>
      <c r="U263" s="829"/>
      <c r="V263" s="829"/>
      <c r="W263" s="829"/>
      <c r="X263" s="829"/>
      <c r="Y263" s="829"/>
      <c r="Z263" s="829"/>
    </row>
    <row r="264">
      <c r="A264" s="829"/>
      <c r="B264" s="829"/>
      <c r="C264" s="829"/>
      <c r="D264" s="829"/>
      <c r="E264" s="829"/>
      <c r="F264" s="829"/>
      <c r="G264" s="829"/>
      <c r="H264" s="829"/>
      <c r="I264" s="829"/>
      <c r="J264" s="829"/>
      <c r="K264" s="829"/>
      <c r="L264" s="829"/>
      <c r="M264" s="829"/>
      <c r="N264" s="829"/>
      <c r="O264" s="829"/>
      <c r="P264" s="829"/>
      <c r="Q264" s="829"/>
      <c r="R264" s="829"/>
      <c r="S264" s="829"/>
      <c r="T264" s="829"/>
      <c r="U264" s="829"/>
      <c r="V264" s="829"/>
      <c r="W264" s="829"/>
      <c r="X264" s="829"/>
      <c r="Y264" s="829"/>
      <c r="Z264" s="829"/>
    </row>
    <row r="265">
      <c r="A265" s="829"/>
      <c r="B265" s="829"/>
      <c r="C265" s="829"/>
      <c r="D265" s="829"/>
      <c r="E265" s="829"/>
      <c r="F265" s="829"/>
      <c r="G265" s="829"/>
      <c r="H265" s="829"/>
      <c r="I265" s="829"/>
      <c r="J265" s="829"/>
      <c r="K265" s="829"/>
      <c r="L265" s="829"/>
      <c r="M265" s="829"/>
      <c r="N265" s="829"/>
      <c r="O265" s="829"/>
      <c r="P265" s="829"/>
      <c r="Q265" s="829"/>
      <c r="R265" s="829"/>
      <c r="S265" s="829"/>
      <c r="T265" s="829"/>
      <c r="U265" s="829"/>
      <c r="V265" s="829"/>
      <c r="W265" s="829"/>
      <c r="X265" s="829"/>
      <c r="Y265" s="829"/>
      <c r="Z265" s="829"/>
    </row>
    <row r="266">
      <c r="A266" s="829"/>
      <c r="B266" s="829"/>
      <c r="C266" s="829"/>
      <c r="D266" s="829"/>
      <c r="E266" s="829"/>
      <c r="F266" s="829"/>
      <c r="G266" s="829"/>
      <c r="H266" s="829"/>
      <c r="I266" s="829"/>
      <c r="J266" s="829"/>
      <c r="K266" s="829"/>
      <c r="L266" s="829"/>
      <c r="M266" s="829"/>
      <c r="N266" s="829"/>
      <c r="O266" s="829"/>
      <c r="P266" s="829"/>
      <c r="Q266" s="829"/>
      <c r="R266" s="829"/>
      <c r="S266" s="829"/>
      <c r="T266" s="829"/>
      <c r="U266" s="829"/>
      <c r="V266" s="829"/>
      <c r="W266" s="829"/>
      <c r="X266" s="829"/>
      <c r="Y266" s="829"/>
      <c r="Z266" s="829"/>
    </row>
    <row r="267">
      <c r="A267" s="829"/>
      <c r="B267" s="829"/>
      <c r="C267" s="829"/>
      <c r="D267" s="829"/>
      <c r="E267" s="829"/>
      <c r="F267" s="829"/>
      <c r="G267" s="829"/>
      <c r="H267" s="829"/>
      <c r="I267" s="829"/>
      <c r="J267" s="829"/>
      <c r="K267" s="829"/>
      <c r="L267" s="829"/>
      <c r="M267" s="829"/>
      <c r="N267" s="829"/>
      <c r="O267" s="829"/>
      <c r="P267" s="829"/>
      <c r="Q267" s="829"/>
      <c r="R267" s="829"/>
      <c r="S267" s="829"/>
      <c r="T267" s="829"/>
      <c r="U267" s="829"/>
      <c r="V267" s="829"/>
      <c r="W267" s="829"/>
      <c r="X267" s="829"/>
      <c r="Y267" s="829"/>
      <c r="Z267" s="829"/>
    </row>
    <row r="268">
      <c r="A268" s="829"/>
      <c r="B268" s="829"/>
      <c r="C268" s="829"/>
      <c r="D268" s="829"/>
      <c r="E268" s="829"/>
      <c r="F268" s="829"/>
      <c r="G268" s="829"/>
      <c r="H268" s="829"/>
      <c r="I268" s="829"/>
      <c r="J268" s="829"/>
      <c r="K268" s="829"/>
      <c r="L268" s="829"/>
      <c r="M268" s="829"/>
      <c r="N268" s="829"/>
      <c r="O268" s="829"/>
      <c r="P268" s="829"/>
      <c r="Q268" s="829"/>
      <c r="R268" s="829"/>
      <c r="S268" s="829"/>
      <c r="T268" s="829"/>
      <c r="U268" s="829"/>
      <c r="V268" s="829"/>
      <c r="W268" s="829"/>
      <c r="X268" s="829"/>
      <c r="Y268" s="829"/>
      <c r="Z268" s="829"/>
    </row>
    <row r="269">
      <c r="A269" s="829"/>
      <c r="B269" s="829"/>
      <c r="C269" s="829"/>
      <c r="D269" s="829"/>
      <c r="E269" s="829"/>
      <c r="F269" s="829"/>
      <c r="G269" s="829"/>
      <c r="H269" s="829"/>
      <c r="I269" s="829"/>
      <c r="J269" s="829"/>
      <c r="K269" s="829"/>
      <c r="L269" s="829"/>
      <c r="M269" s="829"/>
      <c r="N269" s="829"/>
      <c r="O269" s="829"/>
      <c r="P269" s="829"/>
      <c r="Q269" s="829"/>
      <c r="R269" s="829"/>
      <c r="S269" s="829"/>
      <c r="T269" s="829"/>
      <c r="U269" s="829"/>
      <c r="V269" s="829"/>
      <c r="W269" s="829"/>
      <c r="X269" s="829"/>
      <c r="Y269" s="829"/>
      <c r="Z269" s="829"/>
    </row>
    <row r="270">
      <c r="A270" s="829"/>
      <c r="B270" s="829"/>
      <c r="C270" s="829"/>
      <c r="D270" s="829"/>
      <c r="E270" s="829"/>
      <c r="F270" s="829"/>
      <c r="G270" s="829"/>
      <c r="H270" s="829"/>
      <c r="I270" s="829"/>
      <c r="J270" s="829"/>
      <c r="K270" s="829"/>
      <c r="L270" s="829"/>
      <c r="M270" s="829"/>
      <c r="N270" s="829"/>
      <c r="O270" s="829"/>
      <c r="P270" s="829"/>
      <c r="Q270" s="829"/>
      <c r="R270" s="829"/>
      <c r="S270" s="829"/>
      <c r="T270" s="829"/>
      <c r="U270" s="829"/>
      <c r="V270" s="829"/>
      <c r="W270" s="829"/>
      <c r="X270" s="829"/>
      <c r="Y270" s="829"/>
      <c r="Z270" s="829"/>
    </row>
    <row r="271">
      <c r="A271" s="829"/>
      <c r="B271" s="829"/>
      <c r="C271" s="829"/>
      <c r="D271" s="829"/>
      <c r="E271" s="829"/>
      <c r="F271" s="829"/>
      <c r="G271" s="829"/>
      <c r="H271" s="829"/>
      <c r="I271" s="829"/>
      <c r="J271" s="829"/>
      <c r="K271" s="829"/>
      <c r="L271" s="829"/>
      <c r="M271" s="829"/>
      <c r="N271" s="829"/>
      <c r="O271" s="829"/>
      <c r="P271" s="829"/>
      <c r="Q271" s="829"/>
      <c r="R271" s="829"/>
      <c r="S271" s="829"/>
      <c r="T271" s="829"/>
      <c r="U271" s="829"/>
      <c r="V271" s="829"/>
      <c r="W271" s="829"/>
      <c r="X271" s="829"/>
      <c r="Y271" s="829"/>
      <c r="Z271" s="829"/>
    </row>
    <row r="272">
      <c r="A272" s="829"/>
      <c r="B272" s="829"/>
      <c r="C272" s="829"/>
      <c r="D272" s="829"/>
      <c r="E272" s="829"/>
      <c r="F272" s="829"/>
      <c r="G272" s="829"/>
      <c r="H272" s="829"/>
      <c r="I272" s="829"/>
      <c r="J272" s="829"/>
      <c r="K272" s="829"/>
      <c r="L272" s="829"/>
      <c r="M272" s="829"/>
      <c r="N272" s="829"/>
      <c r="O272" s="829"/>
      <c r="P272" s="829"/>
      <c r="Q272" s="829"/>
      <c r="R272" s="829"/>
      <c r="S272" s="829"/>
      <c r="T272" s="829"/>
      <c r="U272" s="829"/>
      <c r="V272" s="829"/>
      <c r="W272" s="829"/>
      <c r="X272" s="829"/>
      <c r="Y272" s="829"/>
      <c r="Z272" s="829"/>
    </row>
    <row r="273">
      <c r="A273" s="829"/>
      <c r="B273" s="829"/>
      <c r="C273" s="829"/>
      <c r="D273" s="829"/>
      <c r="E273" s="829"/>
      <c r="F273" s="829"/>
      <c r="G273" s="829"/>
      <c r="H273" s="829"/>
      <c r="I273" s="829"/>
      <c r="J273" s="829"/>
      <c r="K273" s="829"/>
      <c r="L273" s="829"/>
      <c r="M273" s="829"/>
      <c r="N273" s="829"/>
      <c r="O273" s="829"/>
      <c r="P273" s="829"/>
      <c r="Q273" s="829"/>
      <c r="R273" s="829"/>
      <c r="S273" s="829"/>
      <c r="T273" s="829"/>
      <c r="U273" s="829"/>
      <c r="V273" s="829"/>
      <c r="W273" s="829"/>
      <c r="X273" s="829"/>
      <c r="Y273" s="829"/>
      <c r="Z273" s="829"/>
    </row>
    <row r="274">
      <c r="A274" s="829"/>
      <c r="B274" s="829"/>
      <c r="C274" s="829"/>
      <c r="D274" s="829"/>
      <c r="E274" s="829"/>
      <c r="F274" s="829"/>
      <c r="G274" s="829"/>
      <c r="H274" s="829"/>
      <c r="I274" s="829"/>
      <c r="J274" s="829"/>
      <c r="K274" s="829"/>
      <c r="L274" s="829"/>
      <c r="M274" s="829"/>
      <c r="N274" s="829"/>
      <c r="O274" s="829"/>
      <c r="P274" s="829"/>
      <c r="Q274" s="829"/>
      <c r="R274" s="829"/>
      <c r="S274" s="829"/>
      <c r="T274" s="829"/>
      <c r="U274" s="829"/>
      <c r="V274" s="829"/>
      <c r="W274" s="829"/>
      <c r="X274" s="829"/>
      <c r="Y274" s="829"/>
      <c r="Z274" s="829"/>
    </row>
    <row r="275">
      <c r="A275" s="829"/>
      <c r="B275" s="829"/>
      <c r="C275" s="829"/>
      <c r="D275" s="829"/>
      <c r="E275" s="829"/>
      <c r="F275" s="829"/>
      <c r="G275" s="829"/>
      <c r="H275" s="829"/>
      <c r="I275" s="829"/>
      <c r="J275" s="829"/>
      <c r="K275" s="829"/>
      <c r="L275" s="829"/>
      <c r="M275" s="829"/>
      <c r="N275" s="829"/>
      <c r="O275" s="829"/>
      <c r="P275" s="829"/>
      <c r="Q275" s="829"/>
      <c r="R275" s="829"/>
      <c r="S275" s="829"/>
      <c r="T275" s="829"/>
      <c r="U275" s="829"/>
      <c r="V275" s="829"/>
      <c r="W275" s="829"/>
      <c r="X275" s="829"/>
      <c r="Y275" s="829"/>
      <c r="Z275" s="829"/>
    </row>
    <row r="276">
      <c r="A276" s="829"/>
      <c r="B276" s="829"/>
      <c r="C276" s="829"/>
      <c r="D276" s="829"/>
      <c r="E276" s="829"/>
      <c r="F276" s="829"/>
      <c r="G276" s="829"/>
      <c r="H276" s="829"/>
      <c r="I276" s="829"/>
      <c r="J276" s="829"/>
      <c r="K276" s="829"/>
      <c r="L276" s="829"/>
      <c r="M276" s="829"/>
      <c r="N276" s="829"/>
      <c r="O276" s="829"/>
      <c r="P276" s="829"/>
      <c r="Q276" s="829"/>
      <c r="R276" s="829"/>
      <c r="S276" s="829"/>
      <c r="T276" s="829"/>
      <c r="U276" s="829"/>
      <c r="V276" s="829"/>
      <c r="W276" s="829"/>
      <c r="X276" s="829"/>
      <c r="Y276" s="829"/>
      <c r="Z276" s="829"/>
    </row>
    <row r="277">
      <c r="A277" s="829"/>
      <c r="B277" s="829"/>
      <c r="C277" s="829"/>
      <c r="D277" s="829"/>
      <c r="E277" s="829"/>
      <c r="F277" s="829"/>
      <c r="G277" s="829"/>
      <c r="H277" s="829"/>
      <c r="I277" s="829"/>
      <c r="J277" s="829"/>
      <c r="K277" s="829"/>
      <c r="L277" s="829"/>
      <c r="M277" s="829"/>
      <c r="N277" s="829"/>
      <c r="O277" s="829"/>
      <c r="P277" s="829"/>
      <c r="Q277" s="829"/>
      <c r="R277" s="829"/>
      <c r="S277" s="829"/>
      <c r="T277" s="829"/>
      <c r="U277" s="829"/>
      <c r="V277" s="829"/>
      <c r="W277" s="829"/>
      <c r="X277" s="829"/>
      <c r="Y277" s="829"/>
      <c r="Z277" s="829"/>
    </row>
    <row r="278">
      <c r="A278" s="829"/>
      <c r="B278" s="829"/>
      <c r="C278" s="829"/>
      <c r="D278" s="829"/>
      <c r="E278" s="829"/>
      <c r="F278" s="829"/>
      <c r="G278" s="829"/>
      <c r="H278" s="829"/>
      <c r="I278" s="829"/>
      <c r="J278" s="829"/>
      <c r="K278" s="829"/>
      <c r="L278" s="829"/>
      <c r="M278" s="829"/>
      <c r="N278" s="829"/>
      <c r="O278" s="829"/>
      <c r="P278" s="829"/>
      <c r="Q278" s="829"/>
      <c r="R278" s="829"/>
      <c r="S278" s="829"/>
      <c r="T278" s="829"/>
      <c r="U278" s="829"/>
      <c r="V278" s="829"/>
      <c r="W278" s="829"/>
      <c r="X278" s="829"/>
      <c r="Y278" s="829"/>
      <c r="Z278" s="829"/>
    </row>
    <row r="279">
      <c r="A279" s="829"/>
      <c r="B279" s="829"/>
      <c r="C279" s="829"/>
      <c r="D279" s="829"/>
      <c r="E279" s="829"/>
      <c r="F279" s="829"/>
      <c r="G279" s="829"/>
      <c r="H279" s="829"/>
      <c r="I279" s="829"/>
      <c r="J279" s="829"/>
      <c r="K279" s="829"/>
      <c r="L279" s="829"/>
      <c r="M279" s="829"/>
      <c r="N279" s="829"/>
      <c r="O279" s="829"/>
      <c r="P279" s="829"/>
      <c r="Q279" s="829"/>
      <c r="R279" s="829"/>
      <c r="S279" s="829"/>
      <c r="T279" s="829"/>
      <c r="U279" s="829"/>
      <c r="V279" s="829"/>
      <c r="W279" s="829"/>
      <c r="X279" s="829"/>
      <c r="Y279" s="829"/>
      <c r="Z279" s="829"/>
    </row>
    <row r="280">
      <c r="A280" s="829"/>
      <c r="B280" s="829"/>
      <c r="C280" s="829"/>
      <c r="D280" s="829"/>
      <c r="E280" s="829"/>
      <c r="F280" s="829"/>
      <c r="G280" s="829"/>
      <c r="H280" s="829"/>
      <c r="I280" s="829"/>
      <c r="J280" s="829"/>
      <c r="K280" s="829"/>
      <c r="L280" s="829"/>
      <c r="M280" s="829"/>
      <c r="N280" s="829"/>
      <c r="O280" s="829"/>
      <c r="P280" s="829"/>
      <c r="Q280" s="829"/>
      <c r="R280" s="829"/>
      <c r="S280" s="829"/>
      <c r="T280" s="829"/>
      <c r="U280" s="829"/>
      <c r="V280" s="829"/>
      <c r="W280" s="829"/>
      <c r="X280" s="829"/>
      <c r="Y280" s="829"/>
      <c r="Z280" s="829"/>
    </row>
    <row r="281">
      <c r="A281" s="829"/>
      <c r="B281" s="829"/>
      <c r="C281" s="829"/>
      <c r="D281" s="829"/>
      <c r="E281" s="829"/>
      <c r="F281" s="829"/>
      <c r="G281" s="829"/>
      <c r="H281" s="829"/>
      <c r="I281" s="829"/>
      <c r="J281" s="829"/>
      <c r="K281" s="829"/>
      <c r="L281" s="829"/>
      <c r="M281" s="829"/>
      <c r="N281" s="829"/>
      <c r="O281" s="829"/>
      <c r="P281" s="829"/>
      <c r="Q281" s="829"/>
      <c r="R281" s="829"/>
      <c r="S281" s="829"/>
      <c r="T281" s="829"/>
      <c r="U281" s="829"/>
      <c r="V281" s="829"/>
      <c r="W281" s="829"/>
      <c r="X281" s="829"/>
      <c r="Y281" s="829"/>
      <c r="Z281" s="829"/>
    </row>
    <row r="282">
      <c r="A282" s="829"/>
      <c r="B282" s="829"/>
      <c r="C282" s="829"/>
      <c r="D282" s="829"/>
      <c r="E282" s="829"/>
      <c r="F282" s="829"/>
      <c r="G282" s="829"/>
      <c r="H282" s="829"/>
      <c r="I282" s="829"/>
      <c r="J282" s="829"/>
      <c r="K282" s="829"/>
      <c r="L282" s="829"/>
      <c r="M282" s="829"/>
      <c r="N282" s="829"/>
      <c r="O282" s="829"/>
      <c r="P282" s="829"/>
      <c r="Q282" s="829"/>
      <c r="R282" s="829"/>
      <c r="S282" s="829"/>
      <c r="T282" s="829"/>
      <c r="U282" s="829"/>
      <c r="V282" s="829"/>
      <c r="W282" s="829"/>
      <c r="X282" s="829"/>
      <c r="Y282" s="829"/>
      <c r="Z282" s="829"/>
    </row>
    <row r="283">
      <c r="A283" s="829"/>
      <c r="B283" s="829"/>
      <c r="C283" s="829"/>
      <c r="D283" s="829"/>
      <c r="E283" s="829"/>
      <c r="F283" s="829"/>
      <c r="G283" s="829"/>
      <c r="H283" s="829"/>
      <c r="I283" s="829"/>
      <c r="J283" s="829"/>
      <c r="K283" s="829"/>
      <c r="L283" s="829"/>
      <c r="M283" s="829"/>
      <c r="N283" s="829"/>
      <c r="O283" s="829"/>
      <c r="P283" s="829"/>
      <c r="Q283" s="829"/>
      <c r="R283" s="829"/>
      <c r="S283" s="829"/>
      <c r="T283" s="829"/>
      <c r="U283" s="829"/>
      <c r="V283" s="829"/>
      <c r="W283" s="829"/>
      <c r="X283" s="829"/>
      <c r="Y283" s="829"/>
      <c r="Z283" s="829"/>
    </row>
    <row r="284">
      <c r="A284" s="829"/>
      <c r="B284" s="829"/>
      <c r="C284" s="829"/>
      <c r="D284" s="829"/>
      <c r="E284" s="829"/>
      <c r="F284" s="829"/>
      <c r="G284" s="829"/>
      <c r="H284" s="829"/>
      <c r="I284" s="829"/>
      <c r="J284" s="829"/>
      <c r="K284" s="829"/>
      <c r="L284" s="829"/>
      <c r="M284" s="829"/>
      <c r="N284" s="829"/>
      <c r="O284" s="829"/>
      <c r="P284" s="829"/>
      <c r="Q284" s="829"/>
      <c r="R284" s="829"/>
      <c r="S284" s="829"/>
      <c r="T284" s="829"/>
      <c r="U284" s="829"/>
      <c r="V284" s="829"/>
      <c r="W284" s="829"/>
      <c r="X284" s="829"/>
      <c r="Y284" s="829"/>
      <c r="Z284" s="829"/>
    </row>
    <row r="285">
      <c r="A285" s="829"/>
      <c r="B285" s="829"/>
      <c r="C285" s="829"/>
      <c r="D285" s="829"/>
      <c r="E285" s="829"/>
      <c r="F285" s="829"/>
      <c r="G285" s="829"/>
      <c r="H285" s="829"/>
      <c r="I285" s="829"/>
      <c r="J285" s="829"/>
      <c r="K285" s="829"/>
      <c r="L285" s="829"/>
      <c r="M285" s="829"/>
      <c r="N285" s="829"/>
      <c r="O285" s="829"/>
      <c r="P285" s="829"/>
      <c r="Q285" s="829"/>
      <c r="R285" s="829"/>
      <c r="S285" s="829"/>
      <c r="T285" s="829"/>
      <c r="U285" s="829"/>
      <c r="V285" s="829"/>
      <c r="W285" s="829"/>
      <c r="X285" s="829"/>
      <c r="Y285" s="829"/>
      <c r="Z285" s="829"/>
    </row>
    <row r="286">
      <c r="A286" s="829"/>
      <c r="B286" s="829"/>
      <c r="C286" s="829"/>
      <c r="D286" s="829"/>
      <c r="E286" s="829"/>
      <c r="F286" s="829"/>
      <c r="G286" s="829"/>
      <c r="H286" s="829"/>
      <c r="I286" s="829"/>
      <c r="J286" s="829"/>
      <c r="K286" s="829"/>
      <c r="L286" s="829"/>
      <c r="M286" s="829"/>
      <c r="N286" s="829"/>
      <c r="O286" s="829"/>
      <c r="P286" s="829"/>
      <c r="Q286" s="829"/>
      <c r="R286" s="829"/>
      <c r="S286" s="829"/>
      <c r="T286" s="829"/>
      <c r="U286" s="829"/>
      <c r="V286" s="829"/>
      <c r="W286" s="829"/>
      <c r="X286" s="829"/>
      <c r="Y286" s="829"/>
      <c r="Z286" s="829"/>
    </row>
    <row r="287">
      <c r="A287" s="829"/>
      <c r="B287" s="829"/>
      <c r="C287" s="829"/>
      <c r="D287" s="829"/>
      <c r="E287" s="829"/>
      <c r="F287" s="829"/>
      <c r="G287" s="829"/>
      <c r="H287" s="829"/>
      <c r="I287" s="829"/>
      <c r="J287" s="829"/>
      <c r="K287" s="829"/>
      <c r="L287" s="829"/>
      <c r="M287" s="829"/>
      <c r="N287" s="829"/>
      <c r="O287" s="829"/>
      <c r="P287" s="829"/>
      <c r="Q287" s="829"/>
      <c r="R287" s="829"/>
      <c r="S287" s="829"/>
      <c r="T287" s="829"/>
      <c r="U287" s="829"/>
      <c r="V287" s="829"/>
      <c r="W287" s="829"/>
      <c r="X287" s="829"/>
      <c r="Y287" s="829"/>
      <c r="Z287" s="829"/>
    </row>
    <row r="288">
      <c r="A288" s="829"/>
      <c r="B288" s="829"/>
      <c r="C288" s="829"/>
      <c r="D288" s="829"/>
      <c r="E288" s="829"/>
      <c r="F288" s="829"/>
      <c r="G288" s="829"/>
      <c r="H288" s="829"/>
      <c r="I288" s="829"/>
      <c r="J288" s="829"/>
      <c r="K288" s="829"/>
      <c r="L288" s="829"/>
      <c r="M288" s="829"/>
      <c r="N288" s="829"/>
      <c r="O288" s="829"/>
      <c r="P288" s="829"/>
      <c r="Q288" s="829"/>
      <c r="R288" s="829"/>
      <c r="S288" s="829"/>
      <c r="T288" s="829"/>
      <c r="U288" s="829"/>
      <c r="V288" s="829"/>
      <c r="W288" s="829"/>
      <c r="X288" s="829"/>
      <c r="Y288" s="829"/>
      <c r="Z288" s="829"/>
    </row>
    <row r="289">
      <c r="A289" s="829"/>
      <c r="B289" s="829"/>
      <c r="C289" s="829"/>
      <c r="D289" s="829"/>
      <c r="E289" s="829"/>
      <c r="F289" s="829"/>
      <c r="G289" s="829"/>
      <c r="H289" s="829"/>
      <c r="I289" s="829"/>
      <c r="J289" s="829"/>
      <c r="K289" s="829"/>
      <c r="L289" s="829"/>
      <c r="M289" s="829"/>
      <c r="N289" s="829"/>
      <c r="O289" s="829"/>
      <c r="P289" s="829"/>
      <c r="Q289" s="829"/>
      <c r="R289" s="829"/>
      <c r="S289" s="829"/>
      <c r="T289" s="829"/>
      <c r="U289" s="829"/>
      <c r="V289" s="829"/>
      <c r="W289" s="829"/>
      <c r="X289" s="829"/>
      <c r="Y289" s="829"/>
      <c r="Z289" s="829"/>
    </row>
    <row r="290">
      <c r="A290" s="829"/>
      <c r="B290" s="829"/>
      <c r="C290" s="829"/>
      <c r="D290" s="829"/>
      <c r="E290" s="829"/>
      <c r="F290" s="829"/>
      <c r="G290" s="829"/>
      <c r="H290" s="829"/>
      <c r="I290" s="829"/>
      <c r="J290" s="829"/>
      <c r="K290" s="829"/>
      <c r="L290" s="829"/>
      <c r="M290" s="829"/>
      <c r="N290" s="829"/>
      <c r="O290" s="829"/>
      <c r="P290" s="829"/>
      <c r="Q290" s="829"/>
      <c r="R290" s="829"/>
      <c r="S290" s="829"/>
      <c r="T290" s="829"/>
      <c r="U290" s="829"/>
      <c r="V290" s="829"/>
      <c r="W290" s="829"/>
      <c r="X290" s="829"/>
      <c r="Y290" s="829"/>
      <c r="Z290" s="829"/>
    </row>
    <row r="291">
      <c r="A291" s="829"/>
      <c r="B291" s="829"/>
      <c r="C291" s="829"/>
      <c r="D291" s="829"/>
      <c r="E291" s="829"/>
      <c r="F291" s="829"/>
      <c r="G291" s="829"/>
      <c r="H291" s="829"/>
      <c r="I291" s="829"/>
      <c r="J291" s="829"/>
      <c r="K291" s="829"/>
      <c r="L291" s="829"/>
      <c r="M291" s="829"/>
      <c r="N291" s="829"/>
      <c r="O291" s="829"/>
      <c r="P291" s="829"/>
      <c r="Q291" s="829"/>
      <c r="R291" s="829"/>
      <c r="S291" s="829"/>
      <c r="T291" s="829"/>
      <c r="U291" s="829"/>
      <c r="V291" s="829"/>
      <c r="W291" s="829"/>
      <c r="X291" s="829"/>
      <c r="Y291" s="829"/>
      <c r="Z291" s="829"/>
    </row>
    <row r="292">
      <c r="A292" s="829"/>
      <c r="B292" s="829"/>
      <c r="C292" s="829"/>
      <c r="D292" s="829"/>
      <c r="E292" s="829"/>
      <c r="F292" s="829"/>
      <c r="G292" s="829"/>
      <c r="H292" s="829"/>
      <c r="I292" s="829"/>
      <c r="J292" s="829"/>
      <c r="K292" s="829"/>
      <c r="L292" s="829"/>
      <c r="M292" s="829"/>
      <c r="N292" s="829"/>
      <c r="O292" s="829"/>
      <c r="P292" s="829"/>
      <c r="Q292" s="829"/>
      <c r="R292" s="829"/>
      <c r="S292" s="829"/>
      <c r="T292" s="829"/>
      <c r="U292" s="829"/>
      <c r="V292" s="829"/>
      <c r="W292" s="829"/>
      <c r="X292" s="829"/>
      <c r="Y292" s="829"/>
      <c r="Z292" s="829"/>
    </row>
    <row r="293">
      <c r="A293" s="829"/>
      <c r="B293" s="829"/>
      <c r="C293" s="829"/>
      <c r="D293" s="829"/>
      <c r="E293" s="829"/>
      <c r="F293" s="829"/>
      <c r="G293" s="829"/>
      <c r="H293" s="829"/>
      <c r="I293" s="829"/>
      <c r="J293" s="829"/>
      <c r="K293" s="829"/>
      <c r="L293" s="829"/>
      <c r="M293" s="829"/>
      <c r="N293" s="829"/>
      <c r="O293" s="829"/>
      <c r="P293" s="829"/>
      <c r="Q293" s="829"/>
      <c r="R293" s="829"/>
      <c r="S293" s="829"/>
      <c r="T293" s="829"/>
      <c r="U293" s="829"/>
      <c r="V293" s="829"/>
      <c r="W293" s="829"/>
      <c r="X293" s="829"/>
      <c r="Y293" s="829"/>
      <c r="Z293" s="829"/>
    </row>
    <row r="294">
      <c r="A294" s="829"/>
      <c r="B294" s="829"/>
      <c r="C294" s="829"/>
      <c r="D294" s="829"/>
      <c r="E294" s="829"/>
      <c r="F294" s="829"/>
      <c r="G294" s="829"/>
      <c r="H294" s="829"/>
      <c r="I294" s="829"/>
      <c r="J294" s="829"/>
      <c r="K294" s="829"/>
      <c r="L294" s="829"/>
      <c r="M294" s="829"/>
      <c r="N294" s="829"/>
      <c r="O294" s="829"/>
      <c r="P294" s="829"/>
      <c r="Q294" s="829"/>
      <c r="R294" s="829"/>
      <c r="S294" s="829"/>
      <c r="T294" s="829"/>
      <c r="U294" s="829"/>
      <c r="V294" s="829"/>
      <c r="W294" s="829"/>
      <c r="X294" s="829"/>
      <c r="Y294" s="829"/>
      <c r="Z294" s="829"/>
    </row>
    <row r="295">
      <c r="A295" s="829"/>
      <c r="B295" s="829"/>
      <c r="C295" s="829"/>
      <c r="D295" s="829"/>
      <c r="E295" s="829"/>
      <c r="F295" s="829"/>
      <c r="G295" s="829"/>
      <c r="H295" s="829"/>
      <c r="I295" s="829"/>
      <c r="J295" s="829"/>
      <c r="K295" s="829"/>
      <c r="L295" s="829"/>
      <c r="M295" s="829"/>
      <c r="N295" s="829"/>
      <c r="O295" s="829"/>
      <c r="P295" s="829"/>
      <c r="Q295" s="829"/>
      <c r="R295" s="829"/>
      <c r="S295" s="829"/>
      <c r="T295" s="829"/>
      <c r="U295" s="829"/>
      <c r="V295" s="829"/>
      <c r="W295" s="829"/>
      <c r="X295" s="829"/>
      <c r="Y295" s="829"/>
      <c r="Z295" s="829"/>
    </row>
    <row r="296">
      <c r="A296" s="829"/>
      <c r="B296" s="829"/>
      <c r="C296" s="829"/>
      <c r="D296" s="829"/>
      <c r="E296" s="829"/>
      <c r="F296" s="829"/>
      <c r="G296" s="829"/>
      <c r="H296" s="829"/>
      <c r="I296" s="829"/>
      <c r="J296" s="829"/>
      <c r="K296" s="829"/>
      <c r="L296" s="829"/>
      <c r="M296" s="829"/>
      <c r="N296" s="829"/>
      <c r="O296" s="829"/>
      <c r="P296" s="829"/>
      <c r="Q296" s="829"/>
      <c r="R296" s="829"/>
      <c r="S296" s="829"/>
      <c r="T296" s="829"/>
      <c r="U296" s="829"/>
      <c r="V296" s="829"/>
      <c r="W296" s="829"/>
      <c r="X296" s="829"/>
      <c r="Y296" s="829"/>
      <c r="Z296" s="829"/>
    </row>
    <row r="297">
      <c r="A297" s="829"/>
      <c r="B297" s="829"/>
      <c r="C297" s="829"/>
      <c r="D297" s="829"/>
      <c r="E297" s="829"/>
      <c r="F297" s="829"/>
      <c r="G297" s="829"/>
      <c r="H297" s="829"/>
      <c r="I297" s="829"/>
      <c r="J297" s="829"/>
      <c r="K297" s="829"/>
      <c r="L297" s="829"/>
      <c r="M297" s="829"/>
      <c r="N297" s="829"/>
      <c r="O297" s="829"/>
      <c r="P297" s="829"/>
      <c r="Q297" s="829"/>
      <c r="R297" s="829"/>
      <c r="S297" s="829"/>
      <c r="T297" s="829"/>
      <c r="U297" s="829"/>
      <c r="V297" s="829"/>
      <c r="W297" s="829"/>
      <c r="X297" s="829"/>
      <c r="Y297" s="829"/>
      <c r="Z297" s="829"/>
    </row>
    <row r="298">
      <c r="A298" s="829"/>
      <c r="B298" s="829"/>
      <c r="C298" s="829"/>
      <c r="D298" s="829"/>
      <c r="E298" s="829"/>
      <c r="F298" s="829"/>
      <c r="G298" s="829"/>
      <c r="H298" s="829"/>
      <c r="I298" s="829"/>
      <c r="J298" s="829"/>
      <c r="K298" s="829"/>
      <c r="L298" s="829"/>
      <c r="M298" s="829"/>
      <c r="N298" s="829"/>
      <c r="O298" s="829"/>
      <c r="P298" s="829"/>
      <c r="Q298" s="829"/>
      <c r="R298" s="829"/>
      <c r="S298" s="829"/>
      <c r="T298" s="829"/>
      <c r="U298" s="829"/>
      <c r="V298" s="829"/>
      <c r="W298" s="829"/>
      <c r="X298" s="829"/>
      <c r="Y298" s="829"/>
      <c r="Z298" s="829"/>
    </row>
    <row r="299">
      <c r="A299" s="829"/>
      <c r="B299" s="829"/>
      <c r="C299" s="829"/>
      <c r="D299" s="829"/>
      <c r="E299" s="829"/>
      <c r="F299" s="829"/>
      <c r="G299" s="829"/>
      <c r="H299" s="829"/>
      <c r="I299" s="829"/>
      <c r="J299" s="829"/>
      <c r="K299" s="829"/>
      <c r="L299" s="829"/>
      <c r="M299" s="829"/>
      <c r="N299" s="829"/>
      <c r="O299" s="829"/>
      <c r="P299" s="829"/>
      <c r="Q299" s="829"/>
      <c r="R299" s="829"/>
      <c r="S299" s="829"/>
      <c r="T299" s="829"/>
      <c r="U299" s="829"/>
      <c r="V299" s="829"/>
      <c r="W299" s="829"/>
      <c r="X299" s="829"/>
      <c r="Y299" s="829"/>
      <c r="Z299" s="829"/>
    </row>
    <row r="300">
      <c r="A300" s="829"/>
      <c r="B300" s="829"/>
      <c r="C300" s="829"/>
      <c r="D300" s="829"/>
      <c r="E300" s="829"/>
      <c r="F300" s="829"/>
      <c r="G300" s="829"/>
      <c r="H300" s="829"/>
      <c r="I300" s="829"/>
      <c r="J300" s="829"/>
      <c r="K300" s="829"/>
      <c r="L300" s="829"/>
      <c r="M300" s="829"/>
      <c r="N300" s="829"/>
      <c r="O300" s="829"/>
      <c r="P300" s="829"/>
      <c r="Q300" s="829"/>
      <c r="R300" s="829"/>
      <c r="S300" s="829"/>
      <c r="T300" s="829"/>
      <c r="U300" s="829"/>
      <c r="V300" s="829"/>
      <c r="W300" s="829"/>
      <c r="X300" s="829"/>
      <c r="Y300" s="829"/>
      <c r="Z300" s="829"/>
    </row>
    <row r="301">
      <c r="A301" s="829"/>
      <c r="B301" s="829"/>
      <c r="C301" s="829"/>
      <c r="D301" s="829"/>
      <c r="E301" s="829"/>
      <c r="F301" s="829"/>
      <c r="G301" s="829"/>
      <c r="H301" s="829"/>
      <c r="I301" s="829"/>
      <c r="J301" s="829"/>
      <c r="K301" s="829"/>
      <c r="L301" s="829"/>
      <c r="M301" s="829"/>
      <c r="N301" s="829"/>
      <c r="O301" s="829"/>
      <c r="P301" s="829"/>
      <c r="Q301" s="829"/>
      <c r="R301" s="829"/>
      <c r="S301" s="829"/>
      <c r="T301" s="829"/>
      <c r="U301" s="829"/>
      <c r="V301" s="829"/>
      <c r="W301" s="829"/>
      <c r="X301" s="829"/>
      <c r="Y301" s="829"/>
      <c r="Z301" s="829"/>
    </row>
    <row r="302">
      <c r="A302" s="829"/>
      <c r="B302" s="829"/>
      <c r="C302" s="829"/>
      <c r="D302" s="829"/>
      <c r="E302" s="829"/>
      <c r="F302" s="829"/>
      <c r="G302" s="829"/>
      <c r="H302" s="829"/>
      <c r="I302" s="829"/>
      <c r="J302" s="829"/>
      <c r="K302" s="829"/>
      <c r="L302" s="829"/>
      <c r="M302" s="829"/>
      <c r="N302" s="829"/>
      <c r="O302" s="829"/>
      <c r="P302" s="829"/>
      <c r="Q302" s="829"/>
      <c r="R302" s="829"/>
      <c r="S302" s="829"/>
      <c r="T302" s="829"/>
      <c r="U302" s="829"/>
      <c r="V302" s="829"/>
      <c r="W302" s="829"/>
      <c r="X302" s="829"/>
      <c r="Y302" s="829"/>
      <c r="Z302" s="829"/>
    </row>
    <row r="303">
      <c r="A303" s="829"/>
      <c r="B303" s="829"/>
      <c r="C303" s="829"/>
      <c r="D303" s="829"/>
      <c r="E303" s="829"/>
      <c r="F303" s="829"/>
      <c r="G303" s="829"/>
      <c r="H303" s="829"/>
      <c r="I303" s="829"/>
      <c r="J303" s="829"/>
      <c r="K303" s="829"/>
      <c r="L303" s="829"/>
      <c r="M303" s="829"/>
      <c r="N303" s="829"/>
      <c r="O303" s="829"/>
      <c r="P303" s="829"/>
      <c r="Q303" s="829"/>
      <c r="R303" s="829"/>
      <c r="S303" s="829"/>
      <c r="T303" s="829"/>
      <c r="U303" s="829"/>
      <c r="V303" s="829"/>
      <c r="W303" s="829"/>
      <c r="X303" s="829"/>
      <c r="Y303" s="829"/>
      <c r="Z303" s="829"/>
    </row>
    <row r="304">
      <c r="A304" s="829"/>
      <c r="B304" s="829"/>
      <c r="C304" s="829"/>
      <c r="D304" s="829"/>
      <c r="E304" s="829"/>
      <c r="F304" s="829"/>
      <c r="G304" s="829"/>
      <c r="H304" s="829"/>
      <c r="I304" s="829"/>
      <c r="J304" s="829"/>
      <c r="K304" s="829"/>
      <c r="L304" s="829"/>
      <c r="M304" s="829"/>
      <c r="N304" s="829"/>
      <c r="O304" s="829"/>
      <c r="P304" s="829"/>
      <c r="Q304" s="829"/>
      <c r="R304" s="829"/>
      <c r="S304" s="829"/>
      <c r="T304" s="829"/>
      <c r="U304" s="829"/>
      <c r="V304" s="829"/>
      <c r="W304" s="829"/>
      <c r="X304" s="829"/>
      <c r="Y304" s="829"/>
      <c r="Z304" s="829"/>
    </row>
    <row r="305">
      <c r="A305" s="829"/>
      <c r="B305" s="829"/>
      <c r="C305" s="829"/>
      <c r="D305" s="829"/>
      <c r="E305" s="829"/>
      <c r="F305" s="829"/>
      <c r="G305" s="829"/>
      <c r="H305" s="829"/>
      <c r="I305" s="829"/>
      <c r="J305" s="829"/>
      <c r="K305" s="829"/>
      <c r="L305" s="829"/>
      <c r="M305" s="829"/>
      <c r="N305" s="829"/>
      <c r="O305" s="829"/>
      <c r="P305" s="829"/>
      <c r="Q305" s="829"/>
      <c r="R305" s="829"/>
      <c r="S305" s="829"/>
      <c r="T305" s="829"/>
      <c r="U305" s="829"/>
      <c r="V305" s="829"/>
      <c r="W305" s="829"/>
      <c r="X305" s="829"/>
      <c r="Y305" s="829"/>
      <c r="Z305" s="829"/>
    </row>
    <row r="306">
      <c r="A306" s="829"/>
      <c r="B306" s="829"/>
      <c r="C306" s="829"/>
      <c r="D306" s="829"/>
      <c r="E306" s="829"/>
      <c r="F306" s="829"/>
      <c r="G306" s="829"/>
      <c r="H306" s="829"/>
      <c r="I306" s="829"/>
      <c r="J306" s="829"/>
      <c r="K306" s="829"/>
      <c r="L306" s="829"/>
      <c r="M306" s="829"/>
      <c r="N306" s="829"/>
      <c r="O306" s="829"/>
      <c r="P306" s="829"/>
      <c r="Q306" s="829"/>
      <c r="R306" s="829"/>
      <c r="S306" s="829"/>
      <c r="T306" s="829"/>
      <c r="U306" s="829"/>
      <c r="V306" s="829"/>
      <c r="W306" s="829"/>
      <c r="X306" s="829"/>
      <c r="Y306" s="829"/>
      <c r="Z306" s="829"/>
    </row>
    <row r="307">
      <c r="A307" s="829"/>
      <c r="B307" s="829"/>
      <c r="C307" s="829"/>
      <c r="D307" s="829"/>
      <c r="E307" s="829"/>
      <c r="F307" s="829"/>
      <c r="G307" s="829"/>
      <c r="H307" s="829"/>
      <c r="I307" s="829"/>
      <c r="J307" s="829"/>
      <c r="K307" s="829"/>
      <c r="L307" s="829"/>
      <c r="M307" s="829"/>
      <c r="N307" s="829"/>
      <c r="O307" s="829"/>
      <c r="P307" s="829"/>
      <c r="Q307" s="829"/>
      <c r="R307" s="829"/>
      <c r="S307" s="829"/>
      <c r="T307" s="829"/>
      <c r="U307" s="829"/>
      <c r="V307" s="829"/>
      <c r="W307" s="829"/>
      <c r="X307" s="829"/>
      <c r="Y307" s="829"/>
      <c r="Z307" s="829"/>
    </row>
    <row r="308">
      <c r="A308" s="829"/>
      <c r="B308" s="829"/>
      <c r="C308" s="829"/>
      <c r="D308" s="829"/>
      <c r="E308" s="829"/>
      <c r="F308" s="829"/>
      <c r="G308" s="829"/>
      <c r="H308" s="829"/>
      <c r="I308" s="829"/>
      <c r="J308" s="829"/>
      <c r="K308" s="829"/>
      <c r="L308" s="829"/>
      <c r="M308" s="829"/>
      <c r="N308" s="829"/>
      <c r="O308" s="829"/>
      <c r="P308" s="829"/>
      <c r="Q308" s="829"/>
      <c r="R308" s="829"/>
      <c r="S308" s="829"/>
      <c r="T308" s="829"/>
      <c r="U308" s="829"/>
      <c r="V308" s="829"/>
      <c r="W308" s="829"/>
      <c r="X308" s="829"/>
      <c r="Y308" s="829"/>
      <c r="Z308" s="829"/>
    </row>
    <row r="309">
      <c r="A309" s="829"/>
      <c r="B309" s="829"/>
      <c r="C309" s="829"/>
      <c r="D309" s="829"/>
      <c r="E309" s="829"/>
      <c r="F309" s="829"/>
      <c r="G309" s="829"/>
      <c r="H309" s="829"/>
      <c r="I309" s="829"/>
      <c r="J309" s="829"/>
      <c r="K309" s="829"/>
      <c r="L309" s="829"/>
      <c r="M309" s="829"/>
      <c r="N309" s="829"/>
      <c r="O309" s="829"/>
      <c r="P309" s="829"/>
      <c r="Q309" s="829"/>
      <c r="R309" s="829"/>
      <c r="S309" s="829"/>
      <c r="T309" s="829"/>
      <c r="U309" s="829"/>
      <c r="V309" s="829"/>
      <c r="W309" s="829"/>
      <c r="X309" s="829"/>
      <c r="Y309" s="829"/>
      <c r="Z309" s="829"/>
    </row>
    <row r="310">
      <c r="A310" s="829"/>
      <c r="B310" s="829"/>
      <c r="C310" s="829"/>
      <c r="D310" s="829"/>
      <c r="E310" s="829"/>
      <c r="F310" s="829"/>
      <c r="G310" s="829"/>
      <c r="H310" s="829"/>
      <c r="I310" s="829"/>
      <c r="J310" s="829"/>
      <c r="K310" s="829"/>
      <c r="L310" s="829"/>
      <c r="M310" s="829"/>
      <c r="N310" s="829"/>
      <c r="O310" s="829"/>
      <c r="P310" s="829"/>
      <c r="Q310" s="829"/>
      <c r="R310" s="829"/>
      <c r="S310" s="829"/>
      <c r="T310" s="829"/>
      <c r="U310" s="829"/>
      <c r="V310" s="829"/>
      <c r="W310" s="829"/>
      <c r="X310" s="829"/>
      <c r="Y310" s="829"/>
      <c r="Z310" s="829"/>
    </row>
    <row r="311">
      <c r="A311" s="829"/>
      <c r="B311" s="829"/>
      <c r="C311" s="829"/>
      <c r="D311" s="829"/>
      <c r="E311" s="829"/>
      <c r="F311" s="829"/>
      <c r="G311" s="829"/>
      <c r="H311" s="829"/>
      <c r="I311" s="829"/>
      <c r="J311" s="829"/>
      <c r="K311" s="829"/>
      <c r="L311" s="829"/>
      <c r="M311" s="829"/>
      <c r="N311" s="829"/>
      <c r="O311" s="829"/>
      <c r="P311" s="829"/>
      <c r="Q311" s="829"/>
      <c r="R311" s="829"/>
      <c r="S311" s="829"/>
      <c r="T311" s="829"/>
      <c r="U311" s="829"/>
      <c r="V311" s="829"/>
      <c r="W311" s="829"/>
      <c r="X311" s="829"/>
      <c r="Y311" s="829"/>
      <c r="Z311" s="829"/>
    </row>
    <row r="312">
      <c r="A312" s="829"/>
      <c r="B312" s="829"/>
      <c r="C312" s="829"/>
      <c r="D312" s="829"/>
      <c r="E312" s="829"/>
      <c r="F312" s="829"/>
      <c r="G312" s="829"/>
      <c r="H312" s="829"/>
      <c r="I312" s="829"/>
      <c r="J312" s="829"/>
      <c r="K312" s="829"/>
      <c r="L312" s="829"/>
      <c r="M312" s="829"/>
      <c r="N312" s="829"/>
      <c r="O312" s="829"/>
      <c r="P312" s="829"/>
      <c r="Q312" s="829"/>
      <c r="R312" s="829"/>
      <c r="S312" s="829"/>
      <c r="T312" s="829"/>
      <c r="U312" s="829"/>
      <c r="V312" s="829"/>
      <c r="W312" s="829"/>
      <c r="X312" s="829"/>
      <c r="Y312" s="829"/>
      <c r="Z312" s="829"/>
    </row>
    <row r="313">
      <c r="A313" s="829"/>
      <c r="B313" s="829"/>
      <c r="C313" s="829"/>
      <c r="D313" s="829"/>
      <c r="E313" s="829"/>
      <c r="F313" s="829"/>
      <c r="G313" s="829"/>
      <c r="H313" s="829"/>
      <c r="I313" s="829"/>
      <c r="J313" s="829"/>
      <c r="K313" s="829"/>
      <c r="L313" s="829"/>
      <c r="M313" s="829"/>
      <c r="N313" s="829"/>
      <c r="O313" s="829"/>
      <c r="P313" s="829"/>
      <c r="Q313" s="829"/>
      <c r="R313" s="829"/>
      <c r="S313" s="829"/>
      <c r="T313" s="829"/>
      <c r="U313" s="829"/>
      <c r="V313" s="829"/>
      <c r="W313" s="829"/>
      <c r="X313" s="829"/>
      <c r="Y313" s="829"/>
      <c r="Z313" s="829"/>
    </row>
    <row r="314">
      <c r="A314" s="829"/>
      <c r="B314" s="829"/>
      <c r="C314" s="829"/>
      <c r="D314" s="829"/>
      <c r="E314" s="829"/>
      <c r="F314" s="829"/>
      <c r="G314" s="829"/>
      <c r="H314" s="829"/>
      <c r="I314" s="829"/>
      <c r="J314" s="829"/>
      <c r="K314" s="829"/>
      <c r="L314" s="829"/>
      <c r="M314" s="829"/>
      <c r="N314" s="829"/>
      <c r="O314" s="829"/>
      <c r="P314" s="829"/>
      <c r="Q314" s="829"/>
      <c r="R314" s="829"/>
      <c r="S314" s="829"/>
      <c r="T314" s="829"/>
      <c r="U314" s="829"/>
      <c r="V314" s="829"/>
      <c r="W314" s="829"/>
      <c r="X314" s="829"/>
      <c r="Y314" s="829"/>
      <c r="Z314" s="829"/>
    </row>
    <row r="315">
      <c r="A315" s="829"/>
      <c r="B315" s="829"/>
      <c r="C315" s="829"/>
      <c r="D315" s="829"/>
      <c r="E315" s="829"/>
      <c r="F315" s="829"/>
      <c r="G315" s="829"/>
      <c r="H315" s="829"/>
      <c r="I315" s="829"/>
      <c r="J315" s="829"/>
      <c r="K315" s="829"/>
      <c r="L315" s="829"/>
      <c r="M315" s="829"/>
      <c r="N315" s="829"/>
      <c r="O315" s="829"/>
      <c r="P315" s="829"/>
      <c r="Q315" s="829"/>
      <c r="R315" s="829"/>
      <c r="S315" s="829"/>
      <c r="T315" s="829"/>
      <c r="U315" s="829"/>
      <c r="V315" s="829"/>
      <c r="W315" s="829"/>
      <c r="X315" s="829"/>
      <c r="Y315" s="829"/>
      <c r="Z315" s="829"/>
    </row>
    <row r="316">
      <c r="A316" s="829"/>
      <c r="B316" s="829"/>
      <c r="C316" s="829"/>
      <c r="D316" s="829"/>
      <c r="E316" s="829"/>
      <c r="F316" s="829"/>
      <c r="G316" s="829"/>
      <c r="H316" s="829"/>
      <c r="I316" s="829"/>
      <c r="J316" s="829"/>
      <c r="K316" s="829"/>
      <c r="L316" s="829"/>
      <c r="M316" s="829"/>
      <c r="N316" s="829"/>
      <c r="O316" s="829"/>
      <c r="P316" s="829"/>
      <c r="Q316" s="829"/>
      <c r="R316" s="829"/>
      <c r="S316" s="829"/>
      <c r="T316" s="829"/>
      <c r="U316" s="829"/>
      <c r="V316" s="829"/>
      <c r="W316" s="829"/>
      <c r="X316" s="829"/>
      <c r="Y316" s="829"/>
      <c r="Z316" s="829"/>
    </row>
    <row r="317">
      <c r="A317" s="829"/>
      <c r="B317" s="829"/>
      <c r="C317" s="829"/>
      <c r="D317" s="829"/>
      <c r="E317" s="829"/>
      <c r="F317" s="829"/>
      <c r="G317" s="829"/>
      <c r="H317" s="829"/>
      <c r="I317" s="829"/>
      <c r="J317" s="829"/>
      <c r="K317" s="829"/>
      <c r="L317" s="829"/>
      <c r="M317" s="829"/>
      <c r="N317" s="829"/>
      <c r="O317" s="829"/>
      <c r="P317" s="829"/>
      <c r="Q317" s="829"/>
      <c r="R317" s="829"/>
      <c r="S317" s="829"/>
      <c r="T317" s="829"/>
      <c r="U317" s="829"/>
      <c r="V317" s="829"/>
      <c r="W317" s="829"/>
      <c r="X317" s="829"/>
      <c r="Y317" s="829"/>
      <c r="Z317" s="829"/>
    </row>
    <row r="318">
      <c r="A318" s="829"/>
      <c r="B318" s="829"/>
      <c r="C318" s="829"/>
      <c r="D318" s="829"/>
      <c r="E318" s="829"/>
      <c r="F318" s="829"/>
      <c r="G318" s="829"/>
      <c r="H318" s="829"/>
      <c r="I318" s="829"/>
      <c r="J318" s="829"/>
      <c r="K318" s="829"/>
      <c r="L318" s="829"/>
      <c r="M318" s="829"/>
      <c r="N318" s="829"/>
      <c r="O318" s="829"/>
      <c r="P318" s="829"/>
      <c r="Q318" s="829"/>
      <c r="R318" s="829"/>
      <c r="S318" s="829"/>
      <c r="T318" s="829"/>
      <c r="U318" s="829"/>
      <c r="V318" s="829"/>
      <c r="W318" s="829"/>
      <c r="X318" s="829"/>
      <c r="Y318" s="829"/>
      <c r="Z318" s="829"/>
    </row>
    <row r="319">
      <c r="A319" s="829"/>
      <c r="B319" s="829"/>
      <c r="C319" s="829"/>
      <c r="D319" s="829"/>
      <c r="E319" s="829"/>
      <c r="F319" s="829"/>
      <c r="G319" s="829"/>
      <c r="H319" s="829"/>
      <c r="I319" s="829"/>
      <c r="J319" s="829"/>
      <c r="K319" s="829"/>
      <c r="L319" s="829"/>
      <c r="M319" s="829"/>
      <c r="N319" s="829"/>
      <c r="O319" s="829"/>
      <c r="P319" s="829"/>
      <c r="Q319" s="829"/>
      <c r="R319" s="829"/>
      <c r="S319" s="829"/>
      <c r="T319" s="829"/>
      <c r="U319" s="829"/>
      <c r="V319" s="829"/>
      <c r="W319" s="829"/>
      <c r="X319" s="829"/>
      <c r="Y319" s="829"/>
      <c r="Z319" s="829"/>
    </row>
    <row r="320">
      <c r="A320" s="829"/>
      <c r="B320" s="829"/>
      <c r="C320" s="829"/>
      <c r="D320" s="829"/>
      <c r="E320" s="829"/>
      <c r="F320" s="829"/>
      <c r="G320" s="829"/>
      <c r="H320" s="829"/>
      <c r="I320" s="829"/>
      <c r="J320" s="829"/>
      <c r="K320" s="829"/>
      <c r="L320" s="829"/>
      <c r="M320" s="829"/>
      <c r="N320" s="829"/>
      <c r="O320" s="829"/>
      <c r="P320" s="829"/>
      <c r="Q320" s="829"/>
      <c r="R320" s="829"/>
      <c r="S320" s="829"/>
      <c r="T320" s="829"/>
      <c r="U320" s="829"/>
      <c r="V320" s="829"/>
      <c r="W320" s="829"/>
      <c r="X320" s="829"/>
      <c r="Y320" s="829"/>
      <c r="Z320" s="829"/>
    </row>
    <row r="321">
      <c r="A321" s="829"/>
      <c r="B321" s="829"/>
      <c r="C321" s="829"/>
      <c r="D321" s="829"/>
      <c r="E321" s="829"/>
      <c r="F321" s="829"/>
      <c r="G321" s="829"/>
      <c r="H321" s="829"/>
      <c r="I321" s="829"/>
      <c r="J321" s="829"/>
      <c r="K321" s="829"/>
      <c r="L321" s="829"/>
      <c r="M321" s="829"/>
      <c r="N321" s="829"/>
      <c r="O321" s="829"/>
      <c r="P321" s="829"/>
      <c r="Q321" s="829"/>
      <c r="R321" s="829"/>
      <c r="S321" s="829"/>
      <c r="T321" s="829"/>
      <c r="U321" s="829"/>
      <c r="V321" s="829"/>
      <c r="W321" s="829"/>
      <c r="X321" s="829"/>
      <c r="Y321" s="829"/>
      <c r="Z321" s="829"/>
    </row>
    <row r="322">
      <c r="A322" s="829"/>
      <c r="B322" s="829"/>
      <c r="C322" s="829"/>
      <c r="D322" s="829"/>
      <c r="E322" s="829"/>
      <c r="F322" s="829"/>
      <c r="G322" s="829"/>
      <c r="H322" s="829"/>
      <c r="I322" s="829"/>
      <c r="J322" s="829"/>
      <c r="K322" s="829"/>
      <c r="L322" s="829"/>
      <c r="M322" s="829"/>
      <c r="N322" s="829"/>
      <c r="O322" s="829"/>
      <c r="P322" s="829"/>
      <c r="Q322" s="829"/>
      <c r="R322" s="829"/>
      <c r="S322" s="829"/>
      <c r="T322" s="829"/>
      <c r="U322" s="829"/>
      <c r="V322" s="829"/>
      <c r="W322" s="829"/>
      <c r="X322" s="829"/>
      <c r="Y322" s="829"/>
      <c r="Z322" s="829"/>
    </row>
    <row r="323">
      <c r="A323" s="829"/>
      <c r="B323" s="829"/>
      <c r="C323" s="829"/>
      <c r="D323" s="829"/>
      <c r="E323" s="829"/>
      <c r="F323" s="829"/>
      <c r="G323" s="829"/>
      <c r="H323" s="829"/>
      <c r="I323" s="829"/>
      <c r="J323" s="829"/>
      <c r="K323" s="829"/>
      <c r="L323" s="829"/>
      <c r="M323" s="829"/>
      <c r="N323" s="829"/>
      <c r="O323" s="829"/>
      <c r="P323" s="829"/>
      <c r="Q323" s="829"/>
      <c r="R323" s="829"/>
      <c r="S323" s="829"/>
      <c r="T323" s="829"/>
      <c r="U323" s="829"/>
      <c r="V323" s="829"/>
      <c r="W323" s="829"/>
      <c r="X323" s="829"/>
      <c r="Y323" s="829"/>
      <c r="Z323" s="829"/>
    </row>
    <row r="324">
      <c r="A324" s="829"/>
      <c r="B324" s="829"/>
      <c r="C324" s="829"/>
      <c r="D324" s="829"/>
      <c r="E324" s="829"/>
      <c r="F324" s="829"/>
      <c r="G324" s="829"/>
      <c r="H324" s="829"/>
      <c r="I324" s="829"/>
      <c r="J324" s="829"/>
      <c r="K324" s="829"/>
      <c r="L324" s="829"/>
      <c r="M324" s="829"/>
      <c r="N324" s="829"/>
      <c r="O324" s="829"/>
      <c r="P324" s="829"/>
      <c r="Q324" s="829"/>
      <c r="R324" s="829"/>
      <c r="S324" s="829"/>
      <c r="T324" s="829"/>
      <c r="U324" s="829"/>
      <c r="V324" s="829"/>
      <c r="W324" s="829"/>
      <c r="X324" s="829"/>
      <c r="Y324" s="829"/>
      <c r="Z324" s="829"/>
    </row>
    <row r="325">
      <c r="A325" s="829"/>
      <c r="B325" s="829"/>
      <c r="C325" s="829"/>
      <c r="D325" s="829"/>
      <c r="E325" s="829"/>
      <c r="F325" s="829"/>
      <c r="G325" s="829"/>
      <c r="H325" s="829"/>
      <c r="I325" s="829"/>
      <c r="J325" s="829"/>
      <c r="K325" s="829"/>
      <c r="L325" s="829"/>
      <c r="M325" s="829"/>
      <c r="N325" s="829"/>
      <c r="O325" s="829"/>
      <c r="P325" s="829"/>
      <c r="Q325" s="829"/>
      <c r="R325" s="829"/>
      <c r="S325" s="829"/>
      <c r="T325" s="829"/>
      <c r="U325" s="829"/>
      <c r="V325" s="829"/>
      <c r="W325" s="829"/>
      <c r="X325" s="829"/>
      <c r="Y325" s="829"/>
      <c r="Z325" s="829"/>
    </row>
    <row r="326">
      <c r="A326" s="829"/>
      <c r="B326" s="829"/>
      <c r="C326" s="829"/>
      <c r="D326" s="829"/>
      <c r="E326" s="829"/>
      <c r="F326" s="829"/>
      <c r="G326" s="829"/>
      <c r="H326" s="829"/>
      <c r="I326" s="829"/>
      <c r="J326" s="829"/>
      <c r="K326" s="829"/>
      <c r="L326" s="829"/>
      <c r="M326" s="829"/>
      <c r="N326" s="829"/>
      <c r="O326" s="829"/>
      <c r="P326" s="829"/>
      <c r="Q326" s="829"/>
      <c r="R326" s="829"/>
      <c r="S326" s="829"/>
      <c r="T326" s="829"/>
      <c r="U326" s="829"/>
      <c r="V326" s="829"/>
      <c r="W326" s="829"/>
      <c r="X326" s="829"/>
      <c r="Y326" s="829"/>
      <c r="Z326" s="829"/>
    </row>
    <row r="327">
      <c r="A327" s="829"/>
      <c r="B327" s="829"/>
      <c r="C327" s="829"/>
      <c r="D327" s="829"/>
      <c r="E327" s="829"/>
      <c r="F327" s="829"/>
      <c r="G327" s="829"/>
      <c r="H327" s="829"/>
      <c r="I327" s="829"/>
      <c r="J327" s="829"/>
      <c r="K327" s="829"/>
      <c r="L327" s="829"/>
      <c r="M327" s="829"/>
      <c r="N327" s="829"/>
      <c r="O327" s="829"/>
      <c r="P327" s="829"/>
      <c r="Q327" s="829"/>
      <c r="R327" s="829"/>
      <c r="S327" s="829"/>
      <c r="T327" s="829"/>
      <c r="U327" s="829"/>
      <c r="V327" s="829"/>
      <c r="W327" s="829"/>
      <c r="X327" s="829"/>
      <c r="Y327" s="829"/>
      <c r="Z327" s="829"/>
    </row>
    <row r="328">
      <c r="A328" s="829"/>
      <c r="B328" s="829"/>
      <c r="C328" s="829"/>
      <c r="D328" s="829"/>
      <c r="E328" s="829"/>
      <c r="F328" s="829"/>
      <c r="G328" s="829"/>
      <c r="H328" s="829"/>
      <c r="I328" s="829"/>
      <c r="J328" s="829"/>
      <c r="K328" s="829"/>
      <c r="L328" s="829"/>
      <c r="M328" s="829"/>
      <c r="N328" s="829"/>
      <c r="O328" s="829"/>
      <c r="P328" s="829"/>
      <c r="Q328" s="829"/>
      <c r="R328" s="829"/>
      <c r="S328" s="829"/>
      <c r="T328" s="829"/>
      <c r="U328" s="829"/>
      <c r="V328" s="829"/>
      <c r="W328" s="829"/>
      <c r="X328" s="829"/>
      <c r="Y328" s="829"/>
      <c r="Z328" s="829"/>
    </row>
    <row r="329">
      <c r="A329" s="829"/>
      <c r="B329" s="829"/>
      <c r="C329" s="829"/>
      <c r="D329" s="829"/>
      <c r="E329" s="829"/>
      <c r="F329" s="829"/>
      <c r="G329" s="829"/>
      <c r="H329" s="829"/>
      <c r="I329" s="829"/>
      <c r="J329" s="829"/>
      <c r="K329" s="829"/>
      <c r="L329" s="829"/>
      <c r="M329" s="829"/>
      <c r="N329" s="829"/>
      <c r="O329" s="829"/>
      <c r="P329" s="829"/>
      <c r="Q329" s="829"/>
      <c r="R329" s="829"/>
      <c r="S329" s="829"/>
      <c r="T329" s="829"/>
      <c r="U329" s="829"/>
      <c r="V329" s="829"/>
      <c r="W329" s="829"/>
      <c r="X329" s="829"/>
      <c r="Y329" s="829"/>
      <c r="Z329" s="829"/>
    </row>
    <row r="330">
      <c r="A330" s="829"/>
      <c r="B330" s="829"/>
      <c r="C330" s="829"/>
      <c r="D330" s="829"/>
      <c r="E330" s="829"/>
      <c r="F330" s="829"/>
      <c r="G330" s="829"/>
      <c r="H330" s="829"/>
      <c r="I330" s="829"/>
      <c r="J330" s="829"/>
      <c r="K330" s="829"/>
      <c r="L330" s="829"/>
      <c r="M330" s="829"/>
      <c r="N330" s="829"/>
      <c r="O330" s="829"/>
      <c r="P330" s="829"/>
      <c r="Q330" s="829"/>
      <c r="R330" s="829"/>
      <c r="S330" s="829"/>
      <c r="T330" s="829"/>
      <c r="U330" s="829"/>
      <c r="V330" s="829"/>
      <c r="W330" s="829"/>
      <c r="X330" s="829"/>
      <c r="Y330" s="829"/>
      <c r="Z330" s="829"/>
    </row>
    <row r="331">
      <c r="A331" s="829"/>
      <c r="B331" s="829"/>
      <c r="C331" s="829"/>
      <c r="D331" s="829"/>
      <c r="E331" s="829"/>
      <c r="F331" s="829"/>
      <c r="G331" s="829"/>
      <c r="H331" s="829"/>
      <c r="I331" s="829"/>
      <c r="J331" s="829"/>
      <c r="K331" s="829"/>
      <c r="L331" s="829"/>
      <c r="M331" s="829"/>
      <c r="N331" s="829"/>
      <c r="O331" s="829"/>
      <c r="P331" s="829"/>
      <c r="Q331" s="829"/>
      <c r="R331" s="829"/>
      <c r="S331" s="829"/>
      <c r="T331" s="829"/>
      <c r="U331" s="829"/>
      <c r="V331" s="829"/>
      <c r="W331" s="829"/>
      <c r="X331" s="829"/>
      <c r="Y331" s="829"/>
      <c r="Z331" s="829"/>
    </row>
    <row r="332">
      <c r="A332" s="829"/>
      <c r="B332" s="829"/>
      <c r="C332" s="829"/>
      <c r="D332" s="829"/>
      <c r="E332" s="829"/>
      <c r="F332" s="829"/>
      <c r="G332" s="829"/>
      <c r="H332" s="829"/>
      <c r="I332" s="829"/>
      <c r="J332" s="829"/>
      <c r="K332" s="829"/>
      <c r="L332" s="829"/>
      <c r="M332" s="829"/>
      <c r="N332" s="829"/>
      <c r="O332" s="829"/>
      <c r="P332" s="829"/>
      <c r="Q332" s="829"/>
      <c r="R332" s="829"/>
      <c r="S332" s="829"/>
      <c r="T332" s="829"/>
      <c r="U332" s="829"/>
      <c r="V332" s="829"/>
      <c r="W332" s="829"/>
      <c r="X332" s="829"/>
      <c r="Y332" s="829"/>
      <c r="Z332" s="829"/>
    </row>
    <row r="333">
      <c r="A333" s="829"/>
      <c r="B333" s="829"/>
      <c r="C333" s="829"/>
      <c r="D333" s="829"/>
      <c r="E333" s="829"/>
      <c r="F333" s="829"/>
      <c r="G333" s="829"/>
      <c r="H333" s="829"/>
      <c r="I333" s="829"/>
      <c r="J333" s="829"/>
      <c r="K333" s="829"/>
      <c r="L333" s="829"/>
      <c r="M333" s="829"/>
      <c r="N333" s="829"/>
      <c r="O333" s="829"/>
      <c r="P333" s="829"/>
      <c r="Q333" s="829"/>
      <c r="R333" s="829"/>
      <c r="S333" s="829"/>
      <c r="T333" s="829"/>
      <c r="U333" s="829"/>
      <c r="V333" s="829"/>
      <c r="W333" s="829"/>
      <c r="X333" s="829"/>
      <c r="Y333" s="829"/>
      <c r="Z333" s="829"/>
    </row>
    <row r="334">
      <c r="A334" s="829"/>
      <c r="B334" s="829"/>
      <c r="C334" s="829"/>
      <c r="D334" s="829"/>
      <c r="E334" s="829"/>
      <c r="F334" s="829"/>
      <c r="G334" s="829"/>
      <c r="H334" s="829"/>
      <c r="I334" s="829"/>
      <c r="J334" s="829"/>
      <c r="K334" s="829"/>
      <c r="L334" s="829"/>
      <c r="M334" s="829"/>
      <c r="N334" s="829"/>
      <c r="O334" s="829"/>
      <c r="P334" s="829"/>
      <c r="Q334" s="829"/>
      <c r="R334" s="829"/>
      <c r="S334" s="829"/>
      <c r="T334" s="829"/>
      <c r="U334" s="829"/>
      <c r="V334" s="829"/>
      <c r="W334" s="829"/>
      <c r="X334" s="829"/>
      <c r="Y334" s="829"/>
      <c r="Z334" s="829"/>
    </row>
    <row r="335">
      <c r="A335" s="829"/>
      <c r="B335" s="829"/>
      <c r="C335" s="829"/>
      <c r="D335" s="829"/>
      <c r="E335" s="829"/>
      <c r="F335" s="829"/>
      <c r="G335" s="829"/>
      <c r="H335" s="829"/>
      <c r="I335" s="829"/>
      <c r="J335" s="829"/>
      <c r="K335" s="829"/>
      <c r="L335" s="829"/>
      <c r="M335" s="829"/>
      <c r="N335" s="829"/>
      <c r="O335" s="829"/>
      <c r="P335" s="829"/>
      <c r="Q335" s="829"/>
      <c r="R335" s="829"/>
      <c r="S335" s="829"/>
      <c r="T335" s="829"/>
      <c r="U335" s="829"/>
      <c r="V335" s="829"/>
      <c r="W335" s="829"/>
      <c r="X335" s="829"/>
      <c r="Y335" s="829"/>
      <c r="Z335" s="829"/>
    </row>
    <row r="336">
      <c r="A336" s="829"/>
      <c r="B336" s="829"/>
      <c r="C336" s="829"/>
      <c r="D336" s="829"/>
      <c r="E336" s="829"/>
      <c r="F336" s="829"/>
      <c r="G336" s="829"/>
      <c r="H336" s="829"/>
      <c r="I336" s="829"/>
      <c r="J336" s="829"/>
      <c r="K336" s="829"/>
      <c r="L336" s="829"/>
      <c r="M336" s="829"/>
      <c r="N336" s="829"/>
      <c r="O336" s="829"/>
      <c r="P336" s="829"/>
      <c r="Q336" s="829"/>
      <c r="R336" s="829"/>
      <c r="S336" s="829"/>
      <c r="T336" s="829"/>
      <c r="U336" s="829"/>
      <c r="V336" s="829"/>
      <c r="W336" s="829"/>
      <c r="X336" s="829"/>
      <c r="Y336" s="829"/>
      <c r="Z336" s="829"/>
    </row>
    <row r="337">
      <c r="A337" s="829"/>
      <c r="B337" s="829"/>
      <c r="C337" s="829"/>
      <c r="D337" s="829"/>
      <c r="E337" s="829"/>
      <c r="F337" s="829"/>
      <c r="G337" s="829"/>
      <c r="H337" s="829"/>
      <c r="I337" s="829"/>
      <c r="J337" s="829"/>
      <c r="K337" s="829"/>
      <c r="L337" s="829"/>
      <c r="M337" s="829"/>
      <c r="N337" s="829"/>
      <c r="O337" s="829"/>
      <c r="P337" s="829"/>
      <c r="Q337" s="829"/>
      <c r="R337" s="829"/>
      <c r="S337" s="829"/>
      <c r="T337" s="829"/>
      <c r="U337" s="829"/>
      <c r="V337" s="829"/>
      <c r="W337" s="829"/>
      <c r="X337" s="829"/>
      <c r="Y337" s="829"/>
      <c r="Z337" s="829"/>
    </row>
    <row r="338">
      <c r="A338" s="829"/>
      <c r="B338" s="829"/>
      <c r="C338" s="829"/>
      <c r="D338" s="829"/>
      <c r="E338" s="829"/>
      <c r="F338" s="829"/>
      <c r="G338" s="829"/>
      <c r="H338" s="829"/>
      <c r="I338" s="829"/>
      <c r="J338" s="829"/>
      <c r="K338" s="829"/>
      <c r="L338" s="829"/>
      <c r="M338" s="829"/>
      <c r="N338" s="829"/>
      <c r="O338" s="829"/>
      <c r="P338" s="829"/>
      <c r="Q338" s="829"/>
      <c r="R338" s="829"/>
      <c r="S338" s="829"/>
      <c r="T338" s="829"/>
      <c r="U338" s="829"/>
      <c r="V338" s="829"/>
      <c r="W338" s="829"/>
      <c r="X338" s="829"/>
      <c r="Y338" s="829"/>
      <c r="Z338" s="829"/>
    </row>
    <row r="339">
      <c r="A339" s="829"/>
      <c r="B339" s="829"/>
      <c r="C339" s="829"/>
      <c r="D339" s="829"/>
      <c r="E339" s="829"/>
      <c r="F339" s="829"/>
      <c r="G339" s="829"/>
      <c r="H339" s="829"/>
      <c r="I339" s="829"/>
      <c r="J339" s="829"/>
      <c r="K339" s="829"/>
      <c r="L339" s="829"/>
      <c r="M339" s="829"/>
      <c r="N339" s="829"/>
      <c r="O339" s="829"/>
      <c r="P339" s="829"/>
      <c r="Q339" s="829"/>
      <c r="R339" s="829"/>
      <c r="S339" s="829"/>
      <c r="T339" s="829"/>
      <c r="U339" s="829"/>
      <c r="V339" s="829"/>
      <c r="W339" s="829"/>
      <c r="X339" s="829"/>
      <c r="Y339" s="829"/>
      <c r="Z339" s="829"/>
    </row>
    <row r="340">
      <c r="A340" s="829"/>
      <c r="B340" s="829"/>
      <c r="C340" s="829"/>
      <c r="D340" s="829"/>
      <c r="E340" s="829"/>
      <c r="F340" s="829"/>
      <c r="G340" s="829"/>
      <c r="H340" s="829"/>
      <c r="I340" s="829"/>
      <c r="J340" s="829"/>
      <c r="K340" s="829"/>
      <c r="L340" s="829"/>
      <c r="M340" s="829"/>
      <c r="N340" s="829"/>
      <c r="O340" s="829"/>
      <c r="P340" s="829"/>
      <c r="Q340" s="829"/>
      <c r="R340" s="829"/>
      <c r="S340" s="829"/>
      <c r="T340" s="829"/>
      <c r="U340" s="829"/>
      <c r="V340" s="829"/>
      <c r="W340" s="829"/>
      <c r="X340" s="829"/>
      <c r="Y340" s="829"/>
      <c r="Z340" s="829"/>
    </row>
    <row r="341">
      <c r="A341" s="829"/>
      <c r="B341" s="829"/>
      <c r="C341" s="829"/>
      <c r="D341" s="829"/>
      <c r="E341" s="829"/>
      <c r="F341" s="829"/>
      <c r="G341" s="829"/>
      <c r="H341" s="829"/>
      <c r="I341" s="829"/>
      <c r="J341" s="829"/>
      <c r="K341" s="829"/>
      <c r="L341" s="829"/>
      <c r="M341" s="829"/>
      <c r="N341" s="829"/>
      <c r="O341" s="829"/>
      <c r="P341" s="829"/>
      <c r="Q341" s="829"/>
      <c r="R341" s="829"/>
      <c r="S341" s="829"/>
      <c r="T341" s="829"/>
      <c r="U341" s="829"/>
      <c r="V341" s="829"/>
      <c r="W341" s="829"/>
      <c r="X341" s="829"/>
      <c r="Y341" s="829"/>
      <c r="Z341" s="829"/>
    </row>
    <row r="342">
      <c r="A342" s="829"/>
      <c r="B342" s="829"/>
      <c r="C342" s="829"/>
      <c r="D342" s="829"/>
      <c r="E342" s="829"/>
      <c r="F342" s="829"/>
      <c r="G342" s="829"/>
      <c r="H342" s="829"/>
      <c r="I342" s="829"/>
      <c r="J342" s="829"/>
      <c r="K342" s="829"/>
      <c r="L342" s="829"/>
      <c r="M342" s="829"/>
      <c r="N342" s="829"/>
      <c r="O342" s="829"/>
      <c r="P342" s="829"/>
      <c r="Q342" s="829"/>
      <c r="R342" s="829"/>
      <c r="S342" s="829"/>
      <c r="T342" s="829"/>
      <c r="U342" s="829"/>
      <c r="V342" s="829"/>
      <c r="W342" s="829"/>
      <c r="X342" s="829"/>
      <c r="Y342" s="829"/>
      <c r="Z342" s="829"/>
    </row>
    <row r="343">
      <c r="A343" s="829"/>
      <c r="B343" s="829"/>
      <c r="C343" s="829"/>
      <c r="D343" s="829"/>
      <c r="E343" s="829"/>
      <c r="F343" s="829"/>
      <c r="G343" s="829"/>
      <c r="H343" s="829"/>
      <c r="I343" s="829"/>
      <c r="J343" s="829"/>
      <c r="K343" s="829"/>
      <c r="L343" s="829"/>
      <c r="M343" s="829"/>
      <c r="N343" s="829"/>
      <c r="O343" s="829"/>
      <c r="P343" s="829"/>
      <c r="Q343" s="829"/>
      <c r="R343" s="829"/>
      <c r="S343" s="829"/>
      <c r="T343" s="829"/>
      <c r="U343" s="829"/>
      <c r="V343" s="829"/>
      <c r="W343" s="829"/>
      <c r="X343" s="829"/>
      <c r="Y343" s="829"/>
      <c r="Z343" s="829"/>
    </row>
    <row r="344">
      <c r="A344" s="829"/>
      <c r="B344" s="829"/>
      <c r="C344" s="829"/>
      <c r="D344" s="829"/>
      <c r="E344" s="829"/>
      <c r="F344" s="829"/>
      <c r="G344" s="829"/>
      <c r="H344" s="829"/>
      <c r="I344" s="829"/>
      <c r="J344" s="829"/>
      <c r="K344" s="829"/>
      <c r="L344" s="829"/>
      <c r="M344" s="829"/>
      <c r="N344" s="829"/>
      <c r="O344" s="829"/>
      <c r="P344" s="829"/>
      <c r="Q344" s="829"/>
      <c r="R344" s="829"/>
      <c r="S344" s="829"/>
      <c r="T344" s="829"/>
      <c r="U344" s="829"/>
      <c r="V344" s="829"/>
      <c r="W344" s="829"/>
      <c r="X344" s="829"/>
      <c r="Y344" s="829"/>
      <c r="Z344" s="829"/>
    </row>
    <row r="345">
      <c r="A345" s="829"/>
      <c r="B345" s="829"/>
      <c r="C345" s="829"/>
      <c r="D345" s="829"/>
      <c r="E345" s="829"/>
      <c r="F345" s="829"/>
      <c r="G345" s="829"/>
      <c r="H345" s="829"/>
      <c r="I345" s="829"/>
      <c r="J345" s="829"/>
      <c r="K345" s="829"/>
      <c r="L345" s="829"/>
      <c r="M345" s="829"/>
      <c r="N345" s="829"/>
      <c r="O345" s="829"/>
      <c r="P345" s="829"/>
      <c r="Q345" s="829"/>
      <c r="R345" s="829"/>
      <c r="S345" s="829"/>
      <c r="T345" s="829"/>
      <c r="U345" s="829"/>
      <c r="V345" s="829"/>
      <c r="W345" s="829"/>
      <c r="X345" s="829"/>
      <c r="Y345" s="829"/>
      <c r="Z345" s="829"/>
    </row>
    <row r="346">
      <c r="A346" s="829"/>
      <c r="B346" s="829"/>
      <c r="C346" s="829"/>
      <c r="D346" s="829"/>
      <c r="E346" s="829"/>
      <c r="F346" s="829"/>
      <c r="G346" s="829"/>
      <c r="H346" s="829"/>
      <c r="I346" s="829"/>
      <c r="J346" s="829"/>
      <c r="K346" s="829"/>
      <c r="L346" s="829"/>
      <c r="M346" s="829"/>
      <c r="N346" s="829"/>
      <c r="O346" s="829"/>
      <c r="P346" s="829"/>
      <c r="Q346" s="829"/>
      <c r="R346" s="829"/>
      <c r="S346" s="829"/>
      <c r="T346" s="829"/>
      <c r="U346" s="829"/>
      <c r="V346" s="829"/>
      <c r="W346" s="829"/>
      <c r="X346" s="829"/>
      <c r="Y346" s="829"/>
      <c r="Z346" s="829"/>
    </row>
    <row r="347">
      <c r="A347" s="829"/>
      <c r="B347" s="829"/>
      <c r="C347" s="829"/>
      <c r="D347" s="829"/>
      <c r="E347" s="829"/>
      <c r="F347" s="829"/>
      <c r="G347" s="829"/>
      <c r="H347" s="829"/>
      <c r="I347" s="829"/>
      <c r="J347" s="829"/>
      <c r="K347" s="829"/>
      <c r="L347" s="829"/>
      <c r="M347" s="829"/>
      <c r="N347" s="829"/>
      <c r="O347" s="829"/>
      <c r="P347" s="829"/>
      <c r="Q347" s="829"/>
      <c r="R347" s="829"/>
      <c r="S347" s="829"/>
      <c r="T347" s="829"/>
      <c r="U347" s="829"/>
      <c r="V347" s="829"/>
      <c r="W347" s="829"/>
      <c r="X347" s="829"/>
      <c r="Y347" s="829"/>
      <c r="Z347" s="829"/>
    </row>
    <row r="348">
      <c r="A348" s="829"/>
      <c r="B348" s="829"/>
      <c r="C348" s="829"/>
      <c r="D348" s="829"/>
      <c r="E348" s="829"/>
      <c r="F348" s="829"/>
      <c r="G348" s="829"/>
      <c r="H348" s="829"/>
      <c r="I348" s="829"/>
      <c r="J348" s="829"/>
      <c r="K348" s="829"/>
      <c r="L348" s="829"/>
      <c r="M348" s="829"/>
      <c r="N348" s="829"/>
      <c r="O348" s="829"/>
      <c r="P348" s="829"/>
      <c r="Q348" s="829"/>
      <c r="R348" s="829"/>
      <c r="S348" s="829"/>
      <c r="T348" s="829"/>
      <c r="U348" s="829"/>
      <c r="V348" s="829"/>
      <c r="W348" s="829"/>
      <c r="X348" s="829"/>
      <c r="Y348" s="829"/>
      <c r="Z348" s="829"/>
    </row>
    <row r="349">
      <c r="A349" s="829"/>
      <c r="B349" s="829"/>
      <c r="C349" s="829"/>
      <c r="D349" s="829"/>
      <c r="E349" s="829"/>
      <c r="F349" s="829"/>
      <c r="G349" s="829"/>
      <c r="H349" s="829"/>
      <c r="I349" s="829"/>
      <c r="J349" s="829"/>
      <c r="K349" s="829"/>
      <c r="L349" s="829"/>
      <c r="M349" s="829"/>
      <c r="N349" s="829"/>
      <c r="O349" s="829"/>
      <c r="P349" s="829"/>
      <c r="Q349" s="829"/>
      <c r="R349" s="829"/>
      <c r="S349" s="829"/>
      <c r="T349" s="829"/>
      <c r="U349" s="829"/>
      <c r="V349" s="829"/>
      <c r="W349" s="829"/>
      <c r="X349" s="829"/>
      <c r="Y349" s="829"/>
      <c r="Z349" s="829"/>
    </row>
    <row r="350">
      <c r="A350" s="829"/>
      <c r="B350" s="829"/>
      <c r="C350" s="829"/>
      <c r="D350" s="829"/>
      <c r="E350" s="829"/>
      <c r="F350" s="829"/>
      <c r="G350" s="829"/>
      <c r="H350" s="829"/>
      <c r="I350" s="829"/>
      <c r="J350" s="829"/>
      <c r="K350" s="829"/>
      <c r="L350" s="829"/>
      <c r="M350" s="829"/>
      <c r="N350" s="829"/>
      <c r="O350" s="829"/>
      <c r="P350" s="829"/>
      <c r="Q350" s="829"/>
      <c r="R350" s="829"/>
      <c r="S350" s="829"/>
      <c r="T350" s="829"/>
      <c r="U350" s="829"/>
      <c r="V350" s="829"/>
      <c r="W350" s="829"/>
      <c r="X350" s="829"/>
      <c r="Y350" s="829"/>
      <c r="Z350" s="829"/>
    </row>
    <row r="351">
      <c r="A351" s="829"/>
      <c r="B351" s="829"/>
      <c r="C351" s="829"/>
      <c r="D351" s="829"/>
      <c r="E351" s="829"/>
      <c r="F351" s="829"/>
      <c r="G351" s="829"/>
      <c r="H351" s="829"/>
      <c r="I351" s="829"/>
      <c r="J351" s="829"/>
      <c r="K351" s="829"/>
      <c r="L351" s="829"/>
      <c r="M351" s="829"/>
      <c r="N351" s="829"/>
      <c r="O351" s="829"/>
      <c r="P351" s="829"/>
      <c r="Q351" s="829"/>
      <c r="R351" s="829"/>
      <c r="S351" s="829"/>
      <c r="T351" s="829"/>
      <c r="U351" s="829"/>
      <c r="V351" s="829"/>
      <c r="W351" s="829"/>
      <c r="X351" s="829"/>
      <c r="Y351" s="829"/>
      <c r="Z351" s="829"/>
    </row>
    <row r="352">
      <c r="A352" s="829"/>
      <c r="B352" s="829"/>
      <c r="C352" s="829"/>
      <c r="D352" s="829"/>
      <c r="E352" s="829"/>
      <c r="F352" s="829"/>
      <c r="G352" s="829"/>
      <c r="H352" s="829"/>
      <c r="I352" s="829"/>
      <c r="J352" s="829"/>
      <c r="K352" s="829"/>
      <c r="L352" s="829"/>
      <c r="M352" s="829"/>
      <c r="N352" s="829"/>
      <c r="O352" s="829"/>
      <c r="P352" s="829"/>
      <c r="Q352" s="829"/>
      <c r="R352" s="829"/>
      <c r="S352" s="829"/>
      <c r="T352" s="829"/>
      <c r="U352" s="829"/>
      <c r="V352" s="829"/>
      <c r="W352" s="829"/>
      <c r="X352" s="829"/>
      <c r="Y352" s="829"/>
      <c r="Z352" s="829"/>
    </row>
    <row r="353">
      <c r="A353" s="829"/>
      <c r="B353" s="829"/>
      <c r="C353" s="829"/>
      <c r="D353" s="829"/>
      <c r="E353" s="829"/>
      <c r="F353" s="829"/>
      <c r="G353" s="829"/>
      <c r="H353" s="829"/>
      <c r="I353" s="829"/>
      <c r="J353" s="829"/>
      <c r="K353" s="829"/>
      <c r="L353" s="829"/>
      <c r="M353" s="829"/>
      <c r="N353" s="829"/>
      <c r="O353" s="829"/>
      <c r="P353" s="829"/>
      <c r="Q353" s="829"/>
      <c r="R353" s="829"/>
      <c r="S353" s="829"/>
      <c r="T353" s="829"/>
      <c r="U353" s="829"/>
      <c r="V353" s="829"/>
      <c r="W353" s="829"/>
      <c r="X353" s="829"/>
      <c r="Y353" s="829"/>
      <c r="Z353" s="829"/>
    </row>
    <row r="354">
      <c r="A354" s="829"/>
      <c r="B354" s="829"/>
      <c r="C354" s="829"/>
      <c r="D354" s="829"/>
      <c r="E354" s="829"/>
      <c r="F354" s="829"/>
      <c r="G354" s="829"/>
      <c r="H354" s="829"/>
      <c r="I354" s="829"/>
      <c r="J354" s="829"/>
      <c r="K354" s="829"/>
      <c r="L354" s="829"/>
      <c r="M354" s="829"/>
      <c r="N354" s="829"/>
      <c r="O354" s="829"/>
      <c r="P354" s="829"/>
      <c r="Q354" s="829"/>
      <c r="R354" s="829"/>
      <c r="S354" s="829"/>
      <c r="T354" s="829"/>
      <c r="U354" s="829"/>
      <c r="V354" s="829"/>
      <c r="W354" s="829"/>
      <c r="X354" s="829"/>
      <c r="Y354" s="829"/>
      <c r="Z354" s="829"/>
    </row>
    <row r="355">
      <c r="A355" s="829"/>
      <c r="B355" s="829"/>
      <c r="C355" s="829"/>
      <c r="D355" s="829"/>
      <c r="E355" s="829"/>
      <c r="F355" s="829"/>
      <c r="G355" s="829"/>
      <c r="H355" s="829"/>
      <c r="I355" s="829"/>
      <c r="J355" s="829"/>
      <c r="K355" s="829"/>
      <c r="L355" s="829"/>
      <c r="M355" s="829"/>
      <c r="N355" s="829"/>
      <c r="O355" s="829"/>
      <c r="P355" s="829"/>
      <c r="Q355" s="829"/>
      <c r="R355" s="829"/>
      <c r="S355" s="829"/>
      <c r="T355" s="829"/>
      <c r="U355" s="829"/>
      <c r="V355" s="829"/>
      <c r="W355" s="829"/>
      <c r="X355" s="829"/>
      <c r="Y355" s="829"/>
      <c r="Z355" s="829"/>
    </row>
    <row r="356">
      <c r="A356" s="829"/>
      <c r="B356" s="829"/>
      <c r="C356" s="829"/>
      <c r="D356" s="829"/>
      <c r="E356" s="829"/>
      <c r="F356" s="829"/>
      <c r="G356" s="829"/>
      <c r="H356" s="829"/>
      <c r="I356" s="829"/>
      <c r="J356" s="829"/>
      <c r="K356" s="829"/>
      <c r="L356" s="829"/>
      <c r="M356" s="829"/>
      <c r="N356" s="829"/>
      <c r="O356" s="829"/>
      <c r="P356" s="829"/>
      <c r="Q356" s="829"/>
      <c r="R356" s="829"/>
      <c r="S356" s="829"/>
      <c r="T356" s="829"/>
      <c r="U356" s="829"/>
      <c r="V356" s="829"/>
      <c r="W356" s="829"/>
      <c r="X356" s="829"/>
      <c r="Y356" s="829"/>
      <c r="Z356" s="829"/>
    </row>
    <row r="357">
      <c r="A357" s="829"/>
      <c r="B357" s="829"/>
      <c r="C357" s="829"/>
      <c r="D357" s="829"/>
      <c r="E357" s="829"/>
      <c r="F357" s="829"/>
      <c r="G357" s="829"/>
      <c r="H357" s="829"/>
      <c r="I357" s="829"/>
      <c r="J357" s="829"/>
      <c r="K357" s="829"/>
      <c r="L357" s="829"/>
      <c r="M357" s="829"/>
      <c r="N357" s="829"/>
      <c r="O357" s="829"/>
      <c r="P357" s="829"/>
      <c r="Q357" s="829"/>
      <c r="R357" s="829"/>
      <c r="S357" s="829"/>
      <c r="T357" s="829"/>
      <c r="U357" s="829"/>
      <c r="V357" s="829"/>
      <c r="W357" s="829"/>
      <c r="X357" s="829"/>
      <c r="Y357" s="829"/>
      <c r="Z357" s="829"/>
    </row>
    <row r="358">
      <c r="A358" s="829"/>
      <c r="B358" s="829"/>
      <c r="C358" s="829"/>
      <c r="D358" s="829"/>
      <c r="E358" s="829"/>
      <c r="F358" s="829"/>
      <c r="G358" s="829"/>
      <c r="H358" s="829"/>
      <c r="I358" s="829"/>
      <c r="J358" s="829"/>
      <c r="K358" s="829"/>
      <c r="L358" s="829"/>
      <c r="M358" s="829"/>
      <c r="N358" s="829"/>
      <c r="O358" s="829"/>
      <c r="P358" s="829"/>
      <c r="Q358" s="829"/>
      <c r="R358" s="829"/>
      <c r="S358" s="829"/>
      <c r="T358" s="829"/>
      <c r="U358" s="829"/>
      <c r="V358" s="829"/>
      <c r="W358" s="829"/>
      <c r="X358" s="829"/>
      <c r="Y358" s="829"/>
      <c r="Z358" s="829"/>
    </row>
    <row r="359">
      <c r="A359" s="829"/>
      <c r="B359" s="829"/>
      <c r="C359" s="829"/>
      <c r="D359" s="829"/>
      <c r="E359" s="829"/>
      <c r="F359" s="829"/>
      <c r="G359" s="829"/>
      <c r="H359" s="829"/>
      <c r="I359" s="829"/>
      <c r="J359" s="829"/>
      <c r="K359" s="829"/>
      <c r="L359" s="829"/>
      <c r="M359" s="829"/>
      <c r="N359" s="829"/>
      <c r="O359" s="829"/>
      <c r="P359" s="829"/>
      <c r="Q359" s="829"/>
      <c r="R359" s="829"/>
      <c r="S359" s="829"/>
      <c r="T359" s="829"/>
      <c r="U359" s="829"/>
      <c r="V359" s="829"/>
      <c r="W359" s="829"/>
      <c r="X359" s="829"/>
      <c r="Y359" s="829"/>
      <c r="Z359" s="829"/>
    </row>
    <row r="360">
      <c r="A360" s="829"/>
      <c r="B360" s="829"/>
      <c r="C360" s="829"/>
      <c r="D360" s="829"/>
      <c r="E360" s="829"/>
      <c r="F360" s="829"/>
      <c r="G360" s="829"/>
      <c r="H360" s="829"/>
      <c r="I360" s="829"/>
      <c r="J360" s="829"/>
      <c r="K360" s="829"/>
      <c r="L360" s="829"/>
      <c r="M360" s="829"/>
      <c r="N360" s="829"/>
      <c r="O360" s="829"/>
      <c r="P360" s="829"/>
      <c r="Q360" s="829"/>
      <c r="R360" s="829"/>
      <c r="S360" s="829"/>
      <c r="T360" s="829"/>
      <c r="U360" s="829"/>
      <c r="V360" s="829"/>
      <c r="W360" s="829"/>
      <c r="X360" s="829"/>
      <c r="Y360" s="829"/>
      <c r="Z360" s="829"/>
    </row>
    <row r="361">
      <c r="A361" s="829"/>
      <c r="B361" s="829"/>
      <c r="C361" s="829"/>
      <c r="D361" s="829"/>
      <c r="E361" s="829"/>
      <c r="F361" s="829"/>
      <c r="G361" s="829"/>
      <c r="H361" s="829"/>
      <c r="I361" s="829"/>
      <c r="J361" s="829"/>
      <c r="K361" s="829"/>
      <c r="L361" s="829"/>
      <c r="M361" s="829"/>
      <c r="N361" s="829"/>
      <c r="O361" s="829"/>
      <c r="P361" s="829"/>
      <c r="Q361" s="829"/>
      <c r="R361" s="829"/>
      <c r="S361" s="829"/>
      <c r="T361" s="829"/>
      <c r="U361" s="829"/>
      <c r="V361" s="829"/>
      <c r="W361" s="829"/>
      <c r="X361" s="829"/>
      <c r="Y361" s="829"/>
      <c r="Z361" s="829"/>
    </row>
    <row r="362">
      <c r="A362" s="829"/>
      <c r="B362" s="829"/>
      <c r="C362" s="829"/>
      <c r="D362" s="829"/>
      <c r="E362" s="829"/>
      <c r="F362" s="829"/>
      <c r="G362" s="829"/>
      <c r="H362" s="829"/>
      <c r="I362" s="829"/>
      <c r="J362" s="829"/>
      <c r="K362" s="829"/>
      <c r="L362" s="829"/>
      <c r="M362" s="829"/>
      <c r="N362" s="829"/>
      <c r="O362" s="829"/>
      <c r="P362" s="829"/>
      <c r="Q362" s="829"/>
      <c r="R362" s="829"/>
      <c r="S362" s="829"/>
      <c r="T362" s="829"/>
      <c r="U362" s="829"/>
      <c r="V362" s="829"/>
      <c r="W362" s="829"/>
      <c r="X362" s="829"/>
      <c r="Y362" s="829"/>
      <c r="Z362" s="829"/>
    </row>
    <row r="363">
      <c r="A363" s="829"/>
      <c r="B363" s="829"/>
      <c r="C363" s="829"/>
      <c r="D363" s="829"/>
      <c r="E363" s="829"/>
      <c r="F363" s="829"/>
      <c r="G363" s="829"/>
      <c r="H363" s="829"/>
      <c r="I363" s="829"/>
      <c r="J363" s="829"/>
      <c r="K363" s="829"/>
      <c r="L363" s="829"/>
      <c r="M363" s="829"/>
      <c r="N363" s="829"/>
      <c r="O363" s="829"/>
      <c r="P363" s="829"/>
      <c r="Q363" s="829"/>
      <c r="R363" s="829"/>
      <c r="S363" s="829"/>
      <c r="T363" s="829"/>
      <c r="U363" s="829"/>
      <c r="V363" s="829"/>
      <c r="W363" s="829"/>
      <c r="X363" s="829"/>
      <c r="Y363" s="829"/>
      <c r="Z363" s="829"/>
    </row>
    <row r="364">
      <c r="A364" s="829"/>
      <c r="B364" s="829"/>
      <c r="C364" s="829"/>
      <c r="D364" s="829"/>
      <c r="E364" s="829"/>
      <c r="F364" s="829"/>
      <c r="G364" s="829"/>
      <c r="H364" s="829"/>
      <c r="I364" s="829"/>
      <c r="J364" s="829"/>
      <c r="K364" s="829"/>
      <c r="L364" s="829"/>
      <c r="M364" s="829"/>
      <c r="N364" s="829"/>
      <c r="O364" s="829"/>
      <c r="P364" s="829"/>
      <c r="Q364" s="829"/>
      <c r="R364" s="829"/>
      <c r="S364" s="829"/>
      <c r="T364" s="829"/>
      <c r="U364" s="829"/>
      <c r="V364" s="829"/>
      <c r="W364" s="829"/>
      <c r="X364" s="829"/>
      <c r="Y364" s="829"/>
      <c r="Z364" s="829"/>
    </row>
    <row r="365">
      <c r="A365" s="829"/>
      <c r="B365" s="829"/>
      <c r="C365" s="829"/>
      <c r="D365" s="829"/>
      <c r="E365" s="829"/>
      <c r="F365" s="829"/>
      <c r="G365" s="829"/>
      <c r="H365" s="829"/>
      <c r="I365" s="829"/>
      <c r="J365" s="829"/>
      <c r="K365" s="829"/>
      <c r="L365" s="829"/>
      <c r="M365" s="829"/>
      <c r="N365" s="829"/>
      <c r="O365" s="829"/>
      <c r="P365" s="829"/>
      <c r="Q365" s="829"/>
      <c r="R365" s="829"/>
      <c r="S365" s="829"/>
      <c r="T365" s="829"/>
      <c r="U365" s="829"/>
      <c r="V365" s="829"/>
      <c r="W365" s="829"/>
      <c r="X365" s="829"/>
      <c r="Y365" s="829"/>
      <c r="Z365" s="829"/>
    </row>
    <row r="366">
      <c r="A366" s="829"/>
      <c r="B366" s="829"/>
      <c r="C366" s="829"/>
      <c r="D366" s="829"/>
      <c r="E366" s="829"/>
      <c r="F366" s="829"/>
      <c r="G366" s="829"/>
      <c r="H366" s="829"/>
      <c r="I366" s="829"/>
      <c r="J366" s="829"/>
      <c r="K366" s="829"/>
      <c r="L366" s="829"/>
      <c r="M366" s="829"/>
      <c r="N366" s="829"/>
      <c r="O366" s="829"/>
      <c r="P366" s="829"/>
      <c r="Q366" s="829"/>
      <c r="R366" s="829"/>
      <c r="S366" s="829"/>
      <c r="T366" s="829"/>
      <c r="U366" s="829"/>
      <c r="V366" s="829"/>
      <c r="W366" s="829"/>
      <c r="X366" s="829"/>
      <c r="Y366" s="829"/>
      <c r="Z366" s="829"/>
    </row>
    <row r="367">
      <c r="A367" s="829"/>
      <c r="B367" s="829"/>
      <c r="C367" s="829"/>
      <c r="D367" s="829"/>
      <c r="E367" s="829"/>
      <c r="F367" s="829"/>
      <c r="G367" s="829"/>
      <c r="H367" s="829"/>
      <c r="I367" s="829"/>
      <c r="J367" s="829"/>
      <c r="K367" s="829"/>
      <c r="L367" s="829"/>
      <c r="M367" s="829"/>
      <c r="N367" s="829"/>
      <c r="O367" s="829"/>
      <c r="P367" s="829"/>
      <c r="Q367" s="829"/>
      <c r="R367" s="829"/>
      <c r="S367" s="829"/>
      <c r="T367" s="829"/>
      <c r="U367" s="829"/>
      <c r="V367" s="829"/>
      <c r="W367" s="829"/>
      <c r="X367" s="829"/>
      <c r="Y367" s="829"/>
      <c r="Z367" s="829"/>
    </row>
    <row r="368">
      <c r="A368" s="829"/>
      <c r="B368" s="829"/>
      <c r="C368" s="829"/>
      <c r="D368" s="829"/>
      <c r="E368" s="829"/>
      <c r="F368" s="829"/>
      <c r="G368" s="829"/>
      <c r="H368" s="829"/>
      <c r="I368" s="829"/>
      <c r="J368" s="829"/>
      <c r="K368" s="829"/>
      <c r="L368" s="829"/>
      <c r="M368" s="829"/>
      <c r="N368" s="829"/>
      <c r="O368" s="829"/>
      <c r="P368" s="829"/>
      <c r="Q368" s="829"/>
      <c r="R368" s="829"/>
      <c r="S368" s="829"/>
      <c r="T368" s="829"/>
      <c r="U368" s="829"/>
      <c r="V368" s="829"/>
      <c r="W368" s="829"/>
      <c r="X368" s="829"/>
      <c r="Y368" s="829"/>
      <c r="Z368" s="829"/>
    </row>
    <row r="369">
      <c r="A369" s="829"/>
      <c r="B369" s="829"/>
      <c r="C369" s="829"/>
      <c r="D369" s="829"/>
      <c r="E369" s="829"/>
      <c r="F369" s="829"/>
      <c r="G369" s="829"/>
      <c r="H369" s="829"/>
      <c r="I369" s="829"/>
      <c r="J369" s="829"/>
      <c r="K369" s="829"/>
      <c r="L369" s="829"/>
      <c r="M369" s="829"/>
      <c r="N369" s="829"/>
      <c r="O369" s="829"/>
      <c r="P369" s="829"/>
      <c r="Q369" s="829"/>
      <c r="R369" s="829"/>
      <c r="S369" s="829"/>
      <c r="T369" s="829"/>
      <c r="U369" s="829"/>
      <c r="V369" s="829"/>
      <c r="W369" s="829"/>
      <c r="X369" s="829"/>
      <c r="Y369" s="829"/>
      <c r="Z369" s="829"/>
    </row>
    <row r="370">
      <c r="A370" s="829"/>
      <c r="B370" s="829"/>
      <c r="C370" s="829"/>
      <c r="D370" s="829"/>
      <c r="E370" s="829"/>
      <c r="F370" s="829"/>
      <c r="G370" s="829"/>
      <c r="H370" s="829"/>
      <c r="I370" s="829"/>
      <c r="J370" s="829"/>
      <c r="K370" s="829"/>
      <c r="L370" s="829"/>
      <c r="M370" s="829"/>
      <c r="N370" s="829"/>
      <c r="O370" s="829"/>
      <c r="P370" s="829"/>
      <c r="Q370" s="829"/>
      <c r="R370" s="829"/>
      <c r="S370" s="829"/>
      <c r="T370" s="829"/>
      <c r="U370" s="829"/>
      <c r="V370" s="829"/>
      <c r="W370" s="829"/>
      <c r="X370" s="829"/>
      <c r="Y370" s="829"/>
      <c r="Z370" s="829"/>
    </row>
    <row r="371">
      <c r="A371" s="829"/>
      <c r="B371" s="829"/>
      <c r="C371" s="829"/>
      <c r="D371" s="829"/>
      <c r="E371" s="829"/>
      <c r="F371" s="829"/>
      <c r="G371" s="829"/>
      <c r="H371" s="829"/>
      <c r="I371" s="829"/>
      <c r="J371" s="829"/>
      <c r="K371" s="829"/>
      <c r="L371" s="829"/>
      <c r="M371" s="829"/>
      <c r="N371" s="829"/>
      <c r="O371" s="829"/>
      <c r="P371" s="829"/>
      <c r="Q371" s="829"/>
      <c r="R371" s="829"/>
      <c r="S371" s="829"/>
      <c r="T371" s="829"/>
      <c r="U371" s="829"/>
      <c r="V371" s="829"/>
      <c r="W371" s="829"/>
      <c r="X371" s="829"/>
      <c r="Y371" s="829"/>
      <c r="Z371" s="829"/>
    </row>
    <row r="372">
      <c r="A372" s="829"/>
      <c r="B372" s="829"/>
      <c r="C372" s="829"/>
      <c r="D372" s="829"/>
      <c r="E372" s="829"/>
      <c r="F372" s="829"/>
      <c r="G372" s="829"/>
      <c r="H372" s="829"/>
      <c r="I372" s="829"/>
      <c r="J372" s="829"/>
      <c r="K372" s="829"/>
      <c r="L372" s="829"/>
      <c r="M372" s="829"/>
      <c r="N372" s="829"/>
      <c r="O372" s="829"/>
      <c r="P372" s="829"/>
      <c r="Q372" s="829"/>
      <c r="R372" s="829"/>
      <c r="S372" s="829"/>
      <c r="T372" s="829"/>
      <c r="U372" s="829"/>
      <c r="V372" s="829"/>
      <c r="W372" s="829"/>
      <c r="X372" s="829"/>
      <c r="Y372" s="829"/>
      <c r="Z372" s="829"/>
    </row>
    <row r="373">
      <c r="A373" s="829"/>
      <c r="B373" s="829"/>
      <c r="C373" s="829"/>
      <c r="D373" s="829"/>
      <c r="E373" s="829"/>
      <c r="F373" s="829"/>
      <c r="G373" s="829"/>
      <c r="H373" s="829"/>
      <c r="I373" s="829"/>
      <c r="J373" s="829"/>
      <c r="K373" s="829"/>
      <c r="L373" s="829"/>
      <c r="M373" s="829"/>
      <c r="N373" s="829"/>
      <c r="O373" s="829"/>
      <c r="P373" s="829"/>
      <c r="Q373" s="829"/>
      <c r="R373" s="829"/>
      <c r="S373" s="829"/>
      <c r="T373" s="829"/>
      <c r="U373" s="829"/>
      <c r="V373" s="829"/>
      <c r="W373" s="829"/>
      <c r="X373" s="829"/>
      <c r="Y373" s="829"/>
      <c r="Z373" s="829"/>
    </row>
    <row r="374">
      <c r="A374" s="829"/>
      <c r="B374" s="829"/>
      <c r="C374" s="829"/>
      <c r="D374" s="829"/>
      <c r="E374" s="829"/>
      <c r="F374" s="829"/>
      <c r="G374" s="829"/>
      <c r="H374" s="829"/>
      <c r="I374" s="829"/>
      <c r="J374" s="829"/>
      <c r="K374" s="829"/>
      <c r="L374" s="829"/>
      <c r="M374" s="829"/>
      <c r="N374" s="829"/>
      <c r="O374" s="829"/>
      <c r="P374" s="829"/>
      <c r="Q374" s="829"/>
      <c r="R374" s="829"/>
      <c r="S374" s="829"/>
      <c r="T374" s="829"/>
      <c r="U374" s="829"/>
      <c r="V374" s="829"/>
      <c r="W374" s="829"/>
      <c r="X374" s="829"/>
      <c r="Y374" s="829"/>
      <c r="Z374" s="829"/>
    </row>
    <row r="375">
      <c r="A375" s="829"/>
      <c r="B375" s="829"/>
      <c r="C375" s="829"/>
      <c r="D375" s="829"/>
      <c r="E375" s="829"/>
      <c r="F375" s="829"/>
      <c r="G375" s="829"/>
      <c r="H375" s="829"/>
      <c r="I375" s="829"/>
      <c r="J375" s="829"/>
      <c r="K375" s="829"/>
      <c r="L375" s="829"/>
      <c r="M375" s="829"/>
      <c r="N375" s="829"/>
      <c r="O375" s="829"/>
      <c r="P375" s="829"/>
      <c r="Q375" s="829"/>
      <c r="R375" s="829"/>
      <c r="S375" s="829"/>
      <c r="T375" s="829"/>
      <c r="U375" s="829"/>
      <c r="V375" s="829"/>
      <c r="W375" s="829"/>
      <c r="X375" s="829"/>
      <c r="Y375" s="829"/>
      <c r="Z375" s="829"/>
    </row>
    <row r="376">
      <c r="A376" s="829"/>
      <c r="B376" s="829"/>
      <c r="C376" s="829"/>
      <c r="D376" s="829"/>
      <c r="E376" s="829"/>
      <c r="F376" s="829"/>
      <c r="G376" s="829"/>
      <c r="H376" s="829"/>
      <c r="I376" s="829"/>
      <c r="J376" s="829"/>
      <c r="K376" s="829"/>
      <c r="L376" s="829"/>
      <c r="M376" s="829"/>
      <c r="N376" s="829"/>
      <c r="O376" s="829"/>
      <c r="P376" s="829"/>
      <c r="Q376" s="829"/>
      <c r="R376" s="829"/>
      <c r="S376" s="829"/>
      <c r="T376" s="829"/>
      <c r="U376" s="829"/>
      <c r="V376" s="829"/>
      <c r="W376" s="829"/>
      <c r="X376" s="829"/>
      <c r="Y376" s="829"/>
      <c r="Z376" s="829"/>
    </row>
    <row r="377">
      <c r="A377" s="829"/>
      <c r="B377" s="829"/>
      <c r="C377" s="829"/>
      <c r="D377" s="829"/>
      <c r="E377" s="829"/>
      <c r="F377" s="829"/>
      <c r="G377" s="829"/>
      <c r="H377" s="829"/>
      <c r="I377" s="829"/>
      <c r="J377" s="829"/>
      <c r="K377" s="829"/>
      <c r="L377" s="829"/>
      <c r="M377" s="829"/>
      <c r="N377" s="829"/>
      <c r="O377" s="829"/>
      <c r="P377" s="829"/>
      <c r="Q377" s="829"/>
      <c r="R377" s="829"/>
      <c r="S377" s="829"/>
      <c r="T377" s="829"/>
      <c r="U377" s="829"/>
      <c r="V377" s="829"/>
      <c r="W377" s="829"/>
      <c r="X377" s="829"/>
      <c r="Y377" s="829"/>
      <c r="Z377" s="829"/>
    </row>
    <row r="378">
      <c r="A378" s="829"/>
      <c r="B378" s="829"/>
      <c r="C378" s="829"/>
      <c r="D378" s="829"/>
      <c r="E378" s="829"/>
      <c r="F378" s="829"/>
      <c r="G378" s="829"/>
      <c r="H378" s="829"/>
      <c r="I378" s="829"/>
      <c r="J378" s="829"/>
      <c r="K378" s="829"/>
      <c r="L378" s="829"/>
      <c r="M378" s="829"/>
      <c r="N378" s="829"/>
      <c r="O378" s="829"/>
      <c r="P378" s="829"/>
      <c r="Q378" s="829"/>
      <c r="R378" s="829"/>
      <c r="S378" s="829"/>
      <c r="T378" s="829"/>
      <c r="U378" s="829"/>
      <c r="V378" s="829"/>
      <c r="W378" s="829"/>
      <c r="X378" s="829"/>
      <c r="Y378" s="829"/>
      <c r="Z378" s="829"/>
    </row>
    <row r="379">
      <c r="A379" s="829"/>
      <c r="B379" s="829"/>
      <c r="C379" s="829"/>
      <c r="D379" s="829"/>
      <c r="E379" s="829"/>
      <c r="F379" s="829"/>
      <c r="G379" s="829"/>
      <c r="H379" s="829"/>
      <c r="I379" s="829"/>
      <c r="J379" s="829"/>
      <c r="K379" s="829"/>
      <c r="L379" s="829"/>
      <c r="M379" s="829"/>
      <c r="N379" s="829"/>
      <c r="O379" s="829"/>
      <c r="P379" s="829"/>
      <c r="Q379" s="829"/>
      <c r="R379" s="829"/>
      <c r="S379" s="829"/>
      <c r="T379" s="829"/>
      <c r="U379" s="829"/>
      <c r="V379" s="829"/>
      <c r="W379" s="829"/>
      <c r="X379" s="829"/>
      <c r="Y379" s="829"/>
      <c r="Z379" s="829"/>
    </row>
    <row r="380">
      <c r="A380" s="829"/>
      <c r="B380" s="829"/>
      <c r="C380" s="829"/>
      <c r="D380" s="829"/>
      <c r="E380" s="829"/>
      <c r="F380" s="829"/>
      <c r="G380" s="829"/>
      <c r="H380" s="829"/>
      <c r="I380" s="829"/>
      <c r="J380" s="829"/>
      <c r="K380" s="829"/>
      <c r="L380" s="829"/>
      <c r="M380" s="829"/>
      <c r="N380" s="829"/>
      <c r="O380" s="829"/>
      <c r="P380" s="829"/>
      <c r="Q380" s="829"/>
      <c r="R380" s="829"/>
      <c r="S380" s="829"/>
      <c r="T380" s="829"/>
      <c r="U380" s="829"/>
      <c r="V380" s="829"/>
      <c r="W380" s="829"/>
      <c r="X380" s="829"/>
      <c r="Y380" s="829"/>
      <c r="Z380" s="829"/>
    </row>
    <row r="381">
      <c r="A381" s="829"/>
      <c r="B381" s="829"/>
      <c r="C381" s="829"/>
      <c r="D381" s="829"/>
      <c r="E381" s="829"/>
      <c r="F381" s="829"/>
      <c r="G381" s="829"/>
      <c r="H381" s="829"/>
      <c r="I381" s="829"/>
      <c r="J381" s="829"/>
      <c r="K381" s="829"/>
      <c r="L381" s="829"/>
      <c r="M381" s="829"/>
      <c r="N381" s="829"/>
      <c r="O381" s="829"/>
      <c r="P381" s="829"/>
      <c r="Q381" s="829"/>
      <c r="R381" s="829"/>
      <c r="S381" s="829"/>
      <c r="T381" s="829"/>
      <c r="U381" s="829"/>
      <c r="V381" s="829"/>
      <c r="W381" s="829"/>
      <c r="X381" s="829"/>
      <c r="Y381" s="829"/>
      <c r="Z381" s="829"/>
    </row>
    <row r="382">
      <c r="A382" s="829"/>
      <c r="B382" s="829"/>
      <c r="C382" s="829"/>
      <c r="D382" s="829"/>
      <c r="E382" s="829"/>
      <c r="F382" s="829"/>
      <c r="G382" s="829"/>
      <c r="H382" s="829"/>
      <c r="I382" s="829"/>
      <c r="J382" s="829"/>
      <c r="K382" s="829"/>
      <c r="L382" s="829"/>
      <c r="M382" s="829"/>
      <c r="N382" s="829"/>
      <c r="O382" s="829"/>
      <c r="P382" s="829"/>
      <c r="Q382" s="829"/>
      <c r="R382" s="829"/>
      <c r="S382" s="829"/>
      <c r="T382" s="829"/>
      <c r="U382" s="829"/>
      <c r="V382" s="829"/>
      <c r="W382" s="829"/>
      <c r="X382" s="829"/>
      <c r="Y382" s="829"/>
      <c r="Z382" s="829"/>
    </row>
    <row r="383">
      <c r="A383" s="829"/>
      <c r="B383" s="829"/>
      <c r="C383" s="829"/>
      <c r="D383" s="829"/>
      <c r="E383" s="829"/>
      <c r="F383" s="829"/>
      <c r="G383" s="829"/>
      <c r="H383" s="829"/>
      <c r="I383" s="829"/>
      <c r="J383" s="829"/>
      <c r="K383" s="829"/>
      <c r="L383" s="829"/>
      <c r="M383" s="829"/>
      <c r="N383" s="829"/>
      <c r="O383" s="829"/>
      <c r="P383" s="829"/>
      <c r="Q383" s="829"/>
      <c r="R383" s="829"/>
      <c r="S383" s="829"/>
      <c r="T383" s="829"/>
      <c r="U383" s="829"/>
      <c r="V383" s="829"/>
      <c r="W383" s="829"/>
      <c r="X383" s="829"/>
      <c r="Y383" s="829"/>
      <c r="Z383" s="829"/>
    </row>
    <row r="384">
      <c r="A384" s="829"/>
      <c r="B384" s="829"/>
      <c r="C384" s="829"/>
      <c r="D384" s="829"/>
      <c r="E384" s="829"/>
      <c r="F384" s="829"/>
      <c r="G384" s="829"/>
      <c r="H384" s="829"/>
      <c r="I384" s="829"/>
      <c r="J384" s="829"/>
      <c r="K384" s="829"/>
      <c r="L384" s="829"/>
      <c r="M384" s="829"/>
      <c r="N384" s="829"/>
      <c r="O384" s="829"/>
      <c r="P384" s="829"/>
      <c r="Q384" s="829"/>
      <c r="R384" s="829"/>
      <c r="S384" s="829"/>
      <c r="T384" s="829"/>
      <c r="U384" s="829"/>
      <c r="V384" s="829"/>
      <c r="W384" s="829"/>
      <c r="X384" s="829"/>
      <c r="Y384" s="829"/>
      <c r="Z384" s="829"/>
    </row>
    <row r="385">
      <c r="A385" s="829"/>
      <c r="B385" s="829"/>
      <c r="C385" s="829"/>
      <c r="D385" s="829"/>
      <c r="E385" s="829"/>
      <c r="F385" s="829"/>
      <c r="G385" s="829"/>
      <c r="H385" s="829"/>
      <c r="I385" s="829"/>
      <c r="J385" s="829"/>
      <c r="K385" s="829"/>
      <c r="L385" s="829"/>
      <c r="M385" s="829"/>
      <c r="N385" s="829"/>
      <c r="O385" s="829"/>
      <c r="P385" s="829"/>
      <c r="Q385" s="829"/>
      <c r="R385" s="829"/>
      <c r="S385" s="829"/>
      <c r="T385" s="829"/>
      <c r="U385" s="829"/>
      <c r="V385" s="829"/>
      <c r="W385" s="829"/>
      <c r="X385" s="829"/>
      <c r="Y385" s="829"/>
      <c r="Z385" s="829"/>
    </row>
    <row r="386">
      <c r="A386" s="829"/>
      <c r="B386" s="829"/>
      <c r="C386" s="829"/>
      <c r="D386" s="829"/>
      <c r="E386" s="829"/>
      <c r="F386" s="829"/>
      <c r="G386" s="829"/>
      <c r="H386" s="829"/>
      <c r="I386" s="829"/>
      <c r="J386" s="829"/>
      <c r="K386" s="829"/>
      <c r="L386" s="829"/>
      <c r="M386" s="829"/>
      <c r="N386" s="829"/>
      <c r="O386" s="829"/>
      <c r="P386" s="829"/>
      <c r="Q386" s="829"/>
      <c r="R386" s="829"/>
      <c r="S386" s="829"/>
      <c r="T386" s="829"/>
      <c r="U386" s="829"/>
      <c r="V386" s="829"/>
      <c r="W386" s="829"/>
      <c r="X386" s="829"/>
      <c r="Y386" s="829"/>
      <c r="Z386" s="829"/>
    </row>
    <row r="387">
      <c r="A387" s="829"/>
      <c r="B387" s="829"/>
      <c r="C387" s="829"/>
      <c r="D387" s="829"/>
      <c r="E387" s="829"/>
      <c r="F387" s="829"/>
      <c r="G387" s="829"/>
      <c r="H387" s="829"/>
      <c r="I387" s="829"/>
      <c r="J387" s="829"/>
      <c r="K387" s="829"/>
      <c r="L387" s="829"/>
      <c r="M387" s="829"/>
      <c r="N387" s="829"/>
      <c r="O387" s="829"/>
      <c r="P387" s="829"/>
      <c r="Q387" s="829"/>
      <c r="R387" s="829"/>
      <c r="S387" s="829"/>
      <c r="T387" s="829"/>
      <c r="U387" s="829"/>
      <c r="V387" s="829"/>
      <c r="W387" s="829"/>
      <c r="X387" s="829"/>
      <c r="Y387" s="829"/>
      <c r="Z387" s="829"/>
    </row>
    <row r="388">
      <c r="A388" s="829"/>
      <c r="B388" s="829"/>
      <c r="C388" s="829"/>
      <c r="D388" s="829"/>
      <c r="E388" s="829"/>
      <c r="F388" s="829"/>
      <c r="G388" s="829"/>
      <c r="H388" s="829"/>
      <c r="I388" s="829"/>
      <c r="J388" s="829"/>
      <c r="K388" s="829"/>
      <c r="L388" s="829"/>
      <c r="M388" s="829"/>
      <c r="N388" s="829"/>
      <c r="O388" s="829"/>
      <c r="P388" s="829"/>
      <c r="Q388" s="829"/>
      <c r="R388" s="829"/>
      <c r="S388" s="829"/>
      <c r="T388" s="829"/>
      <c r="U388" s="829"/>
      <c r="V388" s="829"/>
      <c r="W388" s="829"/>
      <c r="X388" s="829"/>
      <c r="Y388" s="829"/>
      <c r="Z388" s="829"/>
    </row>
    <row r="389">
      <c r="A389" s="829"/>
      <c r="B389" s="829"/>
      <c r="C389" s="829"/>
      <c r="D389" s="829"/>
      <c r="E389" s="829"/>
      <c r="F389" s="829"/>
      <c r="G389" s="829"/>
      <c r="H389" s="829"/>
      <c r="I389" s="829"/>
      <c r="J389" s="829"/>
      <c r="K389" s="829"/>
      <c r="L389" s="829"/>
      <c r="M389" s="829"/>
      <c r="N389" s="829"/>
      <c r="O389" s="829"/>
      <c r="P389" s="829"/>
      <c r="Q389" s="829"/>
      <c r="R389" s="829"/>
      <c r="S389" s="829"/>
      <c r="T389" s="829"/>
      <c r="U389" s="829"/>
      <c r="V389" s="829"/>
      <c r="W389" s="829"/>
      <c r="X389" s="829"/>
      <c r="Y389" s="829"/>
      <c r="Z389" s="829"/>
    </row>
    <row r="390">
      <c r="A390" s="829"/>
      <c r="B390" s="829"/>
      <c r="C390" s="829"/>
      <c r="D390" s="829"/>
      <c r="E390" s="829"/>
      <c r="F390" s="829"/>
      <c r="G390" s="829"/>
      <c r="H390" s="829"/>
      <c r="I390" s="829"/>
      <c r="J390" s="829"/>
      <c r="K390" s="829"/>
      <c r="L390" s="829"/>
      <c r="M390" s="829"/>
      <c r="N390" s="829"/>
      <c r="O390" s="829"/>
      <c r="P390" s="829"/>
      <c r="Q390" s="829"/>
      <c r="R390" s="829"/>
      <c r="S390" s="829"/>
      <c r="T390" s="829"/>
      <c r="U390" s="829"/>
      <c r="V390" s="829"/>
      <c r="W390" s="829"/>
      <c r="X390" s="829"/>
      <c r="Y390" s="829"/>
      <c r="Z390" s="829"/>
    </row>
    <row r="391">
      <c r="A391" s="829"/>
      <c r="B391" s="829"/>
      <c r="C391" s="829"/>
      <c r="D391" s="829"/>
      <c r="E391" s="829"/>
      <c r="F391" s="829"/>
      <c r="G391" s="829"/>
      <c r="H391" s="829"/>
      <c r="I391" s="829"/>
      <c r="J391" s="829"/>
      <c r="K391" s="829"/>
      <c r="L391" s="829"/>
      <c r="M391" s="829"/>
      <c r="N391" s="829"/>
      <c r="O391" s="829"/>
      <c r="P391" s="829"/>
      <c r="Q391" s="829"/>
      <c r="R391" s="829"/>
      <c r="S391" s="829"/>
      <c r="T391" s="829"/>
      <c r="U391" s="829"/>
      <c r="V391" s="829"/>
      <c r="W391" s="829"/>
      <c r="X391" s="829"/>
      <c r="Y391" s="829"/>
      <c r="Z391" s="829"/>
    </row>
    <row r="392">
      <c r="A392" s="829"/>
      <c r="B392" s="829"/>
      <c r="C392" s="829"/>
      <c r="D392" s="829"/>
      <c r="E392" s="829"/>
      <c r="F392" s="829"/>
      <c r="G392" s="829"/>
      <c r="H392" s="829"/>
      <c r="I392" s="829"/>
      <c r="J392" s="829"/>
      <c r="K392" s="829"/>
      <c r="L392" s="829"/>
      <c r="M392" s="829"/>
      <c r="N392" s="829"/>
      <c r="O392" s="829"/>
      <c r="P392" s="829"/>
      <c r="Q392" s="829"/>
      <c r="R392" s="829"/>
      <c r="S392" s="829"/>
      <c r="T392" s="829"/>
      <c r="U392" s="829"/>
      <c r="V392" s="829"/>
      <c r="W392" s="829"/>
      <c r="X392" s="829"/>
      <c r="Y392" s="829"/>
      <c r="Z392" s="829"/>
    </row>
    <row r="393">
      <c r="A393" s="829"/>
      <c r="B393" s="829"/>
      <c r="C393" s="829"/>
      <c r="D393" s="829"/>
      <c r="E393" s="829"/>
      <c r="F393" s="829"/>
      <c r="G393" s="829"/>
      <c r="H393" s="829"/>
      <c r="I393" s="829"/>
      <c r="J393" s="829"/>
      <c r="K393" s="829"/>
      <c r="L393" s="829"/>
      <c r="M393" s="829"/>
      <c r="N393" s="829"/>
      <c r="O393" s="829"/>
      <c r="P393" s="829"/>
      <c r="Q393" s="829"/>
      <c r="R393" s="829"/>
      <c r="S393" s="829"/>
      <c r="T393" s="829"/>
      <c r="U393" s="829"/>
      <c r="V393" s="829"/>
      <c r="W393" s="829"/>
      <c r="X393" s="829"/>
      <c r="Y393" s="829"/>
      <c r="Z393" s="829"/>
    </row>
    <row r="394">
      <c r="A394" s="829"/>
      <c r="B394" s="829"/>
      <c r="C394" s="829"/>
      <c r="D394" s="829"/>
      <c r="E394" s="829"/>
      <c r="F394" s="829"/>
      <c r="G394" s="829"/>
      <c r="H394" s="829"/>
      <c r="I394" s="829"/>
      <c r="J394" s="829"/>
      <c r="K394" s="829"/>
      <c r="L394" s="829"/>
      <c r="M394" s="829"/>
      <c r="N394" s="829"/>
      <c r="O394" s="829"/>
      <c r="P394" s="829"/>
      <c r="Q394" s="829"/>
      <c r="R394" s="829"/>
      <c r="S394" s="829"/>
      <c r="T394" s="829"/>
      <c r="U394" s="829"/>
      <c r="V394" s="829"/>
      <c r="W394" s="829"/>
      <c r="X394" s="829"/>
      <c r="Y394" s="829"/>
      <c r="Z394" s="829"/>
    </row>
    <row r="395">
      <c r="A395" s="829"/>
      <c r="B395" s="829"/>
      <c r="C395" s="829"/>
      <c r="D395" s="829"/>
      <c r="E395" s="829"/>
      <c r="F395" s="829"/>
      <c r="G395" s="829"/>
      <c r="H395" s="829"/>
      <c r="I395" s="829"/>
      <c r="J395" s="829"/>
      <c r="K395" s="829"/>
      <c r="L395" s="829"/>
      <c r="M395" s="829"/>
      <c r="N395" s="829"/>
      <c r="O395" s="829"/>
      <c r="P395" s="829"/>
      <c r="Q395" s="829"/>
      <c r="R395" s="829"/>
      <c r="S395" s="829"/>
      <c r="T395" s="829"/>
      <c r="U395" s="829"/>
      <c r="V395" s="829"/>
      <c r="W395" s="829"/>
      <c r="X395" s="829"/>
      <c r="Y395" s="829"/>
      <c r="Z395" s="829"/>
    </row>
    <row r="396">
      <c r="A396" s="829"/>
      <c r="B396" s="829"/>
      <c r="C396" s="829"/>
      <c r="D396" s="829"/>
      <c r="E396" s="829"/>
      <c r="F396" s="829"/>
      <c r="G396" s="829"/>
      <c r="H396" s="829"/>
      <c r="I396" s="829"/>
      <c r="J396" s="829"/>
      <c r="K396" s="829"/>
      <c r="L396" s="829"/>
      <c r="M396" s="829"/>
      <c r="N396" s="829"/>
      <c r="O396" s="829"/>
      <c r="P396" s="829"/>
      <c r="Q396" s="829"/>
      <c r="R396" s="829"/>
      <c r="S396" s="829"/>
      <c r="T396" s="829"/>
      <c r="U396" s="829"/>
      <c r="V396" s="829"/>
      <c r="W396" s="829"/>
      <c r="X396" s="829"/>
      <c r="Y396" s="829"/>
      <c r="Z396" s="829"/>
    </row>
    <row r="397">
      <c r="A397" s="829"/>
      <c r="B397" s="829"/>
      <c r="C397" s="829"/>
      <c r="D397" s="829"/>
      <c r="E397" s="829"/>
      <c r="F397" s="829"/>
      <c r="G397" s="829"/>
      <c r="H397" s="829"/>
      <c r="I397" s="829"/>
      <c r="J397" s="829"/>
      <c r="K397" s="829"/>
      <c r="L397" s="829"/>
      <c r="M397" s="829"/>
      <c r="N397" s="829"/>
      <c r="O397" s="829"/>
      <c r="P397" s="829"/>
      <c r="Q397" s="829"/>
      <c r="R397" s="829"/>
      <c r="S397" s="829"/>
      <c r="T397" s="829"/>
      <c r="U397" s="829"/>
      <c r="V397" s="829"/>
      <c r="W397" s="829"/>
      <c r="X397" s="829"/>
      <c r="Y397" s="829"/>
      <c r="Z397" s="829"/>
    </row>
    <row r="398">
      <c r="A398" s="829"/>
      <c r="B398" s="829"/>
      <c r="C398" s="829"/>
      <c r="D398" s="829"/>
      <c r="E398" s="829"/>
      <c r="F398" s="829"/>
      <c r="G398" s="829"/>
      <c r="H398" s="829"/>
      <c r="I398" s="829"/>
      <c r="J398" s="829"/>
      <c r="K398" s="829"/>
      <c r="L398" s="829"/>
      <c r="M398" s="829"/>
      <c r="N398" s="829"/>
      <c r="O398" s="829"/>
      <c r="P398" s="829"/>
      <c r="Q398" s="829"/>
      <c r="R398" s="829"/>
      <c r="S398" s="829"/>
      <c r="T398" s="829"/>
      <c r="U398" s="829"/>
      <c r="V398" s="829"/>
      <c r="W398" s="829"/>
      <c r="X398" s="829"/>
      <c r="Y398" s="829"/>
      <c r="Z398" s="829"/>
    </row>
    <row r="399">
      <c r="A399" s="829"/>
      <c r="B399" s="829"/>
      <c r="C399" s="829"/>
      <c r="D399" s="829"/>
      <c r="E399" s="829"/>
      <c r="F399" s="829"/>
      <c r="G399" s="829"/>
      <c r="H399" s="829"/>
      <c r="I399" s="829"/>
      <c r="J399" s="829"/>
      <c r="K399" s="829"/>
      <c r="L399" s="829"/>
      <c r="M399" s="829"/>
      <c r="N399" s="829"/>
      <c r="O399" s="829"/>
      <c r="P399" s="829"/>
      <c r="Q399" s="829"/>
      <c r="R399" s="829"/>
      <c r="S399" s="829"/>
      <c r="T399" s="829"/>
      <c r="U399" s="829"/>
      <c r="V399" s="829"/>
      <c r="W399" s="829"/>
      <c r="X399" s="829"/>
      <c r="Y399" s="829"/>
      <c r="Z399" s="829"/>
    </row>
    <row r="400">
      <c r="A400" s="829"/>
      <c r="B400" s="829"/>
      <c r="C400" s="829"/>
      <c r="D400" s="829"/>
      <c r="E400" s="829"/>
      <c r="F400" s="829"/>
      <c r="G400" s="829"/>
      <c r="H400" s="829"/>
      <c r="I400" s="829"/>
      <c r="J400" s="829"/>
      <c r="K400" s="829"/>
      <c r="L400" s="829"/>
      <c r="M400" s="829"/>
      <c r="N400" s="829"/>
      <c r="O400" s="829"/>
      <c r="P400" s="829"/>
      <c r="Q400" s="829"/>
      <c r="R400" s="829"/>
      <c r="S400" s="829"/>
      <c r="T400" s="829"/>
      <c r="U400" s="829"/>
      <c r="V400" s="829"/>
      <c r="W400" s="829"/>
      <c r="X400" s="829"/>
      <c r="Y400" s="829"/>
      <c r="Z400" s="829"/>
    </row>
    <row r="401">
      <c r="A401" s="829"/>
      <c r="B401" s="829"/>
      <c r="C401" s="829"/>
      <c r="D401" s="829"/>
      <c r="E401" s="829"/>
      <c r="F401" s="829"/>
      <c r="G401" s="829"/>
      <c r="H401" s="829"/>
      <c r="I401" s="829"/>
      <c r="J401" s="829"/>
      <c r="K401" s="829"/>
      <c r="L401" s="829"/>
      <c r="M401" s="829"/>
      <c r="N401" s="829"/>
      <c r="O401" s="829"/>
      <c r="P401" s="829"/>
      <c r="Q401" s="829"/>
      <c r="R401" s="829"/>
      <c r="S401" s="829"/>
      <c r="T401" s="829"/>
      <c r="U401" s="829"/>
      <c r="V401" s="829"/>
      <c r="W401" s="829"/>
      <c r="X401" s="829"/>
      <c r="Y401" s="829"/>
      <c r="Z401" s="829"/>
    </row>
    <row r="402">
      <c r="A402" s="829"/>
      <c r="B402" s="829"/>
      <c r="C402" s="829"/>
      <c r="D402" s="829"/>
      <c r="E402" s="829"/>
      <c r="F402" s="829"/>
      <c r="G402" s="829"/>
      <c r="H402" s="829"/>
      <c r="I402" s="829"/>
      <c r="J402" s="829"/>
      <c r="K402" s="829"/>
      <c r="L402" s="829"/>
      <c r="M402" s="829"/>
      <c r="N402" s="829"/>
      <c r="O402" s="829"/>
      <c r="P402" s="829"/>
      <c r="Q402" s="829"/>
      <c r="R402" s="829"/>
      <c r="S402" s="829"/>
      <c r="T402" s="829"/>
      <c r="U402" s="829"/>
      <c r="V402" s="829"/>
      <c r="W402" s="829"/>
      <c r="X402" s="829"/>
      <c r="Y402" s="829"/>
      <c r="Z402" s="829"/>
    </row>
    <row r="403">
      <c r="A403" s="829"/>
      <c r="B403" s="829"/>
      <c r="C403" s="829"/>
      <c r="D403" s="829"/>
      <c r="E403" s="829"/>
      <c r="F403" s="829"/>
      <c r="G403" s="829"/>
      <c r="H403" s="829"/>
      <c r="I403" s="829"/>
      <c r="J403" s="829"/>
      <c r="K403" s="829"/>
      <c r="L403" s="829"/>
      <c r="M403" s="829"/>
      <c r="N403" s="829"/>
      <c r="O403" s="829"/>
      <c r="P403" s="829"/>
      <c r="Q403" s="829"/>
      <c r="R403" s="829"/>
      <c r="S403" s="829"/>
      <c r="T403" s="829"/>
      <c r="U403" s="829"/>
      <c r="V403" s="829"/>
      <c r="W403" s="829"/>
      <c r="X403" s="829"/>
      <c r="Y403" s="829"/>
      <c r="Z403" s="829"/>
    </row>
    <row r="404">
      <c r="A404" s="829"/>
      <c r="B404" s="829"/>
      <c r="C404" s="829"/>
      <c r="D404" s="829"/>
      <c r="E404" s="829"/>
      <c r="F404" s="829"/>
      <c r="G404" s="829"/>
      <c r="H404" s="829"/>
      <c r="I404" s="829"/>
      <c r="J404" s="829"/>
      <c r="K404" s="829"/>
      <c r="L404" s="829"/>
      <c r="M404" s="829"/>
      <c r="N404" s="829"/>
      <c r="O404" s="829"/>
      <c r="P404" s="829"/>
      <c r="Q404" s="829"/>
      <c r="R404" s="829"/>
      <c r="S404" s="829"/>
      <c r="T404" s="829"/>
      <c r="U404" s="829"/>
      <c r="V404" s="829"/>
      <c r="W404" s="829"/>
      <c r="X404" s="829"/>
      <c r="Y404" s="829"/>
      <c r="Z404" s="829"/>
    </row>
    <row r="405">
      <c r="A405" s="829"/>
      <c r="B405" s="829"/>
      <c r="C405" s="829"/>
      <c r="D405" s="829"/>
      <c r="E405" s="829"/>
      <c r="F405" s="829"/>
      <c r="G405" s="829"/>
      <c r="H405" s="829"/>
      <c r="I405" s="829"/>
      <c r="J405" s="829"/>
      <c r="K405" s="829"/>
      <c r="L405" s="829"/>
      <c r="M405" s="829"/>
      <c r="N405" s="829"/>
      <c r="O405" s="829"/>
      <c r="P405" s="829"/>
      <c r="Q405" s="829"/>
      <c r="R405" s="829"/>
      <c r="S405" s="829"/>
      <c r="T405" s="829"/>
      <c r="U405" s="829"/>
      <c r="V405" s="829"/>
      <c r="W405" s="829"/>
      <c r="X405" s="829"/>
      <c r="Y405" s="829"/>
      <c r="Z405" s="829"/>
    </row>
    <row r="406">
      <c r="A406" s="829"/>
      <c r="B406" s="829"/>
      <c r="C406" s="829"/>
      <c r="D406" s="829"/>
      <c r="E406" s="829"/>
      <c r="F406" s="829"/>
      <c r="G406" s="829"/>
      <c r="H406" s="829"/>
      <c r="I406" s="829"/>
      <c r="J406" s="829"/>
      <c r="K406" s="829"/>
      <c r="L406" s="829"/>
      <c r="M406" s="829"/>
      <c r="N406" s="829"/>
      <c r="O406" s="829"/>
      <c r="P406" s="829"/>
      <c r="Q406" s="829"/>
      <c r="R406" s="829"/>
      <c r="S406" s="829"/>
      <c r="T406" s="829"/>
      <c r="U406" s="829"/>
      <c r="V406" s="829"/>
      <c r="W406" s="829"/>
      <c r="X406" s="829"/>
      <c r="Y406" s="829"/>
      <c r="Z406" s="829"/>
    </row>
    <row r="407">
      <c r="A407" s="829"/>
      <c r="B407" s="829"/>
      <c r="C407" s="829"/>
      <c r="D407" s="829"/>
      <c r="E407" s="829"/>
      <c r="F407" s="829"/>
      <c r="G407" s="829"/>
      <c r="H407" s="829"/>
      <c r="I407" s="829"/>
      <c r="J407" s="829"/>
      <c r="K407" s="829"/>
      <c r="L407" s="829"/>
      <c r="M407" s="829"/>
      <c r="N407" s="829"/>
      <c r="O407" s="829"/>
      <c r="P407" s="829"/>
      <c r="Q407" s="829"/>
      <c r="R407" s="829"/>
      <c r="S407" s="829"/>
      <c r="T407" s="829"/>
      <c r="U407" s="829"/>
      <c r="V407" s="829"/>
      <c r="W407" s="829"/>
      <c r="X407" s="829"/>
      <c r="Y407" s="829"/>
      <c r="Z407" s="829"/>
    </row>
    <row r="408">
      <c r="A408" s="829"/>
      <c r="B408" s="829"/>
      <c r="C408" s="829"/>
      <c r="D408" s="829"/>
      <c r="E408" s="829"/>
      <c r="F408" s="829"/>
      <c r="G408" s="829"/>
      <c r="H408" s="829"/>
      <c r="I408" s="829"/>
      <c r="J408" s="829"/>
      <c r="K408" s="829"/>
      <c r="L408" s="829"/>
      <c r="M408" s="829"/>
      <c r="N408" s="829"/>
      <c r="O408" s="829"/>
      <c r="P408" s="829"/>
      <c r="Q408" s="829"/>
      <c r="R408" s="829"/>
      <c r="S408" s="829"/>
      <c r="T408" s="829"/>
      <c r="U408" s="829"/>
      <c r="V408" s="829"/>
      <c r="W408" s="829"/>
      <c r="X408" s="829"/>
      <c r="Y408" s="829"/>
      <c r="Z408" s="829"/>
    </row>
    <row r="409">
      <c r="A409" s="829"/>
      <c r="B409" s="829"/>
      <c r="C409" s="829"/>
      <c r="D409" s="829"/>
      <c r="E409" s="829"/>
      <c r="F409" s="829"/>
      <c r="G409" s="829"/>
      <c r="H409" s="829"/>
      <c r="I409" s="829"/>
      <c r="J409" s="829"/>
      <c r="K409" s="829"/>
      <c r="L409" s="829"/>
      <c r="M409" s="829"/>
      <c r="N409" s="829"/>
      <c r="O409" s="829"/>
      <c r="P409" s="829"/>
      <c r="Q409" s="829"/>
      <c r="R409" s="829"/>
      <c r="S409" s="829"/>
      <c r="T409" s="829"/>
      <c r="U409" s="829"/>
      <c r="V409" s="829"/>
      <c r="W409" s="829"/>
      <c r="X409" s="829"/>
      <c r="Y409" s="829"/>
      <c r="Z409" s="829"/>
    </row>
    <row r="410">
      <c r="A410" s="829"/>
      <c r="B410" s="829"/>
      <c r="C410" s="829"/>
      <c r="D410" s="829"/>
      <c r="E410" s="829"/>
      <c r="F410" s="829"/>
      <c r="G410" s="829"/>
      <c r="H410" s="829"/>
      <c r="I410" s="829"/>
      <c r="J410" s="829"/>
      <c r="K410" s="829"/>
      <c r="L410" s="829"/>
      <c r="M410" s="829"/>
      <c r="N410" s="829"/>
      <c r="O410" s="829"/>
      <c r="P410" s="829"/>
      <c r="Q410" s="829"/>
      <c r="R410" s="829"/>
      <c r="S410" s="829"/>
      <c r="T410" s="829"/>
      <c r="U410" s="829"/>
      <c r="V410" s="829"/>
      <c r="W410" s="829"/>
      <c r="X410" s="829"/>
      <c r="Y410" s="829"/>
      <c r="Z410" s="829"/>
    </row>
    <row r="411">
      <c r="A411" s="829"/>
      <c r="B411" s="829"/>
      <c r="C411" s="829"/>
      <c r="D411" s="829"/>
      <c r="E411" s="829"/>
      <c r="F411" s="829"/>
      <c r="G411" s="829"/>
      <c r="H411" s="829"/>
      <c r="I411" s="829"/>
      <c r="J411" s="829"/>
      <c r="K411" s="829"/>
      <c r="L411" s="829"/>
      <c r="M411" s="829"/>
      <c r="N411" s="829"/>
      <c r="O411" s="829"/>
      <c r="P411" s="829"/>
      <c r="Q411" s="829"/>
      <c r="R411" s="829"/>
      <c r="S411" s="829"/>
      <c r="T411" s="829"/>
      <c r="U411" s="829"/>
      <c r="V411" s="829"/>
      <c r="W411" s="829"/>
      <c r="X411" s="829"/>
      <c r="Y411" s="829"/>
      <c r="Z411" s="829"/>
    </row>
    <row r="412">
      <c r="A412" s="829"/>
      <c r="B412" s="829"/>
      <c r="C412" s="829"/>
      <c r="D412" s="829"/>
      <c r="E412" s="829"/>
      <c r="F412" s="829"/>
      <c r="G412" s="829"/>
      <c r="H412" s="829"/>
      <c r="I412" s="829"/>
      <c r="J412" s="829"/>
      <c r="K412" s="829"/>
      <c r="L412" s="829"/>
      <c r="M412" s="829"/>
      <c r="N412" s="829"/>
      <c r="O412" s="829"/>
      <c r="P412" s="829"/>
      <c r="Q412" s="829"/>
      <c r="R412" s="829"/>
      <c r="S412" s="829"/>
      <c r="T412" s="829"/>
      <c r="U412" s="829"/>
      <c r="V412" s="829"/>
      <c r="W412" s="829"/>
      <c r="X412" s="829"/>
      <c r="Y412" s="829"/>
      <c r="Z412" s="829"/>
    </row>
    <row r="413">
      <c r="A413" s="829"/>
      <c r="B413" s="829"/>
      <c r="C413" s="829"/>
      <c r="D413" s="829"/>
      <c r="E413" s="829"/>
      <c r="F413" s="829"/>
      <c r="G413" s="829"/>
      <c r="H413" s="829"/>
      <c r="I413" s="829"/>
      <c r="J413" s="829"/>
      <c r="K413" s="829"/>
      <c r="L413" s="829"/>
      <c r="M413" s="829"/>
      <c r="N413" s="829"/>
      <c r="O413" s="829"/>
      <c r="P413" s="829"/>
      <c r="Q413" s="829"/>
      <c r="R413" s="829"/>
      <c r="S413" s="829"/>
      <c r="T413" s="829"/>
      <c r="U413" s="829"/>
      <c r="V413" s="829"/>
      <c r="W413" s="829"/>
      <c r="X413" s="829"/>
      <c r="Y413" s="829"/>
      <c r="Z413" s="829"/>
    </row>
    <row r="414">
      <c r="A414" s="829"/>
      <c r="B414" s="829"/>
      <c r="C414" s="829"/>
      <c r="D414" s="829"/>
      <c r="E414" s="829"/>
      <c r="F414" s="829"/>
      <c r="G414" s="829"/>
      <c r="H414" s="829"/>
      <c r="I414" s="829"/>
      <c r="J414" s="829"/>
      <c r="K414" s="829"/>
      <c r="L414" s="829"/>
      <c r="M414" s="829"/>
      <c r="N414" s="829"/>
      <c r="O414" s="829"/>
      <c r="P414" s="829"/>
      <c r="Q414" s="829"/>
      <c r="R414" s="829"/>
      <c r="S414" s="829"/>
      <c r="T414" s="829"/>
      <c r="U414" s="829"/>
      <c r="V414" s="829"/>
      <c r="W414" s="829"/>
      <c r="X414" s="829"/>
      <c r="Y414" s="829"/>
      <c r="Z414" s="829"/>
    </row>
    <row r="415">
      <c r="A415" s="829"/>
      <c r="B415" s="829"/>
      <c r="C415" s="829"/>
      <c r="D415" s="829"/>
      <c r="E415" s="829"/>
      <c r="F415" s="829"/>
      <c r="G415" s="829"/>
      <c r="H415" s="829"/>
      <c r="I415" s="829"/>
      <c r="J415" s="829"/>
      <c r="K415" s="829"/>
      <c r="L415" s="829"/>
      <c r="M415" s="829"/>
      <c r="N415" s="829"/>
      <c r="O415" s="829"/>
      <c r="P415" s="829"/>
      <c r="Q415" s="829"/>
      <c r="R415" s="829"/>
      <c r="S415" s="829"/>
      <c r="T415" s="829"/>
      <c r="U415" s="829"/>
      <c r="V415" s="829"/>
      <c r="W415" s="829"/>
      <c r="X415" s="829"/>
      <c r="Y415" s="829"/>
      <c r="Z415" s="829"/>
    </row>
    <row r="416">
      <c r="A416" s="829"/>
      <c r="B416" s="829"/>
      <c r="C416" s="829"/>
      <c r="D416" s="829"/>
      <c r="E416" s="829"/>
      <c r="F416" s="829"/>
      <c r="G416" s="829"/>
      <c r="H416" s="829"/>
      <c r="I416" s="829"/>
      <c r="J416" s="829"/>
      <c r="K416" s="829"/>
      <c r="L416" s="829"/>
      <c r="M416" s="829"/>
      <c r="N416" s="829"/>
      <c r="O416" s="829"/>
      <c r="P416" s="829"/>
      <c r="Q416" s="829"/>
      <c r="R416" s="829"/>
      <c r="S416" s="829"/>
      <c r="T416" s="829"/>
      <c r="U416" s="829"/>
      <c r="V416" s="829"/>
      <c r="W416" s="829"/>
      <c r="X416" s="829"/>
      <c r="Y416" s="829"/>
      <c r="Z416" s="829"/>
    </row>
    <row r="417">
      <c r="A417" s="829"/>
      <c r="B417" s="829"/>
      <c r="C417" s="829"/>
      <c r="D417" s="829"/>
      <c r="E417" s="829"/>
      <c r="F417" s="829"/>
      <c r="G417" s="829"/>
      <c r="H417" s="829"/>
      <c r="I417" s="829"/>
      <c r="J417" s="829"/>
      <c r="K417" s="829"/>
      <c r="L417" s="829"/>
      <c r="M417" s="829"/>
      <c r="N417" s="829"/>
      <c r="O417" s="829"/>
      <c r="P417" s="829"/>
      <c r="Q417" s="829"/>
      <c r="R417" s="829"/>
      <c r="S417" s="829"/>
      <c r="T417" s="829"/>
      <c r="U417" s="829"/>
      <c r="V417" s="829"/>
      <c r="W417" s="829"/>
      <c r="X417" s="829"/>
      <c r="Y417" s="829"/>
      <c r="Z417" s="829"/>
    </row>
    <row r="418">
      <c r="A418" s="829"/>
      <c r="B418" s="829"/>
      <c r="C418" s="829"/>
      <c r="D418" s="829"/>
      <c r="E418" s="829"/>
      <c r="F418" s="829"/>
      <c r="G418" s="829"/>
      <c r="H418" s="829"/>
      <c r="I418" s="829"/>
      <c r="J418" s="829"/>
      <c r="K418" s="829"/>
      <c r="L418" s="829"/>
      <c r="M418" s="829"/>
      <c r="N418" s="829"/>
      <c r="O418" s="829"/>
      <c r="P418" s="829"/>
      <c r="Q418" s="829"/>
      <c r="R418" s="829"/>
      <c r="S418" s="829"/>
      <c r="T418" s="829"/>
      <c r="U418" s="829"/>
      <c r="V418" s="829"/>
      <c r="W418" s="829"/>
      <c r="X418" s="829"/>
      <c r="Y418" s="829"/>
      <c r="Z418" s="829"/>
    </row>
    <row r="419">
      <c r="A419" s="829"/>
      <c r="B419" s="829"/>
      <c r="C419" s="829"/>
      <c r="D419" s="829"/>
      <c r="E419" s="829"/>
      <c r="F419" s="829"/>
      <c r="G419" s="829"/>
      <c r="H419" s="829"/>
      <c r="I419" s="829"/>
      <c r="J419" s="829"/>
      <c r="K419" s="829"/>
      <c r="L419" s="829"/>
      <c r="M419" s="829"/>
      <c r="N419" s="829"/>
      <c r="O419" s="829"/>
      <c r="P419" s="829"/>
      <c r="Q419" s="829"/>
      <c r="R419" s="829"/>
      <c r="S419" s="829"/>
      <c r="T419" s="829"/>
      <c r="U419" s="829"/>
      <c r="V419" s="829"/>
      <c r="W419" s="829"/>
      <c r="X419" s="829"/>
      <c r="Y419" s="829"/>
      <c r="Z419" s="829"/>
    </row>
    <row r="420">
      <c r="A420" s="829"/>
      <c r="B420" s="829"/>
      <c r="C420" s="829"/>
      <c r="D420" s="829"/>
      <c r="E420" s="829"/>
      <c r="F420" s="829"/>
      <c r="G420" s="829"/>
      <c r="H420" s="829"/>
      <c r="I420" s="829"/>
      <c r="J420" s="829"/>
      <c r="K420" s="829"/>
      <c r="L420" s="829"/>
      <c r="M420" s="829"/>
      <c r="N420" s="829"/>
      <c r="O420" s="829"/>
      <c r="P420" s="829"/>
      <c r="Q420" s="829"/>
      <c r="R420" s="829"/>
      <c r="S420" s="829"/>
      <c r="T420" s="829"/>
      <c r="U420" s="829"/>
      <c r="V420" s="829"/>
      <c r="W420" s="829"/>
      <c r="X420" s="829"/>
      <c r="Y420" s="829"/>
      <c r="Z420" s="829"/>
    </row>
    <row r="421">
      <c r="A421" s="829"/>
      <c r="B421" s="829"/>
      <c r="C421" s="829"/>
      <c r="D421" s="829"/>
      <c r="E421" s="829"/>
      <c r="F421" s="829"/>
      <c r="G421" s="829"/>
      <c r="H421" s="829"/>
      <c r="I421" s="829"/>
      <c r="J421" s="829"/>
      <c r="K421" s="829"/>
      <c r="L421" s="829"/>
      <c r="M421" s="829"/>
      <c r="N421" s="829"/>
      <c r="O421" s="829"/>
      <c r="P421" s="829"/>
      <c r="Q421" s="829"/>
      <c r="R421" s="829"/>
      <c r="S421" s="829"/>
      <c r="T421" s="829"/>
      <c r="U421" s="829"/>
      <c r="V421" s="829"/>
      <c r="W421" s="829"/>
      <c r="X421" s="829"/>
      <c r="Y421" s="829"/>
      <c r="Z421" s="829"/>
    </row>
    <row r="422">
      <c r="A422" s="829"/>
      <c r="B422" s="829"/>
      <c r="C422" s="829"/>
      <c r="D422" s="829"/>
      <c r="E422" s="829"/>
      <c r="F422" s="829"/>
      <c r="G422" s="829"/>
      <c r="H422" s="829"/>
      <c r="I422" s="829"/>
      <c r="J422" s="829"/>
      <c r="K422" s="829"/>
      <c r="L422" s="829"/>
      <c r="M422" s="829"/>
      <c r="N422" s="829"/>
      <c r="O422" s="829"/>
      <c r="P422" s="829"/>
      <c r="Q422" s="829"/>
      <c r="R422" s="829"/>
      <c r="S422" s="829"/>
      <c r="T422" s="829"/>
      <c r="U422" s="829"/>
      <c r="V422" s="829"/>
      <c r="W422" s="829"/>
      <c r="X422" s="829"/>
      <c r="Y422" s="829"/>
      <c r="Z422" s="829"/>
    </row>
    <row r="423">
      <c r="A423" s="829"/>
      <c r="B423" s="829"/>
      <c r="C423" s="829"/>
      <c r="D423" s="829"/>
      <c r="E423" s="829"/>
      <c r="F423" s="829"/>
      <c r="G423" s="829"/>
      <c r="H423" s="829"/>
      <c r="I423" s="829"/>
      <c r="J423" s="829"/>
      <c r="K423" s="829"/>
      <c r="L423" s="829"/>
      <c r="M423" s="829"/>
      <c r="N423" s="829"/>
      <c r="O423" s="829"/>
      <c r="P423" s="829"/>
      <c r="Q423" s="829"/>
      <c r="R423" s="829"/>
      <c r="S423" s="829"/>
      <c r="T423" s="829"/>
      <c r="U423" s="829"/>
      <c r="V423" s="829"/>
      <c r="W423" s="829"/>
      <c r="X423" s="829"/>
      <c r="Y423" s="829"/>
      <c r="Z423" s="829"/>
    </row>
    <row r="424">
      <c r="A424" s="829"/>
      <c r="B424" s="829"/>
      <c r="C424" s="829"/>
      <c r="D424" s="829"/>
      <c r="E424" s="829"/>
      <c r="F424" s="829"/>
      <c r="G424" s="829"/>
      <c r="H424" s="829"/>
      <c r="I424" s="829"/>
      <c r="J424" s="829"/>
      <c r="K424" s="829"/>
      <c r="L424" s="829"/>
      <c r="M424" s="829"/>
      <c r="N424" s="829"/>
      <c r="O424" s="829"/>
      <c r="P424" s="829"/>
      <c r="Q424" s="829"/>
      <c r="R424" s="829"/>
      <c r="S424" s="829"/>
      <c r="T424" s="829"/>
      <c r="U424" s="829"/>
      <c r="V424" s="829"/>
      <c r="W424" s="829"/>
      <c r="X424" s="829"/>
      <c r="Y424" s="829"/>
      <c r="Z424" s="829"/>
    </row>
    <row r="425">
      <c r="A425" s="829"/>
      <c r="B425" s="829"/>
      <c r="C425" s="829"/>
      <c r="D425" s="829"/>
      <c r="E425" s="829"/>
      <c r="F425" s="829"/>
      <c r="G425" s="829"/>
      <c r="H425" s="829"/>
      <c r="I425" s="829"/>
      <c r="J425" s="829"/>
      <c r="K425" s="829"/>
      <c r="L425" s="829"/>
      <c r="M425" s="829"/>
      <c r="N425" s="829"/>
      <c r="O425" s="829"/>
      <c r="P425" s="829"/>
      <c r="Q425" s="829"/>
      <c r="R425" s="829"/>
      <c r="S425" s="829"/>
      <c r="T425" s="829"/>
      <c r="U425" s="829"/>
      <c r="V425" s="829"/>
      <c r="W425" s="829"/>
      <c r="X425" s="829"/>
      <c r="Y425" s="829"/>
      <c r="Z425" s="829"/>
    </row>
    <row r="426">
      <c r="A426" s="829"/>
      <c r="B426" s="829"/>
      <c r="C426" s="829"/>
      <c r="D426" s="829"/>
      <c r="E426" s="829"/>
      <c r="F426" s="829"/>
      <c r="G426" s="829"/>
      <c r="H426" s="829"/>
      <c r="I426" s="829"/>
      <c r="J426" s="829"/>
      <c r="K426" s="829"/>
      <c r="L426" s="829"/>
      <c r="M426" s="829"/>
      <c r="N426" s="829"/>
      <c r="O426" s="829"/>
      <c r="P426" s="829"/>
      <c r="Q426" s="829"/>
      <c r="R426" s="829"/>
      <c r="S426" s="829"/>
      <c r="T426" s="829"/>
      <c r="U426" s="829"/>
      <c r="V426" s="829"/>
      <c r="W426" s="829"/>
      <c r="X426" s="829"/>
      <c r="Y426" s="829"/>
      <c r="Z426" s="829"/>
    </row>
    <row r="427">
      <c r="A427" s="829"/>
      <c r="B427" s="829"/>
      <c r="C427" s="829"/>
      <c r="D427" s="829"/>
      <c r="E427" s="829"/>
      <c r="F427" s="829"/>
      <c r="G427" s="829"/>
      <c r="H427" s="829"/>
      <c r="I427" s="829"/>
      <c r="J427" s="829"/>
      <c r="K427" s="829"/>
      <c r="L427" s="829"/>
      <c r="M427" s="829"/>
      <c r="N427" s="829"/>
      <c r="O427" s="829"/>
      <c r="P427" s="829"/>
      <c r="Q427" s="829"/>
      <c r="R427" s="829"/>
      <c r="S427" s="829"/>
      <c r="T427" s="829"/>
      <c r="U427" s="829"/>
      <c r="V427" s="829"/>
      <c r="W427" s="829"/>
      <c r="X427" s="829"/>
      <c r="Y427" s="829"/>
      <c r="Z427" s="829"/>
    </row>
    <row r="428">
      <c r="A428" s="829"/>
      <c r="B428" s="829"/>
      <c r="C428" s="829"/>
      <c r="D428" s="829"/>
      <c r="E428" s="829"/>
      <c r="F428" s="829"/>
      <c r="G428" s="829"/>
      <c r="H428" s="829"/>
      <c r="I428" s="829"/>
      <c r="J428" s="829"/>
      <c r="K428" s="829"/>
      <c r="L428" s="829"/>
      <c r="M428" s="829"/>
      <c r="N428" s="829"/>
      <c r="O428" s="829"/>
      <c r="P428" s="829"/>
      <c r="Q428" s="829"/>
      <c r="R428" s="829"/>
      <c r="S428" s="829"/>
      <c r="T428" s="829"/>
      <c r="U428" s="829"/>
      <c r="V428" s="829"/>
      <c r="W428" s="829"/>
      <c r="X428" s="829"/>
      <c r="Y428" s="829"/>
      <c r="Z428" s="829"/>
    </row>
    <row r="429">
      <c r="A429" s="829"/>
      <c r="B429" s="829"/>
      <c r="C429" s="829"/>
      <c r="D429" s="829"/>
      <c r="E429" s="829"/>
      <c r="F429" s="829"/>
      <c r="G429" s="829"/>
      <c r="H429" s="829"/>
      <c r="I429" s="829"/>
      <c r="J429" s="829"/>
      <c r="K429" s="829"/>
      <c r="L429" s="829"/>
      <c r="M429" s="829"/>
      <c r="N429" s="829"/>
      <c r="O429" s="829"/>
      <c r="P429" s="829"/>
      <c r="Q429" s="829"/>
      <c r="R429" s="829"/>
      <c r="S429" s="829"/>
      <c r="T429" s="829"/>
      <c r="U429" s="829"/>
      <c r="V429" s="829"/>
      <c r="W429" s="829"/>
      <c r="X429" s="829"/>
      <c r="Y429" s="829"/>
      <c r="Z429" s="829"/>
    </row>
    <row r="430">
      <c r="A430" s="829"/>
      <c r="B430" s="829"/>
      <c r="C430" s="829"/>
      <c r="D430" s="829"/>
      <c r="E430" s="829"/>
      <c r="F430" s="829"/>
      <c r="G430" s="829"/>
      <c r="H430" s="829"/>
      <c r="I430" s="829"/>
      <c r="J430" s="829"/>
      <c r="K430" s="829"/>
      <c r="L430" s="829"/>
      <c r="M430" s="829"/>
      <c r="N430" s="829"/>
      <c r="O430" s="829"/>
      <c r="P430" s="829"/>
      <c r="Q430" s="829"/>
      <c r="R430" s="829"/>
      <c r="S430" s="829"/>
      <c r="T430" s="829"/>
      <c r="U430" s="829"/>
      <c r="V430" s="829"/>
      <c r="W430" s="829"/>
      <c r="X430" s="829"/>
      <c r="Y430" s="829"/>
      <c r="Z430" s="829"/>
    </row>
    <row r="431">
      <c r="A431" s="829"/>
      <c r="B431" s="829"/>
      <c r="C431" s="829"/>
      <c r="D431" s="829"/>
      <c r="E431" s="829"/>
      <c r="F431" s="829"/>
      <c r="G431" s="829"/>
      <c r="H431" s="829"/>
      <c r="I431" s="829"/>
      <c r="J431" s="829"/>
      <c r="K431" s="829"/>
      <c r="L431" s="829"/>
      <c r="M431" s="829"/>
      <c r="N431" s="829"/>
      <c r="O431" s="829"/>
      <c r="P431" s="829"/>
      <c r="Q431" s="829"/>
      <c r="R431" s="829"/>
      <c r="S431" s="829"/>
      <c r="T431" s="829"/>
      <c r="U431" s="829"/>
      <c r="V431" s="829"/>
      <c r="W431" s="829"/>
      <c r="X431" s="829"/>
      <c r="Y431" s="829"/>
      <c r="Z431" s="829"/>
    </row>
    <row r="432">
      <c r="A432" s="829"/>
      <c r="B432" s="829"/>
      <c r="C432" s="829"/>
      <c r="D432" s="829"/>
      <c r="E432" s="829"/>
      <c r="F432" s="829"/>
      <c r="G432" s="829"/>
      <c r="H432" s="829"/>
      <c r="I432" s="829"/>
      <c r="J432" s="829"/>
      <c r="K432" s="829"/>
      <c r="L432" s="829"/>
      <c r="M432" s="829"/>
      <c r="N432" s="829"/>
      <c r="O432" s="829"/>
      <c r="P432" s="829"/>
      <c r="Q432" s="829"/>
      <c r="R432" s="829"/>
      <c r="S432" s="829"/>
      <c r="T432" s="829"/>
      <c r="U432" s="829"/>
      <c r="V432" s="829"/>
      <c r="W432" s="829"/>
      <c r="X432" s="829"/>
      <c r="Y432" s="829"/>
      <c r="Z432" s="829"/>
    </row>
    <row r="433">
      <c r="A433" s="829"/>
      <c r="B433" s="829"/>
      <c r="C433" s="829"/>
      <c r="D433" s="829"/>
      <c r="E433" s="829"/>
      <c r="F433" s="829"/>
      <c r="G433" s="829"/>
      <c r="H433" s="829"/>
      <c r="I433" s="829"/>
      <c r="J433" s="829"/>
      <c r="K433" s="829"/>
      <c r="L433" s="829"/>
      <c r="M433" s="829"/>
      <c r="N433" s="829"/>
      <c r="O433" s="829"/>
      <c r="P433" s="829"/>
      <c r="Q433" s="829"/>
      <c r="R433" s="829"/>
      <c r="S433" s="829"/>
      <c r="T433" s="829"/>
      <c r="U433" s="829"/>
      <c r="V433" s="829"/>
      <c r="W433" s="829"/>
      <c r="X433" s="829"/>
      <c r="Y433" s="829"/>
      <c r="Z433" s="829"/>
    </row>
    <row r="434">
      <c r="A434" s="829"/>
      <c r="B434" s="829"/>
      <c r="C434" s="829"/>
      <c r="D434" s="829"/>
      <c r="E434" s="829"/>
      <c r="F434" s="829"/>
      <c r="G434" s="829"/>
      <c r="H434" s="829"/>
      <c r="I434" s="829"/>
      <c r="J434" s="829"/>
      <c r="K434" s="829"/>
      <c r="L434" s="829"/>
      <c r="M434" s="829"/>
      <c r="N434" s="829"/>
      <c r="O434" s="829"/>
      <c r="P434" s="829"/>
      <c r="Q434" s="829"/>
      <c r="R434" s="829"/>
      <c r="S434" s="829"/>
      <c r="T434" s="829"/>
      <c r="U434" s="829"/>
      <c r="V434" s="829"/>
      <c r="W434" s="829"/>
      <c r="X434" s="829"/>
      <c r="Y434" s="829"/>
      <c r="Z434" s="829"/>
    </row>
    <row r="435">
      <c r="A435" s="829"/>
      <c r="B435" s="829"/>
      <c r="C435" s="829"/>
      <c r="D435" s="829"/>
      <c r="E435" s="829"/>
      <c r="F435" s="829"/>
      <c r="G435" s="829"/>
      <c r="H435" s="829"/>
      <c r="I435" s="829"/>
      <c r="J435" s="829"/>
      <c r="K435" s="829"/>
      <c r="L435" s="829"/>
      <c r="M435" s="829"/>
      <c r="N435" s="829"/>
      <c r="O435" s="829"/>
      <c r="P435" s="829"/>
      <c r="Q435" s="829"/>
      <c r="R435" s="829"/>
      <c r="S435" s="829"/>
      <c r="T435" s="829"/>
      <c r="U435" s="829"/>
      <c r="V435" s="829"/>
      <c r="W435" s="829"/>
      <c r="X435" s="829"/>
      <c r="Y435" s="829"/>
      <c r="Z435" s="829"/>
    </row>
    <row r="436">
      <c r="A436" s="829"/>
      <c r="B436" s="829"/>
      <c r="C436" s="829"/>
      <c r="D436" s="829"/>
      <c r="E436" s="829"/>
      <c r="F436" s="829"/>
      <c r="G436" s="829"/>
      <c r="H436" s="829"/>
      <c r="I436" s="829"/>
      <c r="J436" s="829"/>
      <c r="K436" s="829"/>
      <c r="L436" s="829"/>
      <c r="M436" s="829"/>
      <c r="N436" s="829"/>
      <c r="O436" s="829"/>
      <c r="P436" s="829"/>
      <c r="Q436" s="829"/>
      <c r="R436" s="829"/>
      <c r="S436" s="829"/>
      <c r="T436" s="829"/>
      <c r="U436" s="829"/>
      <c r="V436" s="829"/>
      <c r="W436" s="829"/>
      <c r="X436" s="829"/>
      <c r="Y436" s="829"/>
      <c r="Z436" s="829"/>
    </row>
    <row r="437">
      <c r="A437" s="829"/>
      <c r="B437" s="829"/>
      <c r="C437" s="829"/>
      <c r="D437" s="829"/>
      <c r="E437" s="829"/>
      <c r="F437" s="829"/>
      <c r="G437" s="829"/>
      <c r="H437" s="829"/>
      <c r="I437" s="829"/>
      <c r="J437" s="829"/>
      <c r="K437" s="829"/>
      <c r="L437" s="829"/>
      <c r="M437" s="829"/>
      <c r="N437" s="829"/>
      <c r="O437" s="829"/>
      <c r="P437" s="829"/>
      <c r="Q437" s="829"/>
      <c r="R437" s="829"/>
      <c r="S437" s="829"/>
      <c r="T437" s="829"/>
      <c r="U437" s="829"/>
      <c r="V437" s="829"/>
      <c r="W437" s="829"/>
      <c r="X437" s="829"/>
      <c r="Y437" s="829"/>
      <c r="Z437" s="829"/>
    </row>
    <row r="438">
      <c r="A438" s="829"/>
      <c r="B438" s="829"/>
      <c r="C438" s="829"/>
      <c r="D438" s="829"/>
      <c r="E438" s="829"/>
      <c r="F438" s="829"/>
      <c r="G438" s="829"/>
      <c r="H438" s="829"/>
      <c r="I438" s="829"/>
      <c r="J438" s="829"/>
      <c r="K438" s="829"/>
      <c r="L438" s="829"/>
      <c r="M438" s="829"/>
      <c r="N438" s="829"/>
      <c r="O438" s="829"/>
      <c r="P438" s="829"/>
      <c r="Q438" s="829"/>
      <c r="R438" s="829"/>
      <c r="S438" s="829"/>
      <c r="T438" s="829"/>
      <c r="U438" s="829"/>
      <c r="V438" s="829"/>
      <c r="W438" s="829"/>
      <c r="X438" s="829"/>
      <c r="Y438" s="829"/>
      <c r="Z438" s="829"/>
    </row>
    <row r="439">
      <c r="A439" s="829"/>
      <c r="B439" s="829"/>
      <c r="C439" s="829"/>
      <c r="D439" s="829"/>
      <c r="E439" s="829"/>
      <c r="F439" s="829"/>
      <c r="G439" s="829"/>
      <c r="H439" s="829"/>
      <c r="I439" s="829"/>
      <c r="J439" s="829"/>
      <c r="K439" s="829"/>
      <c r="L439" s="829"/>
      <c r="M439" s="829"/>
      <c r="N439" s="829"/>
      <c r="O439" s="829"/>
      <c r="P439" s="829"/>
      <c r="Q439" s="829"/>
      <c r="R439" s="829"/>
      <c r="S439" s="829"/>
      <c r="T439" s="829"/>
      <c r="U439" s="829"/>
      <c r="V439" s="829"/>
      <c r="W439" s="829"/>
      <c r="X439" s="829"/>
      <c r="Y439" s="829"/>
      <c r="Z439" s="829"/>
    </row>
    <row r="440">
      <c r="A440" s="829"/>
      <c r="B440" s="829"/>
      <c r="C440" s="829"/>
      <c r="D440" s="829"/>
      <c r="E440" s="829"/>
      <c r="F440" s="829"/>
      <c r="G440" s="829"/>
      <c r="H440" s="829"/>
      <c r="I440" s="829"/>
      <c r="J440" s="829"/>
      <c r="K440" s="829"/>
      <c r="L440" s="829"/>
      <c r="M440" s="829"/>
      <c r="N440" s="829"/>
      <c r="O440" s="829"/>
      <c r="P440" s="829"/>
      <c r="Q440" s="829"/>
      <c r="R440" s="829"/>
      <c r="S440" s="829"/>
      <c r="T440" s="829"/>
      <c r="U440" s="829"/>
      <c r="V440" s="829"/>
      <c r="W440" s="829"/>
      <c r="X440" s="829"/>
      <c r="Y440" s="829"/>
      <c r="Z440" s="829"/>
    </row>
    <row r="441">
      <c r="A441" s="829"/>
      <c r="B441" s="829"/>
      <c r="C441" s="829"/>
      <c r="D441" s="829"/>
      <c r="E441" s="829"/>
      <c r="F441" s="829"/>
      <c r="G441" s="829"/>
      <c r="H441" s="829"/>
      <c r="I441" s="829"/>
      <c r="J441" s="829"/>
      <c r="K441" s="829"/>
      <c r="L441" s="829"/>
      <c r="M441" s="829"/>
      <c r="N441" s="829"/>
      <c r="O441" s="829"/>
      <c r="P441" s="829"/>
      <c r="Q441" s="829"/>
      <c r="R441" s="829"/>
      <c r="S441" s="829"/>
      <c r="T441" s="829"/>
      <c r="U441" s="829"/>
      <c r="V441" s="829"/>
      <c r="W441" s="829"/>
      <c r="X441" s="829"/>
      <c r="Y441" s="829"/>
      <c r="Z441" s="829"/>
    </row>
    <row r="442">
      <c r="A442" s="829"/>
      <c r="B442" s="829"/>
      <c r="C442" s="829"/>
      <c r="D442" s="829"/>
      <c r="E442" s="829"/>
      <c r="F442" s="829"/>
      <c r="G442" s="829"/>
      <c r="H442" s="829"/>
      <c r="I442" s="829"/>
      <c r="J442" s="829"/>
      <c r="K442" s="829"/>
      <c r="L442" s="829"/>
      <c r="M442" s="829"/>
      <c r="N442" s="829"/>
      <c r="O442" s="829"/>
      <c r="P442" s="829"/>
      <c r="Q442" s="829"/>
      <c r="R442" s="829"/>
      <c r="S442" s="829"/>
      <c r="T442" s="829"/>
      <c r="U442" s="829"/>
      <c r="V442" s="829"/>
      <c r="W442" s="829"/>
      <c r="X442" s="829"/>
      <c r="Y442" s="829"/>
      <c r="Z442" s="829"/>
    </row>
    <row r="443">
      <c r="A443" s="829"/>
      <c r="B443" s="829"/>
      <c r="C443" s="829"/>
      <c r="D443" s="829"/>
      <c r="E443" s="829"/>
      <c r="F443" s="829"/>
      <c r="G443" s="829"/>
      <c r="H443" s="829"/>
      <c r="I443" s="829"/>
      <c r="J443" s="829"/>
      <c r="K443" s="829"/>
      <c r="L443" s="829"/>
      <c r="M443" s="829"/>
      <c r="N443" s="829"/>
      <c r="O443" s="829"/>
      <c r="P443" s="829"/>
      <c r="Q443" s="829"/>
      <c r="R443" s="829"/>
      <c r="S443" s="829"/>
      <c r="T443" s="829"/>
      <c r="U443" s="829"/>
      <c r="V443" s="829"/>
      <c r="W443" s="829"/>
      <c r="X443" s="829"/>
      <c r="Y443" s="829"/>
      <c r="Z443" s="829"/>
    </row>
    <row r="444">
      <c r="A444" s="829"/>
      <c r="B444" s="829"/>
      <c r="C444" s="829"/>
      <c r="D444" s="829"/>
      <c r="E444" s="829"/>
      <c r="F444" s="829"/>
      <c r="G444" s="829"/>
      <c r="H444" s="829"/>
      <c r="I444" s="829"/>
      <c r="J444" s="829"/>
      <c r="K444" s="829"/>
      <c r="L444" s="829"/>
      <c r="M444" s="829"/>
      <c r="N444" s="829"/>
      <c r="O444" s="829"/>
      <c r="P444" s="829"/>
      <c r="Q444" s="829"/>
      <c r="R444" s="829"/>
      <c r="S444" s="829"/>
      <c r="T444" s="829"/>
      <c r="U444" s="829"/>
      <c r="V444" s="829"/>
      <c r="W444" s="829"/>
      <c r="X444" s="829"/>
      <c r="Y444" s="829"/>
      <c r="Z444" s="829"/>
    </row>
    <row r="445">
      <c r="A445" s="829"/>
      <c r="B445" s="829"/>
      <c r="C445" s="829"/>
      <c r="D445" s="829"/>
      <c r="E445" s="829"/>
      <c r="F445" s="829"/>
      <c r="G445" s="829"/>
      <c r="H445" s="829"/>
      <c r="I445" s="829"/>
      <c r="J445" s="829"/>
      <c r="K445" s="829"/>
      <c r="L445" s="829"/>
      <c r="M445" s="829"/>
      <c r="N445" s="829"/>
      <c r="O445" s="829"/>
      <c r="P445" s="829"/>
      <c r="Q445" s="829"/>
      <c r="R445" s="829"/>
      <c r="S445" s="829"/>
      <c r="T445" s="829"/>
      <c r="U445" s="829"/>
      <c r="V445" s="829"/>
      <c r="W445" s="829"/>
      <c r="X445" s="829"/>
      <c r="Y445" s="829"/>
      <c r="Z445" s="829"/>
    </row>
    <row r="446">
      <c r="A446" s="829"/>
      <c r="B446" s="829"/>
      <c r="C446" s="829"/>
      <c r="D446" s="829"/>
      <c r="E446" s="829"/>
      <c r="F446" s="829"/>
      <c r="G446" s="829"/>
      <c r="H446" s="829"/>
      <c r="I446" s="829"/>
      <c r="J446" s="829"/>
      <c r="K446" s="829"/>
      <c r="L446" s="829"/>
      <c r="M446" s="829"/>
      <c r="N446" s="829"/>
      <c r="O446" s="829"/>
      <c r="P446" s="829"/>
      <c r="Q446" s="829"/>
      <c r="R446" s="829"/>
      <c r="S446" s="829"/>
      <c r="T446" s="829"/>
      <c r="U446" s="829"/>
      <c r="V446" s="829"/>
      <c r="W446" s="829"/>
      <c r="X446" s="829"/>
      <c r="Y446" s="829"/>
      <c r="Z446" s="829"/>
    </row>
    <row r="447">
      <c r="A447" s="829"/>
      <c r="B447" s="829"/>
      <c r="C447" s="829"/>
      <c r="D447" s="829"/>
      <c r="E447" s="829"/>
      <c r="F447" s="829"/>
      <c r="G447" s="829"/>
      <c r="H447" s="829"/>
      <c r="I447" s="829"/>
      <c r="J447" s="829"/>
      <c r="K447" s="829"/>
      <c r="L447" s="829"/>
      <c r="M447" s="829"/>
      <c r="N447" s="829"/>
      <c r="O447" s="829"/>
      <c r="P447" s="829"/>
      <c r="Q447" s="829"/>
      <c r="R447" s="829"/>
      <c r="S447" s="829"/>
      <c r="T447" s="829"/>
      <c r="U447" s="829"/>
      <c r="V447" s="829"/>
      <c r="W447" s="829"/>
      <c r="X447" s="829"/>
      <c r="Y447" s="829"/>
      <c r="Z447" s="829"/>
    </row>
    <row r="448">
      <c r="A448" s="829"/>
      <c r="B448" s="829"/>
      <c r="C448" s="829"/>
      <c r="D448" s="829"/>
      <c r="E448" s="829"/>
      <c r="F448" s="829"/>
      <c r="G448" s="829"/>
      <c r="H448" s="829"/>
      <c r="I448" s="829"/>
      <c r="J448" s="829"/>
      <c r="K448" s="829"/>
      <c r="L448" s="829"/>
      <c r="M448" s="829"/>
      <c r="N448" s="829"/>
      <c r="O448" s="829"/>
      <c r="P448" s="829"/>
      <c r="Q448" s="829"/>
      <c r="R448" s="829"/>
      <c r="S448" s="829"/>
      <c r="T448" s="829"/>
      <c r="U448" s="829"/>
      <c r="V448" s="829"/>
      <c r="W448" s="829"/>
      <c r="X448" s="829"/>
      <c r="Y448" s="829"/>
      <c r="Z448" s="829"/>
    </row>
    <row r="449">
      <c r="A449" s="829"/>
      <c r="B449" s="829"/>
      <c r="C449" s="829"/>
      <c r="D449" s="829"/>
      <c r="E449" s="829"/>
      <c r="F449" s="829"/>
      <c r="G449" s="829"/>
      <c r="H449" s="829"/>
      <c r="I449" s="829"/>
      <c r="J449" s="829"/>
      <c r="K449" s="829"/>
      <c r="L449" s="829"/>
      <c r="M449" s="829"/>
      <c r="N449" s="829"/>
      <c r="O449" s="829"/>
      <c r="P449" s="829"/>
      <c r="Q449" s="829"/>
      <c r="R449" s="829"/>
      <c r="S449" s="829"/>
      <c r="T449" s="829"/>
      <c r="U449" s="829"/>
      <c r="V449" s="829"/>
      <c r="W449" s="829"/>
      <c r="X449" s="829"/>
      <c r="Y449" s="829"/>
      <c r="Z449" s="829"/>
    </row>
    <row r="450">
      <c r="A450" s="829"/>
      <c r="B450" s="829"/>
      <c r="C450" s="829"/>
      <c r="D450" s="829"/>
      <c r="E450" s="829"/>
      <c r="F450" s="829"/>
      <c r="G450" s="829"/>
      <c r="H450" s="829"/>
      <c r="I450" s="829"/>
      <c r="J450" s="829"/>
      <c r="K450" s="829"/>
      <c r="L450" s="829"/>
      <c r="M450" s="829"/>
      <c r="N450" s="829"/>
      <c r="O450" s="829"/>
      <c r="P450" s="829"/>
      <c r="Q450" s="829"/>
      <c r="R450" s="829"/>
      <c r="S450" s="829"/>
      <c r="T450" s="829"/>
      <c r="U450" s="829"/>
      <c r="V450" s="829"/>
      <c r="W450" s="829"/>
      <c r="X450" s="829"/>
      <c r="Y450" s="829"/>
      <c r="Z450" s="829"/>
    </row>
    <row r="451">
      <c r="A451" s="829"/>
      <c r="B451" s="829"/>
      <c r="C451" s="829"/>
      <c r="D451" s="829"/>
      <c r="E451" s="829"/>
      <c r="F451" s="829"/>
      <c r="G451" s="829"/>
      <c r="H451" s="829"/>
      <c r="I451" s="829"/>
      <c r="J451" s="829"/>
      <c r="K451" s="829"/>
      <c r="L451" s="829"/>
      <c r="M451" s="829"/>
      <c r="N451" s="829"/>
      <c r="O451" s="829"/>
      <c r="P451" s="829"/>
      <c r="Q451" s="829"/>
      <c r="R451" s="829"/>
      <c r="S451" s="829"/>
      <c r="T451" s="829"/>
      <c r="U451" s="829"/>
      <c r="V451" s="829"/>
      <c r="W451" s="829"/>
      <c r="X451" s="829"/>
      <c r="Y451" s="829"/>
      <c r="Z451" s="829"/>
    </row>
    <row r="452">
      <c r="A452" s="829"/>
      <c r="B452" s="829"/>
      <c r="C452" s="829"/>
      <c r="D452" s="829"/>
      <c r="E452" s="829"/>
      <c r="F452" s="829"/>
      <c r="G452" s="829"/>
      <c r="H452" s="829"/>
      <c r="I452" s="829"/>
      <c r="J452" s="829"/>
      <c r="K452" s="829"/>
      <c r="L452" s="829"/>
      <c r="M452" s="829"/>
      <c r="N452" s="829"/>
      <c r="O452" s="829"/>
      <c r="P452" s="829"/>
      <c r="Q452" s="829"/>
      <c r="R452" s="829"/>
      <c r="S452" s="829"/>
      <c r="T452" s="829"/>
      <c r="U452" s="829"/>
      <c r="V452" s="829"/>
      <c r="W452" s="829"/>
      <c r="X452" s="829"/>
      <c r="Y452" s="829"/>
      <c r="Z452" s="829"/>
    </row>
    <row r="453">
      <c r="A453" s="829"/>
      <c r="B453" s="829"/>
      <c r="C453" s="829"/>
      <c r="D453" s="829"/>
      <c r="E453" s="829"/>
      <c r="F453" s="829"/>
      <c r="G453" s="829"/>
      <c r="H453" s="829"/>
      <c r="I453" s="829"/>
      <c r="J453" s="829"/>
      <c r="K453" s="829"/>
      <c r="L453" s="829"/>
      <c r="M453" s="829"/>
      <c r="N453" s="829"/>
      <c r="O453" s="829"/>
      <c r="P453" s="829"/>
      <c r="Q453" s="829"/>
      <c r="R453" s="829"/>
      <c r="S453" s="829"/>
      <c r="T453" s="829"/>
      <c r="U453" s="829"/>
      <c r="V453" s="829"/>
      <c r="W453" s="829"/>
      <c r="X453" s="829"/>
      <c r="Y453" s="829"/>
      <c r="Z453" s="829"/>
    </row>
    <row r="454">
      <c r="A454" s="829"/>
      <c r="B454" s="829"/>
      <c r="C454" s="829"/>
      <c r="D454" s="829"/>
      <c r="E454" s="829"/>
      <c r="F454" s="829"/>
      <c r="G454" s="829"/>
      <c r="H454" s="829"/>
      <c r="I454" s="829"/>
      <c r="J454" s="829"/>
      <c r="K454" s="829"/>
      <c r="L454" s="829"/>
      <c r="M454" s="829"/>
      <c r="N454" s="829"/>
      <c r="O454" s="829"/>
      <c r="P454" s="829"/>
      <c r="Q454" s="829"/>
      <c r="R454" s="829"/>
      <c r="S454" s="829"/>
      <c r="T454" s="829"/>
      <c r="U454" s="829"/>
      <c r="V454" s="829"/>
      <c r="W454" s="829"/>
      <c r="X454" s="829"/>
      <c r="Y454" s="829"/>
      <c r="Z454" s="829"/>
    </row>
    <row r="455">
      <c r="A455" s="829"/>
      <c r="B455" s="829"/>
      <c r="C455" s="829"/>
      <c r="D455" s="829"/>
      <c r="E455" s="829"/>
      <c r="F455" s="829"/>
      <c r="G455" s="829"/>
      <c r="H455" s="829"/>
      <c r="I455" s="829"/>
      <c r="J455" s="829"/>
      <c r="K455" s="829"/>
      <c r="L455" s="829"/>
      <c r="M455" s="829"/>
      <c r="N455" s="829"/>
      <c r="O455" s="829"/>
      <c r="P455" s="829"/>
      <c r="Q455" s="829"/>
      <c r="R455" s="829"/>
      <c r="S455" s="829"/>
      <c r="T455" s="829"/>
      <c r="U455" s="829"/>
      <c r="V455" s="829"/>
      <c r="W455" s="829"/>
      <c r="X455" s="829"/>
      <c r="Y455" s="829"/>
      <c r="Z455" s="829"/>
    </row>
    <row r="456">
      <c r="A456" s="829"/>
      <c r="B456" s="829"/>
      <c r="C456" s="829"/>
      <c r="D456" s="829"/>
      <c r="E456" s="829"/>
      <c r="F456" s="829"/>
      <c r="G456" s="829"/>
      <c r="H456" s="829"/>
      <c r="I456" s="829"/>
      <c r="J456" s="829"/>
      <c r="K456" s="829"/>
      <c r="L456" s="829"/>
      <c r="M456" s="829"/>
      <c r="N456" s="829"/>
      <c r="O456" s="829"/>
      <c r="P456" s="829"/>
      <c r="Q456" s="829"/>
      <c r="R456" s="829"/>
      <c r="S456" s="829"/>
      <c r="T456" s="829"/>
      <c r="U456" s="829"/>
      <c r="V456" s="829"/>
      <c r="W456" s="829"/>
      <c r="X456" s="829"/>
      <c r="Y456" s="829"/>
      <c r="Z456" s="829"/>
    </row>
    <row r="457">
      <c r="A457" s="829"/>
      <c r="B457" s="829"/>
      <c r="C457" s="829"/>
      <c r="D457" s="829"/>
      <c r="E457" s="829"/>
      <c r="F457" s="829"/>
      <c r="G457" s="829"/>
      <c r="H457" s="829"/>
      <c r="I457" s="829"/>
      <c r="J457" s="829"/>
      <c r="K457" s="829"/>
      <c r="L457" s="829"/>
      <c r="M457" s="829"/>
      <c r="N457" s="829"/>
      <c r="O457" s="829"/>
      <c r="P457" s="829"/>
      <c r="Q457" s="829"/>
      <c r="R457" s="829"/>
      <c r="S457" s="829"/>
      <c r="T457" s="829"/>
      <c r="U457" s="829"/>
      <c r="V457" s="829"/>
      <c r="W457" s="829"/>
      <c r="X457" s="829"/>
      <c r="Y457" s="829"/>
      <c r="Z457" s="829"/>
    </row>
    <row r="458">
      <c r="A458" s="829"/>
      <c r="B458" s="829"/>
      <c r="C458" s="829"/>
      <c r="D458" s="829"/>
      <c r="E458" s="829"/>
      <c r="F458" s="829"/>
      <c r="G458" s="829"/>
      <c r="H458" s="829"/>
      <c r="I458" s="829"/>
      <c r="J458" s="829"/>
      <c r="K458" s="829"/>
      <c r="L458" s="829"/>
      <c r="M458" s="829"/>
      <c r="N458" s="829"/>
      <c r="O458" s="829"/>
      <c r="P458" s="829"/>
      <c r="Q458" s="829"/>
      <c r="R458" s="829"/>
      <c r="S458" s="829"/>
      <c r="T458" s="829"/>
      <c r="U458" s="829"/>
      <c r="V458" s="829"/>
      <c r="W458" s="829"/>
      <c r="X458" s="829"/>
      <c r="Y458" s="829"/>
      <c r="Z458" s="829"/>
    </row>
    <row r="459">
      <c r="A459" s="829"/>
      <c r="B459" s="829"/>
      <c r="C459" s="829"/>
      <c r="D459" s="829"/>
      <c r="E459" s="829"/>
      <c r="F459" s="829"/>
      <c r="G459" s="829"/>
      <c r="H459" s="829"/>
      <c r="I459" s="829"/>
      <c r="J459" s="829"/>
      <c r="K459" s="829"/>
      <c r="L459" s="829"/>
      <c r="M459" s="829"/>
      <c r="N459" s="829"/>
      <c r="O459" s="829"/>
      <c r="P459" s="829"/>
      <c r="Q459" s="829"/>
      <c r="R459" s="829"/>
      <c r="S459" s="829"/>
      <c r="T459" s="829"/>
      <c r="U459" s="829"/>
      <c r="V459" s="829"/>
      <c r="W459" s="829"/>
      <c r="X459" s="829"/>
      <c r="Y459" s="829"/>
      <c r="Z459" s="829"/>
    </row>
    <row r="460">
      <c r="A460" s="829"/>
      <c r="B460" s="829"/>
      <c r="C460" s="829"/>
      <c r="D460" s="829"/>
      <c r="E460" s="829"/>
      <c r="F460" s="829"/>
      <c r="G460" s="829"/>
      <c r="H460" s="829"/>
      <c r="I460" s="829"/>
      <c r="J460" s="829"/>
      <c r="K460" s="829"/>
      <c r="L460" s="829"/>
      <c r="M460" s="829"/>
      <c r="N460" s="829"/>
      <c r="O460" s="829"/>
      <c r="P460" s="829"/>
      <c r="Q460" s="829"/>
      <c r="R460" s="829"/>
      <c r="S460" s="829"/>
      <c r="T460" s="829"/>
      <c r="U460" s="829"/>
      <c r="V460" s="829"/>
      <c r="W460" s="829"/>
      <c r="X460" s="829"/>
      <c r="Y460" s="829"/>
      <c r="Z460" s="829"/>
    </row>
    <row r="461">
      <c r="A461" s="829"/>
      <c r="B461" s="829"/>
      <c r="C461" s="829"/>
      <c r="D461" s="829"/>
      <c r="E461" s="829"/>
      <c r="F461" s="829"/>
      <c r="G461" s="829"/>
      <c r="H461" s="829"/>
      <c r="I461" s="829"/>
      <c r="J461" s="829"/>
      <c r="K461" s="829"/>
      <c r="L461" s="829"/>
      <c r="M461" s="829"/>
      <c r="N461" s="829"/>
      <c r="O461" s="829"/>
      <c r="P461" s="829"/>
      <c r="Q461" s="829"/>
      <c r="R461" s="829"/>
      <c r="S461" s="829"/>
      <c r="T461" s="829"/>
      <c r="U461" s="829"/>
      <c r="V461" s="829"/>
      <c r="W461" s="829"/>
      <c r="X461" s="829"/>
      <c r="Y461" s="829"/>
      <c r="Z461" s="829"/>
    </row>
    <row r="462">
      <c r="A462" s="829"/>
      <c r="B462" s="829"/>
      <c r="C462" s="829"/>
      <c r="D462" s="829"/>
      <c r="E462" s="829"/>
      <c r="F462" s="829"/>
      <c r="G462" s="829"/>
      <c r="H462" s="829"/>
      <c r="I462" s="829"/>
      <c r="J462" s="829"/>
      <c r="K462" s="829"/>
      <c r="L462" s="829"/>
      <c r="M462" s="829"/>
      <c r="N462" s="829"/>
      <c r="O462" s="829"/>
      <c r="P462" s="829"/>
      <c r="Q462" s="829"/>
      <c r="R462" s="829"/>
      <c r="S462" s="829"/>
      <c r="T462" s="829"/>
      <c r="U462" s="829"/>
      <c r="V462" s="829"/>
      <c r="W462" s="829"/>
      <c r="X462" s="829"/>
      <c r="Y462" s="829"/>
      <c r="Z462" s="829"/>
    </row>
    <row r="463">
      <c r="A463" s="829"/>
      <c r="B463" s="829"/>
      <c r="C463" s="829"/>
      <c r="D463" s="829"/>
      <c r="E463" s="829"/>
      <c r="F463" s="829"/>
      <c r="G463" s="829"/>
      <c r="H463" s="829"/>
      <c r="I463" s="829"/>
      <c r="J463" s="829"/>
      <c r="K463" s="829"/>
      <c r="L463" s="829"/>
      <c r="M463" s="829"/>
      <c r="N463" s="829"/>
      <c r="O463" s="829"/>
      <c r="P463" s="829"/>
      <c r="Q463" s="829"/>
      <c r="R463" s="829"/>
      <c r="S463" s="829"/>
      <c r="T463" s="829"/>
      <c r="U463" s="829"/>
      <c r="V463" s="829"/>
      <c r="W463" s="829"/>
      <c r="X463" s="829"/>
      <c r="Y463" s="829"/>
      <c r="Z463" s="829"/>
    </row>
    <row r="464">
      <c r="A464" s="829"/>
      <c r="B464" s="829"/>
      <c r="C464" s="829"/>
      <c r="D464" s="829"/>
      <c r="E464" s="829"/>
      <c r="F464" s="829"/>
      <c r="G464" s="829"/>
      <c r="H464" s="829"/>
      <c r="I464" s="829"/>
      <c r="J464" s="829"/>
      <c r="K464" s="829"/>
      <c r="L464" s="829"/>
      <c r="M464" s="829"/>
      <c r="N464" s="829"/>
      <c r="O464" s="829"/>
      <c r="P464" s="829"/>
      <c r="Q464" s="829"/>
      <c r="R464" s="829"/>
      <c r="S464" s="829"/>
      <c r="T464" s="829"/>
      <c r="U464" s="829"/>
      <c r="V464" s="829"/>
      <c r="W464" s="829"/>
      <c r="X464" s="829"/>
      <c r="Y464" s="829"/>
      <c r="Z464" s="829"/>
    </row>
    <row r="465">
      <c r="A465" s="829"/>
      <c r="B465" s="829"/>
      <c r="C465" s="829"/>
      <c r="D465" s="829"/>
      <c r="E465" s="829"/>
      <c r="F465" s="829"/>
      <c r="G465" s="829"/>
      <c r="H465" s="829"/>
      <c r="I465" s="829"/>
      <c r="J465" s="829"/>
      <c r="K465" s="829"/>
      <c r="L465" s="829"/>
      <c r="M465" s="829"/>
      <c r="N465" s="829"/>
      <c r="O465" s="829"/>
      <c r="P465" s="829"/>
      <c r="Q465" s="829"/>
      <c r="R465" s="829"/>
      <c r="S465" s="829"/>
      <c r="T465" s="829"/>
      <c r="U465" s="829"/>
      <c r="V465" s="829"/>
      <c r="W465" s="829"/>
      <c r="X465" s="829"/>
      <c r="Y465" s="829"/>
      <c r="Z465" s="829"/>
    </row>
    <row r="466">
      <c r="A466" s="829"/>
      <c r="B466" s="829"/>
      <c r="C466" s="829"/>
      <c r="D466" s="829"/>
      <c r="E466" s="829"/>
      <c r="F466" s="829"/>
      <c r="G466" s="829"/>
      <c r="H466" s="829"/>
      <c r="I466" s="829"/>
      <c r="J466" s="829"/>
      <c r="K466" s="829"/>
      <c r="L466" s="829"/>
      <c r="M466" s="829"/>
      <c r="N466" s="829"/>
      <c r="O466" s="829"/>
      <c r="P466" s="829"/>
      <c r="Q466" s="829"/>
      <c r="R466" s="829"/>
      <c r="S466" s="829"/>
      <c r="T466" s="829"/>
      <c r="U466" s="829"/>
      <c r="V466" s="829"/>
      <c r="W466" s="829"/>
      <c r="X466" s="829"/>
      <c r="Y466" s="829"/>
      <c r="Z466" s="829"/>
    </row>
    <row r="467">
      <c r="A467" s="829"/>
      <c r="B467" s="829"/>
      <c r="C467" s="829"/>
      <c r="D467" s="829"/>
      <c r="E467" s="829"/>
      <c r="F467" s="829"/>
      <c r="G467" s="829"/>
      <c r="H467" s="829"/>
      <c r="I467" s="829"/>
      <c r="J467" s="829"/>
      <c r="K467" s="829"/>
      <c r="L467" s="829"/>
      <c r="M467" s="829"/>
      <c r="N467" s="829"/>
      <c r="O467" s="829"/>
      <c r="P467" s="829"/>
      <c r="Q467" s="829"/>
      <c r="R467" s="829"/>
      <c r="S467" s="829"/>
      <c r="T467" s="829"/>
      <c r="U467" s="829"/>
      <c r="V467" s="829"/>
      <c r="W467" s="829"/>
      <c r="X467" s="829"/>
      <c r="Y467" s="829"/>
      <c r="Z467" s="829"/>
    </row>
    <row r="468">
      <c r="A468" s="829"/>
      <c r="B468" s="829"/>
      <c r="C468" s="829"/>
      <c r="D468" s="829"/>
      <c r="E468" s="829"/>
      <c r="F468" s="829"/>
      <c r="G468" s="829"/>
      <c r="H468" s="829"/>
      <c r="I468" s="829"/>
      <c r="J468" s="829"/>
      <c r="K468" s="829"/>
      <c r="L468" s="829"/>
      <c r="M468" s="829"/>
      <c r="N468" s="829"/>
      <c r="O468" s="829"/>
      <c r="P468" s="829"/>
      <c r="Q468" s="829"/>
      <c r="R468" s="829"/>
      <c r="S468" s="829"/>
      <c r="T468" s="829"/>
      <c r="U468" s="829"/>
      <c r="V468" s="829"/>
      <c r="W468" s="829"/>
      <c r="X468" s="829"/>
      <c r="Y468" s="829"/>
      <c r="Z468" s="829"/>
    </row>
    <row r="469">
      <c r="A469" s="829"/>
      <c r="B469" s="829"/>
      <c r="C469" s="829"/>
      <c r="D469" s="829"/>
      <c r="E469" s="829"/>
      <c r="F469" s="829"/>
      <c r="G469" s="829"/>
      <c r="H469" s="829"/>
      <c r="I469" s="829"/>
      <c r="J469" s="829"/>
      <c r="K469" s="829"/>
      <c r="L469" s="829"/>
      <c r="M469" s="829"/>
      <c r="N469" s="829"/>
      <c r="O469" s="829"/>
      <c r="P469" s="829"/>
      <c r="Q469" s="829"/>
      <c r="R469" s="829"/>
      <c r="S469" s="829"/>
      <c r="T469" s="829"/>
      <c r="U469" s="829"/>
      <c r="V469" s="829"/>
      <c r="W469" s="829"/>
      <c r="X469" s="829"/>
      <c r="Y469" s="829"/>
      <c r="Z469" s="829"/>
    </row>
    <row r="470">
      <c r="A470" s="829"/>
      <c r="B470" s="829"/>
      <c r="C470" s="829"/>
      <c r="D470" s="829"/>
      <c r="E470" s="829"/>
      <c r="F470" s="829"/>
      <c r="G470" s="829"/>
      <c r="H470" s="829"/>
      <c r="I470" s="829"/>
      <c r="J470" s="829"/>
      <c r="K470" s="829"/>
      <c r="L470" s="829"/>
      <c r="M470" s="829"/>
      <c r="N470" s="829"/>
      <c r="O470" s="829"/>
      <c r="P470" s="829"/>
      <c r="Q470" s="829"/>
      <c r="R470" s="829"/>
      <c r="S470" s="829"/>
      <c r="T470" s="829"/>
      <c r="U470" s="829"/>
      <c r="V470" s="829"/>
      <c r="W470" s="829"/>
      <c r="X470" s="829"/>
      <c r="Y470" s="829"/>
      <c r="Z470" s="829"/>
    </row>
    <row r="471">
      <c r="A471" s="829"/>
      <c r="B471" s="829"/>
      <c r="C471" s="829"/>
      <c r="D471" s="829"/>
      <c r="E471" s="829"/>
      <c r="F471" s="829"/>
      <c r="G471" s="829"/>
      <c r="H471" s="829"/>
      <c r="I471" s="829"/>
      <c r="J471" s="829"/>
      <c r="K471" s="829"/>
      <c r="L471" s="829"/>
      <c r="M471" s="829"/>
      <c r="N471" s="829"/>
      <c r="O471" s="829"/>
      <c r="P471" s="829"/>
      <c r="Q471" s="829"/>
      <c r="R471" s="829"/>
      <c r="S471" s="829"/>
      <c r="T471" s="829"/>
      <c r="U471" s="829"/>
      <c r="V471" s="829"/>
      <c r="W471" s="829"/>
      <c r="X471" s="829"/>
      <c r="Y471" s="829"/>
      <c r="Z471" s="829"/>
    </row>
    <row r="472">
      <c r="A472" s="829"/>
      <c r="B472" s="829"/>
      <c r="C472" s="829"/>
      <c r="D472" s="829"/>
      <c r="E472" s="829"/>
      <c r="F472" s="829"/>
      <c r="G472" s="829"/>
      <c r="H472" s="829"/>
      <c r="I472" s="829"/>
      <c r="J472" s="829"/>
      <c r="K472" s="829"/>
      <c r="L472" s="829"/>
      <c r="M472" s="829"/>
      <c r="N472" s="829"/>
      <c r="O472" s="829"/>
      <c r="P472" s="829"/>
      <c r="Q472" s="829"/>
      <c r="R472" s="829"/>
      <c r="S472" s="829"/>
      <c r="T472" s="829"/>
      <c r="U472" s="829"/>
      <c r="V472" s="829"/>
      <c r="W472" s="829"/>
      <c r="X472" s="829"/>
      <c r="Y472" s="829"/>
      <c r="Z472" s="829"/>
    </row>
    <row r="473">
      <c r="A473" s="829"/>
      <c r="B473" s="829"/>
      <c r="C473" s="829"/>
      <c r="D473" s="829"/>
      <c r="E473" s="829"/>
      <c r="F473" s="829"/>
      <c r="G473" s="829"/>
      <c r="H473" s="829"/>
      <c r="I473" s="829"/>
      <c r="J473" s="829"/>
      <c r="K473" s="829"/>
      <c r="L473" s="829"/>
      <c r="M473" s="829"/>
      <c r="N473" s="829"/>
      <c r="O473" s="829"/>
      <c r="P473" s="829"/>
      <c r="Q473" s="829"/>
      <c r="R473" s="829"/>
      <c r="S473" s="829"/>
      <c r="T473" s="829"/>
      <c r="U473" s="829"/>
      <c r="V473" s="829"/>
      <c r="W473" s="829"/>
      <c r="X473" s="829"/>
      <c r="Y473" s="829"/>
      <c r="Z473" s="829"/>
    </row>
    <row r="474">
      <c r="A474" s="829"/>
      <c r="B474" s="829"/>
      <c r="C474" s="829"/>
      <c r="D474" s="829"/>
      <c r="E474" s="829"/>
      <c r="F474" s="829"/>
      <c r="G474" s="829"/>
      <c r="H474" s="829"/>
      <c r="I474" s="829"/>
      <c r="J474" s="829"/>
      <c r="K474" s="829"/>
      <c r="L474" s="829"/>
      <c r="M474" s="829"/>
      <c r="N474" s="829"/>
      <c r="O474" s="829"/>
      <c r="P474" s="829"/>
      <c r="Q474" s="829"/>
      <c r="R474" s="829"/>
      <c r="S474" s="829"/>
      <c r="T474" s="829"/>
      <c r="U474" s="829"/>
      <c r="V474" s="829"/>
      <c r="W474" s="829"/>
      <c r="X474" s="829"/>
      <c r="Y474" s="829"/>
      <c r="Z474" s="829"/>
    </row>
    <row r="475">
      <c r="A475" s="829"/>
      <c r="B475" s="829"/>
      <c r="C475" s="829"/>
      <c r="D475" s="829"/>
      <c r="E475" s="829"/>
      <c r="F475" s="829"/>
      <c r="G475" s="829"/>
      <c r="H475" s="829"/>
      <c r="I475" s="829"/>
      <c r="J475" s="829"/>
      <c r="K475" s="829"/>
      <c r="L475" s="829"/>
      <c r="M475" s="829"/>
      <c r="N475" s="829"/>
      <c r="O475" s="829"/>
      <c r="P475" s="829"/>
      <c r="Q475" s="829"/>
      <c r="R475" s="829"/>
      <c r="S475" s="829"/>
      <c r="T475" s="829"/>
      <c r="U475" s="829"/>
      <c r="V475" s="829"/>
      <c r="W475" s="829"/>
      <c r="X475" s="829"/>
      <c r="Y475" s="829"/>
      <c r="Z475" s="829"/>
    </row>
    <row r="476">
      <c r="A476" s="829"/>
      <c r="B476" s="829"/>
      <c r="C476" s="829"/>
      <c r="D476" s="829"/>
      <c r="E476" s="829"/>
      <c r="F476" s="829"/>
      <c r="G476" s="829"/>
      <c r="H476" s="829"/>
      <c r="I476" s="829"/>
      <c r="J476" s="829"/>
      <c r="K476" s="829"/>
      <c r="L476" s="829"/>
      <c r="M476" s="829"/>
      <c r="N476" s="829"/>
      <c r="O476" s="829"/>
      <c r="P476" s="829"/>
      <c r="Q476" s="829"/>
      <c r="R476" s="829"/>
      <c r="S476" s="829"/>
      <c r="T476" s="829"/>
      <c r="U476" s="829"/>
      <c r="V476" s="829"/>
      <c r="W476" s="829"/>
      <c r="X476" s="829"/>
      <c r="Y476" s="829"/>
      <c r="Z476" s="829"/>
    </row>
    <row r="477">
      <c r="A477" s="829"/>
      <c r="B477" s="829"/>
      <c r="C477" s="829"/>
      <c r="D477" s="829"/>
      <c r="E477" s="829"/>
      <c r="F477" s="829"/>
      <c r="G477" s="829"/>
      <c r="H477" s="829"/>
      <c r="I477" s="829"/>
      <c r="J477" s="829"/>
      <c r="K477" s="829"/>
      <c r="L477" s="829"/>
      <c r="M477" s="829"/>
      <c r="N477" s="829"/>
      <c r="O477" s="829"/>
      <c r="P477" s="829"/>
      <c r="Q477" s="829"/>
      <c r="R477" s="829"/>
      <c r="S477" s="829"/>
      <c r="T477" s="829"/>
      <c r="U477" s="829"/>
      <c r="V477" s="829"/>
      <c r="W477" s="829"/>
      <c r="X477" s="829"/>
      <c r="Y477" s="829"/>
      <c r="Z477" s="829"/>
    </row>
    <row r="478">
      <c r="A478" s="829"/>
      <c r="B478" s="829"/>
      <c r="C478" s="829"/>
      <c r="D478" s="829"/>
      <c r="E478" s="829"/>
      <c r="F478" s="829"/>
      <c r="G478" s="829"/>
      <c r="H478" s="829"/>
      <c r="I478" s="829"/>
      <c r="J478" s="829"/>
      <c r="K478" s="829"/>
      <c r="L478" s="829"/>
      <c r="M478" s="829"/>
      <c r="N478" s="829"/>
      <c r="O478" s="829"/>
      <c r="P478" s="829"/>
      <c r="Q478" s="829"/>
      <c r="R478" s="829"/>
      <c r="S478" s="829"/>
      <c r="T478" s="829"/>
      <c r="U478" s="829"/>
      <c r="V478" s="829"/>
      <c r="W478" s="829"/>
      <c r="X478" s="829"/>
      <c r="Y478" s="829"/>
      <c r="Z478" s="829"/>
    </row>
    <row r="479">
      <c r="A479" s="829"/>
      <c r="B479" s="829"/>
      <c r="C479" s="829"/>
      <c r="D479" s="829"/>
      <c r="E479" s="829"/>
      <c r="F479" s="829"/>
      <c r="G479" s="829"/>
      <c r="H479" s="829"/>
      <c r="I479" s="829"/>
      <c r="J479" s="829"/>
      <c r="K479" s="829"/>
      <c r="L479" s="829"/>
      <c r="M479" s="829"/>
      <c r="N479" s="829"/>
      <c r="O479" s="829"/>
      <c r="P479" s="829"/>
      <c r="Q479" s="829"/>
      <c r="R479" s="829"/>
      <c r="S479" s="829"/>
      <c r="T479" s="829"/>
      <c r="U479" s="829"/>
      <c r="V479" s="829"/>
      <c r="W479" s="829"/>
      <c r="X479" s="829"/>
      <c r="Y479" s="829"/>
      <c r="Z479" s="829"/>
    </row>
    <row r="480">
      <c r="A480" s="829"/>
      <c r="B480" s="829"/>
      <c r="C480" s="829"/>
      <c r="D480" s="829"/>
      <c r="E480" s="829"/>
      <c r="F480" s="829"/>
      <c r="G480" s="829"/>
      <c r="H480" s="829"/>
      <c r="I480" s="829"/>
      <c r="J480" s="829"/>
      <c r="K480" s="829"/>
      <c r="L480" s="829"/>
      <c r="M480" s="829"/>
      <c r="N480" s="829"/>
      <c r="O480" s="829"/>
      <c r="P480" s="829"/>
      <c r="Q480" s="829"/>
      <c r="R480" s="829"/>
      <c r="S480" s="829"/>
      <c r="T480" s="829"/>
      <c r="U480" s="829"/>
      <c r="V480" s="829"/>
      <c r="W480" s="829"/>
      <c r="X480" s="829"/>
      <c r="Y480" s="829"/>
      <c r="Z480" s="829"/>
    </row>
    <row r="481">
      <c r="A481" s="829"/>
      <c r="B481" s="829"/>
      <c r="C481" s="829"/>
      <c r="D481" s="829"/>
      <c r="E481" s="829"/>
      <c r="F481" s="829"/>
      <c r="G481" s="829"/>
      <c r="H481" s="829"/>
      <c r="I481" s="829"/>
      <c r="J481" s="829"/>
      <c r="K481" s="829"/>
      <c r="L481" s="829"/>
      <c r="M481" s="829"/>
      <c r="N481" s="829"/>
      <c r="O481" s="829"/>
      <c r="P481" s="829"/>
      <c r="Q481" s="829"/>
      <c r="R481" s="829"/>
      <c r="S481" s="829"/>
      <c r="T481" s="829"/>
      <c r="U481" s="829"/>
      <c r="V481" s="829"/>
      <c r="W481" s="829"/>
      <c r="X481" s="829"/>
      <c r="Y481" s="829"/>
      <c r="Z481" s="829"/>
    </row>
    <row r="482">
      <c r="A482" s="829"/>
      <c r="B482" s="829"/>
      <c r="C482" s="829"/>
      <c r="D482" s="829"/>
      <c r="E482" s="829"/>
      <c r="F482" s="829"/>
      <c r="G482" s="829"/>
      <c r="H482" s="829"/>
      <c r="I482" s="829"/>
      <c r="J482" s="829"/>
      <c r="K482" s="829"/>
      <c r="L482" s="829"/>
      <c r="M482" s="829"/>
      <c r="N482" s="829"/>
      <c r="O482" s="829"/>
      <c r="P482" s="829"/>
      <c r="Q482" s="829"/>
      <c r="R482" s="829"/>
      <c r="S482" s="829"/>
      <c r="T482" s="829"/>
      <c r="U482" s="829"/>
      <c r="V482" s="829"/>
      <c r="W482" s="829"/>
      <c r="X482" s="829"/>
      <c r="Y482" s="829"/>
      <c r="Z482" s="829"/>
    </row>
    <row r="483">
      <c r="A483" s="829"/>
      <c r="B483" s="829"/>
      <c r="C483" s="829"/>
      <c r="D483" s="829"/>
      <c r="E483" s="829"/>
      <c r="F483" s="829"/>
      <c r="G483" s="829"/>
      <c r="H483" s="829"/>
      <c r="I483" s="829"/>
      <c r="J483" s="829"/>
      <c r="K483" s="829"/>
      <c r="L483" s="829"/>
      <c r="M483" s="829"/>
      <c r="N483" s="829"/>
      <c r="O483" s="829"/>
      <c r="P483" s="829"/>
      <c r="Q483" s="829"/>
      <c r="R483" s="829"/>
      <c r="S483" s="829"/>
      <c r="T483" s="829"/>
      <c r="U483" s="829"/>
      <c r="V483" s="829"/>
      <c r="W483" s="829"/>
      <c r="X483" s="829"/>
      <c r="Y483" s="829"/>
      <c r="Z483" s="829"/>
    </row>
    <row r="484">
      <c r="A484" s="829"/>
      <c r="B484" s="829"/>
      <c r="C484" s="829"/>
      <c r="D484" s="829"/>
      <c r="E484" s="829"/>
      <c r="F484" s="829"/>
      <c r="G484" s="829"/>
      <c r="H484" s="829"/>
      <c r="I484" s="829"/>
      <c r="J484" s="829"/>
      <c r="K484" s="829"/>
      <c r="L484" s="829"/>
      <c r="M484" s="829"/>
      <c r="N484" s="829"/>
      <c r="O484" s="829"/>
      <c r="P484" s="829"/>
      <c r="Q484" s="829"/>
      <c r="R484" s="829"/>
      <c r="S484" s="829"/>
      <c r="T484" s="829"/>
      <c r="U484" s="829"/>
      <c r="V484" s="829"/>
      <c r="W484" s="829"/>
      <c r="X484" s="829"/>
      <c r="Y484" s="829"/>
      <c r="Z484" s="829"/>
    </row>
    <row r="485">
      <c r="A485" s="829"/>
      <c r="B485" s="829"/>
      <c r="C485" s="829"/>
      <c r="D485" s="829"/>
      <c r="E485" s="829"/>
      <c r="F485" s="829"/>
      <c r="G485" s="829"/>
      <c r="H485" s="829"/>
      <c r="I485" s="829"/>
      <c r="J485" s="829"/>
      <c r="K485" s="829"/>
      <c r="L485" s="829"/>
      <c r="M485" s="829"/>
      <c r="N485" s="829"/>
      <c r="O485" s="829"/>
      <c r="P485" s="829"/>
      <c r="Q485" s="829"/>
      <c r="R485" s="829"/>
      <c r="S485" s="829"/>
      <c r="T485" s="829"/>
      <c r="U485" s="829"/>
      <c r="V485" s="829"/>
      <c r="W485" s="829"/>
      <c r="X485" s="829"/>
      <c r="Y485" s="829"/>
      <c r="Z485" s="829"/>
    </row>
    <row r="486">
      <c r="A486" s="829"/>
      <c r="B486" s="829"/>
      <c r="C486" s="829"/>
      <c r="D486" s="829"/>
      <c r="E486" s="829"/>
      <c r="F486" s="829"/>
      <c r="G486" s="829"/>
      <c r="H486" s="829"/>
      <c r="I486" s="829"/>
      <c r="J486" s="829"/>
      <c r="K486" s="829"/>
      <c r="L486" s="829"/>
      <c r="M486" s="829"/>
      <c r="N486" s="829"/>
      <c r="O486" s="829"/>
      <c r="P486" s="829"/>
      <c r="Q486" s="829"/>
      <c r="R486" s="829"/>
      <c r="S486" s="829"/>
      <c r="T486" s="829"/>
      <c r="U486" s="829"/>
      <c r="V486" s="829"/>
      <c r="W486" s="829"/>
      <c r="X486" s="829"/>
      <c r="Y486" s="829"/>
      <c r="Z486" s="829"/>
    </row>
    <row r="487">
      <c r="A487" s="829"/>
      <c r="B487" s="829"/>
      <c r="C487" s="829"/>
      <c r="D487" s="829"/>
      <c r="E487" s="829"/>
      <c r="F487" s="829"/>
      <c r="G487" s="829"/>
      <c r="H487" s="829"/>
      <c r="I487" s="829"/>
      <c r="J487" s="829"/>
      <c r="K487" s="829"/>
      <c r="L487" s="829"/>
      <c r="M487" s="829"/>
      <c r="N487" s="829"/>
      <c r="O487" s="829"/>
      <c r="P487" s="829"/>
      <c r="Q487" s="829"/>
      <c r="R487" s="829"/>
      <c r="S487" s="829"/>
      <c r="T487" s="829"/>
      <c r="U487" s="829"/>
      <c r="V487" s="829"/>
      <c r="W487" s="829"/>
      <c r="X487" s="829"/>
      <c r="Y487" s="829"/>
      <c r="Z487" s="829"/>
    </row>
    <row r="488">
      <c r="A488" s="829"/>
      <c r="B488" s="829"/>
      <c r="C488" s="829"/>
      <c r="D488" s="829"/>
      <c r="E488" s="829"/>
      <c r="F488" s="829"/>
      <c r="G488" s="829"/>
      <c r="H488" s="829"/>
      <c r="I488" s="829"/>
      <c r="J488" s="829"/>
      <c r="K488" s="829"/>
      <c r="L488" s="829"/>
      <c r="M488" s="829"/>
      <c r="N488" s="829"/>
      <c r="O488" s="829"/>
      <c r="P488" s="829"/>
      <c r="Q488" s="829"/>
      <c r="R488" s="829"/>
      <c r="S488" s="829"/>
      <c r="T488" s="829"/>
      <c r="U488" s="829"/>
      <c r="V488" s="829"/>
      <c r="W488" s="829"/>
      <c r="X488" s="829"/>
      <c r="Y488" s="829"/>
      <c r="Z488" s="829"/>
    </row>
    <row r="489">
      <c r="A489" s="829"/>
      <c r="B489" s="829"/>
      <c r="C489" s="829"/>
      <c r="D489" s="829"/>
      <c r="E489" s="829"/>
      <c r="F489" s="829"/>
      <c r="G489" s="829"/>
      <c r="H489" s="829"/>
      <c r="I489" s="829"/>
      <c r="J489" s="829"/>
      <c r="K489" s="829"/>
      <c r="L489" s="829"/>
      <c r="M489" s="829"/>
      <c r="N489" s="829"/>
      <c r="O489" s="829"/>
      <c r="P489" s="829"/>
      <c r="Q489" s="829"/>
      <c r="R489" s="829"/>
      <c r="S489" s="829"/>
      <c r="T489" s="829"/>
      <c r="U489" s="829"/>
      <c r="V489" s="829"/>
      <c r="W489" s="829"/>
      <c r="X489" s="829"/>
      <c r="Y489" s="829"/>
      <c r="Z489" s="829"/>
    </row>
    <row r="490">
      <c r="A490" s="829"/>
      <c r="B490" s="829"/>
      <c r="C490" s="829"/>
      <c r="D490" s="829"/>
      <c r="E490" s="829"/>
      <c r="F490" s="829"/>
      <c r="G490" s="829"/>
      <c r="H490" s="829"/>
      <c r="I490" s="829"/>
      <c r="J490" s="829"/>
      <c r="K490" s="829"/>
      <c r="L490" s="829"/>
      <c r="M490" s="829"/>
      <c r="N490" s="829"/>
      <c r="O490" s="829"/>
      <c r="P490" s="829"/>
      <c r="Q490" s="829"/>
      <c r="R490" s="829"/>
      <c r="S490" s="829"/>
      <c r="T490" s="829"/>
      <c r="U490" s="829"/>
      <c r="V490" s="829"/>
      <c r="W490" s="829"/>
      <c r="X490" s="829"/>
      <c r="Y490" s="829"/>
      <c r="Z490" s="829"/>
    </row>
    <row r="491">
      <c r="A491" s="829"/>
      <c r="B491" s="829"/>
      <c r="C491" s="829"/>
      <c r="D491" s="829"/>
      <c r="E491" s="829"/>
      <c r="F491" s="829"/>
      <c r="G491" s="829"/>
      <c r="H491" s="829"/>
      <c r="I491" s="829"/>
      <c r="J491" s="829"/>
      <c r="K491" s="829"/>
      <c r="L491" s="829"/>
      <c r="M491" s="829"/>
      <c r="N491" s="829"/>
      <c r="O491" s="829"/>
      <c r="P491" s="829"/>
      <c r="Q491" s="829"/>
      <c r="R491" s="829"/>
      <c r="S491" s="829"/>
      <c r="T491" s="829"/>
      <c r="U491" s="829"/>
      <c r="V491" s="829"/>
      <c r="W491" s="829"/>
      <c r="X491" s="829"/>
      <c r="Y491" s="829"/>
      <c r="Z491" s="829"/>
    </row>
    <row r="492">
      <c r="A492" s="829"/>
      <c r="B492" s="829"/>
      <c r="C492" s="829"/>
      <c r="D492" s="829"/>
      <c r="E492" s="829"/>
      <c r="F492" s="829"/>
      <c r="G492" s="829"/>
      <c r="H492" s="829"/>
      <c r="I492" s="829"/>
      <c r="J492" s="829"/>
      <c r="K492" s="829"/>
      <c r="L492" s="829"/>
      <c r="M492" s="829"/>
      <c r="N492" s="829"/>
      <c r="O492" s="829"/>
      <c r="P492" s="829"/>
      <c r="Q492" s="829"/>
      <c r="R492" s="829"/>
      <c r="S492" s="829"/>
      <c r="T492" s="829"/>
      <c r="U492" s="829"/>
      <c r="V492" s="829"/>
      <c r="W492" s="829"/>
      <c r="X492" s="829"/>
      <c r="Y492" s="829"/>
      <c r="Z492" s="829"/>
    </row>
    <row r="493">
      <c r="A493" s="829"/>
      <c r="B493" s="829"/>
      <c r="C493" s="829"/>
      <c r="D493" s="829"/>
      <c r="E493" s="829"/>
      <c r="F493" s="829"/>
      <c r="G493" s="829"/>
      <c r="H493" s="829"/>
      <c r="I493" s="829"/>
      <c r="J493" s="829"/>
      <c r="K493" s="829"/>
      <c r="L493" s="829"/>
      <c r="M493" s="829"/>
      <c r="N493" s="829"/>
      <c r="O493" s="829"/>
      <c r="P493" s="829"/>
      <c r="Q493" s="829"/>
      <c r="R493" s="829"/>
      <c r="S493" s="829"/>
      <c r="T493" s="829"/>
      <c r="U493" s="829"/>
      <c r="V493" s="829"/>
      <c r="W493" s="829"/>
      <c r="X493" s="829"/>
      <c r="Y493" s="829"/>
      <c r="Z493" s="829"/>
    </row>
    <row r="494">
      <c r="A494" s="829"/>
      <c r="B494" s="829"/>
      <c r="C494" s="829"/>
      <c r="D494" s="829"/>
      <c r="E494" s="829"/>
      <c r="F494" s="829"/>
      <c r="G494" s="829"/>
      <c r="H494" s="829"/>
      <c r="I494" s="829"/>
      <c r="J494" s="829"/>
      <c r="K494" s="829"/>
      <c r="L494" s="829"/>
      <c r="M494" s="829"/>
      <c r="N494" s="829"/>
      <c r="O494" s="829"/>
      <c r="P494" s="829"/>
      <c r="Q494" s="829"/>
      <c r="R494" s="829"/>
      <c r="S494" s="829"/>
      <c r="T494" s="829"/>
      <c r="U494" s="829"/>
      <c r="V494" s="829"/>
      <c r="W494" s="829"/>
      <c r="X494" s="829"/>
      <c r="Y494" s="829"/>
      <c r="Z494" s="829"/>
    </row>
    <row r="495">
      <c r="A495" s="829"/>
      <c r="B495" s="829"/>
      <c r="C495" s="829"/>
      <c r="D495" s="829"/>
      <c r="E495" s="829"/>
      <c r="F495" s="829"/>
      <c r="G495" s="829"/>
      <c r="H495" s="829"/>
      <c r="I495" s="829"/>
      <c r="J495" s="829"/>
      <c r="K495" s="829"/>
      <c r="L495" s="829"/>
      <c r="M495" s="829"/>
      <c r="N495" s="829"/>
      <c r="O495" s="829"/>
      <c r="P495" s="829"/>
      <c r="Q495" s="829"/>
      <c r="R495" s="829"/>
      <c r="S495" s="829"/>
      <c r="T495" s="829"/>
      <c r="U495" s="829"/>
      <c r="V495" s="829"/>
      <c r="W495" s="829"/>
      <c r="X495" s="829"/>
      <c r="Y495" s="829"/>
      <c r="Z495" s="829"/>
    </row>
    <row r="496">
      <c r="A496" s="829"/>
      <c r="B496" s="829"/>
      <c r="C496" s="829"/>
      <c r="D496" s="829"/>
      <c r="E496" s="829"/>
      <c r="F496" s="829"/>
      <c r="G496" s="829"/>
      <c r="H496" s="829"/>
      <c r="I496" s="829"/>
      <c r="J496" s="829"/>
      <c r="K496" s="829"/>
      <c r="L496" s="829"/>
      <c r="M496" s="829"/>
      <c r="N496" s="829"/>
      <c r="O496" s="829"/>
      <c r="P496" s="829"/>
      <c r="Q496" s="829"/>
      <c r="R496" s="829"/>
      <c r="S496" s="829"/>
      <c r="T496" s="829"/>
      <c r="U496" s="829"/>
      <c r="V496" s="829"/>
      <c r="W496" s="829"/>
      <c r="X496" s="829"/>
      <c r="Y496" s="829"/>
      <c r="Z496" s="829"/>
    </row>
    <row r="497">
      <c r="A497" s="829"/>
      <c r="B497" s="829"/>
      <c r="C497" s="829"/>
      <c r="D497" s="829"/>
      <c r="E497" s="829"/>
      <c r="F497" s="829"/>
      <c r="G497" s="829"/>
      <c r="H497" s="829"/>
      <c r="I497" s="829"/>
      <c r="J497" s="829"/>
      <c r="K497" s="829"/>
      <c r="L497" s="829"/>
      <c r="M497" s="829"/>
      <c r="N497" s="829"/>
      <c r="O497" s="829"/>
      <c r="P497" s="829"/>
      <c r="Q497" s="829"/>
      <c r="R497" s="829"/>
      <c r="S497" s="829"/>
      <c r="T497" s="829"/>
      <c r="U497" s="829"/>
      <c r="V497" s="829"/>
      <c r="W497" s="829"/>
      <c r="X497" s="829"/>
      <c r="Y497" s="829"/>
      <c r="Z497" s="829"/>
    </row>
    <row r="498">
      <c r="A498" s="829"/>
      <c r="B498" s="829"/>
      <c r="C498" s="829"/>
      <c r="D498" s="829"/>
      <c r="E498" s="829"/>
      <c r="F498" s="829"/>
      <c r="G498" s="829"/>
      <c r="H498" s="829"/>
      <c r="I498" s="829"/>
      <c r="J498" s="829"/>
      <c r="K498" s="829"/>
      <c r="L498" s="829"/>
      <c r="M498" s="829"/>
      <c r="N498" s="829"/>
      <c r="O498" s="829"/>
      <c r="P498" s="829"/>
      <c r="Q498" s="829"/>
      <c r="R498" s="829"/>
      <c r="S498" s="829"/>
      <c r="T498" s="829"/>
      <c r="U498" s="829"/>
      <c r="V498" s="829"/>
      <c r="W498" s="829"/>
      <c r="X498" s="829"/>
      <c r="Y498" s="829"/>
      <c r="Z498" s="829"/>
    </row>
    <row r="499">
      <c r="A499" s="829"/>
      <c r="B499" s="829"/>
      <c r="C499" s="829"/>
      <c r="D499" s="829"/>
      <c r="E499" s="829"/>
      <c r="F499" s="829"/>
      <c r="G499" s="829"/>
      <c r="H499" s="829"/>
      <c r="I499" s="829"/>
      <c r="J499" s="829"/>
      <c r="K499" s="829"/>
      <c r="L499" s="829"/>
      <c r="M499" s="829"/>
      <c r="N499" s="829"/>
      <c r="O499" s="829"/>
      <c r="P499" s="829"/>
      <c r="Q499" s="829"/>
      <c r="R499" s="829"/>
      <c r="S499" s="829"/>
      <c r="T499" s="829"/>
      <c r="U499" s="829"/>
      <c r="V499" s="829"/>
      <c r="W499" s="829"/>
      <c r="X499" s="829"/>
      <c r="Y499" s="829"/>
      <c r="Z499" s="829"/>
    </row>
    <row r="500">
      <c r="A500" s="829"/>
      <c r="B500" s="829"/>
      <c r="C500" s="829"/>
      <c r="D500" s="829"/>
      <c r="E500" s="829"/>
      <c r="F500" s="829"/>
      <c r="G500" s="829"/>
      <c r="H500" s="829"/>
      <c r="I500" s="829"/>
      <c r="J500" s="829"/>
      <c r="K500" s="829"/>
      <c r="L500" s="829"/>
      <c r="M500" s="829"/>
      <c r="N500" s="829"/>
      <c r="O500" s="829"/>
      <c r="P500" s="829"/>
      <c r="Q500" s="829"/>
      <c r="R500" s="829"/>
      <c r="S500" s="829"/>
      <c r="T500" s="829"/>
      <c r="U500" s="829"/>
      <c r="V500" s="829"/>
      <c r="W500" s="829"/>
      <c r="X500" s="829"/>
      <c r="Y500" s="829"/>
      <c r="Z500" s="829"/>
    </row>
    <row r="501">
      <c r="A501" s="829"/>
      <c r="B501" s="829"/>
      <c r="C501" s="829"/>
      <c r="D501" s="829"/>
      <c r="E501" s="829"/>
      <c r="F501" s="829"/>
      <c r="G501" s="829"/>
      <c r="H501" s="829"/>
      <c r="I501" s="829"/>
      <c r="J501" s="829"/>
      <c r="K501" s="829"/>
      <c r="L501" s="829"/>
      <c r="M501" s="829"/>
      <c r="N501" s="829"/>
      <c r="O501" s="829"/>
      <c r="P501" s="829"/>
      <c r="Q501" s="829"/>
      <c r="R501" s="829"/>
      <c r="S501" s="829"/>
      <c r="T501" s="829"/>
      <c r="U501" s="829"/>
      <c r="V501" s="829"/>
      <c r="W501" s="829"/>
      <c r="X501" s="829"/>
      <c r="Y501" s="829"/>
      <c r="Z501" s="829"/>
    </row>
    <row r="502">
      <c r="A502" s="829"/>
      <c r="B502" s="829"/>
      <c r="C502" s="829"/>
      <c r="D502" s="829"/>
      <c r="E502" s="829"/>
      <c r="F502" s="829"/>
      <c r="G502" s="829"/>
      <c r="H502" s="829"/>
      <c r="I502" s="829"/>
      <c r="J502" s="829"/>
      <c r="K502" s="829"/>
      <c r="L502" s="829"/>
      <c r="M502" s="829"/>
      <c r="N502" s="829"/>
      <c r="O502" s="829"/>
      <c r="P502" s="829"/>
      <c r="Q502" s="829"/>
      <c r="R502" s="829"/>
      <c r="S502" s="829"/>
      <c r="T502" s="829"/>
      <c r="U502" s="829"/>
      <c r="V502" s="829"/>
      <c r="W502" s="829"/>
      <c r="X502" s="829"/>
      <c r="Y502" s="829"/>
      <c r="Z502" s="829"/>
    </row>
    <row r="503">
      <c r="A503" s="829"/>
      <c r="B503" s="829"/>
      <c r="C503" s="829"/>
      <c r="D503" s="829"/>
      <c r="E503" s="829"/>
      <c r="F503" s="829"/>
      <c r="G503" s="829"/>
      <c r="H503" s="829"/>
      <c r="I503" s="829"/>
      <c r="J503" s="829"/>
      <c r="K503" s="829"/>
      <c r="L503" s="829"/>
      <c r="M503" s="829"/>
      <c r="N503" s="829"/>
      <c r="O503" s="829"/>
      <c r="P503" s="829"/>
      <c r="Q503" s="829"/>
      <c r="R503" s="829"/>
      <c r="S503" s="829"/>
      <c r="T503" s="829"/>
      <c r="U503" s="829"/>
      <c r="V503" s="829"/>
      <c r="W503" s="829"/>
      <c r="X503" s="829"/>
      <c r="Y503" s="829"/>
      <c r="Z503" s="829"/>
    </row>
    <row r="504">
      <c r="A504" s="829"/>
      <c r="B504" s="829"/>
      <c r="C504" s="829"/>
      <c r="D504" s="829"/>
      <c r="E504" s="829"/>
      <c r="F504" s="829"/>
      <c r="G504" s="829"/>
      <c r="H504" s="829"/>
      <c r="I504" s="829"/>
      <c r="J504" s="829"/>
      <c r="K504" s="829"/>
      <c r="L504" s="829"/>
      <c r="M504" s="829"/>
      <c r="N504" s="829"/>
      <c r="O504" s="829"/>
      <c r="P504" s="829"/>
      <c r="Q504" s="829"/>
      <c r="R504" s="829"/>
      <c r="S504" s="829"/>
      <c r="T504" s="829"/>
      <c r="U504" s="829"/>
      <c r="V504" s="829"/>
      <c r="W504" s="829"/>
      <c r="X504" s="829"/>
      <c r="Y504" s="829"/>
      <c r="Z504" s="829"/>
    </row>
    <row r="505">
      <c r="A505" s="829"/>
      <c r="B505" s="829"/>
      <c r="C505" s="829"/>
      <c r="D505" s="829"/>
      <c r="E505" s="829"/>
      <c r="F505" s="829"/>
      <c r="G505" s="829"/>
      <c r="H505" s="829"/>
      <c r="I505" s="829"/>
      <c r="J505" s="829"/>
      <c r="K505" s="829"/>
      <c r="L505" s="829"/>
      <c r="M505" s="829"/>
      <c r="N505" s="829"/>
      <c r="O505" s="829"/>
      <c r="P505" s="829"/>
      <c r="Q505" s="829"/>
      <c r="R505" s="829"/>
      <c r="S505" s="829"/>
      <c r="T505" s="829"/>
      <c r="U505" s="829"/>
      <c r="V505" s="829"/>
      <c r="W505" s="829"/>
      <c r="X505" s="829"/>
      <c r="Y505" s="829"/>
      <c r="Z505" s="829"/>
    </row>
    <row r="506">
      <c r="A506" s="829"/>
      <c r="B506" s="829"/>
      <c r="C506" s="829"/>
      <c r="D506" s="829"/>
      <c r="E506" s="829"/>
      <c r="F506" s="829"/>
      <c r="G506" s="829"/>
      <c r="H506" s="829"/>
      <c r="I506" s="829"/>
      <c r="J506" s="829"/>
      <c r="K506" s="829"/>
      <c r="L506" s="829"/>
      <c r="M506" s="829"/>
      <c r="N506" s="829"/>
      <c r="O506" s="829"/>
      <c r="P506" s="829"/>
      <c r="Q506" s="829"/>
      <c r="R506" s="829"/>
      <c r="S506" s="829"/>
      <c r="T506" s="829"/>
      <c r="U506" s="829"/>
      <c r="V506" s="829"/>
      <c r="W506" s="829"/>
      <c r="X506" s="829"/>
      <c r="Y506" s="829"/>
      <c r="Z506" s="829"/>
    </row>
    <row r="507">
      <c r="A507" s="829"/>
      <c r="B507" s="829"/>
      <c r="C507" s="829"/>
      <c r="D507" s="829"/>
      <c r="E507" s="829"/>
      <c r="F507" s="829"/>
      <c r="G507" s="829"/>
      <c r="H507" s="829"/>
      <c r="I507" s="829"/>
      <c r="J507" s="829"/>
      <c r="K507" s="829"/>
      <c r="L507" s="829"/>
      <c r="M507" s="829"/>
      <c r="N507" s="829"/>
      <c r="O507" s="829"/>
      <c r="P507" s="829"/>
      <c r="Q507" s="829"/>
      <c r="R507" s="829"/>
      <c r="S507" s="829"/>
      <c r="T507" s="829"/>
      <c r="U507" s="829"/>
      <c r="V507" s="829"/>
      <c r="W507" s="829"/>
      <c r="X507" s="829"/>
      <c r="Y507" s="829"/>
      <c r="Z507" s="829"/>
    </row>
    <row r="508">
      <c r="A508" s="829"/>
      <c r="B508" s="829"/>
      <c r="C508" s="829"/>
      <c r="D508" s="829"/>
      <c r="E508" s="829"/>
      <c r="F508" s="829"/>
      <c r="G508" s="829"/>
      <c r="H508" s="829"/>
      <c r="I508" s="829"/>
      <c r="J508" s="829"/>
      <c r="K508" s="829"/>
      <c r="L508" s="829"/>
      <c r="M508" s="829"/>
      <c r="N508" s="829"/>
      <c r="O508" s="829"/>
      <c r="P508" s="829"/>
      <c r="Q508" s="829"/>
      <c r="R508" s="829"/>
      <c r="S508" s="829"/>
      <c r="T508" s="829"/>
      <c r="U508" s="829"/>
      <c r="V508" s="829"/>
      <c r="W508" s="829"/>
      <c r="X508" s="829"/>
      <c r="Y508" s="829"/>
      <c r="Z508" s="829"/>
    </row>
    <row r="509">
      <c r="A509" s="829"/>
      <c r="B509" s="829"/>
      <c r="C509" s="829"/>
      <c r="D509" s="829"/>
      <c r="E509" s="829"/>
      <c r="F509" s="829"/>
      <c r="G509" s="829"/>
      <c r="H509" s="829"/>
      <c r="I509" s="829"/>
      <c r="J509" s="829"/>
      <c r="K509" s="829"/>
      <c r="L509" s="829"/>
      <c r="M509" s="829"/>
      <c r="N509" s="829"/>
      <c r="O509" s="829"/>
      <c r="P509" s="829"/>
      <c r="Q509" s="829"/>
      <c r="R509" s="829"/>
      <c r="S509" s="829"/>
      <c r="T509" s="829"/>
      <c r="U509" s="829"/>
      <c r="V509" s="829"/>
      <c r="W509" s="829"/>
      <c r="X509" s="829"/>
      <c r="Y509" s="829"/>
      <c r="Z509" s="829"/>
    </row>
    <row r="510">
      <c r="A510" s="829"/>
      <c r="B510" s="829"/>
      <c r="C510" s="829"/>
      <c r="D510" s="829"/>
      <c r="E510" s="829"/>
      <c r="F510" s="829"/>
      <c r="G510" s="829"/>
      <c r="H510" s="829"/>
      <c r="I510" s="829"/>
      <c r="J510" s="829"/>
      <c r="K510" s="829"/>
      <c r="L510" s="829"/>
      <c r="M510" s="829"/>
      <c r="N510" s="829"/>
      <c r="O510" s="829"/>
      <c r="P510" s="829"/>
      <c r="Q510" s="829"/>
      <c r="R510" s="829"/>
      <c r="S510" s="829"/>
      <c r="T510" s="829"/>
      <c r="U510" s="829"/>
      <c r="V510" s="829"/>
      <c r="W510" s="829"/>
      <c r="X510" s="829"/>
      <c r="Y510" s="829"/>
      <c r="Z510" s="829"/>
    </row>
    <row r="511">
      <c r="A511" s="829"/>
      <c r="B511" s="829"/>
      <c r="C511" s="829"/>
      <c r="D511" s="829"/>
      <c r="E511" s="829"/>
      <c r="F511" s="829"/>
      <c r="G511" s="829"/>
      <c r="H511" s="829"/>
      <c r="I511" s="829"/>
      <c r="J511" s="829"/>
      <c r="K511" s="829"/>
      <c r="L511" s="829"/>
      <c r="M511" s="829"/>
      <c r="N511" s="829"/>
      <c r="O511" s="829"/>
      <c r="P511" s="829"/>
      <c r="Q511" s="829"/>
      <c r="R511" s="829"/>
      <c r="S511" s="829"/>
      <c r="T511" s="829"/>
      <c r="U511" s="829"/>
      <c r="V511" s="829"/>
      <c r="W511" s="829"/>
      <c r="X511" s="829"/>
      <c r="Y511" s="829"/>
      <c r="Z511" s="829"/>
    </row>
    <row r="512">
      <c r="A512" s="829"/>
      <c r="B512" s="829"/>
      <c r="C512" s="829"/>
      <c r="D512" s="829"/>
      <c r="E512" s="829"/>
      <c r="F512" s="829"/>
      <c r="G512" s="829"/>
      <c r="H512" s="829"/>
      <c r="I512" s="829"/>
      <c r="J512" s="829"/>
      <c r="K512" s="829"/>
      <c r="L512" s="829"/>
      <c r="M512" s="829"/>
      <c r="N512" s="829"/>
      <c r="O512" s="829"/>
      <c r="P512" s="829"/>
      <c r="Q512" s="829"/>
      <c r="R512" s="829"/>
      <c r="S512" s="829"/>
      <c r="T512" s="829"/>
      <c r="U512" s="829"/>
      <c r="V512" s="829"/>
      <c r="W512" s="829"/>
      <c r="X512" s="829"/>
      <c r="Y512" s="829"/>
      <c r="Z512" s="829"/>
    </row>
    <row r="513">
      <c r="A513" s="829"/>
      <c r="B513" s="829"/>
      <c r="C513" s="829"/>
      <c r="D513" s="829"/>
      <c r="E513" s="829"/>
      <c r="F513" s="829"/>
      <c r="G513" s="829"/>
      <c r="H513" s="829"/>
      <c r="I513" s="829"/>
      <c r="J513" s="829"/>
      <c r="K513" s="829"/>
      <c r="L513" s="829"/>
      <c r="M513" s="829"/>
      <c r="N513" s="829"/>
      <c r="O513" s="829"/>
      <c r="P513" s="829"/>
      <c r="Q513" s="829"/>
      <c r="R513" s="829"/>
      <c r="S513" s="829"/>
      <c r="T513" s="829"/>
      <c r="U513" s="829"/>
      <c r="V513" s="829"/>
      <c r="W513" s="829"/>
      <c r="X513" s="829"/>
      <c r="Y513" s="829"/>
      <c r="Z513" s="829"/>
    </row>
    <row r="514">
      <c r="A514" s="829"/>
      <c r="B514" s="829"/>
      <c r="C514" s="829"/>
      <c r="D514" s="829"/>
      <c r="E514" s="829"/>
      <c r="F514" s="829"/>
      <c r="G514" s="829"/>
      <c r="H514" s="829"/>
      <c r="I514" s="829"/>
      <c r="J514" s="829"/>
      <c r="K514" s="829"/>
      <c r="L514" s="829"/>
      <c r="M514" s="829"/>
      <c r="N514" s="829"/>
      <c r="O514" s="829"/>
      <c r="P514" s="829"/>
      <c r="Q514" s="829"/>
      <c r="R514" s="829"/>
      <c r="S514" s="829"/>
      <c r="T514" s="829"/>
      <c r="U514" s="829"/>
      <c r="V514" s="829"/>
      <c r="W514" s="829"/>
      <c r="X514" s="829"/>
      <c r="Y514" s="829"/>
      <c r="Z514" s="829"/>
    </row>
    <row r="515">
      <c r="A515" s="829"/>
      <c r="B515" s="829"/>
      <c r="C515" s="829"/>
      <c r="D515" s="829"/>
      <c r="E515" s="829"/>
      <c r="F515" s="829"/>
      <c r="G515" s="829"/>
      <c r="H515" s="829"/>
      <c r="I515" s="829"/>
      <c r="J515" s="829"/>
      <c r="K515" s="829"/>
      <c r="L515" s="829"/>
      <c r="M515" s="829"/>
      <c r="N515" s="829"/>
      <c r="O515" s="829"/>
      <c r="P515" s="829"/>
      <c r="Q515" s="829"/>
      <c r="R515" s="829"/>
      <c r="S515" s="829"/>
      <c r="T515" s="829"/>
      <c r="U515" s="829"/>
      <c r="V515" s="829"/>
      <c r="W515" s="829"/>
      <c r="X515" s="829"/>
      <c r="Y515" s="829"/>
      <c r="Z515" s="829"/>
    </row>
    <row r="516">
      <c r="A516" s="829"/>
      <c r="B516" s="829"/>
      <c r="C516" s="829"/>
      <c r="D516" s="829"/>
      <c r="E516" s="829"/>
      <c r="F516" s="829"/>
      <c r="G516" s="829"/>
      <c r="H516" s="829"/>
      <c r="I516" s="829"/>
      <c r="J516" s="829"/>
      <c r="K516" s="829"/>
      <c r="L516" s="829"/>
      <c r="M516" s="829"/>
      <c r="N516" s="829"/>
      <c r="O516" s="829"/>
      <c r="P516" s="829"/>
      <c r="Q516" s="829"/>
      <c r="R516" s="829"/>
      <c r="S516" s="829"/>
      <c r="T516" s="829"/>
      <c r="U516" s="829"/>
      <c r="V516" s="829"/>
      <c r="W516" s="829"/>
      <c r="X516" s="829"/>
      <c r="Y516" s="829"/>
      <c r="Z516" s="829"/>
    </row>
    <row r="517">
      <c r="A517" s="829"/>
      <c r="B517" s="829"/>
      <c r="C517" s="829"/>
      <c r="D517" s="829"/>
      <c r="E517" s="829"/>
      <c r="F517" s="829"/>
      <c r="G517" s="829"/>
      <c r="H517" s="829"/>
      <c r="I517" s="829"/>
      <c r="J517" s="829"/>
      <c r="K517" s="829"/>
      <c r="L517" s="829"/>
      <c r="M517" s="829"/>
      <c r="N517" s="829"/>
      <c r="O517" s="829"/>
      <c r="P517" s="829"/>
      <c r="Q517" s="829"/>
      <c r="R517" s="829"/>
      <c r="S517" s="829"/>
      <c r="T517" s="829"/>
      <c r="U517" s="829"/>
      <c r="V517" s="829"/>
      <c r="W517" s="829"/>
      <c r="X517" s="829"/>
      <c r="Y517" s="829"/>
      <c r="Z517" s="829"/>
    </row>
    <row r="518">
      <c r="A518" s="829"/>
      <c r="B518" s="829"/>
      <c r="C518" s="829"/>
      <c r="D518" s="829"/>
      <c r="E518" s="829"/>
      <c r="F518" s="829"/>
      <c r="G518" s="829"/>
      <c r="H518" s="829"/>
      <c r="I518" s="829"/>
      <c r="J518" s="829"/>
      <c r="K518" s="829"/>
      <c r="L518" s="829"/>
      <c r="M518" s="829"/>
      <c r="N518" s="829"/>
      <c r="O518" s="829"/>
      <c r="P518" s="829"/>
      <c r="Q518" s="829"/>
      <c r="R518" s="829"/>
      <c r="S518" s="829"/>
      <c r="T518" s="829"/>
      <c r="U518" s="829"/>
      <c r="V518" s="829"/>
      <c r="W518" s="829"/>
      <c r="X518" s="829"/>
      <c r="Y518" s="829"/>
      <c r="Z518" s="829"/>
    </row>
    <row r="519">
      <c r="A519" s="829"/>
      <c r="B519" s="829"/>
      <c r="C519" s="829"/>
      <c r="D519" s="829"/>
      <c r="E519" s="829"/>
      <c r="F519" s="829"/>
      <c r="G519" s="829"/>
      <c r="H519" s="829"/>
      <c r="I519" s="829"/>
      <c r="J519" s="829"/>
      <c r="K519" s="829"/>
      <c r="L519" s="829"/>
      <c r="M519" s="829"/>
      <c r="N519" s="829"/>
      <c r="O519" s="829"/>
      <c r="P519" s="829"/>
      <c r="Q519" s="829"/>
      <c r="R519" s="829"/>
      <c r="S519" s="829"/>
      <c r="T519" s="829"/>
      <c r="U519" s="829"/>
      <c r="V519" s="829"/>
      <c r="W519" s="829"/>
      <c r="X519" s="829"/>
      <c r="Y519" s="829"/>
      <c r="Z519" s="829"/>
    </row>
    <row r="520">
      <c r="A520" s="829"/>
      <c r="B520" s="829"/>
      <c r="C520" s="829"/>
      <c r="D520" s="829"/>
      <c r="E520" s="829"/>
      <c r="F520" s="829"/>
      <c r="G520" s="829"/>
      <c r="H520" s="829"/>
      <c r="I520" s="829"/>
      <c r="J520" s="829"/>
      <c r="K520" s="829"/>
      <c r="L520" s="829"/>
      <c r="M520" s="829"/>
      <c r="N520" s="829"/>
      <c r="O520" s="829"/>
      <c r="P520" s="829"/>
      <c r="Q520" s="829"/>
      <c r="R520" s="829"/>
      <c r="S520" s="829"/>
      <c r="T520" s="829"/>
      <c r="U520" s="829"/>
      <c r="V520" s="829"/>
      <c r="W520" s="829"/>
      <c r="X520" s="829"/>
      <c r="Y520" s="829"/>
      <c r="Z520" s="829"/>
    </row>
    <row r="521">
      <c r="A521" s="829"/>
      <c r="B521" s="829"/>
      <c r="C521" s="829"/>
      <c r="D521" s="829"/>
      <c r="E521" s="829"/>
      <c r="F521" s="829"/>
      <c r="G521" s="829"/>
      <c r="H521" s="829"/>
      <c r="I521" s="829"/>
      <c r="J521" s="829"/>
      <c r="K521" s="829"/>
      <c r="L521" s="829"/>
      <c r="M521" s="829"/>
      <c r="N521" s="829"/>
      <c r="O521" s="829"/>
      <c r="P521" s="829"/>
      <c r="Q521" s="829"/>
      <c r="R521" s="829"/>
      <c r="S521" s="829"/>
      <c r="T521" s="829"/>
      <c r="U521" s="829"/>
      <c r="V521" s="829"/>
      <c r="W521" s="829"/>
      <c r="X521" s="829"/>
      <c r="Y521" s="829"/>
      <c r="Z521" s="829"/>
    </row>
    <row r="522">
      <c r="A522" s="829"/>
      <c r="B522" s="829"/>
      <c r="C522" s="829"/>
      <c r="D522" s="829"/>
      <c r="E522" s="829"/>
      <c r="F522" s="829"/>
      <c r="G522" s="829"/>
      <c r="H522" s="829"/>
      <c r="I522" s="829"/>
      <c r="J522" s="829"/>
      <c r="K522" s="829"/>
      <c r="L522" s="829"/>
      <c r="M522" s="829"/>
      <c r="N522" s="829"/>
      <c r="O522" s="829"/>
      <c r="P522" s="829"/>
      <c r="Q522" s="829"/>
      <c r="R522" s="829"/>
      <c r="S522" s="829"/>
      <c r="T522" s="829"/>
      <c r="U522" s="829"/>
      <c r="V522" s="829"/>
      <c r="W522" s="829"/>
      <c r="X522" s="829"/>
      <c r="Y522" s="829"/>
      <c r="Z522" s="829"/>
    </row>
    <row r="523">
      <c r="A523" s="829"/>
      <c r="B523" s="829"/>
      <c r="C523" s="829"/>
      <c r="D523" s="829"/>
      <c r="E523" s="829"/>
      <c r="F523" s="829"/>
      <c r="G523" s="829"/>
      <c r="H523" s="829"/>
      <c r="I523" s="829"/>
      <c r="J523" s="829"/>
      <c r="K523" s="829"/>
      <c r="L523" s="829"/>
      <c r="M523" s="829"/>
      <c r="N523" s="829"/>
      <c r="O523" s="829"/>
      <c r="P523" s="829"/>
      <c r="Q523" s="829"/>
      <c r="R523" s="829"/>
      <c r="S523" s="829"/>
      <c r="T523" s="829"/>
      <c r="U523" s="829"/>
      <c r="V523" s="829"/>
      <c r="W523" s="829"/>
      <c r="X523" s="829"/>
      <c r="Y523" s="829"/>
      <c r="Z523" s="829"/>
    </row>
    <row r="524">
      <c r="A524" s="829"/>
      <c r="B524" s="829"/>
      <c r="C524" s="829"/>
      <c r="D524" s="829"/>
      <c r="E524" s="829"/>
      <c r="F524" s="829"/>
      <c r="G524" s="829"/>
      <c r="H524" s="829"/>
      <c r="I524" s="829"/>
      <c r="J524" s="829"/>
      <c r="K524" s="829"/>
      <c r="L524" s="829"/>
      <c r="M524" s="829"/>
      <c r="N524" s="829"/>
      <c r="O524" s="829"/>
      <c r="P524" s="829"/>
      <c r="Q524" s="829"/>
      <c r="R524" s="829"/>
      <c r="S524" s="829"/>
      <c r="T524" s="829"/>
      <c r="U524" s="829"/>
      <c r="V524" s="829"/>
      <c r="W524" s="829"/>
      <c r="X524" s="829"/>
      <c r="Y524" s="829"/>
      <c r="Z524" s="829"/>
    </row>
    <row r="525">
      <c r="A525" s="829"/>
      <c r="B525" s="829"/>
      <c r="C525" s="829"/>
      <c r="D525" s="829"/>
      <c r="E525" s="829"/>
      <c r="F525" s="829"/>
      <c r="G525" s="829"/>
      <c r="H525" s="829"/>
      <c r="I525" s="829"/>
      <c r="J525" s="829"/>
      <c r="K525" s="829"/>
      <c r="L525" s="829"/>
      <c r="M525" s="829"/>
      <c r="N525" s="829"/>
      <c r="O525" s="829"/>
      <c r="P525" s="829"/>
      <c r="Q525" s="829"/>
      <c r="R525" s="829"/>
      <c r="S525" s="829"/>
      <c r="T525" s="829"/>
      <c r="U525" s="829"/>
      <c r="V525" s="829"/>
      <c r="W525" s="829"/>
      <c r="X525" s="829"/>
      <c r="Y525" s="829"/>
      <c r="Z525" s="829"/>
    </row>
    <row r="526">
      <c r="A526" s="829"/>
      <c r="B526" s="829"/>
      <c r="C526" s="829"/>
      <c r="D526" s="829"/>
      <c r="E526" s="829"/>
      <c r="F526" s="829"/>
      <c r="G526" s="829"/>
      <c r="H526" s="829"/>
      <c r="I526" s="829"/>
      <c r="J526" s="829"/>
      <c r="K526" s="829"/>
      <c r="L526" s="829"/>
      <c r="M526" s="829"/>
      <c r="N526" s="829"/>
      <c r="O526" s="829"/>
      <c r="P526" s="829"/>
      <c r="Q526" s="829"/>
      <c r="R526" s="829"/>
      <c r="S526" s="829"/>
      <c r="T526" s="829"/>
      <c r="U526" s="829"/>
      <c r="V526" s="829"/>
      <c r="W526" s="829"/>
      <c r="X526" s="829"/>
      <c r="Y526" s="829"/>
      <c r="Z526" s="829"/>
    </row>
    <row r="527">
      <c r="A527" s="829"/>
      <c r="B527" s="829"/>
      <c r="C527" s="829"/>
      <c r="D527" s="829"/>
      <c r="E527" s="829"/>
      <c r="F527" s="829"/>
      <c r="G527" s="829"/>
      <c r="H527" s="829"/>
      <c r="I527" s="829"/>
      <c r="J527" s="829"/>
      <c r="K527" s="829"/>
      <c r="L527" s="829"/>
      <c r="M527" s="829"/>
      <c r="N527" s="829"/>
      <c r="O527" s="829"/>
      <c r="P527" s="829"/>
      <c r="Q527" s="829"/>
      <c r="R527" s="829"/>
      <c r="S527" s="829"/>
      <c r="T527" s="829"/>
      <c r="U527" s="829"/>
      <c r="V527" s="829"/>
      <c r="W527" s="829"/>
      <c r="X527" s="829"/>
      <c r="Y527" s="829"/>
      <c r="Z527" s="829"/>
    </row>
    <row r="528">
      <c r="A528" s="829"/>
      <c r="B528" s="829"/>
      <c r="C528" s="829"/>
      <c r="D528" s="829"/>
      <c r="E528" s="829"/>
      <c r="F528" s="829"/>
      <c r="G528" s="829"/>
      <c r="H528" s="829"/>
      <c r="I528" s="829"/>
      <c r="J528" s="829"/>
      <c r="K528" s="829"/>
      <c r="L528" s="829"/>
      <c r="M528" s="829"/>
      <c r="N528" s="829"/>
      <c r="O528" s="829"/>
      <c r="P528" s="829"/>
      <c r="Q528" s="829"/>
      <c r="R528" s="829"/>
      <c r="S528" s="829"/>
      <c r="T528" s="829"/>
      <c r="U528" s="829"/>
      <c r="V528" s="829"/>
      <c r="W528" s="829"/>
      <c r="X528" s="829"/>
      <c r="Y528" s="829"/>
      <c r="Z528" s="829"/>
    </row>
    <row r="529">
      <c r="A529" s="829"/>
      <c r="B529" s="829"/>
      <c r="C529" s="829"/>
      <c r="D529" s="829"/>
      <c r="E529" s="829"/>
      <c r="F529" s="829"/>
      <c r="G529" s="829"/>
      <c r="H529" s="829"/>
      <c r="I529" s="829"/>
      <c r="J529" s="829"/>
      <c r="K529" s="829"/>
      <c r="L529" s="829"/>
      <c r="M529" s="829"/>
      <c r="N529" s="829"/>
      <c r="O529" s="829"/>
      <c r="P529" s="829"/>
      <c r="Q529" s="829"/>
      <c r="R529" s="829"/>
      <c r="S529" s="829"/>
      <c r="T529" s="829"/>
      <c r="U529" s="829"/>
      <c r="V529" s="829"/>
      <c r="W529" s="829"/>
      <c r="X529" s="829"/>
      <c r="Y529" s="829"/>
      <c r="Z529" s="829"/>
    </row>
    <row r="530">
      <c r="A530" s="829"/>
      <c r="B530" s="829"/>
      <c r="C530" s="829"/>
      <c r="D530" s="829"/>
      <c r="E530" s="829"/>
      <c r="F530" s="829"/>
      <c r="G530" s="829"/>
      <c r="H530" s="829"/>
      <c r="I530" s="829"/>
      <c r="J530" s="829"/>
      <c r="K530" s="829"/>
      <c r="L530" s="829"/>
      <c r="M530" s="829"/>
      <c r="N530" s="829"/>
      <c r="O530" s="829"/>
      <c r="P530" s="829"/>
      <c r="Q530" s="829"/>
      <c r="R530" s="829"/>
      <c r="S530" s="829"/>
      <c r="T530" s="829"/>
      <c r="U530" s="829"/>
      <c r="V530" s="829"/>
      <c r="W530" s="829"/>
      <c r="X530" s="829"/>
      <c r="Y530" s="829"/>
      <c r="Z530" s="829"/>
    </row>
    <row r="531">
      <c r="A531" s="829"/>
      <c r="B531" s="829"/>
      <c r="C531" s="829"/>
      <c r="D531" s="829"/>
      <c r="E531" s="829"/>
      <c r="F531" s="829"/>
      <c r="G531" s="829"/>
      <c r="H531" s="829"/>
      <c r="I531" s="829"/>
      <c r="J531" s="829"/>
      <c r="K531" s="829"/>
      <c r="L531" s="829"/>
      <c r="M531" s="829"/>
      <c r="N531" s="829"/>
      <c r="O531" s="829"/>
      <c r="P531" s="829"/>
      <c r="Q531" s="829"/>
      <c r="R531" s="829"/>
      <c r="S531" s="829"/>
      <c r="T531" s="829"/>
      <c r="U531" s="829"/>
      <c r="V531" s="829"/>
      <c r="W531" s="829"/>
      <c r="X531" s="829"/>
      <c r="Y531" s="829"/>
      <c r="Z531" s="829"/>
    </row>
    <row r="532">
      <c r="A532" s="829"/>
      <c r="B532" s="829"/>
      <c r="C532" s="829"/>
      <c r="D532" s="829"/>
      <c r="E532" s="829"/>
      <c r="F532" s="829"/>
      <c r="G532" s="829"/>
      <c r="H532" s="829"/>
      <c r="I532" s="829"/>
      <c r="J532" s="829"/>
      <c r="K532" s="829"/>
      <c r="L532" s="829"/>
      <c r="M532" s="829"/>
      <c r="N532" s="829"/>
      <c r="O532" s="829"/>
      <c r="P532" s="829"/>
      <c r="Q532" s="829"/>
      <c r="R532" s="829"/>
      <c r="S532" s="829"/>
      <c r="T532" s="829"/>
      <c r="U532" s="829"/>
      <c r="V532" s="829"/>
      <c r="W532" s="829"/>
      <c r="X532" s="829"/>
      <c r="Y532" s="829"/>
      <c r="Z532" s="829"/>
    </row>
    <row r="533">
      <c r="A533" s="829"/>
      <c r="B533" s="829"/>
      <c r="C533" s="829"/>
      <c r="D533" s="829"/>
      <c r="E533" s="829"/>
      <c r="F533" s="829"/>
      <c r="G533" s="829"/>
      <c r="H533" s="829"/>
      <c r="I533" s="829"/>
      <c r="J533" s="829"/>
      <c r="K533" s="829"/>
      <c r="L533" s="829"/>
      <c r="M533" s="829"/>
      <c r="N533" s="829"/>
      <c r="O533" s="829"/>
      <c r="P533" s="829"/>
      <c r="Q533" s="829"/>
      <c r="R533" s="829"/>
      <c r="S533" s="829"/>
      <c r="T533" s="829"/>
      <c r="U533" s="829"/>
      <c r="V533" s="829"/>
      <c r="W533" s="829"/>
      <c r="X533" s="829"/>
      <c r="Y533" s="829"/>
      <c r="Z533" s="829"/>
    </row>
    <row r="534">
      <c r="A534" s="829"/>
      <c r="B534" s="829"/>
      <c r="C534" s="829"/>
      <c r="D534" s="829"/>
      <c r="E534" s="829"/>
      <c r="F534" s="829"/>
      <c r="G534" s="829"/>
      <c r="H534" s="829"/>
      <c r="I534" s="829"/>
      <c r="J534" s="829"/>
      <c r="K534" s="829"/>
      <c r="L534" s="829"/>
      <c r="M534" s="829"/>
      <c r="N534" s="829"/>
      <c r="O534" s="829"/>
      <c r="P534" s="829"/>
      <c r="Q534" s="829"/>
      <c r="R534" s="829"/>
      <c r="S534" s="829"/>
      <c r="T534" s="829"/>
      <c r="U534" s="829"/>
      <c r="V534" s="829"/>
      <c r="W534" s="829"/>
      <c r="X534" s="829"/>
      <c r="Y534" s="829"/>
      <c r="Z534" s="829"/>
    </row>
    <row r="535">
      <c r="A535" s="829"/>
      <c r="B535" s="829"/>
      <c r="C535" s="829"/>
      <c r="D535" s="829"/>
      <c r="E535" s="829"/>
      <c r="F535" s="829"/>
      <c r="G535" s="829"/>
      <c r="H535" s="829"/>
      <c r="I535" s="829"/>
      <c r="J535" s="829"/>
      <c r="K535" s="829"/>
      <c r="L535" s="829"/>
      <c r="M535" s="829"/>
      <c r="N535" s="829"/>
      <c r="O535" s="829"/>
      <c r="P535" s="829"/>
      <c r="Q535" s="829"/>
      <c r="R535" s="829"/>
      <c r="S535" s="829"/>
      <c r="T535" s="829"/>
      <c r="U535" s="829"/>
      <c r="V535" s="829"/>
      <c r="W535" s="829"/>
      <c r="X535" s="829"/>
      <c r="Y535" s="829"/>
      <c r="Z535" s="829"/>
    </row>
    <row r="536">
      <c r="A536" s="829"/>
      <c r="B536" s="829"/>
      <c r="C536" s="829"/>
      <c r="D536" s="829"/>
      <c r="E536" s="829"/>
      <c r="F536" s="829"/>
      <c r="G536" s="829"/>
      <c r="H536" s="829"/>
      <c r="I536" s="829"/>
      <c r="J536" s="829"/>
      <c r="K536" s="829"/>
      <c r="L536" s="829"/>
      <c r="M536" s="829"/>
      <c r="N536" s="829"/>
      <c r="O536" s="829"/>
      <c r="P536" s="829"/>
      <c r="Q536" s="829"/>
      <c r="R536" s="829"/>
      <c r="S536" s="829"/>
      <c r="T536" s="829"/>
      <c r="U536" s="829"/>
      <c r="V536" s="829"/>
      <c r="W536" s="829"/>
      <c r="X536" s="829"/>
      <c r="Y536" s="829"/>
      <c r="Z536" s="829"/>
    </row>
    <row r="537">
      <c r="A537" s="829"/>
      <c r="B537" s="829"/>
      <c r="C537" s="829"/>
      <c r="D537" s="829"/>
      <c r="E537" s="829"/>
      <c r="F537" s="829"/>
      <c r="G537" s="829"/>
      <c r="H537" s="829"/>
      <c r="I537" s="829"/>
      <c r="J537" s="829"/>
      <c r="K537" s="829"/>
      <c r="L537" s="829"/>
      <c r="M537" s="829"/>
      <c r="N537" s="829"/>
      <c r="O537" s="829"/>
      <c r="P537" s="829"/>
      <c r="Q537" s="829"/>
      <c r="R537" s="829"/>
      <c r="S537" s="829"/>
      <c r="T537" s="829"/>
      <c r="U537" s="829"/>
      <c r="V537" s="829"/>
      <c r="W537" s="829"/>
      <c r="X537" s="829"/>
      <c r="Y537" s="829"/>
      <c r="Z537" s="829"/>
    </row>
    <row r="538">
      <c r="A538" s="829"/>
      <c r="B538" s="829"/>
      <c r="C538" s="829"/>
      <c r="D538" s="829"/>
      <c r="E538" s="829"/>
      <c r="F538" s="829"/>
      <c r="G538" s="829"/>
      <c r="H538" s="829"/>
      <c r="I538" s="829"/>
      <c r="J538" s="829"/>
      <c r="K538" s="829"/>
      <c r="L538" s="829"/>
      <c r="M538" s="829"/>
      <c r="N538" s="829"/>
      <c r="O538" s="829"/>
      <c r="P538" s="829"/>
      <c r="Q538" s="829"/>
      <c r="R538" s="829"/>
      <c r="S538" s="829"/>
      <c r="T538" s="829"/>
      <c r="U538" s="829"/>
      <c r="V538" s="829"/>
      <c r="W538" s="829"/>
      <c r="X538" s="829"/>
      <c r="Y538" s="829"/>
      <c r="Z538" s="829"/>
    </row>
    <row r="539">
      <c r="A539" s="829"/>
      <c r="B539" s="829"/>
      <c r="C539" s="829"/>
      <c r="D539" s="829"/>
      <c r="E539" s="829"/>
      <c r="F539" s="829"/>
      <c r="G539" s="829"/>
      <c r="H539" s="829"/>
      <c r="I539" s="829"/>
      <c r="J539" s="829"/>
      <c r="K539" s="829"/>
      <c r="L539" s="829"/>
      <c r="M539" s="829"/>
      <c r="N539" s="829"/>
      <c r="O539" s="829"/>
      <c r="P539" s="829"/>
      <c r="Q539" s="829"/>
      <c r="R539" s="829"/>
      <c r="S539" s="829"/>
      <c r="T539" s="829"/>
      <c r="U539" s="829"/>
      <c r="V539" s="829"/>
      <c r="W539" s="829"/>
      <c r="X539" s="829"/>
      <c r="Y539" s="829"/>
      <c r="Z539" s="829"/>
    </row>
    <row r="540">
      <c r="A540" s="829"/>
      <c r="B540" s="829"/>
      <c r="C540" s="829"/>
      <c r="D540" s="829"/>
      <c r="E540" s="829"/>
      <c r="F540" s="829"/>
      <c r="G540" s="829"/>
      <c r="H540" s="829"/>
      <c r="I540" s="829"/>
      <c r="J540" s="829"/>
      <c r="K540" s="829"/>
      <c r="L540" s="829"/>
      <c r="M540" s="829"/>
      <c r="N540" s="829"/>
      <c r="O540" s="829"/>
      <c r="P540" s="829"/>
      <c r="Q540" s="829"/>
      <c r="R540" s="829"/>
      <c r="S540" s="829"/>
      <c r="T540" s="829"/>
      <c r="U540" s="829"/>
      <c r="V540" s="829"/>
      <c r="W540" s="829"/>
      <c r="X540" s="829"/>
      <c r="Y540" s="829"/>
      <c r="Z540" s="829"/>
    </row>
    <row r="541">
      <c r="A541" s="829"/>
      <c r="B541" s="829"/>
      <c r="C541" s="829"/>
      <c r="D541" s="829"/>
      <c r="E541" s="829"/>
      <c r="F541" s="829"/>
      <c r="G541" s="829"/>
      <c r="H541" s="829"/>
      <c r="I541" s="829"/>
      <c r="J541" s="829"/>
      <c r="K541" s="829"/>
      <c r="L541" s="829"/>
      <c r="M541" s="829"/>
      <c r="N541" s="829"/>
      <c r="O541" s="829"/>
      <c r="P541" s="829"/>
      <c r="Q541" s="829"/>
      <c r="R541" s="829"/>
      <c r="S541" s="829"/>
      <c r="T541" s="829"/>
      <c r="U541" s="829"/>
      <c r="V541" s="829"/>
      <c r="W541" s="829"/>
      <c r="X541" s="829"/>
      <c r="Y541" s="829"/>
      <c r="Z541" s="829"/>
    </row>
    <row r="542">
      <c r="A542" s="829"/>
      <c r="B542" s="829"/>
      <c r="C542" s="829"/>
      <c r="D542" s="829"/>
      <c r="E542" s="829"/>
      <c r="F542" s="829"/>
      <c r="G542" s="829"/>
      <c r="H542" s="829"/>
      <c r="I542" s="829"/>
      <c r="J542" s="829"/>
      <c r="K542" s="829"/>
      <c r="L542" s="829"/>
      <c r="M542" s="829"/>
      <c r="N542" s="829"/>
      <c r="O542" s="829"/>
      <c r="P542" s="829"/>
      <c r="Q542" s="829"/>
      <c r="R542" s="829"/>
      <c r="S542" s="829"/>
      <c r="T542" s="829"/>
      <c r="U542" s="829"/>
      <c r="V542" s="829"/>
      <c r="W542" s="829"/>
      <c r="X542" s="829"/>
      <c r="Y542" s="829"/>
      <c r="Z542" s="829"/>
    </row>
    <row r="543">
      <c r="A543" s="829"/>
      <c r="B543" s="829"/>
      <c r="C543" s="829"/>
      <c r="D543" s="829"/>
      <c r="E543" s="829"/>
      <c r="F543" s="829"/>
      <c r="G543" s="829"/>
      <c r="H543" s="829"/>
      <c r="I543" s="829"/>
      <c r="J543" s="829"/>
      <c r="K543" s="829"/>
      <c r="L543" s="829"/>
      <c r="M543" s="829"/>
      <c r="N543" s="829"/>
      <c r="O543" s="829"/>
      <c r="P543" s="829"/>
      <c r="Q543" s="829"/>
      <c r="R543" s="829"/>
      <c r="S543" s="829"/>
      <c r="T543" s="829"/>
      <c r="U543" s="829"/>
      <c r="V543" s="829"/>
      <c r="W543" s="829"/>
      <c r="X543" s="829"/>
      <c r="Y543" s="829"/>
      <c r="Z543" s="829"/>
    </row>
    <row r="544">
      <c r="A544" s="829"/>
      <c r="B544" s="829"/>
      <c r="C544" s="829"/>
      <c r="D544" s="829"/>
      <c r="E544" s="829"/>
      <c r="F544" s="829"/>
      <c r="G544" s="829"/>
      <c r="H544" s="829"/>
      <c r="I544" s="829"/>
      <c r="J544" s="829"/>
      <c r="K544" s="829"/>
      <c r="L544" s="829"/>
      <c r="M544" s="829"/>
      <c r="N544" s="829"/>
      <c r="O544" s="829"/>
      <c r="P544" s="829"/>
      <c r="Q544" s="829"/>
      <c r="R544" s="829"/>
      <c r="S544" s="829"/>
      <c r="T544" s="829"/>
      <c r="U544" s="829"/>
      <c r="V544" s="829"/>
      <c r="W544" s="829"/>
      <c r="X544" s="829"/>
      <c r="Y544" s="829"/>
      <c r="Z544" s="829"/>
    </row>
    <row r="545">
      <c r="A545" s="829"/>
      <c r="B545" s="829"/>
      <c r="C545" s="829"/>
      <c r="D545" s="829"/>
      <c r="E545" s="829"/>
      <c r="F545" s="829"/>
      <c r="G545" s="829"/>
      <c r="H545" s="829"/>
      <c r="I545" s="829"/>
      <c r="J545" s="829"/>
      <c r="K545" s="829"/>
      <c r="L545" s="829"/>
      <c r="M545" s="829"/>
      <c r="N545" s="829"/>
      <c r="O545" s="829"/>
      <c r="P545" s="829"/>
      <c r="Q545" s="829"/>
      <c r="R545" s="829"/>
      <c r="S545" s="829"/>
      <c r="T545" s="829"/>
      <c r="U545" s="829"/>
      <c r="V545" s="829"/>
      <c r="W545" s="829"/>
      <c r="X545" s="829"/>
      <c r="Y545" s="829"/>
      <c r="Z545" s="829"/>
    </row>
    <row r="546">
      <c r="A546" s="829"/>
      <c r="B546" s="829"/>
      <c r="C546" s="829"/>
      <c r="D546" s="829"/>
      <c r="E546" s="829"/>
      <c r="F546" s="829"/>
      <c r="G546" s="829"/>
      <c r="H546" s="829"/>
      <c r="I546" s="829"/>
      <c r="J546" s="829"/>
      <c r="K546" s="829"/>
      <c r="L546" s="829"/>
      <c r="M546" s="829"/>
      <c r="N546" s="829"/>
      <c r="O546" s="829"/>
      <c r="P546" s="829"/>
      <c r="Q546" s="829"/>
      <c r="R546" s="829"/>
      <c r="S546" s="829"/>
      <c r="T546" s="829"/>
      <c r="U546" s="829"/>
      <c r="V546" s="829"/>
      <c r="W546" s="829"/>
      <c r="X546" s="829"/>
      <c r="Y546" s="829"/>
      <c r="Z546" s="829"/>
    </row>
    <row r="547">
      <c r="A547" s="829"/>
      <c r="B547" s="829"/>
      <c r="C547" s="829"/>
      <c r="D547" s="829"/>
      <c r="E547" s="829"/>
      <c r="F547" s="829"/>
      <c r="G547" s="829"/>
      <c r="H547" s="829"/>
      <c r="I547" s="829"/>
      <c r="J547" s="829"/>
      <c r="K547" s="829"/>
      <c r="L547" s="829"/>
      <c r="M547" s="829"/>
      <c r="N547" s="829"/>
      <c r="O547" s="829"/>
      <c r="P547" s="829"/>
      <c r="Q547" s="829"/>
      <c r="R547" s="829"/>
      <c r="S547" s="829"/>
      <c r="T547" s="829"/>
      <c r="U547" s="829"/>
      <c r="V547" s="829"/>
      <c r="W547" s="829"/>
      <c r="X547" s="829"/>
      <c r="Y547" s="829"/>
      <c r="Z547" s="829"/>
    </row>
    <row r="548">
      <c r="A548" s="829"/>
      <c r="B548" s="829"/>
      <c r="C548" s="829"/>
      <c r="D548" s="829"/>
      <c r="E548" s="829"/>
      <c r="F548" s="829"/>
      <c r="G548" s="829"/>
      <c r="H548" s="829"/>
      <c r="I548" s="829"/>
      <c r="J548" s="829"/>
      <c r="K548" s="829"/>
      <c r="L548" s="829"/>
      <c r="M548" s="829"/>
      <c r="N548" s="829"/>
      <c r="O548" s="829"/>
      <c r="P548" s="829"/>
      <c r="Q548" s="829"/>
      <c r="R548" s="829"/>
      <c r="S548" s="829"/>
      <c r="T548" s="829"/>
      <c r="U548" s="829"/>
      <c r="V548" s="829"/>
      <c r="W548" s="829"/>
      <c r="X548" s="829"/>
      <c r="Y548" s="829"/>
      <c r="Z548" s="829"/>
    </row>
    <row r="549">
      <c r="A549" s="829"/>
      <c r="B549" s="829"/>
      <c r="C549" s="829"/>
      <c r="D549" s="829"/>
      <c r="E549" s="829"/>
      <c r="F549" s="829"/>
      <c r="G549" s="829"/>
      <c r="H549" s="829"/>
      <c r="I549" s="829"/>
      <c r="J549" s="829"/>
      <c r="K549" s="829"/>
      <c r="L549" s="829"/>
      <c r="M549" s="829"/>
      <c r="N549" s="829"/>
      <c r="O549" s="829"/>
      <c r="P549" s="829"/>
      <c r="Q549" s="829"/>
      <c r="R549" s="829"/>
      <c r="S549" s="829"/>
      <c r="T549" s="829"/>
      <c r="U549" s="829"/>
      <c r="V549" s="829"/>
      <c r="W549" s="829"/>
      <c r="X549" s="829"/>
      <c r="Y549" s="829"/>
      <c r="Z549" s="829"/>
    </row>
    <row r="550">
      <c r="A550" s="829"/>
      <c r="B550" s="829"/>
      <c r="C550" s="829"/>
      <c r="D550" s="829"/>
      <c r="E550" s="829"/>
      <c r="F550" s="829"/>
      <c r="G550" s="829"/>
      <c r="H550" s="829"/>
      <c r="I550" s="829"/>
      <c r="J550" s="829"/>
      <c r="K550" s="829"/>
      <c r="L550" s="829"/>
      <c r="M550" s="829"/>
      <c r="N550" s="829"/>
      <c r="O550" s="829"/>
      <c r="P550" s="829"/>
      <c r="Q550" s="829"/>
      <c r="R550" s="829"/>
      <c r="S550" s="829"/>
      <c r="T550" s="829"/>
      <c r="U550" s="829"/>
      <c r="V550" s="829"/>
      <c r="W550" s="829"/>
      <c r="X550" s="829"/>
      <c r="Y550" s="829"/>
      <c r="Z550" s="829"/>
    </row>
    <row r="551">
      <c r="A551" s="829"/>
      <c r="B551" s="829"/>
      <c r="C551" s="829"/>
      <c r="D551" s="829"/>
      <c r="E551" s="829"/>
      <c r="F551" s="829"/>
      <c r="G551" s="829"/>
      <c r="H551" s="829"/>
      <c r="I551" s="829"/>
      <c r="J551" s="829"/>
      <c r="K551" s="829"/>
      <c r="L551" s="829"/>
      <c r="M551" s="829"/>
      <c r="N551" s="829"/>
      <c r="O551" s="829"/>
      <c r="P551" s="829"/>
      <c r="Q551" s="829"/>
      <c r="R551" s="829"/>
      <c r="S551" s="829"/>
      <c r="T551" s="829"/>
      <c r="U551" s="829"/>
      <c r="V551" s="829"/>
      <c r="W551" s="829"/>
      <c r="X551" s="829"/>
      <c r="Y551" s="829"/>
      <c r="Z551" s="829"/>
    </row>
    <row r="552">
      <c r="A552" s="829"/>
      <c r="B552" s="829"/>
      <c r="C552" s="829"/>
      <c r="D552" s="829"/>
      <c r="E552" s="829"/>
      <c r="F552" s="829"/>
      <c r="G552" s="829"/>
      <c r="H552" s="829"/>
      <c r="I552" s="829"/>
      <c r="J552" s="829"/>
      <c r="K552" s="829"/>
      <c r="L552" s="829"/>
      <c r="M552" s="829"/>
      <c r="N552" s="829"/>
      <c r="O552" s="829"/>
      <c r="P552" s="829"/>
      <c r="Q552" s="829"/>
      <c r="R552" s="829"/>
      <c r="S552" s="829"/>
      <c r="T552" s="829"/>
      <c r="U552" s="829"/>
      <c r="V552" s="829"/>
      <c r="W552" s="829"/>
      <c r="X552" s="829"/>
      <c r="Y552" s="829"/>
      <c r="Z552" s="829"/>
    </row>
    <row r="553">
      <c r="A553" s="829"/>
      <c r="B553" s="829"/>
      <c r="C553" s="829"/>
      <c r="D553" s="829"/>
      <c r="E553" s="829"/>
      <c r="F553" s="829"/>
      <c r="G553" s="829"/>
      <c r="H553" s="829"/>
      <c r="I553" s="829"/>
      <c r="J553" s="829"/>
      <c r="K553" s="829"/>
      <c r="L553" s="829"/>
      <c r="M553" s="829"/>
      <c r="N553" s="829"/>
      <c r="O553" s="829"/>
      <c r="P553" s="829"/>
      <c r="Q553" s="829"/>
      <c r="R553" s="829"/>
      <c r="S553" s="829"/>
      <c r="T553" s="829"/>
      <c r="U553" s="829"/>
      <c r="V553" s="829"/>
      <c r="W553" s="829"/>
      <c r="X553" s="829"/>
      <c r="Y553" s="829"/>
      <c r="Z553" s="829"/>
    </row>
    <row r="554">
      <c r="A554" s="829"/>
      <c r="B554" s="829"/>
      <c r="C554" s="829"/>
      <c r="D554" s="829"/>
      <c r="E554" s="829"/>
      <c r="F554" s="829"/>
      <c r="G554" s="829"/>
      <c r="H554" s="829"/>
      <c r="I554" s="829"/>
      <c r="J554" s="829"/>
      <c r="K554" s="829"/>
      <c r="L554" s="829"/>
      <c r="M554" s="829"/>
      <c r="N554" s="829"/>
      <c r="O554" s="829"/>
      <c r="P554" s="829"/>
      <c r="Q554" s="829"/>
      <c r="R554" s="829"/>
      <c r="S554" s="829"/>
      <c r="T554" s="829"/>
      <c r="U554" s="829"/>
      <c r="V554" s="829"/>
      <c r="W554" s="829"/>
      <c r="X554" s="829"/>
      <c r="Y554" s="829"/>
      <c r="Z554" s="829"/>
    </row>
    <row r="555">
      <c r="A555" s="829"/>
      <c r="B555" s="829"/>
      <c r="C555" s="829"/>
      <c r="D555" s="829"/>
      <c r="E555" s="829"/>
      <c r="F555" s="829"/>
      <c r="G555" s="829"/>
      <c r="H555" s="829"/>
      <c r="I555" s="829"/>
      <c r="J555" s="829"/>
      <c r="K555" s="829"/>
      <c r="L555" s="829"/>
      <c r="M555" s="829"/>
      <c r="N555" s="829"/>
      <c r="O555" s="829"/>
      <c r="P555" s="829"/>
      <c r="Q555" s="829"/>
      <c r="R555" s="829"/>
      <c r="S555" s="829"/>
      <c r="T555" s="829"/>
      <c r="U555" s="829"/>
      <c r="V555" s="829"/>
      <c r="W555" s="829"/>
      <c r="X555" s="829"/>
      <c r="Y555" s="829"/>
      <c r="Z555" s="829"/>
    </row>
    <row r="556">
      <c r="A556" s="829"/>
      <c r="B556" s="829"/>
      <c r="C556" s="829"/>
      <c r="D556" s="829"/>
      <c r="E556" s="829"/>
      <c r="F556" s="829"/>
      <c r="G556" s="829"/>
      <c r="H556" s="829"/>
      <c r="I556" s="829"/>
      <c r="J556" s="829"/>
      <c r="K556" s="829"/>
      <c r="L556" s="829"/>
      <c r="M556" s="829"/>
      <c r="N556" s="829"/>
      <c r="O556" s="829"/>
      <c r="P556" s="829"/>
      <c r="Q556" s="829"/>
      <c r="R556" s="829"/>
      <c r="S556" s="829"/>
      <c r="T556" s="829"/>
      <c r="U556" s="829"/>
      <c r="V556" s="829"/>
      <c r="W556" s="829"/>
      <c r="X556" s="829"/>
      <c r="Y556" s="829"/>
      <c r="Z556" s="829"/>
    </row>
    <row r="557">
      <c r="A557" s="829"/>
      <c r="B557" s="829"/>
      <c r="C557" s="829"/>
      <c r="D557" s="829"/>
      <c r="E557" s="829"/>
      <c r="F557" s="829"/>
      <c r="G557" s="829"/>
      <c r="H557" s="829"/>
      <c r="I557" s="829"/>
      <c r="J557" s="829"/>
      <c r="K557" s="829"/>
      <c r="L557" s="829"/>
      <c r="M557" s="829"/>
      <c r="N557" s="829"/>
      <c r="O557" s="829"/>
      <c r="P557" s="829"/>
      <c r="Q557" s="829"/>
      <c r="R557" s="829"/>
      <c r="S557" s="829"/>
      <c r="T557" s="829"/>
      <c r="U557" s="829"/>
      <c r="V557" s="829"/>
      <c r="W557" s="829"/>
      <c r="X557" s="829"/>
      <c r="Y557" s="829"/>
      <c r="Z557" s="829"/>
    </row>
    <row r="558">
      <c r="A558" s="829"/>
      <c r="B558" s="829"/>
      <c r="C558" s="829"/>
      <c r="D558" s="829"/>
      <c r="E558" s="829"/>
      <c r="F558" s="829"/>
      <c r="G558" s="829"/>
      <c r="H558" s="829"/>
      <c r="I558" s="829"/>
      <c r="J558" s="829"/>
      <c r="K558" s="829"/>
      <c r="L558" s="829"/>
      <c r="M558" s="829"/>
      <c r="N558" s="829"/>
      <c r="O558" s="829"/>
      <c r="P558" s="829"/>
      <c r="Q558" s="829"/>
      <c r="R558" s="829"/>
      <c r="S558" s="829"/>
      <c r="T558" s="829"/>
      <c r="U558" s="829"/>
      <c r="V558" s="829"/>
      <c r="W558" s="829"/>
      <c r="X558" s="829"/>
      <c r="Y558" s="829"/>
      <c r="Z558" s="829"/>
    </row>
    <row r="559">
      <c r="A559" s="829"/>
      <c r="B559" s="829"/>
      <c r="C559" s="829"/>
      <c r="D559" s="829"/>
      <c r="E559" s="829"/>
      <c r="F559" s="829"/>
      <c r="G559" s="829"/>
      <c r="H559" s="829"/>
      <c r="I559" s="829"/>
      <c r="J559" s="829"/>
      <c r="K559" s="829"/>
      <c r="L559" s="829"/>
      <c r="M559" s="829"/>
      <c r="N559" s="829"/>
      <c r="O559" s="829"/>
      <c r="P559" s="829"/>
      <c r="Q559" s="829"/>
      <c r="R559" s="829"/>
      <c r="S559" s="829"/>
      <c r="T559" s="829"/>
      <c r="U559" s="829"/>
      <c r="V559" s="829"/>
      <c r="W559" s="829"/>
      <c r="X559" s="829"/>
      <c r="Y559" s="829"/>
      <c r="Z559" s="829"/>
    </row>
    <row r="560">
      <c r="A560" s="829"/>
      <c r="B560" s="829"/>
      <c r="C560" s="829"/>
      <c r="D560" s="829"/>
      <c r="E560" s="829"/>
      <c r="F560" s="829"/>
      <c r="G560" s="829"/>
      <c r="H560" s="829"/>
      <c r="I560" s="829"/>
      <c r="J560" s="829"/>
      <c r="K560" s="829"/>
      <c r="L560" s="829"/>
      <c r="M560" s="829"/>
      <c r="N560" s="829"/>
      <c r="O560" s="829"/>
      <c r="P560" s="829"/>
      <c r="Q560" s="829"/>
      <c r="R560" s="829"/>
      <c r="S560" s="829"/>
      <c r="T560" s="829"/>
      <c r="U560" s="829"/>
      <c r="V560" s="829"/>
      <c r="W560" s="829"/>
      <c r="X560" s="829"/>
      <c r="Y560" s="829"/>
      <c r="Z560" s="829"/>
    </row>
    <row r="561">
      <c r="A561" s="829"/>
      <c r="B561" s="829"/>
      <c r="C561" s="829"/>
      <c r="D561" s="829"/>
      <c r="E561" s="829"/>
      <c r="F561" s="829"/>
      <c r="G561" s="829"/>
      <c r="H561" s="829"/>
      <c r="I561" s="829"/>
      <c r="J561" s="829"/>
      <c r="K561" s="829"/>
      <c r="L561" s="829"/>
      <c r="M561" s="829"/>
      <c r="N561" s="829"/>
      <c r="O561" s="829"/>
      <c r="P561" s="829"/>
      <c r="Q561" s="829"/>
      <c r="R561" s="829"/>
      <c r="S561" s="829"/>
      <c r="T561" s="829"/>
      <c r="U561" s="829"/>
      <c r="V561" s="829"/>
      <c r="W561" s="829"/>
      <c r="X561" s="829"/>
      <c r="Y561" s="829"/>
      <c r="Z561" s="829"/>
    </row>
    <row r="562">
      <c r="A562" s="829"/>
      <c r="B562" s="829"/>
      <c r="C562" s="829"/>
      <c r="D562" s="829"/>
      <c r="E562" s="829"/>
      <c r="F562" s="829"/>
      <c r="G562" s="829"/>
      <c r="H562" s="829"/>
      <c r="I562" s="829"/>
      <c r="J562" s="829"/>
      <c r="K562" s="829"/>
      <c r="L562" s="829"/>
      <c r="M562" s="829"/>
      <c r="N562" s="829"/>
      <c r="O562" s="829"/>
      <c r="P562" s="829"/>
      <c r="Q562" s="829"/>
      <c r="R562" s="829"/>
      <c r="S562" s="829"/>
      <c r="T562" s="829"/>
      <c r="U562" s="829"/>
      <c r="V562" s="829"/>
      <c r="W562" s="829"/>
      <c r="X562" s="829"/>
      <c r="Y562" s="829"/>
      <c r="Z562" s="829"/>
    </row>
    <row r="563">
      <c r="A563" s="829"/>
      <c r="B563" s="829"/>
      <c r="C563" s="829"/>
      <c r="D563" s="829"/>
      <c r="E563" s="829"/>
      <c r="F563" s="829"/>
      <c r="G563" s="829"/>
      <c r="H563" s="829"/>
      <c r="I563" s="829"/>
      <c r="J563" s="829"/>
      <c r="K563" s="829"/>
      <c r="L563" s="829"/>
      <c r="M563" s="829"/>
      <c r="N563" s="829"/>
      <c r="O563" s="829"/>
      <c r="P563" s="829"/>
      <c r="Q563" s="829"/>
      <c r="R563" s="829"/>
      <c r="S563" s="829"/>
      <c r="T563" s="829"/>
      <c r="U563" s="829"/>
      <c r="V563" s="829"/>
      <c r="W563" s="829"/>
      <c r="X563" s="829"/>
      <c r="Y563" s="829"/>
      <c r="Z563" s="829"/>
    </row>
    <row r="564">
      <c r="A564" s="829"/>
      <c r="B564" s="829"/>
      <c r="C564" s="829"/>
      <c r="D564" s="829"/>
      <c r="E564" s="829"/>
      <c r="F564" s="829"/>
      <c r="G564" s="829"/>
      <c r="H564" s="829"/>
      <c r="I564" s="829"/>
      <c r="J564" s="829"/>
      <c r="K564" s="829"/>
      <c r="L564" s="829"/>
      <c r="M564" s="829"/>
      <c r="N564" s="829"/>
      <c r="O564" s="829"/>
      <c r="P564" s="829"/>
      <c r="Q564" s="829"/>
      <c r="R564" s="829"/>
      <c r="S564" s="829"/>
      <c r="T564" s="829"/>
      <c r="U564" s="829"/>
      <c r="V564" s="829"/>
      <c r="W564" s="829"/>
      <c r="X564" s="829"/>
      <c r="Y564" s="829"/>
      <c r="Z564" s="829"/>
    </row>
    <row r="565">
      <c r="A565" s="829"/>
      <c r="B565" s="829"/>
      <c r="C565" s="829"/>
      <c r="D565" s="829"/>
      <c r="E565" s="829"/>
      <c r="F565" s="829"/>
      <c r="G565" s="829"/>
      <c r="H565" s="829"/>
      <c r="I565" s="829"/>
      <c r="J565" s="829"/>
      <c r="K565" s="829"/>
      <c r="L565" s="829"/>
      <c r="M565" s="829"/>
      <c r="N565" s="829"/>
      <c r="O565" s="829"/>
      <c r="P565" s="829"/>
      <c r="Q565" s="829"/>
      <c r="R565" s="829"/>
      <c r="S565" s="829"/>
      <c r="T565" s="829"/>
      <c r="U565" s="829"/>
      <c r="V565" s="829"/>
      <c r="W565" s="829"/>
      <c r="X565" s="829"/>
      <c r="Y565" s="829"/>
      <c r="Z565" s="829"/>
    </row>
    <row r="566">
      <c r="A566" s="829"/>
      <c r="B566" s="829"/>
      <c r="C566" s="829"/>
      <c r="D566" s="829"/>
      <c r="E566" s="829"/>
      <c r="F566" s="829"/>
      <c r="G566" s="829"/>
      <c r="H566" s="829"/>
      <c r="I566" s="829"/>
      <c r="J566" s="829"/>
      <c r="K566" s="829"/>
      <c r="L566" s="829"/>
      <c r="M566" s="829"/>
      <c r="N566" s="829"/>
      <c r="O566" s="829"/>
      <c r="P566" s="829"/>
      <c r="Q566" s="829"/>
      <c r="R566" s="829"/>
      <c r="S566" s="829"/>
      <c r="T566" s="829"/>
      <c r="U566" s="829"/>
      <c r="V566" s="829"/>
      <c r="W566" s="829"/>
      <c r="X566" s="829"/>
      <c r="Y566" s="829"/>
      <c r="Z566" s="829"/>
    </row>
    <row r="567">
      <c r="A567" s="829"/>
      <c r="B567" s="829"/>
      <c r="C567" s="829"/>
      <c r="D567" s="829"/>
      <c r="E567" s="829"/>
      <c r="F567" s="829"/>
      <c r="G567" s="829"/>
      <c r="H567" s="829"/>
      <c r="I567" s="829"/>
      <c r="J567" s="829"/>
      <c r="K567" s="829"/>
      <c r="L567" s="829"/>
      <c r="M567" s="829"/>
      <c r="N567" s="829"/>
      <c r="O567" s="829"/>
      <c r="P567" s="829"/>
      <c r="Q567" s="829"/>
      <c r="R567" s="829"/>
      <c r="S567" s="829"/>
      <c r="T567" s="829"/>
      <c r="U567" s="829"/>
      <c r="V567" s="829"/>
      <c r="W567" s="829"/>
      <c r="X567" s="829"/>
      <c r="Y567" s="829"/>
      <c r="Z567" s="829"/>
    </row>
    <row r="568">
      <c r="A568" s="829"/>
      <c r="B568" s="829"/>
      <c r="C568" s="829"/>
      <c r="D568" s="829"/>
      <c r="E568" s="829"/>
      <c r="F568" s="829"/>
      <c r="G568" s="829"/>
      <c r="H568" s="829"/>
      <c r="I568" s="829"/>
      <c r="J568" s="829"/>
      <c r="K568" s="829"/>
      <c r="L568" s="829"/>
      <c r="M568" s="829"/>
      <c r="N568" s="829"/>
      <c r="O568" s="829"/>
      <c r="P568" s="829"/>
      <c r="Q568" s="829"/>
      <c r="R568" s="829"/>
      <c r="S568" s="829"/>
      <c r="T568" s="829"/>
      <c r="U568" s="829"/>
      <c r="V568" s="829"/>
      <c r="W568" s="829"/>
      <c r="X568" s="829"/>
      <c r="Y568" s="829"/>
      <c r="Z568" s="829"/>
    </row>
    <row r="569">
      <c r="A569" s="829"/>
      <c r="B569" s="829"/>
      <c r="C569" s="829"/>
      <c r="D569" s="829"/>
      <c r="E569" s="829"/>
      <c r="F569" s="829"/>
      <c r="G569" s="829"/>
      <c r="H569" s="829"/>
      <c r="I569" s="829"/>
      <c r="J569" s="829"/>
      <c r="K569" s="829"/>
      <c r="L569" s="829"/>
      <c r="M569" s="829"/>
      <c r="N569" s="829"/>
      <c r="O569" s="829"/>
      <c r="P569" s="829"/>
      <c r="Q569" s="829"/>
      <c r="R569" s="829"/>
      <c r="S569" s="829"/>
      <c r="T569" s="829"/>
      <c r="U569" s="829"/>
      <c r="V569" s="829"/>
      <c r="W569" s="829"/>
      <c r="X569" s="829"/>
      <c r="Y569" s="829"/>
      <c r="Z569" s="829"/>
    </row>
    <row r="570">
      <c r="A570" s="829"/>
      <c r="B570" s="829"/>
      <c r="C570" s="829"/>
      <c r="D570" s="829"/>
      <c r="E570" s="829"/>
      <c r="F570" s="829"/>
      <c r="G570" s="829"/>
      <c r="H570" s="829"/>
      <c r="I570" s="829"/>
      <c r="J570" s="829"/>
      <c r="K570" s="829"/>
      <c r="L570" s="829"/>
      <c r="M570" s="829"/>
      <c r="N570" s="829"/>
      <c r="O570" s="829"/>
      <c r="P570" s="829"/>
      <c r="Q570" s="829"/>
      <c r="R570" s="829"/>
      <c r="S570" s="829"/>
      <c r="T570" s="829"/>
      <c r="U570" s="829"/>
      <c r="V570" s="829"/>
      <c r="W570" s="829"/>
      <c r="X570" s="829"/>
      <c r="Y570" s="829"/>
      <c r="Z570" s="829"/>
    </row>
    <row r="571">
      <c r="A571" s="829"/>
      <c r="B571" s="829"/>
      <c r="C571" s="829"/>
      <c r="D571" s="829"/>
      <c r="E571" s="829"/>
      <c r="F571" s="829"/>
      <c r="G571" s="829"/>
      <c r="H571" s="829"/>
      <c r="I571" s="829"/>
      <c r="J571" s="829"/>
      <c r="K571" s="829"/>
      <c r="L571" s="829"/>
      <c r="M571" s="829"/>
      <c r="N571" s="829"/>
      <c r="O571" s="829"/>
      <c r="P571" s="829"/>
      <c r="Q571" s="829"/>
      <c r="R571" s="829"/>
      <c r="S571" s="829"/>
      <c r="T571" s="829"/>
      <c r="U571" s="829"/>
      <c r="V571" s="829"/>
      <c r="W571" s="829"/>
      <c r="X571" s="829"/>
      <c r="Y571" s="829"/>
      <c r="Z571" s="829"/>
    </row>
    <row r="572">
      <c r="A572" s="829"/>
      <c r="B572" s="829"/>
      <c r="C572" s="829"/>
      <c r="D572" s="829"/>
      <c r="E572" s="829"/>
      <c r="F572" s="829"/>
      <c r="G572" s="829"/>
      <c r="H572" s="829"/>
      <c r="I572" s="829"/>
      <c r="J572" s="829"/>
      <c r="K572" s="829"/>
      <c r="L572" s="829"/>
      <c r="M572" s="829"/>
      <c r="N572" s="829"/>
      <c r="O572" s="829"/>
      <c r="P572" s="829"/>
      <c r="Q572" s="829"/>
      <c r="R572" s="829"/>
      <c r="S572" s="829"/>
      <c r="T572" s="829"/>
      <c r="U572" s="829"/>
      <c r="V572" s="829"/>
      <c r="W572" s="829"/>
      <c r="X572" s="829"/>
      <c r="Y572" s="829"/>
      <c r="Z572" s="829"/>
    </row>
    <row r="573">
      <c r="A573" s="829"/>
      <c r="B573" s="829"/>
      <c r="C573" s="829"/>
      <c r="D573" s="829"/>
      <c r="E573" s="829"/>
      <c r="F573" s="829"/>
      <c r="G573" s="829"/>
      <c r="H573" s="829"/>
      <c r="I573" s="829"/>
      <c r="J573" s="829"/>
      <c r="K573" s="829"/>
      <c r="L573" s="829"/>
      <c r="M573" s="829"/>
      <c r="N573" s="829"/>
      <c r="O573" s="829"/>
      <c r="P573" s="829"/>
      <c r="Q573" s="829"/>
      <c r="R573" s="829"/>
      <c r="S573" s="829"/>
      <c r="T573" s="829"/>
      <c r="U573" s="829"/>
      <c r="V573" s="829"/>
      <c r="W573" s="829"/>
      <c r="X573" s="829"/>
      <c r="Y573" s="829"/>
      <c r="Z573" s="829"/>
    </row>
    <row r="574">
      <c r="A574" s="829"/>
      <c r="B574" s="829"/>
      <c r="C574" s="829"/>
      <c r="D574" s="829"/>
      <c r="E574" s="829"/>
      <c r="F574" s="829"/>
      <c r="G574" s="829"/>
      <c r="H574" s="829"/>
      <c r="I574" s="829"/>
      <c r="J574" s="829"/>
      <c r="K574" s="829"/>
      <c r="L574" s="829"/>
      <c r="M574" s="829"/>
      <c r="N574" s="829"/>
      <c r="O574" s="829"/>
      <c r="P574" s="829"/>
      <c r="Q574" s="829"/>
      <c r="R574" s="829"/>
      <c r="S574" s="829"/>
      <c r="T574" s="829"/>
      <c r="U574" s="829"/>
      <c r="V574" s="829"/>
      <c r="W574" s="829"/>
      <c r="X574" s="829"/>
      <c r="Y574" s="829"/>
      <c r="Z574" s="829"/>
    </row>
    <row r="575">
      <c r="A575" s="829"/>
      <c r="B575" s="829"/>
      <c r="C575" s="829"/>
      <c r="D575" s="829"/>
      <c r="E575" s="829"/>
      <c r="F575" s="829"/>
      <c r="G575" s="829"/>
      <c r="H575" s="829"/>
      <c r="I575" s="829"/>
      <c r="J575" s="829"/>
      <c r="K575" s="829"/>
      <c r="L575" s="829"/>
      <c r="M575" s="829"/>
      <c r="N575" s="829"/>
      <c r="O575" s="829"/>
      <c r="P575" s="829"/>
      <c r="Q575" s="829"/>
      <c r="R575" s="829"/>
      <c r="S575" s="829"/>
      <c r="T575" s="829"/>
      <c r="U575" s="829"/>
      <c r="V575" s="829"/>
      <c r="W575" s="829"/>
      <c r="X575" s="829"/>
      <c r="Y575" s="829"/>
      <c r="Z575" s="829"/>
    </row>
    <row r="576">
      <c r="A576" s="829"/>
      <c r="B576" s="829"/>
      <c r="C576" s="829"/>
      <c r="D576" s="829"/>
      <c r="E576" s="829"/>
      <c r="F576" s="829"/>
      <c r="G576" s="829"/>
      <c r="H576" s="829"/>
      <c r="I576" s="829"/>
      <c r="J576" s="829"/>
      <c r="K576" s="829"/>
      <c r="L576" s="829"/>
      <c r="M576" s="829"/>
      <c r="N576" s="829"/>
      <c r="O576" s="829"/>
      <c r="P576" s="829"/>
      <c r="Q576" s="829"/>
      <c r="R576" s="829"/>
      <c r="S576" s="829"/>
      <c r="T576" s="829"/>
      <c r="U576" s="829"/>
      <c r="V576" s="829"/>
      <c r="W576" s="829"/>
      <c r="X576" s="829"/>
      <c r="Y576" s="829"/>
      <c r="Z576" s="829"/>
    </row>
    <row r="577">
      <c r="A577" s="829"/>
      <c r="B577" s="829"/>
      <c r="C577" s="829"/>
      <c r="D577" s="829"/>
      <c r="E577" s="829"/>
      <c r="F577" s="829"/>
      <c r="G577" s="829"/>
      <c r="H577" s="829"/>
      <c r="I577" s="829"/>
      <c r="J577" s="829"/>
      <c r="K577" s="829"/>
      <c r="L577" s="829"/>
      <c r="M577" s="829"/>
      <c r="N577" s="829"/>
      <c r="O577" s="829"/>
      <c r="P577" s="829"/>
      <c r="Q577" s="829"/>
      <c r="R577" s="829"/>
      <c r="S577" s="829"/>
      <c r="T577" s="829"/>
      <c r="U577" s="829"/>
      <c r="V577" s="829"/>
      <c r="W577" s="829"/>
      <c r="X577" s="829"/>
      <c r="Y577" s="829"/>
      <c r="Z577" s="829"/>
    </row>
    <row r="578">
      <c r="A578" s="829"/>
      <c r="B578" s="829"/>
      <c r="C578" s="829"/>
      <c r="D578" s="829"/>
      <c r="E578" s="829"/>
      <c r="F578" s="829"/>
      <c r="G578" s="829"/>
      <c r="H578" s="829"/>
      <c r="I578" s="829"/>
      <c r="J578" s="829"/>
      <c r="K578" s="829"/>
      <c r="L578" s="829"/>
      <c r="M578" s="829"/>
      <c r="N578" s="829"/>
      <c r="O578" s="829"/>
      <c r="P578" s="829"/>
      <c r="Q578" s="829"/>
      <c r="R578" s="829"/>
      <c r="S578" s="829"/>
      <c r="T578" s="829"/>
      <c r="U578" s="829"/>
      <c r="V578" s="829"/>
      <c r="W578" s="829"/>
      <c r="X578" s="829"/>
      <c r="Y578" s="829"/>
      <c r="Z578" s="829"/>
    </row>
    <row r="579">
      <c r="A579" s="829"/>
      <c r="B579" s="829"/>
      <c r="C579" s="829"/>
      <c r="D579" s="829"/>
      <c r="E579" s="829"/>
      <c r="F579" s="829"/>
      <c r="G579" s="829"/>
      <c r="H579" s="829"/>
      <c r="I579" s="829"/>
      <c r="J579" s="829"/>
      <c r="K579" s="829"/>
      <c r="L579" s="829"/>
      <c r="M579" s="829"/>
      <c r="N579" s="829"/>
      <c r="O579" s="829"/>
      <c r="P579" s="829"/>
      <c r="Q579" s="829"/>
      <c r="R579" s="829"/>
      <c r="S579" s="829"/>
      <c r="T579" s="829"/>
      <c r="U579" s="829"/>
      <c r="V579" s="829"/>
      <c r="W579" s="829"/>
      <c r="X579" s="829"/>
      <c r="Y579" s="829"/>
      <c r="Z579" s="829"/>
    </row>
    <row r="580">
      <c r="A580" s="829"/>
      <c r="B580" s="829"/>
      <c r="C580" s="829"/>
      <c r="D580" s="829"/>
      <c r="E580" s="829"/>
      <c r="F580" s="829"/>
      <c r="G580" s="829"/>
      <c r="H580" s="829"/>
      <c r="I580" s="829"/>
      <c r="J580" s="829"/>
      <c r="K580" s="829"/>
      <c r="L580" s="829"/>
      <c r="M580" s="829"/>
      <c r="N580" s="829"/>
      <c r="O580" s="829"/>
      <c r="P580" s="829"/>
      <c r="Q580" s="829"/>
      <c r="R580" s="829"/>
      <c r="S580" s="829"/>
      <c r="T580" s="829"/>
      <c r="U580" s="829"/>
      <c r="V580" s="829"/>
      <c r="W580" s="829"/>
      <c r="X580" s="829"/>
      <c r="Y580" s="829"/>
      <c r="Z580" s="829"/>
    </row>
    <row r="581">
      <c r="A581" s="829"/>
      <c r="B581" s="829"/>
      <c r="C581" s="829"/>
      <c r="D581" s="829"/>
      <c r="E581" s="829"/>
      <c r="F581" s="829"/>
      <c r="G581" s="829"/>
      <c r="H581" s="829"/>
      <c r="I581" s="829"/>
      <c r="J581" s="829"/>
      <c r="K581" s="829"/>
      <c r="L581" s="829"/>
      <c r="M581" s="829"/>
      <c r="N581" s="829"/>
      <c r="O581" s="829"/>
      <c r="P581" s="829"/>
      <c r="Q581" s="829"/>
      <c r="R581" s="829"/>
      <c r="S581" s="829"/>
      <c r="T581" s="829"/>
      <c r="U581" s="829"/>
      <c r="V581" s="829"/>
      <c r="W581" s="829"/>
      <c r="X581" s="829"/>
      <c r="Y581" s="829"/>
      <c r="Z581" s="829"/>
    </row>
    <row r="582">
      <c r="A582" s="829"/>
      <c r="B582" s="829"/>
      <c r="C582" s="829"/>
      <c r="D582" s="829"/>
      <c r="E582" s="829"/>
      <c r="F582" s="829"/>
      <c r="G582" s="829"/>
      <c r="H582" s="829"/>
      <c r="I582" s="829"/>
      <c r="J582" s="829"/>
      <c r="K582" s="829"/>
      <c r="L582" s="829"/>
      <c r="M582" s="829"/>
      <c r="N582" s="829"/>
      <c r="O582" s="829"/>
      <c r="P582" s="829"/>
      <c r="Q582" s="829"/>
      <c r="R582" s="829"/>
      <c r="S582" s="829"/>
      <c r="T582" s="829"/>
      <c r="U582" s="829"/>
      <c r="V582" s="829"/>
      <c r="W582" s="829"/>
      <c r="X582" s="829"/>
      <c r="Y582" s="829"/>
      <c r="Z582" s="829"/>
    </row>
    <row r="583">
      <c r="A583" s="829"/>
      <c r="B583" s="829"/>
      <c r="C583" s="829"/>
      <c r="D583" s="829"/>
      <c r="E583" s="829"/>
      <c r="F583" s="829"/>
      <c r="G583" s="829"/>
      <c r="H583" s="829"/>
      <c r="I583" s="829"/>
      <c r="J583" s="829"/>
      <c r="K583" s="829"/>
      <c r="L583" s="829"/>
      <c r="M583" s="829"/>
      <c r="N583" s="829"/>
      <c r="O583" s="829"/>
      <c r="P583" s="829"/>
      <c r="Q583" s="829"/>
      <c r="R583" s="829"/>
      <c r="S583" s="829"/>
      <c r="T583" s="829"/>
      <c r="U583" s="829"/>
      <c r="V583" s="829"/>
      <c r="W583" s="829"/>
      <c r="X583" s="829"/>
      <c r="Y583" s="829"/>
      <c r="Z583" s="829"/>
    </row>
    <row r="584">
      <c r="A584" s="829"/>
      <c r="B584" s="829"/>
      <c r="C584" s="829"/>
      <c r="D584" s="829"/>
      <c r="E584" s="829"/>
      <c r="F584" s="829"/>
      <c r="G584" s="829"/>
      <c r="H584" s="829"/>
      <c r="I584" s="829"/>
      <c r="J584" s="829"/>
      <c r="K584" s="829"/>
      <c r="L584" s="829"/>
      <c r="M584" s="829"/>
      <c r="N584" s="829"/>
      <c r="O584" s="829"/>
      <c r="P584" s="829"/>
      <c r="Q584" s="829"/>
      <c r="R584" s="829"/>
      <c r="S584" s="829"/>
      <c r="T584" s="829"/>
      <c r="U584" s="829"/>
      <c r="V584" s="829"/>
      <c r="W584" s="829"/>
      <c r="X584" s="829"/>
      <c r="Y584" s="829"/>
      <c r="Z584" s="829"/>
    </row>
    <row r="585">
      <c r="A585" s="829"/>
      <c r="B585" s="829"/>
      <c r="C585" s="829"/>
      <c r="D585" s="829"/>
      <c r="E585" s="829"/>
      <c r="F585" s="829"/>
      <c r="G585" s="829"/>
      <c r="H585" s="829"/>
      <c r="I585" s="829"/>
      <c r="J585" s="829"/>
      <c r="K585" s="829"/>
      <c r="L585" s="829"/>
      <c r="M585" s="829"/>
      <c r="N585" s="829"/>
      <c r="O585" s="829"/>
      <c r="P585" s="829"/>
      <c r="Q585" s="829"/>
      <c r="R585" s="829"/>
      <c r="S585" s="829"/>
      <c r="T585" s="829"/>
      <c r="U585" s="829"/>
      <c r="V585" s="829"/>
      <c r="W585" s="829"/>
      <c r="X585" s="829"/>
      <c r="Y585" s="829"/>
      <c r="Z585" s="829"/>
    </row>
    <row r="586">
      <c r="A586" s="829"/>
      <c r="B586" s="829"/>
      <c r="C586" s="829"/>
      <c r="D586" s="829"/>
      <c r="E586" s="829"/>
      <c r="F586" s="829"/>
      <c r="G586" s="829"/>
      <c r="H586" s="829"/>
      <c r="I586" s="829"/>
      <c r="J586" s="829"/>
      <c r="K586" s="829"/>
      <c r="L586" s="829"/>
      <c r="M586" s="829"/>
      <c r="N586" s="829"/>
      <c r="O586" s="829"/>
      <c r="P586" s="829"/>
      <c r="Q586" s="829"/>
      <c r="R586" s="829"/>
      <c r="S586" s="829"/>
      <c r="T586" s="829"/>
      <c r="U586" s="829"/>
      <c r="V586" s="829"/>
      <c r="W586" s="829"/>
      <c r="X586" s="829"/>
      <c r="Y586" s="829"/>
      <c r="Z586" s="829"/>
    </row>
    <row r="587">
      <c r="A587" s="829"/>
      <c r="B587" s="829"/>
      <c r="C587" s="829"/>
      <c r="D587" s="829"/>
      <c r="E587" s="829"/>
      <c r="F587" s="829"/>
      <c r="G587" s="829"/>
      <c r="H587" s="829"/>
      <c r="I587" s="829"/>
      <c r="J587" s="829"/>
      <c r="K587" s="829"/>
      <c r="L587" s="829"/>
      <c r="M587" s="829"/>
      <c r="N587" s="829"/>
      <c r="O587" s="829"/>
      <c r="P587" s="829"/>
      <c r="Q587" s="829"/>
      <c r="R587" s="829"/>
      <c r="S587" s="829"/>
      <c r="T587" s="829"/>
      <c r="U587" s="829"/>
      <c r="V587" s="829"/>
      <c r="W587" s="829"/>
      <c r="X587" s="829"/>
      <c r="Y587" s="829"/>
      <c r="Z587" s="829"/>
    </row>
    <row r="588">
      <c r="A588" s="829"/>
      <c r="B588" s="829"/>
      <c r="C588" s="829"/>
      <c r="D588" s="829"/>
      <c r="E588" s="829"/>
      <c r="F588" s="829"/>
      <c r="G588" s="829"/>
      <c r="H588" s="829"/>
      <c r="I588" s="829"/>
      <c r="J588" s="829"/>
      <c r="K588" s="829"/>
      <c r="L588" s="829"/>
      <c r="M588" s="829"/>
      <c r="N588" s="829"/>
      <c r="O588" s="829"/>
      <c r="P588" s="829"/>
      <c r="Q588" s="829"/>
      <c r="R588" s="829"/>
      <c r="S588" s="829"/>
      <c r="T588" s="829"/>
      <c r="U588" s="829"/>
      <c r="V588" s="829"/>
      <c r="W588" s="829"/>
      <c r="X588" s="829"/>
      <c r="Y588" s="829"/>
      <c r="Z588" s="829"/>
    </row>
    <row r="589">
      <c r="A589" s="829"/>
      <c r="B589" s="829"/>
      <c r="C589" s="829"/>
      <c r="D589" s="829"/>
      <c r="E589" s="829"/>
      <c r="F589" s="829"/>
      <c r="G589" s="829"/>
      <c r="H589" s="829"/>
      <c r="I589" s="829"/>
      <c r="J589" s="829"/>
      <c r="K589" s="829"/>
      <c r="L589" s="829"/>
      <c r="M589" s="829"/>
      <c r="N589" s="829"/>
      <c r="O589" s="829"/>
      <c r="P589" s="829"/>
      <c r="Q589" s="829"/>
      <c r="R589" s="829"/>
      <c r="S589" s="829"/>
      <c r="T589" s="829"/>
      <c r="U589" s="829"/>
      <c r="V589" s="829"/>
      <c r="W589" s="829"/>
      <c r="X589" s="829"/>
      <c r="Y589" s="829"/>
      <c r="Z589" s="829"/>
    </row>
    <row r="590">
      <c r="A590" s="829"/>
      <c r="B590" s="829"/>
      <c r="C590" s="829"/>
      <c r="D590" s="829"/>
      <c r="E590" s="829"/>
      <c r="F590" s="829"/>
      <c r="G590" s="829"/>
      <c r="H590" s="829"/>
      <c r="I590" s="829"/>
      <c r="J590" s="829"/>
      <c r="K590" s="829"/>
      <c r="L590" s="829"/>
      <c r="M590" s="829"/>
      <c r="N590" s="829"/>
      <c r="O590" s="829"/>
      <c r="P590" s="829"/>
      <c r="Q590" s="829"/>
      <c r="R590" s="829"/>
      <c r="S590" s="829"/>
      <c r="T590" s="829"/>
      <c r="U590" s="829"/>
      <c r="V590" s="829"/>
      <c r="W590" s="829"/>
      <c r="X590" s="829"/>
      <c r="Y590" s="829"/>
      <c r="Z590" s="829"/>
    </row>
    <row r="591">
      <c r="A591" s="829"/>
      <c r="B591" s="829"/>
      <c r="C591" s="829"/>
      <c r="D591" s="829"/>
      <c r="E591" s="829"/>
      <c r="F591" s="829"/>
      <c r="G591" s="829"/>
      <c r="H591" s="829"/>
      <c r="I591" s="829"/>
      <c r="J591" s="829"/>
      <c r="K591" s="829"/>
      <c r="L591" s="829"/>
      <c r="M591" s="829"/>
      <c r="N591" s="829"/>
      <c r="O591" s="829"/>
      <c r="P591" s="829"/>
      <c r="Q591" s="829"/>
      <c r="R591" s="829"/>
      <c r="S591" s="829"/>
      <c r="T591" s="829"/>
      <c r="U591" s="829"/>
      <c r="V591" s="829"/>
      <c r="W591" s="829"/>
      <c r="X591" s="829"/>
      <c r="Y591" s="829"/>
      <c r="Z591" s="829"/>
    </row>
    <row r="592">
      <c r="A592" s="829"/>
      <c r="B592" s="829"/>
      <c r="C592" s="829"/>
      <c r="D592" s="829"/>
      <c r="E592" s="829"/>
      <c r="F592" s="829"/>
      <c r="G592" s="829"/>
      <c r="H592" s="829"/>
      <c r="I592" s="829"/>
      <c r="J592" s="829"/>
      <c r="K592" s="829"/>
      <c r="L592" s="829"/>
      <c r="M592" s="829"/>
      <c r="N592" s="829"/>
      <c r="O592" s="829"/>
      <c r="P592" s="829"/>
      <c r="Q592" s="829"/>
      <c r="R592" s="829"/>
      <c r="S592" s="829"/>
      <c r="T592" s="829"/>
      <c r="U592" s="829"/>
      <c r="V592" s="829"/>
      <c r="W592" s="829"/>
      <c r="X592" s="829"/>
      <c r="Y592" s="829"/>
      <c r="Z592" s="829"/>
    </row>
    <row r="593">
      <c r="A593" s="829"/>
      <c r="B593" s="829"/>
      <c r="C593" s="829"/>
      <c r="D593" s="829"/>
      <c r="E593" s="829"/>
      <c r="F593" s="829"/>
      <c r="G593" s="829"/>
      <c r="H593" s="829"/>
      <c r="I593" s="829"/>
      <c r="J593" s="829"/>
      <c r="K593" s="829"/>
      <c r="L593" s="829"/>
      <c r="M593" s="829"/>
      <c r="N593" s="829"/>
      <c r="O593" s="829"/>
      <c r="P593" s="829"/>
      <c r="Q593" s="829"/>
      <c r="R593" s="829"/>
      <c r="S593" s="829"/>
      <c r="T593" s="829"/>
      <c r="U593" s="829"/>
      <c r="V593" s="829"/>
      <c r="W593" s="829"/>
      <c r="X593" s="829"/>
      <c r="Y593" s="829"/>
      <c r="Z593" s="829"/>
    </row>
    <row r="594">
      <c r="A594" s="829"/>
      <c r="B594" s="829"/>
      <c r="C594" s="829"/>
      <c r="D594" s="829"/>
      <c r="E594" s="829"/>
      <c r="F594" s="829"/>
      <c r="G594" s="829"/>
      <c r="H594" s="829"/>
      <c r="I594" s="829"/>
      <c r="J594" s="829"/>
      <c r="K594" s="829"/>
      <c r="L594" s="829"/>
      <c r="M594" s="829"/>
      <c r="N594" s="829"/>
      <c r="O594" s="829"/>
      <c r="P594" s="829"/>
      <c r="Q594" s="829"/>
      <c r="R594" s="829"/>
      <c r="S594" s="829"/>
      <c r="T594" s="829"/>
      <c r="U594" s="829"/>
      <c r="V594" s="829"/>
      <c r="W594" s="829"/>
      <c r="X594" s="829"/>
      <c r="Y594" s="829"/>
      <c r="Z594" s="829"/>
    </row>
    <row r="595">
      <c r="A595" s="829"/>
      <c r="B595" s="829"/>
      <c r="C595" s="829"/>
      <c r="D595" s="829"/>
      <c r="E595" s="829"/>
      <c r="F595" s="829"/>
      <c r="G595" s="829"/>
      <c r="H595" s="829"/>
      <c r="I595" s="829"/>
      <c r="J595" s="829"/>
      <c r="K595" s="829"/>
      <c r="L595" s="829"/>
      <c r="M595" s="829"/>
      <c r="N595" s="829"/>
      <c r="O595" s="829"/>
      <c r="P595" s="829"/>
      <c r="Q595" s="829"/>
      <c r="R595" s="829"/>
      <c r="S595" s="829"/>
      <c r="T595" s="829"/>
      <c r="U595" s="829"/>
      <c r="V595" s="829"/>
      <c r="W595" s="829"/>
      <c r="X595" s="829"/>
      <c r="Y595" s="829"/>
      <c r="Z595" s="829"/>
    </row>
    <row r="596">
      <c r="A596" s="829"/>
      <c r="B596" s="829"/>
      <c r="C596" s="829"/>
      <c r="D596" s="829"/>
      <c r="E596" s="829"/>
      <c r="F596" s="829"/>
      <c r="G596" s="829"/>
      <c r="H596" s="829"/>
      <c r="I596" s="829"/>
      <c r="J596" s="829"/>
      <c r="K596" s="829"/>
      <c r="L596" s="829"/>
      <c r="M596" s="829"/>
      <c r="N596" s="829"/>
      <c r="O596" s="829"/>
      <c r="P596" s="829"/>
      <c r="Q596" s="829"/>
      <c r="R596" s="829"/>
      <c r="S596" s="829"/>
      <c r="T596" s="829"/>
      <c r="U596" s="829"/>
      <c r="V596" s="829"/>
      <c r="W596" s="829"/>
      <c r="X596" s="829"/>
      <c r="Y596" s="829"/>
      <c r="Z596" s="829"/>
    </row>
    <row r="597">
      <c r="A597" s="829"/>
      <c r="B597" s="829"/>
      <c r="C597" s="829"/>
      <c r="D597" s="829"/>
      <c r="E597" s="829"/>
      <c r="F597" s="829"/>
      <c r="G597" s="829"/>
      <c r="H597" s="829"/>
      <c r="I597" s="829"/>
      <c r="J597" s="829"/>
      <c r="K597" s="829"/>
      <c r="L597" s="829"/>
      <c r="M597" s="829"/>
      <c r="N597" s="829"/>
      <c r="O597" s="829"/>
      <c r="P597" s="829"/>
      <c r="Q597" s="829"/>
      <c r="R597" s="829"/>
      <c r="S597" s="829"/>
      <c r="T597" s="829"/>
      <c r="U597" s="829"/>
      <c r="V597" s="829"/>
      <c r="W597" s="829"/>
      <c r="X597" s="829"/>
      <c r="Y597" s="829"/>
      <c r="Z597" s="829"/>
    </row>
    <row r="598">
      <c r="A598" s="829"/>
      <c r="B598" s="829"/>
      <c r="C598" s="829"/>
      <c r="D598" s="829"/>
      <c r="E598" s="829"/>
      <c r="F598" s="829"/>
      <c r="G598" s="829"/>
      <c r="H598" s="829"/>
      <c r="I598" s="829"/>
      <c r="J598" s="829"/>
      <c r="K598" s="829"/>
      <c r="L598" s="829"/>
      <c r="M598" s="829"/>
      <c r="N598" s="829"/>
      <c r="O598" s="829"/>
      <c r="P598" s="829"/>
      <c r="Q598" s="829"/>
      <c r="R598" s="829"/>
      <c r="S598" s="829"/>
      <c r="T598" s="829"/>
      <c r="U598" s="829"/>
      <c r="V598" s="829"/>
      <c r="W598" s="829"/>
      <c r="X598" s="829"/>
      <c r="Y598" s="829"/>
      <c r="Z598" s="829"/>
    </row>
    <row r="599">
      <c r="A599" s="829"/>
      <c r="B599" s="829"/>
      <c r="C599" s="829"/>
      <c r="D599" s="829"/>
      <c r="E599" s="829"/>
      <c r="F599" s="829"/>
      <c r="G599" s="829"/>
      <c r="H599" s="829"/>
      <c r="I599" s="829"/>
      <c r="J599" s="829"/>
      <c r="K599" s="829"/>
      <c r="L599" s="829"/>
      <c r="M599" s="829"/>
      <c r="N599" s="829"/>
      <c r="O599" s="829"/>
      <c r="P599" s="829"/>
      <c r="Q599" s="829"/>
      <c r="R599" s="829"/>
      <c r="S599" s="829"/>
      <c r="T599" s="829"/>
      <c r="U599" s="829"/>
      <c r="V599" s="829"/>
      <c r="W599" s="829"/>
      <c r="X599" s="829"/>
      <c r="Y599" s="829"/>
      <c r="Z599" s="829"/>
    </row>
    <row r="600">
      <c r="A600" s="829"/>
      <c r="B600" s="829"/>
      <c r="C600" s="829"/>
      <c r="D600" s="829"/>
      <c r="E600" s="829"/>
      <c r="F600" s="829"/>
      <c r="G600" s="829"/>
      <c r="H600" s="829"/>
      <c r="I600" s="829"/>
      <c r="J600" s="829"/>
      <c r="K600" s="829"/>
      <c r="L600" s="829"/>
      <c r="M600" s="829"/>
      <c r="N600" s="829"/>
      <c r="O600" s="829"/>
      <c r="P600" s="829"/>
      <c r="Q600" s="829"/>
      <c r="R600" s="829"/>
      <c r="S600" s="829"/>
      <c r="T600" s="829"/>
      <c r="U600" s="829"/>
      <c r="V600" s="829"/>
      <c r="W600" s="829"/>
      <c r="X600" s="829"/>
      <c r="Y600" s="829"/>
      <c r="Z600" s="829"/>
    </row>
    <row r="601">
      <c r="A601" s="829"/>
      <c r="B601" s="829"/>
      <c r="C601" s="829"/>
      <c r="D601" s="829"/>
      <c r="E601" s="829"/>
      <c r="F601" s="829"/>
      <c r="G601" s="829"/>
      <c r="H601" s="829"/>
      <c r="I601" s="829"/>
      <c r="J601" s="829"/>
      <c r="K601" s="829"/>
      <c r="L601" s="829"/>
      <c r="M601" s="829"/>
      <c r="N601" s="829"/>
      <c r="O601" s="829"/>
      <c r="P601" s="829"/>
      <c r="Q601" s="829"/>
      <c r="R601" s="829"/>
      <c r="S601" s="829"/>
      <c r="T601" s="829"/>
      <c r="U601" s="829"/>
      <c r="V601" s="829"/>
      <c r="W601" s="829"/>
      <c r="X601" s="829"/>
      <c r="Y601" s="829"/>
      <c r="Z601" s="829"/>
    </row>
    <row r="602">
      <c r="A602" s="829"/>
      <c r="B602" s="829"/>
      <c r="C602" s="829"/>
      <c r="D602" s="829"/>
      <c r="E602" s="829"/>
      <c r="F602" s="829"/>
      <c r="G602" s="829"/>
      <c r="H602" s="829"/>
      <c r="I602" s="829"/>
      <c r="J602" s="829"/>
      <c r="K602" s="829"/>
      <c r="L602" s="829"/>
      <c r="M602" s="829"/>
      <c r="N602" s="829"/>
      <c r="O602" s="829"/>
      <c r="P602" s="829"/>
      <c r="Q602" s="829"/>
      <c r="R602" s="829"/>
      <c r="S602" s="829"/>
      <c r="T602" s="829"/>
      <c r="U602" s="829"/>
      <c r="V602" s="829"/>
      <c r="W602" s="829"/>
      <c r="X602" s="829"/>
      <c r="Y602" s="829"/>
      <c r="Z602" s="829"/>
    </row>
    <row r="603">
      <c r="A603" s="829"/>
      <c r="B603" s="829"/>
      <c r="C603" s="829"/>
      <c r="D603" s="829"/>
      <c r="E603" s="829"/>
      <c r="F603" s="829"/>
      <c r="G603" s="829"/>
      <c r="H603" s="829"/>
      <c r="I603" s="829"/>
      <c r="J603" s="829"/>
      <c r="K603" s="829"/>
      <c r="L603" s="829"/>
      <c r="M603" s="829"/>
      <c r="N603" s="829"/>
      <c r="O603" s="829"/>
      <c r="P603" s="829"/>
      <c r="Q603" s="829"/>
      <c r="R603" s="829"/>
      <c r="S603" s="829"/>
      <c r="T603" s="829"/>
      <c r="U603" s="829"/>
      <c r="V603" s="829"/>
      <c r="W603" s="829"/>
      <c r="X603" s="829"/>
      <c r="Y603" s="829"/>
      <c r="Z603" s="829"/>
    </row>
    <row r="604">
      <c r="A604" s="829"/>
      <c r="B604" s="829"/>
      <c r="C604" s="829"/>
      <c r="D604" s="829"/>
      <c r="E604" s="829"/>
      <c r="F604" s="829"/>
      <c r="G604" s="829"/>
      <c r="H604" s="829"/>
      <c r="I604" s="829"/>
      <c r="J604" s="829"/>
      <c r="K604" s="829"/>
      <c r="L604" s="829"/>
      <c r="M604" s="829"/>
      <c r="N604" s="829"/>
      <c r="O604" s="829"/>
      <c r="P604" s="829"/>
      <c r="Q604" s="829"/>
      <c r="R604" s="829"/>
      <c r="S604" s="829"/>
      <c r="T604" s="829"/>
      <c r="U604" s="829"/>
      <c r="V604" s="829"/>
      <c r="W604" s="829"/>
      <c r="X604" s="829"/>
      <c r="Y604" s="829"/>
      <c r="Z604" s="829"/>
    </row>
    <row r="605">
      <c r="A605" s="829"/>
      <c r="B605" s="829"/>
      <c r="C605" s="829"/>
      <c r="D605" s="829"/>
      <c r="E605" s="829"/>
      <c r="F605" s="829"/>
      <c r="G605" s="829"/>
      <c r="H605" s="829"/>
      <c r="I605" s="829"/>
      <c r="J605" s="829"/>
      <c r="K605" s="829"/>
      <c r="L605" s="829"/>
      <c r="M605" s="829"/>
      <c r="N605" s="829"/>
      <c r="O605" s="829"/>
      <c r="P605" s="829"/>
      <c r="Q605" s="829"/>
      <c r="R605" s="829"/>
      <c r="S605" s="829"/>
      <c r="T605" s="829"/>
      <c r="U605" s="829"/>
      <c r="V605" s="829"/>
      <c r="W605" s="829"/>
      <c r="X605" s="829"/>
      <c r="Y605" s="829"/>
      <c r="Z605" s="829"/>
    </row>
    <row r="606">
      <c r="A606" s="829"/>
      <c r="B606" s="829"/>
      <c r="C606" s="829"/>
      <c r="D606" s="829"/>
      <c r="E606" s="829"/>
      <c r="F606" s="829"/>
      <c r="G606" s="829"/>
      <c r="H606" s="829"/>
      <c r="I606" s="829"/>
      <c r="J606" s="829"/>
      <c r="K606" s="829"/>
      <c r="L606" s="829"/>
      <c r="M606" s="829"/>
      <c r="N606" s="829"/>
      <c r="O606" s="829"/>
      <c r="P606" s="829"/>
      <c r="Q606" s="829"/>
      <c r="R606" s="829"/>
      <c r="S606" s="829"/>
      <c r="T606" s="829"/>
      <c r="U606" s="829"/>
      <c r="V606" s="829"/>
      <c r="W606" s="829"/>
      <c r="X606" s="829"/>
      <c r="Y606" s="829"/>
      <c r="Z606" s="829"/>
    </row>
    <row r="607">
      <c r="A607" s="829"/>
      <c r="B607" s="829"/>
      <c r="C607" s="829"/>
      <c r="D607" s="829"/>
      <c r="E607" s="829"/>
      <c r="F607" s="829"/>
      <c r="G607" s="829"/>
      <c r="H607" s="829"/>
      <c r="I607" s="829"/>
      <c r="J607" s="829"/>
      <c r="K607" s="829"/>
      <c r="L607" s="829"/>
      <c r="M607" s="829"/>
      <c r="N607" s="829"/>
      <c r="O607" s="829"/>
      <c r="P607" s="829"/>
      <c r="Q607" s="829"/>
      <c r="R607" s="829"/>
      <c r="S607" s="829"/>
      <c r="T607" s="829"/>
      <c r="U607" s="829"/>
      <c r="V607" s="829"/>
      <c r="W607" s="829"/>
      <c r="X607" s="829"/>
      <c r="Y607" s="829"/>
      <c r="Z607" s="829"/>
    </row>
    <row r="608">
      <c r="A608" s="829"/>
      <c r="B608" s="829"/>
      <c r="C608" s="829"/>
      <c r="D608" s="829"/>
      <c r="E608" s="829"/>
      <c r="F608" s="829"/>
      <c r="G608" s="829"/>
      <c r="H608" s="829"/>
      <c r="I608" s="829"/>
      <c r="J608" s="829"/>
      <c r="K608" s="829"/>
      <c r="L608" s="829"/>
      <c r="M608" s="829"/>
      <c r="N608" s="829"/>
      <c r="O608" s="829"/>
      <c r="P608" s="829"/>
      <c r="Q608" s="829"/>
      <c r="R608" s="829"/>
      <c r="S608" s="829"/>
      <c r="T608" s="829"/>
      <c r="U608" s="829"/>
      <c r="V608" s="829"/>
      <c r="W608" s="829"/>
      <c r="X608" s="829"/>
      <c r="Y608" s="829"/>
      <c r="Z608" s="829"/>
    </row>
    <row r="609">
      <c r="A609" s="829"/>
      <c r="B609" s="829"/>
      <c r="C609" s="829"/>
      <c r="D609" s="829"/>
      <c r="E609" s="829"/>
      <c r="F609" s="829"/>
      <c r="G609" s="829"/>
      <c r="H609" s="829"/>
      <c r="I609" s="829"/>
      <c r="J609" s="829"/>
      <c r="K609" s="829"/>
      <c r="L609" s="829"/>
      <c r="M609" s="829"/>
      <c r="N609" s="829"/>
      <c r="O609" s="829"/>
      <c r="P609" s="829"/>
      <c r="Q609" s="829"/>
      <c r="R609" s="829"/>
      <c r="S609" s="829"/>
      <c r="T609" s="829"/>
      <c r="U609" s="829"/>
      <c r="V609" s="829"/>
      <c r="W609" s="829"/>
      <c r="X609" s="829"/>
      <c r="Y609" s="829"/>
      <c r="Z609" s="829"/>
    </row>
    <row r="610">
      <c r="A610" s="829"/>
      <c r="B610" s="829"/>
      <c r="C610" s="829"/>
      <c r="D610" s="829"/>
      <c r="E610" s="829"/>
      <c r="F610" s="829"/>
      <c r="G610" s="829"/>
      <c r="H610" s="829"/>
      <c r="I610" s="829"/>
      <c r="J610" s="829"/>
      <c r="K610" s="829"/>
      <c r="L610" s="829"/>
      <c r="M610" s="829"/>
      <c r="N610" s="829"/>
      <c r="O610" s="829"/>
      <c r="P610" s="829"/>
      <c r="Q610" s="829"/>
      <c r="R610" s="829"/>
      <c r="S610" s="829"/>
      <c r="T610" s="829"/>
      <c r="U610" s="829"/>
      <c r="V610" s="829"/>
      <c r="W610" s="829"/>
      <c r="X610" s="829"/>
      <c r="Y610" s="829"/>
      <c r="Z610" s="829"/>
    </row>
    <row r="611">
      <c r="A611" s="829"/>
      <c r="B611" s="829"/>
      <c r="C611" s="829"/>
      <c r="D611" s="829"/>
      <c r="E611" s="829"/>
      <c r="F611" s="829"/>
      <c r="G611" s="829"/>
      <c r="H611" s="829"/>
      <c r="I611" s="829"/>
      <c r="J611" s="829"/>
      <c r="K611" s="829"/>
      <c r="L611" s="829"/>
      <c r="M611" s="829"/>
      <c r="N611" s="829"/>
      <c r="O611" s="829"/>
      <c r="P611" s="829"/>
      <c r="Q611" s="829"/>
      <c r="R611" s="829"/>
      <c r="S611" s="829"/>
      <c r="T611" s="829"/>
      <c r="U611" s="829"/>
      <c r="V611" s="829"/>
      <c r="W611" s="829"/>
      <c r="X611" s="829"/>
      <c r="Y611" s="829"/>
      <c r="Z611" s="829"/>
    </row>
    <row r="612">
      <c r="A612" s="829"/>
      <c r="B612" s="829"/>
      <c r="C612" s="829"/>
      <c r="D612" s="829"/>
      <c r="E612" s="829"/>
      <c r="F612" s="829"/>
      <c r="G612" s="829"/>
      <c r="H612" s="829"/>
      <c r="I612" s="829"/>
      <c r="J612" s="829"/>
      <c r="K612" s="829"/>
      <c r="L612" s="829"/>
      <c r="M612" s="829"/>
      <c r="N612" s="829"/>
      <c r="O612" s="829"/>
      <c r="P612" s="829"/>
      <c r="Q612" s="829"/>
      <c r="R612" s="829"/>
      <c r="S612" s="829"/>
      <c r="T612" s="829"/>
      <c r="U612" s="829"/>
      <c r="V612" s="829"/>
      <c r="W612" s="829"/>
      <c r="X612" s="829"/>
      <c r="Y612" s="829"/>
      <c r="Z612" s="829"/>
    </row>
    <row r="613">
      <c r="A613" s="829"/>
      <c r="B613" s="829"/>
      <c r="C613" s="829"/>
      <c r="D613" s="829"/>
      <c r="E613" s="829"/>
      <c r="F613" s="829"/>
      <c r="G613" s="829"/>
      <c r="H613" s="829"/>
      <c r="I613" s="829"/>
      <c r="J613" s="829"/>
      <c r="K613" s="829"/>
      <c r="L613" s="829"/>
      <c r="M613" s="829"/>
      <c r="N613" s="829"/>
      <c r="O613" s="829"/>
      <c r="P613" s="829"/>
      <c r="Q613" s="829"/>
      <c r="R613" s="829"/>
      <c r="S613" s="829"/>
      <c r="T613" s="829"/>
      <c r="U613" s="829"/>
      <c r="V613" s="829"/>
      <c r="W613" s="829"/>
      <c r="X613" s="829"/>
      <c r="Y613" s="829"/>
      <c r="Z613" s="829"/>
    </row>
    <row r="614">
      <c r="A614" s="829"/>
      <c r="B614" s="829"/>
      <c r="C614" s="829"/>
      <c r="D614" s="829"/>
      <c r="E614" s="829"/>
      <c r="F614" s="829"/>
      <c r="G614" s="829"/>
      <c r="H614" s="829"/>
      <c r="I614" s="829"/>
      <c r="J614" s="829"/>
      <c r="K614" s="829"/>
      <c r="L614" s="829"/>
      <c r="M614" s="829"/>
      <c r="N614" s="829"/>
      <c r="O614" s="829"/>
      <c r="P614" s="829"/>
      <c r="Q614" s="829"/>
      <c r="R614" s="829"/>
      <c r="S614" s="829"/>
      <c r="T614" s="829"/>
      <c r="U614" s="829"/>
      <c r="V614" s="829"/>
      <c r="W614" s="829"/>
      <c r="X614" s="829"/>
      <c r="Y614" s="829"/>
      <c r="Z614" s="829"/>
    </row>
    <row r="615">
      <c r="A615" s="829"/>
      <c r="B615" s="829"/>
      <c r="C615" s="829"/>
      <c r="D615" s="829"/>
      <c r="E615" s="829"/>
      <c r="F615" s="829"/>
      <c r="G615" s="829"/>
      <c r="H615" s="829"/>
      <c r="I615" s="829"/>
      <c r="J615" s="829"/>
      <c r="K615" s="829"/>
      <c r="L615" s="829"/>
      <c r="M615" s="829"/>
      <c r="N615" s="829"/>
      <c r="O615" s="829"/>
      <c r="P615" s="829"/>
      <c r="Q615" s="829"/>
      <c r="R615" s="829"/>
      <c r="S615" s="829"/>
      <c r="T615" s="829"/>
      <c r="U615" s="829"/>
      <c r="V615" s="829"/>
      <c r="W615" s="829"/>
      <c r="X615" s="829"/>
      <c r="Y615" s="829"/>
      <c r="Z615" s="829"/>
    </row>
    <row r="616">
      <c r="A616" s="829"/>
      <c r="B616" s="829"/>
      <c r="C616" s="829"/>
      <c r="D616" s="829"/>
      <c r="E616" s="829"/>
      <c r="F616" s="829"/>
      <c r="G616" s="829"/>
      <c r="H616" s="829"/>
      <c r="I616" s="829"/>
      <c r="J616" s="829"/>
      <c r="K616" s="829"/>
      <c r="L616" s="829"/>
      <c r="M616" s="829"/>
      <c r="N616" s="829"/>
      <c r="O616" s="829"/>
      <c r="P616" s="829"/>
      <c r="Q616" s="829"/>
      <c r="R616" s="829"/>
      <c r="S616" s="829"/>
      <c r="T616" s="829"/>
      <c r="U616" s="829"/>
      <c r="V616" s="829"/>
      <c r="W616" s="829"/>
      <c r="X616" s="829"/>
      <c r="Y616" s="829"/>
      <c r="Z616" s="829"/>
    </row>
    <row r="617">
      <c r="A617" s="829"/>
      <c r="B617" s="829"/>
      <c r="C617" s="829"/>
      <c r="D617" s="829"/>
      <c r="E617" s="829"/>
      <c r="F617" s="829"/>
      <c r="G617" s="829"/>
      <c r="H617" s="829"/>
      <c r="I617" s="829"/>
      <c r="J617" s="829"/>
      <c r="K617" s="829"/>
      <c r="L617" s="829"/>
      <c r="M617" s="829"/>
      <c r="N617" s="829"/>
      <c r="O617" s="829"/>
      <c r="P617" s="829"/>
      <c r="Q617" s="829"/>
      <c r="R617" s="829"/>
      <c r="S617" s="829"/>
      <c r="T617" s="829"/>
      <c r="U617" s="829"/>
      <c r="V617" s="829"/>
      <c r="W617" s="829"/>
      <c r="X617" s="829"/>
      <c r="Y617" s="829"/>
      <c r="Z617" s="829"/>
    </row>
    <row r="618">
      <c r="A618" s="829"/>
      <c r="B618" s="829"/>
      <c r="C618" s="829"/>
      <c r="D618" s="829"/>
      <c r="E618" s="829"/>
      <c r="F618" s="829"/>
      <c r="G618" s="829"/>
      <c r="H618" s="829"/>
      <c r="I618" s="829"/>
      <c r="J618" s="829"/>
      <c r="K618" s="829"/>
      <c r="L618" s="829"/>
      <c r="M618" s="829"/>
      <c r="N618" s="829"/>
      <c r="O618" s="829"/>
      <c r="P618" s="829"/>
      <c r="Q618" s="829"/>
      <c r="R618" s="829"/>
      <c r="S618" s="829"/>
      <c r="T618" s="829"/>
      <c r="U618" s="829"/>
      <c r="V618" s="829"/>
      <c r="W618" s="829"/>
      <c r="X618" s="829"/>
      <c r="Y618" s="829"/>
      <c r="Z618" s="829"/>
    </row>
    <row r="619">
      <c r="A619" s="829"/>
      <c r="B619" s="829"/>
      <c r="C619" s="829"/>
      <c r="D619" s="829"/>
      <c r="E619" s="829"/>
      <c r="F619" s="829"/>
      <c r="G619" s="829"/>
      <c r="H619" s="829"/>
      <c r="I619" s="829"/>
      <c r="J619" s="829"/>
      <c r="K619" s="829"/>
      <c r="L619" s="829"/>
      <c r="M619" s="829"/>
      <c r="N619" s="829"/>
      <c r="O619" s="829"/>
      <c r="P619" s="829"/>
      <c r="Q619" s="829"/>
      <c r="R619" s="829"/>
      <c r="S619" s="829"/>
      <c r="T619" s="829"/>
      <c r="U619" s="829"/>
      <c r="V619" s="829"/>
      <c r="W619" s="829"/>
      <c r="X619" s="829"/>
      <c r="Y619" s="829"/>
      <c r="Z619" s="829"/>
    </row>
    <row r="620">
      <c r="A620" s="829"/>
      <c r="B620" s="829"/>
      <c r="C620" s="829"/>
      <c r="D620" s="829"/>
      <c r="E620" s="829"/>
      <c r="F620" s="829"/>
      <c r="G620" s="829"/>
      <c r="H620" s="829"/>
      <c r="I620" s="829"/>
      <c r="J620" s="829"/>
      <c r="K620" s="829"/>
      <c r="L620" s="829"/>
      <c r="M620" s="829"/>
      <c r="N620" s="829"/>
      <c r="O620" s="829"/>
      <c r="P620" s="829"/>
      <c r="Q620" s="829"/>
      <c r="R620" s="829"/>
      <c r="S620" s="829"/>
      <c r="T620" s="829"/>
      <c r="U620" s="829"/>
      <c r="V620" s="829"/>
      <c r="W620" s="829"/>
      <c r="X620" s="829"/>
      <c r="Y620" s="829"/>
      <c r="Z620" s="829"/>
    </row>
    <row r="621">
      <c r="A621" s="829"/>
      <c r="B621" s="829"/>
      <c r="C621" s="829"/>
      <c r="D621" s="829"/>
      <c r="E621" s="829"/>
      <c r="F621" s="829"/>
      <c r="G621" s="829"/>
      <c r="H621" s="829"/>
      <c r="I621" s="829"/>
      <c r="J621" s="829"/>
      <c r="K621" s="829"/>
      <c r="L621" s="829"/>
      <c r="M621" s="829"/>
      <c r="N621" s="829"/>
      <c r="O621" s="829"/>
      <c r="P621" s="829"/>
      <c r="Q621" s="829"/>
      <c r="R621" s="829"/>
      <c r="S621" s="829"/>
      <c r="T621" s="829"/>
      <c r="U621" s="829"/>
      <c r="V621" s="829"/>
      <c r="W621" s="829"/>
      <c r="X621" s="829"/>
      <c r="Y621" s="829"/>
      <c r="Z621" s="829"/>
    </row>
    <row r="622">
      <c r="A622" s="829"/>
      <c r="B622" s="829"/>
      <c r="C622" s="829"/>
      <c r="D622" s="829"/>
      <c r="E622" s="829"/>
      <c r="F622" s="829"/>
      <c r="G622" s="829"/>
      <c r="H622" s="829"/>
      <c r="I622" s="829"/>
      <c r="J622" s="829"/>
      <c r="K622" s="829"/>
      <c r="L622" s="829"/>
      <c r="M622" s="829"/>
      <c r="N622" s="829"/>
      <c r="O622" s="829"/>
      <c r="P622" s="829"/>
      <c r="Q622" s="829"/>
      <c r="R622" s="829"/>
      <c r="S622" s="829"/>
      <c r="T622" s="829"/>
      <c r="U622" s="829"/>
      <c r="V622" s="829"/>
      <c r="W622" s="829"/>
      <c r="X622" s="829"/>
      <c r="Y622" s="829"/>
      <c r="Z622" s="829"/>
    </row>
    <row r="623">
      <c r="A623" s="829"/>
      <c r="B623" s="829"/>
      <c r="C623" s="829"/>
      <c r="D623" s="829"/>
      <c r="E623" s="829"/>
      <c r="F623" s="829"/>
      <c r="G623" s="829"/>
      <c r="H623" s="829"/>
      <c r="I623" s="829"/>
      <c r="J623" s="829"/>
      <c r="K623" s="829"/>
      <c r="L623" s="829"/>
      <c r="M623" s="829"/>
      <c r="N623" s="829"/>
      <c r="O623" s="829"/>
      <c r="P623" s="829"/>
      <c r="Q623" s="829"/>
      <c r="R623" s="829"/>
      <c r="S623" s="829"/>
      <c r="T623" s="829"/>
      <c r="U623" s="829"/>
      <c r="V623" s="829"/>
      <c r="W623" s="829"/>
      <c r="X623" s="829"/>
      <c r="Y623" s="829"/>
      <c r="Z623" s="829"/>
    </row>
    <row r="624">
      <c r="A624" s="829"/>
      <c r="B624" s="829"/>
      <c r="C624" s="829"/>
      <c r="D624" s="829"/>
      <c r="E624" s="829"/>
      <c r="F624" s="829"/>
      <c r="G624" s="829"/>
      <c r="H624" s="829"/>
      <c r="I624" s="829"/>
      <c r="J624" s="829"/>
      <c r="K624" s="829"/>
      <c r="L624" s="829"/>
      <c r="M624" s="829"/>
      <c r="N624" s="829"/>
      <c r="O624" s="829"/>
      <c r="P624" s="829"/>
      <c r="Q624" s="829"/>
      <c r="R624" s="829"/>
      <c r="S624" s="829"/>
      <c r="T624" s="829"/>
      <c r="U624" s="829"/>
      <c r="V624" s="829"/>
      <c r="W624" s="829"/>
      <c r="X624" s="829"/>
      <c r="Y624" s="829"/>
      <c r="Z624" s="829"/>
    </row>
    <row r="625">
      <c r="A625" s="829"/>
      <c r="B625" s="829"/>
      <c r="C625" s="829"/>
      <c r="D625" s="829"/>
      <c r="E625" s="829"/>
      <c r="F625" s="829"/>
      <c r="G625" s="829"/>
      <c r="H625" s="829"/>
      <c r="I625" s="829"/>
      <c r="J625" s="829"/>
      <c r="K625" s="829"/>
      <c r="L625" s="829"/>
      <c r="M625" s="829"/>
      <c r="N625" s="829"/>
      <c r="O625" s="829"/>
      <c r="P625" s="829"/>
      <c r="Q625" s="829"/>
      <c r="R625" s="829"/>
      <c r="S625" s="829"/>
      <c r="T625" s="829"/>
      <c r="U625" s="829"/>
      <c r="V625" s="829"/>
      <c r="W625" s="829"/>
      <c r="X625" s="829"/>
      <c r="Y625" s="829"/>
      <c r="Z625" s="829"/>
    </row>
    <row r="626">
      <c r="A626" s="829"/>
      <c r="B626" s="829"/>
      <c r="C626" s="829"/>
      <c r="D626" s="829"/>
      <c r="E626" s="829"/>
      <c r="F626" s="829"/>
      <c r="G626" s="829"/>
      <c r="H626" s="829"/>
      <c r="I626" s="829"/>
      <c r="J626" s="829"/>
      <c r="K626" s="829"/>
      <c r="L626" s="829"/>
      <c r="M626" s="829"/>
      <c r="N626" s="829"/>
      <c r="O626" s="829"/>
      <c r="P626" s="829"/>
      <c r="Q626" s="829"/>
      <c r="R626" s="829"/>
      <c r="S626" s="829"/>
      <c r="T626" s="829"/>
      <c r="U626" s="829"/>
      <c r="V626" s="829"/>
      <c r="W626" s="829"/>
      <c r="X626" s="829"/>
      <c r="Y626" s="829"/>
      <c r="Z626" s="829"/>
    </row>
    <row r="627">
      <c r="A627" s="829"/>
      <c r="B627" s="829"/>
      <c r="C627" s="829"/>
      <c r="D627" s="829"/>
      <c r="E627" s="829"/>
      <c r="F627" s="829"/>
      <c r="G627" s="829"/>
      <c r="H627" s="829"/>
      <c r="I627" s="829"/>
      <c r="J627" s="829"/>
      <c r="K627" s="829"/>
      <c r="L627" s="829"/>
      <c r="M627" s="829"/>
      <c r="N627" s="829"/>
      <c r="O627" s="829"/>
      <c r="P627" s="829"/>
      <c r="Q627" s="829"/>
      <c r="R627" s="829"/>
      <c r="S627" s="829"/>
      <c r="T627" s="829"/>
      <c r="U627" s="829"/>
      <c r="V627" s="829"/>
      <c r="W627" s="829"/>
      <c r="X627" s="829"/>
      <c r="Y627" s="829"/>
      <c r="Z627" s="829"/>
    </row>
    <row r="628">
      <c r="A628" s="829"/>
      <c r="B628" s="829"/>
      <c r="C628" s="829"/>
      <c r="D628" s="829"/>
      <c r="E628" s="829"/>
      <c r="F628" s="829"/>
      <c r="G628" s="829"/>
      <c r="H628" s="829"/>
      <c r="I628" s="829"/>
      <c r="J628" s="829"/>
      <c r="K628" s="829"/>
      <c r="L628" s="829"/>
      <c r="M628" s="829"/>
      <c r="N628" s="829"/>
      <c r="O628" s="829"/>
      <c r="P628" s="829"/>
      <c r="Q628" s="829"/>
      <c r="R628" s="829"/>
      <c r="S628" s="829"/>
      <c r="T628" s="829"/>
      <c r="U628" s="829"/>
      <c r="V628" s="829"/>
      <c r="W628" s="829"/>
      <c r="X628" s="829"/>
      <c r="Y628" s="829"/>
      <c r="Z628" s="829"/>
    </row>
    <row r="629">
      <c r="A629" s="829"/>
      <c r="B629" s="829"/>
      <c r="C629" s="829"/>
      <c r="D629" s="829"/>
      <c r="E629" s="829"/>
      <c r="F629" s="829"/>
      <c r="G629" s="829"/>
      <c r="H629" s="829"/>
      <c r="I629" s="829"/>
      <c r="J629" s="829"/>
      <c r="K629" s="829"/>
      <c r="L629" s="829"/>
      <c r="M629" s="829"/>
      <c r="N629" s="829"/>
      <c r="O629" s="829"/>
      <c r="P629" s="829"/>
      <c r="Q629" s="829"/>
      <c r="R629" s="829"/>
      <c r="S629" s="829"/>
      <c r="T629" s="829"/>
      <c r="U629" s="829"/>
      <c r="V629" s="829"/>
      <c r="W629" s="829"/>
      <c r="X629" s="829"/>
      <c r="Y629" s="829"/>
      <c r="Z629" s="829"/>
    </row>
    <row r="630">
      <c r="A630" s="829"/>
      <c r="B630" s="829"/>
      <c r="C630" s="829"/>
      <c r="D630" s="829"/>
      <c r="E630" s="829"/>
      <c r="F630" s="829"/>
      <c r="G630" s="829"/>
      <c r="H630" s="829"/>
      <c r="I630" s="829"/>
      <c r="J630" s="829"/>
      <c r="K630" s="829"/>
      <c r="L630" s="829"/>
      <c r="M630" s="829"/>
      <c r="N630" s="829"/>
      <c r="O630" s="829"/>
      <c r="P630" s="829"/>
      <c r="Q630" s="829"/>
      <c r="R630" s="829"/>
      <c r="S630" s="829"/>
      <c r="T630" s="829"/>
      <c r="U630" s="829"/>
      <c r="V630" s="829"/>
      <c r="W630" s="829"/>
      <c r="X630" s="829"/>
      <c r="Y630" s="829"/>
      <c r="Z630" s="829"/>
    </row>
    <row r="631">
      <c r="A631" s="829"/>
      <c r="B631" s="829"/>
      <c r="C631" s="829"/>
      <c r="D631" s="829"/>
      <c r="E631" s="829"/>
      <c r="F631" s="829"/>
      <c r="G631" s="829"/>
      <c r="H631" s="829"/>
      <c r="I631" s="829"/>
      <c r="J631" s="829"/>
      <c r="K631" s="829"/>
      <c r="L631" s="829"/>
      <c r="M631" s="829"/>
      <c r="N631" s="829"/>
      <c r="O631" s="829"/>
      <c r="P631" s="829"/>
      <c r="Q631" s="829"/>
      <c r="R631" s="829"/>
      <c r="S631" s="829"/>
      <c r="T631" s="829"/>
      <c r="U631" s="829"/>
      <c r="V631" s="829"/>
      <c r="W631" s="829"/>
      <c r="X631" s="829"/>
      <c r="Y631" s="829"/>
      <c r="Z631" s="829"/>
    </row>
    <row r="632">
      <c r="A632" s="829"/>
      <c r="B632" s="829"/>
      <c r="C632" s="829"/>
      <c r="D632" s="829"/>
      <c r="E632" s="829"/>
      <c r="F632" s="829"/>
      <c r="G632" s="829"/>
      <c r="H632" s="829"/>
      <c r="I632" s="829"/>
      <c r="J632" s="829"/>
      <c r="K632" s="829"/>
      <c r="L632" s="829"/>
      <c r="M632" s="829"/>
      <c r="N632" s="829"/>
      <c r="O632" s="829"/>
      <c r="P632" s="829"/>
      <c r="Q632" s="829"/>
      <c r="R632" s="829"/>
      <c r="S632" s="829"/>
      <c r="T632" s="829"/>
      <c r="U632" s="829"/>
      <c r="V632" s="829"/>
      <c r="W632" s="829"/>
      <c r="X632" s="829"/>
      <c r="Y632" s="829"/>
      <c r="Z632" s="829"/>
    </row>
    <row r="633">
      <c r="A633" s="829"/>
      <c r="B633" s="829"/>
      <c r="C633" s="829"/>
      <c r="D633" s="829"/>
      <c r="E633" s="829"/>
      <c r="F633" s="829"/>
      <c r="G633" s="829"/>
      <c r="H633" s="829"/>
      <c r="I633" s="829"/>
      <c r="J633" s="829"/>
      <c r="K633" s="829"/>
      <c r="L633" s="829"/>
      <c r="M633" s="829"/>
      <c r="N633" s="829"/>
      <c r="O633" s="829"/>
      <c r="P633" s="829"/>
      <c r="Q633" s="829"/>
      <c r="R633" s="829"/>
      <c r="S633" s="829"/>
      <c r="T633" s="829"/>
      <c r="U633" s="829"/>
      <c r="V633" s="829"/>
      <c r="W633" s="829"/>
      <c r="X633" s="829"/>
      <c r="Y633" s="829"/>
      <c r="Z633" s="829"/>
    </row>
    <row r="634">
      <c r="A634" s="829"/>
      <c r="B634" s="829"/>
      <c r="C634" s="829"/>
      <c r="D634" s="829"/>
      <c r="E634" s="829"/>
      <c r="F634" s="829"/>
      <c r="G634" s="829"/>
      <c r="H634" s="829"/>
      <c r="I634" s="829"/>
      <c r="J634" s="829"/>
      <c r="K634" s="829"/>
      <c r="L634" s="829"/>
      <c r="M634" s="829"/>
      <c r="N634" s="829"/>
      <c r="O634" s="829"/>
      <c r="P634" s="829"/>
      <c r="Q634" s="829"/>
      <c r="R634" s="829"/>
      <c r="S634" s="829"/>
      <c r="T634" s="829"/>
      <c r="U634" s="829"/>
      <c r="V634" s="829"/>
      <c r="W634" s="829"/>
      <c r="X634" s="829"/>
      <c r="Y634" s="829"/>
      <c r="Z634" s="829"/>
    </row>
    <row r="635">
      <c r="A635" s="829"/>
      <c r="B635" s="829"/>
      <c r="C635" s="829"/>
      <c r="D635" s="829"/>
      <c r="E635" s="829"/>
      <c r="F635" s="829"/>
      <c r="G635" s="829"/>
      <c r="H635" s="829"/>
      <c r="I635" s="829"/>
      <c r="J635" s="829"/>
      <c r="K635" s="829"/>
      <c r="L635" s="829"/>
      <c r="M635" s="829"/>
      <c r="N635" s="829"/>
      <c r="O635" s="829"/>
      <c r="P635" s="829"/>
      <c r="Q635" s="829"/>
      <c r="R635" s="829"/>
      <c r="S635" s="829"/>
      <c r="T635" s="829"/>
      <c r="U635" s="829"/>
      <c r="V635" s="829"/>
      <c r="W635" s="829"/>
      <c r="X635" s="829"/>
      <c r="Y635" s="829"/>
      <c r="Z635" s="829"/>
    </row>
    <row r="636">
      <c r="A636" s="829"/>
      <c r="B636" s="829"/>
      <c r="C636" s="829"/>
      <c r="D636" s="829"/>
      <c r="E636" s="829"/>
      <c r="F636" s="829"/>
      <c r="G636" s="829"/>
      <c r="H636" s="829"/>
      <c r="I636" s="829"/>
      <c r="J636" s="829"/>
      <c r="K636" s="829"/>
      <c r="L636" s="829"/>
      <c r="M636" s="829"/>
      <c r="N636" s="829"/>
      <c r="O636" s="829"/>
      <c r="P636" s="829"/>
      <c r="Q636" s="829"/>
      <c r="R636" s="829"/>
      <c r="S636" s="829"/>
      <c r="T636" s="829"/>
      <c r="U636" s="829"/>
      <c r="V636" s="829"/>
      <c r="W636" s="829"/>
      <c r="X636" s="829"/>
      <c r="Y636" s="829"/>
      <c r="Z636" s="829"/>
    </row>
    <row r="637">
      <c r="A637" s="829"/>
      <c r="B637" s="829"/>
      <c r="C637" s="829"/>
      <c r="D637" s="829"/>
      <c r="E637" s="829"/>
      <c r="F637" s="829"/>
      <c r="G637" s="829"/>
      <c r="H637" s="829"/>
      <c r="I637" s="829"/>
      <c r="J637" s="829"/>
      <c r="K637" s="829"/>
      <c r="L637" s="829"/>
      <c r="M637" s="829"/>
      <c r="N637" s="829"/>
      <c r="O637" s="829"/>
      <c r="P637" s="829"/>
      <c r="Q637" s="829"/>
      <c r="R637" s="829"/>
      <c r="S637" s="829"/>
      <c r="T637" s="829"/>
      <c r="U637" s="829"/>
      <c r="V637" s="829"/>
      <c r="W637" s="829"/>
      <c r="X637" s="829"/>
      <c r="Y637" s="829"/>
      <c r="Z637" s="829"/>
    </row>
    <row r="638">
      <c r="A638" s="829"/>
      <c r="B638" s="829"/>
      <c r="C638" s="829"/>
      <c r="D638" s="829"/>
      <c r="E638" s="829"/>
      <c r="F638" s="829"/>
      <c r="G638" s="829"/>
      <c r="H638" s="829"/>
      <c r="I638" s="829"/>
      <c r="J638" s="829"/>
      <c r="K638" s="829"/>
      <c r="L638" s="829"/>
      <c r="M638" s="829"/>
      <c r="N638" s="829"/>
      <c r="O638" s="829"/>
      <c r="P638" s="829"/>
      <c r="Q638" s="829"/>
      <c r="R638" s="829"/>
      <c r="S638" s="829"/>
      <c r="T638" s="829"/>
      <c r="U638" s="829"/>
      <c r="V638" s="829"/>
      <c r="W638" s="829"/>
      <c r="X638" s="829"/>
      <c r="Y638" s="829"/>
      <c r="Z638" s="829"/>
    </row>
    <row r="639">
      <c r="A639" s="829"/>
      <c r="B639" s="829"/>
      <c r="C639" s="829"/>
      <c r="D639" s="829"/>
      <c r="E639" s="829"/>
      <c r="F639" s="829"/>
      <c r="G639" s="829"/>
      <c r="H639" s="829"/>
      <c r="I639" s="829"/>
      <c r="J639" s="829"/>
      <c r="K639" s="829"/>
      <c r="L639" s="829"/>
      <c r="M639" s="829"/>
      <c r="N639" s="829"/>
      <c r="O639" s="829"/>
      <c r="P639" s="829"/>
      <c r="Q639" s="829"/>
      <c r="R639" s="829"/>
      <c r="S639" s="829"/>
      <c r="T639" s="829"/>
      <c r="U639" s="829"/>
      <c r="V639" s="829"/>
      <c r="W639" s="829"/>
      <c r="X639" s="829"/>
      <c r="Y639" s="829"/>
      <c r="Z639" s="829"/>
    </row>
    <row r="640">
      <c r="A640" s="829"/>
      <c r="B640" s="829"/>
      <c r="C640" s="829"/>
      <c r="D640" s="829"/>
      <c r="E640" s="829"/>
      <c r="F640" s="829"/>
      <c r="G640" s="829"/>
      <c r="H640" s="829"/>
      <c r="I640" s="829"/>
      <c r="J640" s="829"/>
      <c r="K640" s="829"/>
      <c r="L640" s="829"/>
      <c r="M640" s="829"/>
      <c r="N640" s="829"/>
      <c r="O640" s="829"/>
      <c r="P640" s="829"/>
      <c r="Q640" s="829"/>
      <c r="R640" s="829"/>
      <c r="S640" s="829"/>
      <c r="T640" s="829"/>
      <c r="U640" s="829"/>
      <c r="V640" s="829"/>
      <c r="W640" s="829"/>
      <c r="X640" s="829"/>
      <c r="Y640" s="829"/>
      <c r="Z640" s="829"/>
    </row>
    <row r="641">
      <c r="A641" s="829"/>
      <c r="B641" s="829"/>
      <c r="C641" s="829"/>
      <c r="D641" s="829"/>
      <c r="E641" s="829"/>
      <c r="F641" s="829"/>
      <c r="G641" s="829"/>
      <c r="H641" s="829"/>
      <c r="I641" s="829"/>
      <c r="J641" s="829"/>
      <c r="K641" s="829"/>
      <c r="L641" s="829"/>
      <c r="M641" s="829"/>
      <c r="N641" s="829"/>
      <c r="O641" s="829"/>
      <c r="P641" s="829"/>
      <c r="Q641" s="829"/>
      <c r="R641" s="829"/>
      <c r="S641" s="829"/>
      <c r="T641" s="829"/>
      <c r="U641" s="829"/>
      <c r="V641" s="829"/>
      <c r="W641" s="829"/>
      <c r="X641" s="829"/>
      <c r="Y641" s="829"/>
      <c r="Z641" s="829"/>
    </row>
    <row r="642">
      <c r="A642" s="829"/>
      <c r="B642" s="829"/>
      <c r="C642" s="829"/>
      <c r="D642" s="829"/>
      <c r="E642" s="829"/>
      <c r="F642" s="829"/>
      <c r="G642" s="829"/>
      <c r="H642" s="829"/>
      <c r="I642" s="829"/>
      <c r="J642" s="829"/>
      <c r="K642" s="829"/>
      <c r="L642" s="829"/>
      <c r="M642" s="829"/>
      <c r="N642" s="829"/>
      <c r="O642" s="829"/>
      <c r="P642" s="829"/>
      <c r="Q642" s="829"/>
      <c r="R642" s="829"/>
      <c r="S642" s="829"/>
      <c r="T642" s="829"/>
      <c r="U642" s="829"/>
      <c r="V642" s="829"/>
      <c r="W642" s="829"/>
      <c r="X642" s="829"/>
      <c r="Y642" s="829"/>
      <c r="Z642" s="829"/>
    </row>
    <row r="643">
      <c r="A643" s="829"/>
      <c r="B643" s="829"/>
      <c r="C643" s="829"/>
      <c r="D643" s="829"/>
      <c r="E643" s="829"/>
      <c r="F643" s="829"/>
      <c r="G643" s="829"/>
      <c r="H643" s="829"/>
      <c r="I643" s="829"/>
      <c r="J643" s="829"/>
      <c r="K643" s="829"/>
      <c r="L643" s="829"/>
      <c r="M643" s="829"/>
      <c r="N643" s="829"/>
      <c r="O643" s="829"/>
      <c r="P643" s="829"/>
      <c r="Q643" s="829"/>
      <c r="R643" s="829"/>
      <c r="S643" s="829"/>
      <c r="T643" s="829"/>
      <c r="U643" s="829"/>
      <c r="V643" s="829"/>
      <c r="W643" s="829"/>
      <c r="X643" s="829"/>
      <c r="Y643" s="829"/>
      <c r="Z643" s="829"/>
    </row>
    <row r="644">
      <c r="A644" s="829"/>
      <c r="B644" s="829"/>
      <c r="C644" s="829"/>
      <c r="D644" s="829"/>
      <c r="E644" s="829"/>
      <c r="F644" s="829"/>
      <c r="G644" s="829"/>
      <c r="H644" s="829"/>
      <c r="I644" s="829"/>
      <c r="J644" s="829"/>
      <c r="K644" s="829"/>
      <c r="L644" s="829"/>
      <c r="M644" s="829"/>
      <c r="N644" s="829"/>
      <c r="O644" s="829"/>
      <c r="P644" s="829"/>
      <c r="Q644" s="829"/>
      <c r="R644" s="829"/>
      <c r="S644" s="829"/>
      <c r="T644" s="829"/>
      <c r="U644" s="829"/>
      <c r="V644" s="829"/>
      <c r="W644" s="829"/>
      <c r="X644" s="829"/>
      <c r="Y644" s="829"/>
      <c r="Z644" s="829"/>
    </row>
    <row r="645">
      <c r="A645" s="829"/>
      <c r="B645" s="829"/>
      <c r="C645" s="829"/>
      <c r="D645" s="829"/>
      <c r="E645" s="829"/>
      <c r="F645" s="829"/>
      <c r="G645" s="829"/>
      <c r="H645" s="829"/>
      <c r="I645" s="829"/>
      <c r="J645" s="829"/>
      <c r="K645" s="829"/>
      <c r="L645" s="829"/>
      <c r="M645" s="829"/>
      <c r="N645" s="829"/>
      <c r="O645" s="829"/>
      <c r="P645" s="829"/>
      <c r="Q645" s="829"/>
      <c r="R645" s="829"/>
      <c r="S645" s="829"/>
      <c r="T645" s="829"/>
      <c r="U645" s="829"/>
      <c r="V645" s="829"/>
      <c r="W645" s="829"/>
      <c r="X645" s="829"/>
      <c r="Y645" s="829"/>
      <c r="Z645" s="829"/>
    </row>
    <row r="646">
      <c r="A646" s="829"/>
      <c r="B646" s="829"/>
      <c r="C646" s="829"/>
      <c r="D646" s="829"/>
      <c r="E646" s="829"/>
      <c r="F646" s="829"/>
      <c r="G646" s="829"/>
      <c r="H646" s="829"/>
      <c r="I646" s="829"/>
      <c r="J646" s="829"/>
      <c r="K646" s="829"/>
      <c r="L646" s="829"/>
      <c r="M646" s="829"/>
      <c r="N646" s="829"/>
      <c r="O646" s="829"/>
      <c r="P646" s="829"/>
      <c r="Q646" s="829"/>
      <c r="R646" s="829"/>
      <c r="S646" s="829"/>
      <c r="T646" s="829"/>
      <c r="U646" s="829"/>
      <c r="V646" s="829"/>
      <c r="W646" s="829"/>
      <c r="X646" s="829"/>
      <c r="Y646" s="829"/>
      <c r="Z646" s="829"/>
    </row>
    <row r="647">
      <c r="A647" s="829"/>
      <c r="B647" s="829"/>
      <c r="C647" s="829"/>
      <c r="D647" s="829"/>
      <c r="E647" s="829"/>
      <c r="F647" s="829"/>
      <c r="G647" s="829"/>
      <c r="H647" s="829"/>
      <c r="I647" s="829"/>
      <c r="J647" s="829"/>
      <c r="K647" s="829"/>
      <c r="L647" s="829"/>
      <c r="M647" s="829"/>
      <c r="N647" s="829"/>
      <c r="O647" s="829"/>
      <c r="P647" s="829"/>
      <c r="Q647" s="829"/>
      <c r="R647" s="829"/>
      <c r="S647" s="829"/>
      <c r="T647" s="829"/>
      <c r="U647" s="829"/>
      <c r="V647" s="829"/>
      <c r="W647" s="829"/>
      <c r="X647" s="829"/>
      <c r="Y647" s="829"/>
      <c r="Z647" s="829"/>
    </row>
    <row r="648">
      <c r="A648" s="829"/>
      <c r="B648" s="829"/>
      <c r="C648" s="829"/>
      <c r="D648" s="829"/>
      <c r="E648" s="829"/>
      <c r="F648" s="829"/>
      <c r="G648" s="829"/>
      <c r="H648" s="829"/>
      <c r="I648" s="829"/>
      <c r="J648" s="829"/>
      <c r="K648" s="829"/>
      <c r="L648" s="829"/>
      <c r="M648" s="829"/>
      <c r="N648" s="829"/>
      <c r="O648" s="829"/>
      <c r="P648" s="829"/>
      <c r="Q648" s="829"/>
      <c r="R648" s="829"/>
      <c r="S648" s="829"/>
      <c r="T648" s="829"/>
      <c r="U648" s="829"/>
      <c r="V648" s="829"/>
      <c r="W648" s="829"/>
      <c r="X648" s="829"/>
      <c r="Y648" s="829"/>
      <c r="Z648" s="829"/>
    </row>
    <row r="649">
      <c r="A649" s="829"/>
      <c r="B649" s="829"/>
      <c r="C649" s="829"/>
      <c r="D649" s="829"/>
      <c r="E649" s="829"/>
      <c r="F649" s="829"/>
      <c r="G649" s="829"/>
      <c r="H649" s="829"/>
      <c r="I649" s="829"/>
      <c r="J649" s="829"/>
      <c r="K649" s="829"/>
      <c r="L649" s="829"/>
      <c r="M649" s="829"/>
      <c r="N649" s="829"/>
      <c r="O649" s="829"/>
      <c r="P649" s="829"/>
      <c r="Q649" s="829"/>
      <c r="R649" s="829"/>
      <c r="S649" s="829"/>
      <c r="T649" s="829"/>
      <c r="U649" s="829"/>
      <c r="V649" s="829"/>
      <c r="W649" s="829"/>
      <c r="X649" s="829"/>
      <c r="Y649" s="829"/>
      <c r="Z649" s="829"/>
    </row>
    <row r="650">
      <c r="A650" s="829"/>
      <c r="B650" s="829"/>
      <c r="C650" s="829"/>
      <c r="D650" s="829"/>
      <c r="E650" s="829"/>
      <c r="F650" s="829"/>
      <c r="G650" s="829"/>
      <c r="H650" s="829"/>
      <c r="I650" s="829"/>
      <c r="J650" s="829"/>
      <c r="K650" s="829"/>
      <c r="L650" s="829"/>
      <c r="M650" s="829"/>
      <c r="N650" s="829"/>
      <c r="O650" s="829"/>
      <c r="P650" s="829"/>
      <c r="Q650" s="829"/>
      <c r="R650" s="829"/>
      <c r="S650" s="829"/>
      <c r="T650" s="829"/>
      <c r="U650" s="829"/>
      <c r="V650" s="829"/>
      <c r="W650" s="829"/>
      <c r="X650" s="829"/>
      <c r="Y650" s="829"/>
      <c r="Z650" s="829"/>
    </row>
    <row r="651">
      <c r="A651" s="829"/>
      <c r="B651" s="829"/>
      <c r="C651" s="829"/>
      <c r="D651" s="829"/>
      <c r="E651" s="829"/>
      <c r="F651" s="829"/>
      <c r="G651" s="829"/>
      <c r="H651" s="829"/>
      <c r="I651" s="829"/>
      <c r="J651" s="829"/>
      <c r="K651" s="829"/>
      <c r="L651" s="829"/>
      <c r="M651" s="829"/>
      <c r="N651" s="829"/>
      <c r="O651" s="829"/>
      <c r="P651" s="829"/>
      <c r="Q651" s="829"/>
      <c r="R651" s="829"/>
      <c r="S651" s="829"/>
      <c r="T651" s="829"/>
      <c r="U651" s="829"/>
      <c r="V651" s="829"/>
      <c r="W651" s="829"/>
      <c r="X651" s="829"/>
      <c r="Y651" s="829"/>
      <c r="Z651" s="829"/>
    </row>
    <row r="652">
      <c r="A652" s="829"/>
      <c r="B652" s="829"/>
      <c r="C652" s="829"/>
      <c r="D652" s="829"/>
      <c r="E652" s="829"/>
      <c r="F652" s="829"/>
      <c r="G652" s="829"/>
      <c r="H652" s="829"/>
      <c r="I652" s="829"/>
      <c r="J652" s="829"/>
      <c r="K652" s="829"/>
      <c r="L652" s="829"/>
      <c r="M652" s="829"/>
      <c r="N652" s="829"/>
      <c r="O652" s="829"/>
      <c r="P652" s="829"/>
      <c r="Q652" s="829"/>
      <c r="R652" s="829"/>
      <c r="S652" s="829"/>
      <c r="T652" s="829"/>
      <c r="U652" s="829"/>
      <c r="V652" s="829"/>
      <c r="W652" s="829"/>
      <c r="X652" s="829"/>
      <c r="Y652" s="829"/>
      <c r="Z652" s="829"/>
    </row>
    <row r="653">
      <c r="A653" s="829"/>
      <c r="B653" s="829"/>
      <c r="C653" s="829"/>
      <c r="D653" s="829"/>
      <c r="E653" s="829"/>
      <c r="F653" s="829"/>
      <c r="G653" s="829"/>
      <c r="H653" s="829"/>
      <c r="I653" s="829"/>
      <c r="J653" s="829"/>
      <c r="K653" s="829"/>
      <c r="L653" s="829"/>
      <c r="M653" s="829"/>
      <c r="N653" s="829"/>
      <c r="O653" s="829"/>
      <c r="P653" s="829"/>
      <c r="Q653" s="829"/>
      <c r="R653" s="829"/>
      <c r="S653" s="829"/>
      <c r="T653" s="829"/>
      <c r="U653" s="829"/>
      <c r="V653" s="829"/>
      <c r="W653" s="829"/>
      <c r="X653" s="829"/>
      <c r="Y653" s="829"/>
      <c r="Z653" s="829"/>
    </row>
    <row r="654">
      <c r="A654" s="829"/>
      <c r="B654" s="829"/>
      <c r="C654" s="829"/>
      <c r="D654" s="829"/>
      <c r="E654" s="829"/>
      <c r="F654" s="829"/>
      <c r="G654" s="829"/>
      <c r="H654" s="829"/>
      <c r="I654" s="829"/>
      <c r="J654" s="829"/>
      <c r="K654" s="829"/>
      <c r="L654" s="829"/>
      <c r="M654" s="829"/>
      <c r="N654" s="829"/>
      <c r="O654" s="829"/>
      <c r="P654" s="829"/>
      <c r="Q654" s="829"/>
      <c r="R654" s="829"/>
      <c r="S654" s="829"/>
      <c r="T654" s="829"/>
      <c r="U654" s="829"/>
      <c r="V654" s="829"/>
      <c r="W654" s="829"/>
      <c r="X654" s="829"/>
      <c r="Y654" s="829"/>
      <c r="Z654" s="829"/>
    </row>
    <row r="655">
      <c r="A655" s="829"/>
      <c r="B655" s="829"/>
      <c r="C655" s="829"/>
      <c r="D655" s="829"/>
      <c r="E655" s="829"/>
      <c r="F655" s="829"/>
      <c r="G655" s="829"/>
      <c r="H655" s="829"/>
      <c r="I655" s="829"/>
      <c r="J655" s="829"/>
      <c r="K655" s="829"/>
      <c r="L655" s="829"/>
      <c r="M655" s="829"/>
      <c r="N655" s="829"/>
      <c r="O655" s="829"/>
      <c r="P655" s="829"/>
      <c r="Q655" s="829"/>
      <c r="R655" s="829"/>
      <c r="S655" s="829"/>
      <c r="T655" s="829"/>
      <c r="U655" s="829"/>
      <c r="V655" s="829"/>
      <c r="W655" s="829"/>
      <c r="X655" s="829"/>
      <c r="Y655" s="829"/>
      <c r="Z655" s="829"/>
    </row>
    <row r="656">
      <c r="A656" s="829"/>
      <c r="B656" s="829"/>
      <c r="C656" s="829"/>
      <c r="D656" s="829"/>
      <c r="E656" s="829"/>
      <c r="F656" s="829"/>
      <c r="G656" s="829"/>
      <c r="H656" s="829"/>
      <c r="I656" s="829"/>
      <c r="J656" s="829"/>
      <c r="K656" s="829"/>
      <c r="L656" s="829"/>
      <c r="M656" s="829"/>
      <c r="N656" s="829"/>
      <c r="O656" s="829"/>
      <c r="P656" s="829"/>
      <c r="Q656" s="829"/>
      <c r="R656" s="829"/>
      <c r="S656" s="829"/>
      <c r="T656" s="829"/>
      <c r="U656" s="829"/>
      <c r="V656" s="829"/>
      <c r="W656" s="829"/>
      <c r="X656" s="829"/>
      <c r="Y656" s="829"/>
      <c r="Z656" s="829"/>
    </row>
    <row r="657">
      <c r="A657" s="829"/>
      <c r="B657" s="829"/>
      <c r="C657" s="829"/>
      <c r="D657" s="829"/>
      <c r="E657" s="829"/>
      <c r="F657" s="829"/>
      <c r="G657" s="829"/>
      <c r="H657" s="829"/>
      <c r="I657" s="829"/>
      <c r="J657" s="829"/>
      <c r="K657" s="829"/>
      <c r="L657" s="829"/>
      <c r="M657" s="829"/>
      <c r="N657" s="829"/>
      <c r="O657" s="829"/>
      <c r="P657" s="829"/>
      <c r="Q657" s="829"/>
      <c r="R657" s="829"/>
      <c r="S657" s="829"/>
      <c r="T657" s="829"/>
      <c r="U657" s="829"/>
      <c r="V657" s="829"/>
      <c r="W657" s="829"/>
      <c r="X657" s="829"/>
      <c r="Y657" s="829"/>
      <c r="Z657" s="829"/>
    </row>
    <row r="658">
      <c r="A658" s="829"/>
      <c r="B658" s="829"/>
      <c r="C658" s="829"/>
      <c r="D658" s="829"/>
      <c r="E658" s="829"/>
      <c r="F658" s="829"/>
      <c r="G658" s="829"/>
      <c r="H658" s="829"/>
      <c r="I658" s="829"/>
      <c r="J658" s="829"/>
      <c r="K658" s="829"/>
      <c r="L658" s="829"/>
      <c r="M658" s="829"/>
      <c r="N658" s="829"/>
      <c r="O658" s="829"/>
      <c r="P658" s="829"/>
      <c r="Q658" s="829"/>
      <c r="R658" s="829"/>
      <c r="S658" s="829"/>
      <c r="T658" s="829"/>
      <c r="U658" s="829"/>
      <c r="V658" s="829"/>
      <c r="W658" s="829"/>
      <c r="X658" s="829"/>
      <c r="Y658" s="829"/>
      <c r="Z658" s="829"/>
    </row>
    <row r="659">
      <c r="A659" s="829"/>
      <c r="B659" s="829"/>
      <c r="C659" s="829"/>
      <c r="D659" s="829"/>
      <c r="E659" s="829"/>
      <c r="F659" s="829"/>
      <c r="G659" s="829"/>
      <c r="H659" s="829"/>
      <c r="I659" s="829"/>
      <c r="J659" s="829"/>
      <c r="K659" s="829"/>
      <c r="L659" s="829"/>
      <c r="M659" s="829"/>
      <c r="N659" s="829"/>
      <c r="O659" s="829"/>
      <c r="P659" s="829"/>
      <c r="Q659" s="829"/>
      <c r="R659" s="829"/>
      <c r="S659" s="829"/>
      <c r="T659" s="829"/>
      <c r="U659" s="829"/>
      <c r="V659" s="829"/>
      <c r="W659" s="829"/>
      <c r="X659" s="829"/>
      <c r="Y659" s="829"/>
      <c r="Z659" s="829"/>
    </row>
    <row r="660">
      <c r="A660" s="829"/>
      <c r="B660" s="829"/>
      <c r="C660" s="829"/>
      <c r="D660" s="829"/>
      <c r="E660" s="829"/>
      <c r="F660" s="829"/>
      <c r="G660" s="829"/>
      <c r="H660" s="829"/>
      <c r="I660" s="829"/>
      <c r="J660" s="829"/>
      <c r="K660" s="829"/>
      <c r="L660" s="829"/>
      <c r="M660" s="829"/>
      <c r="N660" s="829"/>
      <c r="O660" s="829"/>
      <c r="P660" s="829"/>
      <c r="Q660" s="829"/>
      <c r="R660" s="829"/>
      <c r="S660" s="829"/>
      <c r="T660" s="829"/>
      <c r="U660" s="829"/>
      <c r="V660" s="829"/>
      <c r="W660" s="829"/>
      <c r="X660" s="829"/>
      <c r="Y660" s="829"/>
      <c r="Z660" s="829"/>
    </row>
    <row r="661">
      <c r="A661" s="829"/>
      <c r="B661" s="829"/>
      <c r="C661" s="829"/>
      <c r="D661" s="829"/>
      <c r="E661" s="829"/>
      <c r="F661" s="829"/>
      <c r="G661" s="829"/>
      <c r="H661" s="829"/>
      <c r="I661" s="829"/>
      <c r="J661" s="829"/>
      <c r="K661" s="829"/>
      <c r="L661" s="829"/>
      <c r="M661" s="829"/>
      <c r="N661" s="829"/>
      <c r="O661" s="829"/>
      <c r="P661" s="829"/>
      <c r="Q661" s="829"/>
      <c r="R661" s="829"/>
      <c r="S661" s="829"/>
      <c r="T661" s="829"/>
      <c r="U661" s="829"/>
      <c r="V661" s="829"/>
      <c r="W661" s="829"/>
      <c r="X661" s="829"/>
      <c r="Y661" s="829"/>
      <c r="Z661" s="829"/>
    </row>
    <row r="662">
      <c r="A662" s="829"/>
      <c r="B662" s="829"/>
      <c r="C662" s="829"/>
      <c r="D662" s="829"/>
      <c r="E662" s="829"/>
      <c r="F662" s="829"/>
      <c r="G662" s="829"/>
      <c r="H662" s="829"/>
      <c r="I662" s="829"/>
      <c r="J662" s="829"/>
      <c r="K662" s="829"/>
      <c r="L662" s="829"/>
      <c r="M662" s="829"/>
      <c r="N662" s="829"/>
      <c r="O662" s="829"/>
      <c r="P662" s="829"/>
      <c r="Q662" s="829"/>
      <c r="R662" s="829"/>
      <c r="S662" s="829"/>
      <c r="T662" s="829"/>
      <c r="U662" s="829"/>
      <c r="V662" s="829"/>
      <c r="W662" s="829"/>
      <c r="X662" s="829"/>
      <c r="Y662" s="829"/>
      <c r="Z662" s="829"/>
    </row>
    <row r="663">
      <c r="A663" s="829"/>
      <c r="B663" s="829"/>
      <c r="C663" s="829"/>
      <c r="D663" s="829"/>
      <c r="E663" s="829"/>
      <c r="F663" s="829"/>
      <c r="G663" s="829"/>
      <c r="H663" s="829"/>
      <c r="I663" s="829"/>
      <c r="J663" s="829"/>
      <c r="K663" s="829"/>
      <c r="L663" s="829"/>
      <c r="M663" s="829"/>
      <c r="N663" s="829"/>
      <c r="O663" s="829"/>
      <c r="P663" s="829"/>
      <c r="Q663" s="829"/>
      <c r="R663" s="829"/>
      <c r="S663" s="829"/>
      <c r="T663" s="829"/>
      <c r="U663" s="829"/>
      <c r="V663" s="829"/>
      <c r="W663" s="829"/>
      <c r="X663" s="829"/>
      <c r="Y663" s="829"/>
      <c r="Z663" s="829"/>
    </row>
    <row r="664">
      <c r="A664" s="829"/>
      <c r="B664" s="829"/>
      <c r="C664" s="829"/>
      <c r="D664" s="829"/>
      <c r="E664" s="829"/>
      <c r="F664" s="829"/>
      <c r="G664" s="829"/>
      <c r="H664" s="829"/>
      <c r="I664" s="829"/>
      <c r="J664" s="829"/>
      <c r="K664" s="829"/>
      <c r="L664" s="829"/>
      <c r="M664" s="829"/>
      <c r="N664" s="829"/>
      <c r="O664" s="829"/>
      <c r="P664" s="829"/>
      <c r="Q664" s="829"/>
      <c r="R664" s="829"/>
      <c r="S664" s="829"/>
      <c r="T664" s="829"/>
      <c r="U664" s="829"/>
      <c r="V664" s="829"/>
      <c r="W664" s="829"/>
      <c r="X664" s="829"/>
      <c r="Y664" s="829"/>
      <c r="Z664" s="829"/>
    </row>
    <row r="665">
      <c r="A665" s="829"/>
      <c r="B665" s="829"/>
      <c r="C665" s="829"/>
      <c r="D665" s="829"/>
      <c r="E665" s="829"/>
      <c r="F665" s="829"/>
      <c r="G665" s="829"/>
      <c r="H665" s="829"/>
      <c r="I665" s="829"/>
      <c r="J665" s="829"/>
      <c r="K665" s="829"/>
      <c r="L665" s="829"/>
      <c r="M665" s="829"/>
      <c r="N665" s="829"/>
      <c r="O665" s="829"/>
      <c r="P665" s="829"/>
      <c r="Q665" s="829"/>
      <c r="R665" s="829"/>
      <c r="S665" s="829"/>
      <c r="T665" s="829"/>
      <c r="U665" s="829"/>
      <c r="V665" s="829"/>
      <c r="W665" s="829"/>
      <c r="X665" s="829"/>
      <c r="Y665" s="829"/>
      <c r="Z665" s="829"/>
    </row>
    <row r="666">
      <c r="A666" s="829"/>
      <c r="B666" s="829"/>
      <c r="C666" s="829"/>
      <c r="D666" s="829"/>
      <c r="E666" s="829"/>
      <c r="F666" s="829"/>
      <c r="G666" s="829"/>
      <c r="H666" s="829"/>
      <c r="I666" s="829"/>
      <c r="J666" s="829"/>
      <c r="K666" s="829"/>
      <c r="L666" s="829"/>
      <c r="M666" s="829"/>
      <c r="N666" s="829"/>
      <c r="O666" s="829"/>
      <c r="P666" s="829"/>
      <c r="Q666" s="829"/>
      <c r="R666" s="829"/>
      <c r="S666" s="829"/>
      <c r="T666" s="829"/>
      <c r="U666" s="829"/>
      <c r="V666" s="829"/>
      <c r="W666" s="829"/>
      <c r="X666" s="829"/>
      <c r="Y666" s="829"/>
      <c r="Z666" s="829"/>
    </row>
    <row r="667">
      <c r="A667" s="829"/>
      <c r="B667" s="829"/>
      <c r="C667" s="829"/>
      <c r="D667" s="829"/>
      <c r="E667" s="829"/>
      <c r="F667" s="829"/>
      <c r="G667" s="829"/>
      <c r="H667" s="829"/>
      <c r="I667" s="829"/>
      <c r="J667" s="829"/>
      <c r="K667" s="829"/>
      <c r="L667" s="829"/>
      <c r="M667" s="829"/>
      <c r="N667" s="829"/>
      <c r="O667" s="829"/>
      <c r="P667" s="829"/>
      <c r="Q667" s="829"/>
      <c r="R667" s="829"/>
      <c r="S667" s="829"/>
      <c r="T667" s="829"/>
      <c r="U667" s="829"/>
      <c r="V667" s="829"/>
      <c r="W667" s="829"/>
      <c r="X667" s="829"/>
      <c r="Y667" s="829"/>
      <c r="Z667" s="829"/>
    </row>
    <row r="668">
      <c r="A668" s="829"/>
      <c r="B668" s="829"/>
      <c r="C668" s="829"/>
      <c r="D668" s="829"/>
      <c r="E668" s="829"/>
      <c r="F668" s="829"/>
      <c r="G668" s="829"/>
      <c r="H668" s="829"/>
      <c r="I668" s="829"/>
      <c r="J668" s="829"/>
      <c r="K668" s="829"/>
      <c r="L668" s="829"/>
      <c r="M668" s="829"/>
      <c r="N668" s="829"/>
      <c r="O668" s="829"/>
      <c r="P668" s="829"/>
      <c r="Q668" s="829"/>
      <c r="R668" s="829"/>
      <c r="S668" s="829"/>
      <c r="T668" s="829"/>
      <c r="U668" s="829"/>
      <c r="V668" s="829"/>
      <c r="W668" s="829"/>
      <c r="X668" s="829"/>
      <c r="Y668" s="829"/>
      <c r="Z668" s="829"/>
    </row>
    <row r="669">
      <c r="A669" s="829"/>
      <c r="B669" s="829"/>
      <c r="C669" s="829"/>
      <c r="D669" s="829"/>
      <c r="E669" s="829"/>
      <c r="F669" s="829"/>
      <c r="G669" s="829"/>
      <c r="H669" s="829"/>
      <c r="I669" s="829"/>
      <c r="J669" s="829"/>
      <c r="K669" s="829"/>
      <c r="L669" s="829"/>
      <c r="M669" s="829"/>
      <c r="N669" s="829"/>
      <c r="O669" s="829"/>
      <c r="P669" s="829"/>
      <c r="Q669" s="829"/>
      <c r="R669" s="829"/>
      <c r="S669" s="829"/>
      <c r="T669" s="829"/>
      <c r="U669" s="829"/>
      <c r="V669" s="829"/>
      <c r="W669" s="829"/>
      <c r="X669" s="829"/>
      <c r="Y669" s="829"/>
      <c r="Z669" s="829"/>
    </row>
    <row r="670">
      <c r="A670" s="829"/>
      <c r="B670" s="829"/>
      <c r="C670" s="829"/>
      <c r="D670" s="829"/>
      <c r="E670" s="829"/>
      <c r="F670" s="829"/>
      <c r="G670" s="829"/>
      <c r="H670" s="829"/>
      <c r="I670" s="829"/>
      <c r="J670" s="829"/>
      <c r="K670" s="829"/>
      <c r="L670" s="829"/>
      <c r="M670" s="829"/>
      <c r="N670" s="829"/>
      <c r="O670" s="829"/>
      <c r="P670" s="829"/>
      <c r="Q670" s="829"/>
      <c r="R670" s="829"/>
      <c r="S670" s="829"/>
      <c r="T670" s="829"/>
      <c r="U670" s="829"/>
      <c r="V670" s="829"/>
      <c r="W670" s="829"/>
      <c r="X670" s="829"/>
      <c r="Y670" s="829"/>
      <c r="Z670" s="829"/>
    </row>
    <row r="671">
      <c r="A671" s="829"/>
      <c r="B671" s="829"/>
      <c r="C671" s="829"/>
      <c r="D671" s="829"/>
      <c r="E671" s="829"/>
      <c r="F671" s="829"/>
      <c r="G671" s="829"/>
      <c r="H671" s="829"/>
      <c r="I671" s="829"/>
      <c r="J671" s="829"/>
      <c r="K671" s="829"/>
      <c r="L671" s="829"/>
      <c r="M671" s="829"/>
      <c r="N671" s="829"/>
      <c r="O671" s="829"/>
      <c r="P671" s="829"/>
      <c r="Q671" s="829"/>
      <c r="R671" s="829"/>
      <c r="S671" s="829"/>
      <c r="T671" s="829"/>
      <c r="U671" s="829"/>
      <c r="V671" s="829"/>
      <c r="W671" s="829"/>
      <c r="X671" s="829"/>
      <c r="Y671" s="829"/>
      <c r="Z671" s="829"/>
    </row>
    <row r="672">
      <c r="A672" s="829"/>
      <c r="B672" s="829"/>
      <c r="C672" s="829"/>
      <c r="D672" s="829"/>
      <c r="E672" s="829"/>
      <c r="F672" s="829"/>
      <c r="G672" s="829"/>
      <c r="H672" s="829"/>
      <c r="I672" s="829"/>
      <c r="J672" s="829"/>
      <c r="K672" s="829"/>
      <c r="L672" s="829"/>
      <c r="M672" s="829"/>
      <c r="N672" s="829"/>
      <c r="O672" s="829"/>
      <c r="P672" s="829"/>
      <c r="Q672" s="829"/>
      <c r="R672" s="829"/>
      <c r="S672" s="829"/>
      <c r="T672" s="829"/>
      <c r="U672" s="829"/>
      <c r="V672" s="829"/>
      <c r="W672" s="829"/>
      <c r="X672" s="829"/>
      <c r="Y672" s="829"/>
      <c r="Z672" s="829"/>
    </row>
    <row r="673">
      <c r="A673" s="829"/>
      <c r="B673" s="829"/>
      <c r="C673" s="829"/>
      <c r="D673" s="829"/>
      <c r="E673" s="829"/>
      <c r="F673" s="829"/>
      <c r="G673" s="829"/>
      <c r="H673" s="829"/>
      <c r="I673" s="829"/>
      <c r="J673" s="829"/>
      <c r="K673" s="829"/>
      <c r="L673" s="829"/>
      <c r="M673" s="829"/>
      <c r="N673" s="829"/>
      <c r="O673" s="829"/>
      <c r="P673" s="829"/>
      <c r="Q673" s="829"/>
      <c r="R673" s="829"/>
      <c r="S673" s="829"/>
      <c r="T673" s="829"/>
      <c r="U673" s="829"/>
      <c r="V673" s="829"/>
      <c r="W673" s="829"/>
      <c r="X673" s="829"/>
      <c r="Y673" s="829"/>
      <c r="Z673" s="829"/>
    </row>
    <row r="674">
      <c r="A674" s="829"/>
      <c r="B674" s="829"/>
      <c r="C674" s="829"/>
      <c r="D674" s="829"/>
      <c r="E674" s="829"/>
      <c r="F674" s="829"/>
      <c r="G674" s="829"/>
      <c r="H674" s="829"/>
      <c r="I674" s="829"/>
      <c r="J674" s="829"/>
      <c r="K674" s="829"/>
      <c r="L674" s="829"/>
      <c r="M674" s="829"/>
      <c r="N674" s="829"/>
      <c r="O674" s="829"/>
      <c r="P674" s="829"/>
      <c r="Q674" s="829"/>
      <c r="R674" s="829"/>
      <c r="S674" s="829"/>
      <c r="T674" s="829"/>
      <c r="U674" s="829"/>
      <c r="V674" s="829"/>
      <c r="W674" s="829"/>
      <c r="X674" s="829"/>
      <c r="Y674" s="829"/>
      <c r="Z674" s="829"/>
    </row>
    <row r="675">
      <c r="A675" s="829"/>
      <c r="B675" s="829"/>
      <c r="C675" s="829"/>
      <c r="D675" s="829"/>
      <c r="E675" s="829"/>
      <c r="F675" s="829"/>
      <c r="G675" s="829"/>
      <c r="H675" s="829"/>
      <c r="I675" s="829"/>
      <c r="J675" s="829"/>
      <c r="K675" s="829"/>
      <c r="L675" s="829"/>
      <c r="M675" s="829"/>
      <c r="N675" s="829"/>
      <c r="O675" s="829"/>
      <c r="P675" s="829"/>
      <c r="Q675" s="829"/>
      <c r="R675" s="829"/>
      <c r="S675" s="829"/>
      <c r="T675" s="829"/>
      <c r="U675" s="829"/>
      <c r="V675" s="829"/>
      <c r="W675" s="829"/>
      <c r="X675" s="829"/>
      <c r="Y675" s="829"/>
      <c r="Z675" s="829"/>
    </row>
    <row r="676">
      <c r="A676" s="829"/>
      <c r="B676" s="829"/>
      <c r="C676" s="829"/>
      <c r="D676" s="829"/>
      <c r="E676" s="829"/>
      <c r="F676" s="829"/>
      <c r="G676" s="829"/>
      <c r="H676" s="829"/>
      <c r="I676" s="829"/>
      <c r="J676" s="829"/>
      <c r="K676" s="829"/>
      <c r="L676" s="829"/>
      <c r="M676" s="829"/>
      <c r="N676" s="829"/>
      <c r="O676" s="829"/>
      <c r="P676" s="829"/>
      <c r="Q676" s="829"/>
      <c r="R676" s="829"/>
      <c r="S676" s="829"/>
      <c r="T676" s="829"/>
      <c r="U676" s="829"/>
      <c r="V676" s="829"/>
      <c r="W676" s="829"/>
      <c r="X676" s="829"/>
      <c r="Y676" s="829"/>
      <c r="Z676" s="829"/>
    </row>
    <row r="677">
      <c r="A677" s="829"/>
      <c r="B677" s="829"/>
      <c r="C677" s="829"/>
      <c r="D677" s="829"/>
      <c r="E677" s="829"/>
      <c r="F677" s="829"/>
      <c r="G677" s="829"/>
      <c r="H677" s="829"/>
      <c r="I677" s="829"/>
      <c r="J677" s="829"/>
      <c r="K677" s="829"/>
      <c r="L677" s="829"/>
      <c r="M677" s="829"/>
      <c r="N677" s="829"/>
      <c r="O677" s="829"/>
      <c r="P677" s="829"/>
      <c r="Q677" s="829"/>
      <c r="R677" s="829"/>
      <c r="S677" s="829"/>
      <c r="T677" s="829"/>
      <c r="U677" s="829"/>
      <c r="V677" s="829"/>
      <c r="W677" s="829"/>
      <c r="X677" s="829"/>
      <c r="Y677" s="829"/>
      <c r="Z677" s="829"/>
    </row>
    <row r="678">
      <c r="A678" s="829"/>
      <c r="B678" s="829"/>
      <c r="C678" s="829"/>
      <c r="D678" s="829"/>
      <c r="E678" s="829"/>
      <c r="F678" s="829"/>
      <c r="G678" s="829"/>
      <c r="H678" s="829"/>
      <c r="I678" s="829"/>
      <c r="J678" s="829"/>
      <c r="K678" s="829"/>
      <c r="L678" s="829"/>
      <c r="M678" s="829"/>
      <c r="N678" s="829"/>
      <c r="O678" s="829"/>
      <c r="P678" s="829"/>
      <c r="Q678" s="829"/>
      <c r="R678" s="829"/>
      <c r="S678" s="829"/>
      <c r="T678" s="829"/>
      <c r="U678" s="829"/>
      <c r="V678" s="829"/>
      <c r="W678" s="829"/>
      <c r="X678" s="829"/>
      <c r="Y678" s="829"/>
      <c r="Z678" s="829"/>
    </row>
    <row r="679">
      <c r="A679" s="829"/>
      <c r="B679" s="829"/>
      <c r="C679" s="829"/>
      <c r="D679" s="829"/>
      <c r="E679" s="829"/>
      <c r="F679" s="829"/>
      <c r="G679" s="829"/>
      <c r="H679" s="829"/>
      <c r="I679" s="829"/>
      <c r="J679" s="829"/>
      <c r="K679" s="829"/>
      <c r="L679" s="829"/>
      <c r="M679" s="829"/>
      <c r="N679" s="829"/>
      <c r="O679" s="829"/>
      <c r="P679" s="829"/>
      <c r="Q679" s="829"/>
      <c r="R679" s="829"/>
      <c r="S679" s="829"/>
      <c r="T679" s="829"/>
      <c r="U679" s="829"/>
      <c r="V679" s="829"/>
      <c r="W679" s="829"/>
      <c r="X679" s="829"/>
      <c r="Y679" s="829"/>
      <c r="Z679" s="829"/>
    </row>
    <row r="680">
      <c r="A680" s="829"/>
      <c r="B680" s="829"/>
      <c r="C680" s="829"/>
      <c r="D680" s="829"/>
      <c r="E680" s="829"/>
      <c r="F680" s="829"/>
      <c r="G680" s="829"/>
      <c r="H680" s="829"/>
      <c r="I680" s="829"/>
      <c r="J680" s="829"/>
      <c r="K680" s="829"/>
      <c r="L680" s="829"/>
      <c r="M680" s="829"/>
      <c r="N680" s="829"/>
      <c r="O680" s="829"/>
      <c r="P680" s="829"/>
      <c r="Q680" s="829"/>
      <c r="R680" s="829"/>
      <c r="S680" s="829"/>
      <c r="T680" s="829"/>
      <c r="U680" s="829"/>
      <c r="V680" s="829"/>
      <c r="W680" s="829"/>
      <c r="X680" s="829"/>
      <c r="Y680" s="829"/>
      <c r="Z680" s="829"/>
    </row>
    <row r="681">
      <c r="A681" s="829"/>
      <c r="B681" s="829"/>
      <c r="C681" s="829"/>
      <c r="D681" s="829"/>
      <c r="E681" s="829"/>
      <c r="F681" s="829"/>
      <c r="G681" s="829"/>
      <c r="H681" s="829"/>
      <c r="I681" s="829"/>
      <c r="J681" s="829"/>
      <c r="K681" s="829"/>
      <c r="L681" s="829"/>
      <c r="M681" s="829"/>
      <c r="N681" s="829"/>
      <c r="O681" s="829"/>
      <c r="P681" s="829"/>
      <c r="Q681" s="829"/>
      <c r="R681" s="829"/>
      <c r="S681" s="829"/>
      <c r="T681" s="829"/>
      <c r="U681" s="829"/>
      <c r="V681" s="829"/>
      <c r="W681" s="829"/>
      <c r="X681" s="829"/>
      <c r="Y681" s="829"/>
      <c r="Z681" s="829"/>
    </row>
    <row r="682">
      <c r="A682" s="829"/>
      <c r="B682" s="829"/>
      <c r="C682" s="829"/>
      <c r="D682" s="829"/>
      <c r="E682" s="829"/>
      <c r="F682" s="829"/>
      <c r="G682" s="829"/>
      <c r="H682" s="829"/>
      <c r="I682" s="829"/>
      <c r="J682" s="829"/>
      <c r="K682" s="829"/>
      <c r="L682" s="829"/>
      <c r="M682" s="829"/>
      <c r="N682" s="829"/>
      <c r="O682" s="829"/>
      <c r="P682" s="829"/>
      <c r="Q682" s="829"/>
      <c r="R682" s="829"/>
      <c r="S682" s="829"/>
      <c r="T682" s="829"/>
      <c r="U682" s="829"/>
      <c r="V682" s="829"/>
      <c r="W682" s="829"/>
      <c r="X682" s="829"/>
      <c r="Y682" s="829"/>
      <c r="Z682" s="829"/>
    </row>
    <row r="683">
      <c r="A683" s="829"/>
      <c r="B683" s="829"/>
      <c r="C683" s="829"/>
      <c r="D683" s="829"/>
      <c r="E683" s="829"/>
      <c r="F683" s="829"/>
      <c r="G683" s="829"/>
      <c r="H683" s="829"/>
      <c r="I683" s="829"/>
      <c r="J683" s="829"/>
      <c r="K683" s="829"/>
      <c r="L683" s="829"/>
      <c r="M683" s="829"/>
      <c r="N683" s="829"/>
      <c r="O683" s="829"/>
      <c r="P683" s="829"/>
      <c r="Q683" s="829"/>
      <c r="R683" s="829"/>
      <c r="S683" s="829"/>
      <c r="T683" s="829"/>
      <c r="U683" s="829"/>
      <c r="V683" s="829"/>
      <c r="W683" s="829"/>
      <c r="X683" s="829"/>
      <c r="Y683" s="829"/>
      <c r="Z683" s="829"/>
    </row>
    <row r="684">
      <c r="A684" s="829"/>
      <c r="B684" s="829"/>
      <c r="C684" s="829"/>
      <c r="D684" s="829"/>
      <c r="E684" s="829"/>
      <c r="F684" s="829"/>
      <c r="G684" s="829"/>
      <c r="H684" s="829"/>
      <c r="I684" s="829"/>
      <c r="J684" s="829"/>
      <c r="K684" s="829"/>
      <c r="L684" s="829"/>
      <c r="M684" s="829"/>
      <c r="N684" s="829"/>
      <c r="O684" s="829"/>
      <c r="P684" s="829"/>
      <c r="Q684" s="829"/>
      <c r="R684" s="829"/>
      <c r="S684" s="829"/>
      <c r="T684" s="829"/>
      <c r="U684" s="829"/>
      <c r="V684" s="829"/>
      <c r="W684" s="829"/>
      <c r="X684" s="829"/>
      <c r="Y684" s="829"/>
      <c r="Z684" s="829"/>
    </row>
    <row r="685">
      <c r="A685" s="829"/>
      <c r="B685" s="829"/>
      <c r="C685" s="829"/>
      <c r="D685" s="829"/>
      <c r="E685" s="829"/>
      <c r="F685" s="829"/>
      <c r="G685" s="829"/>
      <c r="H685" s="829"/>
      <c r="I685" s="829"/>
      <c r="J685" s="829"/>
      <c r="K685" s="829"/>
      <c r="L685" s="829"/>
      <c r="M685" s="829"/>
      <c r="N685" s="829"/>
      <c r="O685" s="829"/>
      <c r="P685" s="829"/>
      <c r="Q685" s="829"/>
      <c r="R685" s="829"/>
      <c r="S685" s="829"/>
      <c r="T685" s="829"/>
      <c r="U685" s="829"/>
      <c r="V685" s="829"/>
      <c r="W685" s="829"/>
      <c r="X685" s="829"/>
      <c r="Y685" s="829"/>
      <c r="Z685" s="829"/>
    </row>
    <row r="686">
      <c r="A686" s="829"/>
      <c r="B686" s="829"/>
      <c r="C686" s="829"/>
      <c r="D686" s="829"/>
      <c r="E686" s="829"/>
      <c r="F686" s="829"/>
      <c r="G686" s="829"/>
      <c r="H686" s="829"/>
      <c r="I686" s="829"/>
      <c r="J686" s="829"/>
      <c r="K686" s="829"/>
      <c r="L686" s="829"/>
      <c r="M686" s="829"/>
      <c r="N686" s="829"/>
      <c r="O686" s="829"/>
      <c r="P686" s="829"/>
      <c r="Q686" s="829"/>
      <c r="R686" s="829"/>
      <c r="S686" s="829"/>
      <c r="T686" s="829"/>
      <c r="U686" s="829"/>
      <c r="V686" s="829"/>
      <c r="W686" s="829"/>
      <c r="X686" s="829"/>
      <c r="Y686" s="829"/>
      <c r="Z686" s="829"/>
    </row>
    <row r="687">
      <c r="A687" s="829"/>
      <c r="B687" s="829"/>
      <c r="C687" s="829"/>
      <c r="D687" s="829"/>
      <c r="E687" s="829"/>
      <c r="F687" s="829"/>
      <c r="G687" s="829"/>
      <c r="H687" s="829"/>
      <c r="I687" s="829"/>
      <c r="J687" s="829"/>
      <c r="K687" s="829"/>
      <c r="L687" s="829"/>
      <c r="M687" s="829"/>
      <c r="N687" s="829"/>
      <c r="O687" s="829"/>
      <c r="P687" s="829"/>
      <c r="Q687" s="829"/>
      <c r="R687" s="829"/>
      <c r="S687" s="829"/>
      <c r="T687" s="829"/>
      <c r="U687" s="829"/>
      <c r="V687" s="829"/>
      <c r="W687" s="829"/>
      <c r="X687" s="829"/>
      <c r="Y687" s="829"/>
      <c r="Z687" s="829"/>
    </row>
    <row r="688">
      <c r="A688" s="829"/>
      <c r="B688" s="829"/>
      <c r="C688" s="829"/>
      <c r="D688" s="829"/>
      <c r="E688" s="829"/>
      <c r="F688" s="829"/>
      <c r="G688" s="829"/>
      <c r="H688" s="829"/>
      <c r="I688" s="829"/>
      <c r="J688" s="829"/>
      <c r="K688" s="829"/>
      <c r="L688" s="829"/>
      <c r="M688" s="829"/>
      <c r="N688" s="829"/>
      <c r="O688" s="829"/>
      <c r="P688" s="829"/>
      <c r="Q688" s="829"/>
      <c r="R688" s="829"/>
      <c r="S688" s="829"/>
      <c r="T688" s="829"/>
      <c r="U688" s="829"/>
      <c r="V688" s="829"/>
      <c r="W688" s="829"/>
      <c r="X688" s="829"/>
      <c r="Y688" s="829"/>
      <c r="Z688" s="829"/>
    </row>
    <row r="689">
      <c r="A689" s="829"/>
      <c r="B689" s="829"/>
      <c r="C689" s="829"/>
      <c r="D689" s="829"/>
      <c r="E689" s="829"/>
      <c r="F689" s="829"/>
      <c r="G689" s="829"/>
      <c r="H689" s="829"/>
      <c r="I689" s="829"/>
      <c r="J689" s="829"/>
      <c r="K689" s="829"/>
      <c r="L689" s="829"/>
      <c r="M689" s="829"/>
      <c r="N689" s="829"/>
      <c r="O689" s="829"/>
      <c r="P689" s="829"/>
      <c r="Q689" s="829"/>
      <c r="R689" s="829"/>
      <c r="S689" s="829"/>
      <c r="T689" s="829"/>
      <c r="U689" s="829"/>
      <c r="V689" s="829"/>
      <c r="W689" s="829"/>
      <c r="X689" s="829"/>
      <c r="Y689" s="829"/>
      <c r="Z689" s="829"/>
    </row>
    <row r="690">
      <c r="A690" s="829"/>
      <c r="B690" s="829"/>
      <c r="C690" s="829"/>
      <c r="D690" s="829"/>
      <c r="E690" s="829"/>
      <c r="F690" s="829"/>
      <c r="G690" s="829"/>
      <c r="H690" s="829"/>
      <c r="I690" s="829"/>
      <c r="J690" s="829"/>
      <c r="K690" s="829"/>
      <c r="L690" s="829"/>
      <c r="M690" s="829"/>
      <c r="N690" s="829"/>
      <c r="O690" s="829"/>
      <c r="P690" s="829"/>
      <c r="Q690" s="829"/>
      <c r="R690" s="829"/>
      <c r="S690" s="829"/>
      <c r="T690" s="829"/>
      <c r="U690" s="829"/>
      <c r="V690" s="829"/>
      <c r="W690" s="829"/>
      <c r="X690" s="829"/>
      <c r="Y690" s="829"/>
      <c r="Z690" s="829"/>
    </row>
    <row r="691">
      <c r="A691" s="829"/>
      <c r="B691" s="829"/>
      <c r="C691" s="829"/>
      <c r="D691" s="829"/>
      <c r="E691" s="829"/>
      <c r="F691" s="829"/>
      <c r="G691" s="829"/>
      <c r="H691" s="829"/>
      <c r="I691" s="829"/>
      <c r="J691" s="829"/>
      <c r="K691" s="829"/>
      <c r="L691" s="829"/>
      <c r="M691" s="829"/>
      <c r="N691" s="829"/>
      <c r="O691" s="829"/>
      <c r="P691" s="829"/>
      <c r="Q691" s="829"/>
      <c r="R691" s="829"/>
      <c r="S691" s="829"/>
      <c r="T691" s="829"/>
      <c r="U691" s="829"/>
      <c r="V691" s="829"/>
      <c r="W691" s="829"/>
      <c r="X691" s="829"/>
      <c r="Y691" s="829"/>
      <c r="Z691" s="829"/>
    </row>
    <row r="692">
      <c r="A692" s="829"/>
      <c r="B692" s="829"/>
      <c r="C692" s="829"/>
      <c r="D692" s="829"/>
      <c r="E692" s="829"/>
      <c r="F692" s="829"/>
      <c r="G692" s="829"/>
      <c r="H692" s="829"/>
      <c r="I692" s="829"/>
      <c r="J692" s="829"/>
      <c r="K692" s="829"/>
      <c r="L692" s="829"/>
      <c r="M692" s="829"/>
      <c r="N692" s="829"/>
      <c r="O692" s="829"/>
      <c r="P692" s="829"/>
      <c r="Q692" s="829"/>
      <c r="R692" s="829"/>
      <c r="S692" s="829"/>
      <c r="T692" s="829"/>
      <c r="U692" s="829"/>
      <c r="V692" s="829"/>
      <c r="W692" s="829"/>
      <c r="X692" s="829"/>
      <c r="Y692" s="829"/>
      <c r="Z692" s="829"/>
    </row>
    <row r="693">
      <c r="A693" s="829"/>
      <c r="B693" s="829"/>
      <c r="C693" s="829"/>
      <c r="D693" s="829"/>
      <c r="E693" s="829"/>
      <c r="F693" s="829"/>
      <c r="G693" s="829"/>
      <c r="H693" s="829"/>
      <c r="I693" s="829"/>
      <c r="J693" s="829"/>
      <c r="K693" s="829"/>
      <c r="L693" s="829"/>
      <c r="M693" s="829"/>
      <c r="N693" s="829"/>
      <c r="O693" s="829"/>
      <c r="P693" s="829"/>
      <c r="Q693" s="829"/>
      <c r="R693" s="829"/>
      <c r="S693" s="829"/>
      <c r="T693" s="829"/>
      <c r="U693" s="829"/>
      <c r="V693" s="829"/>
      <c r="W693" s="829"/>
      <c r="X693" s="829"/>
      <c r="Y693" s="829"/>
      <c r="Z693" s="829"/>
    </row>
    <row r="694">
      <c r="A694" s="829"/>
      <c r="B694" s="829"/>
      <c r="C694" s="829"/>
      <c r="D694" s="829"/>
      <c r="E694" s="829"/>
      <c r="F694" s="829"/>
      <c r="G694" s="829"/>
      <c r="H694" s="829"/>
      <c r="I694" s="829"/>
      <c r="J694" s="829"/>
      <c r="K694" s="829"/>
      <c r="L694" s="829"/>
      <c r="M694" s="829"/>
      <c r="N694" s="829"/>
      <c r="O694" s="829"/>
      <c r="P694" s="829"/>
      <c r="Q694" s="829"/>
      <c r="R694" s="829"/>
      <c r="S694" s="829"/>
      <c r="T694" s="829"/>
      <c r="U694" s="829"/>
      <c r="V694" s="829"/>
      <c r="W694" s="829"/>
      <c r="X694" s="829"/>
      <c r="Y694" s="829"/>
      <c r="Z694" s="829"/>
    </row>
    <row r="695">
      <c r="A695" s="829"/>
      <c r="B695" s="829"/>
      <c r="C695" s="829"/>
      <c r="D695" s="829"/>
      <c r="E695" s="829"/>
      <c r="F695" s="829"/>
      <c r="G695" s="829"/>
      <c r="H695" s="829"/>
      <c r="I695" s="829"/>
      <c r="J695" s="829"/>
      <c r="K695" s="829"/>
      <c r="L695" s="829"/>
      <c r="M695" s="829"/>
      <c r="N695" s="829"/>
      <c r="O695" s="829"/>
      <c r="P695" s="829"/>
      <c r="Q695" s="829"/>
      <c r="R695" s="829"/>
      <c r="S695" s="829"/>
      <c r="T695" s="829"/>
      <c r="U695" s="829"/>
      <c r="V695" s="829"/>
      <c r="W695" s="829"/>
      <c r="X695" s="829"/>
      <c r="Y695" s="829"/>
      <c r="Z695" s="829"/>
    </row>
    <row r="696">
      <c r="A696" s="829"/>
      <c r="B696" s="829"/>
      <c r="C696" s="829"/>
      <c r="D696" s="829"/>
      <c r="E696" s="829"/>
      <c r="F696" s="829"/>
      <c r="G696" s="829"/>
      <c r="H696" s="829"/>
      <c r="I696" s="829"/>
      <c r="J696" s="829"/>
      <c r="K696" s="829"/>
      <c r="L696" s="829"/>
      <c r="M696" s="829"/>
      <c r="N696" s="829"/>
      <c r="O696" s="829"/>
      <c r="P696" s="829"/>
      <c r="Q696" s="829"/>
      <c r="R696" s="829"/>
      <c r="S696" s="829"/>
      <c r="T696" s="829"/>
      <c r="U696" s="829"/>
      <c r="V696" s="829"/>
      <c r="W696" s="829"/>
      <c r="X696" s="829"/>
      <c r="Y696" s="829"/>
      <c r="Z696" s="829"/>
    </row>
    <row r="697">
      <c r="A697" s="829"/>
      <c r="B697" s="829"/>
      <c r="C697" s="829"/>
      <c r="D697" s="829"/>
      <c r="E697" s="829"/>
      <c r="F697" s="829"/>
      <c r="G697" s="829"/>
      <c r="H697" s="829"/>
      <c r="I697" s="829"/>
      <c r="J697" s="829"/>
      <c r="K697" s="829"/>
      <c r="L697" s="829"/>
      <c r="M697" s="829"/>
      <c r="N697" s="829"/>
      <c r="O697" s="829"/>
      <c r="P697" s="829"/>
      <c r="Q697" s="829"/>
      <c r="R697" s="829"/>
      <c r="S697" s="829"/>
      <c r="T697" s="829"/>
      <c r="U697" s="829"/>
      <c r="V697" s="829"/>
      <c r="W697" s="829"/>
      <c r="X697" s="829"/>
      <c r="Y697" s="829"/>
      <c r="Z697" s="829"/>
    </row>
    <row r="698">
      <c r="A698" s="829"/>
      <c r="B698" s="829"/>
      <c r="C698" s="829"/>
      <c r="D698" s="829"/>
      <c r="E698" s="829"/>
      <c r="F698" s="829"/>
      <c r="G698" s="829"/>
      <c r="H698" s="829"/>
      <c r="I698" s="829"/>
      <c r="J698" s="829"/>
      <c r="K698" s="829"/>
      <c r="L698" s="829"/>
      <c r="M698" s="829"/>
      <c r="N698" s="829"/>
      <c r="O698" s="829"/>
      <c r="P698" s="829"/>
      <c r="Q698" s="829"/>
      <c r="R698" s="829"/>
      <c r="S698" s="829"/>
      <c r="T698" s="829"/>
      <c r="U698" s="829"/>
      <c r="V698" s="829"/>
      <c r="W698" s="829"/>
      <c r="X698" s="829"/>
      <c r="Y698" s="829"/>
      <c r="Z698" s="829"/>
    </row>
    <row r="699">
      <c r="A699" s="829"/>
      <c r="B699" s="829"/>
      <c r="C699" s="829"/>
      <c r="D699" s="829"/>
      <c r="E699" s="829"/>
      <c r="F699" s="829"/>
      <c r="G699" s="829"/>
      <c r="H699" s="829"/>
      <c r="I699" s="829"/>
      <c r="J699" s="829"/>
      <c r="K699" s="829"/>
      <c r="L699" s="829"/>
      <c r="M699" s="829"/>
      <c r="N699" s="829"/>
      <c r="O699" s="829"/>
      <c r="P699" s="829"/>
      <c r="Q699" s="829"/>
      <c r="R699" s="829"/>
      <c r="S699" s="829"/>
      <c r="T699" s="829"/>
      <c r="U699" s="829"/>
      <c r="V699" s="829"/>
      <c r="W699" s="829"/>
      <c r="X699" s="829"/>
      <c r="Y699" s="829"/>
      <c r="Z699" s="829"/>
    </row>
    <row r="700">
      <c r="A700" s="829"/>
      <c r="B700" s="829"/>
      <c r="C700" s="829"/>
      <c r="D700" s="829"/>
      <c r="E700" s="829"/>
      <c r="F700" s="829"/>
      <c r="G700" s="829"/>
      <c r="H700" s="829"/>
      <c r="I700" s="829"/>
      <c r="J700" s="829"/>
      <c r="K700" s="829"/>
      <c r="L700" s="829"/>
      <c r="M700" s="829"/>
      <c r="N700" s="829"/>
      <c r="O700" s="829"/>
      <c r="P700" s="829"/>
      <c r="Q700" s="829"/>
      <c r="R700" s="829"/>
      <c r="S700" s="829"/>
      <c r="T700" s="829"/>
      <c r="U700" s="829"/>
      <c r="V700" s="829"/>
      <c r="W700" s="829"/>
      <c r="X700" s="829"/>
      <c r="Y700" s="829"/>
      <c r="Z700" s="829"/>
    </row>
    <row r="701">
      <c r="A701" s="829"/>
      <c r="B701" s="829"/>
      <c r="C701" s="829"/>
      <c r="D701" s="829"/>
      <c r="E701" s="829"/>
      <c r="F701" s="829"/>
      <c r="G701" s="829"/>
      <c r="H701" s="829"/>
      <c r="I701" s="829"/>
      <c r="J701" s="829"/>
      <c r="K701" s="829"/>
      <c r="L701" s="829"/>
      <c r="M701" s="829"/>
      <c r="N701" s="829"/>
      <c r="O701" s="829"/>
      <c r="P701" s="829"/>
      <c r="Q701" s="829"/>
      <c r="R701" s="829"/>
      <c r="S701" s="829"/>
      <c r="T701" s="829"/>
      <c r="U701" s="829"/>
      <c r="V701" s="829"/>
      <c r="W701" s="829"/>
      <c r="X701" s="829"/>
      <c r="Y701" s="829"/>
      <c r="Z701" s="829"/>
    </row>
    <row r="702">
      <c r="A702" s="829"/>
      <c r="B702" s="829"/>
      <c r="C702" s="829"/>
      <c r="D702" s="829"/>
      <c r="E702" s="829"/>
      <c r="F702" s="829"/>
      <c r="G702" s="829"/>
      <c r="H702" s="829"/>
      <c r="I702" s="829"/>
      <c r="J702" s="829"/>
      <c r="K702" s="829"/>
      <c r="L702" s="829"/>
      <c r="M702" s="829"/>
      <c r="N702" s="829"/>
      <c r="O702" s="829"/>
      <c r="P702" s="829"/>
      <c r="Q702" s="829"/>
      <c r="R702" s="829"/>
      <c r="S702" s="829"/>
      <c r="T702" s="829"/>
      <c r="U702" s="829"/>
      <c r="V702" s="829"/>
      <c r="W702" s="829"/>
      <c r="X702" s="829"/>
      <c r="Y702" s="829"/>
      <c r="Z702" s="829"/>
    </row>
    <row r="703">
      <c r="A703" s="829"/>
      <c r="B703" s="829"/>
      <c r="C703" s="829"/>
      <c r="D703" s="829"/>
      <c r="E703" s="829"/>
      <c r="F703" s="829"/>
      <c r="G703" s="829"/>
      <c r="H703" s="829"/>
      <c r="I703" s="829"/>
      <c r="J703" s="829"/>
      <c r="K703" s="829"/>
      <c r="L703" s="829"/>
      <c r="M703" s="829"/>
      <c r="N703" s="829"/>
      <c r="O703" s="829"/>
      <c r="P703" s="829"/>
      <c r="Q703" s="829"/>
      <c r="R703" s="829"/>
      <c r="S703" s="829"/>
      <c r="T703" s="829"/>
      <c r="U703" s="829"/>
      <c r="V703" s="829"/>
      <c r="W703" s="829"/>
      <c r="X703" s="829"/>
      <c r="Y703" s="829"/>
      <c r="Z703" s="829"/>
    </row>
    <row r="704">
      <c r="A704" s="829"/>
      <c r="B704" s="829"/>
      <c r="C704" s="829"/>
      <c r="D704" s="829"/>
      <c r="E704" s="829"/>
      <c r="F704" s="829"/>
      <c r="G704" s="829"/>
      <c r="H704" s="829"/>
      <c r="I704" s="829"/>
      <c r="J704" s="829"/>
      <c r="K704" s="829"/>
      <c r="L704" s="829"/>
      <c r="M704" s="829"/>
      <c r="N704" s="829"/>
      <c r="O704" s="829"/>
      <c r="P704" s="829"/>
      <c r="Q704" s="829"/>
      <c r="R704" s="829"/>
      <c r="S704" s="829"/>
      <c r="T704" s="829"/>
      <c r="U704" s="829"/>
      <c r="V704" s="829"/>
      <c r="W704" s="829"/>
      <c r="X704" s="829"/>
      <c r="Y704" s="829"/>
      <c r="Z704" s="829"/>
    </row>
    <row r="705">
      <c r="A705" s="829"/>
      <c r="B705" s="829"/>
      <c r="C705" s="829"/>
      <c r="D705" s="829"/>
      <c r="E705" s="829"/>
      <c r="F705" s="829"/>
      <c r="G705" s="829"/>
      <c r="H705" s="829"/>
      <c r="I705" s="829"/>
      <c r="J705" s="829"/>
      <c r="K705" s="829"/>
      <c r="L705" s="829"/>
      <c r="M705" s="829"/>
      <c r="N705" s="829"/>
      <c r="O705" s="829"/>
      <c r="P705" s="829"/>
      <c r="Q705" s="829"/>
      <c r="R705" s="829"/>
      <c r="S705" s="829"/>
      <c r="T705" s="829"/>
      <c r="U705" s="829"/>
      <c r="V705" s="829"/>
      <c r="W705" s="829"/>
      <c r="X705" s="829"/>
      <c r="Y705" s="829"/>
      <c r="Z705" s="829"/>
    </row>
    <row r="706">
      <c r="A706" s="829"/>
      <c r="B706" s="829"/>
      <c r="C706" s="829"/>
      <c r="D706" s="829"/>
      <c r="E706" s="829"/>
      <c r="F706" s="829"/>
      <c r="G706" s="829"/>
      <c r="H706" s="829"/>
      <c r="I706" s="829"/>
      <c r="J706" s="829"/>
      <c r="K706" s="829"/>
      <c r="L706" s="829"/>
      <c r="M706" s="829"/>
      <c r="N706" s="829"/>
      <c r="O706" s="829"/>
      <c r="P706" s="829"/>
      <c r="Q706" s="829"/>
      <c r="R706" s="829"/>
      <c r="S706" s="829"/>
      <c r="T706" s="829"/>
      <c r="U706" s="829"/>
      <c r="V706" s="829"/>
      <c r="W706" s="829"/>
      <c r="X706" s="829"/>
      <c r="Y706" s="829"/>
      <c r="Z706" s="829"/>
    </row>
    <row r="707">
      <c r="A707" s="829"/>
      <c r="B707" s="829"/>
      <c r="C707" s="829"/>
      <c r="D707" s="829"/>
      <c r="E707" s="829"/>
      <c r="F707" s="829"/>
      <c r="G707" s="829"/>
      <c r="H707" s="829"/>
      <c r="I707" s="829"/>
      <c r="J707" s="829"/>
      <c r="K707" s="829"/>
      <c r="L707" s="829"/>
      <c r="M707" s="829"/>
      <c r="N707" s="829"/>
      <c r="O707" s="829"/>
      <c r="P707" s="829"/>
      <c r="Q707" s="829"/>
      <c r="R707" s="829"/>
      <c r="S707" s="829"/>
      <c r="T707" s="829"/>
      <c r="U707" s="829"/>
      <c r="V707" s="829"/>
      <c r="W707" s="829"/>
      <c r="X707" s="829"/>
      <c r="Y707" s="829"/>
      <c r="Z707" s="829"/>
    </row>
    <row r="708">
      <c r="A708" s="829"/>
      <c r="B708" s="829"/>
      <c r="C708" s="829"/>
      <c r="D708" s="829"/>
      <c r="E708" s="829"/>
      <c r="F708" s="829"/>
      <c r="G708" s="829"/>
      <c r="H708" s="829"/>
      <c r="I708" s="829"/>
      <c r="J708" s="829"/>
      <c r="K708" s="829"/>
      <c r="L708" s="829"/>
      <c r="M708" s="829"/>
      <c r="N708" s="829"/>
      <c r="O708" s="829"/>
      <c r="P708" s="829"/>
      <c r="Q708" s="829"/>
      <c r="R708" s="829"/>
      <c r="S708" s="829"/>
      <c r="T708" s="829"/>
      <c r="U708" s="829"/>
      <c r="V708" s="829"/>
      <c r="W708" s="829"/>
      <c r="X708" s="829"/>
      <c r="Y708" s="829"/>
      <c r="Z708" s="829"/>
    </row>
    <row r="709">
      <c r="A709" s="829"/>
      <c r="B709" s="829"/>
      <c r="C709" s="829"/>
      <c r="D709" s="829"/>
      <c r="E709" s="829"/>
      <c r="F709" s="829"/>
      <c r="G709" s="829"/>
      <c r="H709" s="829"/>
      <c r="I709" s="829"/>
      <c r="J709" s="829"/>
      <c r="K709" s="829"/>
      <c r="L709" s="829"/>
      <c r="M709" s="829"/>
      <c r="N709" s="829"/>
      <c r="O709" s="829"/>
      <c r="P709" s="829"/>
      <c r="Q709" s="829"/>
      <c r="R709" s="829"/>
      <c r="S709" s="829"/>
      <c r="T709" s="829"/>
      <c r="U709" s="829"/>
      <c r="V709" s="829"/>
      <c r="W709" s="829"/>
      <c r="X709" s="829"/>
      <c r="Y709" s="829"/>
      <c r="Z709" s="829"/>
    </row>
    <row r="710">
      <c r="A710" s="829"/>
      <c r="B710" s="829"/>
      <c r="C710" s="829"/>
      <c r="D710" s="829"/>
      <c r="E710" s="829"/>
      <c r="F710" s="829"/>
      <c r="G710" s="829"/>
      <c r="H710" s="829"/>
      <c r="I710" s="829"/>
      <c r="J710" s="829"/>
      <c r="K710" s="829"/>
      <c r="L710" s="829"/>
      <c r="M710" s="829"/>
      <c r="N710" s="829"/>
      <c r="O710" s="829"/>
      <c r="P710" s="829"/>
      <c r="Q710" s="829"/>
      <c r="R710" s="829"/>
      <c r="S710" s="829"/>
      <c r="T710" s="829"/>
      <c r="U710" s="829"/>
      <c r="V710" s="829"/>
      <c r="W710" s="829"/>
      <c r="X710" s="829"/>
      <c r="Y710" s="829"/>
      <c r="Z710" s="829"/>
    </row>
    <row r="711">
      <c r="A711" s="829"/>
      <c r="B711" s="829"/>
      <c r="C711" s="829"/>
      <c r="D711" s="829"/>
      <c r="E711" s="829"/>
      <c r="F711" s="829"/>
      <c r="G711" s="829"/>
      <c r="H711" s="829"/>
      <c r="I711" s="829"/>
      <c r="J711" s="829"/>
      <c r="K711" s="829"/>
      <c r="L711" s="829"/>
      <c r="M711" s="829"/>
      <c r="N711" s="829"/>
      <c r="O711" s="829"/>
      <c r="P711" s="829"/>
      <c r="Q711" s="829"/>
      <c r="R711" s="829"/>
      <c r="S711" s="829"/>
      <c r="T711" s="829"/>
      <c r="U711" s="829"/>
      <c r="V711" s="829"/>
      <c r="W711" s="829"/>
      <c r="X711" s="829"/>
      <c r="Y711" s="829"/>
      <c r="Z711" s="829"/>
    </row>
    <row r="712">
      <c r="A712" s="829"/>
      <c r="B712" s="829"/>
      <c r="C712" s="829"/>
      <c r="D712" s="829"/>
      <c r="E712" s="829"/>
      <c r="F712" s="829"/>
      <c r="G712" s="829"/>
      <c r="H712" s="829"/>
      <c r="I712" s="829"/>
      <c r="J712" s="829"/>
      <c r="K712" s="829"/>
      <c r="L712" s="829"/>
      <c r="M712" s="829"/>
      <c r="N712" s="829"/>
      <c r="O712" s="829"/>
      <c r="P712" s="829"/>
      <c r="Q712" s="829"/>
      <c r="R712" s="829"/>
      <c r="S712" s="829"/>
      <c r="T712" s="829"/>
      <c r="U712" s="829"/>
      <c r="V712" s="829"/>
      <c r="W712" s="829"/>
      <c r="X712" s="829"/>
      <c r="Y712" s="829"/>
      <c r="Z712" s="829"/>
    </row>
    <row r="713">
      <c r="A713" s="829"/>
      <c r="B713" s="829"/>
      <c r="C713" s="829"/>
      <c r="D713" s="829"/>
      <c r="E713" s="829"/>
      <c r="F713" s="829"/>
      <c r="G713" s="829"/>
      <c r="H713" s="829"/>
      <c r="I713" s="829"/>
      <c r="J713" s="829"/>
      <c r="K713" s="829"/>
      <c r="L713" s="829"/>
      <c r="M713" s="829"/>
      <c r="N713" s="829"/>
      <c r="O713" s="829"/>
      <c r="P713" s="829"/>
      <c r="Q713" s="829"/>
      <c r="R713" s="829"/>
      <c r="S713" s="829"/>
      <c r="T713" s="829"/>
      <c r="U713" s="829"/>
      <c r="V713" s="829"/>
      <c r="W713" s="829"/>
      <c r="X713" s="829"/>
      <c r="Y713" s="829"/>
      <c r="Z713" s="829"/>
    </row>
    <row r="714">
      <c r="A714" s="829"/>
      <c r="B714" s="829"/>
      <c r="C714" s="829"/>
      <c r="D714" s="829"/>
      <c r="E714" s="829"/>
      <c r="F714" s="829"/>
      <c r="G714" s="829"/>
      <c r="H714" s="829"/>
      <c r="I714" s="829"/>
      <c r="J714" s="829"/>
      <c r="K714" s="829"/>
      <c r="L714" s="829"/>
      <c r="M714" s="829"/>
      <c r="N714" s="829"/>
      <c r="O714" s="829"/>
      <c r="P714" s="829"/>
      <c r="Q714" s="829"/>
      <c r="R714" s="829"/>
      <c r="S714" s="829"/>
      <c r="T714" s="829"/>
      <c r="U714" s="829"/>
      <c r="V714" s="829"/>
      <c r="W714" s="829"/>
      <c r="X714" s="829"/>
      <c r="Y714" s="829"/>
      <c r="Z714" s="829"/>
    </row>
    <row r="715">
      <c r="A715" s="829"/>
      <c r="B715" s="829"/>
      <c r="C715" s="829"/>
      <c r="D715" s="829"/>
      <c r="E715" s="829"/>
      <c r="F715" s="829"/>
      <c r="G715" s="829"/>
      <c r="H715" s="829"/>
      <c r="I715" s="829"/>
      <c r="J715" s="829"/>
      <c r="K715" s="829"/>
      <c r="L715" s="829"/>
      <c r="M715" s="829"/>
      <c r="N715" s="829"/>
      <c r="O715" s="829"/>
      <c r="P715" s="829"/>
      <c r="Q715" s="829"/>
      <c r="R715" s="829"/>
      <c r="S715" s="829"/>
      <c r="T715" s="829"/>
      <c r="U715" s="829"/>
      <c r="V715" s="829"/>
      <c r="W715" s="829"/>
      <c r="X715" s="829"/>
      <c r="Y715" s="829"/>
      <c r="Z715" s="829"/>
    </row>
    <row r="716">
      <c r="A716" s="829"/>
      <c r="B716" s="829"/>
      <c r="C716" s="829"/>
      <c r="D716" s="829"/>
      <c r="E716" s="829"/>
      <c r="F716" s="829"/>
      <c r="G716" s="829"/>
      <c r="H716" s="829"/>
      <c r="I716" s="829"/>
      <c r="J716" s="829"/>
      <c r="K716" s="829"/>
      <c r="L716" s="829"/>
      <c r="M716" s="829"/>
      <c r="N716" s="829"/>
      <c r="O716" s="829"/>
      <c r="P716" s="829"/>
      <c r="Q716" s="829"/>
      <c r="R716" s="829"/>
      <c r="S716" s="829"/>
      <c r="T716" s="829"/>
      <c r="U716" s="829"/>
      <c r="V716" s="829"/>
      <c r="W716" s="829"/>
      <c r="X716" s="829"/>
      <c r="Y716" s="829"/>
      <c r="Z716" s="829"/>
    </row>
    <row r="717">
      <c r="A717" s="829"/>
      <c r="B717" s="829"/>
      <c r="C717" s="829"/>
      <c r="D717" s="829"/>
      <c r="E717" s="829"/>
      <c r="F717" s="829"/>
      <c r="G717" s="829"/>
      <c r="H717" s="829"/>
      <c r="I717" s="829"/>
      <c r="J717" s="829"/>
      <c r="K717" s="829"/>
      <c r="L717" s="829"/>
      <c r="M717" s="829"/>
      <c r="N717" s="829"/>
      <c r="O717" s="829"/>
      <c r="P717" s="829"/>
      <c r="Q717" s="829"/>
      <c r="R717" s="829"/>
      <c r="S717" s="829"/>
      <c r="T717" s="829"/>
      <c r="U717" s="829"/>
      <c r="V717" s="829"/>
      <c r="W717" s="829"/>
      <c r="X717" s="829"/>
      <c r="Y717" s="829"/>
      <c r="Z717" s="829"/>
    </row>
    <row r="718">
      <c r="A718" s="829"/>
      <c r="B718" s="829"/>
      <c r="C718" s="829"/>
      <c r="D718" s="829"/>
      <c r="E718" s="829"/>
      <c r="F718" s="829"/>
      <c r="G718" s="829"/>
      <c r="H718" s="829"/>
      <c r="I718" s="829"/>
      <c r="J718" s="829"/>
      <c r="K718" s="829"/>
      <c r="L718" s="829"/>
      <c r="M718" s="829"/>
      <c r="N718" s="829"/>
      <c r="O718" s="829"/>
      <c r="P718" s="829"/>
      <c r="Q718" s="829"/>
      <c r="R718" s="829"/>
      <c r="S718" s="829"/>
      <c r="T718" s="829"/>
      <c r="U718" s="829"/>
      <c r="V718" s="829"/>
      <c r="W718" s="829"/>
      <c r="X718" s="829"/>
      <c r="Y718" s="829"/>
      <c r="Z718" s="829"/>
    </row>
    <row r="719">
      <c r="A719" s="829"/>
      <c r="B719" s="829"/>
      <c r="C719" s="829"/>
      <c r="D719" s="829"/>
      <c r="E719" s="829"/>
      <c r="F719" s="829"/>
      <c r="G719" s="829"/>
      <c r="H719" s="829"/>
      <c r="I719" s="829"/>
      <c r="J719" s="829"/>
      <c r="K719" s="829"/>
      <c r="L719" s="829"/>
      <c r="M719" s="829"/>
      <c r="N719" s="829"/>
      <c r="O719" s="829"/>
      <c r="P719" s="829"/>
      <c r="Q719" s="829"/>
      <c r="R719" s="829"/>
      <c r="S719" s="829"/>
      <c r="T719" s="829"/>
      <c r="U719" s="829"/>
      <c r="V719" s="829"/>
      <c r="W719" s="829"/>
      <c r="X719" s="829"/>
      <c r="Y719" s="829"/>
      <c r="Z719" s="829"/>
    </row>
    <row r="720">
      <c r="A720" s="829"/>
      <c r="B720" s="829"/>
      <c r="C720" s="829"/>
      <c r="D720" s="829"/>
      <c r="E720" s="829"/>
      <c r="F720" s="829"/>
      <c r="G720" s="829"/>
      <c r="H720" s="829"/>
      <c r="I720" s="829"/>
      <c r="J720" s="829"/>
      <c r="K720" s="829"/>
      <c r="L720" s="829"/>
      <c r="M720" s="829"/>
      <c r="N720" s="829"/>
      <c r="O720" s="829"/>
      <c r="P720" s="829"/>
      <c r="Q720" s="829"/>
      <c r="R720" s="829"/>
      <c r="S720" s="829"/>
      <c r="T720" s="829"/>
      <c r="U720" s="829"/>
      <c r="V720" s="829"/>
      <c r="W720" s="829"/>
      <c r="X720" s="829"/>
      <c r="Y720" s="829"/>
      <c r="Z720" s="829"/>
    </row>
    <row r="721">
      <c r="A721" s="829"/>
      <c r="B721" s="829"/>
      <c r="C721" s="829"/>
      <c r="D721" s="829"/>
      <c r="E721" s="829"/>
      <c r="F721" s="829"/>
      <c r="G721" s="829"/>
      <c r="H721" s="829"/>
      <c r="I721" s="829"/>
      <c r="J721" s="829"/>
      <c r="K721" s="829"/>
      <c r="L721" s="829"/>
      <c r="M721" s="829"/>
      <c r="N721" s="829"/>
      <c r="O721" s="829"/>
      <c r="P721" s="829"/>
      <c r="Q721" s="829"/>
      <c r="R721" s="829"/>
      <c r="S721" s="829"/>
      <c r="T721" s="829"/>
      <c r="U721" s="829"/>
      <c r="V721" s="829"/>
      <c r="W721" s="829"/>
      <c r="X721" s="829"/>
      <c r="Y721" s="829"/>
      <c r="Z721" s="829"/>
    </row>
    <row r="722">
      <c r="A722" s="829"/>
      <c r="B722" s="829"/>
      <c r="C722" s="829"/>
      <c r="D722" s="829"/>
      <c r="E722" s="829"/>
      <c r="F722" s="829"/>
      <c r="G722" s="829"/>
      <c r="H722" s="829"/>
      <c r="I722" s="829"/>
      <c r="J722" s="829"/>
      <c r="K722" s="829"/>
      <c r="L722" s="829"/>
      <c r="M722" s="829"/>
      <c r="N722" s="829"/>
      <c r="O722" s="829"/>
      <c r="P722" s="829"/>
      <c r="Q722" s="829"/>
      <c r="R722" s="829"/>
      <c r="S722" s="829"/>
      <c r="T722" s="829"/>
      <c r="U722" s="829"/>
      <c r="V722" s="829"/>
      <c r="W722" s="829"/>
      <c r="X722" s="829"/>
      <c r="Y722" s="829"/>
      <c r="Z722" s="829"/>
    </row>
    <row r="723">
      <c r="A723" s="829"/>
      <c r="B723" s="829"/>
      <c r="C723" s="829"/>
      <c r="D723" s="829"/>
      <c r="E723" s="829"/>
      <c r="F723" s="829"/>
      <c r="G723" s="829"/>
      <c r="H723" s="829"/>
      <c r="I723" s="829"/>
      <c r="J723" s="829"/>
      <c r="K723" s="829"/>
      <c r="L723" s="829"/>
      <c r="M723" s="829"/>
      <c r="N723" s="829"/>
      <c r="O723" s="829"/>
      <c r="P723" s="829"/>
      <c r="Q723" s="829"/>
      <c r="R723" s="829"/>
      <c r="S723" s="829"/>
      <c r="T723" s="829"/>
      <c r="U723" s="829"/>
      <c r="V723" s="829"/>
      <c r="W723" s="829"/>
      <c r="X723" s="829"/>
      <c r="Y723" s="829"/>
      <c r="Z723" s="829"/>
    </row>
    <row r="724">
      <c r="A724" s="829"/>
      <c r="B724" s="829"/>
      <c r="C724" s="829"/>
      <c r="D724" s="829"/>
      <c r="E724" s="829"/>
      <c r="F724" s="829"/>
      <c r="G724" s="829"/>
      <c r="H724" s="829"/>
      <c r="I724" s="829"/>
      <c r="J724" s="829"/>
      <c r="K724" s="829"/>
      <c r="L724" s="829"/>
      <c r="M724" s="829"/>
      <c r="N724" s="829"/>
      <c r="O724" s="829"/>
      <c r="P724" s="829"/>
      <c r="Q724" s="829"/>
      <c r="R724" s="829"/>
      <c r="S724" s="829"/>
      <c r="T724" s="829"/>
      <c r="U724" s="829"/>
      <c r="V724" s="829"/>
      <c r="W724" s="829"/>
      <c r="X724" s="829"/>
      <c r="Y724" s="829"/>
      <c r="Z724" s="829"/>
    </row>
    <row r="725">
      <c r="A725" s="829"/>
      <c r="B725" s="829"/>
      <c r="C725" s="829"/>
      <c r="D725" s="829"/>
      <c r="E725" s="829"/>
      <c r="F725" s="829"/>
      <c r="G725" s="829"/>
      <c r="H725" s="829"/>
      <c r="I725" s="829"/>
      <c r="J725" s="829"/>
      <c r="K725" s="829"/>
      <c r="L725" s="829"/>
      <c r="M725" s="829"/>
      <c r="N725" s="829"/>
      <c r="O725" s="829"/>
      <c r="P725" s="829"/>
      <c r="Q725" s="829"/>
      <c r="R725" s="829"/>
      <c r="S725" s="829"/>
      <c r="T725" s="829"/>
      <c r="U725" s="829"/>
      <c r="V725" s="829"/>
      <c r="W725" s="829"/>
      <c r="X725" s="829"/>
      <c r="Y725" s="829"/>
      <c r="Z725" s="829"/>
    </row>
    <row r="726">
      <c r="A726" s="829"/>
      <c r="B726" s="829"/>
      <c r="C726" s="829"/>
      <c r="D726" s="829"/>
      <c r="E726" s="829"/>
      <c r="F726" s="829"/>
      <c r="G726" s="829"/>
      <c r="H726" s="829"/>
      <c r="I726" s="829"/>
      <c r="J726" s="829"/>
      <c r="K726" s="829"/>
      <c r="L726" s="829"/>
      <c r="M726" s="829"/>
      <c r="N726" s="829"/>
      <c r="O726" s="829"/>
      <c r="P726" s="829"/>
      <c r="Q726" s="829"/>
      <c r="R726" s="829"/>
      <c r="S726" s="829"/>
      <c r="T726" s="829"/>
      <c r="U726" s="829"/>
      <c r="V726" s="829"/>
      <c r="W726" s="829"/>
      <c r="X726" s="829"/>
      <c r="Y726" s="829"/>
      <c r="Z726" s="829"/>
    </row>
    <row r="727">
      <c r="A727" s="829"/>
      <c r="B727" s="829"/>
      <c r="C727" s="829"/>
      <c r="D727" s="829"/>
      <c r="E727" s="829"/>
      <c r="F727" s="829"/>
      <c r="G727" s="829"/>
      <c r="H727" s="829"/>
      <c r="I727" s="829"/>
      <c r="J727" s="829"/>
      <c r="K727" s="829"/>
      <c r="L727" s="829"/>
      <c r="M727" s="829"/>
      <c r="N727" s="829"/>
      <c r="O727" s="829"/>
      <c r="P727" s="829"/>
      <c r="Q727" s="829"/>
      <c r="R727" s="829"/>
      <c r="S727" s="829"/>
      <c r="T727" s="829"/>
      <c r="U727" s="829"/>
      <c r="V727" s="829"/>
      <c r="W727" s="829"/>
      <c r="X727" s="829"/>
      <c r="Y727" s="829"/>
      <c r="Z727" s="829"/>
    </row>
    <row r="728">
      <c r="A728" s="829"/>
      <c r="B728" s="829"/>
      <c r="C728" s="829"/>
      <c r="D728" s="829"/>
      <c r="E728" s="829"/>
      <c r="F728" s="829"/>
      <c r="G728" s="829"/>
      <c r="H728" s="829"/>
      <c r="I728" s="829"/>
      <c r="J728" s="829"/>
      <c r="K728" s="829"/>
      <c r="L728" s="829"/>
      <c r="M728" s="829"/>
      <c r="N728" s="829"/>
      <c r="O728" s="829"/>
      <c r="P728" s="829"/>
      <c r="Q728" s="829"/>
      <c r="R728" s="829"/>
      <c r="S728" s="829"/>
      <c r="T728" s="829"/>
      <c r="U728" s="829"/>
      <c r="V728" s="829"/>
      <c r="W728" s="829"/>
      <c r="X728" s="829"/>
      <c r="Y728" s="829"/>
      <c r="Z728" s="829"/>
    </row>
    <row r="729">
      <c r="A729" s="829"/>
      <c r="B729" s="829"/>
      <c r="C729" s="829"/>
      <c r="D729" s="829"/>
      <c r="E729" s="829"/>
      <c r="F729" s="829"/>
      <c r="G729" s="829"/>
      <c r="H729" s="829"/>
      <c r="I729" s="829"/>
      <c r="J729" s="829"/>
      <c r="K729" s="829"/>
      <c r="L729" s="829"/>
      <c r="M729" s="829"/>
      <c r="N729" s="829"/>
      <c r="O729" s="829"/>
      <c r="P729" s="829"/>
      <c r="Q729" s="829"/>
      <c r="R729" s="829"/>
      <c r="S729" s="829"/>
      <c r="T729" s="829"/>
      <c r="U729" s="829"/>
      <c r="V729" s="829"/>
      <c r="W729" s="829"/>
      <c r="X729" s="829"/>
      <c r="Y729" s="829"/>
      <c r="Z729" s="829"/>
    </row>
    <row r="730">
      <c r="A730" s="829"/>
      <c r="B730" s="829"/>
      <c r="C730" s="829"/>
      <c r="D730" s="829"/>
      <c r="E730" s="829"/>
      <c r="F730" s="829"/>
      <c r="G730" s="829"/>
      <c r="H730" s="829"/>
      <c r="I730" s="829"/>
      <c r="J730" s="829"/>
      <c r="K730" s="829"/>
      <c r="L730" s="829"/>
      <c r="M730" s="829"/>
      <c r="N730" s="829"/>
      <c r="O730" s="829"/>
      <c r="P730" s="829"/>
      <c r="Q730" s="829"/>
      <c r="R730" s="829"/>
      <c r="S730" s="829"/>
      <c r="T730" s="829"/>
      <c r="U730" s="829"/>
      <c r="V730" s="829"/>
      <c r="W730" s="829"/>
      <c r="X730" s="829"/>
      <c r="Y730" s="829"/>
      <c r="Z730" s="829"/>
    </row>
    <row r="731">
      <c r="A731" s="829"/>
      <c r="B731" s="829"/>
      <c r="C731" s="829"/>
      <c r="D731" s="829"/>
      <c r="E731" s="829"/>
      <c r="F731" s="829"/>
      <c r="G731" s="829"/>
      <c r="H731" s="829"/>
      <c r="I731" s="829"/>
      <c r="J731" s="829"/>
      <c r="K731" s="829"/>
      <c r="L731" s="829"/>
      <c r="M731" s="829"/>
      <c r="N731" s="829"/>
      <c r="O731" s="829"/>
      <c r="P731" s="829"/>
      <c r="Q731" s="829"/>
      <c r="R731" s="829"/>
      <c r="S731" s="829"/>
      <c r="T731" s="829"/>
      <c r="U731" s="829"/>
      <c r="V731" s="829"/>
      <c r="W731" s="829"/>
      <c r="X731" s="829"/>
      <c r="Y731" s="829"/>
      <c r="Z731" s="829"/>
    </row>
    <row r="732">
      <c r="A732" s="829"/>
      <c r="B732" s="829"/>
      <c r="C732" s="829"/>
      <c r="D732" s="829"/>
      <c r="E732" s="829"/>
      <c r="F732" s="829"/>
      <c r="G732" s="829"/>
      <c r="H732" s="829"/>
      <c r="I732" s="829"/>
      <c r="J732" s="829"/>
      <c r="K732" s="829"/>
      <c r="L732" s="829"/>
      <c r="M732" s="829"/>
      <c r="N732" s="829"/>
      <c r="O732" s="829"/>
      <c r="P732" s="829"/>
      <c r="Q732" s="829"/>
      <c r="R732" s="829"/>
      <c r="S732" s="829"/>
      <c r="T732" s="829"/>
      <c r="U732" s="829"/>
      <c r="V732" s="829"/>
      <c r="W732" s="829"/>
      <c r="X732" s="829"/>
      <c r="Y732" s="829"/>
      <c r="Z732" s="829"/>
    </row>
    <row r="733">
      <c r="A733" s="829"/>
      <c r="B733" s="829"/>
      <c r="C733" s="829"/>
      <c r="D733" s="829"/>
      <c r="E733" s="829"/>
      <c r="F733" s="829"/>
      <c r="G733" s="829"/>
      <c r="H733" s="829"/>
      <c r="I733" s="829"/>
      <c r="J733" s="829"/>
      <c r="K733" s="829"/>
      <c r="L733" s="829"/>
      <c r="M733" s="829"/>
      <c r="N733" s="829"/>
      <c r="O733" s="829"/>
      <c r="P733" s="829"/>
      <c r="Q733" s="829"/>
      <c r="R733" s="829"/>
      <c r="S733" s="829"/>
      <c r="T733" s="829"/>
      <c r="U733" s="829"/>
      <c r="V733" s="829"/>
      <c r="W733" s="829"/>
      <c r="X733" s="829"/>
      <c r="Y733" s="829"/>
      <c r="Z733" s="829"/>
    </row>
    <row r="734">
      <c r="A734" s="829"/>
      <c r="B734" s="829"/>
      <c r="C734" s="829"/>
      <c r="D734" s="829"/>
      <c r="E734" s="829"/>
      <c r="F734" s="829"/>
      <c r="G734" s="829"/>
      <c r="H734" s="829"/>
      <c r="I734" s="829"/>
      <c r="J734" s="829"/>
      <c r="K734" s="829"/>
      <c r="L734" s="829"/>
      <c r="M734" s="829"/>
      <c r="N734" s="829"/>
      <c r="O734" s="829"/>
      <c r="P734" s="829"/>
      <c r="Q734" s="829"/>
      <c r="R734" s="829"/>
      <c r="S734" s="829"/>
      <c r="T734" s="829"/>
      <c r="U734" s="829"/>
      <c r="V734" s="829"/>
      <c r="W734" s="829"/>
      <c r="X734" s="829"/>
      <c r="Y734" s="829"/>
      <c r="Z734" s="829"/>
    </row>
    <row r="735">
      <c r="A735" s="829"/>
      <c r="B735" s="829"/>
      <c r="C735" s="829"/>
      <c r="D735" s="829"/>
      <c r="E735" s="829"/>
      <c r="F735" s="829"/>
      <c r="G735" s="829"/>
      <c r="H735" s="829"/>
      <c r="I735" s="829"/>
      <c r="J735" s="829"/>
      <c r="K735" s="829"/>
      <c r="L735" s="829"/>
      <c r="M735" s="829"/>
      <c r="N735" s="829"/>
      <c r="O735" s="829"/>
      <c r="P735" s="829"/>
      <c r="Q735" s="829"/>
      <c r="R735" s="829"/>
      <c r="S735" s="829"/>
      <c r="T735" s="829"/>
      <c r="U735" s="829"/>
      <c r="V735" s="829"/>
      <c r="W735" s="829"/>
      <c r="X735" s="829"/>
      <c r="Y735" s="829"/>
      <c r="Z735" s="829"/>
    </row>
    <row r="736">
      <c r="A736" s="829"/>
      <c r="B736" s="829"/>
      <c r="C736" s="829"/>
      <c r="D736" s="829"/>
      <c r="E736" s="829"/>
      <c r="F736" s="829"/>
      <c r="G736" s="829"/>
      <c r="H736" s="829"/>
      <c r="I736" s="829"/>
      <c r="J736" s="829"/>
      <c r="K736" s="829"/>
      <c r="L736" s="829"/>
      <c r="M736" s="829"/>
      <c r="N736" s="829"/>
      <c r="O736" s="829"/>
      <c r="P736" s="829"/>
      <c r="Q736" s="829"/>
      <c r="R736" s="829"/>
      <c r="S736" s="829"/>
      <c r="T736" s="829"/>
      <c r="U736" s="829"/>
      <c r="V736" s="829"/>
      <c r="W736" s="829"/>
      <c r="X736" s="829"/>
      <c r="Y736" s="829"/>
      <c r="Z736" s="829"/>
    </row>
    <row r="737">
      <c r="A737" s="829"/>
      <c r="B737" s="829"/>
      <c r="C737" s="829"/>
      <c r="D737" s="829"/>
      <c r="E737" s="829"/>
      <c r="F737" s="829"/>
      <c r="G737" s="829"/>
      <c r="H737" s="829"/>
      <c r="I737" s="829"/>
      <c r="J737" s="829"/>
      <c r="K737" s="829"/>
      <c r="L737" s="829"/>
      <c r="M737" s="829"/>
      <c r="N737" s="829"/>
      <c r="O737" s="829"/>
      <c r="P737" s="829"/>
      <c r="Q737" s="829"/>
      <c r="R737" s="829"/>
      <c r="S737" s="829"/>
      <c r="T737" s="829"/>
      <c r="U737" s="829"/>
      <c r="V737" s="829"/>
      <c r="W737" s="829"/>
      <c r="X737" s="829"/>
      <c r="Y737" s="829"/>
      <c r="Z737" s="829"/>
    </row>
    <row r="738">
      <c r="A738" s="829"/>
      <c r="B738" s="829"/>
      <c r="C738" s="829"/>
      <c r="D738" s="829"/>
      <c r="E738" s="829"/>
      <c r="F738" s="829"/>
      <c r="G738" s="829"/>
      <c r="H738" s="829"/>
      <c r="I738" s="829"/>
      <c r="J738" s="829"/>
      <c r="K738" s="829"/>
      <c r="L738" s="829"/>
      <c r="M738" s="829"/>
      <c r="N738" s="829"/>
      <c r="O738" s="829"/>
      <c r="P738" s="829"/>
      <c r="Q738" s="829"/>
      <c r="R738" s="829"/>
      <c r="S738" s="829"/>
      <c r="T738" s="829"/>
      <c r="U738" s="829"/>
      <c r="V738" s="829"/>
      <c r="W738" s="829"/>
      <c r="X738" s="829"/>
      <c r="Y738" s="829"/>
      <c r="Z738" s="829"/>
    </row>
    <row r="739">
      <c r="A739" s="829"/>
      <c r="B739" s="829"/>
      <c r="C739" s="829"/>
      <c r="D739" s="829"/>
      <c r="E739" s="829"/>
      <c r="F739" s="829"/>
      <c r="G739" s="829"/>
      <c r="H739" s="829"/>
      <c r="I739" s="829"/>
      <c r="J739" s="829"/>
      <c r="K739" s="829"/>
      <c r="L739" s="829"/>
      <c r="M739" s="829"/>
      <c r="N739" s="829"/>
      <c r="O739" s="829"/>
      <c r="P739" s="829"/>
      <c r="Q739" s="829"/>
      <c r="R739" s="829"/>
      <c r="S739" s="829"/>
      <c r="T739" s="829"/>
      <c r="U739" s="829"/>
      <c r="V739" s="829"/>
      <c r="W739" s="829"/>
      <c r="X739" s="829"/>
      <c r="Y739" s="829"/>
      <c r="Z739" s="829"/>
    </row>
    <row r="740">
      <c r="A740" s="829"/>
      <c r="B740" s="829"/>
      <c r="C740" s="829"/>
      <c r="D740" s="829"/>
      <c r="E740" s="829"/>
      <c r="F740" s="829"/>
      <c r="G740" s="829"/>
      <c r="H740" s="829"/>
      <c r="I740" s="829"/>
      <c r="J740" s="829"/>
      <c r="K740" s="829"/>
      <c r="L740" s="829"/>
      <c r="M740" s="829"/>
      <c r="N740" s="829"/>
      <c r="O740" s="829"/>
      <c r="P740" s="829"/>
      <c r="Q740" s="829"/>
      <c r="R740" s="829"/>
      <c r="S740" s="829"/>
      <c r="T740" s="829"/>
      <c r="U740" s="829"/>
      <c r="V740" s="829"/>
      <c r="W740" s="829"/>
      <c r="X740" s="829"/>
      <c r="Y740" s="829"/>
      <c r="Z740" s="829"/>
    </row>
    <row r="741">
      <c r="A741" s="829"/>
      <c r="B741" s="829"/>
      <c r="C741" s="829"/>
      <c r="D741" s="829"/>
      <c r="E741" s="829"/>
      <c r="F741" s="829"/>
      <c r="G741" s="829"/>
      <c r="H741" s="829"/>
      <c r="I741" s="829"/>
      <c r="J741" s="829"/>
      <c r="K741" s="829"/>
      <c r="L741" s="829"/>
      <c r="M741" s="829"/>
      <c r="N741" s="829"/>
      <c r="O741" s="829"/>
      <c r="P741" s="829"/>
      <c r="Q741" s="829"/>
      <c r="R741" s="829"/>
      <c r="S741" s="829"/>
      <c r="T741" s="829"/>
      <c r="U741" s="829"/>
      <c r="V741" s="829"/>
      <c r="W741" s="829"/>
      <c r="X741" s="829"/>
      <c r="Y741" s="829"/>
      <c r="Z741" s="829"/>
    </row>
    <row r="742">
      <c r="A742" s="829"/>
      <c r="B742" s="829"/>
      <c r="C742" s="829"/>
      <c r="D742" s="829"/>
      <c r="E742" s="829"/>
      <c r="F742" s="829"/>
      <c r="G742" s="829"/>
      <c r="H742" s="829"/>
      <c r="I742" s="829"/>
      <c r="J742" s="829"/>
      <c r="K742" s="829"/>
      <c r="L742" s="829"/>
      <c r="M742" s="829"/>
      <c r="N742" s="829"/>
      <c r="O742" s="829"/>
      <c r="P742" s="829"/>
      <c r="Q742" s="829"/>
      <c r="R742" s="829"/>
      <c r="S742" s="829"/>
      <c r="T742" s="829"/>
      <c r="U742" s="829"/>
      <c r="V742" s="829"/>
      <c r="W742" s="829"/>
      <c r="X742" s="829"/>
      <c r="Y742" s="829"/>
      <c r="Z742" s="829"/>
    </row>
    <row r="743">
      <c r="A743" s="829"/>
      <c r="B743" s="829"/>
      <c r="C743" s="829"/>
      <c r="D743" s="829"/>
      <c r="E743" s="829"/>
      <c r="F743" s="829"/>
      <c r="G743" s="829"/>
      <c r="H743" s="829"/>
      <c r="I743" s="829"/>
      <c r="J743" s="829"/>
      <c r="K743" s="829"/>
      <c r="L743" s="829"/>
      <c r="M743" s="829"/>
      <c r="N743" s="829"/>
      <c r="O743" s="829"/>
      <c r="P743" s="829"/>
      <c r="Q743" s="829"/>
      <c r="R743" s="829"/>
      <c r="S743" s="829"/>
      <c r="T743" s="829"/>
      <c r="U743" s="829"/>
      <c r="V743" s="829"/>
      <c r="W743" s="829"/>
      <c r="X743" s="829"/>
      <c r="Y743" s="829"/>
      <c r="Z743" s="829"/>
    </row>
    <row r="744">
      <c r="A744" s="829"/>
      <c r="B744" s="829"/>
      <c r="C744" s="829"/>
      <c r="D744" s="829"/>
      <c r="E744" s="829"/>
      <c r="F744" s="829"/>
      <c r="G744" s="829"/>
      <c r="H744" s="829"/>
      <c r="I744" s="829"/>
      <c r="J744" s="829"/>
      <c r="K744" s="829"/>
      <c r="L744" s="829"/>
      <c r="M744" s="829"/>
      <c r="N744" s="829"/>
      <c r="O744" s="829"/>
      <c r="P744" s="829"/>
      <c r="Q744" s="829"/>
      <c r="R744" s="829"/>
      <c r="S744" s="829"/>
      <c r="T744" s="829"/>
      <c r="U744" s="829"/>
      <c r="V744" s="829"/>
      <c r="W744" s="829"/>
      <c r="X744" s="829"/>
      <c r="Y744" s="829"/>
      <c r="Z744" s="829"/>
    </row>
    <row r="745">
      <c r="A745" s="829"/>
      <c r="B745" s="829"/>
      <c r="C745" s="829"/>
      <c r="D745" s="829"/>
      <c r="E745" s="829"/>
      <c r="F745" s="829"/>
      <c r="G745" s="829"/>
      <c r="H745" s="829"/>
      <c r="I745" s="829"/>
      <c r="J745" s="829"/>
      <c r="K745" s="829"/>
      <c r="L745" s="829"/>
      <c r="M745" s="829"/>
      <c r="N745" s="829"/>
      <c r="O745" s="829"/>
      <c r="P745" s="829"/>
      <c r="Q745" s="829"/>
      <c r="R745" s="829"/>
      <c r="S745" s="829"/>
      <c r="T745" s="829"/>
      <c r="U745" s="829"/>
      <c r="V745" s="829"/>
      <c r="W745" s="829"/>
      <c r="X745" s="829"/>
      <c r="Y745" s="829"/>
      <c r="Z745" s="829"/>
    </row>
    <row r="746">
      <c r="A746" s="829"/>
      <c r="B746" s="829"/>
      <c r="C746" s="829"/>
      <c r="D746" s="829"/>
      <c r="E746" s="829"/>
      <c r="F746" s="829"/>
      <c r="G746" s="829"/>
      <c r="H746" s="829"/>
      <c r="I746" s="829"/>
      <c r="J746" s="829"/>
      <c r="K746" s="829"/>
      <c r="L746" s="829"/>
      <c r="M746" s="829"/>
      <c r="N746" s="829"/>
      <c r="O746" s="829"/>
      <c r="P746" s="829"/>
      <c r="Q746" s="829"/>
      <c r="R746" s="829"/>
      <c r="S746" s="829"/>
      <c r="T746" s="829"/>
      <c r="U746" s="829"/>
      <c r="V746" s="829"/>
      <c r="W746" s="829"/>
      <c r="X746" s="829"/>
      <c r="Y746" s="829"/>
      <c r="Z746" s="829"/>
    </row>
    <row r="747">
      <c r="A747" s="829"/>
      <c r="B747" s="829"/>
      <c r="C747" s="829"/>
      <c r="D747" s="829"/>
      <c r="E747" s="829"/>
      <c r="F747" s="829"/>
      <c r="G747" s="829"/>
      <c r="H747" s="829"/>
      <c r="I747" s="829"/>
      <c r="J747" s="829"/>
      <c r="K747" s="829"/>
      <c r="L747" s="829"/>
      <c r="M747" s="829"/>
      <c r="N747" s="829"/>
      <c r="O747" s="829"/>
      <c r="P747" s="829"/>
      <c r="Q747" s="829"/>
      <c r="R747" s="829"/>
      <c r="S747" s="829"/>
      <c r="T747" s="829"/>
      <c r="U747" s="829"/>
      <c r="V747" s="829"/>
      <c r="W747" s="829"/>
      <c r="X747" s="829"/>
      <c r="Y747" s="829"/>
      <c r="Z747" s="829"/>
    </row>
    <row r="748">
      <c r="A748" s="829"/>
      <c r="B748" s="829"/>
      <c r="C748" s="829"/>
      <c r="D748" s="829"/>
      <c r="E748" s="829"/>
      <c r="F748" s="829"/>
      <c r="G748" s="829"/>
      <c r="H748" s="829"/>
      <c r="I748" s="829"/>
      <c r="J748" s="829"/>
      <c r="K748" s="829"/>
      <c r="L748" s="829"/>
      <c r="M748" s="829"/>
      <c r="N748" s="829"/>
      <c r="O748" s="829"/>
      <c r="P748" s="829"/>
      <c r="Q748" s="829"/>
      <c r="R748" s="829"/>
      <c r="S748" s="829"/>
      <c r="T748" s="829"/>
      <c r="U748" s="829"/>
      <c r="V748" s="829"/>
      <c r="W748" s="829"/>
      <c r="X748" s="829"/>
      <c r="Y748" s="829"/>
      <c r="Z748" s="829"/>
    </row>
    <row r="749">
      <c r="A749" s="829"/>
      <c r="B749" s="829"/>
      <c r="C749" s="829"/>
      <c r="D749" s="829"/>
      <c r="E749" s="829"/>
      <c r="F749" s="829"/>
      <c r="G749" s="829"/>
      <c r="H749" s="829"/>
      <c r="I749" s="829"/>
      <c r="J749" s="829"/>
      <c r="K749" s="829"/>
      <c r="L749" s="829"/>
      <c r="M749" s="829"/>
      <c r="N749" s="829"/>
      <c r="O749" s="829"/>
      <c r="P749" s="829"/>
      <c r="Q749" s="829"/>
      <c r="R749" s="829"/>
      <c r="S749" s="829"/>
      <c r="T749" s="829"/>
      <c r="U749" s="829"/>
      <c r="V749" s="829"/>
      <c r="W749" s="829"/>
      <c r="X749" s="829"/>
      <c r="Y749" s="829"/>
      <c r="Z749" s="829"/>
    </row>
    <row r="750">
      <c r="A750" s="829"/>
      <c r="B750" s="829"/>
      <c r="C750" s="829"/>
      <c r="D750" s="829"/>
      <c r="E750" s="829"/>
      <c r="F750" s="829"/>
      <c r="G750" s="829"/>
      <c r="H750" s="829"/>
      <c r="I750" s="829"/>
      <c r="J750" s="829"/>
      <c r="K750" s="829"/>
      <c r="L750" s="829"/>
      <c r="M750" s="829"/>
      <c r="N750" s="829"/>
      <c r="O750" s="829"/>
      <c r="P750" s="829"/>
      <c r="Q750" s="829"/>
      <c r="R750" s="829"/>
      <c r="S750" s="829"/>
      <c r="T750" s="829"/>
      <c r="U750" s="829"/>
      <c r="V750" s="829"/>
      <c r="W750" s="829"/>
      <c r="X750" s="829"/>
      <c r="Y750" s="829"/>
      <c r="Z750" s="829"/>
    </row>
    <row r="751">
      <c r="A751" s="829"/>
      <c r="B751" s="829"/>
      <c r="C751" s="829"/>
      <c r="D751" s="829"/>
      <c r="E751" s="829"/>
      <c r="F751" s="829"/>
      <c r="G751" s="829"/>
      <c r="H751" s="829"/>
      <c r="I751" s="829"/>
      <c r="J751" s="829"/>
      <c r="K751" s="829"/>
      <c r="L751" s="829"/>
      <c r="M751" s="829"/>
      <c r="N751" s="829"/>
      <c r="O751" s="829"/>
      <c r="P751" s="829"/>
      <c r="Q751" s="829"/>
      <c r="R751" s="829"/>
      <c r="S751" s="829"/>
      <c r="T751" s="829"/>
      <c r="U751" s="829"/>
      <c r="V751" s="829"/>
      <c r="W751" s="829"/>
      <c r="X751" s="829"/>
      <c r="Y751" s="829"/>
      <c r="Z751" s="829"/>
    </row>
    <row r="752">
      <c r="A752" s="829"/>
      <c r="B752" s="829"/>
      <c r="C752" s="829"/>
      <c r="D752" s="829"/>
      <c r="E752" s="829"/>
      <c r="F752" s="829"/>
      <c r="G752" s="829"/>
      <c r="H752" s="829"/>
      <c r="I752" s="829"/>
      <c r="J752" s="829"/>
      <c r="K752" s="829"/>
      <c r="L752" s="829"/>
      <c r="M752" s="829"/>
      <c r="N752" s="829"/>
      <c r="O752" s="829"/>
      <c r="P752" s="829"/>
      <c r="Q752" s="829"/>
      <c r="R752" s="829"/>
      <c r="S752" s="829"/>
      <c r="T752" s="829"/>
      <c r="U752" s="829"/>
      <c r="V752" s="829"/>
      <c r="W752" s="829"/>
      <c r="X752" s="829"/>
      <c r="Y752" s="829"/>
      <c r="Z752" s="829"/>
    </row>
    <row r="753">
      <c r="A753" s="829"/>
      <c r="B753" s="829"/>
      <c r="C753" s="829"/>
      <c r="D753" s="829"/>
      <c r="E753" s="829"/>
      <c r="F753" s="829"/>
      <c r="G753" s="829"/>
      <c r="H753" s="829"/>
      <c r="I753" s="829"/>
      <c r="J753" s="829"/>
      <c r="K753" s="829"/>
      <c r="L753" s="829"/>
      <c r="M753" s="829"/>
      <c r="N753" s="829"/>
      <c r="O753" s="829"/>
      <c r="P753" s="829"/>
      <c r="Q753" s="829"/>
      <c r="R753" s="829"/>
      <c r="S753" s="829"/>
      <c r="T753" s="829"/>
      <c r="U753" s="829"/>
      <c r="V753" s="829"/>
      <c r="W753" s="829"/>
      <c r="X753" s="829"/>
      <c r="Y753" s="829"/>
      <c r="Z753" s="829"/>
    </row>
    <row r="754">
      <c r="A754" s="829"/>
      <c r="B754" s="829"/>
      <c r="C754" s="829"/>
      <c r="D754" s="829"/>
      <c r="E754" s="829"/>
      <c r="F754" s="829"/>
      <c r="G754" s="829"/>
      <c r="H754" s="829"/>
      <c r="I754" s="829"/>
      <c r="J754" s="829"/>
      <c r="K754" s="829"/>
      <c r="L754" s="829"/>
      <c r="M754" s="829"/>
      <c r="N754" s="829"/>
      <c r="O754" s="829"/>
      <c r="P754" s="829"/>
      <c r="Q754" s="829"/>
      <c r="R754" s="829"/>
      <c r="S754" s="829"/>
      <c r="T754" s="829"/>
      <c r="U754" s="829"/>
      <c r="V754" s="829"/>
      <c r="W754" s="829"/>
      <c r="X754" s="829"/>
      <c r="Y754" s="829"/>
      <c r="Z754" s="829"/>
    </row>
    <row r="755">
      <c r="A755" s="829"/>
      <c r="B755" s="829"/>
      <c r="C755" s="829"/>
      <c r="D755" s="829"/>
      <c r="E755" s="829"/>
      <c r="F755" s="829"/>
      <c r="G755" s="829"/>
      <c r="H755" s="829"/>
      <c r="I755" s="829"/>
      <c r="J755" s="829"/>
      <c r="K755" s="829"/>
      <c r="L755" s="829"/>
      <c r="M755" s="829"/>
      <c r="N755" s="829"/>
      <c r="O755" s="829"/>
      <c r="P755" s="829"/>
      <c r="Q755" s="829"/>
      <c r="R755" s="829"/>
      <c r="S755" s="829"/>
      <c r="T755" s="829"/>
      <c r="U755" s="829"/>
      <c r="V755" s="829"/>
      <c r="W755" s="829"/>
      <c r="X755" s="829"/>
      <c r="Y755" s="829"/>
      <c r="Z755" s="829"/>
    </row>
    <row r="756">
      <c r="A756" s="829"/>
      <c r="B756" s="829"/>
      <c r="C756" s="829"/>
      <c r="D756" s="829"/>
      <c r="E756" s="829"/>
      <c r="F756" s="829"/>
      <c r="G756" s="829"/>
      <c r="H756" s="829"/>
      <c r="I756" s="829"/>
      <c r="J756" s="829"/>
      <c r="K756" s="829"/>
      <c r="L756" s="829"/>
      <c r="M756" s="829"/>
      <c r="N756" s="829"/>
      <c r="O756" s="829"/>
      <c r="P756" s="829"/>
      <c r="Q756" s="829"/>
      <c r="R756" s="829"/>
      <c r="S756" s="829"/>
      <c r="T756" s="829"/>
      <c r="U756" s="829"/>
      <c r="V756" s="829"/>
      <c r="W756" s="829"/>
      <c r="X756" s="829"/>
      <c r="Y756" s="829"/>
      <c r="Z756" s="829"/>
    </row>
    <row r="757">
      <c r="A757" s="829"/>
      <c r="B757" s="829"/>
      <c r="C757" s="829"/>
      <c r="D757" s="829"/>
      <c r="E757" s="829"/>
      <c r="F757" s="829"/>
      <c r="G757" s="829"/>
      <c r="H757" s="829"/>
      <c r="I757" s="829"/>
      <c r="J757" s="829"/>
      <c r="K757" s="829"/>
      <c r="L757" s="829"/>
      <c r="M757" s="829"/>
      <c r="N757" s="829"/>
      <c r="O757" s="829"/>
      <c r="P757" s="829"/>
      <c r="Q757" s="829"/>
      <c r="R757" s="829"/>
      <c r="S757" s="829"/>
      <c r="T757" s="829"/>
      <c r="U757" s="829"/>
      <c r="V757" s="829"/>
      <c r="W757" s="829"/>
      <c r="X757" s="829"/>
      <c r="Y757" s="829"/>
      <c r="Z757" s="829"/>
    </row>
    <row r="758">
      <c r="A758" s="829"/>
      <c r="B758" s="829"/>
      <c r="C758" s="829"/>
      <c r="D758" s="829"/>
      <c r="E758" s="829"/>
      <c r="F758" s="829"/>
      <c r="G758" s="829"/>
      <c r="H758" s="829"/>
      <c r="I758" s="829"/>
      <c r="J758" s="829"/>
      <c r="K758" s="829"/>
      <c r="L758" s="829"/>
      <c r="M758" s="829"/>
      <c r="N758" s="829"/>
      <c r="O758" s="829"/>
      <c r="P758" s="829"/>
      <c r="Q758" s="829"/>
      <c r="R758" s="829"/>
      <c r="S758" s="829"/>
      <c r="T758" s="829"/>
      <c r="U758" s="829"/>
      <c r="V758" s="829"/>
      <c r="W758" s="829"/>
      <c r="X758" s="829"/>
      <c r="Y758" s="829"/>
      <c r="Z758" s="829"/>
    </row>
    <row r="759">
      <c r="A759" s="829"/>
      <c r="B759" s="829"/>
      <c r="C759" s="829"/>
      <c r="D759" s="829"/>
      <c r="E759" s="829"/>
      <c r="F759" s="829"/>
      <c r="G759" s="829"/>
      <c r="H759" s="829"/>
      <c r="I759" s="829"/>
      <c r="J759" s="829"/>
      <c r="K759" s="829"/>
      <c r="L759" s="829"/>
      <c r="M759" s="829"/>
      <c r="N759" s="829"/>
      <c r="O759" s="829"/>
      <c r="P759" s="829"/>
      <c r="Q759" s="829"/>
      <c r="R759" s="829"/>
      <c r="S759" s="829"/>
      <c r="T759" s="829"/>
      <c r="U759" s="829"/>
      <c r="V759" s="829"/>
      <c r="W759" s="829"/>
      <c r="X759" s="829"/>
      <c r="Y759" s="829"/>
      <c r="Z759" s="829"/>
    </row>
    <row r="760">
      <c r="A760" s="829"/>
      <c r="B760" s="829"/>
      <c r="C760" s="829"/>
      <c r="D760" s="829"/>
      <c r="E760" s="829"/>
      <c r="F760" s="829"/>
      <c r="G760" s="829"/>
      <c r="H760" s="829"/>
      <c r="I760" s="829"/>
      <c r="J760" s="829"/>
      <c r="K760" s="829"/>
      <c r="L760" s="829"/>
      <c r="M760" s="829"/>
      <c r="N760" s="829"/>
      <c r="O760" s="829"/>
      <c r="P760" s="829"/>
      <c r="Q760" s="829"/>
      <c r="R760" s="829"/>
      <c r="S760" s="829"/>
      <c r="T760" s="829"/>
      <c r="U760" s="829"/>
      <c r="V760" s="829"/>
      <c r="W760" s="829"/>
      <c r="X760" s="829"/>
      <c r="Y760" s="829"/>
      <c r="Z760" s="829"/>
    </row>
    <row r="761">
      <c r="A761" s="829"/>
      <c r="B761" s="829"/>
      <c r="C761" s="829"/>
      <c r="D761" s="829"/>
      <c r="E761" s="829"/>
      <c r="F761" s="829"/>
      <c r="G761" s="829"/>
      <c r="H761" s="829"/>
      <c r="I761" s="829"/>
      <c r="J761" s="829"/>
      <c r="K761" s="829"/>
      <c r="L761" s="829"/>
      <c r="M761" s="829"/>
      <c r="N761" s="829"/>
      <c r="O761" s="829"/>
      <c r="P761" s="829"/>
      <c r="Q761" s="829"/>
      <c r="R761" s="829"/>
      <c r="S761" s="829"/>
      <c r="T761" s="829"/>
      <c r="U761" s="829"/>
      <c r="V761" s="829"/>
      <c r="W761" s="829"/>
      <c r="X761" s="829"/>
      <c r="Y761" s="829"/>
      <c r="Z761" s="829"/>
    </row>
    <row r="762">
      <c r="A762" s="829"/>
      <c r="B762" s="829"/>
      <c r="C762" s="829"/>
      <c r="D762" s="829"/>
      <c r="E762" s="829"/>
      <c r="F762" s="829"/>
      <c r="G762" s="829"/>
      <c r="H762" s="829"/>
      <c r="I762" s="829"/>
      <c r="J762" s="829"/>
      <c r="K762" s="829"/>
      <c r="L762" s="829"/>
      <c r="M762" s="829"/>
      <c r="N762" s="829"/>
      <c r="O762" s="829"/>
      <c r="P762" s="829"/>
      <c r="Q762" s="829"/>
      <c r="R762" s="829"/>
      <c r="S762" s="829"/>
      <c r="T762" s="829"/>
      <c r="U762" s="829"/>
      <c r="V762" s="829"/>
      <c r="W762" s="829"/>
      <c r="X762" s="829"/>
      <c r="Y762" s="829"/>
      <c r="Z762" s="829"/>
    </row>
    <row r="763">
      <c r="A763" s="829"/>
      <c r="B763" s="829"/>
      <c r="C763" s="829"/>
      <c r="D763" s="829"/>
      <c r="E763" s="829"/>
      <c r="F763" s="829"/>
      <c r="G763" s="829"/>
      <c r="H763" s="829"/>
      <c r="I763" s="829"/>
      <c r="J763" s="829"/>
      <c r="K763" s="829"/>
      <c r="L763" s="829"/>
      <c r="M763" s="829"/>
      <c r="N763" s="829"/>
      <c r="O763" s="829"/>
      <c r="P763" s="829"/>
      <c r="Q763" s="829"/>
      <c r="R763" s="829"/>
      <c r="S763" s="829"/>
      <c r="T763" s="829"/>
      <c r="U763" s="829"/>
      <c r="V763" s="829"/>
      <c r="W763" s="829"/>
      <c r="X763" s="829"/>
      <c r="Y763" s="829"/>
      <c r="Z763" s="829"/>
    </row>
    <row r="764">
      <c r="A764" s="829"/>
      <c r="B764" s="829"/>
      <c r="C764" s="829"/>
      <c r="D764" s="829"/>
      <c r="E764" s="829"/>
      <c r="F764" s="829"/>
      <c r="G764" s="829"/>
      <c r="H764" s="829"/>
      <c r="I764" s="829"/>
      <c r="J764" s="829"/>
      <c r="K764" s="829"/>
      <c r="L764" s="829"/>
      <c r="M764" s="829"/>
      <c r="N764" s="829"/>
      <c r="O764" s="829"/>
      <c r="P764" s="829"/>
      <c r="Q764" s="829"/>
      <c r="R764" s="829"/>
      <c r="S764" s="829"/>
      <c r="T764" s="829"/>
      <c r="U764" s="829"/>
      <c r="V764" s="829"/>
      <c r="W764" s="829"/>
      <c r="X764" s="829"/>
      <c r="Y764" s="829"/>
      <c r="Z764" s="829"/>
    </row>
    <row r="765">
      <c r="A765" s="829"/>
      <c r="B765" s="829"/>
      <c r="C765" s="829"/>
      <c r="D765" s="829"/>
      <c r="E765" s="829"/>
      <c r="F765" s="829"/>
      <c r="G765" s="829"/>
      <c r="H765" s="829"/>
      <c r="I765" s="829"/>
      <c r="J765" s="829"/>
      <c r="K765" s="829"/>
      <c r="L765" s="829"/>
      <c r="M765" s="829"/>
      <c r="N765" s="829"/>
      <c r="O765" s="829"/>
      <c r="P765" s="829"/>
      <c r="Q765" s="829"/>
      <c r="R765" s="829"/>
      <c r="S765" s="829"/>
      <c r="T765" s="829"/>
      <c r="U765" s="829"/>
      <c r="V765" s="829"/>
      <c r="W765" s="829"/>
      <c r="X765" s="829"/>
      <c r="Y765" s="829"/>
      <c r="Z765" s="829"/>
    </row>
    <row r="766">
      <c r="A766" s="829"/>
      <c r="B766" s="829"/>
      <c r="C766" s="829"/>
      <c r="D766" s="829"/>
      <c r="E766" s="829"/>
      <c r="F766" s="829"/>
      <c r="G766" s="829"/>
      <c r="H766" s="829"/>
      <c r="I766" s="829"/>
      <c r="J766" s="829"/>
      <c r="K766" s="829"/>
      <c r="L766" s="829"/>
      <c r="M766" s="829"/>
      <c r="N766" s="829"/>
      <c r="O766" s="829"/>
      <c r="P766" s="829"/>
      <c r="Q766" s="829"/>
      <c r="R766" s="829"/>
      <c r="S766" s="829"/>
      <c r="T766" s="829"/>
      <c r="U766" s="829"/>
      <c r="V766" s="829"/>
      <c r="W766" s="829"/>
      <c r="X766" s="829"/>
      <c r="Y766" s="829"/>
      <c r="Z766" s="829"/>
    </row>
    <row r="767">
      <c r="A767" s="829"/>
      <c r="B767" s="829"/>
      <c r="C767" s="829"/>
      <c r="D767" s="829"/>
      <c r="E767" s="829"/>
      <c r="F767" s="829"/>
      <c r="G767" s="829"/>
      <c r="H767" s="829"/>
      <c r="I767" s="829"/>
      <c r="J767" s="829"/>
      <c r="K767" s="829"/>
      <c r="L767" s="829"/>
      <c r="M767" s="829"/>
      <c r="N767" s="829"/>
      <c r="O767" s="829"/>
      <c r="P767" s="829"/>
      <c r="Q767" s="829"/>
      <c r="R767" s="829"/>
      <c r="S767" s="829"/>
      <c r="T767" s="829"/>
      <c r="U767" s="829"/>
      <c r="V767" s="829"/>
      <c r="W767" s="829"/>
      <c r="X767" s="829"/>
      <c r="Y767" s="829"/>
      <c r="Z767" s="829"/>
    </row>
    <row r="768">
      <c r="A768" s="829"/>
      <c r="B768" s="829"/>
      <c r="C768" s="829"/>
      <c r="D768" s="829"/>
      <c r="E768" s="829"/>
      <c r="F768" s="829"/>
      <c r="G768" s="829"/>
      <c r="H768" s="829"/>
      <c r="I768" s="829"/>
      <c r="J768" s="829"/>
      <c r="K768" s="829"/>
      <c r="L768" s="829"/>
      <c r="M768" s="829"/>
      <c r="N768" s="829"/>
      <c r="O768" s="829"/>
      <c r="P768" s="829"/>
      <c r="Q768" s="829"/>
      <c r="R768" s="829"/>
      <c r="S768" s="829"/>
      <c r="T768" s="829"/>
      <c r="U768" s="829"/>
      <c r="V768" s="829"/>
      <c r="W768" s="829"/>
      <c r="X768" s="829"/>
      <c r="Y768" s="829"/>
      <c r="Z768" s="829"/>
    </row>
    <row r="769">
      <c r="A769" s="829"/>
      <c r="B769" s="829"/>
      <c r="C769" s="829"/>
      <c r="D769" s="829"/>
      <c r="E769" s="829"/>
      <c r="F769" s="829"/>
      <c r="G769" s="829"/>
      <c r="H769" s="829"/>
      <c r="I769" s="829"/>
      <c r="J769" s="829"/>
      <c r="K769" s="829"/>
      <c r="L769" s="829"/>
      <c r="M769" s="829"/>
      <c r="N769" s="829"/>
      <c r="O769" s="829"/>
      <c r="P769" s="829"/>
      <c r="Q769" s="829"/>
      <c r="R769" s="829"/>
      <c r="S769" s="829"/>
      <c r="T769" s="829"/>
      <c r="U769" s="829"/>
      <c r="V769" s="829"/>
      <c r="W769" s="829"/>
      <c r="X769" s="829"/>
      <c r="Y769" s="829"/>
      <c r="Z769" s="829"/>
    </row>
    <row r="770">
      <c r="A770" s="829"/>
      <c r="B770" s="829"/>
      <c r="C770" s="829"/>
      <c r="D770" s="829"/>
      <c r="E770" s="829"/>
      <c r="F770" s="829"/>
      <c r="G770" s="829"/>
      <c r="H770" s="829"/>
      <c r="I770" s="829"/>
      <c r="J770" s="829"/>
      <c r="K770" s="829"/>
      <c r="L770" s="829"/>
      <c r="M770" s="829"/>
      <c r="N770" s="829"/>
      <c r="O770" s="829"/>
      <c r="P770" s="829"/>
      <c r="Q770" s="829"/>
      <c r="R770" s="829"/>
      <c r="S770" s="829"/>
      <c r="T770" s="829"/>
      <c r="U770" s="829"/>
      <c r="V770" s="829"/>
      <c r="W770" s="829"/>
      <c r="X770" s="829"/>
      <c r="Y770" s="829"/>
      <c r="Z770" s="829"/>
    </row>
    <row r="771">
      <c r="A771" s="829"/>
      <c r="B771" s="829"/>
      <c r="C771" s="829"/>
      <c r="D771" s="829"/>
      <c r="E771" s="829"/>
      <c r="F771" s="829"/>
      <c r="G771" s="829"/>
      <c r="H771" s="829"/>
      <c r="I771" s="829"/>
      <c r="J771" s="829"/>
      <c r="K771" s="829"/>
      <c r="L771" s="829"/>
      <c r="M771" s="829"/>
      <c r="N771" s="829"/>
      <c r="O771" s="829"/>
      <c r="P771" s="829"/>
      <c r="Q771" s="829"/>
      <c r="R771" s="829"/>
      <c r="S771" s="829"/>
      <c r="T771" s="829"/>
      <c r="U771" s="829"/>
      <c r="V771" s="829"/>
      <c r="W771" s="829"/>
      <c r="X771" s="829"/>
      <c r="Y771" s="829"/>
      <c r="Z771" s="829"/>
    </row>
    <row r="772">
      <c r="A772" s="829"/>
      <c r="B772" s="829"/>
      <c r="C772" s="829"/>
      <c r="D772" s="829"/>
      <c r="E772" s="829"/>
      <c r="F772" s="829"/>
      <c r="G772" s="829"/>
      <c r="H772" s="829"/>
      <c r="I772" s="829"/>
      <c r="J772" s="829"/>
      <c r="K772" s="829"/>
      <c r="L772" s="829"/>
      <c r="M772" s="829"/>
      <c r="N772" s="829"/>
      <c r="O772" s="829"/>
      <c r="P772" s="829"/>
      <c r="Q772" s="829"/>
      <c r="R772" s="829"/>
      <c r="S772" s="829"/>
      <c r="T772" s="829"/>
      <c r="U772" s="829"/>
      <c r="V772" s="829"/>
      <c r="W772" s="829"/>
      <c r="X772" s="829"/>
      <c r="Y772" s="829"/>
      <c r="Z772" s="829"/>
    </row>
    <row r="773">
      <c r="A773" s="829"/>
      <c r="B773" s="829"/>
      <c r="C773" s="829"/>
      <c r="D773" s="829"/>
      <c r="E773" s="829"/>
      <c r="F773" s="829"/>
      <c r="G773" s="829"/>
      <c r="H773" s="829"/>
      <c r="I773" s="829"/>
      <c r="J773" s="829"/>
      <c r="K773" s="829"/>
      <c r="L773" s="829"/>
      <c r="M773" s="829"/>
      <c r="N773" s="829"/>
      <c r="O773" s="829"/>
      <c r="P773" s="829"/>
      <c r="Q773" s="829"/>
      <c r="R773" s="829"/>
      <c r="S773" s="829"/>
      <c r="T773" s="829"/>
      <c r="U773" s="829"/>
      <c r="V773" s="829"/>
      <c r="W773" s="829"/>
      <c r="X773" s="829"/>
      <c r="Y773" s="829"/>
      <c r="Z773" s="829"/>
    </row>
    <row r="774">
      <c r="A774" s="829"/>
      <c r="B774" s="829"/>
      <c r="C774" s="829"/>
      <c r="D774" s="829"/>
      <c r="E774" s="829"/>
      <c r="F774" s="829"/>
      <c r="G774" s="829"/>
      <c r="H774" s="829"/>
      <c r="I774" s="829"/>
      <c r="J774" s="829"/>
      <c r="K774" s="829"/>
      <c r="L774" s="829"/>
      <c r="M774" s="829"/>
      <c r="N774" s="829"/>
      <c r="O774" s="829"/>
      <c r="P774" s="829"/>
      <c r="Q774" s="829"/>
      <c r="R774" s="829"/>
      <c r="S774" s="829"/>
      <c r="T774" s="829"/>
      <c r="U774" s="829"/>
      <c r="V774" s="829"/>
      <c r="W774" s="829"/>
      <c r="X774" s="829"/>
      <c r="Y774" s="829"/>
      <c r="Z774" s="829"/>
    </row>
    <row r="775">
      <c r="A775" s="829"/>
      <c r="B775" s="829"/>
      <c r="C775" s="829"/>
      <c r="D775" s="829"/>
      <c r="E775" s="829"/>
      <c r="F775" s="829"/>
      <c r="G775" s="829"/>
      <c r="H775" s="829"/>
      <c r="I775" s="829"/>
      <c r="J775" s="829"/>
      <c r="K775" s="829"/>
      <c r="L775" s="829"/>
      <c r="M775" s="829"/>
      <c r="N775" s="829"/>
      <c r="O775" s="829"/>
      <c r="P775" s="829"/>
      <c r="Q775" s="829"/>
      <c r="R775" s="829"/>
      <c r="S775" s="829"/>
      <c r="T775" s="829"/>
      <c r="U775" s="829"/>
      <c r="V775" s="829"/>
      <c r="W775" s="829"/>
      <c r="X775" s="829"/>
      <c r="Y775" s="829"/>
      <c r="Z775" s="829"/>
    </row>
    <row r="776">
      <c r="A776" s="829"/>
      <c r="B776" s="829"/>
      <c r="C776" s="829"/>
      <c r="D776" s="829"/>
      <c r="E776" s="829"/>
      <c r="F776" s="829"/>
      <c r="G776" s="829"/>
      <c r="H776" s="829"/>
      <c r="I776" s="829"/>
      <c r="J776" s="829"/>
      <c r="K776" s="829"/>
      <c r="L776" s="829"/>
      <c r="M776" s="829"/>
      <c r="N776" s="829"/>
      <c r="O776" s="829"/>
      <c r="P776" s="829"/>
      <c r="Q776" s="829"/>
      <c r="R776" s="829"/>
      <c r="S776" s="829"/>
      <c r="T776" s="829"/>
      <c r="U776" s="829"/>
      <c r="V776" s="829"/>
      <c r="W776" s="829"/>
      <c r="X776" s="829"/>
      <c r="Y776" s="829"/>
      <c r="Z776" s="829"/>
    </row>
    <row r="777">
      <c r="A777" s="829"/>
      <c r="B777" s="829"/>
      <c r="C777" s="829"/>
      <c r="D777" s="829"/>
      <c r="E777" s="829"/>
      <c r="F777" s="829"/>
      <c r="G777" s="829"/>
      <c r="H777" s="829"/>
      <c r="I777" s="829"/>
      <c r="J777" s="829"/>
      <c r="K777" s="829"/>
      <c r="L777" s="829"/>
      <c r="M777" s="829"/>
      <c r="N777" s="829"/>
      <c r="O777" s="829"/>
      <c r="P777" s="829"/>
      <c r="Q777" s="829"/>
      <c r="R777" s="829"/>
      <c r="S777" s="829"/>
      <c r="T777" s="829"/>
      <c r="U777" s="829"/>
      <c r="V777" s="829"/>
      <c r="W777" s="829"/>
      <c r="X777" s="829"/>
      <c r="Y777" s="829"/>
      <c r="Z777" s="829"/>
    </row>
    <row r="778">
      <c r="A778" s="829"/>
      <c r="B778" s="829"/>
      <c r="C778" s="829"/>
      <c r="D778" s="829"/>
      <c r="E778" s="829"/>
      <c r="F778" s="829"/>
      <c r="G778" s="829"/>
      <c r="H778" s="829"/>
      <c r="I778" s="829"/>
      <c r="J778" s="829"/>
      <c r="K778" s="829"/>
      <c r="L778" s="829"/>
      <c r="M778" s="829"/>
      <c r="N778" s="829"/>
      <c r="O778" s="829"/>
      <c r="P778" s="829"/>
      <c r="Q778" s="829"/>
      <c r="R778" s="829"/>
      <c r="S778" s="829"/>
      <c r="T778" s="829"/>
      <c r="U778" s="829"/>
      <c r="V778" s="829"/>
      <c r="W778" s="829"/>
      <c r="X778" s="829"/>
      <c r="Y778" s="829"/>
      <c r="Z778" s="829"/>
    </row>
    <row r="779">
      <c r="A779" s="829"/>
      <c r="B779" s="829"/>
      <c r="C779" s="829"/>
      <c r="D779" s="829"/>
      <c r="E779" s="829"/>
      <c r="F779" s="829"/>
      <c r="G779" s="829"/>
      <c r="H779" s="829"/>
      <c r="I779" s="829"/>
      <c r="J779" s="829"/>
      <c r="K779" s="829"/>
      <c r="L779" s="829"/>
      <c r="M779" s="829"/>
      <c r="N779" s="829"/>
      <c r="O779" s="829"/>
      <c r="P779" s="829"/>
      <c r="Q779" s="829"/>
      <c r="R779" s="829"/>
      <c r="S779" s="829"/>
      <c r="T779" s="829"/>
      <c r="U779" s="829"/>
      <c r="V779" s="829"/>
      <c r="W779" s="829"/>
      <c r="X779" s="829"/>
      <c r="Y779" s="829"/>
      <c r="Z779" s="829"/>
    </row>
    <row r="780">
      <c r="A780" s="829"/>
      <c r="B780" s="829"/>
      <c r="C780" s="829"/>
      <c r="D780" s="829"/>
      <c r="E780" s="829"/>
      <c r="F780" s="829"/>
      <c r="G780" s="829"/>
      <c r="H780" s="829"/>
      <c r="I780" s="829"/>
      <c r="J780" s="829"/>
      <c r="K780" s="829"/>
      <c r="L780" s="829"/>
      <c r="M780" s="829"/>
      <c r="N780" s="829"/>
      <c r="O780" s="829"/>
      <c r="P780" s="829"/>
      <c r="Q780" s="829"/>
      <c r="R780" s="829"/>
      <c r="S780" s="829"/>
      <c r="T780" s="829"/>
      <c r="U780" s="829"/>
      <c r="V780" s="829"/>
      <c r="W780" s="829"/>
      <c r="X780" s="829"/>
      <c r="Y780" s="829"/>
      <c r="Z780" s="829"/>
    </row>
    <row r="781">
      <c r="A781" s="829"/>
      <c r="B781" s="829"/>
      <c r="C781" s="829"/>
      <c r="D781" s="829"/>
      <c r="E781" s="829"/>
      <c r="F781" s="829"/>
      <c r="G781" s="829"/>
      <c r="H781" s="829"/>
      <c r="I781" s="829"/>
      <c r="J781" s="829"/>
      <c r="K781" s="829"/>
      <c r="L781" s="829"/>
      <c r="M781" s="829"/>
      <c r="N781" s="829"/>
      <c r="O781" s="829"/>
      <c r="P781" s="829"/>
      <c r="Q781" s="829"/>
      <c r="R781" s="829"/>
      <c r="S781" s="829"/>
      <c r="T781" s="829"/>
      <c r="U781" s="829"/>
      <c r="V781" s="829"/>
      <c r="W781" s="829"/>
      <c r="X781" s="829"/>
      <c r="Y781" s="829"/>
      <c r="Z781" s="829"/>
    </row>
    <row r="782">
      <c r="A782" s="829"/>
      <c r="B782" s="829"/>
      <c r="C782" s="829"/>
      <c r="D782" s="829"/>
      <c r="E782" s="829"/>
      <c r="F782" s="829"/>
      <c r="G782" s="829"/>
      <c r="H782" s="829"/>
      <c r="I782" s="829"/>
      <c r="J782" s="829"/>
      <c r="K782" s="829"/>
      <c r="L782" s="829"/>
      <c r="M782" s="829"/>
      <c r="N782" s="829"/>
      <c r="O782" s="829"/>
      <c r="P782" s="829"/>
      <c r="Q782" s="829"/>
      <c r="R782" s="829"/>
      <c r="S782" s="829"/>
      <c r="T782" s="829"/>
      <c r="U782" s="829"/>
      <c r="V782" s="829"/>
      <c r="W782" s="829"/>
      <c r="X782" s="829"/>
      <c r="Y782" s="829"/>
      <c r="Z782" s="829"/>
    </row>
    <row r="783">
      <c r="A783" s="829"/>
      <c r="B783" s="829"/>
      <c r="C783" s="829"/>
      <c r="D783" s="829"/>
      <c r="E783" s="829"/>
      <c r="F783" s="829"/>
      <c r="G783" s="829"/>
      <c r="H783" s="829"/>
      <c r="I783" s="829"/>
      <c r="J783" s="829"/>
      <c r="K783" s="829"/>
      <c r="L783" s="829"/>
      <c r="M783" s="829"/>
      <c r="N783" s="829"/>
      <c r="O783" s="829"/>
      <c r="P783" s="829"/>
      <c r="Q783" s="829"/>
      <c r="R783" s="829"/>
      <c r="S783" s="829"/>
      <c r="T783" s="829"/>
      <c r="U783" s="829"/>
      <c r="V783" s="829"/>
      <c r="W783" s="829"/>
      <c r="X783" s="829"/>
      <c r="Y783" s="829"/>
      <c r="Z783" s="829"/>
    </row>
    <row r="784">
      <c r="A784" s="829"/>
      <c r="B784" s="829"/>
      <c r="C784" s="829"/>
      <c r="D784" s="829"/>
      <c r="E784" s="829"/>
      <c r="F784" s="829"/>
      <c r="G784" s="829"/>
      <c r="H784" s="829"/>
      <c r="I784" s="829"/>
      <c r="J784" s="829"/>
      <c r="K784" s="829"/>
      <c r="L784" s="829"/>
      <c r="M784" s="829"/>
      <c r="N784" s="829"/>
      <c r="O784" s="829"/>
      <c r="P784" s="829"/>
      <c r="Q784" s="829"/>
      <c r="R784" s="829"/>
      <c r="S784" s="829"/>
      <c r="T784" s="829"/>
      <c r="U784" s="829"/>
      <c r="V784" s="829"/>
      <c r="W784" s="829"/>
      <c r="X784" s="829"/>
      <c r="Y784" s="829"/>
      <c r="Z784" s="829"/>
    </row>
    <row r="785">
      <c r="A785" s="829"/>
      <c r="B785" s="829"/>
      <c r="C785" s="829"/>
      <c r="D785" s="829"/>
      <c r="E785" s="829"/>
      <c r="F785" s="829"/>
      <c r="G785" s="829"/>
      <c r="H785" s="829"/>
      <c r="I785" s="829"/>
      <c r="J785" s="829"/>
      <c r="K785" s="829"/>
      <c r="L785" s="829"/>
      <c r="M785" s="829"/>
      <c r="N785" s="829"/>
      <c r="O785" s="829"/>
      <c r="P785" s="829"/>
      <c r="Q785" s="829"/>
      <c r="R785" s="829"/>
      <c r="S785" s="829"/>
      <c r="T785" s="829"/>
      <c r="U785" s="829"/>
      <c r="V785" s="829"/>
      <c r="W785" s="829"/>
      <c r="X785" s="829"/>
      <c r="Y785" s="829"/>
      <c r="Z785" s="829"/>
    </row>
    <row r="786">
      <c r="A786" s="829"/>
      <c r="B786" s="829"/>
      <c r="C786" s="829"/>
      <c r="D786" s="829"/>
      <c r="E786" s="829"/>
      <c r="F786" s="829"/>
      <c r="G786" s="829"/>
      <c r="H786" s="829"/>
      <c r="I786" s="829"/>
      <c r="J786" s="829"/>
      <c r="K786" s="829"/>
      <c r="L786" s="829"/>
      <c r="M786" s="829"/>
      <c r="N786" s="829"/>
      <c r="O786" s="829"/>
      <c r="P786" s="829"/>
      <c r="Q786" s="829"/>
      <c r="R786" s="829"/>
      <c r="S786" s="829"/>
      <c r="T786" s="829"/>
      <c r="U786" s="829"/>
      <c r="V786" s="829"/>
      <c r="W786" s="829"/>
      <c r="X786" s="829"/>
      <c r="Y786" s="829"/>
      <c r="Z786" s="829"/>
    </row>
    <row r="787">
      <c r="A787" s="829"/>
      <c r="B787" s="829"/>
      <c r="C787" s="829"/>
      <c r="D787" s="829"/>
      <c r="E787" s="829"/>
      <c r="F787" s="829"/>
      <c r="G787" s="829"/>
      <c r="H787" s="829"/>
      <c r="I787" s="829"/>
      <c r="J787" s="829"/>
      <c r="K787" s="829"/>
      <c r="L787" s="829"/>
      <c r="M787" s="829"/>
      <c r="N787" s="829"/>
      <c r="O787" s="829"/>
      <c r="P787" s="829"/>
      <c r="Q787" s="829"/>
      <c r="R787" s="829"/>
      <c r="S787" s="829"/>
      <c r="T787" s="829"/>
      <c r="U787" s="829"/>
      <c r="V787" s="829"/>
      <c r="W787" s="829"/>
      <c r="X787" s="829"/>
      <c r="Y787" s="829"/>
      <c r="Z787" s="829"/>
    </row>
    <row r="788">
      <c r="A788" s="829"/>
      <c r="B788" s="829"/>
      <c r="C788" s="829"/>
      <c r="D788" s="829"/>
      <c r="E788" s="829"/>
      <c r="F788" s="829"/>
      <c r="G788" s="829"/>
      <c r="H788" s="829"/>
      <c r="I788" s="829"/>
      <c r="J788" s="829"/>
      <c r="K788" s="829"/>
      <c r="L788" s="829"/>
      <c r="M788" s="829"/>
      <c r="N788" s="829"/>
      <c r="O788" s="829"/>
      <c r="P788" s="829"/>
      <c r="Q788" s="829"/>
      <c r="R788" s="829"/>
      <c r="S788" s="829"/>
      <c r="T788" s="829"/>
      <c r="U788" s="829"/>
      <c r="V788" s="829"/>
      <c r="W788" s="829"/>
      <c r="X788" s="829"/>
      <c r="Y788" s="829"/>
      <c r="Z788" s="829"/>
    </row>
    <row r="789">
      <c r="A789" s="829"/>
      <c r="B789" s="829"/>
      <c r="C789" s="829"/>
      <c r="D789" s="829"/>
      <c r="E789" s="829"/>
      <c r="F789" s="829"/>
      <c r="G789" s="829"/>
      <c r="H789" s="829"/>
      <c r="I789" s="829"/>
      <c r="J789" s="829"/>
      <c r="K789" s="829"/>
      <c r="L789" s="829"/>
      <c r="M789" s="829"/>
      <c r="N789" s="829"/>
      <c r="O789" s="829"/>
      <c r="P789" s="829"/>
      <c r="Q789" s="829"/>
      <c r="R789" s="829"/>
      <c r="S789" s="829"/>
      <c r="T789" s="829"/>
      <c r="U789" s="829"/>
      <c r="V789" s="829"/>
      <c r="W789" s="829"/>
      <c r="X789" s="829"/>
      <c r="Y789" s="829"/>
      <c r="Z789" s="829"/>
    </row>
    <row r="790">
      <c r="A790" s="829"/>
      <c r="B790" s="829"/>
      <c r="C790" s="829"/>
      <c r="D790" s="829"/>
      <c r="E790" s="829"/>
      <c r="F790" s="829"/>
      <c r="G790" s="829"/>
      <c r="H790" s="829"/>
      <c r="I790" s="829"/>
      <c r="J790" s="829"/>
      <c r="K790" s="829"/>
      <c r="L790" s="829"/>
      <c r="M790" s="829"/>
      <c r="N790" s="829"/>
      <c r="O790" s="829"/>
      <c r="P790" s="829"/>
      <c r="Q790" s="829"/>
      <c r="R790" s="829"/>
      <c r="S790" s="829"/>
      <c r="T790" s="829"/>
      <c r="U790" s="829"/>
      <c r="V790" s="829"/>
      <c r="W790" s="829"/>
      <c r="X790" s="829"/>
      <c r="Y790" s="829"/>
      <c r="Z790" s="829"/>
    </row>
    <row r="791">
      <c r="A791" s="829"/>
      <c r="B791" s="829"/>
      <c r="C791" s="829"/>
      <c r="D791" s="829"/>
      <c r="E791" s="829"/>
      <c r="F791" s="829"/>
      <c r="G791" s="829"/>
      <c r="H791" s="829"/>
      <c r="I791" s="829"/>
      <c r="J791" s="829"/>
      <c r="K791" s="829"/>
      <c r="L791" s="829"/>
      <c r="M791" s="829"/>
      <c r="N791" s="829"/>
      <c r="O791" s="829"/>
      <c r="P791" s="829"/>
      <c r="Q791" s="829"/>
      <c r="R791" s="829"/>
      <c r="S791" s="829"/>
      <c r="T791" s="829"/>
      <c r="U791" s="829"/>
      <c r="V791" s="829"/>
      <c r="W791" s="829"/>
      <c r="X791" s="829"/>
      <c r="Y791" s="829"/>
      <c r="Z791" s="829"/>
    </row>
    <row r="792">
      <c r="A792" s="829"/>
      <c r="B792" s="829"/>
      <c r="C792" s="829"/>
      <c r="D792" s="829"/>
      <c r="E792" s="829"/>
      <c r="F792" s="829"/>
      <c r="G792" s="829"/>
      <c r="H792" s="829"/>
      <c r="I792" s="829"/>
      <c r="J792" s="829"/>
      <c r="K792" s="829"/>
      <c r="L792" s="829"/>
      <c r="M792" s="829"/>
      <c r="N792" s="829"/>
      <c r="O792" s="829"/>
      <c r="P792" s="829"/>
      <c r="Q792" s="829"/>
      <c r="R792" s="829"/>
      <c r="S792" s="829"/>
      <c r="T792" s="829"/>
      <c r="U792" s="829"/>
      <c r="V792" s="829"/>
      <c r="W792" s="829"/>
      <c r="X792" s="829"/>
      <c r="Y792" s="829"/>
      <c r="Z792" s="829"/>
    </row>
    <row r="793">
      <c r="A793" s="829"/>
      <c r="B793" s="829"/>
      <c r="C793" s="829"/>
      <c r="D793" s="829"/>
      <c r="E793" s="829"/>
      <c r="F793" s="829"/>
      <c r="G793" s="829"/>
      <c r="H793" s="829"/>
      <c r="I793" s="829"/>
      <c r="J793" s="829"/>
      <c r="K793" s="829"/>
      <c r="L793" s="829"/>
      <c r="M793" s="829"/>
      <c r="N793" s="829"/>
      <c r="O793" s="829"/>
      <c r="P793" s="829"/>
      <c r="Q793" s="829"/>
      <c r="R793" s="829"/>
      <c r="S793" s="829"/>
      <c r="T793" s="829"/>
      <c r="U793" s="829"/>
      <c r="V793" s="829"/>
      <c r="W793" s="829"/>
      <c r="X793" s="829"/>
      <c r="Y793" s="829"/>
      <c r="Z793" s="829"/>
    </row>
    <row r="794">
      <c r="A794" s="829"/>
      <c r="B794" s="829"/>
      <c r="C794" s="829"/>
      <c r="D794" s="829"/>
      <c r="E794" s="829"/>
      <c r="F794" s="829"/>
      <c r="G794" s="829"/>
      <c r="H794" s="829"/>
      <c r="I794" s="829"/>
      <c r="J794" s="829"/>
      <c r="K794" s="829"/>
      <c r="L794" s="829"/>
      <c r="M794" s="829"/>
      <c r="N794" s="829"/>
      <c r="O794" s="829"/>
      <c r="P794" s="829"/>
      <c r="Q794" s="829"/>
      <c r="R794" s="829"/>
      <c r="S794" s="829"/>
      <c r="T794" s="829"/>
      <c r="U794" s="829"/>
      <c r="V794" s="829"/>
      <c r="W794" s="829"/>
      <c r="X794" s="829"/>
      <c r="Y794" s="829"/>
      <c r="Z794" s="829"/>
    </row>
    <row r="795">
      <c r="A795" s="829"/>
      <c r="B795" s="829"/>
      <c r="C795" s="829"/>
      <c r="D795" s="829"/>
      <c r="E795" s="829"/>
      <c r="F795" s="829"/>
      <c r="G795" s="829"/>
      <c r="H795" s="829"/>
      <c r="I795" s="829"/>
      <c r="J795" s="829"/>
      <c r="K795" s="829"/>
      <c r="L795" s="829"/>
      <c r="M795" s="829"/>
      <c r="N795" s="829"/>
      <c r="O795" s="829"/>
      <c r="P795" s="829"/>
      <c r="Q795" s="829"/>
      <c r="R795" s="829"/>
      <c r="S795" s="829"/>
      <c r="T795" s="829"/>
      <c r="U795" s="829"/>
      <c r="V795" s="829"/>
      <c r="W795" s="829"/>
      <c r="X795" s="829"/>
      <c r="Y795" s="829"/>
      <c r="Z795" s="829"/>
    </row>
    <row r="796">
      <c r="A796" s="829"/>
      <c r="B796" s="829"/>
      <c r="C796" s="829"/>
      <c r="D796" s="829"/>
      <c r="E796" s="829"/>
      <c r="F796" s="829"/>
      <c r="G796" s="829"/>
      <c r="H796" s="829"/>
      <c r="I796" s="829"/>
      <c r="J796" s="829"/>
      <c r="K796" s="829"/>
      <c r="L796" s="829"/>
      <c r="M796" s="829"/>
      <c r="N796" s="829"/>
      <c r="O796" s="829"/>
      <c r="P796" s="829"/>
      <c r="Q796" s="829"/>
      <c r="R796" s="829"/>
      <c r="S796" s="829"/>
      <c r="T796" s="829"/>
      <c r="U796" s="829"/>
      <c r="V796" s="829"/>
      <c r="W796" s="829"/>
      <c r="X796" s="829"/>
      <c r="Y796" s="829"/>
      <c r="Z796" s="829"/>
    </row>
    <row r="797">
      <c r="A797" s="829"/>
      <c r="B797" s="829"/>
      <c r="C797" s="829"/>
      <c r="D797" s="829"/>
      <c r="E797" s="829"/>
      <c r="F797" s="829"/>
      <c r="G797" s="829"/>
      <c r="H797" s="829"/>
      <c r="I797" s="829"/>
      <c r="J797" s="829"/>
      <c r="K797" s="829"/>
      <c r="L797" s="829"/>
      <c r="M797" s="829"/>
      <c r="N797" s="829"/>
      <c r="O797" s="829"/>
      <c r="P797" s="829"/>
      <c r="Q797" s="829"/>
      <c r="R797" s="829"/>
      <c r="S797" s="829"/>
      <c r="T797" s="829"/>
      <c r="U797" s="829"/>
      <c r="V797" s="829"/>
      <c r="W797" s="829"/>
      <c r="X797" s="829"/>
      <c r="Y797" s="829"/>
      <c r="Z797" s="829"/>
    </row>
    <row r="798">
      <c r="A798" s="829"/>
      <c r="B798" s="829"/>
      <c r="C798" s="829"/>
      <c r="D798" s="829"/>
      <c r="E798" s="829"/>
      <c r="F798" s="829"/>
      <c r="G798" s="829"/>
      <c r="H798" s="829"/>
      <c r="I798" s="829"/>
      <c r="J798" s="829"/>
      <c r="K798" s="829"/>
      <c r="L798" s="829"/>
      <c r="M798" s="829"/>
      <c r="N798" s="829"/>
      <c r="O798" s="829"/>
      <c r="P798" s="829"/>
      <c r="Q798" s="829"/>
      <c r="R798" s="829"/>
      <c r="S798" s="829"/>
      <c r="T798" s="829"/>
      <c r="U798" s="829"/>
      <c r="V798" s="829"/>
      <c r="W798" s="829"/>
      <c r="X798" s="829"/>
      <c r="Y798" s="829"/>
      <c r="Z798" s="829"/>
    </row>
    <row r="799">
      <c r="A799" s="829"/>
      <c r="B799" s="829"/>
      <c r="C799" s="829"/>
      <c r="D799" s="829"/>
      <c r="E799" s="829"/>
      <c r="F799" s="829"/>
      <c r="G799" s="829"/>
      <c r="H799" s="829"/>
      <c r="I799" s="829"/>
      <c r="J799" s="829"/>
      <c r="K799" s="829"/>
      <c r="L799" s="829"/>
      <c r="M799" s="829"/>
      <c r="N799" s="829"/>
      <c r="O799" s="829"/>
      <c r="P799" s="829"/>
      <c r="Q799" s="829"/>
      <c r="R799" s="829"/>
      <c r="S799" s="829"/>
      <c r="T799" s="829"/>
      <c r="U799" s="829"/>
      <c r="V799" s="829"/>
      <c r="W799" s="829"/>
      <c r="X799" s="829"/>
      <c r="Y799" s="829"/>
      <c r="Z799" s="829"/>
    </row>
    <row r="800">
      <c r="A800" s="829"/>
      <c r="B800" s="829"/>
      <c r="C800" s="829"/>
      <c r="D800" s="829"/>
      <c r="E800" s="829"/>
      <c r="F800" s="829"/>
      <c r="G800" s="829"/>
      <c r="H800" s="829"/>
      <c r="I800" s="829"/>
      <c r="J800" s="829"/>
      <c r="K800" s="829"/>
      <c r="L800" s="829"/>
      <c r="M800" s="829"/>
      <c r="N800" s="829"/>
      <c r="O800" s="829"/>
      <c r="P800" s="829"/>
      <c r="Q800" s="829"/>
      <c r="R800" s="829"/>
      <c r="S800" s="829"/>
      <c r="T800" s="829"/>
      <c r="U800" s="829"/>
      <c r="V800" s="829"/>
      <c r="W800" s="829"/>
      <c r="X800" s="829"/>
      <c r="Y800" s="829"/>
      <c r="Z800" s="829"/>
    </row>
    <row r="801">
      <c r="A801" s="829"/>
      <c r="B801" s="829"/>
      <c r="C801" s="829"/>
      <c r="D801" s="829"/>
      <c r="E801" s="829"/>
      <c r="F801" s="829"/>
      <c r="G801" s="829"/>
      <c r="H801" s="829"/>
      <c r="I801" s="829"/>
      <c r="J801" s="829"/>
      <c r="K801" s="829"/>
      <c r="L801" s="829"/>
      <c r="M801" s="829"/>
      <c r="N801" s="829"/>
      <c r="O801" s="829"/>
      <c r="P801" s="829"/>
      <c r="Q801" s="829"/>
      <c r="R801" s="829"/>
      <c r="S801" s="829"/>
      <c r="T801" s="829"/>
      <c r="U801" s="829"/>
      <c r="V801" s="829"/>
      <c r="W801" s="829"/>
      <c r="X801" s="829"/>
      <c r="Y801" s="829"/>
      <c r="Z801" s="829"/>
    </row>
    <row r="802">
      <c r="A802" s="829"/>
      <c r="B802" s="829"/>
      <c r="C802" s="829"/>
      <c r="D802" s="829"/>
      <c r="E802" s="829"/>
      <c r="F802" s="829"/>
      <c r="G802" s="829"/>
      <c r="H802" s="829"/>
      <c r="I802" s="829"/>
      <c r="J802" s="829"/>
      <c r="K802" s="829"/>
      <c r="L802" s="829"/>
      <c r="M802" s="829"/>
      <c r="N802" s="829"/>
      <c r="O802" s="829"/>
      <c r="P802" s="829"/>
      <c r="Q802" s="829"/>
      <c r="R802" s="829"/>
      <c r="S802" s="829"/>
      <c r="T802" s="829"/>
      <c r="U802" s="829"/>
      <c r="V802" s="829"/>
      <c r="W802" s="829"/>
      <c r="X802" s="829"/>
      <c r="Y802" s="829"/>
      <c r="Z802" s="829"/>
    </row>
    <row r="803">
      <c r="A803" s="829"/>
      <c r="B803" s="829"/>
      <c r="C803" s="829"/>
      <c r="D803" s="829"/>
      <c r="E803" s="829"/>
      <c r="F803" s="829"/>
      <c r="G803" s="829"/>
      <c r="H803" s="829"/>
      <c r="I803" s="829"/>
      <c r="J803" s="829"/>
      <c r="K803" s="829"/>
      <c r="L803" s="829"/>
      <c r="M803" s="829"/>
      <c r="N803" s="829"/>
      <c r="O803" s="829"/>
      <c r="P803" s="829"/>
      <c r="Q803" s="829"/>
      <c r="R803" s="829"/>
      <c r="S803" s="829"/>
      <c r="T803" s="829"/>
      <c r="U803" s="829"/>
      <c r="V803" s="829"/>
      <c r="W803" s="829"/>
      <c r="X803" s="829"/>
      <c r="Y803" s="829"/>
      <c r="Z803" s="829"/>
    </row>
    <row r="804">
      <c r="A804" s="829"/>
      <c r="B804" s="829"/>
      <c r="C804" s="829"/>
      <c r="D804" s="829"/>
      <c r="E804" s="829"/>
      <c r="F804" s="829"/>
      <c r="G804" s="829"/>
      <c r="H804" s="829"/>
      <c r="I804" s="829"/>
      <c r="J804" s="829"/>
      <c r="K804" s="829"/>
      <c r="L804" s="829"/>
      <c r="M804" s="829"/>
      <c r="N804" s="829"/>
      <c r="O804" s="829"/>
      <c r="P804" s="829"/>
      <c r="Q804" s="829"/>
      <c r="R804" s="829"/>
      <c r="S804" s="829"/>
      <c r="T804" s="829"/>
      <c r="U804" s="829"/>
      <c r="V804" s="829"/>
      <c r="W804" s="829"/>
      <c r="X804" s="829"/>
      <c r="Y804" s="829"/>
      <c r="Z804" s="829"/>
    </row>
    <row r="805">
      <c r="A805" s="829"/>
      <c r="B805" s="829"/>
      <c r="C805" s="829"/>
      <c r="D805" s="829"/>
      <c r="E805" s="829"/>
      <c r="F805" s="829"/>
      <c r="G805" s="829"/>
      <c r="H805" s="829"/>
      <c r="I805" s="829"/>
      <c r="J805" s="829"/>
      <c r="K805" s="829"/>
      <c r="L805" s="829"/>
      <c r="M805" s="829"/>
      <c r="N805" s="829"/>
      <c r="O805" s="829"/>
      <c r="P805" s="829"/>
      <c r="Q805" s="829"/>
      <c r="R805" s="829"/>
      <c r="S805" s="829"/>
      <c r="T805" s="829"/>
      <c r="U805" s="829"/>
      <c r="V805" s="829"/>
      <c r="W805" s="829"/>
      <c r="X805" s="829"/>
      <c r="Y805" s="829"/>
      <c r="Z805" s="829"/>
    </row>
    <row r="806">
      <c r="A806" s="829"/>
      <c r="B806" s="829"/>
      <c r="C806" s="829"/>
      <c r="D806" s="829"/>
      <c r="E806" s="829"/>
      <c r="F806" s="829"/>
      <c r="G806" s="829"/>
      <c r="H806" s="829"/>
      <c r="I806" s="829"/>
      <c r="J806" s="829"/>
      <c r="K806" s="829"/>
      <c r="L806" s="829"/>
      <c r="M806" s="829"/>
      <c r="N806" s="829"/>
      <c r="O806" s="829"/>
      <c r="P806" s="829"/>
      <c r="Q806" s="829"/>
      <c r="R806" s="829"/>
      <c r="S806" s="829"/>
      <c r="T806" s="829"/>
      <c r="U806" s="829"/>
      <c r="V806" s="829"/>
      <c r="W806" s="829"/>
      <c r="X806" s="829"/>
      <c r="Y806" s="829"/>
      <c r="Z806" s="829"/>
    </row>
    <row r="807">
      <c r="A807" s="829"/>
      <c r="B807" s="829"/>
      <c r="C807" s="829"/>
      <c r="D807" s="829"/>
      <c r="E807" s="829"/>
      <c r="F807" s="829"/>
      <c r="G807" s="829"/>
      <c r="H807" s="829"/>
      <c r="I807" s="829"/>
      <c r="J807" s="829"/>
      <c r="K807" s="829"/>
      <c r="L807" s="829"/>
      <c r="M807" s="829"/>
      <c r="N807" s="829"/>
      <c r="O807" s="829"/>
      <c r="P807" s="829"/>
      <c r="Q807" s="829"/>
      <c r="R807" s="829"/>
      <c r="S807" s="829"/>
      <c r="T807" s="829"/>
      <c r="U807" s="829"/>
      <c r="V807" s="829"/>
      <c r="W807" s="829"/>
      <c r="X807" s="829"/>
      <c r="Y807" s="829"/>
      <c r="Z807" s="829"/>
    </row>
    <row r="808">
      <c r="A808" s="829"/>
      <c r="B808" s="829"/>
      <c r="C808" s="829"/>
      <c r="D808" s="829"/>
      <c r="E808" s="829"/>
      <c r="F808" s="829"/>
      <c r="G808" s="829"/>
      <c r="H808" s="829"/>
      <c r="I808" s="829"/>
      <c r="J808" s="829"/>
      <c r="K808" s="829"/>
      <c r="L808" s="829"/>
      <c r="M808" s="829"/>
      <c r="N808" s="829"/>
      <c r="O808" s="829"/>
      <c r="P808" s="829"/>
      <c r="Q808" s="829"/>
      <c r="R808" s="829"/>
      <c r="S808" s="829"/>
      <c r="T808" s="829"/>
      <c r="U808" s="829"/>
      <c r="V808" s="829"/>
      <c r="W808" s="829"/>
      <c r="X808" s="829"/>
      <c r="Y808" s="829"/>
      <c r="Z808" s="829"/>
    </row>
    <row r="809">
      <c r="A809" s="829"/>
      <c r="B809" s="829"/>
      <c r="C809" s="829"/>
      <c r="D809" s="829"/>
      <c r="E809" s="829"/>
      <c r="F809" s="829"/>
      <c r="G809" s="829"/>
      <c r="H809" s="829"/>
      <c r="I809" s="829"/>
      <c r="J809" s="829"/>
      <c r="K809" s="829"/>
      <c r="L809" s="829"/>
      <c r="M809" s="829"/>
      <c r="N809" s="829"/>
      <c r="O809" s="829"/>
      <c r="P809" s="829"/>
      <c r="Q809" s="829"/>
      <c r="R809" s="829"/>
      <c r="S809" s="829"/>
      <c r="T809" s="829"/>
      <c r="U809" s="829"/>
      <c r="V809" s="829"/>
      <c r="W809" s="829"/>
      <c r="X809" s="829"/>
      <c r="Y809" s="829"/>
      <c r="Z809" s="829"/>
    </row>
    <row r="810">
      <c r="A810" s="829"/>
      <c r="B810" s="829"/>
      <c r="C810" s="829"/>
      <c r="D810" s="829"/>
      <c r="E810" s="829"/>
      <c r="F810" s="829"/>
      <c r="G810" s="829"/>
      <c r="H810" s="829"/>
      <c r="I810" s="829"/>
      <c r="J810" s="829"/>
      <c r="K810" s="829"/>
      <c r="L810" s="829"/>
      <c r="M810" s="829"/>
      <c r="N810" s="829"/>
      <c r="O810" s="829"/>
      <c r="P810" s="829"/>
      <c r="Q810" s="829"/>
      <c r="R810" s="829"/>
      <c r="S810" s="829"/>
      <c r="T810" s="829"/>
      <c r="U810" s="829"/>
      <c r="V810" s="829"/>
      <c r="W810" s="829"/>
      <c r="X810" s="829"/>
      <c r="Y810" s="829"/>
      <c r="Z810" s="829"/>
    </row>
    <row r="811">
      <c r="A811" s="829"/>
      <c r="B811" s="829"/>
      <c r="C811" s="829"/>
      <c r="D811" s="829"/>
      <c r="E811" s="829"/>
      <c r="F811" s="829"/>
      <c r="G811" s="829"/>
      <c r="H811" s="829"/>
      <c r="I811" s="829"/>
      <c r="J811" s="829"/>
      <c r="K811" s="829"/>
      <c r="L811" s="829"/>
      <c r="M811" s="829"/>
      <c r="N811" s="829"/>
      <c r="O811" s="829"/>
      <c r="P811" s="829"/>
      <c r="Q811" s="829"/>
      <c r="R811" s="829"/>
      <c r="S811" s="829"/>
      <c r="T811" s="829"/>
      <c r="U811" s="829"/>
      <c r="V811" s="829"/>
      <c r="W811" s="829"/>
      <c r="X811" s="829"/>
      <c r="Y811" s="829"/>
      <c r="Z811" s="829"/>
    </row>
    <row r="812">
      <c r="A812" s="829"/>
      <c r="B812" s="829"/>
      <c r="C812" s="829"/>
      <c r="D812" s="829"/>
      <c r="E812" s="829"/>
      <c r="F812" s="829"/>
      <c r="G812" s="829"/>
      <c r="H812" s="829"/>
      <c r="I812" s="829"/>
      <c r="J812" s="829"/>
      <c r="K812" s="829"/>
      <c r="L812" s="829"/>
      <c r="M812" s="829"/>
      <c r="N812" s="829"/>
      <c r="O812" s="829"/>
      <c r="P812" s="829"/>
      <c r="Q812" s="829"/>
      <c r="R812" s="829"/>
      <c r="S812" s="829"/>
      <c r="T812" s="829"/>
      <c r="U812" s="829"/>
      <c r="V812" s="829"/>
      <c r="W812" s="829"/>
      <c r="X812" s="829"/>
      <c r="Y812" s="829"/>
      <c r="Z812" s="829"/>
    </row>
    <row r="813">
      <c r="A813" s="829"/>
      <c r="B813" s="829"/>
      <c r="C813" s="829"/>
      <c r="D813" s="829"/>
      <c r="E813" s="829"/>
      <c r="F813" s="829"/>
      <c r="G813" s="829"/>
      <c r="H813" s="829"/>
      <c r="I813" s="829"/>
      <c r="J813" s="829"/>
      <c r="K813" s="829"/>
      <c r="L813" s="829"/>
      <c r="M813" s="829"/>
      <c r="N813" s="829"/>
      <c r="O813" s="829"/>
      <c r="P813" s="829"/>
      <c r="Q813" s="829"/>
      <c r="R813" s="829"/>
      <c r="S813" s="829"/>
      <c r="T813" s="829"/>
      <c r="U813" s="829"/>
      <c r="V813" s="829"/>
      <c r="W813" s="829"/>
      <c r="X813" s="829"/>
      <c r="Y813" s="829"/>
      <c r="Z813" s="829"/>
    </row>
    <row r="814">
      <c r="A814" s="829"/>
      <c r="B814" s="829"/>
      <c r="C814" s="829"/>
      <c r="D814" s="829"/>
      <c r="E814" s="829"/>
      <c r="F814" s="829"/>
      <c r="G814" s="829"/>
      <c r="H814" s="829"/>
      <c r="I814" s="829"/>
      <c r="J814" s="829"/>
      <c r="K814" s="829"/>
      <c r="L814" s="829"/>
      <c r="M814" s="829"/>
      <c r="N814" s="829"/>
      <c r="O814" s="829"/>
      <c r="P814" s="829"/>
      <c r="Q814" s="829"/>
      <c r="R814" s="829"/>
      <c r="S814" s="829"/>
      <c r="T814" s="829"/>
      <c r="U814" s="829"/>
      <c r="V814" s="829"/>
      <c r="W814" s="829"/>
      <c r="X814" s="829"/>
      <c r="Y814" s="829"/>
      <c r="Z814" s="829"/>
    </row>
    <row r="815">
      <c r="A815" s="829"/>
      <c r="B815" s="829"/>
      <c r="C815" s="829"/>
      <c r="D815" s="829"/>
      <c r="E815" s="829"/>
      <c r="F815" s="829"/>
      <c r="G815" s="829"/>
      <c r="H815" s="829"/>
      <c r="I815" s="829"/>
      <c r="J815" s="829"/>
      <c r="K815" s="829"/>
      <c r="L815" s="829"/>
      <c r="M815" s="829"/>
      <c r="N815" s="829"/>
      <c r="O815" s="829"/>
      <c r="P815" s="829"/>
      <c r="Q815" s="829"/>
      <c r="R815" s="829"/>
      <c r="S815" s="829"/>
      <c r="T815" s="829"/>
      <c r="U815" s="829"/>
      <c r="V815" s="829"/>
      <c r="W815" s="829"/>
      <c r="X815" s="829"/>
      <c r="Y815" s="829"/>
      <c r="Z815" s="829"/>
    </row>
    <row r="816">
      <c r="A816" s="829"/>
      <c r="B816" s="829"/>
      <c r="C816" s="829"/>
      <c r="D816" s="829"/>
      <c r="E816" s="829"/>
      <c r="F816" s="829"/>
      <c r="G816" s="829"/>
      <c r="H816" s="829"/>
      <c r="I816" s="829"/>
      <c r="J816" s="829"/>
      <c r="K816" s="829"/>
      <c r="L816" s="829"/>
      <c r="M816" s="829"/>
      <c r="N816" s="829"/>
      <c r="O816" s="829"/>
      <c r="P816" s="829"/>
      <c r="Q816" s="829"/>
      <c r="R816" s="829"/>
      <c r="S816" s="829"/>
      <c r="T816" s="829"/>
      <c r="U816" s="829"/>
      <c r="V816" s="829"/>
      <c r="W816" s="829"/>
      <c r="X816" s="829"/>
      <c r="Y816" s="829"/>
      <c r="Z816" s="829"/>
    </row>
    <row r="817">
      <c r="A817" s="829"/>
      <c r="B817" s="829"/>
      <c r="C817" s="829"/>
      <c r="D817" s="829"/>
      <c r="E817" s="829"/>
      <c r="F817" s="829"/>
      <c r="G817" s="829"/>
      <c r="H817" s="829"/>
      <c r="I817" s="829"/>
      <c r="J817" s="829"/>
      <c r="K817" s="829"/>
      <c r="L817" s="829"/>
      <c r="M817" s="829"/>
      <c r="N817" s="829"/>
      <c r="O817" s="829"/>
      <c r="P817" s="829"/>
      <c r="Q817" s="829"/>
      <c r="R817" s="829"/>
      <c r="S817" s="829"/>
      <c r="T817" s="829"/>
      <c r="U817" s="829"/>
      <c r="V817" s="829"/>
      <c r="W817" s="829"/>
      <c r="X817" s="829"/>
      <c r="Y817" s="829"/>
      <c r="Z817" s="829"/>
    </row>
    <row r="818">
      <c r="A818" s="829"/>
      <c r="B818" s="829"/>
      <c r="C818" s="829"/>
      <c r="D818" s="829"/>
      <c r="E818" s="829"/>
      <c r="F818" s="829"/>
      <c r="G818" s="829"/>
      <c r="H818" s="829"/>
      <c r="I818" s="829"/>
      <c r="J818" s="829"/>
      <c r="K818" s="829"/>
      <c r="L818" s="829"/>
      <c r="M818" s="829"/>
      <c r="N818" s="829"/>
      <c r="O818" s="829"/>
      <c r="P818" s="829"/>
      <c r="Q818" s="829"/>
      <c r="R818" s="829"/>
      <c r="S818" s="829"/>
      <c r="T818" s="829"/>
      <c r="U818" s="829"/>
      <c r="V818" s="829"/>
      <c r="W818" s="829"/>
      <c r="X818" s="829"/>
      <c r="Y818" s="829"/>
      <c r="Z818" s="829"/>
    </row>
    <row r="819">
      <c r="A819" s="829"/>
      <c r="B819" s="829"/>
      <c r="C819" s="829"/>
      <c r="D819" s="829"/>
      <c r="E819" s="829"/>
      <c r="F819" s="829"/>
      <c r="G819" s="829"/>
      <c r="H819" s="829"/>
      <c r="I819" s="829"/>
      <c r="J819" s="829"/>
      <c r="K819" s="829"/>
      <c r="L819" s="829"/>
      <c r="M819" s="829"/>
      <c r="N819" s="829"/>
      <c r="O819" s="829"/>
      <c r="P819" s="829"/>
      <c r="Q819" s="829"/>
      <c r="R819" s="829"/>
      <c r="S819" s="829"/>
      <c r="T819" s="829"/>
      <c r="U819" s="829"/>
      <c r="V819" s="829"/>
      <c r="W819" s="829"/>
      <c r="X819" s="829"/>
      <c r="Y819" s="829"/>
      <c r="Z819" s="829"/>
    </row>
    <row r="820">
      <c r="A820" s="829"/>
      <c r="B820" s="829"/>
      <c r="C820" s="829"/>
      <c r="D820" s="829"/>
      <c r="E820" s="829"/>
      <c r="F820" s="829"/>
      <c r="G820" s="829"/>
      <c r="H820" s="829"/>
      <c r="I820" s="829"/>
      <c r="J820" s="829"/>
      <c r="K820" s="829"/>
      <c r="L820" s="829"/>
      <c r="M820" s="829"/>
      <c r="N820" s="829"/>
      <c r="O820" s="829"/>
      <c r="P820" s="829"/>
      <c r="Q820" s="829"/>
      <c r="R820" s="829"/>
      <c r="S820" s="829"/>
      <c r="T820" s="829"/>
      <c r="U820" s="829"/>
      <c r="V820" s="829"/>
      <c r="W820" s="829"/>
      <c r="X820" s="829"/>
      <c r="Y820" s="829"/>
      <c r="Z820" s="829"/>
    </row>
    <row r="821">
      <c r="A821" s="829"/>
      <c r="B821" s="829"/>
      <c r="C821" s="829"/>
      <c r="D821" s="829"/>
      <c r="E821" s="829"/>
      <c r="F821" s="829"/>
      <c r="G821" s="829"/>
      <c r="H821" s="829"/>
      <c r="I821" s="829"/>
      <c r="J821" s="829"/>
      <c r="K821" s="829"/>
      <c r="L821" s="829"/>
      <c r="M821" s="829"/>
      <c r="N821" s="829"/>
      <c r="O821" s="829"/>
      <c r="P821" s="829"/>
      <c r="Q821" s="829"/>
      <c r="R821" s="829"/>
      <c r="S821" s="829"/>
      <c r="T821" s="829"/>
      <c r="U821" s="829"/>
      <c r="V821" s="829"/>
      <c r="W821" s="829"/>
      <c r="X821" s="829"/>
      <c r="Y821" s="829"/>
      <c r="Z821" s="829"/>
    </row>
    <row r="822">
      <c r="A822" s="829"/>
      <c r="B822" s="829"/>
      <c r="C822" s="829"/>
      <c r="D822" s="829"/>
      <c r="E822" s="829"/>
      <c r="F822" s="829"/>
      <c r="G822" s="829"/>
      <c r="H822" s="829"/>
      <c r="I822" s="829"/>
      <c r="J822" s="829"/>
      <c r="K822" s="829"/>
      <c r="L822" s="829"/>
      <c r="M822" s="829"/>
      <c r="N822" s="829"/>
      <c r="O822" s="829"/>
      <c r="P822" s="829"/>
      <c r="Q822" s="829"/>
      <c r="R822" s="829"/>
      <c r="S822" s="829"/>
      <c r="T822" s="829"/>
      <c r="U822" s="829"/>
      <c r="V822" s="829"/>
      <c r="W822" s="829"/>
      <c r="X822" s="829"/>
      <c r="Y822" s="829"/>
      <c r="Z822" s="829"/>
    </row>
    <row r="823">
      <c r="A823" s="829"/>
      <c r="B823" s="829"/>
      <c r="C823" s="829"/>
      <c r="D823" s="829"/>
      <c r="E823" s="829"/>
      <c r="F823" s="829"/>
      <c r="G823" s="829"/>
      <c r="H823" s="829"/>
      <c r="I823" s="829"/>
      <c r="J823" s="829"/>
      <c r="K823" s="829"/>
      <c r="L823" s="829"/>
      <c r="M823" s="829"/>
      <c r="N823" s="829"/>
      <c r="O823" s="829"/>
      <c r="P823" s="829"/>
      <c r="Q823" s="829"/>
      <c r="R823" s="829"/>
      <c r="S823" s="829"/>
      <c r="T823" s="829"/>
      <c r="U823" s="829"/>
      <c r="V823" s="829"/>
      <c r="W823" s="829"/>
      <c r="X823" s="829"/>
      <c r="Y823" s="829"/>
      <c r="Z823" s="829"/>
    </row>
    <row r="824">
      <c r="A824" s="829"/>
      <c r="B824" s="829"/>
      <c r="C824" s="829"/>
      <c r="D824" s="829"/>
      <c r="E824" s="829"/>
      <c r="F824" s="829"/>
      <c r="G824" s="829"/>
      <c r="H824" s="829"/>
      <c r="I824" s="829"/>
      <c r="J824" s="829"/>
      <c r="K824" s="829"/>
      <c r="L824" s="829"/>
      <c r="M824" s="829"/>
      <c r="N824" s="829"/>
      <c r="O824" s="829"/>
      <c r="P824" s="829"/>
      <c r="Q824" s="829"/>
      <c r="R824" s="829"/>
      <c r="S824" s="829"/>
      <c r="T824" s="829"/>
      <c r="U824" s="829"/>
      <c r="V824" s="829"/>
      <c r="W824" s="829"/>
      <c r="X824" s="829"/>
      <c r="Y824" s="829"/>
      <c r="Z824" s="829"/>
    </row>
    <row r="825">
      <c r="A825" s="829"/>
      <c r="B825" s="829"/>
      <c r="C825" s="829"/>
      <c r="D825" s="829"/>
      <c r="E825" s="829"/>
      <c r="F825" s="829"/>
      <c r="G825" s="829"/>
      <c r="H825" s="829"/>
      <c r="I825" s="829"/>
      <c r="J825" s="829"/>
      <c r="K825" s="829"/>
      <c r="L825" s="829"/>
      <c r="M825" s="829"/>
      <c r="N825" s="829"/>
      <c r="O825" s="829"/>
      <c r="P825" s="829"/>
      <c r="Q825" s="829"/>
      <c r="R825" s="829"/>
      <c r="S825" s="829"/>
      <c r="T825" s="829"/>
      <c r="U825" s="829"/>
      <c r="V825" s="829"/>
      <c r="W825" s="829"/>
      <c r="X825" s="829"/>
      <c r="Y825" s="829"/>
      <c r="Z825" s="829"/>
    </row>
    <row r="826">
      <c r="A826" s="829"/>
      <c r="B826" s="829"/>
      <c r="C826" s="829"/>
      <c r="D826" s="829"/>
      <c r="E826" s="829"/>
      <c r="F826" s="829"/>
      <c r="G826" s="829"/>
      <c r="H826" s="829"/>
      <c r="I826" s="829"/>
      <c r="J826" s="829"/>
      <c r="K826" s="829"/>
      <c r="L826" s="829"/>
      <c r="M826" s="829"/>
      <c r="N826" s="829"/>
      <c r="O826" s="829"/>
      <c r="P826" s="829"/>
      <c r="Q826" s="829"/>
      <c r="R826" s="829"/>
      <c r="S826" s="829"/>
      <c r="T826" s="829"/>
      <c r="U826" s="829"/>
      <c r="V826" s="829"/>
      <c r="W826" s="829"/>
      <c r="X826" s="829"/>
      <c r="Y826" s="829"/>
      <c r="Z826" s="829"/>
    </row>
    <row r="827">
      <c r="A827" s="829"/>
      <c r="B827" s="829"/>
      <c r="C827" s="829"/>
      <c r="D827" s="829"/>
      <c r="E827" s="829"/>
      <c r="F827" s="829"/>
      <c r="G827" s="829"/>
      <c r="H827" s="829"/>
      <c r="I827" s="829"/>
      <c r="J827" s="829"/>
      <c r="K827" s="829"/>
      <c r="L827" s="829"/>
      <c r="M827" s="829"/>
      <c r="N827" s="829"/>
      <c r="O827" s="829"/>
      <c r="P827" s="829"/>
      <c r="Q827" s="829"/>
      <c r="R827" s="829"/>
      <c r="S827" s="829"/>
      <c r="T827" s="829"/>
      <c r="U827" s="829"/>
      <c r="V827" s="829"/>
      <c r="W827" s="829"/>
      <c r="X827" s="829"/>
      <c r="Y827" s="829"/>
      <c r="Z827" s="829"/>
    </row>
    <row r="828">
      <c r="A828" s="829"/>
      <c r="B828" s="829"/>
      <c r="C828" s="829"/>
      <c r="D828" s="829"/>
      <c r="E828" s="829"/>
      <c r="F828" s="829"/>
      <c r="G828" s="829"/>
      <c r="H828" s="829"/>
      <c r="I828" s="829"/>
      <c r="J828" s="829"/>
      <c r="K828" s="829"/>
      <c r="L828" s="829"/>
      <c r="M828" s="829"/>
      <c r="N828" s="829"/>
      <c r="O828" s="829"/>
      <c r="P828" s="829"/>
      <c r="Q828" s="829"/>
      <c r="R828" s="829"/>
      <c r="S828" s="829"/>
      <c r="T828" s="829"/>
      <c r="U828" s="829"/>
      <c r="V828" s="829"/>
      <c r="W828" s="829"/>
      <c r="X828" s="829"/>
      <c r="Y828" s="829"/>
      <c r="Z828" s="829"/>
    </row>
    <row r="829">
      <c r="A829" s="829"/>
      <c r="B829" s="829"/>
      <c r="C829" s="829"/>
      <c r="D829" s="829"/>
      <c r="E829" s="829"/>
      <c r="F829" s="829"/>
      <c r="G829" s="829"/>
      <c r="H829" s="829"/>
      <c r="I829" s="829"/>
      <c r="J829" s="829"/>
      <c r="K829" s="829"/>
      <c r="L829" s="829"/>
      <c r="M829" s="829"/>
      <c r="N829" s="829"/>
      <c r="O829" s="829"/>
      <c r="P829" s="829"/>
      <c r="Q829" s="829"/>
      <c r="R829" s="829"/>
      <c r="S829" s="829"/>
      <c r="T829" s="829"/>
      <c r="U829" s="829"/>
      <c r="V829" s="829"/>
      <c r="W829" s="829"/>
      <c r="X829" s="829"/>
      <c r="Y829" s="829"/>
      <c r="Z829" s="829"/>
    </row>
    <row r="830">
      <c r="A830" s="829"/>
      <c r="B830" s="829"/>
      <c r="C830" s="829"/>
      <c r="D830" s="829"/>
      <c r="E830" s="829"/>
      <c r="F830" s="829"/>
      <c r="G830" s="829"/>
      <c r="H830" s="829"/>
      <c r="I830" s="829"/>
      <c r="J830" s="829"/>
      <c r="K830" s="829"/>
      <c r="L830" s="829"/>
      <c r="M830" s="829"/>
      <c r="N830" s="829"/>
      <c r="O830" s="829"/>
      <c r="P830" s="829"/>
      <c r="Q830" s="829"/>
      <c r="R830" s="829"/>
      <c r="S830" s="829"/>
      <c r="T830" s="829"/>
      <c r="U830" s="829"/>
      <c r="V830" s="829"/>
      <c r="W830" s="829"/>
      <c r="X830" s="829"/>
      <c r="Y830" s="829"/>
      <c r="Z830" s="829"/>
    </row>
    <row r="831">
      <c r="A831" s="829"/>
      <c r="B831" s="829"/>
      <c r="C831" s="829"/>
      <c r="D831" s="829"/>
      <c r="E831" s="829"/>
      <c r="F831" s="829"/>
      <c r="G831" s="829"/>
      <c r="H831" s="829"/>
      <c r="I831" s="829"/>
      <c r="J831" s="829"/>
      <c r="K831" s="829"/>
      <c r="L831" s="829"/>
      <c r="M831" s="829"/>
      <c r="N831" s="829"/>
      <c r="O831" s="829"/>
      <c r="P831" s="829"/>
      <c r="Q831" s="829"/>
      <c r="R831" s="829"/>
      <c r="S831" s="829"/>
      <c r="T831" s="829"/>
      <c r="U831" s="829"/>
      <c r="V831" s="829"/>
      <c r="W831" s="829"/>
      <c r="X831" s="829"/>
      <c r="Y831" s="829"/>
      <c r="Z831" s="829"/>
    </row>
    <row r="832">
      <c r="A832" s="829"/>
      <c r="B832" s="829"/>
      <c r="C832" s="829"/>
      <c r="D832" s="829"/>
      <c r="E832" s="829"/>
      <c r="F832" s="829"/>
      <c r="G832" s="829"/>
      <c r="H832" s="829"/>
      <c r="I832" s="829"/>
      <c r="J832" s="829"/>
      <c r="K832" s="829"/>
      <c r="L832" s="829"/>
      <c r="M832" s="829"/>
      <c r="N832" s="829"/>
      <c r="O832" s="829"/>
      <c r="P832" s="829"/>
      <c r="Q832" s="829"/>
      <c r="R832" s="829"/>
      <c r="S832" s="829"/>
      <c r="T832" s="829"/>
      <c r="U832" s="829"/>
      <c r="V832" s="829"/>
      <c r="W832" s="829"/>
      <c r="X832" s="829"/>
      <c r="Y832" s="829"/>
      <c r="Z832" s="829"/>
    </row>
    <row r="833">
      <c r="A833" s="829"/>
      <c r="B833" s="829"/>
      <c r="C833" s="829"/>
      <c r="D833" s="829"/>
      <c r="E833" s="829"/>
      <c r="F833" s="829"/>
      <c r="G833" s="829"/>
      <c r="H833" s="829"/>
      <c r="I833" s="829"/>
      <c r="J833" s="829"/>
      <c r="K833" s="829"/>
      <c r="L833" s="829"/>
      <c r="M833" s="829"/>
      <c r="N833" s="829"/>
      <c r="O833" s="829"/>
      <c r="P833" s="829"/>
      <c r="Q833" s="829"/>
      <c r="R833" s="829"/>
      <c r="S833" s="829"/>
      <c r="T833" s="829"/>
      <c r="U833" s="829"/>
      <c r="V833" s="829"/>
      <c r="W833" s="829"/>
      <c r="X833" s="829"/>
      <c r="Y833" s="829"/>
      <c r="Z833" s="829"/>
    </row>
    <row r="834">
      <c r="A834" s="829"/>
      <c r="B834" s="829"/>
      <c r="C834" s="829"/>
      <c r="D834" s="829"/>
      <c r="E834" s="829"/>
      <c r="F834" s="829"/>
      <c r="G834" s="829"/>
      <c r="H834" s="829"/>
      <c r="I834" s="829"/>
      <c r="J834" s="829"/>
      <c r="K834" s="829"/>
      <c r="L834" s="829"/>
      <c r="M834" s="829"/>
      <c r="N834" s="829"/>
      <c r="O834" s="829"/>
      <c r="P834" s="829"/>
      <c r="Q834" s="829"/>
      <c r="R834" s="829"/>
      <c r="S834" s="829"/>
      <c r="T834" s="829"/>
      <c r="U834" s="829"/>
      <c r="V834" s="829"/>
      <c r="W834" s="829"/>
      <c r="X834" s="829"/>
      <c r="Y834" s="829"/>
      <c r="Z834" s="829"/>
    </row>
    <row r="835">
      <c r="A835" s="829"/>
      <c r="B835" s="829"/>
      <c r="C835" s="829"/>
      <c r="D835" s="829"/>
      <c r="E835" s="829"/>
      <c r="F835" s="829"/>
      <c r="G835" s="829"/>
      <c r="H835" s="829"/>
      <c r="I835" s="829"/>
      <c r="J835" s="829"/>
      <c r="K835" s="829"/>
      <c r="L835" s="829"/>
      <c r="M835" s="829"/>
      <c r="N835" s="829"/>
      <c r="O835" s="829"/>
      <c r="P835" s="829"/>
      <c r="Q835" s="829"/>
      <c r="R835" s="829"/>
      <c r="S835" s="829"/>
      <c r="T835" s="829"/>
      <c r="U835" s="829"/>
      <c r="V835" s="829"/>
      <c r="W835" s="829"/>
      <c r="X835" s="829"/>
      <c r="Y835" s="829"/>
      <c r="Z835" s="829"/>
    </row>
    <row r="836">
      <c r="A836" s="829"/>
      <c r="B836" s="829"/>
      <c r="C836" s="829"/>
      <c r="D836" s="829"/>
      <c r="E836" s="829"/>
      <c r="F836" s="829"/>
      <c r="G836" s="829"/>
      <c r="H836" s="829"/>
      <c r="I836" s="829"/>
      <c r="J836" s="829"/>
      <c r="K836" s="829"/>
      <c r="L836" s="829"/>
      <c r="M836" s="829"/>
      <c r="N836" s="829"/>
      <c r="O836" s="829"/>
      <c r="P836" s="829"/>
      <c r="Q836" s="829"/>
      <c r="R836" s="829"/>
      <c r="S836" s="829"/>
      <c r="T836" s="829"/>
      <c r="U836" s="829"/>
      <c r="V836" s="829"/>
      <c r="W836" s="829"/>
      <c r="X836" s="829"/>
      <c r="Y836" s="829"/>
      <c r="Z836" s="829"/>
    </row>
    <row r="837">
      <c r="A837" s="829"/>
      <c r="B837" s="829"/>
      <c r="C837" s="829"/>
      <c r="D837" s="829"/>
      <c r="E837" s="829"/>
      <c r="F837" s="829"/>
      <c r="G837" s="829"/>
      <c r="H837" s="829"/>
      <c r="I837" s="829"/>
      <c r="J837" s="829"/>
      <c r="K837" s="829"/>
      <c r="L837" s="829"/>
      <c r="M837" s="829"/>
      <c r="N837" s="829"/>
      <c r="O837" s="829"/>
      <c r="P837" s="829"/>
      <c r="Q837" s="829"/>
      <c r="R837" s="829"/>
      <c r="S837" s="829"/>
      <c r="T837" s="829"/>
      <c r="U837" s="829"/>
      <c r="V837" s="829"/>
      <c r="W837" s="829"/>
      <c r="X837" s="829"/>
      <c r="Y837" s="829"/>
      <c r="Z837" s="829"/>
    </row>
    <row r="838">
      <c r="A838" s="829"/>
      <c r="B838" s="829"/>
      <c r="C838" s="829"/>
      <c r="D838" s="829"/>
      <c r="E838" s="829"/>
      <c r="F838" s="829"/>
      <c r="G838" s="829"/>
      <c r="H838" s="829"/>
      <c r="I838" s="829"/>
      <c r="J838" s="829"/>
      <c r="K838" s="829"/>
      <c r="L838" s="829"/>
      <c r="M838" s="829"/>
      <c r="N838" s="829"/>
      <c r="O838" s="829"/>
      <c r="P838" s="829"/>
      <c r="Q838" s="829"/>
      <c r="R838" s="829"/>
      <c r="S838" s="829"/>
      <c r="T838" s="829"/>
      <c r="U838" s="829"/>
      <c r="V838" s="829"/>
      <c r="W838" s="829"/>
      <c r="X838" s="829"/>
      <c r="Y838" s="829"/>
      <c r="Z838" s="829"/>
    </row>
    <row r="839">
      <c r="A839" s="829"/>
      <c r="B839" s="829"/>
      <c r="C839" s="829"/>
      <c r="D839" s="829"/>
      <c r="E839" s="829"/>
      <c r="F839" s="829"/>
      <c r="G839" s="829"/>
      <c r="H839" s="829"/>
      <c r="I839" s="829"/>
      <c r="J839" s="829"/>
      <c r="K839" s="829"/>
      <c r="L839" s="829"/>
      <c r="M839" s="829"/>
      <c r="N839" s="829"/>
      <c r="O839" s="829"/>
      <c r="P839" s="829"/>
      <c r="Q839" s="829"/>
      <c r="R839" s="829"/>
      <c r="S839" s="829"/>
      <c r="T839" s="829"/>
      <c r="U839" s="829"/>
      <c r="V839" s="829"/>
      <c r="W839" s="829"/>
      <c r="X839" s="829"/>
      <c r="Y839" s="829"/>
      <c r="Z839" s="829"/>
    </row>
    <row r="840">
      <c r="A840" s="829"/>
      <c r="B840" s="829"/>
      <c r="C840" s="829"/>
      <c r="D840" s="829"/>
      <c r="E840" s="829"/>
      <c r="F840" s="829"/>
      <c r="G840" s="829"/>
      <c r="H840" s="829"/>
      <c r="I840" s="829"/>
      <c r="J840" s="829"/>
      <c r="K840" s="829"/>
      <c r="L840" s="829"/>
      <c r="M840" s="829"/>
      <c r="N840" s="829"/>
      <c r="O840" s="829"/>
      <c r="P840" s="829"/>
      <c r="Q840" s="829"/>
      <c r="R840" s="829"/>
      <c r="S840" s="829"/>
      <c r="T840" s="829"/>
      <c r="U840" s="829"/>
      <c r="V840" s="829"/>
      <c r="W840" s="829"/>
      <c r="X840" s="829"/>
      <c r="Y840" s="829"/>
      <c r="Z840" s="829"/>
    </row>
    <row r="841">
      <c r="A841" s="829"/>
      <c r="B841" s="829"/>
      <c r="C841" s="829"/>
      <c r="D841" s="829"/>
      <c r="E841" s="829"/>
      <c r="F841" s="829"/>
      <c r="G841" s="829"/>
      <c r="H841" s="829"/>
      <c r="I841" s="829"/>
      <c r="J841" s="829"/>
      <c r="K841" s="829"/>
      <c r="L841" s="829"/>
      <c r="M841" s="829"/>
      <c r="N841" s="829"/>
      <c r="O841" s="829"/>
      <c r="P841" s="829"/>
      <c r="Q841" s="829"/>
      <c r="R841" s="829"/>
      <c r="S841" s="829"/>
      <c r="T841" s="829"/>
      <c r="U841" s="829"/>
      <c r="V841" s="829"/>
      <c r="W841" s="829"/>
      <c r="X841" s="829"/>
      <c r="Y841" s="829"/>
      <c r="Z841" s="829"/>
    </row>
    <row r="842">
      <c r="A842" s="829"/>
      <c r="B842" s="829"/>
      <c r="C842" s="829"/>
      <c r="D842" s="829"/>
      <c r="E842" s="829"/>
      <c r="F842" s="829"/>
      <c r="G842" s="829"/>
      <c r="H842" s="829"/>
      <c r="I842" s="829"/>
      <c r="J842" s="829"/>
      <c r="K842" s="829"/>
      <c r="L842" s="829"/>
      <c r="M842" s="829"/>
      <c r="N842" s="829"/>
      <c r="O842" s="829"/>
      <c r="P842" s="829"/>
      <c r="Q842" s="829"/>
      <c r="R842" s="829"/>
      <c r="S842" s="829"/>
      <c r="T842" s="829"/>
      <c r="U842" s="829"/>
      <c r="V842" s="829"/>
      <c r="W842" s="829"/>
      <c r="X842" s="829"/>
      <c r="Y842" s="829"/>
      <c r="Z842" s="829"/>
    </row>
    <row r="843">
      <c r="A843" s="829"/>
      <c r="B843" s="829"/>
      <c r="C843" s="829"/>
      <c r="D843" s="829"/>
      <c r="E843" s="829"/>
      <c r="F843" s="829"/>
      <c r="G843" s="829"/>
      <c r="H843" s="829"/>
      <c r="I843" s="829"/>
      <c r="J843" s="829"/>
      <c r="K843" s="829"/>
      <c r="L843" s="829"/>
      <c r="M843" s="829"/>
      <c r="N843" s="829"/>
      <c r="O843" s="829"/>
      <c r="P843" s="829"/>
      <c r="Q843" s="829"/>
      <c r="R843" s="829"/>
      <c r="S843" s="829"/>
      <c r="T843" s="829"/>
      <c r="U843" s="829"/>
      <c r="V843" s="829"/>
      <c r="W843" s="829"/>
      <c r="X843" s="829"/>
      <c r="Y843" s="829"/>
      <c r="Z843" s="829"/>
    </row>
    <row r="844">
      <c r="A844" s="829"/>
      <c r="B844" s="829"/>
      <c r="C844" s="829"/>
      <c r="D844" s="829"/>
      <c r="E844" s="829"/>
      <c r="F844" s="829"/>
      <c r="G844" s="829"/>
      <c r="H844" s="829"/>
      <c r="I844" s="829"/>
      <c r="J844" s="829"/>
      <c r="K844" s="829"/>
      <c r="L844" s="829"/>
      <c r="M844" s="829"/>
      <c r="N844" s="829"/>
      <c r="O844" s="829"/>
      <c r="P844" s="829"/>
      <c r="Q844" s="829"/>
      <c r="R844" s="829"/>
      <c r="S844" s="829"/>
      <c r="T844" s="829"/>
      <c r="U844" s="829"/>
      <c r="V844" s="829"/>
      <c r="W844" s="829"/>
      <c r="X844" s="829"/>
      <c r="Y844" s="829"/>
      <c r="Z844" s="829"/>
    </row>
    <row r="845">
      <c r="A845" s="829"/>
      <c r="B845" s="829"/>
      <c r="C845" s="829"/>
      <c r="D845" s="829"/>
      <c r="E845" s="829"/>
      <c r="F845" s="829"/>
      <c r="G845" s="829"/>
      <c r="H845" s="829"/>
      <c r="I845" s="829"/>
      <c r="J845" s="829"/>
      <c r="K845" s="829"/>
      <c r="L845" s="829"/>
      <c r="M845" s="829"/>
      <c r="N845" s="829"/>
      <c r="O845" s="829"/>
      <c r="P845" s="829"/>
      <c r="Q845" s="829"/>
      <c r="R845" s="829"/>
      <c r="S845" s="829"/>
      <c r="T845" s="829"/>
      <c r="U845" s="829"/>
      <c r="V845" s="829"/>
      <c r="W845" s="829"/>
      <c r="X845" s="829"/>
      <c r="Y845" s="829"/>
      <c r="Z845" s="829"/>
    </row>
    <row r="846">
      <c r="A846" s="829"/>
      <c r="B846" s="829"/>
      <c r="C846" s="829"/>
      <c r="D846" s="829"/>
      <c r="E846" s="829"/>
      <c r="F846" s="829"/>
      <c r="G846" s="829"/>
      <c r="H846" s="829"/>
      <c r="I846" s="829"/>
      <c r="J846" s="829"/>
      <c r="K846" s="829"/>
      <c r="L846" s="829"/>
      <c r="M846" s="829"/>
      <c r="N846" s="829"/>
      <c r="O846" s="829"/>
      <c r="P846" s="829"/>
      <c r="Q846" s="829"/>
      <c r="R846" s="829"/>
      <c r="S846" s="829"/>
      <c r="T846" s="829"/>
      <c r="U846" s="829"/>
      <c r="V846" s="829"/>
      <c r="W846" s="829"/>
      <c r="X846" s="829"/>
      <c r="Y846" s="829"/>
      <c r="Z846" s="829"/>
    </row>
    <row r="847">
      <c r="A847" s="829"/>
      <c r="B847" s="829"/>
      <c r="C847" s="829"/>
      <c r="D847" s="829"/>
      <c r="E847" s="829"/>
      <c r="F847" s="829"/>
      <c r="G847" s="829"/>
      <c r="H847" s="829"/>
      <c r="I847" s="829"/>
      <c r="J847" s="829"/>
      <c r="K847" s="829"/>
      <c r="L847" s="829"/>
      <c r="M847" s="829"/>
      <c r="N847" s="829"/>
      <c r="O847" s="829"/>
      <c r="P847" s="829"/>
      <c r="Q847" s="829"/>
      <c r="R847" s="829"/>
      <c r="S847" s="829"/>
      <c r="T847" s="829"/>
      <c r="U847" s="829"/>
      <c r="V847" s="829"/>
      <c r="W847" s="829"/>
      <c r="X847" s="829"/>
      <c r="Y847" s="829"/>
      <c r="Z847" s="829"/>
    </row>
    <row r="848">
      <c r="A848" s="829"/>
      <c r="B848" s="829"/>
      <c r="C848" s="829"/>
      <c r="D848" s="829"/>
      <c r="E848" s="829"/>
      <c r="F848" s="829"/>
      <c r="G848" s="829"/>
      <c r="H848" s="829"/>
      <c r="I848" s="829"/>
      <c r="J848" s="829"/>
      <c r="K848" s="829"/>
      <c r="L848" s="829"/>
      <c r="M848" s="829"/>
      <c r="N848" s="829"/>
      <c r="O848" s="829"/>
      <c r="P848" s="829"/>
      <c r="Q848" s="829"/>
      <c r="R848" s="829"/>
      <c r="S848" s="829"/>
      <c r="T848" s="829"/>
      <c r="U848" s="829"/>
      <c r="V848" s="829"/>
      <c r="W848" s="829"/>
      <c r="X848" s="829"/>
      <c r="Y848" s="829"/>
      <c r="Z848" s="829"/>
    </row>
    <row r="849">
      <c r="A849" s="829"/>
      <c r="B849" s="829"/>
      <c r="C849" s="829"/>
      <c r="D849" s="829"/>
      <c r="E849" s="829"/>
      <c r="F849" s="829"/>
      <c r="G849" s="829"/>
      <c r="H849" s="829"/>
      <c r="I849" s="829"/>
      <c r="J849" s="829"/>
      <c r="K849" s="829"/>
      <c r="L849" s="829"/>
      <c r="M849" s="829"/>
      <c r="N849" s="829"/>
      <c r="O849" s="829"/>
      <c r="P849" s="829"/>
      <c r="Q849" s="829"/>
      <c r="R849" s="829"/>
      <c r="S849" s="829"/>
      <c r="T849" s="829"/>
      <c r="U849" s="829"/>
      <c r="V849" s="829"/>
      <c r="W849" s="829"/>
      <c r="X849" s="829"/>
      <c r="Y849" s="829"/>
      <c r="Z849" s="829"/>
    </row>
    <row r="850">
      <c r="A850" s="829"/>
      <c r="B850" s="829"/>
      <c r="C850" s="829"/>
      <c r="D850" s="829"/>
      <c r="E850" s="829"/>
      <c r="F850" s="829"/>
      <c r="G850" s="829"/>
      <c r="H850" s="829"/>
      <c r="I850" s="829"/>
      <c r="J850" s="829"/>
      <c r="K850" s="829"/>
      <c r="L850" s="829"/>
      <c r="M850" s="829"/>
      <c r="N850" s="829"/>
      <c r="O850" s="829"/>
      <c r="P850" s="829"/>
      <c r="Q850" s="829"/>
      <c r="R850" s="829"/>
      <c r="S850" s="829"/>
      <c r="T850" s="829"/>
      <c r="U850" s="829"/>
      <c r="V850" s="829"/>
      <c r="W850" s="829"/>
      <c r="X850" s="829"/>
      <c r="Y850" s="829"/>
      <c r="Z850" s="829"/>
    </row>
    <row r="851">
      <c r="A851" s="829"/>
      <c r="B851" s="829"/>
      <c r="C851" s="829"/>
      <c r="D851" s="829"/>
      <c r="E851" s="829"/>
      <c r="F851" s="829"/>
      <c r="G851" s="829"/>
      <c r="H851" s="829"/>
      <c r="I851" s="829"/>
      <c r="J851" s="829"/>
      <c r="K851" s="829"/>
      <c r="L851" s="829"/>
      <c r="M851" s="829"/>
      <c r="N851" s="829"/>
      <c r="O851" s="829"/>
      <c r="P851" s="829"/>
      <c r="Q851" s="829"/>
      <c r="R851" s="829"/>
      <c r="S851" s="829"/>
      <c r="T851" s="829"/>
      <c r="U851" s="829"/>
      <c r="V851" s="829"/>
      <c r="W851" s="829"/>
      <c r="X851" s="829"/>
      <c r="Y851" s="829"/>
      <c r="Z851" s="829"/>
    </row>
    <row r="852">
      <c r="A852" s="829"/>
      <c r="B852" s="829"/>
      <c r="C852" s="829"/>
      <c r="D852" s="829"/>
      <c r="E852" s="829"/>
      <c r="F852" s="829"/>
      <c r="G852" s="829"/>
      <c r="H852" s="829"/>
      <c r="I852" s="829"/>
      <c r="J852" s="829"/>
      <c r="K852" s="829"/>
      <c r="L852" s="829"/>
      <c r="M852" s="829"/>
      <c r="N852" s="829"/>
      <c r="O852" s="829"/>
      <c r="P852" s="829"/>
      <c r="Q852" s="829"/>
      <c r="R852" s="829"/>
      <c r="S852" s="829"/>
      <c r="T852" s="829"/>
      <c r="U852" s="829"/>
      <c r="V852" s="829"/>
      <c r="W852" s="829"/>
      <c r="X852" s="829"/>
      <c r="Y852" s="829"/>
      <c r="Z852" s="829"/>
    </row>
    <row r="853">
      <c r="A853" s="829"/>
      <c r="B853" s="829"/>
      <c r="C853" s="829"/>
      <c r="D853" s="829"/>
      <c r="E853" s="829"/>
      <c r="F853" s="829"/>
      <c r="G853" s="829"/>
      <c r="H853" s="829"/>
      <c r="I853" s="829"/>
      <c r="J853" s="829"/>
      <c r="K853" s="829"/>
      <c r="L853" s="829"/>
      <c r="M853" s="829"/>
      <c r="N853" s="829"/>
      <c r="O853" s="829"/>
      <c r="P853" s="829"/>
      <c r="Q853" s="829"/>
      <c r="R853" s="829"/>
      <c r="S853" s="829"/>
      <c r="T853" s="829"/>
      <c r="U853" s="829"/>
      <c r="V853" s="829"/>
      <c r="W853" s="829"/>
      <c r="X853" s="829"/>
      <c r="Y853" s="829"/>
      <c r="Z853" s="829"/>
    </row>
    <row r="854">
      <c r="A854" s="829"/>
      <c r="B854" s="829"/>
      <c r="C854" s="829"/>
      <c r="D854" s="829"/>
      <c r="E854" s="829"/>
      <c r="F854" s="829"/>
      <c r="G854" s="829"/>
      <c r="H854" s="829"/>
      <c r="I854" s="829"/>
      <c r="J854" s="829"/>
      <c r="K854" s="829"/>
      <c r="L854" s="829"/>
      <c r="M854" s="829"/>
      <c r="N854" s="829"/>
      <c r="O854" s="829"/>
      <c r="P854" s="829"/>
      <c r="Q854" s="829"/>
      <c r="R854" s="829"/>
      <c r="S854" s="829"/>
      <c r="T854" s="829"/>
      <c r="U854" s="829"/>
      <c r="V854" s="829"/>
      <c r="W854" s="829"/>
      <c r="X854" s="829"/>
      <c r="Y854" s="829"/>
      <c r="Z854" s="829"/>
    </row>
    <row r="855">
      <c r="A855" s="829"/>
      <c r="B855" s="829"/>
      <c r="C855" s="829"/>
      <c r="D855" s="829"/>
      <c r="E855" s="829"/>
      <c r="F855" s="829"/>
      <c r="G855" s="829"/>
      <c r="H855" s="829"/>
      <c r="I855" s="829"/>
      <c r="J855" s="829"/>
      <c r="K855" s="829"/>
      <c r="L855" s="829"/>
      <c r="M855" s="829"/>
      <c r="N855" s="829"/>
      <c r="O855" s="829"/>
      <c r="P855" s="829"/>
      <c r="Q855" s="829"/>
      <c r="R855" s="829"/>
      <c r="S855" s="829"/>
      <c r="T855" s="829"/>
      <c r="U855" s="829"/>
      <c r="V855" s="829"/>
      <c r="W855" s="829"/>
      <c r="X855" s="829"/>
      <c r="Y855" s="829"/>
      <c r="Z855" s="829"/>
    </row>
    <row r="856">
      <c r="A856" s="829"/>
      <c r="B856" s="829"/>
      <c r="C856" s="829"/>
      <c r="D856" s="829"/>
      <c r="E856" s="829"/>
      <c r="F856" s="829"/>
      <c r="G856" s="829"/>
      <c r="H856" s="829"/>
      <c r="I856" s="829"/>
      <c r="J856" s="829"/>
      <c r="K856" s="829"/>
      <c r="L856" s="829"/>
      <c r="M856" s="829"/>
      <c r="N856" s="829"/>
      <c r="O856" s="829"/>
      <c r="P856" s="829"/>
      <c r="Q856" s="829"/>
      <c r="R856" s="829"/>
      <c r="S856" s="829"/>
      <c r="T856" s="829"/>
      <c r="U856" s="829"/>
      <c r="V856" s="829"/>
      <c r="W856" s="829"/>
      <c r="X856" s="829"/>
      <c r="Y856" s="829"/>
      <c r="Z856" s="829"/>
    </row>
    <row r="857">
      <c r="A857" s="829"/>
      <c r="B857" s="829"/>
      <c r="C857" s="829"/>
      <c r="D857" s="829"/>
      <c r="E857" s="829"/>
      <c r="F857" s="829"/>
      <c r="G857" s="829"/>
      <c r="H857" s="829"/>
      <c r="I857" s="829"/>
      <c r="J857" s="829"/>
      <c r="K857" s="829"/>
      <c r="L857" s="829"/>
      <c r="M857" s="829"/>
      <c r="N857" s="829"/>
      <c r="O857" s="829"/>
      <c r="P857" s="829"/>
      <c r="Q857" s="829"/>
      <c r="R857" s="829"/>
      <c r="S857" s="829"/>
      <c r="T857" s="829"/>
      <c r="U857" s="829"/>
      <c r="V857" s="829"/>
      <c r="W857" s="829"/>
      <c r="X857" s="829"/>
      <c r="Y857" s="829"/>
      <c r="Z857" s="829"/>
    </row>
    <row r="858">
      <c r="A858" s="829"/>
      <c r="B858" s="829"/>
      <c r="C858" s="829"/>
      <c r="D858" s="829"/>
      <c r="E858" s="829"/>
      <c r="F858" s="829"/>
      <c r="G858" s="829"/>
      <c r="H858" s="829"/>
      <c r="I858" s="829"/>
      <c r="J858" s="829"/>
      <c r="K858" s="829"/>
      <c r="L858" s="829"/>
      <c r="M858" s="829"/>
      <c r="N858" s="829"/>
      <c r="O858" s="829"/>
      <c r="P858" s="829"/>
      <c r="Q858" s="829"/>
      <c r="R858" s="829"/>
      <c r="S858" s="829"/>
      <c r="T858" s="829"/>
      <c r="U858" s="829"/>
      <c r="V858" s="829"/>
      <c r="W858" s="829"/>
      <c r="X858" s="829"/>
      <c r="Y858" s="829"/>
      <c r="Z858" s="829"/>
    </row>
    <row r="859">
      <c r="A859" s="829"/>
      <c r="B859" s="829"/>
      <c r="C859" s="829"/>
      <c r="D859" s="829"/>
      <c r="E859" s="829"/>
      <c r="F859" s="829"/>
      <c r="G859" s="829"/>
      <c r="H859" s="829"/>
      <c r="I859" s="829"/>
      <c r="J859" s="829"/>
      <c r="K859" s="829"/>
      <c r="L859" s="829"/>
      <c r="M859" s="829"/>
      <c r="N859" s="829"/>
      <c r="O859" s="829"/>
      <c r="P859" s="829"/>
      <c r="Q859" s="829"/>
      <c r="R859" s="829"/>
      <c r="S859" s="829"/>
      <c r="T859" s="829"/>
      <c r="U859" s="829"/>
      <c r="V859" s="829"/>
      <c r="W859" s="829"/>
      <c r="X859" s="829"/>
      <c r="Y859" s="829"/>
      <c r="Z859" s="829"/>
    </row>
    <row r="860">
      <c r="A860" s="829"/>
      <c r="B860" s="829"/>
      <c r="C860" s="829"/>
      <c r="D860" s="829"/>
      <c r="E860" s="829"/>
      <c r="F860" s="829"/>
      <c r="G860" s="829"/>
      <c r="H860" s="829"/>
      <c r="I860" s="829"/>
      <c r="J860" s="829"/>
      <c r="K860" s="829"/>
      <c r="L860" s="829"/>
      <c r="M860" s="829"/>
      <c r="N860" s="829"/>
      <c r="O860" s="829"/>
      <c r="P860" s="829"/>
      <c r="Q860" s="829"/>
      <c r="R860" s="829"/>
      <c r="S860" s="829"/>
      <c r="T860" s="829"/>
      <c r="U860" s="829"/>
      <c r="V860" s="829"/>
      <c r="W860" s="829"/>
      <c r="X860" s="829"/>
      <c r="Y860" s="829"/>
      <c r="Z860" s="829"/>
    </row>
    <row r="861">
      <c r="A861" s="829"/>
      <c r="B861" s="829"/>
      <c r="C861" s="829"/>
      <c r="D861" s="829"/>
      <c r="E861" s="829"/>
      <c r="F861" s="829"/>
      <c r="G861" s="829"/>
      <c r="H861" s="829"/>
      <c r="I861" s="829"/>
      <c r="J861" s="829"/>
      <c r="K861" s="829"/>
      <c r="L861" s="829"/>
      <c r="M861" s="829"/>
      <c r="N861" s="829"/>
      <c r="O861" s="829"/>
      <c r="P861" s="829"/>
      <c r="Q861" s="829"/>
      <c r="R861" s="829"/>
      <c r="S861" s="829"/>
      <c r="T861" s="829"/>
      <c r="U861" s="829"/>
      <c r="V861" s="829"/>
      <c r="W861" s="829"/>
      <c r="X861" s="829"/>
      <c r="Y861" s="829"/>
      <c r="Z861" s="829"/>
    </row>
    <row r="862">
      <c r="A862" s="829"/>
      <c r="B862" s="829"/>
      <c r="C862" s="829"/>
      <c r="D862" s="829"/>
      <c r="E862" s="829"/>
      <c r="F862" s="829"/>
      <c r="G862" s="829"/>
      <c r="H862" s="829"/>
      <c r="I862" s="829"/>
      <c r="J862" s="829"/>
      <c r="K862" s="829"/>
      <c r="L862" s="829"/>
      <c r="M862" s="829"/>
      <c r="N862" s="829"/>
      <c r="O862" s="829"/>
      <c r="P862" s="829"/>
      <c r="Q862" s="829"/>
      <c r="R862" s="829"/>
      <c r="S862" s="829"/>
      <c r="T862" s="829"/>
      <c r="U862" s="829"/>
      <c r="V862" s="829"/>
      <c r="W862" s="829"/>
      <c r="X862" s="829"/>
      <c r="Y862" s="829"/>
      <c r="Z862" s="829"/>
    </row>
    <row r="863">
      <c r="A863" s="829"/>
      <c r="B863" s="829"/>
      <c r="C863" s="829"/>
      <c r="D863" s="829"/>
      <c r="E863" s="829"/>
      <c r="F863" s="829"/>
      <c r="G863" s="829"/>
      <c r="H863" s="829"/>
      <c r="I863" s="829"/>
      <c r="J863" s="829"/>
      <c r="K863" s="829"/>
      <c r="L863" s="829"/>
      <c r="M863" s="829"/>
      <c r="N863" s="829"/>
      <c r="O863" s="829"/>
      <c r="P863" s="829"/>
      <c r="Q863" s="829"/>
      <c r="R863" s="829"/>
      <c r="S863" s="829"/>
      <c r="T863" s="829"/>
      <c r="U863" s="829"/>
      <c r="V863" s="829"/>
      <c r="W863" s="829"/>
      <c r="X863" s="829"/>
      <c r="Y863" s="829"/>
      <c r="Z863" s="829"/>
    </row>
    <row r="864">
      <c r="A864" s="829"/>
      <c r="B864" s="829"/>
      <c r="C864" s="829"/>
      <c r="D864" s="829"/>
      <c r="E864" s="829"/>
      <c r="F864" s="829"/>
      <c r="G864" s="829"/>
      <c r="H864" s="829"/>
      <c r="I864" s="829"/>
      <c r="J864" s="829"/>
      <c r="K864" s="829"/>
      <c r="L864" s="829"/>
      <c r="M864" s="829"/>
      <c r="N864" s="829"/>
      <c r="O864" s="829"/>
      <c r="P864" s="829"/>
      <c r="Q864" s="829"/>
      <c r="R864" s="829"/>
      <c r="S864" s="829"/>
      <c r="T864" s="829"/>
      <c r="U864" s="829"/>
      <c r="V864" s="829"/>
      <c r="W864" s="829"/>
      <c r="X864" s="829"/>
      <c r="Y864" s="829"/>
      <c r="Z864" s="829"/>
    </row>
    <row r="865">
      <c r="A865" s="829"/>
      <c r="B865" s="829"/>
      <c r="C865" s="829"/>
      <c r="D865" s="829"/>
      <c r="E865" s="829"/>
      <c r="F865" s="829"/>
      <c r="G865" s="829"/>
      <c r="H865" s="829"/>
      <c r="I865" s="829"/>
      <c r="J865" s="829"/>
      <c r="K865" s="829"/>
      <c r="L865" s="829"/>
      <c r="M865" s="829"/>
      <c r="N865" s="829"/>
      <c r="O865" s="829"/>
      <c r="P865" s="829"/>
      <c r="Q865" s="829"/>
      <c r="R865" s="829"/>
      <c r="S865" s="829"/>
      <c r="T865" s="829"/>
      <c r="U865" s="829"/>
      <c r="V865" s="829"/>
      <c r="W865" s="829"/>
      <c r="X865" s="829"/>
      <c r="Y865" s="829"/>
      <c r="Z865" s="829"/>
    </row>
    <row r="866">
      <c r="A866" s="829"/>
      <c r="B866" s="829"/>
      <c r="C866" s="829"/>
      <c r="D866" s="829"/>
      <c r="E866" s="829"/>
      <c r="F866" s="829"/>
      <c r="G866" s="829"/>
      <c r="H866" s="829"/>
      <c r="I866" s="829"/>
      <c r="J866" s="829"/>
      <c r="K866" s="829"/>
      <c r="L866" s="829"/>
      <c r="M866" s="829"/>
      <c r="N866" s="829"/>
      <c r="O866" s="829"/>
      <c r="P866" s="829"/>
      <c r="Q866" s="829"/>
      <c r="R866" s="829"/>
      <c r="S866" s="829"/>
      <c r="T866" s="829"/>
      <c r="U866" s="829"/>
      <c r="V866" s="829"/>
      <c r="W866" s="829"/>
      <c r="X866" s="829"/>
      <c r="Y866" s="829"/>
      <c r="Z866" s="829"/>
    </row>
    <row r="867">
      <c r="A867" s="829"/>
      <c r="B867" s="829"/>
      <c r="C867" s="829"/>
      <c r="D867" s="829"/>
      <c r="E867" s="829"/>
      <c r="F867" s="829"/>
      <c r="G867" s="829"/>
      <c r="H867" s="829"/>
      <c r="I867" s="829"/>
      <c r="J867" s="829"/>
      <c r="K867" s="829"/>
      <c r="L867" s="829"/>
      <c r="M867" s="829"/>
      <c r="N867" s="829"/>
      <c r="O867" s="829"/>
      <c r="P867" s="829"/>
      <c r="Q867" s="829"/>
      <c r="R867" s="829"/>
      <c r="S867" s="829"/>
      <c r="T867" s="829"/>
      <c r="U867" s="829"/>
      <c r="V867" s="829"/>
      <c r="W867" s="829"/>
      <c r="X867" s="829"/>
      <c r="Y867" s="829"/>
      <c r="Z867" s="829"/>
    </row>
    <row r="868">
      <c r="A868" s="829"/>
      <c r="B868" s="829"/>
      <c r="C868" s="829"/>
      <c r="D868" s="829"/>
      <c r="E868" s="829"/>
      <c r="F868" s="829"/>
      <c r="G868" s="829"/>
      <c r="H868" s="829"/>
      <c r="I868" s="829"/>
      <c r="J868" s="829"/>
      <c r="K868" s="829"/>
      <c r="L868" s="829"/>
      <c r="M868" s="829"/>
      <c r="N868" s="829"/>
      <c r="O868" s="829"/>
      <c r="P868" s="829"/>
      <c r="Q868" s="829"/>
      <c r="R868" s="829"/>
      <c r="S868" s="829"/>
      <c r="T868" s="829"/>
      <c r="U868" s="829"/>
      <c r="V868" s="829"/>
      <c r="W868" s="829"/>
      <c r="X868" s="829"/>
      <c r="Y868" s="829"/>
      <c r="Z868" s="829"/>
    </row>
    <row r="869">
      <c r="A869" s="829"/>
      <c r="B869" s="829"/>
      <c r="C869" s="829"/>
      <c r="D869" s="829"/>
      <c r="E869" s="829"/>
      <c r="F869" s="829"/>
      <c r="G869" s="829"/>
      <c r="H869" s="829"/>
      <c r="I869" s="829"/>
      <c r="J869" s="829"/>
      <c r="K869" s="829"/>
      <c r="L869" s="829"/>
      <c r="M869" s="829"/>
      <c r="N869" s="829"/>
      <c r="O869" s="829"/>
      <c r="P869" s="829"/>
      <c r="Q869" s="829"/>
      <c r="R869" s="829"/>
      <c r="S869" s="829"/>
      <c r="T869" s="829"/>
      <c r="U869" s="829"/>
      <c r="V869" s="829"/>
      <c r="W869" s="829"/>
      <c r="X869" s="829"/>
      <c r="Y869" s="829"/>
      <c r="Z869" s="829"/>
    </row>
    <row r="870">
      <c r="A870" s="829"/>
      <c r="B870" s="829"/>
      <c r="C870" s="829"/>
      <c r="D870" s="829"/>
      <c r="E870" s="829"/>
      <c r="F870" s="829"/>
      <c r="G870" s="829"/>
      <c r="H870" s="829"/>
      <c r="I870" s="829"/>
      <c r="J870" s="829"/>
      <c r="K870" s="829"/>
      <c r="L870" s="829"/>
      <c r="M870" s="829"/>
      <c r="N870" s="829"/>
      <c r="O870" s="829"/>
      <c r="P870" s="829"/>
      <c r="Q870" s="829"/>
      <c r="R870" s="829"/>
      <c r="S870" s="829"/>
      <c r="T870" s="829"/>
      <c r="U870" s="829"/>
      <c r="V870" s="829"/>
      <c r="W870" s="829"/>
      <c r="X870" s="829"/>
      <c r="Y870" s="829"/>
      <c r="Z870" s="829"/>
    </row>
    <row r="871">
      <c r="A871" s="829"/>
      <c r="B871" s="829"/>
      <c r="C871" s="829"/>
      <c r="D871" s="829"/>
      <c r="E871" s="829"/>
      <c r="F871" s="829"/>
      <c r="G871" s="829"/>
      <c r="H871" s="829"/>
      <c r="I871" s="829"/>
      <c r="J871" s="829"/>
      <c r="K871" s="829"/>
      <c r="L871" s="829"/>
      <c r="M871" s="829"/>
      <c r="N871" s="829"/>
      <c r="O871" s="829"/>
      <c r="P871" s="829"/>
      <c r="Q871" s="829"/>
      <c r="R871" s="829"/>
      <c r="S871" s="829"/>
      <c r="T871" s="829"/>
      <c r="U871" s="829"/>
      <c r="V871" s="829"/>
      <c r="W871" s="829"/>
      <c r="X871" s="829"/>
      <c r="Y871" s="829"/>
      <c r="Z871" s="829"/>
    </row>
    <row r="872">
      <c r="A872" s="829"/>
      <c r="B872" s="829"/>
      <c r="C872" s="829"/>
      <c r="D872" s="829"/>
      <c r="E872" s="829"/>
      <c r="F872" s="829"/>
      <c r="G872" s="829"/>
      <c r="H872" s="829"/>
      <c r="I872" s="829"/>
      <c r="J872" s="829"/>
      <c r="K872" s="829"/>
      <c r="L872" s="829"/>
      <c r="M872" s="829"/>
      <c r="N872" s="829"/>
      <c r="O872" s="829"/>
      <c r="P872" s="829"/>
      <c r="Q872" s="829"/>
      <c r="R872" s="829"/>
      <c r="S872" s="829"/>
      <c r="T872" s="829"/>
      <c r="U872" s="829"/>
      <c r="V872" s="829"/>
      <c r="W872" s="829"/>
      <c r="X872" s="829"/>
      <c r="Y872" s="829"/>
      <c r="Z872" s="829"/>
    </row>
    <row r="873">
      <c r="A873" s="829"/>
      <c r="B873" s="829"/>
      <c r="C873" s="829"/>
      <c r="D873" s="829"/>
      <c r="E873" s="829"/>
      <c r="F873" s="829"/>
      <c r="G873" s="829"/>
      <c r="H873" s="829"/>
      <c r="I873" s="829"/>
      <c r="J873" s="829"/>
      <c r="K873" s="829"/>
      <c r="L873" s="829"/>
      <c r="M873" s="829"/>
      <c r="N873" s="829"/>
      <c r="O873" s="829"/>
      <c r="P873" s="829"/>
      <c r="Q873" s="829"/>
      <c r="R873" s="829"/>
      <c r="S873" s="829"/>
      <c r="T873" s="829"/>
      <c r="U873" s="829"/>
      <c r="V873" s="829"/>
      <c r="W873" s="829"/>
      <c r="X873" s="829"/>
      <c r="Y873" s="829"/>
      <c r="Z873" s="829"/>
    </row>
    <row r="874">
      <c r="A874" s="829"/>
      <c r="B874" s="829"/>
      <c r="C874" s="829"/>
      <c r="D874" s="829"/>
      <c r="E874" s="829"/>
      <c r="F874" s="829"/>
      <c r="G874" s="829"/>
      <c r="H874" s="829"/>
      <c r="I874" s="829"/>
      <c r="J874" s="829"/>
      <c r="K874" s="829"/>
      <c r="L874" s="829"/>
      <c r="M874" s="829"/>
      <c r="N874" s="829"/>
      <c r="O874" s="829"/>
      <c r="P874" s="829"/>
      <c r="Q874" s="829"/>
      <c r="R874" s="829"/>
      <c r="S874" s="829"/>
      <c r="T874" s="829"/>
      <c r="U874" s="829"/>
      <c r="V874" s="829"/>
      <c r="W874" s="829"/>
      <c r="X874" s="829"/>
      <c r="Y874" s="829"/>
      <c r="Z874" s="829"/>
    </row>
    <row r="875">
      <c r="A875" s="829"/>
      <c r="B875" s="829"/>
      <c r="C875" s="829"/>
      <c r="D875" s="829"/>
      <c r="E875" s="829"/>
      <c r="F875" s="829"/>
      <c r="G875" s="829"/>
      <c r="H875" s="829"/>
      <c r="I875" s="829"/>
      <c r="J875" s="829"/>
      <c r="K875" s="829"/>
      <c r="L875" s="829"/>
      <c r="M875" s="829"/>
      <c r="N875" s="829"/>
      <c r="O875" s="829"/>
      <c r="P875" s="829"/>
      <c r="Q875" s="829"/>
      <c r="R875" s="829"/>
      <c r="S875" s="829"/>
      <c r="T875" s="829"/>
      <c r="U875" s="829"/>
      <c r="V875" s="829"/>
      <c r="W875" s="829"/>
      <c r="X875" s="829"/>
      <c r="Y875" s="829"/>
      <c r="Z875" s="829"/>
    </row>
    <row r="876">
      <c r="A876" s="829"/>
      <c r="B876" s="829"/>
      <c r="C876" s="829"/>
      <c r="D876" s="829"/>
      <c r="E876" s="829"/>
      <c r="F876" s="829"/>
      <c r="G876" s="829"/>
      <c r="H876" s="829"/>
      <c r="I876" s="829"/>
      <c r="J876" s="829"/>
      <c r="K876" s="829"/>
      <c r="L876" s="829"/>
      <c r="M876" s="829"/>
      <c r="N876" s="829"/>
      <c r="O876" s="829"/>
      <c r="P876" s="829"/>
      <c r="Q876" s="829"/>
      <c r="R876" s="829"/>
      <c r="S876" s="829"/>
      <c r="T876" s="829"/>
      <c r="U876" s="829"/>
      <c r="V876" s="829"/>
      <c r="W876" s="829"/>
      <c r="X876" s="829"/>
      <c r="Y876" s="829"/>
      <c r="Z876" s="829"/>
    </row>
    <row r="877">
      <c r="A877" s="829"/>
      <c r="B877" s="829"/>
      <c r="C877" s="829"/>
      <c r="D877" s="829"/>
      <c r="E877" s="829"/>
      <c r="F877" s="829"/>
      <c r="G877" s="829"/>
      <c r="H877" s="829"/>
      <c r="I877" s="829"/>
      <c r="J877" s="829"/>
      <c r="K877" s="829"/>
      <c r="L877" s="829"/>
      <c r="M877" s="829"/>
      <c r="N877" s="829"/>
      <c r="O877" s="829"/>
      <c r="P877" s="829"/>
      <c r="Q877" s="829"/>
      <c r="R877" s="829"/>
      <c r="S877" s="829"/>
      <c r="T877" s="829"/>
      <c r="U877" s="829"/>
      <c r="V877" s="829"/>
      <c r="W877" s="829"/>
      <c r="X877" s="829"/>
      <c r="Y877" s="829"/>
      <c r="Z877" s="829"/>
    </row>
    <row r="878">
      <c r="A878" s="829"/>
      <c r="B878" s="829"/>
      <c r="C878" s="829"/>
      <c r="D878" s="829"/>
      <c r="E878" s="829"/>
      <c r="F878" s="829"/>
      <c r="G878" s="829"/>
      <c r="H878" s="829"/>
      <c r="I878" s="829"/>
      <c r="J878" s="829"/>
      <c r="K878" s="829"/>
      <c r="L878" s="829"/>
      <c r="M878" s="829"/>
      <c r="N878" s="829"/>
      <c r="O878" s="829"/>
      <c r="P878" s="829"/>
      <c r="Q878" s="829"/>
      <c r="R878" s="829"/>
      <c r="S878" s="829"/>
      <c r="T878" s="829"/>
      <c r="U878" s="829"/>
      <c r="V878" s="829"/>
      <c r="W878" s="829"/>
      <c r="X878" s="829"/>
      <c r="Y878" s="829"/>
      <c r="Z878" s="829"/>
    </row>
    <row r="879">
      <c r="A879" s="829"/>
      <c r="B879" s="829"/>
      <c r="C879" s="829"/>
      <c r="D879" s="829"/>
      <c r="E879" s="829"/>
      <c r="F879" s="829"/>
      <c r="G879" s="829"/>
      <c r="H879" s="829"/>
      <c r="I879" s="829"/>
      <c r="J879" s="829"/>
      <c r="K879" s="829"/>
      <c r="L879" s="829"/>
      <c r="M879" s="829"/>
      <c r="N879" s="829"/>
      <c r="O879" s="829"/>
      <c r="P879" s="829"/>
      <c r="Q879" s="829"/>
      <c r="R879" s="829"/>
      <c r="S879" s="829"/>
      <c r="T879" s="829"/>
      <c r="U879" s="829"/>
      <c r="V879" s="829"/>
      <c r="W879" s="829"/>
      <c r="X879" s="829"/>
      <c r="Y879" s="829"/>
      <c r="Z879" s="829"/>
    </row>
    <row r="880">
      <c r="A880" s="829"/>
      <c r="B880" s="829"/>
      <c r="C880" s="829"/>
      <c r="D880" s="829"/>
      <c r="E880" s="829"/>
      <c r="F880" s="829"/>
      <c r="G880" s="829"/>
      <c r="H880" s="829"/>
      <c r="I880" s="829"/>
      <c r="J880" s="829"/>
      <c r="K880" s="829"/>
      <c r="L880" s="829"/>
      <c r="M880" s="829"/>
      <c r="N880" s="829"/>
      <c r="O880" s="829"/>
      <c r="P880" s="829"/>
      <c r="Q880" s="829"/>
      <c r="R880" s="829"/>
      <c r="S880" s="829"/>
      <c r="T880" s="829"/>
      <c r="U880" s="829"/>
      <c r="V880" s="829"/>
      <c r="W880" s="829"/>
      <c r="X880" s="829"/>
      <c r="Y880" s="829"/>
      <c r="Z880" s="829"/>
    </row>
    <row r="881">
      <c r="A881" s="829"/>
      <c r="B881" s="829"/>
      <c r="C881" s="829"/>
      <c r="D881" s="829"/>
      <c r="E881" s="829"/>
      <c r="F881" s="829"/>
      <c r="G881" s="829"/>
      <c r="H881" s="829"/>
      <c r="I881" s="829"/>
      <c r="J881" s="829"/>
      <c r="K881" s="829"/>
      <c r="L881" s="829"/>
      <c r="M881" s="829"/>
      <c r="N881" s="829"/>
      <c r="O881" s="829"/>
      <c r="P881" s="829"/>
      <c r="Q881" s="829"/>
      <c r="R881" s="829"/>
      <c r="S881" s="829"/>
      <c r="T881" s="829"/>
      <c r="U881" s="829"/>
      <c r="V881" s="829"/>
      <c r="W881" s="829"/>
      <c r="X881" s="829"/>
      <c r="Y881" s="829"/>
      <c r="Z881" s="829"/>
    </row>
    <row r="882">
      <c r="A882" s="829"/>
      <c r="B882" s="829"/>
      <c r="C882" s="829"/>
      <c r="D882" s="829"/>
      <c r="E882" s="829"/>
      <c r="F882" s="829"/>
      <c r="G882" s="829"/>
      <c r="H882" s="829"/>
      <c r="I882" s="829"/>
      <c r="J882" s="829"/>
      <c r="K882" s="829"/>
      <c r="L882" s="829"/>
      <c r="M882" s="829"/>
      <c r="N882" s="829"/>
      <c r="O882" s="829"/>
      <c r="P882" s="829"/>
      <c r="Q882" s="829"/>
      <c r="R882" s="829"/>
      <c r="S882" s="829"/>
      <c r="T882" s="829"/>
      <c r="U882" s="829"/>
      <c r="V882" s="829"/>
      <c r="W882" s="829"/>
      <c r="X882" s="829"/>
      <c r="Y882" s="829"/>
      <c r="Z882" s="829"/>
    </row>
    <row r="883">
      <c r="A883" s="829"/>
      <c r="B883" s="829"/>
      <c r="C883" s="829"/>
      <c r="D883" s="829"/>
      <c r="E883" s="829"/>
      <c r="F883" s="829"/>
      <c r="G883" s="829"/>
      <c r="H883" s="829"/>
      <c r="I883" s="829"/>
      <c r="J883" s="829"/>
      <c r="K883" s="829"/>
      <c r="L883" s="829"/>
      <c r="M883" s="829"/>
      <c r="N883" s="829"/>
      <c r="O883" s="829"/>
      <c r="P883" s="829"/>
      <c r="Q883" s="829"/>
      <c r="R883" s="829"/>
      <c r="S883" s="829"/>
      <c r="T883" s="829"/>
      <c r="U883" s="829"/>
      <c r="V883" s="829"/>
      <c r="W883" s="829"/>
      <c r="X883" s="829"/>
      <c r="Y883" s="829"/>
      <c r="Z883" s="829"/>
    </row>
    <row r="884">
      <c r="A884" s="829"/>
      <c r="B884" s="829"/>
      <c r="C884" s="829"/>
      <c r="D884" s="829"/>
      <c r="E884" s="829"/>
      <c r="F884" s="829"/>
      <c r="G884" s="829"/>
      <c r="H884" s="829"/>
      <c r="I884" s="829"/>
      <c r="J884" s="829"/>
      <c r="K884" s="829"/>
      <c r="L884" s="829"/>
      <c r="M884" s="829"/>
      <c r="N884" s="829"/>
      <c r="O884" s="829"/>
      <c r="P884" s="829"/>
      <c r="Q884" s="829"/>
      <c r="R884" s="829"/>
      <c r="S884" s="829"/>
      <c r="T884" s="829"/>
      <c r="U884" s="829"/>
      <c r="V884" s="829"/>
      <c r="W884" s="829"/>
      <c r="X884" s="829"/>
      <c r="Y884" s="829"/>
      <c r="Z884" s="829"/>
    </row>
    <row r="885">
      <c r="A885" s="829"/>
      <c r="B885" s="829"/>
      <c r="C885" s="829"/>
      <c r="D885" s="829"/>
      <c r="E885" s="829"/>
      <c r="F885" s="829"/>
      <c r="G885" s="829"/>
      <c r="H885" s="829"/>
      <c r="I885" s="829"/>
      <c r="J885" s="829"/>
      <c r="K885" s="829"/>
      <c r="L885" s="829"/>
      <c r="M885" s="829"/>
      <c r="N885" s="829"/>
      <c r="O885" s="829"/>
      <c r="P885" s="829"/>
      <c r="Q885" s="829"/>
      <c r="R885" s="829"/>
      <c r="S885" s="829"/>
      <c r="T885" s="829"/>
      <c r="U885" s="829"/>
      <c r="V885" s="829"/>
      <c r="W885" s="829"/>
      <c r="X885" s="829"/>
      <c r="Y885" s="829"/>
      <c r="Z885" s="829"/>
    </row>
    <row r="886">
      <c r="A886" s="829"/>
      <c r="B886" s="829"/>
      <c r="C886" s="829"/>
      <c r="D886" s="829"/>
      <c r="E886" s="829"/>
      <c r="F886" s="829"/>
      <c r="G886" s="829"/>
      <c r="H886" s="829"/>
      <c r="I886" s="829"/>
      <c r="J886" s="829"/>
      <c r="K886" s="829"/>
      <c r="L886" s="829"/>
      <c r="M886" s="829"/>
      <c r="N886" s="829"/>
      <c r="O886" s="829"/>
      <c r="P886" s="829"/>
      <c r="Q886" s="829"/>
      <c r="R886" s="829"/>
      <c r="S886" s="829"/>
      <c r="T886" s="829"/>
      <c r="U886" s="829"/>
      <c r="V886" s="829"/>
      <c r="W886" s="829"/>
      <c r="X886" s="829"/>
      <c r="Y886" s="829"/>
      <c r="Z886" s="829"/>
    </row>
    <row r="887">
      <c r="A887" s="829"/>
      <c r="B887" s="829"/>
      <c r="C887" s="829"/>
      <c r="D887" s="829"/>
      <c r="E887" s="829"/>
      <c r="F887" s="829"/>
      <c r="G887" s="829"/>
      <c r="H887" s="829"/>
      <c r="I887" s="829"/>
      <c r="J887" s="829"/>
      <c r="K887" s="829"/>
      <c r="L887" s="829"/>
      <c r="M887" s="829"/>
      <c r="N887" s="829"/>
      <c r="O887" s="829"/>
      <c r="P887" s="829"/>
      <c r="Q887" s="829"/>
      <c r="R887" s="829"/>
      <c r="S887" s="829"/>
      <c r="T887" s="829"/>
      <c r="U887" s="829"/>
      <c r="V887" s="829"/>
      <c r="W887" s="829"/>
      <c r="X887" s="829"/>
      <c r="Y887" s="829"/>
      <c r="Z887" s="829"/>
    </row>
    <row r="888">
      <c r="A888" s="829"/>
      <c r="B888" s="829"/>
      <c r="C888" s="829"/>
      <c r="D888" s="829"/>
      <c r="E888" s="829"/>
      <c r="F888" s="829"/>
      <c r="G888" s="829"/>
      <c r="H888" s="829"/>
      <c r="I888" s="829"/>
      <c r="J888" s="829"/>
      <c r="K888" s="829"/>
      <c r="L888" s="829"/>
      <c r="M888" s="829"/>
      <c r="N888" s="829"/>
      <c r="O888" s="829"/>
      <c r="P888" s="829"/>
      <c r="Q888" s="829"/>
      <c r="R888" s="829"/>
      <c r="S888" s="829"/>
      <c r="T888" s="829"/>
      <c r="U888" s="829"/>
      <c r="V888" s="829"/>
      <c r="W888" s="829"/>
      <c r="X888" s="829"/>
      <c r="Y888" s="829"/>
      <c r="Z888" s="829"/>
    </row>
    <row r="889">
      <c r="A889" s="829"/>
      <c r="B889" s="829"/>
      <c r="C889" s="829"/>
      <c r="D889" s="829"/>
      <c r="E889" s="829"/>
      <c r="F889" s="829"/>
      <c r="G889" s="829"/>
      <c r="H889" s="829"/>
      <c r="I889" s="829"/>
      <c r="J889" s="829"/>
      <c r="K889" s="829"/>
      <c r="L889" s="829"/>
      <c r="M889" s="829"/>
      <c r="N889" s="829"/>
      <c r="O889" s="829"/>
      <c r="P889" s="829"/>
      <c r="Q889" s="829"/>
      <c r="R889" s="829"/>
      <c r="S889" s="829"/>
      <c r="T889" s="829"/>
      <c r="U889" s="829"/>
      <c r="V889" s="829"/>
      <c r="W889" s="829"/>
      <c r="X889" s="829"/>
      <c r="Y889" s="829"/>
      <c r="Z889" s="829"/>
    </row>
    <row r="890">
      <c r="A890" s="829"/>
      <c r="B890" s="829"/>
      <c r="C890" s="829"/>
      <c r="D890" s="829"/>
      <c r="E890" s="829"/>
      <c r="F890" s="829"/>
      <c r="G890" s="829"/>
      <c r="H890" s="829"/>
      <c r="I890" s="829"/>
      <c r="J890" s="829"/>
      <c r="K890" s="829"/>
      <c r="L890" s="829"/>
      <c r="M890" s="829"/>
      <c r="N890" s="829"/>
      <c r="O890" s="829"/>
      <c r="P890" s="829"/>
      <c r="Q890" s="829"/>
      <c r="R890" s="829"/>
      <c r="S890" s="829"/>
      <c r="T890" s="829"/>
      <c r="U890" s="829"/>
      <c r="V890" s="829"/>
      <c r="W890" s="829"/>
      <c r="X890" s="829"/>
      <c r="Y890" s="829"/>
      <c r="Z890" s="829"/>
    </row>
    <row r="891">
      <c r="A891" s="829"/>
      <c r="B891" s="829"/>
      <c r="C891" s="829"/>
      <c r="D891" s="829"/>
      <c r="E891" s="829"/>
      <c r="F891" s="829"/>
      <c r="G891" s="829"/>
      <c r="H891" s="829"/>
      <c r="I891" s="829"/>
      <c r="J891" s="829"/>
      <c r="K891" s="829"/>
      <c r="L891" s="829"/>
      <c r="M891" s="829"/>
      <c r="N891" s="829"/>
      <c r="O891" s="829"/>
      <c r="P891" s="829"/>
      <c r="Q891" s="829"/>
      <c r="R891" s="829"/>
      <c r="S891" s="829"/>
      <c r="T891" s="829"/>
      <c r="U891" s="829"/>
      <c r="V891" s="829"/>
      <c r="W891" s="829"/>
      <c r="X891" s="829"/>
      <c r="Y891" s="829"/>
      <c r="Z891" s="829"/>
    </row>
    <row r="892">
      <c r="A892" s="829"/>
      <c r="B892" s="829"/>
      <c r="C892" s="829"/>
      <c r="D892" s="829"/>
      <c r="E892" s="829"/>
      <c r="F892" s="829"/>
      <c r="G892" s="829"/>
      <c r="H892" s="829"/>
      <c r="I892" s="829"/>
      <c r="J892" s="829"/>
      <c r="K892" s="829"/>
      <c r="L892" s="829"/>
      <c r="M892" s="829"/>
      <c r="N892" s="829"/>
      <c r="O892" s="829"/>
      <c r="P892" s="829"/>
      <c r="Q892" s="829"/>
      <c r="R892" s="829"/>
      <c r="S892" s="829"/>
      <c r="T892" s="829"/>
      <c r="U892" s="829"/>
      <c r="V892" s="829"/>
      <c r="W892" s="829"/>
      <c r="X892" s="829"/>
      <c r="Y892" s="829"/>
      <c r="Z892" s="829"/>
    </row>
    <row r="893">
      <c r="A893" s="829"/>
      <c r="B893" s="829"/>
      <c r="C893" s="829"/>
      <c r="D893" s="829"/>
      <c r="E893" s="829"/>
      <c r="F893" s="829"/>
      <c r="G893" s="829"/>
      <c r="H893" s="829"/>
      <c r="I893" s="829"/>
      <c r="J893" s="829"/>
      <c r="K893" s="829"/>
      <c r="L893" s="829"/>
      <c r="M893" s="829"/>
      <c r="N893" s="829"/>
      <c r="O893" s="829"/>
      <c r="P893" s="829"/>
      <c r="Q893" s="829"/>
      <c r="R893" s="829"/>
      <c r="S893" s="829"/>
      <c r="T893" s="829"/>
      <c r="U893" s="829"/>
      <c r="V893" s="829"/>
      <c r="W893" s="829"/>
      <c r="X893" s="829"/>
      <c r="Y893" s="829"/>
      <c r="Z893" s="829"/>
    </row>
    <row r="894">
      <c r="A894" s="829"/>
      <c r="B894" s="829"/>
      <c r="C894" s="829"/>
      <c r="D894" s="829"/>
      <c r="E894" s="829"/>
      <c r="F894" s="829"/>
      <c r="G894" s="829"/>
      <c r="H894" s="829"/>
      <c r="I894" s="829"/>
      <c r="J894" s="829"/>
      <c r="K894" s="829"/>
      <c r="L894" s="829"/>
      <c r="M894" s="829"/>
      <c r="N894" s="829"/>
      <c r="O894" s="829"/>
      <c r="P894" s="829"/>
      <c r="Q894" s="829"/>
      <c r="R894" s="829"/>
      <c r="S894" s="829"/>
      <c r="T894" s="829"/>
      <c r="U894" s="829"/>
      <c r="V894" s="829"/>
      <c r="W894" s="829"/>
      <c r="X894" s="829"/>
      <c r="Y894" s="829"/>
      <c r="Z894" s="829"/>
    </row>
    <row r="895">
      <c r="A895" s="829"/>
      <c r="B895" s="829"/>
      <c r="C895" s="829"/>
      <c r="D895" s="829"/>
      <c r="E895" s="829"/>
      <c r="F895" s="829"/>
      <c r="G895" s="829"/>
      <c r="H895" s="829"/>
      <c r="I895" s="829"/>
      <c r="J895" s="829"/>
      <c r="K895" s="829"/>
      <c r="L895" s="829"/>
      <c r="M895" s="829"/>
      <c r="N895" s="829"/>
      <c r="O895" s="829"/>
      <c r="P895" s="829"/>
      <c r="Q895" s="829"/>
      <c r="R895" s="829"/>
      <c r="S895" s="829"/>
      <c r="T895" s="829"/>
      <c r="U895" s="829"/>
      <c r="V895" s="829"/>
      <c r="W895" s="829"/>
      <c r="X895" s="829"/>
      <c r="Y895" s="829"/>
      <c r="Z895" s="829"/>
    </row>
    <row r="896">
      <c r="A896" s="829"/>
      <c r="B896" s="829"/>
      <c r="C896" s="829"/>
      <c r="D896" s="829"/>
      <c r="E896" s="829"/>
      <c r="F896" s="829"/>
      <c r="G896" s="829"/>
      <c r="H896" s="829"/>
      <c r="I896" s="829"/>
      <c r="J896" s="829"/>
      <c r="K896" s="829"/>
      <c r="L896" s="829"/>
      <c r="M896" s="829"/>
      <c r="N896" s="829"/>
      <c r="O896" s="829"/>
      <c r="P896" s="829"/>
      <c r="Q896" s="829"/>
      <c r="R896" s="829"/>
      <c r="S896" s="829"/>
      <c r="T896" s="829"/>
      <c r="U896" s="829"/>
      <c r="V896" s="829"/>
      <c r="W896" s="829"/>
      <c r="X896" s="829"/>
      <c r="Y896" s="829"/>
      <c r="Z896" s="829"/>
    </row>
    <row r="897">
      <c r="A897" s="829"/>
      <c r="B897" s="829"/>
      <c r="C897" s="829"/>
      <c r="D897" s="829"/>
      <c r="E897" s="829"/>
      <c r="F897" s="829"/>
      <c r="G897" s="829"/>
      <c r="H897" s="829"/>
      <c r="I897" s="829"/>
      <c r="J897" s="829"/>
      <c r="K897" s="829"/>
      <c r="L897" s="829"/>
      <c r="M897" s="829"/>
      <c r="N897" s="829"/>
      <c r="O897" s="829"/>
      <c r="P897" s="829"/>
      <c r="Q897" s="829"/>
      <c r="R897" s="829"/>
      <c r="S897" s="829"/>
      <c r="T897" s="829"/>
      <c r="U897" s="829"/>
      <c r="V897" s="829"/>
      <c r="W897" s="829"/>
      <c r="X897" s="829"/>
      <c r="Y897" s="829"/>
      <c r="Z897" s="829"/>
    </row>
    <row r="898">
      <c r="A898" s="829"/>
      <c r="B898" s="829"/>
      <c r="C898" s="829"/>
      <c r="D898" s="829"/>
      <c r="E898" s="829"/>
      <c r="F898" s="829"/>
      <c r="G898" s="829"/>
      <c r="H898" s="829"/>
      <c r="I898" s="829"/>
      <c r="J898" s="829"/>
      <c r="K898" s="829"/>
      <c r="L898" s="829"/>
      <c r="M898" s="829"/>
      <c r="N898" s="829"/>
      <c r="O898" s="829"/>
      <c r="P898" s="829"/>
      <c r="Q898" s="829"/>
      <c r="R898" s="829"/>
      <c r="S898" s="829"/>
      <c r="T898" s="829"/>
      <c r="U898" s="829"/>
      <c r="V898" s="829"/>
      <c r="W898" s="829"/>
      <c r="X898" s="829"/>
      <c r="Y898" s="829"/>
      <c r="Z898" s="829"/>
    </row>
    <row r="899">
      <c r="A899" s="829"/>
      <c r="B899" s="829"/>
      <c r="C899" s="829"/>
      <c r="D899" s="829"/>
      <c r="E899" s="829"/>
      <c r="F899" s="829"/>
      <c r="G899" s="829"/>
      <c r="H899" s="829"/>
      <c r="I899" s="829"/>
      <c r="J899" s="829"/>
      <c r="K899" s="829"/>
      <c r="L899" s="829"/>
      <c r="M899" s="829"/>
      <c r="N899" s="829"/>
      <c r="O899" s="829"/>
      <c r="P899" s="829"/>
      <c r="Q899" s="829"/>
      <c r="R899" s="829"/>
      <c r="S899" s="829"/>
      <c r="T899" s="829"/>
      <c r="U899" s="829"/>
      <c r="V899" s="829"/>
      <c r="W899" s="829"/>
      <c r="X899" s="829"/>
      <c r="Y899" s="829"/>
      <c r="Z899" s="829"/>
    </row>
    <row r="900">
      <c r="A900" s="829"/>
      <c r="B900" s="829"/>
      <c r="C900" s="829"/>
      <c r="D900" s="829"/>
      <c r="E900" s="829"/>
      <c r="F900" s="829"/>
      <c r="G900" s="829"/>
      <c r="H900" s="829"/>
      <c r="I900" s="829"/>
      <c r="J900" s="829"/>
      <c r="K900" s="829"/>
      <c r="L900" s="829"/>
      <c r="M900" s="829"/>
      <c r="N900" s="829"/>
      <c r="O900" s="829"/>
      <c r="P900" s="829"/>
      <c r="Q900" s="829"/>
      <c r="R900" s="829"/>
      <c r="S900" s="829"/>
      <c r="T900" s="829"/>
      <c r="U900" s="829"/>
      <c r="V900" s="829"/>
      <c r="W900" s="829"/>
      <c r="X900" s="829"/>
      <c r="Y900" s="829"/>
      <c r="Z900" s="829"/>
    </row>
    <row r="901">
      <c r="A901" s="829"/>
      <c r="B901" s="829"/>
      <c r="C901" s="829"/>
      <c r="D901" s="829"/>
      <c r="E901" s="829"/>
      <c r="F901" s="829"/>
      <c r="G901" s="829"/>
      <c r="H901" s="829"/>
      <c r="I901" s="829"/>
      <c r="J901" s="829"/>
      <c r="K901" s="829"/>
      <c r="L901" s="829"/>
      <c r="M901" s="829"/>
      <c r="N901" s="829"/>
      <c r="O901" s="829"/>
      <c r="P901" s="829"/>
      <c r="Q901" s="829"/>
      <c r="R901" s="829"/>
      <c r="S901" s="829"/>
      <c r="T901" s="829"/>
      <c r="U901" s="829"/>
      <c r="V901" s="829"/>
      <c r="W901" s="829"/>
      <c r="X901" s="829"/>
      <c r="Y901" s="829"/>
      <c r="Z901" s="829"/>
    </row>
    <row r="902">
      <c r="A902" s="829"/>
      <c r="B902" s="829"/>
      <c r="C902" s="829"/>
      <c r="D902" s="829"/>
      <c r="E902" s="829"/>
      <c r="F902" s="829"/>
      <c r="G902" s="829"/>
      <c r="H902" s="829"/>
      <c r="I902" s="829"/>
      <c r="J902" s="829"/>
      <c r="K902" s="829"/>
      <c r="L902" s="829"/>
      <c r="M902" s="829"/>
      <c r="N902" s="829"/>
      <c r="O902" s="829"/>
      <c r="P902" s="829"/>
      <c r="Q902" s="829"/>
      <c r="R902" s="829"/>
      <c r="S902" s="829"/>
      <c r="T902" s="829"/>
      <c r="U902" s="829"/>
      <c r="V902" s="829"/>
      <c r="W902" s="829"/>
      <c r="X902" s="829"/>
      <c r="Y902" s="829"/>
      <c r="Z902" s="829"/>
    </row>
    <row r="903">
      <c r="A903" s="829"/>
      <c r="B903" s="829"/>
      <c r="C903" s="829"/>
      <c r="D903" s="829"/>
      <c r="E903" s="829"/>
      <c r="F903" s="829"/>
      <c r="G903" s="829"/>
      <c r="H903" s="829"/>
      <c r="I903" s="829"/>
      <c r="J903" s="829"/>
      <c r="K903" s="829"/>
      <c r="L903" s="829"/>
      <c r="M903" s="829"/>
      <c r="N903" s="829"/>
      <c r="O903" s="829"/>
      <c r="P903" s="829"/>
      <c r="Q903" s="829"/>
      <c r="R903" s="829"/>
      <c r="S903" s="829"/>
      <c r="T903" s="829"/>
      <c r="U903" s="829"/>
      <c r="V903" s="829"/>
      <c r="W903" s="829"/>
      <c r="X903" s="829"/>
      <c r="Y903" s="829"/>
      <c r="Z903" s="829"/>
    </row>
    <row r="904">
      <c r="A904" s="829"/>
      <c r="B904" s="829"/>
      <c r="C904" s="829"/>
      <c r="D904" s="829"/>
      <c r="E904" s="829"/>
      <c r="F904" s="829"/>
      <c r="G904" s="829"/>
      <c r="H904" s="829"/>
      <c r="I904" s="829"/>
      <c r="J904" s="829"/>
      <c r="K904" s="829"/>
      <c r="L904" s="829"/>
      <c r="M904" s="829"/>
      <c r="N904" s="829"/>
      <c r="O904" s="829"/>
      <c r="P904" s="829"/>
      <c r="Q904" s="829"/>
      <c r="R904" s="829"/>
      <c r="S904" s="829"/>
      <c r="T904" s="829"/>
      <c r="U904" s="829"/>
      <c r="V904" s="829"/>
      <c r="W904" s="829"/>
      <c r="X904" s="829"/>
      <c r="Y904" s="829"/>
      <c r="Z904" s="829"/>
    </row>
    <row r="905">
      <c r="A905" s="829"/>
      <c r="B905" s="829"/>
      <c r="C905" s="829"/>
      <c r="D905" s="829"/>
      <c r="E905" s="829"/>
      <c r="F905" s="829"/>
      <c r="G905" s="829"/>
      <c r="H905" s="829"/>
      <c r="I905" s="829"/>
      <c r="J905" s="829"/>
      <c r="K905" s="829"/>
      <c r="L905" s="829"/>
      <c r="M905" s="829"/>
      <c r="N905" s="829"/>
      <c r="O905" s="829"/>
      <c r="P905" s="829"/>
      <c r="Q905" s="829"/>
      <c r="R905" s="829"/>
      <c r="S905" s="829"/>
      <c r="T905" s="829"/>
      <c r="U905" s="829"/>
      <c r="V905" s="829"/>
      <c r="W905" s="829"/>
      <c r="X905" s="829"/>
      <c r="Y905" s="829"/>
      <c r="Z905" s="829"/>
    </row>
    <row r="906">
      <c r="A906" s="829"/>
      <c r="B906" s="829"/>
      <c r="C906" s="829"/>
      <c r="D906" s="829"/>
      <c r="E906" s="829"/>
      <c r="F906" s="829"/>
      <c r="G906" s="829"/>
      <c r="H906" s="829"/>
      <c r="I906" s="829"/>
      <c r="J906" s="829"/>
      <c r="K906" s="829"/>
      <c r="L906" s="829"/>
      <c r="M906" s="829"/>
      <c r="N906" s="829"/>
      <c r="O906" s="829"/>
      <c r="P906" s="829"/>
      <c r="Q906" s="829"/>
      <c r="R906" s="829"/>
      <c r="S906" s="829"/>
      <c r="T906" s="829"/>
      <c r="U906" s="829"/>
      <c r="V906" s="829"/>
      <c r="W906" s="829"/>
      <c r="X906" s="829"/>
      <c r="Y906" s="829"/>
      <c r="Z906" s="829"/>
    </row>
    <row r="907">
      <c r="A907" s="829"/>
      <c r="B907" s="829"/>
      <c r="C907" s="829"/>
      <c r="D907" s="829"/>
      <c r="E907" s="829"/>
      <c r="F907" s="829"/>
      <c r="G907" s="829"/>
      <c r="H907" s="829"/>
      <c r="I907" s="829"/>
      <c r="J907" s="829"/>
      <c r="K907" s="829"/>
      <c r="L907" s="829"/>
      <c r="M907" s="829"/>
      <c r="N907" s="829"/>
      <c r="O907" s="829"/>
      <c r="P907" s="829"/>
      <c r="Q907" s="829"/>
      <c r="R907" s="829"/>
      <c r="S907" s="829"/>
      <c r="T907" s="829"/>
      <c r="U907" s="829"/>
      <c r="V907" s="829"/>
      <c r="W907" s="829"/>
      <c r="X907" s="829"/>
      <c r="Y907" s="829"/>
      <c r="Z907" s="829"/>
    </row>
    <row r="908">
      <c r="A908" s="829"/>
      <c r="B908" s="829"/>
      <c r="C908" s="829"/>
      <c r="D908" s="829"/>
      <c r="E908" s="829"/>
      <c r="F908" s="829"/>
      <c r="G908" s="829"/>
      <c r="H908" s="829"/>
      <c r="I908" s="829"/>
      <c r="J908" s="829"/>
      <c r="K908" s="829"/>
      <c r="L908" s="829"/>
      <c r="M908" s="829"/>
      <c r="N908" s="829"/>
      <c r="O908" s="829"/>
      <c r="P908" s="829"/>
      <c r="Q908" s="829"/>
      <c r="R908" s="829"/>
      <c r="S908" s="829"/>
      <c r="T908" s="829"/>
      <c r="U908" s="829"/>
      <c r="V908" s="829"/>
      <c r="W908" s="829"/>
      <c r="X908" s="829"/>
      <c r="Y908" s="829"/>
      <c r="Z908" s="829"/>
    </row>
    <row r="909">
      <c r="A909" s="829"/>
      <c r="B909" s="829"/>
      <c r="C909" s="829"/>
      <c r="D909" s="829"/>
      <c r="E909" s="829"/>
      <c r="F909" s="829"/>
      <c r="G909" s="829"/>
      <c r="H909" s="829"/>
      <c r="I909" s="829"/>
      <c r="J909" s="829"/>
      <c r="K909" s="829"/>
      <c r="L909" s="829"/>
      <c r="M909" s="829"/>
      <c r="N909" s="829"/>
      <c r="O909" s="829"/>
      <c r="P909" s="829"/>
      <c r="Q909" s="829"/>
      <c r="R909" s="829"/>
      <c r="S909" s="829"/>
      <c r="T909" s="829"/>
      <c r="U909" s="829"/>
      <c r="V909" s="829"/>
      <c r="W909" s="829"/>
      <c r="X909" s="829"/>
      <c r="Y909" s="829"/>
      <c r="Z909" s="829"/>
    </row>
    <row r="910">
      <c r="A910" s="829"/>
      <c r="B910" s="829"/>
      <c r="C910" s="829"/>
      <c r="D910" s="829"/>
      <c r="E910" s="829"/>
      <c r="F910" s="829"/>
      <c r="G910" s="829"/>
      <c r="H910" s="829"/>
      <c r="I910" s="829"/>
      <c r="J910" s="829"/>
      <c r="K910" s="829"/>
      <c r="L910" s="829"/>
      <c r="M910" s="829"/>
      <c r="N910" s="829"/>
      <c r="O910" s="829"/>
      <c r="P910" s="829"/>
      <c r="Q910" s="829"/>
      <c r="R910" s="829"/>
      <c r="S910" s="829"/>
      <c r="T910" s="829"/>
      <c r="U910" s="829"/>
      <c r="V910" s="829"/>
      <c r="W910" s="829"/>
      <c r="X910" s="829"/>
      <c r="Y910" s="829"/>
      <c r="Z910" s="829"/>
    </row>
    <row r="911">
      <c r="A911" s="829"/>
      <c r="B911" s="829"/>
      <c r="C911" s="829"/>
      <c r="D911" s="829"/>
      <c r="E911" s="829"/>
      <c r="F911" s="829"/>
      <c r="G911" s="829"/>
      <c r="H911" s="829"/>
      <c r="I911" s="829"/>
      <c r="J911" s="829"/>
      <c r="K911" s="829"/>
      <c r="L911" s="829"/>
      <c r="M911" s="829"/>
      <c r="N911" s="829"/>
      <c r="O911" s="829"/>
      <c r="P911" s="829"/>
      <c r="Q911" s="829"/>
      <c r="R911" s="829"/>
      <c r="S911" s="829"/>
      <c r="T911" s="829"/>
      <c r="U911" s="829"/>
      <c r="V911" s="829"/>
      <c r="W911" s="829"/>
      <c r="X911" s="829"/>
      <c r="Y911" s="829"/>
      <c r="Z911" s="829"/>
    </row>
    <row r="912">
      <c r="A912" s="829"/>
      <c r="B912" s="829"/>
      <c r="C912" s="829"/>
      <c r="D912" s="829"/>
      <c r="E912" s="829"/>
      <c r="F912" s="829"/>
      <c r="G912" s="829"/>
      <c r="H912" s="829"/>
      <c r="I912" s="829"/>
      <c r="J912" s="829"/>
      <c r="K912" s="829"/>
      <c r="L912" s="829"/>
      <c r="M912" s="829"/>
      <c r="N912" s="829"/>
      <c r="O912" s="829"/>
      <c r="P912" s="829"/>
      <c r="Q912" s="829"/>
      <c r="R912" s="829"/>
      <c r="S912" s="829"/>
      <c r="T912" s="829"/>
      <c r="U912" s="829"/>
      <c r="V912" s="829"/>
      <c r="W912" s="829"/>
      <c r="X912" s="829"/>
      <c r="Y912" s="829"/>
      <c r="Z912" s="829"/>
    </row>
    <row r="913">
      <c r="A913" s="829"/>
      <c r="B913" s="829"/>
      <c r="C913" s="829"/>
      <c r="D913" s="829"/>
      <c r="E913" s="829"/>
      <c r="F913" s="829"/>
      <c r="G913" s="829"/>
      <c r="H913" s="829"/>
      <c r="I913" s="829"/>
      <c r="J913" s="829"/>
      <c r="K913" s="829"/>
      <c r="L913" s="829"/>
      <c r="M913" s="829"/>
      <c r="N913" s="829"/>
      <c r="O913" s="829"/>
      <c r="P913" s="829"/>
      <c r="Q913" s="829"/>
      <c r="R913" s="829"/>
      <c r="S913" s="829"/>
      <c r="T913" s="829"/>
      <c r="U913" s="829"/>
      <c r="V913" s="829"/>
      <c r="W913" s="829"/>
      <c r="X913" s="829"/>
      <c r="Y913" s="829"/>
      <c r="Z913" s="829"/>
    </row>
    <row r="914">
      <c r="A914" s="829"/>
      <c r="B914" s="829"/>
      <c r="C914" s="829"/>
      <c r="D914" s="829"/>
      <c r="E914" s="829"/>
      <c r="F914" s="829"/>
      <c r="G914" s="829"/>
      <c r="H914" s="829"/>
      <c r="I914" s="829"/>
      <c r="J914" s="829"/>
      <c r="K914" s="829"/>
      <c r="L914" s="829"/>
      <c r="M914" s="829"/>
      <c r="N914" s="829"/>
      <c r="O914" s="829"/>
      <c r="P914" s="829"/>
      <c r="Q914" s="829"/>
      <c r="R914" s="829"/>
      <c r="S914" s="829"/>
      <c r="T914" s="829"/>
      <c r="U914" s="829"/>
      <c r="V914" s="829"/>
      <c r="W914" s="829"/>
      <c r="X914" s="829"/>
      <c r="Y914" s="829"/>
      <c r="Z914" s="829"/>
    </row>
    <row r="915">
      <c r="A915" s="829"/>
      <c r="B915" s="829"/>
      <c r="C915" s="829"/>
      <c r="D915" s="829"/>
      <c r="E915" s="829"/>
      <c r="F915" s="829"/>
      <c r="G915" s="829"/>
      <c r="H915" s="829"/>
      <c r="I915" s="829"/>
      <c r="J915" s="829"/>
      <c r="K915" s="829"/>
      <c r="L915" s="829"/>
      <c r="M915" s="829"/>
      <c r="N915" s="829"/>
      <c r="O915" s="829"/>
      <c r="P915" s="829"/>
      <c r="Q915" s="829"/>
      <c r="R915" s="829"/>
      <c r="S915" s="829"/>
      <c r="T915" s="829"/>
      <c r="U915" s="829"/>
      <c r="V915" s="829"/>
      <c r="W915" s="829"/>
      <c r="X915" s="829"/>
      <c r="Y915" s="829"/>
      <c r="Z915" s="829"/>
    </row>
    <row r="916">
      <c r="A916" s="829"/>
      <c r="B916" s="829"/>
      <c r="C916" s="829"/>
      <c r="D916" s="829"/>
      <c r="E916" s="829"/>
      <c r="F916" s="829"/>
      <c r="G916" s="829"/>
      <c r="H916" s="829"/>
      <c r="I916" s="829"/>
      <c r="J916" s="829"/>
      <c r="K916" s="829"/>
      <c r="L916" s="829"/>
      <c r="M916" s="829"/>
      <c r="N916" s="829"/>
      <c r="O916" s="829"/>
      <c r="P916" s="829"/>
      <c r="Q916" s="829"/>
      <c r="R916" s="829"/>
      <c r="S916" s="829"/>
      <c r="T916" s="829"/>
      <c r="U916" s="829"/>
      <c r="V916" s="829"/>
      <c r="W916" s="829"/>
      <c r="X916" s="829"/>
      <c r="Y916" s="829"/>
      <c r="Z916" s="829"/>
    </row>
    <row r="917">
      <c r="A917" s="829"/>
      <c r="B917" s="829"/>
      <c r="C917" s="829"/>
      <c r="D917" s="829"/>
      <c r="E917" s="829"/>
      <c r="F917" s="829"/>
      <c r="G917" s="829"/>
      <c r="H917" s="829"/>
      <c r="I917" s="829"/>
      <c r="J917" s="829"/>
      <c r="K917" s="829"/>
      <c r="L917" s="829"/>
      <c r="M917" s="829"/>
      <c r="N917" s="829"/>
      <c r="O917" s="829"/>
      <c r="P917" s="829"/>
      <c r="Q917" s="829"/>
      <c r="R917" s="829"/>
      <c r="S917" s="829"/>
      <c r="T917" s="829"/>
      <c r="U917" s="829"/>
      <c r="V917" s="829"/>
      <c r="W917" s="829"/>
      <c r="X917" s="829"/>
      <c r="Y917" s="829"/>
      <c r="Z917" s="829"/>
    </row>
    <row r="918">
      <c r="A918" s="829"/>
      <c r="B918" s="829"/>
      <c r="C918" s="829"/>
      <c r="D918" s="829"/>
      <c r="E918" s="829"/>
      <c r="F918" s="829"/>
      <c r="G918" s="829"/>
      <c r="H918" s="829"/>
      <c r="I918" s="829"/>
      <c r="J918" s="829"/>
      <c r="K918" s="829"/>
      <c r="L918" s="829"/>
      <c r="M918" s="829"/>
      <c r="N918" s="829"/>
      <c r="O918" s="829"/>
      <c r="P918" s="829"/>
      <c r="Q918" s="829"/>
      <c r="R918" s="829"/>
      <c r="S918" s="829"/>
      <c r="T918" s="829"/>
      <c r="U918" s="829"/>
      <c r="V918" s="829"/>
      <c r="W918" s="829"/>
      <c r="X918" s="829"/>
      <c r="Y918" s="829"/>
      <c r="Z918" s="829"/>
    </row>
    <row r="919">
      <c r="A919" s="829"/>
      <c r="B919" s="829"/>
      <c r="C919" s="829"/>
      <c r="D919" s="829"/>
      <c r="E919" s="829"/>
      <c r="F919" s="829"/>
      <c r="G919" s="829"/>
      <c r="H919" s="829"/>
      <c r="I919" s="829"/>
      <c r="J919" s="829"/>
      <c r="K919" s="829"/>
      <c r="L919" s="829"/>
      <c r="M919" s="829"/>
      <c r="N919" s="829"/>
      <c r="O919" s="829"/>
      <c r="P919" s="829"/>
      <c r="Q919" s="829"/>
      <c r="R919" s="829"/>
      <c r="S919" s="829"/>
      <c r="T919" s="829"/>
      <c r="U919" s="829"/>
      <c r="V919" s="829"/>
      <c r="W919" s="829"/>
      <c r="X919" s="829"/>
      <c r="Y919" s="829"/>
      <c r="Z919" s="829"/>
    </row>
    <row r="920">
      <c r="A920" s="829"/>
      <c r="B920" s="829"/>
      <c r="C920" s="829"/>
      <c r="D920" s="829"/>
      <c r="E920" s="829"/>
      <c r="F920" s="829"/>
      <c r="G920" s="829"/>
      <c r="H920" s="829"/>
      <c r="I920" s="829"/>
      <c r="J920" s="829"/>
      <c r="K920" s="829"/>
      <c r="L920" s="829"/>
      <c r="M920" s="829"/>
      <c r="N920" s="829"/>
      <c r="O920" s="829"/>
      <c r="P920" s="829"/>
      <c r="Q920" s="829"/>
      <c r="R920" s="829"/>
      <c r="S920" s="829"/>
      <c r="T920" s="829"/>
      <c r="U920" s="829"/>
      <c r="V920" s="829"/>
      <c r="W920" s="829"/>
      <c r="X920" s="829"/>
      <c r="Y920" s="829"/>
      <c r="Z920" s="829"/>
    </row>
    <row r="921">
      <c r="A921" s="829"/>
      <c r="B921" s="829"/>
      <c r="C921" s="829"/>
      <c r="D921" s="829"/>
      <c r="E921" s="829"/>
      <c r="F921" s="829"/>
      <c r="G921" s="829"/>
      <c r="H921" s="829"/>
      <c r="I921" s="829"/>
      <c r="J921" s="829"/>
      <c r="K921" s="829"/>
      <c r="L921" s="829"/>
      <c r="M921" s="829"/>
      <c r="N921" s="829"/>
      <c r="O921" s="829"/>
      <c r="P921" s="829"/>
      <c r="Q921" s="829"/>
      <c r="R921" s="829"/>
      <c r="S921" s="829"/>
      <c r="T921" s="829"/>
      <c r="U921" s="829"/>
      <c r="V921" s="829"/>
      <c r="W921" s="829"/>
      <c r="X921" s="829"/>
      <c r="Y921" s="829"/>
      <c r="Z921" s="829"/>
    </row>
    <row r="922">
      <c r="A922" s="829"/>
      <c r="B922" s="829"/>
      <c r="C922" s="829"/>
      <c r="D922" s="829"/>
      <c r="E922" s="829"/>
      <c r="F922" s="829"/>
      <c r="G922" s="829"/>
      <c r="H922" s="829"/>
      <c r="I922" s="829"/>
      <c r="J922" s="829"/>
      <c r="K922" s="829"/>
      <c r="L922" s="829"/>
      <c r="M922" s="829"/>
      <c r="N922" s="829"/>
      <c r="O922" s="829"/>
      <c r="P922" s="829"/>
      <c r="Q922" s="829"/>
      <c r="R922" s="829"/>
      <c r="S922" s="829"/>
      <c r="T922" s="829"/>
      <c r="U922" s="829"/>
      <c r="V922" s="829"/>
      <c r="W922" s="829"/>
      <c r="X922" s="829"/>
      <c r="Y922" s="829"/>
      <c r="Z922" s="829"/>
    </row>
    <row r="923">
      <c r="A923" s="829"/>
      <c r="B923" s="829"/>
      <c r="C923" s="829"/>
      <c r="D923" s="829"/>
      <c r="E923" s="829"/>
      <c r="F923" s="829"/>
      <c r="G923" s="829"/>
      <c r="H923" s="829"/>
      <c r="I923" s="829"/>
      <c r="J923" s="829"/>
      <c r="K923" s="829"/>
      <c r="L923" s="829"/>
      <c r="M923" s="829"/>
      <c r="N923" s="829"/>
      <c r="O923" s="829"/>
      <c r="P923" s="829"/>
      <c r="Q923" s="829"/>
      <c r="R923" s="829"/>
      <c r="S923" s="829"/>
      <c r="T923" s="829"/>
      <c r="U923" s="829"/>
      <c r="V923" s="829"/>
      <c r="W923" s="829"/>
      <c r="X923" s="829"/>
      <c r="Y923" s="829"/>
      <c r="Z923" s="829"/>
    </row>
    <row r="924">
      <c r="A924" s="829"/>
      <c r="B924" s="829"/>
      <c r="C924" s="829"/>
      <c r="D924" s="829"/>
      <c r="E924" s="829"/>
      <c r="F924" s="829"/>
      <c r="G924" s="829"/>
      <c r="H924" s="829"/>
      <c r="I924" s="829"/>
      <c r="J924" s="829"/>
      <c r="K924" s="829"/>
      <c r="L924" s="829"/>
      <c r="M924" s="829"/>
      <c r="N924" s="829"/>
      <c r="O924" s="829"/>
      <c r="P924" s="829"/>
      <c r="Q924" s="829"/>
      <c r="R924" s="829"/>
      <c r="S924" s="829"/>
      <c r="T924" s="829"/>
      <c r="U924" s="829"/>
      <c r="V924" s="829"/>
      <c r="W924" s="829"/>
      <c r="X924" s="829"/>
      <c r="Y924" s="829"/>
      <c r="Z924" s="829"/>
    </row>
    <row r="925">
      <c r="A925" s="829"/>
      <c r="B925" s="829"/>
      <c r="C925" s="829"/>
      <c r="D925" s="829"/>
      <c r="E925" s="829"/>
      <c r="F925" s="829"/>
      <c r="G925" s="829"/>
      <c r="H925" s="829"/>
      <c r="I925" s="829"/>
      <c r="J925" s="829"/>
      <c r="K925" s="829"/>
      <c r="L925" s="829"/>
      <c r="M925" s="829"/>
      <c r="N925" s="829"/>
      <c r="O925" s="829"/>
      <c r="P925" s="829"/>
      <c r="Q925" s="829"/>
      <c r="R925" s="829"/>
      <c r="S925" s="829"/>
      <c r="T925" s="829"/>
      <c r="U925" s="829"/>
      <c r="V925" s="829"/>
      <c r="W925" s="829"/>
      <c r="X925" s="829"/>
      <c r="Y925" s="829"/>
      <c r="Z925" s="829"/>
    </row>
    <row r="926">
      <c r="A926" s="829"/>
      <c r="B926" s="829"/>
      <c r="C926" s="829"/>
      <c r="D926" s="829"/>
      <c r="E926" s="829"/>
      <c r="F926" s="829"/>
      <c r="G926" s="829"/>
      <c r="H926" s="829"/>
      <c r="I926" s="829"/>
      <c r="J926" s="829"/>
      <c r="K926" s="829"/>
      <c r="L926" s="829"/>
      <c r="M926" s="829"/>
      <c r="N926" s="829"/>
      <c r="O926" s="829"/>
      <c r="P926" s="829"/>
      <c r="Q926" s="829"/>
      <c r="R926" s="829"/>
      <c r="S926" s="829"/>
      <c r="T926" s="829"/>
      <c r="U926" s="829"/>
      <c r="V926" s="829"/>
      <c r="W926" s="829"/>
      <c r="X926" s="829"/>
      <c r="Y926" s="829"/>
      <c r="Z926" s="829"/>
    </row>
    <row r="927">
      <c r="A927" s="829"/>
      <c r="B927" s="829"/>
      <c r="C927" s="829"/>
      <c r="D927" s="829"/>
      <c r="E927" s="829"/>
      <c r="F927" s="829"/>
      <c r="G927" s="829"/>
      <c r="H927" s="829"/>
      <c r="I927" s="829"/>
      <c r="J927" s="829"/>
      <c r="K927" s="829"/>
      <c r="L927" s="829"/>
      <c r="M927" s="829"/>
      <c r="N927" s="829"/>
      <c r="O927" s="829"/>
      <c r="P927" s="829"/>
      <c r="Q927" s="829"/>
      <c r="R927" s="829"/>
      <c r="S927" s="829"/>
      <c r="T927" s="829"/>
      <c r="U927" s="829"/>
      <c r="V927" s="829"/>
      <c r="W927" s="829"/>
      <c r="X927" s="829"/>
      <c r="Y927" s="829"/>
      <c r="Z927" s="829"/>
    </row>
    <row r="928">
      <c r="A928" s="829"/>
      <c r="B928" s="829"/>
      <c r="C928" s="829"/>
      <c r="D928" s="829"/>
      <c r="E928" s="829"/>
      <c r="F928" s="829"/>
      <c r="G928" s="829"/>
      <c r="H928" s="829"/>
      <c r="I928" s="829"/>
      <c r="J928" s="829"/>
      <c r="K928" s="829"/>
      <c r="L928" s="829"/>
      <c r="M928" s="829"/>
      <c r="N928" s="829"/>
      <c r="O928" s="829"/>
      <c r="P928" s="829"/>
      <c r="Q928" s="829"/>
      <c r="R928" s="829"/>
      <c r="S928" s="829"/>
      <c r="T928" s="829"/>
      <c r="U928" s="829"/>
      <c r="V928" s="829"/>
      <c r="W928" s="829"/>
      <c r="X928" s="829"/>
      <c r="Y928" s="829"/>
      <c r="Z928" s="829"/>
    </row>
    <row r="929">
      <c r="A929" s="829"/>
      <c r="B929" s="829"/>
      <c r="C929" s="829"/>
      <c r="D929" s="829"/>
      <c r="E929" s="829"/>
      <c r="F929" s="829"/>
      <c r="G929" s="829"/>
      <c r="H929" s="829"/>
      <c r="I929" s="829"/>
      <c r="J929" s="829"/>
      <c r="K929" s="829"/>
      <c r="L929" s="829"/>
      <c r="M929" s="829"/>
      <c r="N929" s="829"/>
      <c r="O929" s="829"/>
      <c r="P929" s="829"/>
      <c r="Q929" s="829"/>
      <c r="R929" s="829"/>
      <c r="S929" s="829"/>
      <c r="T929" s="829"/>
      <c r="U929" s="829"/>
      <c r="V929" s="829"/>
      <c r="W929" s="829"/>
      <c r="X929" s="829"/>
      <c r="Y929" s="829"/>
      <c r="Z929" s="829"/>
    </row>
    <row r="930">
      <c r="A930" s="829"/>
      <c r="B930" s="829"/>
      <c r="C930" s="829"/>
      <c r="D930" s="829"/>
      <c r="E930" s="829"/>
      <c r="F930" s="829"/>
      <c r="G930" s="829"/>
      <c r="H930" s="829"/>
      <c r="I930" s="829"/>
      <c r="J930" s="829"/>
      <c r="K930" s="829"/>
      <c r="L930" s="829"/>
      <c r="M930" s="829"/>
      <c r="N930" s="829"/>
      <c r="O930" s="829"/>
      <c r="P930" s="829"/>
      <c r="Q930" s="829"/>
      <c r="R930" s="829"/>
      <c r="S930" s="829"/>
      <c r="T930" s="829"/>
      <c r="U930" s="829"/>
      <c r="V930" s="829"/>
      <c r="W930" s="829"/>
      <c r="X930" s="829"/>
      <c r="Y930" s="829"/>
      <c r="Z930" s="829"/>
    </row>
    <row r="931">
      <c r="A931" s="829"/>
      <c r="B931" s="829"/>
      <c r="C931" s="829"/>
      <c r="D931" s="829"/>
      <c r="E931" s="829"/>
      <c r="F931" s="829"/>
      <c r="G931" s="829"/>
      <c r="H931" s="829"/>
      <c r="I931" s="829"/>
      <c r="J931" s="829"/>
      <c r="K931" s="829"/>
      <c r="L931" s="829"/>
      <c r="M931" s="829"/>
      <c r="N931" s="829"/>
      <c r="O931" s="829"/>
      <c r="P931" s="829"/>
      <c r="Q931" s="829"/>
      <c r="R931" s="829"/>
      <c r="S931" s="829"/>
      <c r="T931" s="829"/>
      <c r="U931" s="829"/>
      <c r="V931" s="829"/>
      <c r="W931" s="829"/>
      <c r="X931" s="829"/>
      <c r="Y931" s="829"/>
      <c r="Z931" s="829"/>
    </row>
    <row r="932">
      <c r="A932" s="829"/>
      <c r="B932" s="829"/>
      <c r="C932" s="829"/>
      <c r="D932" s="829"/>
      <c r="E932" s="829"/>
      <c r="F932" s="829"/>
      <c r="G932" s="829"/>
      <c r="H932" s="829"/>
      <c r="I932" s="829"/>
      <c r="J932" s="829"/>
      <c r="K932" s="829"/>
      <c r="L932" s="829"/>
      <c r="M932" s="829"/>
      <c r="N932" s="829"/>
      <c r="O932" s="829"/>
      <c r="P932" s="829"/>
      <c r="Q932" s="829"/>
      <c r="R932" s="829"/>
      <c r="S932" s="829"/>
      <c r="T932" s="829"/>
      <c r="U932" s="829"/>
      <c r="V932" s="829"/>
      <c r="W932" s="829"/>
      <c r="X932" s="829"/>
      <c r="Y932" s="829"/>
      <c r="Z932" s="829"/>
    </row>
    <row r="933">
      <c r="A933" s="829"/>
      <c r="B933" s="829"/>
      <c r="C933" s="829"/>
      <c r="D933" s="829"/>
      <c r="E933" s="829"/>
      <c r="F933" s="829"/>
      <c r="G933" s="829"/>
      <c r="H933" s="829"/>
      <c r="I933" s="829"/>
      <c r="J933" s="829"/>
      <c r="K933" s="829"/>
      <c r="L933" s="829"/>
      <c r="M933" s="829"/>
      <c r="N933" s="829"/>
      <c r="O933" s="829"/>
      <c r="P933" s="829"/>
      <c r="Q933" s="829"/>
      <c r="R933" s="829"/>
      <c r="S933" s="829"/>
      <c r="T933" s="829"/>
      <c r="U933" s="829"/>
      <c r="V933" s="829"/>
      <c r="W933" s="829"/>
      <c r="X933" s="829"/>
      <c r="Y933" s="829"/>
      <c r="Z933" s="829"/>
    </row>
    <row r="934">
      <c r="A934" s="829"/>
      <c r="B934" s="829"/>
      <c r="C934" s="829"/>
      <c r="D934" s="829"/>
      <c r="E934" s="829"/>
      <c r="F934" s="829"/>
      <c r="G934" s="829"/>
      <c r="H934" s="829"/>
      <c r="I934" s="829"/>
      <c r="J934" s="829"/>
      <c r="K934" s="829"/>
      <c r="L934" s="829"/>
      <c r="M934" s="829"/>
      <c r="N934" s="829"/>
      <c r="O934" s="829"/>
      <c r="P934" s="829"/>
      <c r="Q934" s="829"/>
      <c r="R934" s="829"/>
      <c r="S934" s="829"/>
      <c r="T934" s="829"/>
      <c r="U934" s="829"/>
      <c r="V934" s="829"/>
      <c r="W934" s="829"/>
      <c r="X934" s="829"/>
      <c r="Y934" s="829"/>
      <c r="Z934" s="829"/>
    </row>
    <row r="935">
      <c r="A935" s="829"/>
      <c r="B935" s="829"/>
      <c r="C935" s="829"/>
      <c r="D935" s="829"/>
      <c r="E935" s="829"/>
      <c r="F935" s="829"/>
      <c r="G935" s="829"/>
      <c r="H935" s="829"/>
      <c r="I935" s="829"/>
      <c r="J935" s="829"/>
      <c r="K935" s="829"/>
      <c r="L935" s="829"/>
      <c r="M935" s="829"/>
      <c r="N935" s="829"/>
      <c r="O935" s="829"/>
      <c r="P935" s="829"/>
      <c r="Q935" s="829"/>
      <c r="R935" s="829"/>
      <c r="S935" s="829"/>
      <c r="T935" s="829"/>
      <c r="U935" s="829"/>
      <c r="V935" s="829"/>
      <c r="W935" s="829"/>
      <c r="X935" s="829"/>
      <c r="Y935" s="829"/>
      <c r="Z935" s="829"/>
    </row>
    <row r="936">
      <c r="A936" s="829"/>
      <c r="B936" s="829"/>
      <c r="C936" s="829"/>
      <c r="D936" s="829"/>
      <c r="E936" s="829"/>
      <c r="F936" s="829"/>
      <c r="G936" s="829"/>
      <c r="H936" s="829"/>
      <c r="I936" s="829"/>
      <c r="J936" s="829"/>
      <c r="K936" s="829"/>
      <c r="L936" s="829"/>
      <c r="M936" s="829"/>
      <c r="N936" s="829"/>
      <c r="O936" s="829"/>
      <c r="P936" s="829"/>
      <c r="Q936" s="829"/>
      <c r="R936" s="829"/>
      <c r="S936" s="829"/>
      <c r="T936" s="829"/>
      <c r="U936" s="829"/>
      <c r="V936" s="829"/>
      <c r="W936" s="829"/>
      <c r="X936" s="829"/>
      <c r="Y936" s="829"/>
      <c r="Z936" s="829"/>
    </row>
    <row r="937">
      <c r="A937" s="829"/>
      <c r="B937" s="829"/>
      <c r="C937" s="829"/>
      <c r="D937" s="829"/>
      <c r="E937" s="829"/>
      <c r="F937" s="829"/>
      <c r="G937" s="829"/>
      <c r="H937" s="829"/>
      <c r="I937" s="829"/>
      <c r="J937" s="829"/>
      <c r="K937" s="829"/>
      <c r="L937" s="829"/>
      <c r="M937" s="829"/>
      <c r="N937" s="829"/>
      <c r="O937" s="829"/>
      <c r="P937" s="829"/>
      <c r="Q937" s="829"/>
      <c r="R937" s="829"/>
      <c r="S937" s="829"/>
      <c r="T937" s="829"/>
      <c r="U937" s="829"/>
      <c r="V937" s="829"/>
      <c r="W937" s="829"/>
      <c r="X937" s="829"/>
      <c r="Y937" s="829"/>
      <c r="Z937" s="829"/>
    </row>
    <row r="938">
      <c r="A938" s="829"/>
      <c r="B938" s="829"/>
      <c r="C938" s="829"/>
      <c r="D938" s="829"/>
      <c r="E938" s="829"/>
      <c r="F938" s="829"/>
      <c r="G938" s="829"/>
      <c r="H938" s="829"/>
      <c r="I938" s="829"/>
      <c r="J938" s="829"/>
      <c r="K938" s="829"/>
      <c r="L938" s="829"/>
      <c r="M938" s="829"/>
      <c r="N938" s="829"/>
      <c r="O938" s="829"/>
      <c r="P938" s="829"/>
      <c r="Q938" s="829"/>
      <c r="R938" s="829"/>
      <c r="S938" s="829"/>
      <c r="T938" s="829"/>
      <c r="U938" s="829"/>
      <c r="V938" s="829"/>
      <c r="W938" s="829"/>
      <c r="X938" s="829"/>
      <c r="Y938" s="829"/>
      <c r="Z938" s="829"/>
    </row>
    <row r="939">
      <c r="A939" s="829"/>
      <c r="B939" s="829"/>
      <c r="C939" s="829"/>
      <c r="D939" s="829"/>
      <c r="E939" s="829"/>
      <c r="F939" s="829"/>
      <c r="G939" s="829"/>
      <c r="H939" s="829"/>
      <c r="I939" s="829"/>
      <c r="J939" s="829"/>
      <c r="K939" s="829"/>
      <c r="L939" s="829"/>
      <c r="M939" s="829"/>
      <c r="N939" s="829"/>
      <c r="O939" s="829"/>
      <c r="P939" s="829"/>
      <c r="Q939" s="829"/>
      <c r="R939" s="829"/>
      <c r="S939" s="829"/>
      <c r="T939" s="829"/>
      <c r="U939" s="829"/>
      <c r="V939" s="829"/>
      <c r="W939" s="829"/>
      <c r="X939" s="829"/>
      <c r="Y939" s="829"/>
      <c r="Z939" s="829"/>
    </row>
    <row r="940">
      <c r="A940" s="829"/>
      <c r="B940" s="829"/>
      <c r="C940" s="829"/>
      <c r="D940" s="829"/>
      <c r="E940" s="829"/>
      <c r="F940" s="829"/>
      <c r="G940" s="829"/>
      <c r="H940" s="829"/>
      <c r="I940" s="829"/>
      <c r="J940" s="829"/>
      <c r="K940" s="829"/>
      <c r="L940" s="829"/>
      <c r="M940" s="829"/>
      <c r="N940" s="829"/>
      <c r="O940" s="829"/>
      <c r="P940" s="829"/>
      <c r="Q940" s="829"/>
      <c r="R940" s="829"/>
      <c r="S940" s="829"/>
      <c r="T940" s="829"/>
      <c r="U940" s="829"/>
      <c r="V940" s="829"/>
      <c r="W940" s="829"/>
      <c r="X940" s="829"/>
      <c r="Y940" s="829"/>
      <c r="Z940" s="829"/>
    </row>
    <row r="941">
      <c r="A941" s="829"/>
      <c r="B941" s="829"/>
      <c r="C941" s="829"/>
      <c r="D941" s="829"/>
      <c r="E941" s="829"/>
      <c r="F941" s="829"/>
      <c r="G941" s="829"/>
      <c r="H941" s="829"/>
      <c r="I941" s="829"/>
      <c r="J941" s="829"/>
      <c r="K941" s="829"/>
      <c r="L941" s="829"/>
      <c r="M941" s="829"/>
      <c r="N941" s="829"/>
      <c r="O941" s="829"/>
      <c r="P941" s="829"/>
      <c r="Q941" s="829"/>
      <c r="R941" s="829"/>
      <c r="S941" s="829"/>
      <c r="T941" s="829"/>
      <c r="U941" s="829"/>
      <c r="V941" s="829"/>
      <c r="W941" s="829"/>
      <c r="X941" s="829"/>
      <c r="Y941" s="829"/>
      <c r="Z941" s="829"/>
    </row>
    <row r="942">
      <c r="A942" s="829"/>
      <c r="B942" s="829"/>
      <c r="C942" s="829"/>
      <c r="D942" s="829"/>
      <c r="E942" s="829"/>
      <c r="F942" s="829"/>
      <c r="G942" s="829"/>
      <c r="H942" s="829"/>
      <c r="I942" s="829"/>
      <c r="J942" s="829"/>
      <c r="K942" s="829"/>
      <c r="L942" s="829"/>
      <c r="M942" s="829"/>
      <c r="N942" s="829"/>
      <c r="O942" s="829"/>
      <c r="P942" s="829"/>
      <c r="Q942" s="829"/>
      <c r="R942" s="829"/>
      <c r="S942" s="829"/>
      <c r="T942" s="829"/>
      <c r="U942" s="829"/>
      <c r="V942" s="829"/>
      <c r="W942" s="829"/>
      <c r="X942" s="829"/>
      <c r="Y942" s="829"/>
      <c r="Z942" s="829"/>
    </row>
    <row r="943">
      <c r="A943" s="829"/>
      <c r="B943" s="829"/>
      <c r="C943" s="829"/>
      <c r="D943" s="829"/>
      <c r="E943" s="829"/>
      <c r="F943" s="829"/>
      <c r="G943" s="829"/>
      <c r="H943" s="829"/>
      <c r="I943" s="829"/>
      <c r="J943" s="829"/>
      <c r="K943" s="829"/>
      <c r="L943" s="829"/>
      <c r="M943" s="829"/>
      <c r="N943" s="829"/>
      <c r="O943" s="829"/>
      <c r="P943" s="829"/>
      <c r="Q943" s="829"/>
      <c r="R943" s="829"/>
      <c r="S943" s="829"/>
      <c r="T943" s="829"/>
      <c r="U943" s="829"/>
      <c r="V943" s="829"/>
      <c r="W943" s="829"/>
      <c r="X943" s="829"/>
      <c r="Y943" s="829"/>
      <c r="Z943" s="829"/>
    </row>
    <row r="944">
      <c r="A944" s="829"/>
      <c r="B944" s="829"/>
      <c r="C944" s="829"/>
      <c r="D944" s="829"/>
      <c r="E944" s="829"/>
      <c r="F944" s="829"/>
      <c r="G944" s="829"/>
      <c r="H944" s="829"/>
      <c r="I944" s="829"/>
      <c r="J944" s="829"/>
      <c r="K944" s="829"/>
      <c r="L944" s="829"/>
      <c r="M944" s="829"/>
      <c r="N944" s="829"/>
      <c r="O944" s="829"/>
      <c r="P944" s="829"/>
      <c r="Q944" s="829"/>
      <c r="R944" s="829"/>
      <c r="S944" s="829"/>
      <c r="T944" s="829"/>
      <c r="U944" s="829"/>
      <c r="V944" s="829"/>
      <c r="W944" s="829"/>
      <c r="X944" s="829"/>
      <c r="Y944" s="829"/>
      <c r="Z944" s="829"/>
    </row>
    <row r="945">
      <c r="A945" s="829"/>
      <c r="B945" s="829"/>
      <c r="C945" s="829"/>
      <c r="D945" s="829"/>
      <c r="E945" s="829"/>
      <c r="F945" s="829"/>
      <c r="G945" s="829"/>
      <c r="H945" s="829"/>
      <c r="I945" s="829"/>
      <c r="J945" s="829"/>
      <c r="K945" s="829"/>
      <c r="L945" s="829"/>
      <c r="M945" s="829"/>
      <c r="N945" s="829"/>
      <c r="O945" s="829"/>
      <c r="P945" s="829"/>
      <c r="Q945" s="829"/>
      <c r="R945" s="829"/>
      <c r="S945" s="829"/>
      <c r="T945" s="829"/>
      <c r="U945" s="829"/>
      <c r="V945" s="829"/>
      <c r="W945" s="829"/>
      <c r="X945" s="829"/>
      <c r="Y945" s="829"/>
      <c r="Z945" s="829"/>
    </row>
    <row r="946">
      <c r="A946" s="829"/>
      <c r="B946" s="829"/>
      <c r="C946" s="829"/>
      <c r="D946" s="829"/>
      <c r="E946" s="829"/>
      <c r="F946" s="829"/>
      <c r="G946" s="829"/>
      <c r="H946" s="829"/>
      <c r="I946" s="829"/>
      <c r="J946" s="829"/>
      <c r="K946" s="829"/>
      <c r="L946" s="829"/>
      <c r="M946" s="829"/>
      <c r="N946" s="829"/>
      <c r="O946" s="829"/>
      <c r="P946" s="829"/>
      <c r="Q946" s="829"/>
      <c r="R946" s="829"/>
      <c r="S946" s="829"/>
      <c r="T946" s="829"/>
      <c r="U946" s="829"/>
      <c r="V946" s="829"/>
      <c r="W946" s="829"/>
      <c r="X946" s="829"/>
      <c r="Y946" s="829"/>
      <c r="Z946" s="829"/>
    </row>
    <row r="947">
      <c r="A947" s="829"/>
      <c r="B947" s="829"/>
      <c r="C947" s="829"/>
      <c r="D947" s="829"/>
      <c r="E947" s="829"/>
      <c r="F947" s="829"/>
      <c r="G947" s="829"/>
      <c r="H947" s="829"/>
      <c r="I947" s="829"/>
      <c r="J947" s="829"/>
      <c r="K947" s="829"/>
      <c r="L947" s="829"/>
      <c r="M947" s="829"/>
      <c r="N947" s="829"/>
      <c r="O947" s="829"/>
      <c r="P947" s="829"/>
      <c r="Q947" s="829"/>
      <c r="R947" s="829"/>
      <c r="S947" s="829"/>
      <c r="T947" s="829"/>
      <c r="U947" s="829"/>
      <c r="V947" s="829"/>
      <c r="W947" s="829"/>
      <c r="X947" s="829"/>
      <c r="Y947" s="829"/>
      <c r="Z947" s="829"/>
    </row>
    <row r="948">
      <c r="A948" s="829"/>
      <c r="B948" s="829"/>
      <c r="C948" s="829"/>
      <c r="D948" s="829"/>
      <c r="E948" s="829"/>
      <c r="F948" s="829"/>
      <c r="G948" s="829"/>
      <c r="H948" s="829"/>
      <c r="I948" s="829"/>
      <c r="J948" s="829"/>
      <c r="K948" s="829"/>
      <c r="L948" s="829"/>
      <c r="M948" s="829"/>
      <c r="N948" s="829"/>
      <c r="O948" s="829"/>
      <c r="P948" s="829"/>
      <c r="Q948" s="829"/>
      <c r="R948" s="829"/>
      <c r="S948" s="829"/>
      <c r="T948" s="829"/>
      <c r="U948" s="829"/>
      <c r="V948" s="829"/>
      <c r="W948" s="829"/>
      <c r="X948" s="829"/>
      <c r="Y948" s="829"/>
      <c r="Z948" s="829"/>
    </row>
    <row r="949">
      <c r="A949" s="829"/>
      <c r="B949" s="829"/>
      <c r="C949" s="829"/>
      <c r="D949" s="829"/>
      <c r="E949" s="829"/>
      <c r="F949" s="829"/>
      <c r="G949" s="829"/>
      <c r="H949" s="829"/>
      <c r="I949" s="829"/>
      <c r="J949" s="829"/>
      <c r="K949" s="829"/>
      <c r="L949" s="829"/>
      <c r="M949" s="829"/>
      <c r="N949" s="829"/>
      <c r="O949" s="829"/>
      <c r="P949" s="829"/>
      <c r="Q949" s="829"/>
      <c r="R949" s="829"/>
      <c r="S949" s="829"/>
      <c r="T949" s="829"/>
      <c r="U949" s="829"/>
      <c r="V949" s="829"/>
      <c r="W949" s="829"/>
      <c r="X949" s="829"/>
      <c r="Y949" s="829"/>
      <c r="Z949" s="829"/>
    </row>
    <row r="950">
      <c r="A950" s="829"/>
      <c r="B950" s="829"/>
      <c r="C950" s="829"/>
      <c r="D950" s="829"/>
      <c r="E950" s="829"/>
      <c r="F950" s="829"/>
      <c r="G950" s="829"/>
      <c r="H950" s="829"/>
      <c r="I950" s="829"/>
      <c r="J950" s="829"/>
      <c r="K950" s="829"/>
      <c r="L950" s="829"/>
      <c r="M950" s="829"/>
      <c r="N950" s="829"/>
      <c r="O950" s="829"/>
      <c r="P950" s="829"/>
      <c r="Q950" s="829"/>
      <c r="R950" s="829"/>
      <c r="S950" s="829"/>
      <c r="T950" s="829"/>
      <c r="U950" s="829"/>
      <c r="V950" s="829"/>
      <c r="W950" s="829"/>
      <c r="X950" s="829"/>
      <c r="Y950" s="829"/>
      <c r="Z950" s="829"/>
    </row>
    <row r="951">
      <c r="A951" s="829"/>
      <c r="B951" s="829"/>
      <c r="C951" s="829"/>
      <c r="D951" s="829"/>
      <c r="E951" s="829"/>
      <c r="F951" s="829"/>
      <c r="G951" s="829"/>
      <c r="H951" s="829"/>
      <c r="I951" s="829"/>
      <c r="J951" s="829"/>
      <c r="K951" s="829"/>
      <c r="L951" s="829"/>
      <c r="M951" s="829"/>
      <c r="N951" s="829"/>
      <c r="O951" s="829"/>
      <c r="P951" s="829"/>
      <c r="Q951" s="829"/>
      <c r="R951" s="829"/>
      <c r="S951" s="829"/>
      <c r="T951" s="829"/>
      <c r="U951" s="829"/>
      <c r="V951" s="829"/>
      <c r="W951" s="829"/>
      <c r="X951" s="829"/>
      <c r="Y951" s="829"/>
      <c r="Z951" s="829"/>
    </row>
    <row r="952">
      <c r="A952" s="829"/>
      <c r="B952" s="829"/>
      <c r="C952" s="829"/>
      <c r="D952" s="829"/>
      <c r="E952" s="829"/>
      <c r="F952" s="829"/>
      <c r="G952" s="829"/>
      <c r="H952" s="829"/>
      <c r="I952" s="829"/>
      <c r="J952" s="829"/>
      <c r="K952" s="829"/>
      <c r="L952" s="829"/>
      <c r="M952" s="829"/>
      <c r="N952" s="829"/>
      <c r="O952" s="829"/>
      <c r="P952" s="829"/>
      <c r="Q952" s="829"/>
      <c r="R952" s="829"/>
      <c r="S952" s="829"/>
      <c r="T952" s="829"/>
      <c r="U952" s="829"/>
      <c r="V952" s="829"/>
      <c r="W952" s="829"/>
      <c r="X952" s="829"/>
      <c r="Y952" s="829"/>
      <c r="Z952" s="829"/>
    </row>
    <row r="953">
      <c r="A953" s="829"/>
      <c r="B953" s="829"/>
      <c r="C953" s="829"/>
      <c r="D953" s="829"/>
      <c r="E953" s="829"/>
      <c r="F953" s="829"/>
      <c r="G953" s="829"/>
      <c r="H953" s="829"/>
      <c r="I953" s="829"/>
      <c r="J953" s="829"/>
      <c r="K953" s="829"/>
      <c r="L953" s="829"/>
      <c r="M953" s="829"/>
      <c r="N953" s="829"/>
      <c r="O953" s="829"/>
      <c r="P953" s="829"/>
      <c r="Q953" s="829"/>
      <c r="R953" s="829"/>
      <c r="S953" s="829"/>
      <c r="T953" s="829"/>
      <c r="U953" s="829"/>
      <c r="V953" s="829"/>
      <c r="W953" s="829"/>
      <c r="X953" s="829"/>
      <c r="Y953" s="829"/>
      <c r="Z953" s="829"/>
    </row>
    <row r="954">
      <c r="A954" s="829"/>
      <c r="B954" s="829"/>
      <c r="C954" s="829"/>
      <c r="D954" s="829"/>
      <c r="E954" s="829"/>
      <c r="F954" s="829"/>
      <c r="G954" s="829"/>
      <c r="H954" s="829"/>
      <c r="I954" s="829"/>
      <c r="J954" s="829"/>
      <c r="K954" s="829"/>
      <c r="L954" s="829"/>
      <c r="M954" s="829"/>
      <c r="N954" s="829"/>
      <c r="O954" s="829"/>
      <c r="P954" s="829"/>
      <c r="Q954" s="829"/>
      <c r="R954" s="829"/>
      <c r="S954" s="829"/>
      <c r="T954" s="829"/>
      <c r="U954" s="829"/>
      <c r="V954" s="829"/>
      <c r="W954" s="829"/>
      <c r="X954" s="829"/>
      <c r="Y954" s="829"/>
      <c r="Z954" s="829"/>
    </row>
    <row r="955">
      <c r="A955" s="829"/>
      <c r="B955" s="829"/>
      <c r="C955" s="829"/>
      <c r="D955" s="829"/>
      <c r="E955" s="829"/>
      <c r="F955" s="829"/>
      <c r="G955" s="829"/>
      <c r="H955" s="829"/>
      <c r="I955" s="829"/>
      <c r="J955" s="829"/>
      <c r="K955" s="829"/>
      <c r="L955" s="829"/>
      <c r="M955" s="829"/>
      <c r="N955" s="829"/>
      <c r="O955" s="829"/>
      <c r="P955" s="829"/>
      <c r="Q955" s="829"/>
      <c r="R955" s="829"/>
      <c r="S955" s="829"/>
      <c r="T955" s="829"/>
      <c r="U955" s="829"/>
      <c r="V955" s="829"/>
      <c r="W955" s="829"/>
      <c r="X955" s="829"/>
      <c r="Y955" s="829"/>
      <c r="Z955" s="829"/>
    </row>
    <row r="956">
      <c r="A956" s="829"/>
      <c r="B956" s="829"/>
      <c r="C956" s="829"/>
      <c r="D956" s="829"/>
      <c r="E956" s="829"/>
      <c r="F956" s="829"/>
      <c r="G956" s="829"/>
      <c r="H956" s="829"/>
      <c r="I956" s="829"/>
      <c r="J956" s="829"/>
      <c r="K956" s="829"/>
      <c r="L956" s="829"/>
      <c r="M956" s="829"/>
      <c r="N956" s="829"/>
      <c r="O956" s="829"/>
      <c r="P956" s="829"/>
      <c r="Q956" s="829"/>
      <c r="R956" s="829"/>
      <c r="S956" s="829"/>
      <c r="T956" s="829"/>
      <c r="U956" s="829"/>
      <c r="V956" s="829"/>
      <c r="W956" s="829"/>
      <c r="X956" s="829"/>
      <c r="Y956" s="829"/>
      <c r="Z956" s="829"/>
    </row>
    <row r="957">
      <c r="A957" s="829"/>
      <c r="B957" s="829"/>
      <c r="C957" s="829"/>
      <c r="D957" s="829"/>
      <c r="E957" s="829"/>
      <c r="F957" s="829"/>
      <c r="G957" s="829"/>
      <c r="H957" s="829"/>
      <c r="I957" s="829"/>
      <c r="J957" s="829"/>
      <c r="K957" s="829"/>
      <c r="L957" s="829"/>
      <c r="M957" s="829"/>
      <c r="N957" s="829"/>
      <c r="O957" s="829"/>
      <c r="P957" s="829"/>
      <c r="Q957" s="829"/>
      <c r="R957" s="829"/>
      <c r="S957" s="829"/>
      <c r="T957" s="829"/>
      <c r="U957" s="829"/>
      <c r="V957" s="829"/>
      <c r="W957" s="829"/>
      <c r="X957" s="829"/>
      <c r="Y957" s="829"/>
      <c r="Z957" s="829"/>
    </row>
    <row r="958">
      <c r="A958" s="829"/>
      <c r="B958" s="829"/>
      <c r="C958" s="829"/>
      <c r="D958" s="829"/>
      <c r="E958" s="829"/>
      <c r="F958" s="829"/>
      <c r="G958" s="829"/>
      <c r="H958" s="829"/>
      <c r="I958" s="829"/>
      <c r="J958" s="829"/>
      <c r="K958" s="829"/>
      <c r="L958" s="829"/>
      <c r="M958" s="829"/>
      <c r="N958" s="829"/>
      <c r="O958" s="829"/>
      <c r="P958" s="829"/>
      <c r="Q958" s="829"/>
      <c r="R958" s="829"/>
      <c r="S958" s="829"/>
      <c r="T958" s="829"/>
      <c r="U958" s="829"/>
      <c r="V958" s="829"/>
      <c r="W958" s="829"/>
      <c r="X958" s="829"/>
      <c r="Y958" s="829"/>
      <c r="Z958" s="829"/>
    </row>
    <row r="959">
      <c r="A959" s="829"/>
      <c r="B959" s="829"/>
      <c r="C959" s="829"/>
      <c r="D959" s="829"/>
      <c r="E959" s="829"/>
      <c r="F959" s="829"/>
      <c r="G959" s="829"/>
      <c r="H959" s="829"/>
      <c r="I959" s="829"/>
      <c r="J959" s="829"/>
      <c r="K959" s="829"/>
      <c r="L959" s="829"/>
      <c r="M959" s="829"/>
      <c r="N959" s="829"/>
      <c r="O959" s="829"/>
      <c r="P959" s="829"/>
      <c r="Q959" s="829"/>
      <c r="R959" s="829"/>
      <c r="S959" s="829"/>
      <c r="T959" s="829"/>
      <c r="U959" s="829"/>
      <c r="V959" s="829"/>
      <c r="W959" s="829"/>
      <c r="X959" s="829"/>
      <c r="Y959" s="829"/>
      <c r="Z959" s="829"/>
    </row>
    <row r="960">
      <c r="A960" s="829"/>
      <c r="B960" s="829"/>
      <c r="C960" s="829"/>
      <c r="D960" s="829"/>
      <c r="E960" s="829"/>
      <c r="F960" s="829"/>
      <c r="G960" s="829"/>
      <c r="H960" s="829"/>
      <c r="I960" s="829"/>
      <c r="J960" s="829"/>
      <c r="K960" s="829"/>
      <c r="L960" s="829"/>
      <c r="M960" s="829"/>
      <c r="N960" s="829"/>
      <c r="O960" s="829"/>
      <c r="P960" s="829"/>
      <c r="Q960" s="829"/>
      <c r="R960" s="829"/>
      <c r="S960" s="829"/>
      <c r="T960" s="829"/>
      <c r="U960" s="829"/>
      <c r="V960" s="829"/>
      <c r="W960" s="829"/>
      <c r="X960" s="829"/>
      <c r="Y960" s="829"/>
      <c r="Z960" s="829"/>
    </row>
    <row r="961">
      <c r="A961" s="829"/>
      <c r="B961" s="829"/>
      <c r="C961" s="829"/>
      <c r="D961" s="829"/>
      <c r="E961" s="829"/>
      <c r="F961" s="829"/>
      <c r="G961" s="829"/>
      <c r="H961" s="829"/>
      <c r="I961" s="829"/>
      <c r="J961" s="829"/>
      <c r="K961" s="829"/>
      <c r="L961" s="829"/>
      <c r="M961" s="829"/>
      <c r="N961" s="829"/>
      <c r="O961" s="829"/>
      <c r="P961" s="829"/>
      <c r="Q961" s="829"/>
      <c r="R961" s="829"/>
      <c r="S961" s="829"/>
      <c r="T961" s="829"/>
      <c r="U961" s="829"/>
      <c r="V961" s="829"/>
      <c r="W961" s="829"/>
      <c r="X961" s="829"/>
      <c r="Y961" s="829"/>
      <c r="Z961" s="829"/>
    </row>
    <row r="962">
      <c r="A962" s="829"/>
      <c r="B962" s="829"/>
      <c r="C962" s="829"/>
      <c r="D962" s="829"/>
      <c r="E962" s="829"/>
      <c r="F962" s="829"/>
      <c r="G962" s="829"/>
      <c r="H962" s="829"/>
      <c r="I962" s="829"/>
      <c r="J962" s="829"/>
      <c r="K962" s="829"/>
      <c r="L962" s="829"/>
      <c r="M962" s="829"/>
      <c r="N962" s="829"/>
      <c r="O962" s="829"/>
      <c r="P962" s="829"/>
      <c r="Q962" s="829"/>
      <c r="R962" s="829"/>
      <c r="S962" s="829"/>
      <c r="T962" s="829"/>
      <c r="U962" s="829"/>
      <c r="V962" s="829"/>
      <c r="W962" s="829"/>
      <c r="X962" s="829"/>
      <c r="Y962" s="829"/>
      <c r="Z962" s="829"/>
    </row>
    <row r="963">
      <c r="A963" s="829"/>
      <c r="B963" s="829"/>
      <c r="C963" s="829"/>
      <c r="D963" s="829"/>
      <c r="E963" s="829"/>
      <c r="F963" s="829"/>
      <c r="G963" s="829"/>
      <c r="H963" s="829"/>
      <c r="I963" s="829"/>
      <c r="J963" s="829"/>
      <c r="K963" s="829"/>
      <c r="L963" s="829"/>
      <c r="M963" s="829"/>
      <c r="N963" s="829"/>
      <c r="O963" s="829"/>
      <c r="P963" s="829"/>
      <c r="Q963" s="829"/>
      <c r="R963" s="829"/>
      <c r="S963" s="829"/>
      <c r="T963" s="829"/>
      <c r="U963" s="829"/>
      <c r="V963" s="829"/>
      <c r="W963" s="829"/>
      <c r="X963" s="829"/>
      <c r="Y963" s="829"/>
      <c r="Z963" s="829"/>
    </row>
    <row r="964">
      <c r="A964" s="829"/>
      <c r="B964" s="829"/>
      <c r="C964" s="829"/>
      <c r="D964" s="829"/>
      <c r="E964" s="829"/>
      <c r="F964" s="829"/>
      <c r="G964" s="829"/>
      <c r="H964" s="829"/>
      <c r="I964" s="829"/>
      <c r="J964" s="829"/>
      <c r="K964" s="829"/>
      <c r="L964" s="829"/>
      <c r="M964" s="829"/>
      <c r="N964" s="829"/>
      <c r="O964" s="829"/>
      <c r="P964" s="829"/>
      <c r="Q964" s="829"/>
      <c r="R964" s="829"/>
      <c r="S964" s="829"/>
      <c r="T964" s="829"/>
      <c r="U964" s="829"/>
      <c r="V964" s="829"/>
      <c r="W964" s="829"/>
      <c r="X964" s="829"/>
      <c r="Y964" s="829"/>
      <c r="Z964" s="829"/>
    </row>
    <row r="965">
      <c r="A965" s="829"/>
      <c r="B965" s="829"/>
      <c r="C965" s="829"/>
      <c r="D965" s="829"/>
      <c r="E965" s="829"/>
      <c r="F965" s="829"/>
      <c r="G965" s="829"/>
      <c r="H965" s="829"/>
      <c r="I965" s="829"/>
      <c r="J965" s="829"/>
      <c r="K965" s="829"/>
      <c r="L965" s="829"/>
      <c r="M965" s="829"/>
      <c r="N965" s="829"/>
      <c r="O965" s="829"/>
      <c r="P965" s="829"/>
      <c r="Q965" s="829"/>
      <c r="R965" s="829"/>
      <c r="S965" s="829"/>
      <c r="T965" s="829"/>
      <c r="U965" s="829"/>
      <c r="V965" s="829"/>
      <c r="W965" s="829"/>
      <c r="X965" s="829"/>
      <c r="Y965" s="829"/>
      <c r="Z965" s="829"/>
    </row>
    <row r="966">
      <c r="A966" s="829"/>
      <c r="B966" s="829"/>
      <c r="C966" s="829"/>
      <c r="D966" s="829"/>
      <c r="E966" s="829"/>
      <c r="F966" s="829"/>
      <c r="G966" s="829"/>
      <c r="H966" s="829"/>
      <c r="I966" s="829"/>
      <c r="J966" s="829"/>
      <c r="K966" s="829"/>
      <c r="L966" s="829"/>
      <c r="M966" s="829"/>
      <c r="N966" s="829"/>
      <c r="O966" s="829"/>
      <c r="P966" s="829"/>
      <c r="Q966" s="829"/>
      <c r="R966" s="829"/>
      <c r="S966" s="829"/>
      <c r="T966" s="829"/>
      <c r="U966" s="829"/>
      <c r="V966" s="829"/>
      <c r="W966" s="829"/>
      <c r="X966" s="829"/>
      <c r="Y966" s="829"/>
      <c r="Z966" s="829"/>
    </row>
    <row r="967">
      <c r="A967" s="829"/>
      <c r="B967" s="829"/>
      <c r="C967" s="829"/>
      <c r="D967" s="829"/>
      <c r="E967" s="829"/>
      <c r="F967" s="829"/>
      <c r="G967" s="829"/>
      <c r="H967" s="829"/>
      <c r="I967" s="829"/>
      <c r="J967" s="829"/>
      <c r="K967" s="829"/>
      <c r="L967" s="829"/>
      <c r="M967" s="829"/>
      <c r="N967" s="829"/>
      <c r="O967" s="829"/>
      <c r="P967" s="829"/>
      <c r="Q967" s="829"/>
      <c r="R967" s="829"/>
      <c r="S967" s="829"/>
      <c r="T967" s="829"/>
      <c r="U967" s="829"/>
      <c r="V967" s="829"/>
      <c r="W967" s="829"/>
      <c r="X967" s="829"/>
      <c r="Y967" s="829"/>
      <c r="Z967" s="829"/>
    </row>
    <row r="968">
      <c r="A968" s="829"/>
      <c r="B968" s="829"/>
      <c r="C968" s="829"/>
      <c r="D968" s="829"/>
      <c r="E968" s="829"/>
      <c r="F968" s="829"/>
      <c r="G968" s="829"/>
      <c r="H968" s="829"/>
      <c r="I968" s="829"/>
      <c r="J968" s="829"/>
      <c r="K968" s="829"/>
      <c r="L968" s="829"/>
      <c r="M968" s="829"/>
      <c r="N968" s="829"/>
      <c r="O968" s="829"/>
      <c r="P968" s="829"/>
      <c r="Q968" s="829"/>
      <c r="R968" s="829"/>
      <c r="S968" s="829"/>
      <c r="T968" s="829"/>
      <c r="U968" s="829"/>
      <c r="V968" s="829"/>
      <c r="W968" s="829"/>
      <c r="X968" s="829"/>
      <c r="Y968" s="829"/>
      <c r="Z968" s="829"/>
    </row>
    <row r="969">
      <c r="A969" s="829"/>
      <c r="B969" s="829"/>
      <c r="C969" s="829"/>
      <c r="D969" s="829"/>
      <c r="E969" s="829"/>
      <c r="F969" s="829"/>
      <c r="G969" s="829"/>
      <c r="H969" s="829"/>
      <c r="I969" s="829"/>
      <c r="J969" s="829"/>
      <c r="K969" s="829"/>
      <c r="L969" s="829"/>
      <c r="M969" s="829"/>
      <c r="N969" s="829"/>
      <c r="O969" s="829"/>
      <c r="P969" s="829"/>
      <c r="Q969" s="829"/>
      <c r="R969" s="829"/>
      <c r="S969" s="829"/>
      <c r="T969" s="829"/>
      <c r="U969" s="829"/>
      <c r="V969" s="829"/>
      <c r="W969" s="829"/>
      <c r="X969" s="829"/>
      <c r="Y969" s="829"/>
      <c r="Z969" s="829"/>
    </row>
    <row r="970">
      <c r="A970" s="829"/>
      <c r="B970" s="829"/>
      <c r="C970" s="829"/>
      <c r="D970" s="829"/>
      <c r="E970" s="829"/>
      <c r="F970" s="829"/>
      <c r="G970" s="829"/>
      <c r="H970" s="829"/>
      <c r="I970" s="829"/>
      <c r="J970" s="829"/>
      <c r="K970" s="829"/>
      <c r="L970" s="829"/>
      <c r="M970" s="829"/>
      <c r="N970" s="829"/>
      <c r="O970" s="829"/>
      <c r="P970" s="829"/>
      <c r="Q970" s="829"/>
      <c r="R970" s="829"/>
      <c r="S970" s="829"/>
      <c r="T970" s="829"/>
      <c r="U970" s="829"/>
      <c r="V970" s="829"/>
      <c r="W970" s="829"/>
      <c r="X970" s="829"/>
      <c r="Y970" s="829"/>
      <c r="Z970" s="829"/>
    </row>
    <row r="971">
      <c r="A971" s="829"/>
      <c r="B971" s="829"/>
      <c r="C971" s="829"/>
      <c r="D971" s="829"/>
      <c r="E971" s="829"/>
      <c r="F971" s="829"/>
      <c r="G971" s="829"/>
      <c r="H971" s="829"/>
      <c r="I971" s="829"/>
      <c r="J971" s="829"/>
      <c r="K971" s="829"/>
      <c r="L971" s="829"/>
      <c r="M971" s="829"/>
      <c r="N971" s="829"/>
      <c r="O971" s="829"/>
      <c r="P971" s="829"/>
      <c r="Q971" s="829"/>
      <c r="R971" s="829"/>
      <c r="S971" s="829"/>
      <c r="T971" s="829"/>
      <c r="U971" s="829"/>
      <c r="V971" s="829"/>
      <c r="W971" s="829"/>
      <c r="X971" s="829"/>
      <c r="Y971" s="829"/>
      <c r="Z971" s="829"/>
    </row>
    <row r="972">
      <c r="A972" s="829"/>
      <c r="B972" s="829"/>
      <c r="C972" s="829"/>
      <c r="D972" s="829"/>
      <c r="E972" s="829"/>
      <c r="F972" s="829"/>
      <c r="G972" s="829"/>
      <c r="H972" s="829"/>
      <c r="I972" s="829"/>
      <c r="J972" s="829"/>
      <c r="K972" s="829"/>
      <c r="L972" s="829"/>
      <c r="M972" s="829"/>
      <c r="N972" s="829"/>
      <c r="O972" s="829"/>
      <c r="P972" s="829"/>
      <c r="Q972" s="829"/>
      <c r="R972" s="829"/>
      <c r="S972" s="829"/>
      <c r="T972" s="829"/>
      <c r="U972" s="829"/>
      <c r="V972" s="829"/>
      <c r="W972" s="829"/>
      <c r="X972" s="829"/>
      <c r="Y972" s="829"/>
      <c r="Z972" s="829"/>
    </row>
    <row r="973">
      <c r="A973" s="829"/>
      <c r="B973" s="829"/>
      <c r="C973" s="829"/>
      <c r="D973" s="829"/>
      <c r="E973" s="829"/>
      <c r="F973" s="829"/>
      <c r="G973" s="829"/>
      <c r="H973" s="829"/>
      <c r="I973" s="829"/>
      <c r="J973" s="829"/>
      <c r="K973" s="829"/>
      <c r="L973" s="829"/>
      <c r="M973" s="829"/>
      <c r="N973" s="829"/>
      <c r="O973" s="829"/>
      <c r="P973" s="829"/>
      <c r="Q973" s="829"/>
      <c r="R973" s="829"/>
      <c r="S973" s="829"/>
      <c r="T973" s="829"/>
      <c r="U973" s="829"/>
      <c r="V973" s="829"/>
      <c r="W973" s="829"/>
      <c r="X973" s="829"/>
      <c r="Y973" s="829"/>
      <c r="Z973" s="829"/>
    </row>
    <row r="974">
      <c r="A974" s="829"/>
      <c r="B974" s="829"/>
      <c r="C974" s="829"/>
      <c r="D974" s="829"/>
      <c r="E974" s="829"/>
      <c r="F974" s="829"/>
      <c r="G974" s="829"/>
      <c r="H974" s="829"/>
      <c r="I974" s="829"/>
      <c r="J974" s="829"/>
      <c r="K974" s="829"/>
      <c r="L974" s="829"/>
      <c r="M974" s="829"/>
      <c r="N974" s="829"/>
      <c r="O974" s="829"/>
      <c r="P974" s="829"/>
      <c r="Q974" s="829"/>
      <c r="R974" s="829"/>
      <c r="S974" s="829"/>
      <c r="T974" s="829"/>
      <c r="U974" s="829"/>
      <c r="V974" s="829"/>
      <c r="W974" s="829"/>
      <c r="X974" s="829"/>
      <c r="Y974" s="829"/>
      <c r="Z974" s="829"/>
    </row>
    <row r="975">
      <c r="A975" s="829"/>
      <c r="B975" s="829"/>
      <c r="C975" s="829"/>
      <c r="D975" s="829"/>
      <c r="E975" s="829"/>
      <c r="F975" s="829"/>
      <c r="G975" s="829"/>
      <c r="H975" s="829"/>
      <c r="I975" s="829"/>
      <c r="J975" s="829"/>
      <c r="K975" s="829"/>
      <c r="L975" s="829"/>
      <c r="M975" s="829"/>
      <c r="N975" s="829"/>
      <c r="O975" s="829"/>
      <c r="P975" s="829"/>
      <c r="Q975" s="829"/>
      <c r="R975" s="829"/>
      <c r="S975" s="829"/>
      <c r="T975" s="829"/>
      <c r="U975" s="829"/>
      <c r="V975" s="829"/>
      <c r="W975" s="829"/>
      <c r="X975" s="829"/>
      <c r="Y975" s="829"/>
      <c r="Z975" s="829"/>
    </row>
    <row r="976">
      <c r="A976" s="829"/>
      <c r="B976" s="829"/>
      <c r="C976" s="829"/>
      <c r="D976" s="829"/>
      <c r="E976" s="829"/>
      <c r="F976" s="829"/>
      <c r="G976" s="829"/>
      <c r="H976" s="829"/>
      <c r="I976" s="829"/>
      <c r="J976" s="829"/>
      <c r="K976" s="829"/>
      <c r="L976" s="829"/>
      <c r="M976" s="829"/>
      <c r="N976" s="829"/>
      <c r="O976" s="829"/>
      <c r="P976" s="829"/>
      <c r="Q976" s="829"/>
      <c r="R976" s="829"/>
      <c r="S976" s="829"/>
      <c r="T976" s="829"/>
      <c r="U976" s="829"/>
      <c r="V976" s="829"/>
      <c r="W976" s="829"/>
      <c r="X976" s="829"/>
      <c r="Y976" s="829"/>
      <c r="Z976" s="829"/>
    </row>
    <row r="977">
      <c r="A977" s="829"/>
      <c r="B977" s="829"/>
      <c r="C977" s="829"/>
      <c r="D977" s="829"/>
      <c r="E977" s="829"/>
      <c r="F977" s="829"/>
      <c r="G977" s="829"/>
      <c r="H977" s="829"/>
      <c r="I977" s="829"/>
      <c r="J977" s="829"/>
      <c r="K977" s="829"/>
      <c r="L977" s="829"/>
      <c r="M977" s="829"/>
      <c r="N977" s="829"/>
      <c r="O977" s="829"/>
      <c r="P977" s="829"/>
      <c r="Q977" s="829"/>
      <c r="R977" s="829"/>
      <c r="S977" s="829"/>
      <c r="T977" s="829"/>
      <c r="U977" s="829"/>
      <c r="V977" s="829"/>
      <c r="W977" s="829"/>
      <c r="X977" s="829"/>
      <c r="Y977" s="829"/>
      <c r="Z977" s="829"/>
    </row>
    <row r="978">
      <c r="A978" s="829"/>
      <c r="B978" s="829"/>
      <c r="C978" s="829"/>
      <c r="D978" s="829"/>
      <c r="E978" s="829"/>
      <c r="F978" s="829"/>
      <c r="G978" s="829"/>
      <c r="H978" s="829"/>
      <c r="I978" s="829"/>
      <c r="J978" s="829"/>
      <c r="K978" s="829"/>
      <c r="L978" s="829"/>
      <c r="M978" s="829"/>
      <c r="N978" s="829"/>
      <c r="O978" s="829"/>
      <c r="P978" s="829"/>
      <c r="Q978" s="829"/>
      <c r="R978" s="829"/>
      <c r="S978" s="829"/>
      <c r="T978" s="829"/>
      <c r="U978" s="829"/>
      <c r="V978" s="829"/>
      <c r="W978" s="829"/>
      <c r="X978" s="829"/>
      <c r="Y978" s="829"/>
      <c r="Z978" s="829"/>
    </row>
    <row r="979">
      <c r="A979" s="829"/>
      <c r="B979" s="829"/>
      <c r="C979" s="829"/>
      <c r="D979" s="829"/>
      <c r="E979" s="829"/>
      <c r="F979" s="829"/>
      <c r="G979" s="829"/>
      <c r="H979" s="829"/>
      <c r="I979" s="829"/>
      <c r="J979" s="829"/>
      <c r="K979" s="829"/>
      <c r="L979" s="829"/>
      <c r="M979" s="829"/>
      <c r="N979" s="829"/>
      <c r="O979" s="829"/>
      <c r="P979" s="829"/>
      <c r="Q979" s="829"/>
      <c r="R979" s="829"/>
      <c r="S979" s="829"/>
      <c r="T979" s="829"/>
      <c r="U979" s="829"/>
      <c r="V979" s="829"/>
      <c r="W979" s="829"/>
      <c r="X979" s="829"/>
      <c r="Y979" s="829"/>
      <c r="Z979" s="829"/>
    </row>
    <row r="980">
      <c r="A980" s="829"/>
      <c r="B980" s="829"/>
      <c r="C980" s="829"/>
      <c r="D980" s="829"/>
      <c r="E980" s="829"/>
      <c r="F980" s="829"/>
      <c r="G980" s="829"/>
      <c r="H980" s="829"/>
      <c r="I980" s="829"/>
      <c r="J980" s="829"/>
      <c r="K980" s="829"/>
      <c r="L980" s="829"/>
      <c r="M980" s="829"/>
      <c r="N980" s="829"/>
      <c r="O980" s="829"/>
      <c r="P980" s="829"/>
      <c r="Q980" s="829"/>
      <c r="R980" s="829"/>
      <c r="S980" s="829"/>
      <c r="T980" s="829"/>
      <c r="U980" s="829"/>
      <c r="V980" s="829"/>
      <c r="W980" s="829"/>
      <c r="X980" s="829"/>
      <c r="Y980" s="829"/>
      <c r="Z980" s="829"/>
    </row>
    <row r="981">
      <c r="A981" s="829"/>
      <c r="B981" s="829"/>
      <c r="C981" s="829"/>
      <c r="D981" s="829"/>
      <c r="E981" s="829"/>
      <c r="F981" s="829"/>
      <c r="G981" s="829"/>
      <c r="H981" s="829"/>
      <c r="I981" s="829"/>
      <c r="J981" s="829"/>
      <c r="K981" s="829"/>
      <c r="L981" s="829"/>
      <c r="M981" s="829"/>
      <c r="N981" s="829"/>
      <c r="O981" s="829"/>
      <c r="P981" s="829"/>
      <c r="Q981" s="829"/>
      <c r="R981" s="829"/>
      <c r="S981" s="829"/>
      <c r="T981" s="829"/>
      <c r="U981" s="829"/>
      <c r="V981" s="829"/>
      <c r="W981" s="829"/>
      <c r="X981" s="829"/>
      <c r="Y981" s="829"/>
      <c r="Z981" s="829"/>
    </row>
    <row r="982">
      <c r="A982" s="829"/>
      <c r="B982" s="829"/>
      <c r="C982" s="829"/>
      <c r="D982" s="829"/>
      <c r="E982" s="829"/>
      <c r="F982" s="829"/>
      <c r="G982" s="829"/>
      <c r="H982" s="829"/>
      <c r="I982" s="829"/>
      <c r="J982" s="829"/>
      <c r="K982" s="829"/>
      <c r="L982" s="829"/>
      <c r="M982" s="829"/>
      <c r="N982" s="829"/>
      <c r="O982" s="829"/>
      <c r="P982" s="829"/>
      <c r="Q982" s="829"/>
      <c r="R982" s="829"/>
      <c r="S982" s="829"/>
      <c r="T982" s="829"/>
      <c r="U982" s="829"/>
      <c r="V982" s="829"/>
      <c r="W982" s="829"/>
      <c r="X982" s="829"/>
      <c r="Y982" s="829"/>
      <c r="Z982" s="829"/>
    </row>
    <row r="983">
      <c r="A983" s="829"/>
      <c r="B983" s="829"/>
      <c r="C983" s="829"/>
      <c r="D983" s="829"/>
      <c r="E983" s="829"/>
      <c r="F983" s="829"/>
      <c r="G983" s="829"/>
      <c r="H983" s="829"/>
      <c r="I983" s="829"/>
      <c r="J983" s="829"/>
      <c r="K983" s="829"/>
      <c r="L983" s="829"/>
      <c r="M983" s="829"/>
      <c r="N983" s="829"/>
      <c r="O983" s="829"/>
      <c r="P983" s="829"/>
      <c r="Q983" s="829"/>
      <c r="R983" s="829"/>
      <c r="S983" s="829"/>
      <c r="T983" s="829"/>
      <c r="U983" s="829"/>
      <c r="V983" s="829"/>
      <c r="W983" s="829"/>
      <c r="X983" s="829"/>
      <c r="Y983" s="829"/>
      <c r="Z983" s="829"/>
    </row>
    <row r="984">
      <c r="A984" s="829"/>
      <c r="B984" s="829"/>
      <c r="C984" s="829"/>
      <c r="D984" s="829"/>
      <c r="E984" s="829"/>
      <c r="F984" s="829"/>
      <c r="G984" s="829"/>
      <c r="H984" s="829"/>
      <c r="I984" s="829"/>
      <c r="J984" s="829"/>
      <c r="K984" s="829"/>
      <c r="L984" s="829"/>
      <c r="M984" s="829"/>
      <c r="N984" s="829"/>
      <c r="O984" s="829"/>
      <c r="P984" s="829"/>
      <c r="Q984" s="829"/>
      <c r="R984" s="829"/>
      <c r="S984" s="829"/>
      <c r="T984" s="829"/>
      <c r="U984" s="829"/>
      <c r="V984" s="829"/>
      <c r="W984" s="829"/>
      <c r="X984" s="829"/>
      <c r="Y984" s="829"/>
      <c r="Z984" s="829"/>
    </row>
    <row r="985">
      <c r="A985" s="829"/>
      <c r="B985" s="829"/>
      <c r="C985" s="829"/>
      <c r="D985" s="829"/>
      <c r="E985" s="829"/>
      <c r="F985" s="829"/>
      <c r="G985" s="829"/>
      <c r="H985" s="829"/>
      <c r="I985" s="829"/>
      <c r="J985" s="829"/>
      <c r="K985" s="829"/>
      <c r="L985" s="829"/>
      <c r="M985" s="829"/>
      <c r="N985" s="829"/>
      <c r="O985" s="829"/>
      <c r="P985" s="829"/>
      <c r="Q985" s="829"/>
      <c r="R985" s="829"/>
      <c r="S985" s="829"/>
      <c r="T985" s="829"/>
      <c r="U985" s="829"/>
      <c r="V985" s="829"/>
      <c r="W985" s="829"/>
      <c r="X985" s="829"/>
      <c r="Y985" s="829"/>
      <c r="Z985" s="829"/>
    </row>
    <row r="986">
      <c r="A986" s="829"/>
      <c r="B986" s="829"/>
      <c r="C986" s="829"/>
      <c r="D986" s="829"/>
      <c r="E986" s="829"/>
      <c r="F986" s="829"/>
      <c r="G986" s="829"/>
      <c r="H986" s="829"/>
      <c r="I986" s="829"/>
      <c r="J986" s="829"/>
      <c r="K986" s="829"/>
      <c r="L986" s="829"/>
      <c r="M986" s="829"/>
      <c r="N986" s="829"/>
      <c r="O986" s="829"/>
      <c r="P986" s="829"/>
      <c r="Q986" s="829"/>
      <c r="R986" s="829"/>
      <c r="S986" s="829"/>
      <c r="T986" s="829"/>
      <c r="U986" s="829"/>
      <c r="V986" s="829"/>
      <c r="W986" s="829"/>
      <c r="X986" s="829"/>
      <c r="Y986" s="829"/>
      <c r="Z986" s="829"/>
    </row>
    <row r="987">
      <c r="A987" s="829"/>
      <c r="B987" s="829"/>
      <c r="C987" s="829"/>
      <c r="D987" s="829"/>
      <c r="E987" s="829"/>
      <c r="F987" s="829"/>
      <c r="G987" s="829"/>
      <c r="H987" s="829"/>
      <c r="I987" s="829"/>
      <c r="J987" s="829"/>
      <c r="K987" s="829"/>
      <c r="L987" s="829"/>
      <c r="M987" s="829"/>
      <c r="N987" s="829"/>
      <c r="O987" s="829"/>
      <c r="P987" s="829"/>
      <c r="Q987" s="829"/>
      <c r="R987" s="829"/>
      <c r="S987" s="829"/>
      <c r="T987" s="829"/>
      <c r="U987" s="829"/>
      <c r="V987" s="829"/>
      <c r="W987" s="829"/>
      <c r="X987" s="829"/>
      <c r="Y987" s="829"/>
      <c r="Z987" s="829"/>
    </row>
    <row r="988">
      <c r="A988" s="829"/>
      <c r="B988" s="829"/>
      <c r="C988" s="829"/>
      <c r="D988" s="829"/>
      <c r="E988" s="829"/>
      <c r="F988" s="829"/>
      <c r="G988" s="829"/>
      <c r="H988" s="829"/>
      <c r="I988" s="829"/>
      <c r="J988" s="829"/>
      <c r="K988" s="829"/>
      <c r="L988" s="829"/>
      <c r="M988" s="829"/>
      <c r="N988" s="829"/>
      <c r="O988" s="829"/>
      <c r="P988" s="829"/>
      <c r="Q988" s="829"/>
      <c r="R988" s="829"/>
      <c r="S988" s="829"/>
      <c r="T988" s="829"/>
      <c r="U988" s="829"/>
      <c r="V988" s="829"/>
      <c r="W988" s="829"/>
      <c r="X988" s="829"/>
      <c r="Y988" s="829"/>
      <c r="Z988" s="829"/>
    </row>
    <row r="989">
      <c r="A989" s="829"/>
      <c r="B989" s="829"/>
      <c r="C989" s="829"/>
      <c r="D989" s="829"/>
      <c r="E989" s="829"/>
      <c r="F989" s="829"/>
      <c r="G989" s="829"/>
      <c r="H989" s="829"/>
      <c r="I989" s="829"/>
      <c r="J989" s="829"/>
      <c r="K989" s="829"/>
      <c r="L989" s="829"/>
      <c r="M989" s="829"/>
      <c r="N989" s="829"/>
      <c r="O989" s="829"/>
      <c r="P989" s="829"/>
      <c r="Q989" s="829"/>
      <c r="R989" s="829"/>
      <c r="S989" s="829"/>
      <c r="T989" s="829"/>
      <c r="U989" s="829"/>
      <c r="V989" s="829"/>
      <c r="W989" s="829"/>
      <c r="X989" s="829"/>
      <c r="Y989" s="829"/>
      <c r="Z989" s="829"/>
    </row>
    <row r="990">
      <c r="A990" s="829"/>
      <c r="B990" s="829"/>
      <c r="C990" s="829"/>
      <c r="D990" s="829"/>
      <c r="E990" s="829"/>
      <c r="F990" s="829"/>
      <c r="G990" s="829"/>
      <c r="H990" s="829"/>
      <c r="I990" s="829"/>
      <c r="J990" s="829"/>
      <c r="K990" s="829"/>
      <c r="L990" s="829"/>
      <c r="M990" s="829"/>
      <c r="N990" s="829"/>
      <c r="O990" s="829"/>
      <c r="P990" s="829"/>
      <c r="Q990" s="829"/>
      <c r="R990" s="829"/>
      <c r="S990" s="829"/>
      <c r="T990" s="829"/>
      <c r="U990" s="829"/>
      <c r="V990" s="829"/>
      <c r="W990" s="829"/>
      <c r="X990" s="829"/>
      <c r="Y990" s="829"/>
      <c r="Z990" s="829"/>
    </row>
    <row r="991">
      <c r="A991" s="829"/>
      <c r="B991" s="829"/>
      <c r="C991" s="829"/>
      <c r="D991" s="829"/>
      <c r="E991" s="829"/>
      <c r="F991" s="829"/>
      <c r="G991" s="829"/>
      <c r="H991" s="829"/>
      <c r="I991" s="829"/>
      <c r="J991" s="829"/>
      <c r="K991" s="829"/>
      <c r="L991" s="829"/>
      <c r="M991" s="829"/>
      <c r="N991" s="829"/>
      <c r="O991" s="829"/>
      <c r="P991" s="829"/>
      <c r="Q991" s="829"/>
      <c r="R991" s="829"/>
      <c r="S991" s="829"/>
      <c r="T991" s="829"/>
      <c r="U991" s="829"/>
      <c r="V991" s="829"/>
      <c r="W991" s="829"/>
      <c r="X991" s="829"/>
      <c r="Y991" s="829"/>
      <c r="Z991" s="829"/>
    </row>
    <row r="992">
      <c r="A992" s="829"/>
      <c r="B992" s="829"/>
      <c r="C992" s="829"/>
      <c r="D992" s="829"/>
      <c r="E992" s="829"/>
      <c r="F992" s="829"/>
      <c r="G992" s="829"/>
      <c r="H992" s="829"/>
      <c r="I992" s="829"/>
      <c r="J992" s="829"/>
      <c r="K992" s="829"/>
      <c r="L992" s="829"/>
      <c r="M992" s="829"/>
      <c r="N992" s="829"/>
      <c r="O992" s="829"/>
      <c r="P992" s="829"/>
      <c r="Q992" s="829"/>
      <c r="R992" s="829"/>
      <c r="S992" s="829"/>
      <c r="T992" s="829"/>
      <c r="U992" s="829"/>
      <c r="V992" s="829"/>
      <c r="W992" s="829"/>
      <c r="X992" s="829"/>
      <c r="Y992" s="829"/>
      <c r="Z992" s="829"/>
    </row>
    <row r="993">
      <c r="A993" s="829"/>
      <c r="B993" s="829"/>
      <c r="C993" s="829"/>
      <c r="D993" s="829"/>
      <c r="E993" s="829"/>
      <c r="F993" s="829"/>
      <c r="G993" s="829"/>
      <c r="H993" s="829"/>
      <c r="I993" s="829"/>
      <c r="J993" s="829"/>
      <c r="K993" s="829"/>
      <c r="L993" s="829"/>
      <c r="M993" s="829"/>
      <c r="N993" s="829"/>
      <c r="O993" s="829"/>
      <c r="P993" s="829"/>
      <c r="Q993" s="829"/>
      <c r="R993" s="829"/>
      <c r="S993" s="829"/>
      <c r="T993" s="829"/>
      <c r="U993" s="829"/>
      <c r="V993" s="829"/>
      <c r="W993" s="829"/>
      <c r="X993" s="829"/>
      <c r="Y993" s="829"/>
      <c r="Z993" s="829"/>
    </row>
    <row r="994">
      <c r="A994" s="829"/>
      <c r="B994" s="829"/>
      <c r="C994" s="829"/>
      <c r="D994" s="829"/>
      <c r="E994" s="829"/>
      <c r="F994" s="829"/>
      <c r="G994" s="829"/>
      <c r="H994" s="829"/>
      <c r="I994" s="829"/>
      <c r="J994" s="829"/>
      <c r="K994" s="829"/>
      <c r="L994" s="829"/>
      <c r="M994" s="829"/>
      <c r="N994" s="829"/>
      <c r="O994" s="829"/>
      <c r="P994" s="829"/>
      <c r="Q994" s="829"/>
      <c r="R994" s="829"/>
      <c r="S994" s="829"/>
      <c r="T994" s="829"/>
      <c r="U994" s="829"/>
      <c r="V994" s="829"/>
      <c r="W994" s="829"/>
      <c r="X994" s="829"/>
      <c r="Y994" s="829"/>
      <c r="Z994" s="829"/>
    </row>
    <row r="995">
      <c r="A995" s="829"/>
      <c r="B995" s="829"/>
      <c r="C995" s="829"/>
      <c r="D995" s="829"/>
      <c r="E995" s="829"/>
      <c r="F995" s="829"/>
      <c r="G995" s="829"/>
      <c r="H995" s="829"/>
      <c r="I995" s="829"/>
      <c r="J995" s="829"/>
      <c r="K995" s="829"/>
      <c r="L995" s="829"/>
      <c r="M995" s="829"/>
      <c r="N995" s="829"/>
      <c r="O995" s="829"/>
      <c r="P995" s="829"/>
      <c r="Q995" s="829"/>
      <c r="R995" s="829"/>
      <c r="S995" s="829"/>
      <c r="T995" s="829"/>
      <c r="U995" s="829"/>
      <c r="V995" s="829"/>
      <c r="W995" s="829"/>
      <c r="X995" s="829"/>
      <c r="Y995" s="829"/>
      <c r="Z995" s="829"/>
    </row>
    <row r="996">
      <c r="A996" s="829"/>
      <c r="B996" s="829"/>
      <c r="C996" s="829"/>
      <c r="D996" s="829"/>
      <c r="E996" s="829"/>
      <c r="F996" s="829"/>
      <c r="G996" s="829"/>
      <c r="H996" s="829"/>
      <c r="I996" s="829"/>
      <c r="J996" s="829"/>
      <c r="K996" s="829"/>
      <c r="L996" s="829"/>
      <c r="M996" s="829"/>
      <c r="N996" s="829"/>
      <c r="O996" s="829"/>
      <c r="P996" s="829"/>
      <c r="Q996" s="829"/>
      <c r="R996" s="829"/>
      <c r="S996" s="829"/>
      <c r="T996" s="829"/>
      <c r="U996" s="829"/>
      <c r="V996" s="829"/>
      <c r="W996" s="829"/>
      <c r="X996" s="829"/>
      <c r="Y996" s="829"/>
      <c r="Z996" s="829"/>
    </row>
    <row r="997">
      <c r="A997" s="829"/>
      <c r="B997" s="829"/>
      <c r="C997" s="829"/>
      <c r="D997" s="829"/>
      <c r="E997" s="829"/>
      <c r="F997" s="829"/>
      <c r="G997" s="829"/>
      <c r="H997" s="829"/>
      <c r="I997" s="829"/>
      <c r="J997" s="829"/>
      <c r="K997" s="829"/>
      <c r="L997" s="829"/>
      <c r="M997" s="829"/>
      <c r="N997" s="829"/>
      <c r="O997" s="829"/>
      <c r="P997" s="829"/>
      <c r="Q997" s="829"/>
      <c r="R997" s="829"/>
      <c r="S997" s="829"/>
      <c r="T997" s="829"/>
      <c r="U997" s="829"/>
      <c r="V997" s="829"/>
      <c r="W997" s="829"/>
      <c r="X997" s="829"/>
      <c r="Y997" s="829"/>
      <c r="Z997" s="829"/>
    </row>
    <row r="998">
      <c r="A998" s="829"/>
      <c r="B998" s="829"/>
      <c r="C998" s="829"/>
      <c r="D998" s="829"/>
      <c r="E998" s="829"/>
      <c r="F998" s="829"/>
      <c r="G998" s="829"/>
      <c r="H998" s="829"/>
      <c r="I998" s="829"/>
      <c r="J998" s="829"/>
      <c r="K998" s="829"/>
      <c r="L998" s="829"/>
      <c r="M998" s="829"/>
      <c r="N998" s="829"/>
      <c r="O998" s="829"/>
      <c r="P998" s="829"/>
      <c r="Q998" s="829"/>
      <c r="R998" s="829"/>
      <c r="S998" s="829"/>
      <c r="T998" s="829"/>
      <c r="U998" s="829"/>
      <c r="V998" s="829"/>
      <c r="W998" s="829"/>
      <c r="X998" s="829"/>
      <c r="Y998" s="829"/>
      <c r="Z998" s="829"/>
    </row>
    <row r="999">
      <c r="A999" s="829"/>
      <c r="B999" s="829"/>
      <c r="C999" s="829"/>
      <c r="D999" s="829"/>
      <c r="E999" s="829"/>
      <c r="F999" s="829"/>
      <c r="G999" s="829"/>
      <c r="H999" s="829"/>
      <c r="I999" s="829"/>
      <c r="J999" s="829"/>
      <c r="K999" s="829"/>
      <c r="L999" s="829"/>
      <c r="M999" s="829"/>
      <c r="N999" s="829"/>
      <c r="O999" s="829"/>
      <c r="P999" s="829"/>
      <c r="Q999" s="829"/>
      <c r="R999" s="829"/>
      <c r="S999" s="829"/>
      <c r="T999" s="829"/>
      <c r="U999" s="829"/>
      <c r="V999" s="829"/>
      <c r="W999" s="829"/>
      <c r="X999" s="829"/>
      <c r="Y999" s="829"/>
      <c r="Z999" s="829"/>
    </row>
    <row r="1000">
      <c r="A1000" s="829"/>
      <c r="B1000" s="829"/>
      <c r="C1000" s="829"/>
      <c r="D1000" s="829"/>
      <c r="E1000" s="829"/>
      <c r="F1000" s="829"/>
      <c r="G1000" s="829"/>
      <c r="H1000" s="829"/>
      <c r="I1000" s="829"/>
      <c r="J1000" s="829"/>
      <c r="K1000" s="829"/>
      <c r="L1000" s="829"/>
      <c r="M1000" s="829"/>
      <c r="N1000" s="829"/>
      <c r="O1000" s="829"/>
      <c r="P1000" s="829"/>
      <c r="Q1000" s="829"/>
      <c r="R1000" s="829"/>
      <c r="S1000" s="829"/>
      <c r="T1000" s="829"/>
      <c r="U1000" s="829"/>
      <c r="V1000" s="829"/>
      <c r="W1000" s="829"/>
      <c r="X1000" s="829"/>
      <c r="Y1000" s="829"/>
      <c r="Z1000" s="829"/>
    </row>
  </sheetData>
  <mergeCells count="1">
    <mergeCell ref="A1:I1"/>
  </mergeCell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25"/>
    <col customWidth="1" min="2" max="2" width="6.38"/>
    <col customWidth="1" min="3" max="3" width="26.25"/>
    <col customWidth="1" min="4" max="4" width="25.5"/>
    <col customWidth="1" min="5" max="5" width="34.38"/>
    <col customWidth="1" min="6" max="6" width="32.75"/>
    <col customWidth="1" min="7" max="7" width="9.75"/>
    <col customWidth="1" min="8" max="8" width="20.13"/>
  </cols>
  <sheetData>
    <row r="1" ht="24.0" customHeight="1">
      <c r="A1" s="858" t="s">
        <v>5939</v>
      </c>
      <c r="B1" s="859"/>
      <c r="C1" s="859"/>
      <c r="D1" s="859"/>
      <c r="E1" s="859"/>
      <c r="F1" s="859"/>
      <c r="G1" s="859"/>
      <c r="H1" s="860"/>
    </row>
    <row r="2">
      <c r="A2" s="861"/>
      <c r="B2" s="861" t="s">
        <v>0</v>
      </c>
      <c r="C2" s="861" t="s">
        <v>1</v>
      </c>
      <c r="D2" s="861" t="s">
        <v>2</v>
      </c>
      <c r="E2" s="861" t="s">
        <v>3</v>
      </c>
      <c r="F2" s="861" t="s">
        <v>4</v>
      </c>
      <c r="G2" s="861"/>
      <c r="H2" s="862" t="s">
        <v>5940</v>
      </c>
    </row>
    <row r="3">
      <c r="A3" s="863">
        <v>1.0</v>
      </c>
      <c r="B3" s="362" t="b">
        <v>0</v>
      </c>
      <c r="C3" s="223" t="s">
        <v>5941</v>
      </c>
      <c r="D3" s="221" t="s">
        <v>5942</v>
      </c>
      <c r="E3" s="864" t="s">
        <v>5943</v>
      </c>
      <c r="F3" s="209" t="s">
        <v>5944</v>
      </c>
      <c r="G3" s="362" t="b">
        <v>1</v>
      </c>
      <c r="H3" s="348" t="s">
        <v>5945</v>
      </c>
    </row>
    <row r="4">
      <c r="A4" s="863">
        <v>2.0</v>
      </c>
      <c r="B4" s="362" t="b">
        <v>0</v>
      </c>
      <c r="C4" s="223" t="s">
        <v>5946</v>
      </c>
      <c r="D4" s="223" t="s">
        <v>5947</v>
      </c>
      <c r="E4" s="223" t="s">
        <v>5948</v>
      </c>
      <c r="F4" s="225" t="s">
        <v>5949</v>
      </c>
      <c r="G4" s="362" t="b">
        <v>1</v>
      </c>
      <c r="H4" s="348" t="s">
        <v>5950</v>
      </c>
    </row>
    <row r="5">
      <c r="A5" s="863">
        <v>3.0</v>
      </c>
      <c r="B5" s="362" t="b">
        <v>0</v>
      </c>
      <c r="C5" s="223" t="s">
        <v>3644</v>
      </c>
      <c r="D5" s="221"/>
      <c r="E5" s="221">
        <v>7.712376509E9</v>
      </c>
      <c r="F5" s="209" t="s">
        <v>5951</v>
      </c>
      <c r="G5" s="362" t="b">
        <v>1</v>
      </c>
      <c r="H5" s="348" t="s">
        <v>5950</v>
      </c>
    </row>
    <row r="6">
      <c r="A6" s="863">
        <v>4.0</v>
      </c>
      <c r="B6" s="362" t="b">
        <v>0</v>
      </c>
      <c r="C6" s="223" t="s">
        <v>5952</v>
      </c>
      <c r="D6" s="223" t="s">
        <v>5953</v>
      </c>
      <c r="E6" s="223" t="s">
        <v>5954</v>
      </c>
      <c r="F6" s="225" t="s">
        <v>5955</v>
      </c>
      <c r="G6" s="362" t="b">
        <v>1</v>
      </c>
      <c r="H6" s="348" t="s">
        <v>5956</v>
      </c>
    </row>
    <row r="7">
      <c r="A7" s="863">
        <v>5.0</v>
      </c>
      <c r="B7" s="362" t="b">
        <v>0</v>
      </c>
      <c r="C7" s="223" t="s">
        <v>5957</v>
      </c>
      <c r="D7" s="864" t="s">
        <v>5958</v>
      </c>
      <c r="E7" s="221">
        <v>9.647830203047E12</v>
      </c>
      <c r="F7" s="209" t="s">
        <v>5959</v>
      </c>
      <c r="G7" s="362" t="b">
        <v>1</v>
      </c>
      <c r="H7" s="348" t="s">
        <v>5950</v>
      </c>
    </row>
    <row r="8">
      <c r="A8" s="863">
        <v>6.0</v>
      </c>
      <c r="B8" s="362" t="b">
        <v>0</v>
      </c>
      <c r="C8" s="302" t="s">
        <v>5960</v>
      </c>
      <c r="D8" s="223"/>
      <c r="E8" s="223" t="s">
        <v>5961</v>
      </c>
      <c r="F8" s="225" t="s">
        <v>5962</v>
      </c>
      <c r="G8" s="362" t="b">
        <v>1</v>
      </c>
      <c r="H8" s="348" t="s">
        <v>5963</v>
      </c>
    </row>
    <row r="9">
      <c r="A9" s="863">
        <v>7.0</v>
      </c>
      <c r="B9" s="362" t="b">
        <v>0</v>
      </c>
      <c r="C9" s="223" t="s">
        <v>5964</v>
      </c>
      <c r="D9" s="864" t="s">
        <v>5965</v>
      </c>
      <c r="E9" s="221">
        <v>7.856663666E9</v>
      </c>
      <c r="F9" s="209" t="s">
        <v>5966</v>
      </c>
      <c r="G9" s="362" t="b">
        <v>1</v>
      </c>
      <c r="H9" s="348" t="s">
        <v>5950</v>
      </c>
    </row>
    <row r="10">
      <c r="A10" s="863">
        <v>8.0</v>
      </c>
      <c r="B10" s="362" t="b">
        <v>0</v>
      </c>
      <c r="C10" s="223" t="s">
        <v>5967</v>
      </c>
      <c r="D10" s="223" t="s">
        <v>5968</v>
      </c>
      <c r="E10" s="223">
        <v>9.715502727595E12</v>
      </c>
      <c r="F10" s="225" t="s">
        <v>5969</v>
      </c>
      <c r="G10" s="362" t="b">
        <v>1</v>
      </c>
      <c r="H10" s="348" t="s">
        <v>5970</v>
      </c>
    </row>
    <row r="11">
      <c r="A11" s="863">
        <v>9.0</v>
      </c>
      <c r="B11" s="362" t="b">
        <v>0</v>
      </c>
      <c r="C11" s="223" t="s">
        <v>3661</v>
      </c>
      <c r="D11" s="864" t="s">
        <v>5971</v>
      </c>
      <c r="E11" s="221">
        <v>8.675523768132E12</v>
      </c>
      <c r="F11" s="209" t="s">
        <v>3665</v>
      </c>
      <c r="G11" s="362" t="b">
        <v>1</v>
      </c>
      <c r="H11" s="348" t="s">
        <v>5956</v>
      </c>
    </row>
    <row r="12">
      <c r="A12" s="863">
        <v>10.0</v>
      </c>
      <c r="B12" s="362" t="b">
        <v>0</v>
      </c>
      <c r="C12" s="223" t="s">
        <v>5972</v>
      </c>
      <c r="D12" s="302" t="s">
        <v>5973</v>
      </c>
      <c r="E12" s="223">
        <v>9.613336613E9</v>
      </c>
      <c r="F12" s="225" t="s">
        <v>5974</v>
      </c>
      <c r="G12" s="362" t="b">
        <v>1</v>
      </c>
      <c r="H12" s="344"/>
    </row>
    <row r="13">
      <c r="A13" s="863">
        <v>11.0</v>
      </c>
      <c r="B13" s="362" t="b">
        <v>0</v>
      </c>
      <c r="C13" s="302" t="s">
        <v>5975</v>
      </c>
      <c r="D13" s="221" t="s">
        <v>5976</v>
      </c>
      <c r="E13" s="221">
        <v>9.647738533384E12</v>
      </c>
      <c r="F13" s="209" t="s">
        <v>5977</v>
      </c>
      <c r="G13" s="362" t="b">
        <v>1</v>
      </c>
      <c r="H13" s="348" t="s">
        <v>5978</v>
      </c>
    </row>
    <row r="14">
      <c r="A14" s="863">
        <v>12.0</v>
      </c>
      <c r="B14" s="362" t="b">
        <v>0</v>
      </c>
      <c r="C14" s="223" t="s">
        <v>5979</v>
      </c>
      <c r="D14" s="223" t="s">
        <v>5980</v>
      </c>
      <c r="E14" s="223" t="s">
        <v>5981</v>
      </c>
      <c r="F14" s="225" t="s">
        <v>5982</v>
      </c>
      <c r="G14" s="362" t="b">
        <v>1</v>
      </c>
      <c r="H14" s="348" t="s">
        <v>5945</v>
      </c>
    </row>
    <row r="15">
      <c r="A15" s="863">
        <v>13.0</v>
      </c>
      <c r="B15" s="362" t="b">
        <v>0</v>
      </c>
      <c r="C15" s="223" t="s">
        <v>5983</v>
      </c>
      <c r="D15" s="864" t="s">
        <v>5984</v>
      </c>
      <c r="E15" s="221" t="s">
        <v>5985</v>
      </c>
      <c r="F15" s="209" t="s">
        <v>5986</v>
      </c>
      <c r="G15" s="362" t="b">
        <v>1</v>
      </c>
      <c r="H15" s="348" t="s">
        <v>5987</v>
      </c>
    </row>
    <row r="16">
      <c r="A16" s="863">
        <v>14.0</v>
      </c>
      <c r="B16" s="362" t="b">
        <v>0</v>
      </c>
      <c r="C16" s="223" t="s">
        <v>5988</v>
      </c>
      <c r="D16" s="302" t="s">
        <v>5989</v>
      </c>
      <c r="E16" s="223">
        <v>9.05397203775E11</v>
      </c>
      <c r="F16" s="225" t="s">
        <v>5990</v>
      </c>
      <c r="G16" s="362" t="b">
        <v>1</v>
      </c>
      <c r="H16" s="348" t="s">
        <v>5945</v>
      </c>
    </row>
    <row r="17">
      <c r="A17" s="863">
        <v>15.0</v>
      </c>
      <c r="B17" s="362" t="b">
        <v>0</v>
      </c>
      <c r="C17" s="223" t="s">
        <v>5988</v>
      </c>
      <c r="D17" s="864" t="s">
        <v>5991</v>
      </c>
      <c r="E17" s="221" t="s">
        <v>5992</v>
      </c>
      <c r="F17" s="209" t="s">
        <v>5993</v>
      </c>
      <c r="G17" s="362" t="b">
        <v>1</v>
      </c>
      <c r="H17" s="348" t="s">
        <v>5945</v>
      </c>
    </row>
    <row r="18">
      <c r="A18" s="863">
        <v>16.0</v>
      </c>
      <c r="B18" s="362" t="b">
        <v>0</v>
      </c>
      <c r="C18" s="223" t="s">
        <v>5994</v>
      </c>
      <c r="D18" s="302" t="s">
        <v>5995</v>
      </c>
      <c r="E18" s="223" t="s">
        <v>5996</v>
      </c>
      <c r="F18" s="225" t="s">
        <v>5997</v>
      </c>
      <c r="G18" s="362" t="b">
        <v>1</v>
      </c>
      <c r="H18" s="348" t="s">
        <v>5956</v>
      </c>
    </row>
    <row r="19">
      <c r="A19" s="863">
        <v>17.0</v>
      </c>
      <c r="B19" s="362" t="b">
        <v>0</v>
      </c>
      <c r="C19" s="223" t="s">
        <v>5998</v>
      </c>
      <c r="D19" s="864" t="s">
        <v>5999</v>
      </c>
      <c r="E19" s="221" t="s">
        <v>6000</v>
      </c>
      <c r="F19" s="209" t="s">
        <v>6001</v>
      </c>
      <c r="G19" s="362" t="b">
        <v>1</v>
      </c>
      <c r="H19" s="348" t="s">
        <v>6002</v>
      </c>
    </row>
    <row r="20">
      <c r="A20" s="863">
        <v>18.0</v>
      </c>
      <c r="B20" s="362" t="b">
        <v>0</v>
      </c>
      <c r="C20" s="302" t="s">
        <v>6003</v>
      </c>
      <c r="D20" s="302" t="s">
        <v>6004</v>
      </c>
      <c r="E20" s="223" t="s">
        <v>6005</v>
      </c>
      <c r="F20" s="225" t="s">
        <v>6006</v>
      </c>
      <c r="G20" s="362" t="b">
        <v>1</v>
      </c>
      <c r="H20" s="348" t="s">
        <v>6007</v>
      </c>
    </row>
    <row r="21">
      <c r="A21" s="863">
        <v>19.0</v>
      </c>
      <c r="B21" s="362" t="b">
        <v>0</v>
      </c>
      <c r="C21" s="302" t="s">
        <v>6008</v>
      </c>
      <c r="D21" s="864" t="s">
        <v>6009</v>
      </c>
      <c r="E21" s="221">
        <v>7.841055506E9</v>
      </c>
      <c r="F21" s="209" t="s">
        <v>6010</v>
      </c>
      <c r="G21" s="362" t="b">
        <v>1</v>
      </c>
      <c r="H21" s="348" t="s">
        <v>5950</v>
      </c>
    </row>
    <row r="22">
      <c r="A22" s="863">
        <v>20.0</v>
      </c>
      <c r="B22" s="362" t="b">
        <v>0</v>
      </c>
      <c r="C22" s="223" t="s">
        <v>6011</v>
      </c>
      <c r="D22" s="223" t="s">
        <v>6012</v>
      </c>
      <c r="E22" s="223">
        <v>8.618923147516E12</v>
      </c>
      <c r="F22" s="225" t="s">
        <v>6013</v>
      </c>
      <c r="G22" s="362" t="b">
        <v>1</v>
      </c>
      <c r="H22" s="348" t="s">
        <v>6014</v>
      </c>
    </row>
    <row r="23">
      <c r="A23" s="863">
        <v>21.0</v>
      </c>
      <c r="B23" s="362" t="b">
        <v>0</v>
      </c>
      <c r="C23" s="223" t="s">
        <v>6015</v>
      </c>
      <c r="D23" s="221" t="s">
        <v>6016</v>
      </c>
      <c r="E23" s="221">
        <v>8.613395150727E12</v>
      </c>
      <c r="F23" s="209" t="s">
        <v>6017</v>
      </c>
      <c r="G23" s="362" t="b">
        <v>1</v>
      </c>
      <c r="H23" s="348" t="s">
        <v>6018</v>
      </c>
    </row>
    <row r="24">
      <c r="A24" s="863">
        <v>22.0</v>
      </c>
      <c r="B24" s="362" t="b">
        <v>0</v>
      </c>
      <c r="C24" s="302" t="s">
        <v>6019</v>
      </c>
      <c r="D24" s="223"/>
      <c r="E24" s="302" t="s">
        <v>6020</v>
      </c>
      <c r="F24" s="225" t="s">
        <v>6021</v>
      </c>
      <c r="G24" s="362" t="b">
        <v>1</v>
      </c>
      <c r="H24" s="348" t="s">
        <v>5963</v>
      </c>
    </row>
    <row r="25">
      <c r="A25" s="863">
        <v>23.0</v>
      </c>
      <c r="B25" s="362" t="b">
        <v>0</v>
      </c>
      <c r="C25" s="223" t="s">
        <v>6022</v>
      </c>
      <c r="D25" s="864" t="s">
        <v>6023</v>
      </c>
      <c r="E25" s="221" t="s">
        <v>6024</v>
      </c>
      <c r="F25" s="209" t="s">
        <v>6025</v>
      </c>
      <c r="G25" s="362" t="b">
        <v>1</v>
      </c>
      <c r="H25" s="348" t="s">
        <v>5950</v>
      </c>
    </row>
    <row r="26">
      <c r="A26" s="863">
        <v>24.0</v>
      </c>
      <c r="B26" s="362" t="b">
        <v>0</v>
      </c>
      <c r="C26" s="223" t="s">
        <v>6022</v>
      </c>
      <c r="D26" s="302" t="s">
        <v>6026</v>
      </c>
      <c r="E26" s="223">
        <v>7.501801144E9</v>
      </c>
      <c r="F26" s="865" t="s">
        <v>6027</v>
      </c>
      <c r="G26" s="362" t="b">
        <v>0</v>
      </c>
      <c r="H26" s="348" t="s">
        <v>5950</v>
      </c>
    </row>
    <row r="27">
      <c r="A27" s="863">
        <v>25.0</v>
      </c>
      <c r="B27" s="362" t="b">
        <v>0</v>
      </c>
      <c r="C27" s="302" t="s">
        <v>6028</v>
      </c>
      <c r="D27" s="221" t="s">
        <v>6029</v>
      </c>
      <c r="E27" s="221">
        <v>8.61358668044E12</v>
      </c>
      <c r="F27" s="209" t="s">
        <v>6030</v>
      </c>
      <c r="G27" s="362" t="b">
        <v>0</v>
      </c>
      <c r="H27" s="348" t="s">
        <v>5956</v>
      </c>
    </row>
    <row r="28">
      <c r="A28" s="863">
        <v>26.0</v>
      </c>
      <c r="B28" s="362" t="b">
        <v>0</v>
      </c>
      <c r="C28" s="223" t="s">
        <v>6031</v>
      </c>
      <c r="D28" s="302" t="s">
        <v>6032</v>
      </c>
      <c r="E28" s="223" t="s">
        <v>6033</v>
      </c>
      <c r="F28" s="225" t="s">
        <v>6034</v>
      </c>
      <c r="G28" s="362" t="b">
        <v>0</v>
      </c>
      <c r="H28" s="348" t="s">
        <v>6035</v>
      </c>
    </row>
    <row r="29">
      <c r="A29" s="863">
        <v>27.0</v>
      </c>
      <c r="B29" s="362" t="b">
        <v>0</v>
      </c>
      <c r="C29" s="302" t="s">
        <v>6036</v>
      </c>
      <c r="D29" s="864" t="s">
        <v>6037</v>
      </c>
      <c r="E29" s="221">
        <v>9.6650413614E11</v>
      </c>
      <c r="F29" s="209" t="s">
        <v>6038</v>
      </c>
      <c r="G29" s="362" t="b">
        <v>0</v>
      </c>
      <c r="H29" s="348" t="s">
        <v>6039</v>
      </c>
    </row>
    <row r="30">
      <c r="A30" s="863">
        <v>28.0</v>
      </c>
      <c r="B30" s="362" t="b">
        <v>0</v>
      </c>
      <c r="C30" s="302" t="s">
        <v>6040</v>
      </c>
      <c r="D30" s="302" t="s">
        <v>6041</v>
      </c>
      <c r="E30" s="302">
        <v>9.6176358609E10</v>
      </c>
      <c r="F30" s="225" t="s">
        <v>6042</v>
      </c>
      <c r="G30" s="362" t="b">
        <v>0</v>
      </c>
      <c r="H30" s="348" t="s">
        <v>6043</v>
      </c>
    </row>
    <row r="31">
      <c r="A31" s="863">
        <v>29.0</v>
      </c>
      <c r="B31" s="362" t="b">
        <v>0</v>
      </c>
      <c r="C31" s="223" t="s">
        <v>6044</v>
      </c>
      <c r="D31" s="221"/>
      <c r="E31" s="864" t="s">
        <v>6045</v>
      </c>
      <c r="F31" s="209" t="s">
        <v>3800</v>
      </c>
      <c r="G31" s="362" t="b">
        <v>0</v>
      </c>
      <c r="H31" s="348" t="s">
        <v>6043</v>
      </c>
    </row>
    <row r="32">
      <c r="A32" s="863">
        <v>30.0</v>
      </c>
      <c r="B32" s="362" t="b">
        <v>0</v>
      </c>
      <c r="C32" s="223" t="s">
        <v>6046</v>
      </c>
      <c r="D32" s="302" t="s">
        <v>6047</v>
      </c>
      <c r="E32" s="223" t="s">
        <v>6048</v>
      </c>
      <c r="F32" s="225" t="s">
        <v>6049</v>
      </c>
      <c r="G32" s="362" t="b">
        <v>0</v>
      </c>
      <c r="H32" s="348" t="s">
        <v>6050</v>
      </c>
    </row>
    <row r="33">
      <c r="A33" s="863">
        <v>31.0</v>
      </c>
      <c r="B33" s="362" t="b">
        <v>0</v>
      </c>
      <c r="C33" s="223" t="s">
        <v>6051</v>
      </c>
      <c r="D33" s="864" t="s">
        <v>6052</v>
      </c>
      <c r="E33" s="221">
        <v>7.706894747E9</v>
      </c>
      <c r="F33" s="209" t="s">
        <v>6053</v>
      </c>
      <c r="G33" s="362" t="b">
        <v>0</v>
      </c>
      <c r="H33" s="348" t="s">
        <v>6054</v>
      </c>
    </row>
    <row r="34">
      <c r="A34" s="863">
        <v>32.0</v>
      </c>
      <c r="B34" s="362" t="b">
        <v>0</v>
      </c>
      <c r="C34" s="223" t="s">
        <v>6055</v>
      </c>
      <c r="D34" s="223"/>
      <c r="E34" s="302" t="s">
        <v>6056</v>
      </c>
      <c r="F34" s="225" t="s">
        <v>6057</v>
      </c>
      <c r="G34" s="362" t="b">
        <v>0</v>
      </c>
      <c r="H34" s="348" t="s">
        <v>5950</v>
      </c>
    </row>
    <row r="35">
      <c r="A35" s="863">
        <v>33.0</v>
      </c>
      <c r="B35" s="362" t="b">
        <v>0</v>
      </c>
      <c r="C35" s="223" t="s">
        <v>3666</v>
      </c>
      <c r="D35" s="221"/>
      <c r="E35" s="864" t="s">
        <v>6058</v>
      </c>
      <c r="F35" s="209" t="s">
        <v>6059</v>
      </c>
      <c r="G35" s="362" t="b">
        <v>0</v>
      </c>
      <c r="H35" s="348" t="s">
        <v>6060</v>
      </c>
    </row>
    <row r="36">
      <c r="A36" s="863">
        <v>34.0</v>
      </c>
      <c r="B36" s="362" t="b">
        <v>0</v>
      </c>
      <c r="C36" s="236" t="s">
        <v>6061</v>
      </c>
      <c r="D36" s="302" t="s">
        <v>6062</v>
      </c>
      <c r="E36" s="302" t="s">
        <v>6063</v>
      </c>
      <c r="F36" s="225" t="s">
        <v>6064</v>
      </c>
      <c r="G36" s="362" t="b">
        <v>0</v>
      </c>
      <c r="H36" s="348" t="s">
        <v>5950</v>
      </c>
    </row>
    <row r="37">
      <c r="A37" s="863">
        <v>35.0</v>
      </c>
      <c r="B37" s="362" t="b">
        <v>0</v>
      </c>
      <c r="C37" s="223" t="s">
        <v>6065</v>
      </c>
      <c r="D37" s="864" t="s">
        <v>6066</v>
      </c>
      <c r="E37" s="221">
        <v>7.86995E8</v>
      </c>
      <c r="F37" s="209" t="s">
        <v>6067</v>
      </c>
      <c r="G37" s="362" t="b">
        <v>0</v>
      </c>
      <c r="H37" s="348" t="s">
        <v>5950</v>
      </c>
    </row>
    <row r="38">
      <c r="A38" s="863">
        <v>36.0</v>
      </c>
      <c r="B38" s="362" t="b">
        <v>0</v>
      </c>
      <c r="C38" s="223" t="s">
        <v>6068</v>
      </c>
      <c r="D38" s="302" t="s">
        <v>6069</v>
      </c>
      <c r="E38" s="223" t="s">
        <v>6070</v>
      </c>
      <c r="F38" s="225" t="s">
        <v>3802</v>
      </c>
      <c r="G38" s="362" t="b">
        <v>0</v>
      </c>
      <c r="H38" s="348" t="s">
        <v>5950</v>
      </c>
    </row>
    <row r="39">
      <c r="A39" s="863">
        <v>37.0</v>
      </c>
      <c r="B39" s="362" t="b">
        <v>0</v>
      </c>
      <c r="C39" s="223" t="s">
        <v>6071</v>
      </c>
      <c r="D39" s="221"/>
      <c r="E39" s="864" t="s">
        <v>6072</v>
      </c>
      <c r="F39" s="209" t="s">
        <v>6073</v>
      </c>
      <c r="G39" s="362" t="b">
        <v>0</v>
      </c>
      <c r="H39" s="348" t="s">
        <v>5950</v>
      </c>
    </row>
    <row r="40">
      <c r="A40" s="863">
        <v>38.0</v>
      </c>
      <c r="B40" s="362" t="b">
        <v>0</v>
      </c>
      <c r="C40" s="223" t="s">
        <v>6074</v>
      </c>
      <c r="D40" s="223"/>
      <c r="E40" s="866">
        <v>6995.0</v>
      </c>
      <c r="F40" s="866" t="s">
        <v>6075</v>
      </c>
      <c r="G40" s="362" t="b">
        <v>0</v>
      </c>
      <c r="H40" s="348" t="s">
        <v>5950</v>
      </c>
    </row>
    <row r="41">
      <c r="A41" s="863">
        <v>39.0</v>
      </c>
      <c r="B41" s="362" t="b">
        <v>0</v>
      </c>
      <c r="C41" s="867" t="s">
        <v>6076</v>
      </c>
      <c r="D41" s="864" t="s">
        <v>6077</v>
      </c>
      <c r="E41" s="221" t="s">
        <v>6078</v>
      </c>
      <c r="F41" s="209" t="s">
        <v>6079</v>
      </c>
      <c r="G41" s="362" t="b">
        <v>0</v>
      </c>
      <c r="H41" s="348" t="s">
        <v>6080</v>
      </c>
    </row>
    <row r="42">
      <c r="A42" s="863">
        <v>40.0</v>
      </c>
      <c r="B42" s="362" t="b">
        <v>0</v>
      </c>
      <c r="C42" s="223" t="s">
        <v>6081</v>
      </c>
      <c r="D42" s="302" t="s">
        <v>6082</v>
      </c>
      <c r="E42" s="223" t="s">
        <v>6083</v>
      </c>
      <c r="F42" s="225" t="s">
        <v>6084</v>
      </c>
      <c r="G42" s="362" t="b">
        <v>0</v>
      </c>
      <c r="H42" s="348" t="s">
        <v>2455</v>
      </c>
    </row>
    <row r="43">
      <c r="A43" s="863">
        <v>41.0</v>
      </c>
      <c r="B43" s="362" t="b">
        <v>0</v>
      </c>
      <c r="C43" s="223" t="s">
        <v>6085</v>
      </c>
      <c r="D43" s="864" t="s">
        <v>6086</v>
      </c>
      <c r="E43" s="221" t="s">
        <v>6087</v>
      </c>
      <c r="F43" s="209" t="s">
        <v>6088</v>
      </c>
      <c r="G43" s="362" t="b">
        <v>0</v>
      </c>
      <c r="H43" s="348" t="s">
        <v>5950</v>
      </c>
    </row>
    <row r="44">
      <c r="A44" s="863">
        <v>42.0</v>
      </c>
      <c r="B44" s="362" t="b">
        <v>0</v>
      </c>
      <c r="C44" s="223" t="s">
        <v>6089</v>
      </c>
      <c r="D44" s="302" t="s">
        <v>6090</v>
      </c>
      <c r="E44" s="302" t="s">
        <v>6091</v>
      </c>
      <c r="F44" s="225" t="s">
        <v>6092</v>
      </c>
      <c r="G44" s="362" t="b">
        <v>0</v>
      </c>
      <c r="H44" s="348" t="s">
        <v>5945</v>
      </c>
    </row>
    <row r="45">
      <c r="A45" s="863">
        <v>43.0</v>
      </c>
      <c r="B45" s="362" t="b">
        <v>0</v>
      </c>
      <c r="C45" s="223" t="s">
        <v>6093</v>
      </c>
      <c r="D45" s="221"/>
      <c r="E45" s="864" t="s">
        <v>6094</v>
      </c>
      <c r="F45" s="209" t="s">
        <v>6095</v>
      </c>
      <c r="G45" s="362" t="b">
        <v>0</v>
      </c>
      <c r="H45" s="348" t="s">
        <v>2455</v>
      </c>
    </row>
    <row r="46">
      <c r="A46" s="863">
        <v>44.0</v>
      </c>
      <c r="B46" s="362" t="b">
        <v>0</v>
      </c>
      <c r="C46" s="223" t="s">
        <v>6096</v>
      </c>
      <c r="D46" s="302" t="s">
        <v>6097</v>
      </c>
      <c r="E46" s="223">
        <v>8.619047952562E12</v>
      </c>
      <c r="F46" s="225" t="s">
        <v>6098</v>
      </c>
      <c r="G46" s="362" t="b">
        <v>0</v>
      </c>
      <c r="H46" s="348" t="s">
        <v>5956</v>
      </c>
    </row>
    <row r="47">
      <c r="A47" s="863">
        <v>45.0</v>
      </c>
      <c r="B47" s="362" t="b">
        <v>0</v>
      </c>
      <c r="C47" s="223" t="s">
        <v>6099</v>
      </c>
      <c r="D47" s="864" t="s">
        <v>6100</v>
      </c>
      <c r="E47" s="221">
        <v>8.613700286618E12</v>
      </c>
      <c r="F47" s="209" t="s">
        <v>6101</v>
      </c>
      <c r="G47" s="362" t="b">
        <v>0</v>
      </c>
      <c r="H47" s="348" t="s">
        <v>5956</v>
      </c>
    </row>
    <row r="48">
      <c r="A48" s="863">
        <v>46.0</v>
      </c>
      <c r="B48" s="362" t="b">
        <v>0</v>
      </c>
      <c r="C48" s="223" t="s">
        <v>6102</v>
      </c>
      <c r="D48" s="302" t="s">
        <v>6103</v>
      </c>
      <c r="E48" s="223" t="s">
        <v>6104</v>
      </c>
      <c r="F48" s="225" t="s">
        <v>6105</v>
      </c>
      <c r="G48" s="362" t="b">
        <v>0</v>
      </c>
      <c r="H48" s="348" t="s">
        <v>2455</v>
      </c>
    </row>
    <row r="49">
      <c r="A49" s="863">
        <v>47.0</v>
      </c>
      <c r="B49" s="362" t="b">
        <v>0</v>
      </c>
      <c r="C49" s="223" t="s">
        <v>6106</v>
      </c>
      <c r="D49" s="221"/>
      <c r="E49" s="221">
        <v>9.05438852251E11</v>
      </c>
      <c r="F49" s="868" t="s">
        <v>6107</v>
      </c>
      <c r="G49" s="362" t="b">
        <v>0</v>
      </c>
      <c r="H49" s="348" t="s">
        <v>6108</v>
      </c>
    </row>
    <row r="50">
      <c r="A50" s="863">
        <v>48.0</v>
      </c>
      <c r="B50" s="362" t="b">
        <v>0</v>
      </c>
      <c r="C50" s="223" t="s">
        <v>6109</v>
      </c>
      <c r="D50" s="223"/>
      <c r="E50" s="235" t="s">
        <v>6110</v>
      </c>
      <c r="F50" s="869" t="s">
        <v>6111</v>
      </c>
      <c r="G50" s="362" t="b">
        <v>0</v>
      </c>
      <c r="H50" s="348" t="s">
        <v>5950</v>
      </c>
    </row>
    <row r="51">
      <c r="A51" s="863">
        <v>49.0</v>
      </c>
      <c r="B51" s="362" t="b">
        <v>0</v>
      </c>
      <c r="C51" s="302" t="s">
        <v>6112</v>
      </c>
      <c r="D51" s="221"/>
      <c r="E51" s="221" t="s">
        <v>6113</v>
      </c>
      <c r="F51" s="870" t="s">
        <v>6114</v>
      </c>
      <c r="G51" s="362" t="b">
        <v>0</v>
      </c>
      <c r="H51" s="348" t="s">
        <v>5950</v>
      </c>
    </row>
    <row r="52">
      <c r="A52" s="863">
        <v>50.0</v>
      </c>
      <c r="B52" s="362" t="b">
        <v>0</v>
      </c>
      <c r="C52" s="302" t="s">
        <v>6115</v>
      </c>
      <c r="D52" s="223"/>
      <c r="E52" s="871" t="s">
        <v>6116</v>
      </c>
      <c r="F52" s="872" t="s">
        <v>6117</v>
      </c>
      <c r="G52" s="362" t="b">
        <v>0</v>
      </c>
      <c r="H52" s="348" t="s">
        <v>5950</v>
      </c>
    </row>
    <row r="53">
      <c r="A53" s="863">
        <v>51.0</v>
      </c>
      <c r="B53" s="362" t="b">
        <v>0</v>
      </c>
      <c r="C53" s="223" t="s">
        <v>6118</v>
      </c>
      <c r="D53" s="221"/>
      <c r="E53" s="221">
        <v>9.0216660089E11</v>
      </c>
      <c r="F53" s="873" t="s">
        <v>6119</v>
      </c>
      <c r="G53" s="362" t="b">
        <v>0</v>
      </c>
      <c r="H53" s="348" t="s">
        <v>2455</v>
      </c>
    </row>
    <row r="54">
      <c r="A54" s="863">
        <v>52.0</v>
      </c>
      <c r="B54" s="362" t="b">
        <v>0</v>
      </c>
      <c r="C54" s="223" t="s">
        <v>3639</v>
      </c>
      <c r="D54" s="223"/>
      <c r="E54" s="223">
        <v>9.647856663666E12</v>
      </c>
      <c r="F54" s="874" t="s">
        <v>6120</v>
      </c>
      <c r="G54" s="362" t="b">
        <v>0</v>
      </c>
      <c r="H54" s="348" t="s">
        <v>5950</v>
      </c>
    </row>
    <row r="55">
      <c r="A55" s="863">
        <v>53.0</v>
      </c>
      <c r="B55" s="362" t="b">
        <v>0</v>
      </c>
      <c r="C55" s="223" t="s">
        <v>6121</v>
      </c>
      <c r="D55" s="221"/>
      <c r="E55" s="333" t="s">
        <v>6122</v>
      </c>
      <c r="F55" s="209" t="s">
        <v>6123</v>
      </c>
      <c r="G55" s="362" t="b">
        <v>0</v>
      </c>
      <c r="H55" s="348" t="s">
        <v>2455</v>
      </c>
    </row>
    <row r="56">
      <c r="A56" s="863">
        <v>54.0</v>
      </c>
      <c r="B56" s="362" t="b">
        <v>0</v>
      </c>
      <c r="C56" s="223" t="s">
        <v>6124</v>
      </c>
      <c r="D56" s="223"/>
      <c r="E56" s="223" t="s">
        <v>6125</v>
      </c>
      <c r="F56" s="225" t="s">
        <v>6126</v>
      </c>
      <c r="G56" s="362" t="b">
        <v>0</v>
      </c>
      <c r="H56" s="348" t="s">
        <v>6127</v>
      </c>
    </row>
    <row r="57">
      <c r="A57" s="863">
        <v>55.0</v>
      </c>
      <c r="B57" s="362" t="b">
        <v>0</v>
      </c>
      <c r="C57" s="302" t="s">
        <v>6128</v>
      </c>
      <c r="D57" s="221"/>
      <c r="E57" s="221" t="s">
        <v>6129</v>
      </c>
      <c r="F57" s="209" t="s">
        <v>6130</v>
      </c>
      <c r="G57" s="362" t="b">
        <v>0</v>
      </c>
      <c r="H57" s="348" t="s">
        <v>6131</v>
      </c>
    </row>
    <row r="58">
      <c r="A58" s="863">
        <v>56.0</v>
      </c>
      <c r="B58" s="362" t="b">
        <v>0</v>
      </c>
      <c r="C58" s="223" t="s">
        <v>6132</v>
      </c>
      <c r="D58" s="223"/>
      <c r="E58" s="296" t="s">
        <v>6133</v>
      </c>
      <c r="F58" s="875" t="s">
        <v>6134</v>
      </c>
      <c r="G58" s="362" t="b">
        <v>0</v>
      </c>
      <c r="H58" s="348" t="s">
        <v>2455</v>
      </c>
    </row>
    <row r="59">
      <c r="A59" s="863">
        <v>57.0</v>
      </c>
      <c r="B59" s="362" t="b">
        <v>0</v>
      </c>
      <c r="C59" s="876" t="s">
        <v>6135</v>
      </c>
      <c r="D59" s="221" t="s">
        <v>6136</v>
      </c>
      <c r="E59" s="221">
        <v>9.02163145411E11</v>
      </c>
      <c r="F59" s="209" t="s">
        <v>6137</v>
      </c>
      <c r="G59" s="362" t="b">
        <v>0</v>
      </c>
      <c r="H59" s="348" t="s">
        <v>5945</v>
      </c>
    </row>
    <row r="60">
      <c r="A60" s="863">
        <v>58.0</v>
      </c>
      <c r="B60" s="362" t="b">
        <v>0</v>
      </c>
      <c r="C60" s="223" t="s">
        <v>6138</v>
      </c>
      <c r="D60" s="223"/>
      <c r="E60" s="223" t="s">
        <v>6139</v>
      </c>
      <c r="F60" s="225" t="s">
        <v>6140</v>
      </c>
      <c r="G60" s="362" t="b">
        <v>0</v>
      </c>
      <c r="H60" s="348" t="s">
        <v>6141</v>
      </c>
    </row>
    <row r="61" ht="25.5" customHeight="1">
      <c r="A61" s="863">
        <v>59.0</v>
      </c>
      <c r="B61" s="362" t="b">
        <v>0</v>
      </c>
      <c r="C61" s="877" t="s">
        <v>6142</v>
      </c>
      <c r="D61" s="878"/>
      <c r="E61" s="878"/>
      <c r="F61" s="878"/>
      <c r="G61" s="362" t="b">
        <v>0</v>
      </c>
      <c r="H61" s="879"/>
    </row>
    <row r="62">
      <c r="A62" s="863">
        <v>60.0</v>
      </c>
      <c r="B62" s="362" t="b">
        <v>0</v>
      </c>
      <c r="C62" s="223" t="s">
        <v>6143</v>
      </c>
      <c r="D62" s="223"/>
      <c r="E62" s="223" t="s">
        <v>6144</v>
      </c>
      <c r="F62" s="225" t="s">
        <v>6145</v>
      </c>
      <c r="G62" s="362" t="b">
        <v>0</v>
      </c>
      <c r="H62" s="348" t="s">
        <v>6146</v>
      </c>
    </row>
    <row r="63">
      <c r="A63" s="863">
        <v>61.0</v>
      </c>
      <c r="B63" s="362" t="b">
        <v>0</v>
      </c>
      <c r="C63" s="302" t="s">
        <v>6147</v>
      </c>
      <c r="D63" s="221"/>
      <c r="E63" s="221">
        <v>1.8823166853E10</v>
      </c>
      <c r="F63" s="209" t="s">
        <v>6148</v>
      </c>
      <c r="G63" s="362" t="b">
        <v>0</v>
      </c>
      <c r="H63" s="348" t="s">
        <v>5956</v>
      </c>
    </row>
    <row r="64">
      <c r="A64" s="863">
        <v>62.0</v>
      </c>
      <c r="B64" s="362" t="b">
        <v>0</v>
      </c>
      <c r="C64" s="223" t="s">
        <v>6149</v>
      </c>
      <c r="D64" s="223"/>
      <c r="E64" s="223">
        <v>9.617028389E10</v>
      </c>
      <c r="F64" s="225" t="s">
        <v>6150</v>
      </c>
      <c r="G64" s="362" t="b">
        <v>0</v>
      </c>
      <c r="H64" s="344"/>
    </row>
    <row r="65">
      <c r="A65" s="863">
        <v>63.0</v>
      </c>
      <c r="B65" s="362" t="b">
        <v>0</v>
      </c>
      <c r="C65" s="223" t="s">
        <v>6151</v>
      </c>
      <c r="D65" s="221"/>
      <c r="E65" s="221" t="s">
        <v>6152</v>
      </c>
      <c r="F65" s="209" t="s">
        <v>6153</v>
      </c>
      <c r="G65" s="362" t="b">
        <v>0</v>
      </c>
      <c r="H65" s="348" t="s">
        <v>6146</v>
      </c>
    </row>
    <row r="66">
      <c r="A66" s="863">
        <v>64.0</v>
      </c>
      <c r="B66" s="362" t="b">
        <v>0</v>
      </c>
      <c r="C66" s="223" t="s">
        <v>6154</v>
      </c>
      <c r="D66" s="223"/>
      <c r="E66" s="223" t="s">
        <v>6155</v>
      </c>
      <c r="F66" s="880" t="s">
        <v>6156</v>
      </c>
      <c r="G66" s="362" t="b">
        <v>0</v>
      </c>
      <c r="H66" s="344"/>
    </row>
    <row r="67">
      <c r="A67" s="863">
        <v>65.0</v>
      </c>
      <c r="B67" s="362" t="b">
        <v>0</v>
      </c>
      <c r="C67" s="302" t="s">
        <v>6157</v>
      </c>
      <c r="D67" s="221"/>
      <c r="E67" s="221">
        <v>1.7742605103E10</v>
      </c>
      <c r="F67" s="881" t="s">
        <v>6158</v>
      </c>
      <c r="G67" s="362" t="b">
        <v>0</v>
      </c>
      <c r="H67" s="348" t="s">
        <v>5956</v>
      </c>
    </row>
    <row r="68">
      <c r="A68" s="863">
        <v>66.0</v>
      </c>
      <c r="B68" s="362" t="b">
        <v>0</v>
      </c>
      <c r="C68" s="223" t="s">
        <v>6159</v>
      </c>
      <c r="D68" s="223"/>
      <c r="E68" s="223">
        <v>9.6179163965E10</v>
      </c>
      <c r="F68" s="225"/>
      <c r="G68" s="362" t="b">
        <v>0</v>
      </c>
      <c r="H68" s="348" t="s">
        <v>6160</v>
      </c>
    </row>
    <row r="69">
      <c r="A69" s="863">
        <v>67.0</v>
      </c>
      <c r="B69" s="362" t="b">
        <v>0</v>
      </c>
      <c r="C69" s="223" t="s">
        <v>6161</v>
      </c>
      <c r="D69" s="221"/>
      <c r="E69" s="221"/>
      <c r="F69" s="209" t="s">
        <v>6162</v>
      </c>
      <c r="G69" s="362" t="b">
        <v>0</v>
      </c>
      <c r="H69" s="348" t="s">
        <v>6160</v>
      </c>
    </row>
    <row r="70">
      <c r="A70" s="863">
        <v>68.0</v>
      </c>
      <c r="B70" s="362" t="b">
        <v>0</v>
      </c>
      <c r="C70" s="223" t="s">
        <v>6163</v>
      </c>
      <c r="D70" s="223"/>
      <c r="E70" s="818" t="s">
        <v>6164</v>
      </c>
      <c r="F70" s="882" t="s">
        <v>6165</v>
      </c>
      <c r="G70" s="362" t="b">
        <v>0</v>
      </c>
      <c r="H70" s="348" t="s">
        <v>6166</v>
      </c>
    </row>
    <row r="71">
      <c r="A71" s="863">
        <v>69.0</v>
      </c>
      <c r="B71" s="362" t="b">
        <v>0</v>
      </c>
      <c r="C71" s="223" t="s">
        <v>6167</v>
      </c>
      <c r="D71" s="221"/>
      <c r="E71" s="221" t="s">
        <v>6168</v>
      </c>
      <c r="F71" s="209" t="s">
        <v>6169</v>
      </c>
      <c r="G71" s="362" t="b">
        <v>0</v>
      </c>
      <c r="H71" s="348" t="s">
        <v>6160</v>
      </c>
    </row>
    <row r="72">
      <c r="A72" s="863">
        <v>70.0</v>
      </c>
      <c r="B72" s="362" t="b">
        <v>0</v>
      </c>
      <c r="C72" s="302" t="s">
        <v>6170</v>
      </c>
      <c r="D72" s="223"/>
      <c r="E72" s="223">
        <v>1.83120644809E11</v>
      </c>
      <c r="F72" s="225" t="s">
        <v>6171</v>
      </c>
      <c r="G72" s="362" t="b">
        <v>0</v>
      </c>
      <c r="H72" s="348" t="s">
        <v>5956</v>
      </c>
    </row>
    <row r="73">
      <c r="A73" s="863">
        <v>71.0</v>
      </c>
      <c r="B73" s="362" t="b">
        <v>0</v>
      </c>
      <c r="C73" s="302" t="s">
        <v>6172</v>
      </c>
      <c r="D73" s="221"/>
      <c r="E73" s="221" t="s">
        <v>6173</v>
      </c>
      <c r="F73" s="209" t="s">
        <v>6174</v>
      </c>
      <c r="G73" s="362" t="b">
        <v>0</v>
      </c>
      <c r="H73" s="348" t="s">
        <v>6160</v>
      </c>
    </row>
    <row r="74">
      <c r="A74" s="863">
        <v>72.0</v>
      </c>
      <c r="B74" s="362" t="b">
        <v>0</v>
      </c>
      <c r="C74" s="302" t="s">
        <v>6175</v>
      </c>
      <c r="D74" s="223"/>
      <c r="E74" s="223">
        <v>1.3771037461E10</v>
      </c>
      <c r="F74" s="225" t="s">
        <v>6176</v>
      </c>
      <c r="G74" s="362" t="b">
        <v>0</v>
      </c>
      <c r="H74" s="348" t="s">
        <v>5956</v>
      </c>
    </row>
    <row r="75">
      <c r="A75" s="863">
        <v>73.0</v>
      </c>
      <c r="B75" s="362" t="b">
        <v>0</v>
      </c>
      <c r="C75" s="223" t="s">
        <v>6177</v>
      </c>
      <c r="D75" s="221"/>
      <c r="E75" s="221">
        <v>8.67558451536E12</v>
      </c>
      <c r="F75" s="209" t="s">
        <v>6178</v>
      </c>
      <c r="G75" s="362" t="b">
        <v>0</v>
      </c>
      <c r="H75" s="348" t="s">
        <v>5956</v>
      </c>
    </row>
    <row r="76">
      <c r="A76" s="863">
        <v>74.0</v>
      </c>
      <c r="B76" s="362" t="b">
        <v>0</v>
      </c>
      <c r="C76" s="302" t="s">
        <v>6179</v>
      </c>
      <c r="D76" s="223"/>
      <c r="E76" s="223">
        <v>7.55274719E10</v>
      </c>
      <c r="F76" s="225" t="s">
        <v>6180</v>
      </c>
      <c r="G76" s="362" t="b">
        <v>0</v>
      </c>
      <c r="H76" s="348" t="s">
        <v>5956</v>
      </c>
    </row>
    <row r="77">
      <c r="A77" s="863">
        <v>75.0</v>
      </c>
      <c r="B77" s="362" t="b">
        <v>0</v>
      </c>
      <c r="C77" s="302" t="s">
        <v>6181</v>
      </c>
      <c r="D77" s="221"/>
      <c r="E77" s="221" t="s">
        <v>6182</v>
      </c>
      <c r="F77" s="209" t="s">
        <v>6183</v>
      </c>
      <c r="G77" s="362" t="b">
        <v>0</v>
      </c>
      <c r="H77" s="348" t="s">
        <v>6160</v>
      </c>
    </row>
    <row r="78">
      <c r="A78" s="863">
        <v>76.0</v>
      </c>
      <c r="B78" s="362" t="b">
        <v>0</v>
      </c>
      <c r="C78" s="223" t="s">
        <v>6184</v>
      </c>
      <c r="D78" s="223"/>
      <c r="E78" s="223">
        <v>9.6178863252E10</v>
      </c>
      <c r="F78" s="225" t="s">
        <v>6185</v>
      </c>
      <c r="G78" s="362" t="b">
        <v>0</v>
      </c>
      <c r="H78" s="348" t="s">
        <v>6186</v>
      </c>
    </row>
    <row r="79">
      <c r="A79" s="863">
        <v>77.0</v>
      </c>
      <c r="B79" s="362" t="b">
        <v>0</v>
      </c>
      <c r="C79" s="223" t="s">
        <v>6187</v>
      </c>
      <c r="D79" s="221"/>
      <c r="E79" s="221"/>
      <c r="F79" s="209" t="s">
        <v>6188</v>
      </c>
      <c r="G79" s="362" t="b">
        <v>0</v>
      </c>
      <c r="H79" s="344"/>
    </row>
    <row r="80">
      <c r="A80" s="863">
        <v>78.0</v>
      </c>
      <c r="B80" s="362" t="b">
        <v>0</v>
      </c>
      <c r="C80" s="223" t="s">
        <v>6189</v>
      </c>
      <c r="D80" s="223"/>
      <c r="E80" s="223" t="s">
        <v>6190</v>
      </c>
      <c r="F80" s="225" t="s">
        <v>6191</v>
      </c>
      <c r="G80" s="362" t="b">
        <v>0</v>
      </c>
      <c r="H80" s="348" t="s">
        <v>6192</v>
      </c>
    </row>
    <row r="81">
      <c r="A81" s="863">
        <v>79.0</v>
      </c>
      <c r="B81" s="362" t="b">
        <v>0</v>
      </c>
      <c r="C81" s="223" t="s">
        <v>6193</v>
      </c>
      <c r="D81" s="221"/>
      <c r="E81" s="221" t="s">
        <v>6194</v>
      </c>
      <c r="F81" s="209" t="s">
        <v>6195</v>
      </c>
      <c r="G81" s="362" t="b">
        <v>0</v>
      </c>
      <c r="H81" s="348" t="s">
        <v>6192</v>
      </c>
    </row>
    <row r="82">
      <c r="A82" s="863">
        <v>80.0</v>
      </c>
      <c r="B82" s="362" t="b">
        <v>0</v>
      </c>
      <c r="C82" s="223" t="s">
        <v>6196</v>
      </c>
      <c r="D82" s="223"/>
      <c r="E82" s="223" t="s">
        <v>6197</v>
      </c>
      <c r="F82" s="225" t="s">
        <v>6198</v>
      </c>
      <c r="G82" s="362" t="b">
        <v>0</v>
      </c>
      <c r="H82" s="348" t="s">
        <v>6199</v>
      </c>
    </row>
    <row r="83">
      <c r="A83" s="863">
        <v>81.0</v>
      </c>
      <c r="B83" s="362" t="b">
        <v>0</v>
      </c>
      <c r="C83" s="223" t="s">
        <v>6200</v>
      </c>
      <c r="D83" s="221"/>
      <c r="E83" s="883" t="s">
        <v>6201</v>
      </c>
      <c r="F83" s="884" t="s">
        <v>6202</v>
      </c>
      <c r="G83" s="362" t="b">
        <v>0</v>
      </c>
      <c r="H83" s="344"/>
    </row>
    <row r="84">
      <c r="A84" s="863">
        <v>82.0</v>
      </c>
      <c r="B84" s="362" t="b">
        <v>0</v>
      </c>
      <c r="C84" s="223" t="s">
        <v>6203</v>
      </c>
      <c r="D84" s="223"/>
      <c r="E84" s="302" t="s">
        <v>6204</v>
      </c>
      <c r="F84" s="333" t="s">
        <v>6205</v>
      </c>
      <c r="G84" s="362" t="b">
        <v>0</v>
      </c>
      <c r="H84" s="348" t="s">
        <v>6206</v>
      </c>
    </row>
    <row r="85">
      <c r="A85" s="863">
        <v>83.0</v>
      </c>
      <c r="B85" s="362" t="b">
        <v>0</v>
      </c>
      <c r="C85" s="223" t="s">
        <v>6207</v>
      </c>
      <c r="D85" s="221"/>
      <c r="E85" s="221" t="s">
        <v>6208</v>
      </c>
      <c r="F85" s="225" t="s">
        <v>6209</v>
      </c>
      <c r="G85" s="362" t="b">
        <v>0</v>
      </c>
      <c r="H85" s="885" t="s">
        <v>6210</v>
      </c>
    </row>
    <row r="86">
      <c r="A86" s="863">
        <v>84.0</v>
      </c>
      <c r="B86" s="362" t="b">
        <v>0</v>
      </c>
      <c r="C86" s="302" t="s">
        <v>6211</v>
      </c>
      <c r="D86" s="223"/>
      <c r="E86" s="886" t="s">
        <v>6212</v>
      </c>
      <c r="F86" s="887" t="s">
        <v>6213</v>
      </c>
      <c r="G86" s="362" t="b">
        <v>0</v>
      </c>
      <c r="H86" s="348" t="s">
        <v>5956</v>
      </c>
    </row>
    <row r="87">
      <c r="A87" s="863">
        <v>85.0</v>
      </c>
      <c r="B87" s="362" t="b">
        <v>0</v>
      </c>
      <c r="C87" s="223" t="s">
        <v>6214</v>
      </c>
      <c r="D87" s="221"/>
      <c r="E87" s="221">
        <v>9.18977926116E11</v>
      </c>
      <c r="F87" s="888" t="s">
        <v>6215</v>
      </c>
      <c r="G87" s="362" t="b">
        <v>0</v>
      </c>
      <c r="H87" s="348" t="s">
        <v>6199</v>
      </c>
    </row>
    <row r="88">
      <c r="A88" s="863">
        <v>86.0</v>
      </c>
      <c r="B88" s="362" t="b">
        <v>0</v>
      </c>
      <c r="C88" s="223" t="s">
        <v>6216</v>
      </c>
      <c r="D88" s="223"/>
      <c r="E88" s="223">
        <v>9.611250633E9</v>
      </c>
      <c r="F88" s="209" t="s">
        <v>6217</v>
      </c>
      <c r="G88" s="362" t="b">
        <v>0</v>
      </c>
      <c r="H88" s="348" t="s">
        <v>6206</v>
      </c>
    </row>
    <row r="89">
      <c r="A89" s="863">
        <v>87.0</v>
      </c>
      <c r="B89" s="362" t="b">
        <v>0</v>
      </c>
      <c r="C89" s="223" t="s">
        <v>6218</v>
      </c>
      <c r="D89" s="221"/>
      <c r="E89" s="221" t="s">
        <v>6219</v>
      </c>
      <c r="F89" s="889" t="s">
        <v>6220</v>
      </c>
      <c r="G89" s="362" t="b">
        <v>0</v>
      </c>
      <c r="H89" s="348" t="s">
        <v>6221</v>
      </c>
    </row>
    <row r="90">
      <c r="A90" s="863">
        <v>88.0</v>
      </c>
      <c r="B90" s="362" t="b">
        <v>0</v>
      </c>
      <c r="C90" s="302" t="s">
        <v>6222</v>
      </c>
      <c r="D90" s="223"/>
      <c r="E90" s="890" t="s">
        <v>6223</v>
      </c>
      <c r="F90" s="225"/>
      <c r="G90" s="362" t="b">
        <v>0</v>
      </c>
      <c r="H90" s="344"/>
    </row>
    <row r="91">
      <c r="A91" s="863">
        <v>89.0</v>
      </c>
      <c r="B91" s="362" t="b">
        <v>0</v>
      </c>
      <c r="C91" s="302" t="s">
        <v>6224</v>
      </c>
      <c r="D91" s="221"/>
      <c r="E91" s="891" t="s">
        <v>6225</v>
      </c>
      <c r="F91" s="892" t="s">
        <v>6226</v>
      </c>
      <c r="G91" s="362" t="b">
        <v>0</v>
      </c>
      <c r="H91" s="348" t="s">
        <v>6227</v>
      </c>
    </row>
    <row r="92">
      <c r="A92" s="863">
        <v>90.0</v>
      </c>
      <c r="B92" s="362" t="b">
        <v>0</v>
      </c>
      <c r="C92" s="302" t="s">
        <v>6228</v>
      </c>
      <c r="D92" s="223"/>
      <c r="E92" s="893" t="s">
        <v>6229</v>
      </c>
      <c r="F92" s="894" t="s">
        <v>6230</v>
      </c>
      <c r="G92" s="362" t="b">
        <v>0</v>
      </c>
      <c r="H92" s="348" t="s">
        <v>5956</v>
      </c>
    </row>
    <row r="93">
      <c r="A93" s="863">
        <v>91.0</v>
      </c>
      <c r="B93" s="362" t="b">
        <v>0</v>
      </c>
      <c r="C93" s="223" t="s">
        <v>6231</v>
      </c>
      <c r="D93" s="221"/>
      <c r="E93" s="221" t="s">
        <v>6232</v>
      </c>
      <c r="F93" s="895" t="s">
        <v>6233</v>
      </c>
      <c r="G93" s="362" t="b">
        <v>0</v>
      </c>
      <c r="H93" s="348" t="s">
        <v>6206</v>
      </c>
    </row>
    <row r="94">
      <c r="A94" s="863">
        <v>92.0</v>
      </c>
      <c r="B94" s="362" t="b">
        <v>0</v>
      </c>
      <c r="C94" s="223" t="s">
        <v>6234</v>
      </c>
      <c r="D94" s="223"/>
      <c r="E94" s="223" t="s">
        <v>6235</v>
      </c>
      <c r="F94" s="896" t="s">
        <v>6236</v>
      </c>
      <c r="G94" s="362" t="b">
        <v>0</v>
      </c>
      <c r="H94" s="348" t="s">
        <v>6206</v>
      </c>
    </row>
    <row r="95">
      <c r="A95" s="863">
        <v>93.0</v>
      </c>
      <c r="B95" s="362" t="b">
        <v>0</v>
      </c>
      <c r="C95" s="223" t="s">
        <v>6237</v>
      </c>
      <c r="D95" s="221"/>
      <c r="E95" s="864" t="s">
        <v>6238</v>
      </c>
      <c r="F95" s="897" t="s">
        <v>6239</v>
      </c>
      <c r="G95" s="362" t="b">
        <v>0</v>
      </c>
      <c r="H95" s="348" t="s">
        <v>6221</v>
      </c>
    </row>
    <row r="96">
      <c r="A96" s="863">
        <v>94.0</v>
      </c>
      <c r="B96" s="362" t="b">
        <v>0</v>
      </c>
      <c r="C96" s="223" t="s">
        <v>6240</v>
      </c>
      <c r="D96" s="223"/>
      <c r="E96" s="378" t="s">
        <v>6241</v>
      </c>
      <c r="F96" s="898" t="s">
        <v>6242</v>
      </c>
      <c r="G96" s="362" t="b">
        <v>0</v>
      </c>
      <c r="H96" s="348" t="s">
        <v>6192</v>
      </c>
    </row>
    <row r="97">
      <c r="A97" s="863">
        <v>95.0</v>
      </c>
      <c r="B97" s="362" t="b">
        <v>0</v>
      </c>
      <c r="C97" s="223" t="s">
        <v>6243</v>
      </c>
      <c r="D97" s="221"/>
      <c r="E97" s="221" t="s">
        <v>6244</v>
      </c>
      <c r="F97" s="209" t="s">
        <v>6245</v>
      </c>
      <c r="G97" s="209"/>
      <c r="H97" s="348" t="s">
        <v>6192</v>
      </c>
    </row>
    <row r="98">
      <c r="A98" s="863">
        <v>96.0</v>
      </c>
      <c r="B98" s="362" t="b">
        <v>0</v>
      </c>
      <c r="C98" s="899" t="s">
        <v>6246</v>
      </c>
      <c r="D98" s="899"/>
      <c r="E98" s="899" t="s">
        <v>6247</v>
      </c>
      <c r="F98" s="900" t="s">
        <v>6248</v>
      </c>
      <c r="G98" s="901"/>
      <c r="H98" s="902" t="s">
        <v>6221</v>
      </c>
    </row>
    <row r="99">
      <c r="A99" s="863">
        <v>97.0</v>
      </c>
      <c r="B99" s="362" t="b">
        <v>0</v>
      </c>
      <c r="C99" s="223" t="s">
        <v>6249</v>
      </c>
      <c r="D99" s="221"/>
      <c r="E99" s="864" t="s">
        <v>6250</v>
      </c>
      <c r="F99" s="209" t="s">
        <v>6251</v>
      </c>
      <c r="G99" s="209"/>
      <c r="H99" s="348" t="s">
        <v>6252</v>
      </c>
    </row>
    <row r="100">
      <c r="A100" s="863">
        <v>98.0</v>
      </c>
      <c r="B100" s="362" t="b">
        <v>0</v>
      </c>
      <c r="C100" s="223" t="s">
        <v>6253</v>
      </c>
      <c r="D100" s="223"/>
      <c r="E100" s="223" t="s">
        <v>6254</v>
      </c>
      <c r="F100" s="209" t="s">
        <v>6255</v>
      </c>
      <c r="G100" s="209"/>
      <c r="H100" s="348" t="s">
        <v>6252</v>
      </c>
    </row>
    <row r="101">
      <c r="A101" s="863">
        <v>99.0</v>
      </c>
      <c r="B101" s="362" t="b">
        <v>0</v>
      </c>
      <c r="C101" s="223" t="s">
        <v>6256</v>
      </c>
      <c r="D101" s="221"/>
      <c r="E101" s="864" t="s">
        <v>6257</v>
      </c>
      <c r="F101" s="209" t="s">
        <v>6258</v>
      </c>
      <c r="G101" s="209"/>
      <c r="H101" s="348" t="s">
        <v>6252</v>
      </c>
    </row>
    <row r="102">
      <c r="A102" s="863">
        <v>100.0</v>
      </c>
      <c r="B102" s="362" t="b">
        <v>0</v>
      </c>
      <c r="C102" s="223" t="s">
        <v>6259</v>
      </c>
      <c r="D102" s="223"/>
      <c r="E102" s="223" t="s">
        <v>6260</v>
      </c>
      <c r="F102" s="209" t="s">
        <v>6261</v>
      </c>
      <c r="G102" s="209"/>
      <c r="H102" s="348" t="s">
        <v>6252</v>
      </c>
    </row>
    <row r="103">
      <c r="A103" s="863">
        <v>101.0</v>
      </c>
      <c r="B103" s="362" t="b">
        <v>0</v>
      </c>
      <c r="C103" s="223" t="s">
        <v>6262</v>
      </c>
      <c r="D103" s="221"/>
      <c r="E103" s="864" t="s">
        <v>6263</v>
      </c>
      <c r="F103" s="209" t="s">
        <v>6264</v>
      </c>
      <c r="G103" s="209"/>
      <c r="H103" s="348" t="s">
        <v>6252</v>
      </c>
    </row>
    <row r="104">
      <c r="A104" s="863">
        <v>102.0</v>
      </c>
      <c r="B104" s="362" t="b">
        <v>0</v>
      </c>
      <c r="C104" s="223" t="s">
        <v>6265</v>
      </c>
      <c r="D104" s="223"/>
      <c r="E104" s="223" t="s">
        <v>6266</v>
      </c>
      <c r="F104" s="209" t="s">
        <v>6267</v>
      </c>
      <c r="G104" s="209"/>
      <c r="H104" s="348" t="s">
        <v>6252</v>
      </c>
    </row>
    <row r="105">
      <c r="A105" s="863">
        <v>103.0</v>
      </c>
      <c r="B105" s="362" t="b">
        <v>0</v>
      </c>
      <c r="C105" s="236" t="s">
        <v>6268</v>
      </c>
      <c r="D105" s="221"/>
      <c r="E105" s="864" t="s">
        <v>6269</v>
      </c>
      <c r="F105" s="209"/>
      <c r="G105" s="209"/>
      <c r="H105" s="348" t="s">
        <v>6252</v>
      </c>
    </row>
    <row r="106">
      <c r="A106" s="863">
        <v>104.0</v>
      </c>
      <c r="B106" s="362" t="b">
        <v>0</v>
      </c>
      <c r="C106" s="223" t="s">
        <v>6270</v>
      </c>
      <c r="D106" s="223"/>
      <c r="E106" s="223" t="s">
        <v>6271</v>
      </c>
      <c r="F106" s="225" t="s">
        <v>6272</v>
      </c>
      <c r="G106" s="225"/>
      <c r="H106" s="348" t="s">
        <v>6252</v>
      </c>
    </row>
    <row r="107">
      <c r="A107" s="863">
        <v>105.0</v>
      </c>
      <c r="B107" s="362" t="b">
        <v>0</v>
      </c>
      <c r="C107" s="223" t="s">
        <v>6273</v>
      </c>
      <c r="D107" s="221"/>
      <c r="E107" s="864" t="s">
        <v>6274</v>
      </c>
      <c r="F107" s="209" t="s">
        <v>6275</v>
      </c>
      <c r="G107" s="209"/>
      <c r="H107" s="348" t="s">
        <v>6252</v>
      </c>
    </row>
    <row r="108">
      <c r="A108" s="863">
        <v>106.0</v>
      </c>
      <c r="B108" s="362" t="b">
        <v>0</v>
      </c>
      <c r="C108" s="223" t="s">
        <v>6276</v>
      </c>
      <c r="D108" s="223"/>
      <c r="E108" s="223" t="s">
        <v>6277</v>
      </c>
      <c r="F108" s="209" t="s">
        <v>6255</v>
      </c>
      <c r="G108" s="209"/>
      <c r="H108" s="348" t="s">
        <v>6252</v>
      </c>
    </row>
    <row r="109">
      <c r="A109" s="863">
        <v>107.0</v>
      </c>
      <c r="B109" s="362" t="b">
        <v>0</v>
      </c>
      <c r="C109" s="223" t="s">
        <v>6278</v>
      </c>
      <c r="D109" s="221"/>
      <c r="E109" s="864" t="s">
        <v>6279</v>
      </c>
      <c r="F109" s="209" t="s">
        <v>6280</v>
      </c>
      <c r="G109" s="209"/>
      <c r="H109" s="348" t="s">
        <v>6252</v>
      </c>
    </row>
    <row r="110">
      <c r="A110" s="863">
        <v>108.0</v>
      </c>
      <c r="B110" s="362" t="b">
        <v>0</v>
      </c>
      <c r="C110" s="223" t="s">
        <v>6281</v>
      </c>
      <c r="D110" s="223"/>
      <c r="E110" s="223" t="s">
        <v>6282</v>
      </c>
      <c r="F110" s="225"/>
      <c r="G110" s="225"/>
      <c r="H110" s="348" t="s">
        <v>6252</v>
      </c>
    </row>
    <row r="111">
      <c r="A111" s="863">
        <v>109.0</v>
      </c>
      <c r="B111" s="362" t="b">
        <v>0</v>
      </c>
      <c r="C111" s="223" t="s">
        <v>6283</v>
      </c>
      <c r="D111" s="221"/>
      <c r="E111" s="864" t="s">
        <v>6284</v>
      </c>
      <c r="F111" s="225" t="s">
        <v>6285</v>
      </c>
      <c r="G111" s="225"/>
      <c r="H111" s="348" t="s">
        <v>6252</v>
      </c>
    </row>
    <row r="112">
      <c r="A112" s="863">
        <v>110.0</v>
      </c>
      <c r="B112" s="362" t="b">
        <v>0</v>
      </c>
      <c r="C112" s="223" t="s">
        <v>6286</v>
      </c>
      <c r="D112" s="223"/>
      <c r="E112" s="223" t="s">
        <v>6287</v>
      </c>
      <c r="F112" s="225"/>
      <c r="G112" s="225"/>
      <c r="H112" s="348" t="s">
        <v>6252</v>
      </c>
    </row>
    <row r="113">
      <c r="A113" s="863">
        <v>111.0</v>
      </c>
      <c r="B113" s="362" t="b">
        <v>0</v>
      </c>
      <c r="C113" s="223"/>
      <c r="D113" s="221"/>
      <c r="E113" s="864" t="s">
        <v>6288</v>
      </c>
      <c r="F113" s="225" t="s">
        <v>6289</v>
      </c>
      <c r="G113" s="225"/>
      <c r="H113" s="348" t="s">
        <v>6252</v>
      </c>
    </row>
    <row r="114">
      <c r="A114" s="863">
        <v>112.0</v>
      </c>
      <c r="B114" s="362" t="b">
        <v>0</v>
      </c>
      <c r="C114" s="223" t="s">
        <v>6290</v>
      </c>
      <c r="D114" s="223"/>
      <c r="E114" s="223" t="s">
        <v>6291</v>
      </c>
      <c r="F114" s="225" t="s">
        <v>6292</v>
      </c>
      <c r="G114" s="225"/>
      <c r="H114" s="348" t="s">
        <v>6252</v>
      </c>
    </row>
    <row r="115">
      <c r="A115" s="863">
        <v>113.0</v>
      </c>
      <c r="B115" s="362" t="b">
        <v>0</v>
      </c>
      <c r="C115" s="223" t="s">
        <v>6293</v>
      </c>
      <c r="D115" s="221"/>
      <c r="E115" s="864" t="s">
        <v>6294</v>
      </c>
      <c r="F115" s="209" t="s">
        <v>6295</v>
      </c>
      <c r="G115" s="209"/>
      <c r="H115" s="348" t="s">
        <v>6252</v>
      </c>
    </row>
    <row r="116">
      <c r="A116" s="863">
        <v>114.0</v>
      </c>
      <c r="B116" s="362" t="b">
        <v>0</v>
      </c>
      <c r="C116" s="223" t="s">
        <v>6296</v>
      </c>
      <c r="D116" s="223"/>
      <c r="E116" s="223" t="s">
        <v>6297</v>
      </c>
      <c r="F116" s="225" t="s">
        <v>6298</v>
      </c>
      <c r="G116" s="225"/>
      <c r="H116" s="348" t="s">
        <v>6252</v>
      </c>
    </row>
    <row r="117">
      <c r="A117" s="863">
        <v>115.0</v>
      </c>
      <c r="B117" s="362" t="b">
        <v>0</v>
      </c>
      <c r="C117" s="223" t="s">
        <v>6299</v>
      </c>
      <c r="D117" s="221"/>
      <c r="E117" s="864" t="s">
        <v>6300</v>
      </c>
      <c r="F117" s="209"/>
      <c r="G117" s="209"/>
      <c r="H117" s="348" t="s">
        <v>6252</v>
      </c>
    </row>
    <row r="118">
      <c r="A118" s="863">
        <v>116.0</v>
      </c>
      <c r="B118" s="362" t="b">
        <v>0</v>
      </c>
      <c r="C118" s="223" t="s">
        <v>6301</v>
      </c>
      <c r="D118" s="223"/>
      <c r="E118" s="223" t="s">
        <v>6302</v>
      </c>
      <c r="F118" s="225" t="s">
        <v>6303</v>
      </c>
      <c r="G118" s="225"/>
      <c r="H118" s="348" t="s">
        <v>6252</v>
      </c>
    </row>
    <row r="119">
      <c r="A119" s="863">
        <v>117.0</v>
      </c>
      <c r="B119" s="362" t="b">
        <v>0</v>
      </c>
      <c r="C119" s="223" t="s">
        <v>6304</v>
      </c>
      <c r="D119" s="221"/>
      <c r="E119" s="864" t="s">
        <v>6305</v>
      </c>
      <c r="F119" s="225" t="s">
        <v>6306</v>
      </c>
      <c r="G119" s="225"/>
      <c r="H119" s="348" t="s">
        <v>6252</v>
      </c>
    </row>
    <row r="120">
      <c r="A120" s="863">
        <v>118.0</v>
      </c>
      <c r="B120" s="362" t="b">
        <v>0</v>
      </c>
      <c r="C120" s="223" t="s">
        <v>6307</v>
      </c>
      <c r="D120" s="223"/>
      <c r="E120" s="223" t="s">
        <v>6308</v>
      </c>
      <c r="F120" s="225" t="s">
        <v>6309</v>
      </c>
      <c r="G120" s="225"/>
      <c r="H120" s="348" t="s">
        <v>6252</v>
      </c>
    </row>
    <row r="121">
      <c r="A121" s="863">
        <v>119.0</v>
      </c>
      <c r="B121" s="362" t="b">
        <v>0</v>
      </c>
      <c r="C121" s="223" t="s">
        <v>6310</v>
      </c>
      <c r="D121" s="221"/>
      <c r="E121" s="864" t="s">
        <v>6311</v>
      </c>
      <c r="F121" s="209"/>
      <c r="G121" s="209"/>
      <c r="H121" s="348" t="s">
        <v>6252</v>
      </c>
    </row>
    <row r="122">
      <c r="A122" s="863">
        <v>120.0</v>
      </c>
      <c r="B122" s="362" t="b">
        <v>0</v>
      </c>
      <c r="C122" s="223" t="s">
        <v>6312</v>
      </c>
      <c r="D122" s="223"/>
      <c r="E122" s="223" t="s">
        <v>6313</v>
      </c>
      <c r="F122" s="209" t="s">
        <v>6314</v>
      </c>
      <c r="G122" s="209"/>
      <c r="H122" s="348" t="s">
        <v>6252</v>
      </c>
    </row>
    <row r="123">
      <c r="A123" s="863">
        <v>121.0</v>
      </c>
      <c r="B123" s="362" t="b">
        <v>0</v>
      </c>
      <c r="C123" s="223" t="s">
        <v>6315</v>
      </c>
      <c r="D123" s="221"/>
      <c r="E123" s="864" t="s">
        <v>6316</v>
      </c>
      <c r="F123" s="209"/>
      <c r="G123" s="209"/>
      <c r="H123" s="348" t="s">
        <v>6252</v>
      </c>
    </row>
    <row r="124">
      <c r="A124" s="863">
        <v>122.0</v>
      </c>
      <c r="B124" s="362" t="b">
        <v>0</v>
      </c>
      <c r="C124" s="223"/>
      <c r="D124" s="223"/>
      <c r="E124" s="223">
        <v>9.647724861686E12</v>
      </c>
      <c r="F124" s="225"/>
      <c r="G124" s="225"/>
      <c r="H124" s="348" t="s">
        <v>6252</v>
      </c>
    </row>
    <row r="125">
      <c r="A125" s="863">
        <v>123.0</v>
      </c>
      <c r="B125" s="362" t="b">
        <v>0</v>
      </c>
      <c r="C125" s="223"/>
      <c r="D125" s="221"/>
      <c r="E125" s="864">
        <v>7.822000118E9</v>
      </c>
      <c r="F125" s="209"/>
      <c r="G125" s="209"/>
      <c r="H125" s="348" t="s">
        <v>6252</v>
      </c>
    </row>
    <row r="126">
      <c r="A126" s="863">
        <v>124.0</v>
      </c>
      <c r="B126" s="362" t="b">
        <v>0</v>
      </c>
      <c r="C126" s="236" t="s">
        <v>6317</v>
      </c>
      <c r="D126" s="223"/>
      <c r="E126" s="223" t="s">
        <v>6318</v>
      </c>
      <c r="F126" s="225"/>
      <c r="G126" s="225"/>
      <c r="H126" s="348" t="s">
        <v>6252</v>
      </c>
    </row>
    <row r="127">
      <c r="A127" s="863">
        <v>125.0</v>
      </c>
      <c r="B127" s="362" t="b">
        <v>0</v>
      </c>
      <c r="C127" s="223" t="s">
        <v>6312</v>
      </c>
      <c r="D127" s="221"/>
      <c r="E127" s="864" t="s">
        <v>6319</v>
      </c>
      <c r="F127" s="209"/>
      <c r="G127" s="209"/>
      <c r="H127" s="348" t="s">
        <v>6252</v>
      </c>
    </row>
    <row r="128">
      <c r="A128" s="863">
        <v>126.0</v>
      </c>
      <c r="B128" s="362" t="b">
        <v>0</v>
      </c>
      <c r="C128" s="223" t="s">
        <v>6320</v>
      </c>
      <c r="D128" s="223"/>
      <c r="E128" s="223" t="s">
        <v>6321</v>
      </c>
      <c r="F128" s="209" t="s">
        <v>6322</v>
      </c>
      <c r="G128" s="225"/>
      <c r="H128" s="348" t="s">
        <v>6252</v>
      </c>
    </row>
    <row r="129">
      <c r="A129" s="863">
        <v>127.0</v>
      </c>
      <c r="B129" s="362" t="b">
        <v>0</v>
      </c>
      <c r="C129" s="221" t="s">
        <v>6323</v>
      </c>
      <c r="D129" s="221"/>
      <c r="E129" s="864" t="s">
        <v>6324</v>
      </c>
      <c r="F129" s="209"/>
      <c r="G129" s="209"/>
      <c r="H129" s="348" t="s">
        <v>6252</v>
      </c>
    </row>
    <row r="130">
      <c r="A130" s="863">
        <v>128.0</v>
      </c>
      <c r="B130" s="362" t="b">
        <v>0</v>
      </c>
      <c r="C130" s="236" t="s">
        <v>6325</v>
      </c>
      <c r="D130" s="223"/>
      <c r="E130" s="223" t="s">
        <v>6326</v>
      </c>
      <c r="F130" s="209" t="s">
        <v>6327</v>
      </c>
      <c r="G130" s="225"/>
      <c r="H130" s="348" t="s">
        <v>5950</v>
      </c>
    </row>
    <row r="131">
      <c r="A131" s="863">
        <v>129.0</v>
      </c>
      <c r="B131" s="362" t="b">
        <v>0</v>
      </c>
      <c r="C131" s="223" t="s">
        <v>6328</v>
      </c>
      <c r="D131" s="221"/>
      <c r="E131" s="864" t="s">
        <v>6329</v>
      </c>
      <c r="F131" s="209"/>
      <c r="G131" s="209"/>
      <c r="H131" s="348" t="s">
        <v>6252</v>
      </c>
    </row>
    <row r="132">
      <c r="A132" s="863">
        <v>130.0</v>
      </c>
      <c r="B132" s="362" t="b">
        <v>0</v>
      </c>
      <c r="C132" s="223" t="s">
        <v>6330</v>
      </c>
      <c r="D132" s="223"/>
      <c r="E132" s="223" t="s">
        <v>6331</v>
      </c>
      <c r="F132" s="225" t="s">
        <v>6332</v>
      </c>
      <c r="G132" s="225"/>
      <c r="H132" s="348" t="s">
        <v>6252</v>
      </c>
    </row>
    <row r="133">
      <c r="A133" s="863">
        <v>131.0</v>
      </c>
      <c r="B133" s="362" t="b">
        <v>0</v>
      </c>
      <c r="C133" s="223" t="s">
        <v>6333</v>
      </c>
      <c r="D133" s="221"/>
      <c r="E133" s="864" t="s">
        <v>6334</v>
      </c>
      <c r="F133" s="209"/>
      <c r="G133" s="209"/>
      <c r="H133" s="348" t="s">
        <v>6252</v>
      </c>
    </row>
    <row r="134">
      <c r="A134" s="863">
        <v>132.0</v>
      </c>
      <c r="B134" s="362" t="b">
        <v>0</v>
      </c>
      <c r="C134" s="223" t="s">
        <v>6335</v>
      </c>
      <c r="D134" s="223"/>
      <c r="E134" s="223" t="s">
        <v>6336</v>
      </c>
      <c r="F134" s="225" t="s">
        <v>6337</v>
      </c>
      <c r="G134" s="225"/>
      <c r="H134" s="348" t="s">
        <v>6252</v>
      </c>
    </row>
    <row r="135">
      <c r="A135" s="863">
        <v>133.0</v>
      </c>
      <c r="B135" s="362" t="b">
        <v>0</v>
      </c>
      <c r="C135" s="236" t="s">
        <v>6338</v>
      </c>
      <c r="D135" s="221"/>
      <c r="E135" s="864" t="s">
        <v>6339</v>
      </c>
      <c r="F135" s="225" t="s">
        <v>6340</v>
      </c>
      <c r="G135" s="209"/>
      <c r="H135" s="348" t="s">
        <v>6252</v>
      </c>
    </row>
    <row r="136">
      <c r="A136" s="863">
        <v>134.0</v>
      </c>
      <c r="B136" s="362" t="b">
        <v>0</v>
      </c>
      <c r="C136" s="223" t="s">
        <v>6341</v>
      </c>
      <c r="D136" s="223"/>
      <c r="E136" s="223" t="s">
        <v>6342</v>
      </c>
      <c r="F136" s="225" t="s">
        <v>6343</v>
      </c>
      <c r="G136" s="225"/>
      <c r="H136" s="348" t="s">
        <v>6252</v>
      </c>
    </row>
    <row r="137">
      <c r="A137" s="863">
        <v>135.0</v>
      </c>
      <c r="B137" s="362" t="b">
        <v>0</v>
      </c>
      <c r="C137" s="223" t="s">
        <v>6344</v>
      </c>
      <c r="D137" s="221"/>
      <c r="E137" s="864" t="s">
        <v>6345</v>
      </c>
      <c r="F137" s="209" t="s">
        <v>6346</v>
      </c>
      <c r="G137" s="209"/>
      <c r="H137" s="348" t="s">
        <v>6252</v>
      </c>
    </row>
    <row r="138">
      <c r="A138" s="863">
        <v>136.0</v>
      </c>
      <c r="B138" s="362" t="b">
        <v>0</v>
      </c>
      <c r="C138" s="223" t="s">
        <v>6347</v>
      </c>
      <c r="D138" s="223"/>
      <c r="E138" s="223" t="s">
        <v>6348</v>
      </c>
      <c r="F138" s="225" t="s">
        <v>6349</v>
      </c>
      <c r="G138" s="225"/>
      <c r="H138" s="348" t="s">
        <v>6252</v>
      </c>
    </row>
    <row r="139">
      <c r="A139" s="863">
        <v>137.0</v>
      </c>
      <c r="B139" s="362" t="b">
        <v>0</v>
      </c>
      <c r="C139" s="223" t="s">
        <v>6350</v>
      </c>
      <c r="D139" s="221"/>
      <c r="E139" s="864" t="s">
        <v>6351</v>
      </c>
      <c r="F139" s="209" t="s">
        <v>6352</v>
      </c>
      <c r="G139" s="209"/>
      <c r="H139" s="348" t="s">
        <v>6252</v>
      </c>
    </row>
    <row r="140">
      <c r="A140" s="863">
        <v>138.0</v>
      </c>
      <c r="B140" s="362" t="b">
        <v>0</v>
      </c>
      <c r="C140" s="236" t="s">
        <v>6353</v>
      </c>
      <c r="D140" s="223"/>
      <c r="E140" s="223" t="s">
        <v>6354</v>
      </c>
      <c r="F140" s="225"/>
      <c r="G140" s="225"/>
      <c r="H140" s="348" t="s">
        <v>6355</v>
      </c>
    </row>
    <row r="141">
      <c r="A141" s="863">
        <v>139.0</v>
      </c>
      <c r="B141" s="362" t="b">
        <v>0</v>
      </c>
      <c r="C141" s="223" t="s">
        <v>6356</v>
      </c>
      <c r="D141" s="221"/>
      <c r="E141" s="864" t="s">
        <v>6357</v>
      </c>
      <c r="F141" s="209"/>
      <c r="G141" s="209"/>
      <c r="H141" s="348" t="s">
        <v>6355</v>
      </c>
    </row>
    <row r="142">
      <c r="A142" s="863">
        <v>140.0</v>
      </c>
      <c r="B142" s="362" t="b">
        <v>0</v>
      </c>
      <c r="C142" s="236" t="s">
        <v>6358</v>
      </c>
      <c r="D142" s="223"/>
      <c r="E142" s="223" t="s">
        <v>6359</v>
      </c>
      <c r="F142" s="209" t="s">
        <v>6360</v>
      </c>
      <c r="G142" s="225"/>
      <c r="H142" s="348" t="s">
        <v>6355</v>
      </c>
    </row>
    <row r="143">
      <c r="A143" s="863">
        <v>141.0</v>
      </c>
      <c r="B143" s="362" t="b">
        <v>0</v>
      </c>
      <c r="C143" s="223" t="s">
        <v>6361</v>
      </c>
      <c r="D143" s="221"/>
      <c r="E143" s="864" t="s">
        <v>6362</v>
      </c>
      <c r="F143" s="209"/>
      <c r="G143" s="209"/>
      <c r="H143" s="348" t="s">
        <v>6355</v>
      </c>
    </row>
    <row r="144">
      <c r="A144" s="863">
        <v>142.0</v>
      </c>
      <c r="B144" s="362" t="b">
        <v>0</v>
      </c>
      <c r="C144" s="236" t="s">
        <v>6363</v>
      </c>
      <c r="D144" s="223"/>
      <c r="E144" s="223" t="s">
        <v>6364</v>
      </c>
      <c r="F144" s="225"/>
      <c r="G144" s="225"/>
      <c r="H144" s="348" t="s">
        <v>6355</v>
      </c>
    </row>
    <row r="145">
      <c r="A145" s="863">
        <v>143.0</v>
      </c>
      <c r="B145" s="362" t="b">
        <v>0</v>
      </c>
      <c r="C145" s="223" t="s">
        <v>6365</v>
      </c>
      <c r="D145" s="221"/>
      <c r="E145" s="864" t="s">
        <v>6366</v>
      </c>
      <c r="F145" s="209"/>
      <c r="G145" s="209"/>
      <c r="H145" s="348" t="s">
        <v>6355</v>
      </c>
    </row>
    <row r="146">
      <c r="A146" s="863">
        <v>144.0</v>
      </c>
      <c r="B146" s="362" t="b">
        <v>0</v>
      </c>
      <c r="C146" s="236" t="s">
        <v>6367</v>
      </c>
      <c r="D146" s="223"/>
      <c r="E146" s="223" t="s">
        <v>6368</v>
      </c>
      <c r="F146" s="225"/>
      <c r="G146" s="225"/>
      <c r="H146" s="348"/>
    </row>
    <row r="147">
      <c r="A147" s="863">
        <v>145.0</v>
      </c>
      <c r="B147" s="362" t="b">
        <v>0</v>
      </c>
      <c r="C147" s="223" t="s">
        <v>6369</v>
      </c>
      <c r="D147" s="221"/>
      <c r="E147" s="864" t="s">
        <v>6370</v>
      </c>
      <c r="F147" s="209"/>
      <c r="G147" s="209"/>
      <c r="H147" s="348"/>
    </row>
    <row r="148">
      <c r="A148" s="863">
        <v>146.0</v>
      </c>
      <c r="B148" s="362" t="b">
        <v>0</v>
      </c>
      <c r="C148" s="223"/>
      <c r="D148" s="223"/>
      <c r="E148" s="223"/>
      <c r="F148" s="225"/>
      <c r="G148" s="225"/>
      <c r="H148" s="344"/>
    </row>
    <row r="149">
      <c r="A149" s="863">
        <v>147.0</v>
      </c>
      <c r="B149" s="362" t="b">
        <v>0</v>
      </c>
      <c r="C149" s="223"/>
      <c r="D149" s="221"/>
      <c r="E149" s="221"/>
      <c r="F149" s="209"/>
      <c r="G149" s="209"/>
      <c r="H149" s="344"/>
    </row>
    <row r="150">
      <c r="A150" s="863">
        <v>148.0</v>
      </c>
      <c r="B150" s="362" t="b">
        <v>0</v>
      </c>
      <c r="C150" s="223"/>
      <c r="D150" s="223"/>
      <c r="E150" s="223"/>
      <c r="F150" s="225"/>
      <c r="G150" s="225"/>
      <c r="H150" s="344"/>
    </row>
    <row r="151">
      <c r="A151" s="863">
        <v>149.0</v>
      </c>
      <c r="B151" s="362" t="b">
        <v>0</v>
      </c>
      <c r="C151" s="223"/>
      <c r="D151" s="221"/>
      <c r="E151" s="221"/>
      <c r="F151" s="209"/>
      <c r="G151" s="209"/>
      <c r="H151" s="344"/>
    </row>
    <row r="152">
      <c r="A152" s="863">
        <v>150.0</v>
      </c>
      <c r="B152" s="362" t="b">
        <v>0</v>
      </c>
      <c r="C152" s="223"/>
      <c r="D152" s="223"/>
      <c r="E152" s="223"/>
      <c r="F152" s="225"/>
      <c r="G152" s="225"/>
      <c r="H152" s="344"/>
    </row>
    <row r="153">
      <c r="A153" s="863">
        <v>151.0</v>
      </c>
      <c r="B153" s="362" t="b">
        <v>0</v>
      </c>
      <c r="C153" s="223"/>
      <c r="D153" s="221"/>
      <c r="E153" s="221"/>
      <c r="F153" s="209"/>
      <c r="G153" s="209"/>
      <c r="H153" s="344"/>
    </row>
    <row r="154">
      <c r="A154" s="863">
        <v>152.0</v>
      </c>
      <c r="B154" s="362" t="b">
        <v>0</v>
      </c>
      <c r="C154" s="223"/>
      <c r="D154" s="223"/>
      <c r="E154" s="223"/>
      <c r="F154" s="225"/>
      <c r="G154" s="225"/>
      <c r="H154" s="344"/>
    </row>
    <row r="155">
      <c r="A155" s="863">
        <v>153.0</v>
      </c>
      <c r="B155" s="362" t="b">
        <v>0</v>
      </c>
      <c r="C155" s="223"/>
      <c r="D155" s="221"/>
      <c r="E155" s="221"/>
      <c r="F155" s="209"/>
      <c r="G155" s="209"/>
      <c r="H155" s="344"/>
    </row>
    <row r="156">
      <c r="A156" s="863">
        <v>154.0</v>
      </c>
      <c r="B156" s="362" t="b">
        <v>0</v>
      </c>
      <c r="C156" s="223"/>
      <c r="D156" s="223"/>
      <c r="E156" s="223"/>
      <c r="F156" s="225"/>
      <c r="G156" s="225"/>
      <c r="H156" s="344"/>
    </row>
    <row r="157">
      <c r="A157" s="863">
        <v>155.0</v>
      </c>
      <c r="B157" s="362" t="b">
        <v>0</v>
      </c>
      <c r="C157" s="223"/>
      <c r="D157" s="221"/>
      <c r="E157" s="221"/>
      <c r="F157" s="209"/>
      <c r="G157" s="209"/>
      <c r="H157" s="344"/>
    </row>
    <row r="158">
      <c r="A158" s="863">
        <v>156.0</v>
      </c>
      <c r="B158" s="362" t="b">
        <v>0</v>
      </c>
      <c r="C158" s="223"/>
      <c r="D158" s="223"/>
      <c r="E158" s="223"/>
      <c r="F158" s="225"/>
      <c r="G158" s="225"/>
      <c r="H158" s="344"/>
    </row>
    <row r="159">
      <c r="A159" s="863">
        <v>157.0</v>
      </c>
      <c r="B159" s="362" t="b">
        <v>0</v>
      </c>
      <c r="C159" s="223"/>
      <c r="D159" s="221"/>
      <c r="E159" s="221"/>
      <c r="F159" s="209"/>
      <c r="G159" s="209"/>
      <c r="H159" s="344"/>
    </row>
    <row r="160">
      <c r="A160" s="863">
        <v>158.0</v>
      </c>
      <c r="B160" s="362" t="b">
        <v>0</v>
      </c>
      <c r="C160" s="223"/>
      <c r="D160" s="223"/>
      <c r="E160" s="223"/>
      <c r="F160" s="225"/>
      <c r="G160" s="225"/>
      <c r="H160" s="344"/>
    </row>
    <row r="161">
      <c r="A161" s="863">
        <v>159.0</v>
      </c>
      <c r="B161" s="362" t="b">
        <v>0</v>
      </c>
      <c r="C161" s="223"/>
      <c r="D161" s="221"/>
      <c r="E161" s="221"/>
      <c r="F161" s="209"/>
      <c r="G161" s="209"/>
      <c r="H161" s="344"/>
    </row>
    <row r="162">
      <c r="A162" s="863">
        <v>160.0</v>
      </c>
      <c r="B162" s="362" t="b">
        <v>0</v>
      </c>
      <c r="C162" s="223"/>
      <c r="D162" s="223"/>
      <c r="E162" s="223"/>
      <c r="F162" s="225"/>
      <c r="G162" s="225"/>
      <c r="H162" s="344"/>
    </row>
    <row r="163">
      <c r="A163" s="863">
        <v>161.0</v>
      </c>
      <c r="B163" s="362" t="b">
        <v>0</v>
      </c>
      <c r="C163" s="223"/>
      <c r="D163" s="221"/>
      <c r="E163" s="221"/>
      <c r="F163" s="209"/>
      <c r="G163" s="209"/>
      <c r="H163" s="344"/>
    </row>
    <row r="164">
      <c r="A164" s="863">
        <v>162.0</v>
      </c>
      <c r="B164" s="362" t="b">
        <v>0</v>
      </c>
      <c r="C164" s="223"/>
      <c r="D164" s="223"/>
      <c r="E164" s="223"/>
      <c r="F164" s="225"/>
      <c r="G164" s="225"/>
      <c r="H164" s="344"/>
    </row>
    <row r="165">
      <c r="A165" s="863">
        <v>163.0</v>
      </c>
      <c r="B165" s="362" t="b">
        <v>0</v>
      </c>
      <c r="C165" s="223"/>
      <c r="D165" s="221"/>
      <c r="E165" s="221"/>
      <c r="F165" s="209"/>
      <c r="G165" s="209"/>
      <c r="H165" s="344"/>
    </row>
    <row r="166">
      <c r="A166" s="863">
        <v>164.0</v>
      </c>
      <c r="B166" s="362" t="b">
        <v>0</v>
      </c>
      <c r="C166" s="223"/>
      <c r="D166" s="223"/>
      <c r="E166" s="223"/>
      <c r="F166" s="225"/>
      <c r="G166" s="225"/>
      <c r="H166" s="344"/>
    </row>
    <row r="167">
      <c r="A167" s="863">
        <v>165.0</v>
      </c>
      <c r="B167" s="362" t="b">
        <v>0</v>
      </c>
      <c r="C167" s="223"/>
      <c r="D167" s="221"/>
      <c r="E167" s="221"/>
      <c r="F167" s="209"/>
      <c r="G167" s="209"/>
      <c r="H167" s="344"/>
    </row>
    <row r="168">
      <c r="A168" s="863">
        <v>166.0</v>
      </c>
      <c r="B168" s="362" t="b">
        <v>0</v>
      </c>
      <c r="C168" s="223"/>
      <c r="D168" s="223"/>
      <c r="E168" s="223"/>
      <c r="F168" s="225"/>
      <c r="G168" s="225"/>
      <c r="H168" s="344"/>
    </row>
    <row r="169">
      <c r="A169" s="863">
        <v>167.0</v>
      </c>
      <c r="B169" s="362" t="b">
        <v>0</v>
      </c>
      <c r="C169" s="223"/>
      <c r="D169" s="221"/>
      <c r="E169" s="221"/>
      <c r="F169" s="209"/>
      <c r="G169" s="209"/>
      <c r="H169" s="344"/>
    </row>
    <row r="170">
      <c r="A170" s="863">
        <v>168.0</v>
      </c>
      <c r="B170" s="362" t="b">
        <v>0</v>
      </c>
      <c r="C170" s="223"/>
      <c r="D170" s="223"/>
      <c r="E170" s="223"/>
      <c r="F170" s="225"/>
      <c r="G170" s="225"/>
      <c r="H170" s="344"/>
    </row>
    <row r="171">
      <c r="A171" s="863">
        <v>169.0</v>
      </c>
      <c r="B171" s="362" t="b">
        <v>0</v>
      </c>
      <c r="C171" s="223"/>
      <c r="D171" s="221"/>
      <c r="E171" s="221"/>
      <c r="F171" s="209"/>
      <c r="G171" s="209"/>
      <c r="H171" s="344"/>
    </row>
    <row r="172">
      <c r="A172" s="863">
        <v>170.0</v>
      </c>
      <c r="B172" s="362" t="b">
        <v>0</v>
      </c>
      <c r="C172" s="223"/>
      <c r="D172" s="223"/>
      <c r="E172" s="223"/>
      <c r="F172" s="225"/>
      <c r="G172" s="225"/>
      <c r="H172" s="344"/>
    </row>
    <row r="173">
      <c r="A173" s="863">
        <v>171.0</v>
      </c>
      <c r="B173" s="362" t="b">
        <v>0</v>
      </c>
      <c r="C173" s="223"/>
      <c r="D173" s="221"/>
      <c r="E173" s="221"/>
      <c r="F173" s="209"/>
      <c r="G173" s="209"/>
      <c r="H173" s="344"/>
    </row>
    <row r="174">
      <c r="A174" s="863">
        <v>172.0</v>
      </c>
      <c r="B174" s="362" t="b">
        <v>0</v>
      </c>
      <c r="C174" s="223"/>
      <c r="D174" s="223"/>
      <c r="E174" s="223"/>
      <c r="F174" s="225"/>
      <c r="G174" s="225"/>
      <c r="H174" s="344"/>
    </row>
    <row r="175">
      <c r="A175" s="863">
        <v>173.0</v>
      </c>
      <c r="B175" s="362" t="b">
        <v>0</v>
      </c>
      <c r="C175" s="223"/>
      <c r="D175" s="221"/>
      <c r="E175" s="221"/>
      <c r="F175" s="209"/>
      <c r="G175" s="209"/>
      <c r="H175" s="344"/>
    </row>
    <row r="176">
      <c r="A176" s="863">
        <v>174.0</v>
      </c>
      <c r="B176" s="362" t="b">
        <v>0</v>
      </c>
      <c r="C176" s="223"/>
      <c r="D176" s="223"/>
      <c r="E176" s="223"/>
      <c r="F176" s="225"/>
      <c r="G176" s="225"/>
      <c r="H176" s="344"/>
    </row>
    <row r="177">
      <c r="A177" s="863">
        <v>175.0</v>
      </c>
      <c r="B177" s="362" t="b">
        <v>0</v>
      </c>
      <c r="C177" s="223"/>
      <c r="D177" s="221"/>
      <c r="E177" s="221"/>
      <c r="F177" s="209"/>
      <c r="G177" s="209"/>
      <c r="H177" s="344"/>
    </row>
    <row r="178">
      <c r="A178" s="863">
        <v>176.0</v>
      </c>
      <c r="B178" s="362" t="b">
        <v>0</v>
      </c>
      <c r="C178" s="223"/>
      <c r="D178" s="223"/>
      <c r="E178" s="223"/>
      <c r="F178" s="225"/>
      <c r="G178" s="225"/>
      <c r="H178" s="344"/>
    </row>
    <row r="179">
      <c r="A179" s="863">
        <v>177.0</v>
      </c>
      <c r="B179" s="362" t="b">
        <v>0</v>
      </c>
      <c r="C179" s="223"/>
      <c r="D179" s="221"/>
      <c r="E179" s="221"/>
      <c r="F179" s="209"/>
      <c r="G179" s="209"/>
      <c r="H179" s="344"/>
    </row>
    <row r="180">
      <c r="A180" s="863">
        <v>178.0</v>
      </c>
      <c r="B180" s="362" t="b">
        <v>0</v>
      </c>
      <c r="C180" s="223"/>
      <c r="D180" s="223"/>
      <c r="E180" s="223"/>
      <c r="F180" s="225"/>
      <c r="G180" s="225"/>
      <c r="H180" s="344"/>
    </row>
    <row r="181">
      <c r="A181" s="863">
        <v>179.0</v>
      </c>
      <c r="B181" s="362" t="b">
        <v>0</v>
      </c>
      <c r="C181" s="223"/>
      <c r="D181" s="221"/>
      <c r="E181" s="221"/>
      <c r="F181" s="209"/>
      <c r="G181" s="209"/>
      <c r="H181" s="344"/>
    </row>
    <row r="182">
      <c r="A182" s="863">
        <v>180.0</v>
      </c>
      <c r="B182" s="362" t="b">
        <v>0</v>
      </c>
      <c r="C182" s="223"/>
      <c r="D182" s="223"/>
      <c r="E182" s="223"/>
      <c r="F182" s="225"/>
      <c r="G182" s="225"/>
      <c r="H182" s="344"/>
    </row>
    <row r="183">
      <c r="A183" s="863">
        <v>181.0</v>
      </c>
      <c r="B183" s="362" t="b">
        <v>0</v>
      </c>
      <c r="C183" s="223"/>
      <c r="D183" s="221"/>
      <c r="E183" s="221"/>
      <c r="F183" s="209"/>
      <c r="G183" s="209"/>
      <c r="H183" s="344"/>
    </row>
    <row r="184">
      <c r="A184" s="863">
        <v>182.0</v>
      </c>
      <c r="B184" s="362" t="b">
        <v>0</v>
      </c>
      <c r="C184" s="223"/>
      <c r="D184" s="223"/>
      <c r="E184" s="223"/>
      <c r="F184" s="225"/>
      <c r="G184" s="225"/>
      <c r="H184" s="344"/>
    </row>
    <row r="185">
      <c r="A185" s="863">
        <v>183.0</v>
      </c>
      <c r="B185" s="362" t="b">
        <v>0</v>
      </c>
      <c r="C185" s="223"/>
      <c r="D185" s="221"/>
      <c r="E185" s="221"/>
      <c r="F185" s="209"/>
      <c r="G185" s="209"/>
      <c r="H185" s="344"/>
    </row>
    <row r="186">
      <c r="A186" s="863">
        <v>184.0</v>
      </c>
      <c r="B186" s="362" t="b">
        <v>0</v>
      </c>
      <c r="C186" s="223"/>
      <c r="D186" s="223"/>
      <c r="E186" s="223"/>
      <c r="F186" s="225"/>
      <c r="G186" s="225"/>
      <c r="H186" s="344"/>
    </row>
    <row r="187">
      <c r="A187" s="863">
        <v>185.0</v>
      </c>
      <c r="B187" s="362" t="b">
        <v>0</v>
      </c>
      <c r="C187" s="223"/>
      <c r="D187" s="221"/>
      <c r="E187" s="221"/>
      <c r="F187" s="209"/>
      <c r="G187" s="209"/>
      <c r="H187" s="344"/>
    </row>
    <row r="188">
      <c r="A188" s="863">
        <v>186.0</v>
      </c>
      <c r="B188" s="362" t="b">
        <v>0</v>
      </c>
      <c r="C188" s="223"/>
      <c r="D188" s="223"/>
      <c r="E188" s="223"/>
      <c r="F188" s="225"/>
      <c r="G188" s="225"/>
      <c r="H188" s="344"/>
    </row>
    <row r="189">
      <c r="A189" s="863">
        <v>187.0</v>
      </c>
      <c r="B189" s="362" t="b">
        <v>0</v>
      </c>
      <c r="C189" s="223"/>
      <c r="D189" s="221"/>
      <c r="E189" s="221"/>
      <c r="F189" s="209"/>
      <c r="G189" s="209"/>
      <c r="H189" s="344"/>
    </row>
    <row r="190">
      <c r="A190" s="863">
        <v>188.0</v>
      </c>
      <c r="B190" s="362" t="b">
        <v>0</v>
      </c>
      <c r="C190" s="223"/>
      <c r="D190" s="223"/>
      <c r="E190" s="223"/>
      <c r="F190" s="225"/>
      <c r="G190" s="225"/>
      <c r="H190" s="344"/>
    </row>
    <row r="191">
      <c r="A191" s="863">
        <v>189.0</v>
      </c>
      <c r="B191" s="362" t="b">
        <v>0</v>
      </c>
      <c r="C191" s="223"/>
      <c r="D191" s="221"/>
      <c r="E191" s="221"/>
      <c r="F191" s="209"/>
      <c r="G191" s="209"/>
      <c r="H191" s="344"/>
    </row>
    <row r="192">
      <c r="A192" s="863">
        <v>190.0</v>
      </c>
      <c r="B192" s="362" t="b">
        <v>0</v>
      </c>
      <c r="C192" s="223"/>
      <c r="D192" s="223"/>
      <c r="E192" s="223"/>
      <c r="F192" s="225"/>
      <c r="G192" s="225"/>
      <c r="H192" s="344"/>
    </row>
    <row r="193">
      <c r="A193" s="863">
        <v>191.0</v>
      </c>
      <c r="B193" s="362" t="b">
        <v>0</v>
      </c>
      <c r="C193" s="223"/>
      <c r="D193" s="221"/>
      <c r="E193" s="221"/>
      <c r="F193" s="209"/>
      <c r="G193" s="209"/>
      <c r="H193" s="344"/>
    </row>
    <row r="194">
      <c r="A194" s="863">
        <v>192.0</v>
      </c>
      <c r="B194" s="362" t="b">
        <v>0</v>
      </c>
      <c r="C194" s="223"/>
      <c r="D194" s="223"/>
      <c r="E194" s="223"/>
      <c r="F194" s="225"/>
      <c r="G194" s="225"/>
      <c r="H194" s="344"/>
    </row>
    <row r="195">
      <c r="A195" s="863">
        <v>193.0</v>
      </c>
      <c r="B195" s="362" t="b">
        <v>0</v>
      </c>
      <c r="C195" s="223"/>
      <c r="D195" s="221"/>
      <c r="E195" s="221"/>
      <c r="F195" s="209"/>
      <c r="G195" s="209"/>
      <c r="H195" s="344"/>
    </row>
    <row r="196">
      <c r="A196" s="863">
        <v>194.0</v>
      </c>
      <c r="B196" s="362" t="b">
        <v>0</v>
      </c>
      <c r="C196" s="223"/>
      <c r="D196" s="223"/>
      <c r="E196" s="223"/>
      <c r="F196" s="225"/>
      <c r="G196" s="225"/>
      <c r="H196" s="344"/>
    </row>
    <row r="197">
      <c r="A197" s="863">
        <v>195.0</v>
      </c>
      <c r="B197" s="362" t="b">
        <v>0</v>
      </c>
      <c r="C197" s="223"/>
      <c r="D197" s="221"/>
      <c r="E197" s="221"/>
      <c r="F197" s="209"/>
      <c r="G197" s="209"/>
      <c r="H197" s="344"/>
    </row>
    <row r="198">
      <c r="A198" s="863">
        <v>196.0</v>
      </c>
      <c r="B198" s="362" t="b">
        <v>0</v>
      </c>
      <c r="C198" s="223"/>
      <c r="D198" s="223"/>
      <c r="E198" s="223"/>
      <c r="F198" s="225"/>
      <c r="G198" s="225"/>
      <c r="H198" s="344"/>
    </row>
    <row r="199">
      <c r="A199" s="863">
        <v>197.0</v>
      </c>
      <c r="B199" s="362" t="b">
        <v>0</v>
      </c>
      <c r="C199" s="223"/>
      <c r="D199" s="221"/>
      <c r="E199" s="221"/>
      <c r="F199" s="209"/>
      <c r="G199" s="209"/>
      <c r="H199" s="344"/>
    </row>
    <row r="200">
      <c r="A200" s="863">
        <v>198.0</v>
      </c>
      <c r="B200" s="362" t="b">
        <v>0</v>
      </c>
      <c r="C200" s="223"/>
      <c r="D200" s="223"/>
      <c r="E200" s="223"/>
      <c r="F200" s="225"/>
      <c r="G200" s="225"/>
      <c r="H200" s="344"/>
    </row>
    <row r="201">
      <c r="A201" s="863">
        <v>199.0</v>
      </c>
      <c r="B201" s="362" t="b">
        <v>0</v>
      </c>
      <c r="C201" s="223"/>
      <c r="D201" s="221"/>
      <c r="E201" s="221"/>
      <c r="F201" s="209"/>
      <c r="G201" s="209"/>
      <c r="H201" s="344"/>
    </row>
    <row r="202">
      <c r="A202" s="863">
        <v>200.0</v>
      </c>
      <c r="B202" s="362" t="b">
        <v>0</v>
      </c>
      <c r="C202" s="223"/>
      <c r="D202" s="223"/>
      <c r="E202" s="223"/>
      <c r="F202" s="225"/>
      <c r="G202" s="225"/>
      <c r="H202" s="344"/>
    </row>
    <row r="203">
      <c r="A203" s="863">
        <v>201.0</v>
      </c>
      <c r="B203" s="362" t="b">
        <v>0</v>
      </c>
      <c r="C203" s="223"/>
      <c r="D203" s="221"/>
      <c r="E203" s="221"/>
      <c r="F203" s="209"/>
      <c r="G203" s="209"/>
      <c r="H203" s="344"/>
    </row>
    <row r="204">
      <c r="A204" s="863">
        <v>202.0</v>
      </c>
      <c r="B204" s="362" t="b">
        <v>0</v>
      </c>
      <c r="C204" s="223"/>
      <c r="D204" s="223"/>
      <c r="E204" s="223"/>
      <c r="F204" s="225"/>
      <c r="G204" s="225"/>
      <c r="H204" s="344"/>
    </row>
    <row r="205">
      <c r="A205" s="863">
        <v>203.0</v>
      </c>
      <c r="B205" s="362" t="b">
        <v>0</v>
      </c>
      <c r="C205" s="223"/>
      <c r="D205" s="221"/>
      <c r="E205" s="221"/>
      <c r="F205" s="209"/>
      <c r="G205" s="209"/>
      <c r="H205" s="344"/>
    </row>
    <row r="206">
      <c r="A206" s="863">
        <v>204.0</v>
      </c>
      <c r="B206" s="362" t="b">
        <v>0</v>
      </c>
      <c r="C206" s="223"/>
      <c r="D206" s="223"/>
      <c r="E206" s="223"/>
      <c r="F206" s="225"/>
      <c r="G206" s="225"/>
      <c r="H206" s="344"/>
    </row>
    <row r="207">
      <c r="A207" s="203"/>
      <c r="B207" s="345"/>
      <c r="C207" s="345"/>
      <c r="D207" s="345"/>
      <c r="E207" s="345"/>
      <c r="F207" s="345"/>
      <c r="G207" s="345"/>
      <c r="H207" s="345"/>
    </row>
    <row r="208">
      <c r="A208" s="203"/>
      <c r="B208" s="345"/>
      <c r="C208" s="345"/>
      <c r="D208" s="345"/>
      <c r="E208" s="345"/>
      <c r="F208" s="345"/>
      <c r="G208" s="345"/>
      <c r="H208" s="345"/>
    </row>
    <row r="209">
      <c r="A209" s="203"/>
      <c r="B209" s="345"/>
      <c r="C209" s="345"/>
      <c r="D209" s="345"/>
      <c r="E209" s="345"/>
      <c r="F209" s="345"/>
      <c r="G209" s="345"/>
      <c r="H209" s="345"/>
    </row>
    <row r="210">
      <c r="A210" s="203"/>
      <c r="B210" s="345"/>
      <c r="C210" s="345"/>
      <c r="D210" s="345"/>
      <c r="E210" s="345"/>
      <c r="F210" s="345"/>
      <c r="G210" s="345"/>
      <c r="H210" s="345"/>
    </row>
    <row r="211">
      <c r="A211" s="203"/>
      <c r="B211" s="345"/>
      <c r="C211" s="345"/>
      <c r="D211" s="345"/>
      <c r="E211" s="345"/>
      <c r="F211" s="345"/>
      <c r="G211" s="345"/>
      <c r="H211" s="345"/>
    </row>
    <row r="212">
      <c r="A212" s="203"/>
      <c r="B212" s="345"/>
      <c r="C212" s="345"/>
      <c r="D212" s="345"/>
      <c r="E212" s="345"/>
      <c r="F212" s="345"/>
      <c r="G212" s="345"/>
      <c r="H212" s="345"/>
    </row>
    <row r="213">
      <c r="A213" s="203"/>
      <c r="B213" s="345"/>
      <c r="C213" s="345"/>
      <c r="D213" s="345"/>
      <c r="E213" s="345"/>
      <c r="F213" s="345"/>
      <c r="G213" s="345"/>
      <c r="H213" s="345"/>
    </row>
    <row r="214">
      <c r="A214" s="203"/>
      <c r="B214" s="345"/>
      <c r="C214" s="345"/>
      <c r="D214" s="345"/>
      <c r="E214" s="345"/>
      <c r="F214" s="345"/>
      <c r="G214" s="345"/>
      <c r="H214" s="345"/>
    </row>
    <row r="215">
      <c r="A215" s="203"/>
      <c r="B215" s="345"/>
      <c r="C215" s="345"/>
      <c r="D215" s="345"/>
      <c r="E215" s="345"/>
      <c r="F215" s="345"/>
      <c r="G215" s="345"/>
      <c r="H215" s="345"/>
    </row>
    <row r="216">
      <c r="A216" s="203"/>
      <c r="B216" s="345"/>
      <c r="C216" s="345"/>
      <c r="D216" s="345"/>
      <c r="E216" s="345"/>
      <c r="F216" s="345"/>
      <c r="G216" s="345"/>
      <c r="H216" s="345"/>
    </row>
    <row r="217">
      <c r="A217" s="203"/>
      <c r="B217" s="345"/>
      <c r="C217" s="345"/>
      <c r="D217" s="345"/>
      <c r="E217" s="345"/>
      <c r="F217" s="345"/>
      <c r="G217" s="345"/>
      <c r="H217" s="345"/>
    </row>
    <row r="218">
      <c r="A218" s="203"/>
      <c r="B218" s="345"/>
      <c r="C218" s="345"/>
      <c r="D218" s="345"/>
      <c r="E218" s="345"/>
      <c r="F218" s="345"/>
      <c r="G218" s="345"/>
      <c r="H218" s="345"/>
    </row>
    <row r="219">
      <c r="A219" s="203"/>
      <c r="B219" s="345"/>
      <c r="C219" s="345"/>
      <c r="D219" s="345"/>
      <c r="E219" s="345"/>
      <c r="F219" s="345"/>
      <c r="G219" s="345"/>
      <c r="H219" s="345"/>
    </row>
    <row r="220">
      <c r="A220" s="203"/>
      <c r="B220" s="345"/>
      <c r="C220" s="345"/>
      <c r="D220" s="345"/>
      <c r="E220" s="345"/>
      <c r="F220" s="345"/>
      <c r="G220" s="345"/>
      <c r="H220" s="345"/>
    </row>
    <row r="221">
      <c r="A221" s="203"/>
      <c r="B221" s="345"/>
      <c r="C221" s="345"/>
      <c r="D221" s="345"/>
      <c r="E221" s="345"/>
      <c r="F221" s="345"/>
      <c r="G221" s="345"/>
      <c r="H221" s="345"/>
    </row>
    <row r="222">
      <c r="A222" s="203"/>
      <c r="B222" s="345"/>
      <c r="C222" s="345"/>
      <c r="D222" s="345"/>
      <c r="E222" s="345"/>
      <c r="F222" s="345"/>
      <c r="G222" s="345"/>
      <c r="H222" s="345"/>
    </row>
    <row r="223">
      <c r="A223" s="203"/>
      <c r="B223" s="345"/>
      <c r="C223" s="345"/>
      <c r="D223" s="345"/>
      <c r="E223" s="345"/>
      <c r="F223" s="345"/>
      <c r="G223" s="345"/>
      <c r="H223" s="345"/>
    </row>
    <row r="224">
      <c r="A224" s="203"/>
      <c r="B224" s="345"/>
      <c r="C224" s="345"/>
      <c r="D224" s="345"/>
      <c r="E224" s="345"/>
      <c r="F224" s="345"/>
      <c r="G224" s="345"/>
      <c r="H224" s="345"/>
    </row>
    <row r="225">
      <c r="A225" s="203"/>
      <c r="B225" s="345"/>
      <c r="C225" s="345"/>
      <c r="D225" s="345"/>
      <c r="E225" s="345"/>
      <c r="F225" s="345"/>
      <c r="G225" s="345"/>
      <c r="H225" s="345"/>
    </row>
    <row r="226">
      <c r="A226" s="203"/>
      <c r="B226" s="345"/>
      <c r="C226" s="345"/>
      <c r="D226" s="345"/>
      <c r="E226" s="345"/>
      <c r="F226" s="345"/>
      <c r="G226" s="345"/>
      <c r="H226" s="345"/>
    </row>
    <row r="227">
      <c r="A227" s="203"/>
      <c r="B227" s="345"/>
      <c r="C227" s="345"/>
      <c r="D227" s="345"/>
      <c r="E227" s="345"/>
      <c r="F227" s="345"/>
      <c r="G227" s="345"/>
      <c r="H227" s="345"/>
    </row>
    <row r="228">
      <c r="A228" s="203"/>
      <c r="B228" s="345"/>
      <c r="C228" s="345"/>
      <c r="D228" s="345"/>
      <c r="E228" s="345"/>
      <c r="F228" s="345"/>
      <c r="G228" s="345"/>
      <c r="H228" s="345"/>
    </row>
    <row r="229">
      <c r="A229" s="203"/>
      <c r="B229" s="345"/>
      <c r="C229" s="345"/>
      <c r="D229" s="345"/>
      <c r="E229" s="345"/>
      <c r="F229" s="345"/>
      <c r="G229" s="345"/>
      <c r="H229" s="345"/>
    </row>
    <row r="230">
      <c r="A230" s="203"/>
      <c r="B230" s="345"/>
      <c r="C230" s="345"/>
      <c r="D230" s="345"/>
      <c r="E230" s="345"/>
      <c r="F230" s="345"/>
      <c r="G230" s="345"/>
      <c r="H230" s="345"/>
    </row>
    <row r="231">
      <c r="A231" s="203"/>
      <c r="B231" s="345"/>
      <c r="C231" s="345"/>
      <c r="D231" s="345"/>
      <c r="E231" s="345"/>
      <c r="F231" s="345"/>
      <c r="G231" s="345"/>
      <c r="H231" s="345"/>
    </row>
    <row r="232">
      <c r="A232" s="203"/>
      <c r="B232" s="345"/>
      <c r="C232" s="345"/>
      <c r="D232" s="345"/>
      <c r="E232" s="345"/>
      <c r="F232" s="345"/>
      <c r="G232" s="345"/>
      <c r="H232" s="345"/>
    </row>
    <row r="233">
      <c r="A233" s="203"/>
      <c r="B233" s="345"/>
      <c r="C233" s="345"/>
      <c r="D233" s="345"/>
      <c r="E233" s="345"/>
      <c r="F233" s="345"/>
      <c r="G233" s="345"/>
      <c r="H233" s="345"/>
    </row>
    <row r="234">
      <c r="A234" s="203"/>
      <c r="B234" s="345"/>
      <c r="C234" s="345"/>
      <c r="D234" s="345"/>
      <c r="E234" s="345"/>
      <c r="F234" s="345"/>
      <c r="G234" s="345"/>
      <c r="H234" s="345"/>
    </row>
    <row r="235">
      <c r="A235" s="203"/>
      <c r="B235" s="345"/>
      <c r="C235" s="345"/>
      <c r="D235" s="345"/>
      <c r="E235" s="345"/>
      <c r="F235" s="345"/>
      <c r="G235" s="345"/>
      <c r="H235" s="345"/>
    </row>
    <row r="236">
      <c r="A236" s="203"/>
      <c r="B236" s="345"/>
      <c r="C236" s="345"/>
      <c r="D236" s="345"/>
      <c r="E236" s="345"/>
      <c r="F236" s="345"/>
      <c r="G236" s="345"/>
      <c r="H236" s="345"/>
    </row>
    <row r="237">
      <c r="A237" s="203"/>
      <c r="B237" s="345"/>
      <c r="C237" s="345"/>
      <c r="D237" s="345"/>
      <c r="E237" s="345"/>
      <c r="F237" s="345"/>
      <c r="G237" s="345"/>
      <c r="H237" s="345"/>
    </row>
    <row r="238">
      <c r="A238" s="203"/>
      <c r="B238" s="345"/>
      <c r="C238" s="345"/>
      <c r="D238" s="345"/>
      <c r="E238" s="345"/>
      <c r="F238" s="345"/>
      <c r="G238" s="345"/>
      <c r="H238" s="345"/>
    </row>
    <row r="239">
      <c r="A239" s="203"/>
      <c r="B239" s="345"/>
      <c r="C239" s="345"/>
      <c r="D239" s="345"/>
      <c r="E239" s="345"/>
      <c r="F239" s="345"/>
      <c r="G239" s="345"/>
      <c r="H239" s="345"/>
    </row>
    <row r="240">
      <c r="A240" s="203"/>
      <c r="B240" s="345"/>
      <c r="C240" s="345"/>
      <c r="D240" s="345"/>
      <c r="E240" s="345"/>
      <c r="F240" s="345"/>
      <c r="G240" s="345"/>
      <c r="H240" s="345"/>
    </row>
    <row r="241">
      <c r="A241" s="203"/>
      <c r="B241" s="345"/>
      <c r="C241" s="345"/>
      <c r="D241" s="345"/>
      <c r="E241" s="345"/>
      <c r="F241" s="345"/>
      <c r="G241" s="345"/>
      <c r="H241" s="345"/>
    </row>
    <row r="242">
      <c r="A242" s="203"/>
      <c r="B242" s="345"/>
      <c r="C242" s="345"/>
      <c r="D242" s="345"/>
      <c r="E242" s="345"/>
      <c r="F242" s="345"/>
      <c r="G242" s="345"/>
      <c r="H242" s="345"/>
    </row>
    <row r="243">
      <c r="A243" s="203"/>
      <c r="B243" s="345"/>
      <c r="C243" s="345"/>
      <c r="D243" s="345"/>
      <c r="E243" s="345"/>
      <c r="F243" s="345"/>
      <c r="G243" s="345"/>
      <c r="H243" s="345"/>
    </row>
    <row r="244">
      <c r="A244" s="203"/>
      <c r="B244" s="345"/>
      <c r="C244" s="345"/>
      <c r="D244" s="345"/>
      <c r="E244" s="345"/>
      <c r="F244" s="345"/>
      <c r="G244" s="345"/>
      <c r="H244" s="345"/>
    </row>
    <row r="245">
      <c r="A245" s="203"/>
      <c r="B245" s="345"/>
      <c r="C245" s="345"/>
      <c r="D245" s="345"/>
      <c r="E245" s="345"/>
      <c r="F245" s="345"/>
      <c r="G245" s="345"/>
      <c r="H245" s="345"/>
    </row>
    <row r="246">
      <c r="A246" s="203"/>
      <c r="B246" s="345"/>
      <c r="C246" s="345"/>
      <c r="D246" s="345"/>
      <c r="E246" s="345"/>
      <c r="F246" s="345"/>
      <c r="G246" s="345"/>
      <c r="H246" s="345"/>
    </row>
    <row r="247">
      <c r="A247" s="203"/>
      <c r="B247" s="345"/>
      <c r="C247" s="345"/>
      <c r="D247" s="345"/>
      <c r="E247" s="345"/>
      <c r="F247" s="345"/>
      <c r="G247" s="345"/>
      <c r="H247" s="345"/>
    </row>
    <row r="248">
      <c r="A248" s="203"/>
      <c r="B248" s="345"/>
      <c r="C248" s="345"/>
      <c r="D248" s="345"/>
      <c r="E248" s="345"/>
      <c r="F248" s="345"/>
      <c r="G248" s="345"/>
      <c r="H248" s="345"/>
    </row>
    <row r="249">
      <c r="A249" s="203"/>
      <c r="B249" s="345"/>
      <c r="C249" s="345"/>
      <c r="D249" s="345"/>
      <c r="E249" s="345"/>
      <c r="F249" s="345"/>
      <c r="G249" s="345"/>
      <c r="H249" s="345"/>
    </row>
    <row r="250">
      <c r="A250" s="203"/>
      <c r="B250" s="345"/>
      <c r="C250" s="345"/>
      <c r="D250" s="345"/>
      <c r="E250" s="345"/>
      <c r="F250" s="345"/>
      <c r="G250" s="345"/>
      <c r="H250" s="345"/>
    </row>
    <row r="251">
      <c r="A251" s="203"/>
      <c r="B251" s="345"/>
      <c r="C251" s="345"/>
      <c r="D251" s="345"/>
      <c r="E251" s="345"/>
      <c r="F251" s="345"/>
      <c r="G251" s="345"/>
      <c r="H251" s="345"/>
    </row>
    <row r="252">
      <c r="A252" s="203"/>
      <c r="B252" s="345"/>
      <c r="C252" s="345"/>
      <c r="D252" s="345"/>
      <c r="E252" s="345"/>
      <c r="F252" s="345"/>
      <c r="G252" s="345"/>
      <c r="H252" s="345"/>
    </row>
    <row r="253">
      <c r="A253" s="203"/>
      <c r="B253" s="345"/>
      <c r="C253" s="345"/>
      <c r="D253" s="345"/>
      <c r="E253" s="345"/>
      <c r="F253" s="345"/>
      <c r="G253" s="345"/>
      <c r="H253" s="345"/>
    </row>
    <row r="254">
      <c r="A254" s="203"/>
      <c r="B254" s="345"/>
      <c r="C254" s="345"/>
      <c r="D254" s="345"/>
      <c r="E254" s="345"/>
      <c r="F254" s="345"/>
      <c r="G254" s="345"/>
      <c r="H254" s="345"/>
    </row>
    <row r="255">
      <c r="A255" s="203"/>
      <c r="B255" s="345"/>
      <c r="C255" s="345"/>
      <c r="D255" s="345"/>
      <c r="E255" s="345"/>
      <c r="F255" s="345"/>
      <c r="G255" s="345"/>
      <c r="H255" s="345"/>
    </row>
    <row r="256">
      <c r="A256" s="203"/>
      <c r="B256" s="345"/>
      <c r="C256" s="345"/>
      <c r="D256" s="345"/>
      <c r="E256" s="345"/>
      <c r="F256" s="345"/>
      <c r="G256" s="345"/>
      <c r="H256" s="345"/>
    </row>
    <row r="257">
      <c r="A257" s="203"/>
      <c r="B257" s="345"/>
      <c r="C257" s="345"/>
      <c r="D257" s="345"/>
      <c r="E257" s="345"/>
      <c r="F257" s="345"/>
      <c r="G257" s="345"/>
      <c r="H257" s="345"/>
    </row>
    <row r="258">
      <c r="A258" s="203"/>
      <c r="B258" s="345"/>
      <c r="C258" s="345"/>
      <c r="D258" s="345"/>
      <c r="E258" s="345"/>
      <c r="F258" s="345"/>
      <c r="G258" s="345"/>
      <c r="H258" s="345"/>
    </row>
    <row r="259">
      <c r="A259" s="203"/>
      <c r="B259" s="345"/>
      <c r="C259" s="345"/>
      <c r="D259" s="345"/>
      <c r="E259" s="345"/>
      <c r="F259" s="345"/>
      <c r="G259" s="345"/>
      <c r="H259" s="345"/>
    </row>
    <row r="260">
      <c r="A260" s="203"/>
      <c r="B260" s="345"/>
      <c r="C260" s="345"/>
      <c r="D260" s="345"/>
      <c r="E260" s="345"/>
      <c r="F260" s="345"/>
      <c r="G260" s="345"/>
      <c r="H260" s="345"/>
    </row>
    <row r="261">
      <c r="A261" s="203"/>
      <c r="B261" s="345"/>
      <c r="C261" s="345"/>
      <c r="D261" s="345"/>
      <c r="E261" s="345"/>
      <c r="F261" s="345"/>
      <c r="G261" s="345"/>
      <c r="H261" s="345"/>
    </row>
    <row r="262">
      <c r="A262" s="203"/>
      <c r="B262" s="345"/>
      <c r="C262" s="345"/>
      <c r="D262" s="345"/>
      <c r="E262" s="345"/>
      <c r="F262" s="345"/>
      <c r="G262" s="345"/>
      <c r="H262" s="345"/>
    </row>
    <row r="263">
      <c r="A263" s="203"/>
      <c r="B263" s="345"/>
      <c r="C263" s="345"/>
      <c r="D263" s="345"/>
      <c r="E263" s="345"/>
      <c r="F263" s="345"/>
      <c r="G263" s="345"/>
      <c r="H263" s="345"/>
    </row>
    <row r="264">
      <c r="A264" s="203"/>
      <c r="B264" s="345"/>
      <c r="C264" s="345"/>
      <c r="D264" s="345"/>
      <c r="E264" s="345"/>
      <c r="F264" s="345"/>
      <c r="G264" s="345"/>
      <c r="H264" s="345"/>
    </row>
    <row r="265">
      <c r="A265" s="203"/>
      <c r="B265" s="345"/>
      <c r="C265" s="345"/>
      <c r="D265" s="345"/>
      <c r="E265" s="345"/>
      <c r="F265" s="345"/>
      <c r="G265" s="345"/>
      <c r="H265" s="345"/>
    </row>
    <row r="266">
      <c r="A266" s="203"/>
      <c r="B266" s="345"/>
      <c r="C266" s="345"/>
      <c r="D266" s="345"/>
      <c r="E266" s="345"/>
      <c r="F266" s="345"/>
      <c r="G266" s="345"/>
      <c r="H266" s="345"/>
    </row>
    <row r="267">
      <c r="A267" s="203"/>
      <c r="B267" s="345"/>
      <c r="C267" s="345"/>
      <c r="D267" s="345"/>
      <c r="E267" s="345"/>
      <c r="F267" s="345"/>
      <c r="G267" s="345"/>
      <c r="H267" s="345"/>
    </row>
    <row r="268">
      <c r="A268" s="203"/>
      <c r="B268" s="345"/>
      <c r="C268" s="345"/>
      <c r="D268" s="345"/>
      <c r="E268" s="345"/>
      <c r="F268" s="345"/>
      <c r="G268" s="345"/>
      <c r="H268" s="345"/>
    </row>
    <row r="269">
      <c r="A269" s="203"/>
      <c r="B269" s="345"/>
      <c r="C269" s="345"/>
      <c r="D269" s="345"/>
      <c r="E269" s="345"/>
      <c r="F269" s="345"/>
      <c r="G269" s="345"/>
      <c r="H269" s="345"/>
    </row>
    <row r="270">
      <c r="A270" s="203"/>
      <c r="B270" s="345"/>
      <c r="C270" s="345"/>
      <c r="D270" s="345"/>
      <c r="E270" s="345"/>
      <c r="F270" s="345"/>
      <c r="G270" s="345"/>
      <c r="H270" s="903"/>
    </row>
    <row r="271">
      <c r="A271" s="203"/>
      <c r="B271" s="345"/>
      <c r="C271" s="345"/>
      <c r="D271" s="345"/>
      <c r="E271" s="345"/>
      <c r="F271" s="345"/>
      <c r="G271" s="345"/>
      <c r="H271" s="903"/>
    </row>
    <row r="272">
      <c r="A272" s="203"/>
      <c r="B272" s="345"/>
      <c r="C272" s="345"/>
      <c r="D272" s="345"/>
      <c r="E272" s="345"/>
      <c r="F272" s="345"/>
      <c r="G272" s="345"/>
      <c r="H272" s="903"/>
    </row>
    <row r="273">
      <c r="A273" s="203"/>
      <c r="B273" s="345"/>
      <c r="C273" s="345"/>
      <c r="D273" s="345"/>
      <c r="E273" s="345"/>
      <c r="F273" s="345"/>
      <c r="G273" s="345"/>
      <c r="H273" s="903"/>
    </row>
    <row r="274">
      <c r="A274" s="203"/>
      <c r="B274" s="345"/>
      <c r="C274" s="345"/>
      <c r="D274" s="345"/>
      <c r="E274" s="345"/>
      <c r="F274" s="345"/>
      <c r="G274" s="345"/>
      <c r="H274" s="903"/>
    </row>
    <row r="275">
      <c r="A275" s="203"/>
      <c r="B275" s="345"/>
      <c r="C275" s="345"/>
      <c r="D275" s="345"/>
      <c r="E275" s="345"/>
      <c r="F275" s="345"/>
      <c r="G275" s="345"/>
      <c r="H275" s="903"/>
    </row>
    <row r="276">
      <c r="A276" s="203"/>
      <c r="B276" s="345"/>
      <c r="C276" s="345"/>
      <c r="D276" s="345"/>
      <c r="E276" s="345"/>
      <c r="F276" s="345"/>
      <c r="G276" s="345"/>
      <c r="H276" s="903"/>
    </row>
    <row r="277">
      <c r="A277" s="203"/>
      <c r="B277" s="345"/>
      <c r="C277" s="345"/>
      <c r="D277" s="345"/>
      <c r="E277" s="345"/>
      <c r="F277" s="345"/>
      <c r="G277" s="345"/>
      <c r="H277" s="903"/>
    </row>
    <row r="278">
      <c r="A278" s="203"/>
      <c r="B278" s="345"/>
      <c r="C278" s="345"/>
      <c r="D278" s="345"/>
      <c r="E278" s="345"/>
      <c r="F278" s="345"/>
      <c r="G278" s="345"/>
      <c r="H278" s="903"/>
    </row>
    <row r="279">
      <c r="A279" s="203"/>
      <c r="B279" s="345"/>
      <c r="C279" s="345"/>
      <c r="D279" s="345"/>
      <c r="E279" s="345"/>
      <c r="F279" s="345"/>
      <c r="G279" s="345"/>
      <c r="H279" s="903"/>
    </row>
    <row r="280">
      <c r="A280" s="203"/>
      <c r="B280" s="345"/>
      <c r="C280" s="345"/>
      <c r="D280" s="345"/>
      <c r="E280" s="345"/>
      <c r="F280" s="345"/>
      <c r="G280" s="345"/>
      <c r="H280" s="903"/>
    </row>
    <row r="281">
      <c r="A281" s="203"/>
      <c r="B281" s="345"/>
      <c r="C281" s="345"/>
      <c r="D281" s="345"/>
      <c r="E281" s="345"/>
      <c r="F281" s="345"/>
      <c r="G281" s="345"/>
      <c r="H281" s="903"/>
    </row>
    <row r="282">
      <c r="A282" s="203"/>
      <c r="B282" s="345"/>
      <c r="C282" s="345"/>
      <c r="D282" s="345"/>
      <c r="E282" s="345"/>
      <c r="F282" s="345"/>
      <c r="G282" s="345"/>
      <c r="H282" s="903"/>
    </row>
    <row r="283">
      <c r="A283" s="203"/>
      <c r="B283" s="345"/>
      <c r="C283" s="345"/>
      <c r="D283" s="345"/>
      <c r="E283" s="345"/>
      <c r="F283" s="345"/>
      <c r="G283" s="345"/>
      <c r="H283" s="903"/>
    </row>
    <row r="284">
      <c r="A284" s="203"/>
      <c r="B284" s="345"/>
      <c r="C284" s="345"/>
      <c r="D284" s="345"/>
      <c r="E284" s="345"/>
      <c r="F284" s="345"/>
      <c r="G284" s="345"/>
      <c r="H284" s="903"/>
    </row>
    <row r="285">
      <c r="A285" s="203"/>
      <c r="B285" s="345"/>
      <c r="C285" s="345"/>
      <c r="D285" s="345"/>
      <c r="E285" s="345"/>
      <c r="F285" s="345"/>
      <c r="G285" s="345"/>
      <c r="H285" s="903"/>
    </row>
    <row r="286">
      <c r="A286" s="203"/>
      <c r="B286" s="345"/>
      <c r="C286" s="345"/>
      <c r="D286" s="345"/>
      <c r="E286" s="345"/>
      <c r="F286" s="345"/>
      <c r="G286" s="345"/>
      <c r="H286" s="903"/>
    </row>
    <row r="287">
      <c r="A287" s="203"/>
      <c r="B287" s="345"/>
      <c r="C287" s="345"/>
      <c r="D287" s="345"/>
      <c r="E287" s="345"/>
      <c r="F287" s="345"/>
      <c r="G287" s="345"/>
      <c r="H287" s="903"/>
    </row>
    <row r="288">
      <c r="A288" s="203"/>
      <c r="B288" s="345"/>
      <c r="C288" s="345"/>
      <c r="D288" s="345"/>
      <c r="E288" s="345"/>
      <c r="F288" s="345"/>
      <c r="G288" s="345"/>
      <c r="H288" s="903"/>
    </row>
    <row r="289">
      <c r="A289" s="203"/>
      <c r="B289" s="345"/>
      <c r="C289" s="345"/>
      <c r="D289" s="345"/>
      <c r="E289" s="345"/>
      <c r="F289" s="345"/>
      <c r="G289" s="345"/>
      <c r="H289" s="903"/>
    </row>
    <row r="290">
      <c r="A290" s="203"/>
      <c r="B290" s="345"/>
      <c r="C290" s="345"/>
      <c r="D290" s="345"/>
      <c r="E290" s="345"/>
      <c r="F290" s="345"/>
      <c r="G290" s="345"/>
      <c r="H290" s="903"/>
    </row>
    <row r="291">
      <c r="A291" s="203"/>
      <c r="B291" s="345"/>
      <c r="C291" s="345"/>
      <c r="D291" s="345"/>
      <c r="E291" s="345"/>
      <c r="F291" s="345"/>
      <c r="G291" s="345"/>
      <c r="H291" s="903"/>
    </row>
    <row r="292">
      <c r="A292" s="203"/>
      <c r="B292" s="345"/>
      <c r="C292" s="345"/>
      <c r="D292" s="345"/>
      <c r="E292" s="345"/>
      <c r="F292" s="345"/>
      <c r="G292" s="345"/>
      <c r="H292" s="903"/>
    </row>
    <row r="293">
      <c r="A293" s="203"/>
      <c r="B293" s="345"/>
      <c r="C293" s="345"/>
      <c r="D293" s="345"/>
      <c r="E293" s="345"/>
      <c r="F293" s="345"/>
      <c r="G293" s="345"/>
      <c r="H293" s="903"/>
    </row>
    <row r="294">
      <c r="A294" s="203"/>
      <c r="B294" s="345"/>
      <c r="C294" s="345"/>
      <c r="D294" s="345"/>
      <c r="E294" s="345"/>
      <c r="F294" s="345"/>
      <c r="G294" s="345"/>
      <c r="H294" s="903"/>
    </row>
    <row r="295">
      <c r="A295" s="203"/>
      <c r="B295" s="345"/>
      <c r="C295" s="345"/>
      <c r="D295" s="345"/>
      <c r="E295" s="345"/>
      <c r="F295" s="345"/>
      <c r="G295" s="345"/>
      <c r="H295" s="903"/>
    </row>
    <row r="296">
      <c r="A296" s="203"/>
      <c r="B296" s="345"/>
      <c r="C296" s="345"/>
      <c r="D296" s="345"/>
      <c r="E296" s="345"/>
      <c r="F296" s="345"/>
      <c r="G296" s="345"/>
      <c r="H296" s="903"/>
    </row>
    <row r="297">
      <c r="A297" s="203"/>
      <c r="B297" s="345"/>
      <c r="C297" s="345"/>
      <c r="D297" s="345"/>
      <c r="E297" s="345"/>
      <c r="F297" s="345"/>
      <c r="G297" s="345"/>
      <c r="H297" s="903"/>
    </row>
    <row r="298">
      <c r="A298" s="203"/>
      <c r="B298" s="345"/>
      <c r="C298" s="345"/>
      <c r="D298" s="345"/>
      <c r="E298" s="345"/>
      <c r="F298" s="345"/>
      <c r="G298" s="345"/>
      <c r="H298" s="903"/>
    </row>
    <row r="299">
      <c r="A299" s="203"/>
      <c r="B299" s="345"/>
      <c r="C299" s="345"/>
      <c r="D299" s="345"/>
      <c r="E299" s="345"/>
      <c r="F299" s="345"/>
      <c r="G299" s="345"/>
      <c r="H299" s="903"/>
    </row>
    <row r="300">
      <c r="A300" s="203"/>
      <c r="B300" s="345"/>
      <c r="C300" s="345"/>
      <c r="D300" s="345"/>
      <c r="E300" s="345"/>
      <c r="F300" s="345"/>
      <c r="G300" s="345"/>
      <c r="H300" s="903"/>
    </row>
    <row r="301">
      <c r="A301" s="203"/>
      <c r="B301" s="345"/>
      <c r="C301" s="345"/>
      <c r="D301" s="345"/>
      <c r="E301" s="345"/>
      <c r="F301" s="345"/>
      <c r="G301" s="345"/>
      <c r="H301" s="903"/>
    </row>
    <row r="302">
      <c r="A302" s="203"/>
      <c r="B302" s="345"/>
      <c r="C302" s="345"/>
      <c r="D302" s="345"/>
      <c r="E302" s="345"/>
      <c r="F302" s="345"/>
      <c r="G302" s="345"/>
      <c r="H302" s="903"/>
    </row>
    <row r="303">
      <c r="A303" s="203"/>
      <c r="B303" s="345"/>
      <c r="C303" s="345"/>
      <c r="D303" s="345"/>
      <c r="E303" s="345"/>
      <c r="F303" s="345"/>
      <c r="G303" s="345"/>
      <c r="H303" s="903"/>
    </row>
    <row r="304">
      <c r="A304" s="203"/>
      <c r="B304" s="345"/>
      <c r="C304" s="345"/>
      <c r="D304" s="345"/>
      <c r="E304" s="345"/>
      <c r="F304" s="345"/>
      <c r="G304" s="345"/>
      <c r="H304" s="903"/>
    </row>
    <row r="305">
      <c r="A305" s="203"/>
      <c r="B305" s="345"/>
      <c r="C305" s="345"/>
      <c r="D305" s="345"/>
      <c r="E305" s="345"/>
      <c r="F305" s="345"/>
      <c r="G305" s="345"/>
      <c r="H305" s="903"/>
    </row>
    <row r="306">
      <c r="A306" s="203"/>
      <c r="B306" s="345"/>
      <c r="C306" s="345"/>
      <c r="D306" s="345"/>
      <c r="E306" s="345"/>
      <c r="F306" s="345"/>
      <c r="G306" s="345"/>
      <c r="H306" s="903"/>
    </row>
    <row r="307">
      <c r="A307" s="203"/>
      <c r="B307" s="345"/>
      <c r="C307" s="345"/>
      <c r="D307" s="345"/>
      <c r="E307" s="345"/>
      <c r="F307" s="345"/>
      <c r="G307" s="345"/>
      <c r="H307" s="903"/>
    </row>
    <row r="308">
      <c r="A308" s="203"/>
      <c r="B308" s="345"/>
      <c r="C308" s="345"/>
      <c r="D308" s="345"/>
      <c r="E308" s="345"/>
      <c r="F308" s="345"/>
      <c r="G308" s="345"/>
      <c r="H308" s="903"/>
    </row>
    <row r="309">
      <c r="A309" s="203"/>
      <c r="B309" s="345"/>
      <c r="C309" s="345"/>
      <c r="D309" s="345"/>
      <c r="E309" s="345"/>
      <c r="F309" s="345"/>
      <c r="G309" s="345"/>
      <c r="H309" s="903"/>
    </row>
    <row r="310">
      <c r="A310" s="203"/>
      <c r="B310" s="345"/>
      <c r="C310" s="345"/>
      <c r="D310" s="345"/>
      <c r="E310" s="345"/>
      <c r="F310" s="345"/>
      <c r="G310" s="345"/>
      <c r="H310" s="903"/>
    </row>
    <row r="311">
      <c r="A311" s="203"/>
      <c r="B311" s="345"/>
      <c r="C311" s="345"/>
      <c r="D311" s="345"/>
      <c r="E311" s="345"/>
      <c r="F311" s="345"/>
      <c r="G311" s="345"/>
      <c r="H311" s="903"/>
    </row>
    <row r="312">
      <c r="A312" s="203"/>
      <c r="B312" s="345"/>
      <c r="C312" s="345"/>
      <c r="D312" s="345"/>
      <c r="E312" s="345"/>
      <c r="F312" s="345"/>
      <c r="G312" s="345"/>
      <c r="H312" s="903"/>
    </row>
    <row r="313">
      <c r="A313" s="203"/>
      <c r="B313" s="345"/>
      <c r="C313" s="345"/>
      <c r="D313" s="345"/>
      <c r="E313" s="345"/>
      <c r="F313" s="345"/>
      <c r="G313" s="345"/>
      <c r="H313" s="903"/>
    </row>
    <row r="314">
      <c r="A314" s="203"/>
      <c r="B314" s="345"/>
      <c r="C314" s="345"/>
      <c r="D314" s="345"/>
      <c r="E314" s="345"/>
      <c r="F314" s="345"/>
      <c r="G314" s="345"/>
      <c r="H314" s="903"/>
    </row>
    <row r="315">
      <c r="A315" s="203"/>
      <c r="B315" s="345"/>
      <c r="C315" s="345"/>
      <c r="D315" s="345"/>
      <c r="E315" s="345"/>
      <c r="F315" s="345"/>
      <c r="G315" s="345"/>
      <c r="H315" s="903"/>
    </row>
    <row r="316">
      <c r="A316" s="203"/>
      <c r="B316" s="345"/>
      <c r="C316" s="345"/>
      <c r="D316" s="345"/>
      <c r="E316" s="345"/>
      <c r="F316" s="345"/>
      <c r="G316" s="345"/>
      <c r="H316" s="903"/>
    </row>
    <row r="317">
      <c r="A317" s="203"/>
      <c r="B317" s="345"/>
      <c r="C317" s="345"/>
      <c r="D317" s="345"/>
      <c r="E317" s="345"/>
      <c r="F317" s="345"/>
      <c r="G317" s="345"/>
      <c r="H317" s="903"/>
    </row>
    <row r="318">
      <c r="A318" s="203"/>
      <c r="B318" s="345"/>
      <c r="C318" s="345"/>
      <c r="D318" s="345"/>
      <c r="E318" s="345"/>
      <c r="F318" s="345"/>
      <c r="G318" s="345"/>
      <c r="H318" s="903"/>
    </row>
    <row r="319">
      <c r="A319" s="203"/>
      <c r="B319" s="345"/>
      <c r="C319" s="345"/>
      <c r="D319" s="345"/>
      <c r="E319" s="345"/>
      <c r="F319" s="345"/>
      <c r="G319" s="345"/>
      <c r="H319" s="903"/>
    </row>
    <row r="320">
      <c r="A320" s="203"/>
      <c r="B320" s="345"/>
      <c r="C320" s="345"/>
      <c r="D320" s="345"/>
      <c r="E320" s="345"/>
      <c r="F320" s="345"/>
      <c r="G320" s="345"/>
      <c r="H320" s="903"/>
    </row>
    <row r="321">
      <c r="A321" s="203"/>
      <c r="B321" s="345"/>
      <c r="C321" s="345"/>
      <c r="D321" s="345"/>
      <c r="E321" s="345"/>
      <c r="F321" s="345"/>
      <c r="G321" s="345"/>
      <c r="H321" s="903"/>
    </row>
    <row r="322">
      <c r="A322" s="203"/>
      <c r="B322" s="345"/>
      <c r="C322" s="345"/>
      <c r="D322" s="345"/>
      <c r="E322" s="345"/>
      <c r="F322" s="345"/>
      <c r="G322" s="345"/>
      <c r="H322" s="903"/>
    </row>
    <row r="323">
      <c r="A323" s="203"/>
      <c r="B323" s="345"/>
      <c r="C323" s="345"/>
      <c r="D323" s="345"/>
      <c r="E323" s="345"/>
      <c r="F323" s="345"/>
      <c r="G323" s="345"/>
      <c r="H323" s="903"/>
    </row>
    <row r="324">
      <c r="A324" s="203"/>
      <c r="B324" s="345"/>
      <c r="C324" s="345"/>
      <c r="D324" s="345"/>
      <c r="E324" s="345"/>
      <c r="F324" s="345"/>
      <c r="G324" s="345"/>
      <c r="H324" s="903"/>
    </row>
    <row r="325">
      <c r="A325" s="203"/>
      <c r="B325" s="345"/>
      <c r="C325" s="345"/>
      <c r="D325" s="345"/>
      <c r="E325" s="345"/>
      <c r="F325" s="345"/>
      <c r="G325" s="345"/>
      <c r="H325" s="903"/>
    </row>
    <row r="326">
      <c r="A326" s="203"/>
      <c r="B326" s="345"/>
      <c r="C326" s="345"/>
      <c r="D326" s="345"/>
      <c r="E326" s="345"/>
      <c r="F326" s="345"/>
      <c r="G326" s="345"/>
      <c r="H326" s="903"/>
    </row>
    <row r="327">
      <c r="A327" s="203"/>
      <c r="B327" s="345"/>
      <c r="C327" s="345"/>
      <c r="D327" s="345"/>
      <c r="E327" s="345"/>
      <c r="F327" s="345"/>
      <c r="G327" s="345"/>
      <c r="H327" s="903"/>
    </row>
    <row r="328">
      <c r="A328" s="203"/>
      <c r="B328" s="345"/>
      <c r="C328" s="345"/>
      <c r="D328" s="345"/>
      <c r="E328" s="345"/>
      <c r="F328" s="345"/>
      <c r="G328" s="345"/>
      <c r="H328" s="903"/>
    </row>
    <row r="329">
      <c r="A329" s="203"/>
      <c r="B329" s="345"/>
      <c r="C329" s="345"/>
      <c r="D329" s="345"/>
      <c r="E329" s="345"/>
      <c r="F329" s="345"/>
      <c r="G329" s="345"/>
      <c r="H329" s="903"/>
    </row>
    <row r="330">
      <c r="A330" s="203"/>
      <c r="B330" s="345"/>
      <c r="C330" s="345"/>
      <c r="D330" s="345"/>
      <c r="E330" s="345"/>
      <c r="F330" s="345"/>
      <c r="G330" s="345"/>
      <c r="H330" s="903"/>
    </row>
    <row r="331">
      <c r="A331" s="203"/>
      <c r="B331" s="345"/>
      <c r="C331" s="345"/>
      <c r="D331" s="345"/>
      <c r="E331" s="345"/>
      <c r="F331" s="345"/>
      <c r="G331" s="345"/>
      <c r="H331" s="903"/>
    </row>
    <row r="332">
      <c r="A332" s="203"/>
      <c r="B332" s="345"/>
      <c r="C332" s="345"/>
      <c r="D332" s="345"/>
      <c r="E332" s="345"/>
      <c r="F332" s="345"/>
      <c r="G332" s="345"/>
      <c r="H332" s="903"/>
    </row>
    <row r="333">
      <c r="A333" s="203"/>
      <c r="B333" s="345"/>
      <c r="C333" s="345"/>
      <c r="D333" s="345"/>
      <c r="E333" s="345"/>
      <c r="F333" s="345"/>
      <c r="G333" s="345"/>
      <c r="H333" s="903"/>
    </row>
    <row r="334">
      <c r="A334" s="203"/>
      <c r="B334" s="345"/>
      <c r="C334" s="345"/>
      <c r="D334" s="345"/>
      <c r="E334" s="345"/>
      <c r="F334" s="345"/>
      <c r="G334" s="345"/>
      <c r="H334" s="903"/>
    </row>
    <row r="335">
      <c r="A335" s="203"/>
      <c r="B335" s="345"/>
      <c r="C335" s="345"/>
      <c r="D335" s="345"/>
      <c r="E335" s="345"/>
      <c r="F335" s="345"/>
      <c r="G335" s="345"/>
      <c r="H335" s="903"/>
    </row>
    <row r="336">
      <c r="A336" s="203"/>
      <c r="B336" s="345"/>
      <c r="C336" s="345"/>
      <c r="D336" s="345"/>
      <c r="E336" s="345"/>
      <c r="F336" s="345"/>
      <c r="G336" s="345"/>
      <c r="H336" s="903"/>
    </row>
    <row r="337">
      <c r="A337" s="203"/>
      <c r="B337" s="345"/>
      <c r="C337" s="345"/>
      <c r="D337" s="345"/>
      <c r="E337" s="345"/>
      <c r="F337" s="345"/>
      <c r="G337" s="345"/>
      <c r="H337" s="903"/>
    </row>
    <row r="338">
      <c r="A338" s="203"/>
      <c r="B338" s="345"/>
      <c r="C338" s="345"/>
      <c r="D338" s="345"/>
      <c r="E338" s="345"/>
      <c r="F338" s="345"/>
      <c r="G338" s="345"/>
      <c r="H338" s="903"/>
    </row>
    <row r="339">
      <c r="A339" s="203"/>
      <c r="B339" s="345"/>
      <c r="C339" s="345"/>
      <c r="D339" s="345"/>
      <c r="E339" s="345"/>
      <c r="F339" s="345"/>
      <c r="G339" s="345"/>
      <c r="H339" s="903"/>
    </row>
    <row r="340">
      <c r="A340" s="203"/>
      <c r="B340" s="345"/>
      <c r="C340" s="345"/>
      <c r="D340" s="345"/>
      <c r="E340" s="345"/>
      <c r="F340" s="345"/>
      <c r="G340" s="345"/>
      <c r="H340" s="903"/>
    </row>
    <row r="341">
      <c r="A341" s="203"/>
      <c r="B341" s="345"/>
      <c r="C341" s="345"/>
      <c r="D341" s="345"/>
      <c r="E341" s="345"/>
      <c r="F341" s="345"/>
      <c r="G341" s="345"/>
      <c r="H341" s="903"/>
    </row>
    <row r="342">
      <c r="A342" s="203"/>
      <c r="B342" s="345"/>
      <c r="C342" s="345"/>
      <c r="D342" s="345"/>
      <c r="E342" s="345"/>
      <c r="F342" s="345"/>
      <c r="G342" s="345"/>
      <c r="H342" s="903"/>
    </row>
    <row r="343">
      <c r="A343" s="203"/>
      <c r="B343" s="345"/>
      <c r="C343" s="345"/>
      <c r="D343" s="345"/>
      <c r="E343" s="345"/>
      <c r="F343" s="345"/>
      <c r="G343" s="345"/>
      <c r="H343" s="903"/>
    </row>
    <row r="344">
      <c r="A344" s="203"/>
      <c r="B344" s="345"/>
      <c r="C344" s="345"/>
      <c r="D344" s="345"/>
      <c r="E344" s="345"/>
      <c r="F344" s="345"/>
      <c r="G344" s="345"/>
      <c r="H344" s="903"/>
    </row>
    <row r="345">
      <c r="A345" s="203"/>
      <c r="B345" s="345"/>
      <c r="C345" s="345"/>
      <c r="D345" s="345"/>
      <c r="E345" s="345"/>
      <c r="F345" s="345"/>
      <c r="G345" s="345"/>
      <c r="H345" s="903"/>
    </row>
    <row r="346">
      <c r="A346" s="203"/>
      <c r="B346" s="345"/>
      <c r="C346" s="345"/>
      <c r="D346" s="345"/>
      <c r="E346" s="345"/>
      <c r="F346" s="345"/>
      <c r="G346" s="345"/>
      <c r="H346" s="903"/>
    </row>
    <row r="347">
      <c r="A347" s="203"/>
      <c r="B347" s="345"/>
      <c r="C347" s="345"/>
      <c r="D347" s="345"/>
      <c r="E347" s="345"/>
      <c r="F347" s="345"/>
      <c r="G347" s="345"/>
      <c r="H347" s="903"/>
    </row>
    <row r="348">
      <c r="A348" s="203"/>
      <c r="B348" s="345"/>
      <c r="C348" s="345"/>
      <c r="D348" s="345"/>
      <c r="E348" s="345"/>
      <c r="F348" s="345"/>
      <c r="G348" s="345"/>
      <c r="H348" s="903"/>
    </row>
    <row r="349">
      <c r="A349" s="203"/>
      <c r="B349" s="345"/>
      <c r="C349" s="345"/>
      <c r="D349" s="345"/>
      <c r="E349" s="345"/>
      <c r="F349" s="345"/>
      <c r="G349" s="345"/>
      <c r="H349" s="903"/>
    </row>
    <row r="350">
      <c r="A350" s="203"/>
      <c r="B350" s="345"/>
      <c r="C350" s="345"/>
      <c r="D350" s="345"/>
      <c r="E350" s="345"/>
      <c r="F350" s="345"/>
      <c r="G350" s="345"/>
      <c r="H350" s="903"/>
    </row>
    <row r="351">
      <c r="A351" s="203"/>
      <c r="B351" s="345"/>
      <c r="C351" s="345"/>
      <c r="D351" s="345"/>
      <c r="E351" s="345"/>
      <c r="F351" s="345"/>
      <c r="G351" s="345"/>
      <c r="H351" s="903"/>
    </row>
    <row r="352">
      <c r="A352" s="203"/>
      <c r="B352" s="345"/>
      <c r="C352" s="345"/>
      <c r="D352" s="345"/>
      <c r="E352" s="345"/>
      <c r="F352" s="345"/>
      <c r="G352" s="345"/>
      <c r="H352" s="903"/>
    </row>
    <row r="353">
      <c r="A353" s="203"/>
      <c r="B353" s="345"/>
      <c r="C353" s="345"/>
      <c r="D353" s="345"/>
      <c r="E353" s="345"/>
      <c r="F353" s="345"/>
      <c r="G353" s="345"/>
      <c r="H353" s="903"/>
    </row>
    <row r="354">
      <c r="A354" s="203"/>
      <c r="B354" s="345"/>
      <c r="C354" s="345"/>
      <c r="D354" s="345"/>
      <c r="E354" s="345"/>
      <c r="F354" s="345"/>
      <c r="G354" s="345"/>
      <c r="H354" s="903"/>
    </row>
    <row r="355">
      <c r="A355" s="203"/>
      <c r="B355" s="345"/>
      <c r="C355" s="345"/>
      <c r="D355" s="345"/>
      <c r="E355" s="345"/>
      <c r="F355" s="345"/>
      <c r="G355" s="345"/>
      <c r="H355" s="903"/>
    </row>
    <row r="356">
      <c r="A356" s="203"/>
      <c r="B356" s="345"/>
      <c r="C356" s="345"/>
      <c r="D356" s="345"/>
      <c r="E356" s="345"/>
      <c r="F356" s="345"/>
      <c r="G356" s="345"/>
      <c r="H356" s="903"/>
    </row>
    <row r="357">
      <c r="A357" s="203"/>
      <c r="B357" s="345"/>
      <c r="C357" s="345"/>
      <c r="D357" s="345"/>
      <c r="E357" s="345"/>
      <c r="F357" s="345"/>
      <c r="G357" s="345"/>
      <c r="H357" s="903"/>
    </row>
    <row r="358">
      <c r="A358" s="203"/>
      <c r="B358" s="345"/>
      <c r="C358" s="345"/>
      <c r="D358" s="345"/>
      <c r="E358" s="345"/>
      <c r="F358" s="345"/>
      <c r="G358" s="345"/>
      <c r="H358" s="903"/>
    </row>
    <row r="359">
      <c r="A359" s="203"/>
      <c r="B359" s="345"/>
      <c r="C359" s="345"/>
      <c r="D359" s="345"/>
      <c r="E359" s="345"/>
      <c r="F359" s="345"/>
      <c r="G359" s="345"/>
      <c r="H359" s="903"/>
    </row>
    <row r="360">
      <c r="A360" s="203"/>
      <c r="B360" s="345"/>
      <c r="C360" s="345"/>
      <c r="D360" s="345"/>
      <c r="E360" s="345"/>
      <c r="F360" s="345"/>
      <c r="G360" s="345"/>
      <c r="H360" s="903"/>
    </row>
    <row r="361">
      <c r="A361" s="203"/>
      <c r="B361" s="345"/>
      <c r="C361" s="345"/>
      <c r="D361" s="345"/>
      <c r="E361" s="345"/>
      <c r="F361" s="345"/>
      <c r="G361" s="345"/>
      <c r="H361" s="903"/>
    </row>
    <row r="362">
      <c r="A362" s="203"/>
      <c r="B362" s="345"/>
      <c r="C362" s="345"/>
      <c r="D362" s="345"/>
      <c r="E362" s="345"/>
      <c r="F362" s="345"/>
      <c r="G362" s="345"/>
      <c r="H362" s="903"/>
    </row>
    <row r="363">
      <c r="A363" s="203"/>
      <c r="B363" s="345"/>
      <c r="C363" s="345"/>
      <c r="D363" s="345"/>
      <c r="E363" s="345"/>
      <c r="F363" s="345"/>
      <c r="G363" s="345"/>
      <c r="H363" s="903"/>
    </row>
    <row r="364">
      <c r="A364" s="203"/>
      <c r="B364" s="345"/>
      <c r="C364" s="345"/>
      <c r="D364" s="345"/>
      <c r="E364" s="345"/>
      <c r="F364" s="345"/>
      <c r="G364" s="345"/>
      <c r="H364" s="903"/>
    </row>
    <row r="365">
      <c r="A365" s="203"/>
      <c r="B365" s="345"/>
      <c r="C365" s="345"/>
      <c r="D365" s="345"/>
      <c r="E365" s="345"/>
      <c r="F365" s="345"/>
      <c r="G365" s="345"/>
      <c r="H365" s="903"/>
    </row>
    <row r="366">
      <c r="A366" s="203"/>
      <c r="B366" s="345"/>
      <c r="C366" s="345"/>
      <c r="D366" s="345"/>
      <c r="E366" s="345"/>
      <c r="F366" s="345"/>
      <c r="G366" s="345"/>
      <c r="H366" s="903"/>
    </row>
    <row r="367">
      <c r="A367" s="203"/>
      <c r="B367" s="345"/>
      <c r="C367" s="345"/>
      <c r="D367" s="345"/>
      <c r="E367" s="345"/>
      <c r="F367" s="345"/>
      <c r="G367" s="345"/>
      <c r="H367" s="903"/>
    </row>
    <row r="368">
      <c r="A368" s="203"/>
      <c r="B368" s="345"/>
      <c r="C368" s="345"/>
      <c r="D368" s="345"/>
      <c r="E368" s="345"/>
      <c r="F368" s="345"/>
      <c r="G368" s="345"/>
      <c r="H368" s="903"/>
    </row>
    <row r="369">
      <c r="A369" s="203"/>
      <c r="B369" s="345"/>
      <c r="C369" s="345"/>
      <c r="D369" s="345"/>
      <c r="E369" s="345"/>
      <c r="F369" s="345"/>
      <c r="G369" s="345"/>
      <c r="H369" s="903"/>
    </row>
    <row r="370">
      <c r="A370" s="203"/>
      <c r="B370" s="345"/>
      <c r="C370" s="345"/>
      <c r="D370" s="345"/>
      <c r="E370" s="345"/>
      <c r="F370" s="345"/>
      <c r="G370" s="345"/>
      <c r="H370" s="903"/>
    </row>
    <row r="371">
      <c r="A371" s="203"/>
      <c r="B371" s="345"/>
      <c r="C371" s="345"/>
      <c r="D371" s="345"/>
      <c r="E371" s="345"/>
      <c r="F371" s="345"/>
      <c r="G371" s="345"/>
      <c r="H371" s="903"/>
    </row>
    <row r="372">
      <c r="A372" s="203"/>
      <c r="B372" s="345"/>
      <c r="C372" s="345"/>
      <c r="D372" s="345"/>
      <c r="E372" s="345"/>
      <c r="F372" s="345"/>
      <c r="G372" s="345"/>
      <c r="H372" s="903"/>
    </row>
    <row r="373">
      <c r="A373" s="203"/>
      <c r="B373" s="345"/>
      <c r="C373" s="345"/>
      <c r="D373" s="345"/>
      <c r="E373" s="345"/>
      <c r="F373" s="345"/>
      <c r="G373" s="345"/>
      <c r="H373" s="903"/>
    </row>
    <row r="374">
      <c r="A374" s="203"/>
      <c r="B374" s="345"/>
      <c r="C374" s="345"/>
      <c r="D374" s="345"/>
      <c r="E374" s="345"/>
      <c r="F374" s="345"/>
      <c r="G374" s="345"/>
      <c r="H374" s="903"/>
    </row>
    <row r="375">
      <c r="A375" s="203"/>
      <c r="B375" s="345"/>
      <c r="C375" s="345"/>
      <c r="D375" s="345"/>
      <c r="E375" s="345"/>
      <c r="F375" s="345"/>
      <c r="G375" s="345"/>
      <c r="H375" s="903"/>
    </row>
    <row r="376">
      <c r="A376" s="203"/>
      <c r="B376" s="345"/>
      <c r="C376" s="345"/>
      <c r="D376" s="345"/>
      <c r="E376" s="345"/>
      <c r="F376" s="345"/>
      <c r="G376" s="345"/>
      <c r="H376" s="903"/>
    </row>
    <row r="377">
      <c r="A377" s="203"/>
      <c r="B377" s="345"/>
      <c r="C377" s="345"/>
      <c r="D377" s="345"/>
      <c r="E377" s="345"/>
      <c r="F377" s="345"/>
      <c r="G377" s="345"/>
      <c r="H377" s="903"/>
    </row>
    <row r="378">
      <c r="A378" s="203"/>
      <c r="B378" s="345"/>
      <c r="C378" s="345"/>
      <c r="D378" s="345"/>
      <c r="E378" s="345"/>
      <c r="F378" s="345"/>
      <c r="G378" s="345"/>
      <c r="H378" s="903"/>
    </row>
    <row r="379">
      <c r="A379" s="203"/>
      <c r="B379" s="345"/>
      <c r="C379" s="345"/>
      <c r="D379" s="345"/>
      <c r="E379" s="345"/>
      <c r="F379" s="345"/>
      <c r="G379" s="345"/>
      <c r="H379" s="903"/>
    </row>
    <row r="380">
      <c r="A380" s="203"/>
      <c r="B380" s="345"/>
      <c r="C380" s="345"/>
      <c r="D380" s="345"/>
      <c r="E380" s="345"/>
      <c r="F380" s="345"/>
      <c r="G380" s="345"/>
      <c r="H380" s="903"/>
    </row>
    <row r="381">
      <c r="A381" s="203"/>
      <c r="B381" s="345"/>
      <c r="C381" s="345"/>
      <c r="D381" s="345"/>
      <c r="E381" s="345"/>
      <c r="F381" s="345"/>
      <c r="G381" s="345"/>
      <c r="H381" s="903"/>
    </row>
    <row r="382">
      <c r="A382" s="203"/>
      <c r="B382" s="345"/>
      <c r="C382" s="345"/>
      <c r="D382" s="345"/>
      <c r="E382" s="345"/>
      <c r="F382" s="345"/>
      <c r="G382" s="345"/>
      <c r="H382" s="903"/>
    </row>
    <row r="383">
      <c r="A383" s="203"/>
      <c r="B383" s="345"/>
      <c r="C383" s="345"/>
      <c r="D383" s="345"/>
      <c r="E383" s="345"/>
      <c r="F383" s="345"/>
      <c r="G383" s="345"/>
      <c r="H383" s="903"/>
    </row>
    <row r="384">
      <c r="A384" s="203"/>
      <c r="B384" s="345"/>
      <c r="C384" s="345"/>
      <c r="D384" s="345"/>
      <c r="E384" s="345"/>
      <c r="F384" s="345"/>
      <c r="G384" s="345"/>
      <c r="H384" s="903"/>
    </row>
    <row r="385">
      <c r="A385" s="203"/>
      <c r="B385" s="345"/>
      <c r="C385" s="345"/>
      <c r="D385" s="345"/>
      <c r="E385" s="345"/>
      <c r="F385" s="345"/>
      <c r="G385" s="345"/>
      <c r="H385" s="903"/>
    </row>
    <row r="386">
      <c r="A386" s="203"/>
      <c r="B386" s="345"/>
      <c r="C386" s="345"/>
      <c r="D386" s="345"/>
      <c r="E386" s="345"/>
      <c r="F386" s="345"/>
      <c r="G386" s="345"/>
      <c r="H386" s="903"/>
    </row>
    <row r="387">
      <c r="A387" s="203"/>
      <c r="B387" s="345"/>
      <c r="C387" s="345"/>
      <c r="D387" s="345"/>
      <c r="E387" s="345"/>
      <c r="F387" s="345"/>
      <c r="G387" s="345"/>
      <c r="H387" s="903"/>
    </row>
    <row r="388">
      <c r="A388" s="203"/>
      <c r="B388" s="345"/>
      <c r="C388" s="345"/>
      <c r="D388" s="345"/>
      <c r="E388" s="345"/>
      <c r="F388" s="345"/>
      <c r="G388" s="345"/>
      <c r="H388" s="903"/>
    </row>
    <row r="389">
      <c r="A389" s="203"/>
      <c r="B389" s="345"/>
      <c r="C389" s="345"/>
      <c r="D389" s="345"/>
      <c r="E389" s="345"/>
      <c r="F389" s="345"/>
      <c r="G389" s="345"/>
      <c r="H389" s="903"/>
    </row>
    <row r="390">
      <c r="A390" s="203"/>
      <c r="B390" s="345"/>
      <c r="C390" s="345"/>
      <c r="D390" s="345"/>
      <c r="E390" s="345"/>
      <c r="F390" s="345"/>
      <c r="G390" s="345"/>
      <c r="H390" s="903"/>
    </row>
    <row r="391">
      <c r="A391" s="203"/>
      <c r="B391" s="345"/>
      <c r="C391" s="345"/>
      <c r="D391" s="345"/>
      <c r="E391" s="345"/>
      <c r="F391" s="345"/>
      <c r="G391" s="345"/>
      <c r="H391" s="903"/>
    </row>
    <row r="392">
      <c r="A392" s="203"/>
      <c r="B392" s="345"/>
      <c r="C392" s="345"/>
      <c r="D392" s="345"/>
      <c r="E392" s="345"/>
      <c r="F392" s="345"/>
      <c r="G392" s="345"/>
      <c r="H392" s="903"/>
    </row>
    <row r="393">
      <c r="A393" s="203"/>
      <c r="B393" s="345"/>
      <c r="C393" s="345"/>
      <c r="D393" s="345"/>
      <c r="E393" s="345"/>
      <c r="F393" s="345"/>
      <c r="G393" s="345"/>
      <c r="H393" s="903"/>
    </row>
    <row r="394">
      <c r="A394" s="203"/>
      <c r="B394" s="345"/>
      <c r="C394" s="345"/>
      <c r="D394" s="345"/>
      <c r="E394" s="345"/>
      <c r="F394" s="345"/>
      <c r="G394" s="345"/>
      <c r="H394" s="903"/>
    </row>
    <row r="395">
      <c r="A395" s="203"/>
      <c r="B395" s="345"/>
      <c r="C395" s="345"/>
      <c r="D395" s="345"/>
      <c r="E395" s="345"/>
      <c r="F395" s="345"/>
      <c r="G395" s="345"/>
      <c r="H395" s="903"/>
    </row>
    <row r="396">
      <c r="A396" s="203"/>
      <c r="B396" s="345"/>
      <c r="C396" s="345"/>
      <c r="D396" s="345"/>
      <c r="E396" s="345"/>
      <c r="F396" s="345"/>
      <c r="G396" s="345"/>
      <c r="H396" s="903"/>
    </row>
    <row r="397">
      <c r="A397" s="203"/>
      <c r="B397" s="345"/>
      <c r="C397" s="345"/>
      <c r="D397" s="345"/>
      <c r="E397" s="345"/>
      <c r="F397" s="345"/>
      <c r="G397" s="345"/>
      <c r="H397" s="903"/>
    </row>
    <row r="398">
      <c r="A398" s="203"/>
      <c r="B398" s="345"/>
      <c r="C398" s="345"/>
      <c r="D398" s="345"/>
      <c r="E398" s="345"/>
      <c r="F398" s="345"/>
      <c r="G398" s="345"/>
      <c r="H398" s="903"/>
    </row>
    <row r="399">
      <c r="A399" s="203"/>
      <c r="B399" s="345"/>
      <c r="C399" s="345"/>
      <c r="D399" s="345"/>
      <c r="E399" s="345"/>
      <c r="F399" s="345"/>
      <c r="G399" s="345"/>
      <c r="H399" s="903"/>
    </row>
    <row r="400">
      <c r="A400" s="203"/>
      <c r="B400" s="345"/>
      <c r="C400" s="345"/>
      <c r="D400" s="345"/>
      <c r="E400" s="345"/>
      <c r="F400" s="345"/>
      <c r="G400" s="345"/>
      <c r="H400" s="903"/>
    </row>
    <row r="401">
      <c r="A401" s="203"/>
      <c r="B401" s="345"/>
      <c r="C401" s="345"/>
      <c r="D401" s="345"/>
      <c r="E401" s="345"/>
      <c r="F401" s="345"/>
      <c r="G401" s="345"/>
      <c r="H401" s="903"/>
    </row>
    <row r="402">
      <c r="A402" s="203"/>
      <c r="B402" s="345"/>
      <c r="C402" s="345"/>
      <c r="D402" s="345"/>
      <c r="E402" s="345"/>
      <c r="F402" s="345"/>
      <c r="G402" s="345"/>
      <c r="H402" s="903"/>
    </row>
    <row r="403">
      <c r="A403" s="203"/>
      <c r="B403" s="345"/>
      <c r="C403" s="345"/>
      <c r="D403" s="345"/>
      <c r="E403" s="345"/>
      <c r="F403" s="345"/>
      <c r="G403" s="345"/>
      <c r="H403" s="903"/>
    </row>
    <row r="404">
      <c r="A404" s="203"/>
      <c r="B404" s="345"/>
      <c r="C404" s="345"/>
      <c r="D404" s="345"/>
      <c r="E404" s="345"/>
      <c r="F404" s="345"/>
      <c r="G404" s="345"/>
      <c r="H404" s="903"/>
    </row>
    <row r="405">
      <c r="A405" s="203"/>
      <c r="B405" s="345"/>
      <c r="C405" s="345"/>
      <c r="D405" s="345"/>
      <c r="E405" s="345"/>
      <c r="F405" s="345"/>
      <c r="G405" s="345"/>
      <c r="H405" s="903"/>
    </row>
    <row r="406">
      <c r="A406" s="203"/>
      <c r="B406" s="345"/>
      <c r="C406" s="345"/>
      <c r="D406" s="345"/>
      <c r="E406" s="345"/>
      <c r="F406" s="345"/>
      <c r="G406" s="345"/>
      <c r="H406" s="903"/>
    </row>
    <row r="407">
      <c r="A407" s="203"/>
      <c r="B407" s="345"/>
      <c r="C407" s="345"/>
      <c r="D407" s="345"/>
      <c r="E407" s="345"/>
      <c r="F407" s="345"/>
      <c r="G407" s="345"/>
      <c r="H407" s="903"/>
    </row>
    <row r="408">
      <c r="A408" s="203"/>
      <c r="B408" s="345"/>
      <c r="C408" s="345"/>
      <c r="D408" s="345"/>
      <c r="E408" s="345"/>
      <c r="F408" s="345"/>
      <c r="G408" s="345"/>
      <c r="H408" s="903"/>
    </row>
    <row r="409">
      <c r="A409" s="203"/>
      <c r="B409" s="345"/>
      <c r="C409" s="345"/>
      <c r="D409" s="345"/>
      <c r="E409" s="345"/>
      <c r="F409" s="345"/>
      <c r="G409" s="345"/>
      <c r="H409" s="903"/>
    </row>
    <row r="410">
      <c r="A410" s="203"/>
      <c r="B410" s="345"/>
      <c r="C410" s="345"/>
      <c r="D410" s="345"/>
      <c r="E410" s="345"/>
      <c r="F410" s="345"/>
      <c r="G410" s="345"/>
      <c r="H410" s="903"/>
    </row>
    <row r="411">
      <c r="A411" s="203"/>
      <c r="B411" s="345"/>
      <c r="C411" s="345"/>
      <c r="D411" s="345"/>
      <c r="E411" s="345"/>
      <c r="F411" s="345"/>
      <c r="G411" s="345"/>
      <c r="H411" s="903"/>
    </row>
    <row r="412">
      <c r="A412" s="203"/>
      <c r="B412" s="345"/>
      <c r="C412" s="345"/>
      <c r="D412" s="345"/>
      <c r="E412" s="345"/>
      <c r="F412" s="345"/>
      <c r="G412" s="345"/>
      <c r="H412" s="903"/>
    </row>
    <row r="413">
      <c r="A413" s="203"/>
      <c r="B413" s="345"/>
      <c r="C413" s="345"/>
      <c r="D413" s="345"/>
      <c r="E413" s="345"/>
      <c r="F413" s="345"/>
      <c r="G413" s="345"/>
      <c r="H413" s="903"/>
    </row>
    <row r="414">
      <c r="A414" s="203"/>
      <c r="B414" s="345"/>
      <c r="C414" s="345"/>
      <c r="D414" s="345"/>
      <c r="E414" s="345"/>
      <c r="F414" s="345"/>
      <c r="G414" s="345"/>
      <c r="H414" s="903"/>
    </row>
    <row r="415">
      <c r="A415" s="203"/>
      <c r="B415" s="345"/>
      <c r="C415" s="345"/>
      <c r="D415" s="345"/>
      <c r="E415" s="345"/>
      <c r="F415" s="345"/>
      <c r="G415" s="345"/>
      <c r="H415" s="903"/>
    </row>
    <row r="416">
      <c r="A416" s="203"/>
      <c r="B416" s="345"/>
      <c r="C416" s="345"/>
      <c r="D416" s="345"/>
      <c r="E416" s="345"/>
      <c r="F416" s="345"/>
      <c r="G416" s="345"/>
      <c r="H416" s="903"/>
    </row>
    <row r="417">
      <c r="A417" s="203"/>
      <c r="B417" s="345"/>
      <c r="C417" s="345"/>
      <c r="D417" s="345"/>
      <c r="E417" s="345"/>
      <c r="F417" s="345"/>
      <c r="G417" s="345"/>
      <c r="H417" s="903"/>
    </row>
    <row r="418">
      <c r="A418" s="203"/>
      <c r="B418" s="345"/>
      <c r="C418" s="345"/>
      <c r="D418" s="345"/>
      <c r="E418" s="345"/>
      <c r="F418" s="345"/>
      <c r="G418" s="345"/>
      <c r="H418" s="903"/>
    </row>
    <row r="419">
      <c r="A419" s="203"/>
      <c r="B419" s="345"/>
      <c r="C419" s="345"/>
      <c r="D419" s="345"/>
      <c r="E419" s="345"/>
      <c r="F419" s="345"/>
      <c r="G419" s="345"/>
      <c r="H419" s="903"/>
    </row>
    <row r="420">
      <c r="A420" s="203"/>
      <c r="B420" s="345"/>
      <c r="C420" s="345"/>
      <c r="D420" s="345"/>
      <c r="E420" s="345"/>
      <c r="F420" s="345"/>
      <c r="G420" s="345"/>
      <c r="H420" s="903"/>
    </row>
    <row r="421">
      <c r="A421" s="203"/>
      <c r="B421" s="345"/>
      <c r="C421" s="345"/>
      <c r="D421" s="345"/>
      <c r="E421" s="345"/>
      <c r="F421" s="345"/>
      <c r="G421" s="345"/>
      <c r="H421" s="903"/>
    </row>
    <row r="422">
      <c r="A422" s="203"/>
      <c r="B422" s="345"/>
      <c r="C422" s="345"/>
      <c r="D422" s="345"/>
      <c r="E422" s="345"/>
      <c r="F422" s="345"/>
      <c r="G422" s="345"/>
      <c r="H422" s="903"/>
    </row>
    <row r="423">
      <c r="A423" s="203"/>
      <c r="B423" s="345"/>
      <c r="C423" s="345"/>
      <c r="D423" s="345"/>
      <c r="E423" s="345"/>
      <c r="F423" s="345"/>
      <c r="G423" s="345"/>
      <c r="H423" s="903"/>
    </row>
    <row r="424">
      <c r="A424" s="203"/>
      <c r="B424" s="345"/>
      <c r="C424" s="345"/>
      <c r="D424" s="345"/>
      <c r="E424" s="345"/>
      <c r="F424" s="345"/>
      <c r="G424" s="345"/>
      <c r="H424" s="903"/>
    </row>
    <row r="425">
      <c r="A425" s="203"/>
      <c r="B425" s="345"/>
      <c r="C425" s="345"/>
      <c r="D425" s="345"/>
      <c r="E425" s="345"/>
      <c r="F425" s="345"/>
      <c r="G425" s="345"/>
      <c r="H425" s="903"/>
    </row>
    <row r="426">
      <c r="A426" s="203"/>
      <c r="B426" s="345"/>
      <c r="C426" s="345"/>
      <c r="D426" s="345"/>
      <c r="E426" s="345"/>
      <c r="F426" s="345"/>
      <c r="G426" s="345"/>
      <c r="H426" s="903"/>
    </row>
    <row r="427">
      <c r="A427" s="203"/>
      <c r="B427" s="345"/>
      <c r="C427" s="345"/>
      <c r="D427" s="345"/>
      <c r="E427" s="345"/>
      <c r="F427" s="345"/>
      <c r="G427" s="345"/>
      <c r="H427" s="903"/>
    </row>
    <row r="428">
      <c r="A428" s="203"/>
      <c r="B428" s="345"/>
      <c r="C428" s="345"/>
      <c r="D428" s="345"/>
      <c r="E428" s="345"/>
      <c r="F428" s="345"/>
      <c r="G428" s="345"/>
      <c r="H428" s="903"/>
    </row>
    <row r="429">
      <c r="A429" s="203"/>
      <c r="B429" s="345"/>
      <c r="C429" s="345"/>
      <c r="D429" s="345"/>
      <c r="E429" s="345"/>
      <c r="F429" s="345"/>
      <c r="G429" s="345"/>
      <c r="H429" s="903"/>
    </row>
    <row r="430">
      <c r="A430" s="203"/>
      <c r="B430" s="345"/>
      <c r="C430" s="345"/>
      <c r="D430" s="345"/>
      <c r="E430" s="345"/>
      <c r="F430" s="345"/>
      <c r="G430" s="345"/>
      <c r="H430" s="903"/>
    </row>
    <row r="431">
      <c r="A431" s="203"/>
      <c r="B431" s="345"/>
      <c r="C431" s="345"/>
      <c r="D431" s="345"/>
      <c r="E431" s="345"/>
      <c r="F431" s="345"/>
      <c r="G431" s="345"/>
      <c r="H431" s="903"/>
    </row>
    <row r="432">
      <c r="A432" s="203"/>
      <c r="B432" s="345"/>
      <c r="C432" s="345"/>
      <c r="D432" s="345"/>
      <c r="E432" s="345"/>
      <c r="F432" s="345"/>
      <c r="G432" s="345"/>
      <c r="H432" s="903"/>
    </row>
    <row r="433">
      <c r="A433" s="203"/>
      <c r="B433" s="345"/>
      <c r="C433" s="345"/>
      <c r="D433" s="345"/>
      <c r="E433" s="345"/>
      <c r="F433" s="345"/>
      <c r="G433" s="345"/>
      <c r="H433" s="903"/>
    </row>
    <row r="434">
      <c r="A434" s="203"/>
      <c r="B434" s="345"/>
      <c r="C434" s="345"/>
      <c r="D434" s="345"/>
      <c r="E434" s="345"/>
      <c r="F434" s="345"/>
      <c r="G434" s="345"/>
      <c r="H434" s="903"/>
    </row>
    <row r="435">
      <c r="A435" s="203"/>
      <c r="B435" s="345"/>
      <c r="C435" s="345"/>
      <c r="D435" s="345"/>
      <c r="E435" s="345"/>
      <c r="F435" s="345"/>
      <c r="G435" s="345"/>
      <c r="H435" s="903"/>
    </row>
    <row r="436">
      <c r="A436" s="203"/>
      <c r="B436" s="345"/>
      <c r="C436" s="345"/>
      <c r="D436" s="345"/>
      <c r="E436" s="345"/>
      <c r="F436" s="345"/>
      <c r="G436" s="345"/>
      <c r="H436" s="903"/>
    </row>
    <row r="437">
      <c r="A437" s="203"/>
      <c r="B437" s="345"/>
      <c r="C437" s="345"/>
      <c r="D437" s="345"/>
      <c r="E437" s="345"/>
      <c r="F437" s="345"/>
      <c r="G437" s="345"/>
      <c r="H437" s="903"/>
    </row>
    <row r="438">
      <c r="A438" s="203"/>
      <c r="B438" s="345"/>
      <c r="C438" s="345"/>
      <c r="D438" s="345"/>
      <c r="E438" s="345"/>
      <c r="F438" s="345"/>
      <c r="G438" s="345"/>
      <c r="H438" s="903"/>
    </row>
    <row r="439">
      <c r="A439" s="203"/>
      <c r="B439" s="345"/>
      <c r="C439" s="345"/>
      <c r="D439" s="345"/>
      <c r="E439" s="345"/>
      <c r="F439" s="345"/>
      <c r="G439" s="345"/>
      <c r="H439" s="903"/>
    </row>
    <row r="440">
      <c r="A440" s="203"/>
      <c r="B440" s="345"/>
      <c r="C440" s="345"/>
      <c r="D440" s="345"/>
      <c r="E440" s="345"/>
      <c r="F440" s="345"/>
      <c r="G440" s="345"/>
      <c r="H440" s="903"/>
    </row>
    <row r="441">
      <c r="A441" s="203"/>
      <c r="B441" s="345"/>
      <c r="C441" s="345"/>
      <c r="D441" s="345"/>
      <c r="E441" s="345"/>
      <c r="F441" s="345"/>
      <c r="G441" s="345"/>
      <c r="H441" s="903"/>
    </row>
    <row r="442">
      <c r="A442" s="203"/>
      <c r="B442" s="345"/>
      <c r="C442" s="345"/>
      <c r="D442" s="345"/>
      <c r="E442" s="345"/>
      <c r="F442" s="345"/>
      <c r="G442" s="345"/>
      <c r="H442" s="903"/>
    </row>
    <row r="443">
      <c r="A443" s="203"/>
      <c r="B443" s="345"/>
      <c r="C443" s="345"/>
      <c r="D443" s="345"/>
      <c r="E443" s="345"/>
      <c r="F443" s="345"/>
      <c r="G443" s="345"/>
      <c r="H443" s="903"/>
    </row>
    <row r="444">
      <c r="A444" s="203"/>
      <c r="B444" s="345"/>
      <c r="C444" s="345"/>
      <c r="D444" s="345"/>
      <c r="E444" s="345"/>
      <c r="F444" s="345"/>
      <c r="G444" s="345"/>
      <c r="H444" s="903"/>
    </row>
    <row r="445">
      <c r="A445" s="203"/>
      <c r="B445" s="345"/>
      <c r="C445" s="345"/>
      <c r="D445" s="345"/>
      <c r="E445" s="345"/>
      <c r="F445" s="345"/>
      <c r="G445" s="345"/>
      <c r="H445" s="903"/>
    </row>
    <row r="446">
      <c r="A446" s="203"/>
      <c r="B446" s="345"/>
      <c r="C446" s="345"/>
      <c r="D446" s="345"/>
      <c r="E446" s="345"/>
      <c r="F446" s="345"/>
      <c r="G446" s="345"/>
      <c r="H446" s="903"/>
    </row>
    <row r="447">
      <c r="A447" s="203"/>
      <c r="B447" s="345"/>
      <c r="C447" s="345"/>
      <c r="D447" s="345"/>
      <c r="E447" s="345"/>
      <c r="F447" s="345"/>
      <c r="G447" s="345"/>
      <c r="H447" s="903"/>
    </row>
    <row r="448">
      <c r="A448" s="203"/>
      <c r="B448" s="345"/>
      <c r="C448" s="345"/>
      <c r="D448" s="345"/>
      <c r="E448" s="345"/>
      <c r="F448" s="345"/>
      <c r="G448" s="345"/>
      <c r="H448" s="903"/>
    </row>
    <row r="449">
      <c r="A449" s="203"/>
      <c r="B449" s="345"/>
      <c r="C449" s="345"/>
      <c r="D449" s="345"/>
      <c r="E449" s="345"/>
      <c r="F449" s="345"/>
      <c r="G449" s="345"/>
      <c r="H449" s="903"/>
    </row>
    <row r="450">
      <c r="A450" s="203"/>
      <c r="B450" s="345"/>
      <c r="C450" s="345"/>
      <c r="D450" s="345"/>
      <c r="E450" s="345"/>
      <c r="F450" s="345"/>
      <c r="G450" s="345"/>
      <c r="H450" s="903"/>
    </row>
    <row r="451">
      <c r="A451" s="203"/>
      <c r="B451" s="345"/>
      <c r="C451" s="345"/>
      <c r="D451" s="345"/>
      <c r="E451" s="345"/>
      <c r="F451" s="345"/>
      <c r="G451" s="345"/>
      <c r="H451" s="903"/>
    </row>
    <row r="452">
      <c r="A452" s="203"/>
      <c r="B452" s="345"/>
      <c r="C452" s="345"/>
      <c r="D452" s="345"/>
      <c r="E452" s="345"/>
      <c r="F452" s="345"/>
      <c r="G452" s="345"/>
      <c r="H452" s="903"/>
    </row>
    <row r="453">
      <c r="A453" s="203"/>
      <c r="B453" s="345"/>
      <c r="C453" s="345"/>
      <c r="D453" s="345"/>
      <c r="E453" s="345"/>
      <c r="F453" s="345"/>
      <c r="G453" s="345"/>
      <c r="H453" s="903"/>
    </row>
    <row r="454">
      <c r="A454" s="203"/>
      <c r="B454" s="345"/>
      <c r="C454" s="345"/>
      <c r="D454" s="345"/>
      <c r="E454" s="345"/>
      <c r="F454" s="345"/>
      <c r="G454" s="345"/>
      <c r="H454" s="903"/>
    </row>
    <row r="455">
      <c r="A455" s="203"/>
      <c r="B455" s="345"/>
      <c r="C455" s="345"/>
      <c r="D455" s="345"/>
      <c r="E455" s="345"/>
      <c r="F455" s="345"/>
      <c r="G455" s="345"/>
      <c r="H455" s="903"/>
    </row>
    <row r="456">
      <c r="A456" s="203"/>
      <c r="B456" s="345"/>
      <c r="C456" s="345"/>
      <c r="D456" s="345"/>
      <c r="E456" s="345"/>
      <c r="F456" s="345"/>
      <c r="G456" s="345"/>
      <c r="H456" s="903"/>
    </row>
    <row r="457">
      <c r="A457" s="203"/>
      <c r="B457" s="345"/>
      <c r="C457" s="345"/>
      <c r="D457" s="345"/>
      <c r="E457" s="345"/>
      <c r="F457" s="345"/>
      <c r="G457" s="345"/>
      <c r="H457" s="903"/>
    </row>
    <row r="458">
      <c r="A458" s="203"/>
      <c r="B458" s="345"/>
      <c r="C458" s="345"/>
      <c r="D458" s="345"/>
      <c r="E458" s="345"/>
      <c r="F458" s="345"/>
      <c r="G458" s="345"/>
      <c r="H458" s="903"/>
    </row>
    <row r="459">
      <c r="A459" s="203"/>
      <c r="B459" s="345"/>
      <c r="C459" s="345"/>
      <c r="D459" s="345"/>
      <c r="E459" s="345"/>
      <c r="F459" s="345"/>
      <c r="G459" s="345"/>
      <c r="H459" s="903"/>
    </row>
    <row r="460">
      <c r="A460" s="203"/>
      <c r="B460" s="345"/>
      <c r="C460" s="345"/>
      <c r="D460" s="345"/>
      <c r="E460" s="345"/>
      <c r="F460" s="345"/>
      <c r="G460" s="345"/>
      <c r="H460" s="903"/>
    </row>
    <row r="461">
      <c r="A461" s="203"/>
      <c r="B461" s="345"/>
      <c r="C461" s="345"/>
      <c r="D461" s="345"/>
      <c r="E461" s="345"/>
      <c r="F461" s="345"/>
      <c r="G461" s="345"/>
      <c r="H461" s="903"/>
    </row>
    <row r="462">
      <c r="A462" s="203"/>
      <c r="B462" s="345"/>
      <c r="C462" s="345"/>
      <c r="D462" s="345"/>
      <c r="E462" s="345"/>
      <c r="F462" s="345"/>
      <c r="G462" s="345"/>
      <c r="H462" s="903"/>
    </row>
    <row r="463">
      <c r="A463" s="203"/>
      <c r="B463" s="345"/>
      <c r="C463" s="345"/>
      <c r="D463" s="345"/>
      <c r="E463" s="345"/>
      <c r="F463" s="345"/>
      <c r="G463" s="345"/>
      <c r="H463" s="903"/>
    </row>
    <row r="464">
      <c r="A464" s="203"/>
      <c r="B464" s="345"/>
      <c r="C464" s="345"/>
      <c r="D464" s="345"/>
      <c r="E464" s="345"/>
      <c r="F464" s="345"/>
      <c r="G464" s="345"/>
      <c r="H464" s="903"/>
    </row>
    <row r="465">
      <c r="A465" s="203"/>
      <c r="B465" s="345"/>
      <c r="C465" s="345"/>
      <c r="D465" s="345"/>
      <c r="E465" s="345"/>
      <c r="F465" s="345"/>
      <c r="G465" s="345"/>
      <c r="H465" s="903"/>
    </row>
    <row r="466">
      <c r="A466" s="203"/>
      <c r="B466" s="345"/>
      <c r="C466" s="345"/>
      <c r="D466" s="345"/>
      <c r="E466" s="345"/>
      <c r="F466" s="345"/>
      <c r="G466" s="345"/>
      <c r="H466" s="903"/>
    </row>
    <row r="467">
      <c r="A467" s="203"/>
      <c r="B467" s="345"/>
      <c r="C467" s="345"/>
      <c r="D467" s="345"/>
      <c r="E467" s="345"/>
      <c r="F467" s="345"/>
      <c r="G467" s="345"/>
      <c r="H467" s="903"/>
    </row>
    <row r="468">
      <c r="A468" s="203"/>
      <c r="B468" s="345"/>
      <c r="C468" s="345"/>
      <c r="D468" s="345"/>
      <c r="E468" s="345"/>
      <c r="F468" s="345"/>
      <c r="G468" s="345"/>
      <c r="H468" s="903"/>
    </row>
    <row r="469">
      <c r="A469" s="203"/>
      <c r="B469" s="345"/>
      <c r="C469" s="345"/>
      <c r="D469" s="345"/>
      <c r="E469" s="345"/>
      <c r="F469" s="345"/>
      <c r="G469" s="345"/>
      <c r="H469" s="903"/>
    </row>
    <row r="470">
      <c r="A470" s="203"/>
      <c r="B470" s="345"/>
      <c r="C470" s="345"/>
      <c r="D470" s="345"/>
      <c r="E470" s="345"/>
      <c r="F470" s="345"/>
      <c r="G470" s="345"/>
      <c r="H470" s="903"/>
    </row>
    <row r="471">
      <c r="A471" s="203"/>
      <c r="B471" s="345"/>
      <c r="C471" s="345"/>
      <c r="D471" s="345"/>
      <c r="E471" s="345"/>
      <c r="F471" s="345"/>
      <c r="G471" s="345"/>
      <c r="H471" s="903"/>
    </row>
    <row r="472">
      <c r="A472" s="203"/>
      <c r="B472" s="345"/>
      <c r="C472" s="345"/>
      <c r="D472" s="345"/>
      <c r="E472" s="345"/>
      <c r="F472" s="345"/>
      <c r="G472" s="345"/>
      <c r="H472" s="903"/>
    </row>
    <row r="473">
      <c r="A473" s="203"/>
      <c r="B473" s="345"/>
      <c r="C473" s="345"/>
      <c r="D473" s="345"/>
      <c r="E473" s="345"/>
      <c r="F473" s="345"/>
      <c r="G473" s="345"/>
      <c r="H473" s="903"/>
    </row>
    <row r="474">
      <c r="A474" s="203"/>
      <c r="B474" s="345"/>
      <c r="C474" s="345"/>
      <c r="D474" s="345"/>
      <c r="E474" s="345"/>
      <c r="F474" s="345"/>
      <c r="G474" s="345"/>
      <c r="H474" s="903"/>
    </row>
    <row r="475">
      <c r="A475" s="203"/>
      <c r="B475" s="345"/>
      <c r="C475" s="345"/>
      <c r="D475" s="345"/>
      <c r="E475" s="345"/>
      <c r="F475" s="345"/>
      <c r="G475" s="345"/>
      <c r="H475" s="903"/>
    </row>
    <row r="476">
      <c r="A476" s="203"/>
      <c r="B476" s="345"/>
      <c r="C476" s="345"/>
      <c r="D476" s="345"/>
      <c r="E476" s="345"/>
      <c r="F476" s="345"/>
      <c r="G476" s="345"/>
      <c r="H476" s="903"/>
    </row>
    <row r="477">
      <c r="A477" s="203"/>
      <c r="B477" s="345"/>
      <c r="C477" s="345"/>
      <c r="D477" s="345"/>
      <c r="E477" s="345"/>
      <c r="F477" s="345"/>
      <c r="G477" s="345"/>
      <c r="H477" s="903"/>
    </row>
    <row r="478">
      <c r="A478" s="203"/>
      <c r="B478" s="345"/>
      <c r="C478" s="345"/>
      <c r="D478" s="345"/>
      <c r="E478" s="345"/>
      <c r="F478" s="345"/>
      <c r="G478" s="345"/>
      <c r="H478" s="903"/>
    </row>
    <row r="479">
      <c r="A479" s="203"/>
      <c r="B479" s="345"/>
      <c r="C479" s="345"/>
      <c r="D479" s="345"/>
      <c r="E479" s="345"/>
      <c r="F479" s="345"/>
      <c r="G479" s="345"/>
      <c r="H479" s="903"/>
    </row>
    <row r="480">
      <c r="A480" s="203"/>
      <c r="B480" s="345"/>
      <c r="C480" s="345"/>
      <c r="D480" s="345"/>
      <c r="E480" s="345"/>
      <c r="F480" s="345"/>
      <c r="G480" s="345"/>
      <c r="H480" s="903"/>
    </row>
    <row r="481">
      <c r="A481" s="203"/>
      <c r="B481" s="345"/>
      <c r="C481" s="345"/>
      <c r="D481" s="345"/>
      <c r="E481" s="345"/>
      <c r="F481" s="345"/>
      <c r="G481" s="345"/>
      <c r="H481" s="903"/>
    </row>
    <row r="482">
      <c r="A482" s="203"/>
      <c r="B482" s="345"/>
      <c r="C482" s="345"/>
      <c r="D482" s="345"/>
      <c r="E482" s="345"/>
      <c r="F482" s="345"/>
      <c r="G482" s="345"/>
      <c r="H482" s="903"/>
    </row>
    <row r="483">
      <c r="A483" s="203"/>
      <c r="B483" s="345"/>
      <c r="C483" s="345"/>
      <c r="D483" s="345"/>
      <c r="E483" s="345"/>
      <c r="F483" s="345"/>
      <c r="G483" s="345"/>
      <c r="H483" s="903"/>
    </row>
    <row r="484">
      <c r="A484" s="203"/>
      <c r="B484" s="345"/>
      <c r="C484" s="345"/>
      <c r="D484" s="345"/>
      <c r="E484" s="345"/>
      <c r="F484" s="345"/>
      <c r="G484" s="345"/>
      <c r="H484" s="903"/>
    </row>
    <row r="485">
      <c r="A485" s="203"/>
      <c r="B485" s="345"/>
      <c r="C485" s="345"/>
      <c r="D485" s="345"/>
      <c r="E485" s="345"/>
      <c r="F485" s="345"/>
      <c r="G485" s="345"/>
      <c r="H485" s="903"/>
    </row>
    <row r="486">
      <c r="A486" s="203"/>
      <c r="B486" s="345"/>
      <c r="C486" s="345"/>
      <c r="D486" s="345"/>
      <c r="E486" s="345"/>
      <c r="F486" s="345"/>
      <c r="G486" s="345"/>
      <c r="H486" s="903"/>
    </row>
    <row r="487">
      <c r="A487" s="203"/>
      <c r="B487" s="345"/>
      <c r="C487" s="345"/>
      <c r="D487" s="345"/>
      <c r="E487" s="345"/>
      <c r="F487" s="345"/>
      <c r="G487" s="345"/>
      <c r="H487" s="903"/>
    </row>
    <row r="488">
      <c r="A488" s="203"/>
      <c r="B488" s="345"/>
      <c r="C488" s="345"/>
      <c r="D488" s="345"/>
      <c r="E488" s="345"/>
      <c r="F488" s="345"/>
      <c r="G488" s="345"/>
      <c r="H488" s="903"/>
    </row>
    <row r="489">
      <c r="A489" s="203"/>
      <c r="B489" s="345"/>
      <c r="C489" s="345"/>
      <c r="D489" s="345"/>
      <c r="E489" s="345"/>
      <c r="F489" s="345"/>
      <c r="G489" s="345"/>
      <c r="H489" s="903"/>
    </row>
    <row r="490">
      <c r="A490" s="203"/>
      <c r="B490" s="345"/>
      <c r="C490" s="345"/>
      <c r="D490" s="345"/>
      <c r="E490" s="345"/>
      <c r="F490" s="345"/>
      <c r="G490" s="345"/>
      <c r="H490" s="903"/>
    </row>
    <row r="491">
      <c r="A491" s="203"/>
      <c r="B491" s="345"/>
      <c r="C491" s="345"/>
      <c r="D491" s="345"/>
      <c r="E491" s="345"/>
      <c r="F491" s="345"/>
      <c r="G491" s="345"/>
      <c r="H491" s="903"/>
    </row>
    <row r="492">
      <c r="A492" s="203"/>
      <c r="B492" s="345"/>
      <c r="C492" s="345"/>
      <c r="D492" s="345"/>
      <c r="E492" s="345"/>
      <c r="F492" s="345"/>
      <c r="G492" s="345"/>
      <c r="H492" s="903"/>
    </row>
    <row r="493">
      <c r="A493" s="203"/>
      <c r="B493" s="345"/>
      <c r="C493" s="345"/>
      <c r="D493" s="345"/>
      <c r="E493" s="345"/>
      <c r="F493" s="345"/>
      <c r="G493" s="345"/>
      <c r="H493" s="903"/>
    </row>
    <row r="494">
      <c r="A494" s="203"/>
      <c r="B494" s="345"/>
      <c r="C494" s="345"/>
      <c r="D494" s="345"/>
      <c r="E494" s="345"/>
      <c r="F494" s="345"/>
      <c r="G494" s="345"/>
      <c r="H494" s="903"/>
    </row>
    <row r="495">
      <c r="A495" s="203"/>
      <c r="B495" s="345"/>
      <c r="C495" s="345"/>
      <c r="D495" s="345"/>
      <c r="E495" s="345"/>
      <c r="F495" s="345"/>
      <c r="G495" s="345"/>
      <c r="H495" s="903"/>
    </row>
    <row r="496">
      <c r="A496" s="203"/>
      <c r="B496" s="345"/>
      <c r="C496" s="345"/>
      <c r="D496" s="345"/>
      <c r="E496" s="345"/>
      <c r="F496" s="345"/>
      <c r="G496" s="345"/>
      <c r="H496" s="903"/>
    </row>
    <row r="497">
      <c r="A497" s="203"/>
      <c r="B497" s="345"/>
      <c r="C497" s="345"/>
      <c r="D497" s="345"/>
      <c r="E497" s="345"/>
      <c r="F497" s="345"/>
      <c r="G497" s="345"/>
      <c r="H497" s="903"/>
    </row>
    <row r="498">
      <c r="A498" s="203"/>
      <c r="B498" s="345"/>
      <c r="C498" s="345"/>
      <c r="D498" s="345"/>
      <c r="E498" s="345"/>
      <c r="F498" s="345"/>
      <c r="G498" s="345"/>
      <c r="H498" s="903"/>
    </row>
    <row r="499">
      <c r="A499" s="203"/>
      <c r="B499" s="345"/>
      <c r="C499" s="345"/>
      <c r="D499" s="345"/>
      <c r="E499" s="345"/>
      <c r="F499" s="345"/>
      <c r="G499" s="345"/>
      <c r="H499" s="903"/>
    </row>
    <row r="500">
      <c r="A500" s="203"/>
      <c r="B500" s="345"/>
      <c r="C500" s="345"/>
      <c r="D500" s="345"/>
      <c r="E500" s="345"/>
      <c r="F500" s="345"/>
      <c r="G500" s="345"/>
      <c r="H500" s="903"/>
    </row>
    <row r="501">
      <c r="A501" s="203"/>
      <c r="B501" s="345"/>
      <c r="C501" s="345"/>
      <c r="D501" s="345"/>
      <c r="E501" s="345"/>
      <c r="F501" s="345"/>
      <c r="G501" s="345"/>
      <c r="H501" s="903"/>
    </row>
    <row r="502">
      <c r="A502" s="203"/>
      <c r="B502" s="345"/>
      <c r="C502" s="345"/>
      <c r="D502" s="345"/>
      <c r="E502" s="345"/>
      <c r="F502" s="345"/>
      <c r="G502" s="345"/>
      <c r="H502" s="903"/>
    </row>
    <row r="503">
      <c r="A503" s="203"/>
      <c r="B503" s="345"/>
      <c r="C503" s="345"/>
      <c r="D503" s="345"/>
      <c r="E503" s="345"/>
      <c r="F503" s="345"/>
      <c r="G503" s="345"/>
      <c r="H503" s="903"/>
    </row>
    <row r="504">
      <c r="A504" s="203"/>
      <c r="B504" s="345"/>
      <c r="C504" s="345"/>
      <c r="D504" s="345"/>
      <c r="E504" s="345"/>
      <c r="F504" s="345"/>
      <c r="G504" s="345"/>
      <c r="H504" s="903"/>
    </row>
    <row r="505">
      <c r="A505" s="203"/>
      <c r="B505" s="345"/>
      <c r="C505" s="345"/>
      <c r="D505" s="345"/>
      <c r="E505" s="345"/>
      <c r="F505" s="345"/>
      <c r="G505" s="345"/>
      <c r="H505" s="903"/>
    </row>
    <row r="506">
      <c r="A506" s="203"/>
      <c r="B506" s="345"/>
      <c r="C506" s="345"/>
      <c r="D506" s="345"/>
      <c r="E506" s="345"/>
      <c r="F506" s="345"/>
      <c r="G506" s="345"/>
      <c r="H506" s="903"/>
    </row>
    <row r="507">
      <c r="A507" s="203"/>
      <c r="B507" s="345"/>
      <c r="C507" s="345"/>
      <c r="D507" s="345"/>
      <c r="E507" s="345"/>
      <c r="F507" s="345"/>
      <c r="G507" s="345"/>
      <c r="H507" s="903"/>
    </row>
    <row r="508">
      <c r="A508" s="203"/>
      <c r="B508" s="345"/>
      <c r="C508" s="345"/>
      <c r="D508" s="345"/>
      <c r="E508" s="345"/>
      <c r="F508" s="345"/>
      <c r="G508" s="345"/>
      <c r="H508" s="903"/>
    </row>
    <row r="509">
      <c r="A509" s="203"/>
      <c r="B509" s="345"/>
      <c r="C509" s="345"/>
      <c r="D509" s="345"/>
      <c r="E509" s="345"/>
      <c r="F509" s="345"/>
      <c r="G509" s="345"/>
      <c r="H509" s="903"/>
    </row>
    <row r="510">
      <c r="A510" s="203"/>
      <c r="B510" s="345"/>
      <c r="C510" s="345"/>
      <c r="D510" s="345"/>
      <c r="E510" s="345"/>
      <c r="F510" s="345"/>
      <c r="G510" s="345"/>
      <c r="H510" s="903"/>
    </row>
    <row r="511">
      <c r="A511" s="203"/>
      <c r="B511" s="345"/>
      <c r="C511" s="345"/>
      <c r="D511" s="345"/>
      <c r="E511" s="345"/>
      <c r="F511" s="345"/>
      <c r="G511" s="345"/>
      <c r="H511" s="903"/>
    </row>
    <row r="512">
      <c r="A512" s="203"/>
      <c r="B512" s="345"/>
      <c r="C512" s="345"/>
      <c r="D512" s="345"/>
      <c r="E512" s="345"/>
      <c r="F512" s="345"/>
      <c r="G512" s="345"/>
      <c r="H512" s="903"/>
    </row>
    <row r="513">
      <c r="A513" s="203"/>
      <c r="B513" s="345"/>
      <c r="C513" s="345"/>
      <c r="D513" s="345"/>
      <c r="E513" s="345"/>
      <c r="F513" s="345"/>
      <c r="G513" s="345"/>
      <c r="H513" s="903"/>
    </row>
    <row r="514">
      <c r="A514" s="203"/>
      <c r="B514" s="345"/>
      <c r="C514" s="345"/>
      <c r="D514" s="345"/>
      <c r="E514" s="345"/>
      <c r="F514" s="345"/>
      <c r="G514" s="345"/>
      <c r="H514" s="903"/>
    </row>
    <row r="515">
      <c r="A515" s="203"/>
      <c r="B515" s="345"/>
      <c r="C515" s="345"/>
      <c r="D515" s="345"/>
      <c r="E515" s="345"/>
      <c r="F515" s="345"/>
      <c r="G515" s="345"/>
      <c r="H515" s="903"/>
    </row>
    <row r="516">
      <c r="A516" s="203"/>
      <c r="B516" s="345"/>
      <c r="C516" s="345"/>
      <c r="D516" s="345"/>
      <c r="E516" s="345"/>
      <c r="F516" s="345"/>
      <c r="G516" s="345"/>
      <c r="H516" s="903"/>
    </row>
    <row r="517">
      <c r="A517" s="203"/>
      <c r="B517" s="345"/>
      <c r="C517" s="345"/>
      <c r="D517" s="345"/>
      <c r="E517" s="345"/>
      <c r="F517" s="345"/>
      <c r="G517" s="345"/>
      <c r="H517" s="903"/>
    </row>
    <row r="518">
      <c r="A518" s="203"/>
      <c r="B518" s="345"/>
      <c r="C518" s="345"/>
      <c r="D518" s="345"/>
      <c r="E518" s="345"/>
      <c r="F518" s="345"/>
      <c r="G518" s="345"/>
      <c r="H518" s="903"/>
    </row>
    <row r="519">
      <c r="A519" s="203"/>
      <c r="B519" s="345"/>
      <c r="C519" s="345"/>
      <c r="D519" s="345"/>
      <c r="E519" s="345"/>
      <c r="F519" s="345"/>
      <c r="G519" s="345"/>
      <c r="H519" s="903"/>
    </row>
    <row r="520">
      <c r="A520" s="203"/>
      <c r="B520" s="345"/>
      <c r="C520" s="345"/>
      <c r="D520" s="345"/>
      <c r="E520" s="345"/>
      <c r="F520" s="345"/>
      <c r="G520" s="345"/>
      <c r="H520" s="903"/>
    </row>
    <row r="521">
      <c r="A521" s="203"/>
      <c r="B521" s="345"/>
      <c r="C521" s="345"/>
      <c r="D521" s="345"/>
      <c r="E521" s="345"/>
      <c r="F521" s="345"/>
      <c r="G521" s="345"/>
      <c r="H521" s="903"/>
    </row>
    <row r="522">
      <c r="A522" s="203"/>
      <c r="B522" s="345"/>
      <c r="C522" s="345"/>
      <c r="D522" s="345"/>
      <c r="E522" s="345"/>
      <c r="F522" s="345"/>
      <c r="G522" s="345"/>
      <c r="H522" s="903"/>
    </row>
    <row r="523">
      <c r="A523" s="203"/>
      <c r="B523" s="345"/>
      <c r="C523" s="345"/>
      <c r="D523" s="345"/>
      <c r="E523" s="345"/>
      <c r="F523" s="345"/>
      <c r="G523" s="345"/>
      <c r="H523" s="903"/>
    </row>
    <row r="524">
      <c r="A524" s="203"/>
      <c r="B524" s="345"/>
      <c r="C524" s="345"/>
      <c r="D524" s="345"/>
      <c r="E524" s="345"/>
      <c r="F524" s="345"/>
      <c r="G524" s="345"/>
      <c r="H524" s="903"/>
    </row>
    <row r="525">
      <c r="A525" s="203"/>
      <c r="B525" s="345"/>
      <c r="C525" s="345"/>
      <c r="D525" s="345"/>
      <c r="E525" s="345"/>
      <c r="F525" s="345"/>
      <c r="G525" s="345"/>
      <c r="H525" s="903"/>
    </row>
    <row r="526">
      <c r="A526" s="203"/>
      <c r="B526" s="345"/>
      <c r="C526" s="345"/>
      <c r="D526" s="345"/>
      <c r="E526" s="345"/>
      <c r="F526" s="345"/>
      <c r="G526" s="345"/>
      <c r="H526" s="903"/>
    </row>
    <row r="527">
      <c r="A527" s="203"/>
      <c r="B527" s="345"/>
      <c r="C527" s="345"/>
      <c r="D527" s="345"/>
      <c r="E527" s="345"/>
      <c r="F527" s="345"/>
      <c r="G527" s="345"/>
      <c r="H527" s="903"/>
    </row>
    <row r="528">
      <c r="A528" s="203"/>
      <c r="B528" s="345"/>
      <c r="C528" s="345"/>
      <c r="D528" s="345"/>
      <c r="E528" s="345"/>
      <c r="F528" s="345"/>
      <c r="G528" s="345"/>
      <c r="H528" s="903"/>
    </row>
    <row r="529">
      <c r="A529" s="203"/>
      <c r="B529" s="345"/>
      <c r="C529" s="345"/>
      <c r="D529" s="345"/>
      <c r="E529" s="345"/>
      <c r="F529" s="345"/>
      <c r="G529" s="345"/>
      <c r="H529" s="903"/>
    </row>
    <row r="530">
      <c r="A530" s="203"/>
      <c r="B530" s="345"/>
      <c r="C530" s="345"/>
      <c r="D530" s="345"/>
      <c r="E530" s="345"/>
      <c r="F530" s="345"/>
      <c r="G530" s="345"/>
      <c r="H530" s="903"/>
    </row>
    <row r="531">
      <c r="A531" s="203"/>
      <c r="B531" s="345"/>
      <c r="C531" s="345"/>
      <c r="D531" s="345"/>
      <c r="E531" s="345"/>
      <c r="F531" s="345"/>
      <c r="G531" s="345"/>
      <c r="H531" s="903"/>
    </row>
    <row r="532">
      <c r="A532" s="203"/>
      <c r="B532" s="345"/>
      <c r="C532" s="345"/>
      <c r="D532" s="345"/>
      <c r="E532" s="345"/>
      <c r="F532" s="345"/>
      <c r="G532" s="345"/>
      <c r="H532" s="903"/>
    </row>
    <row r="533">
      <c r="A533" s="203"/>
      <c r="B533" s="345"/>
      <c r="C533" s="345"/>
      <c r="D533" s="345"/>
      <c r="E533" s="345"/>
      <c r="F533" s="345"/>
      <c r="G533" s="345"/>
      <c r="H533" s="903"/>
    </row>
    <row r="534">
      <c r="A534" s="203"/>
      <c r="B534" s="345"/>
      <c r="C534" s="345"/>
      <c r="D534" s="345"/>
      <c r="E534" s="345"/>
      <c r="F534" s="345"/>
      <c r="G534" s="345"/>
      <c r="H534" s="903"/>
    </row>
    <row r="535">
      <c r="A535" s="203"/>
      <c r="B535" s="345"/>
      <c r="C535" s="345"/>
      <c r="D535" s="345"/>
      <c r="E535" s="345"/>
      <c r="F535" s="345"/>
      <c r="G535" s="345"/>
      <c r="H535" s="903"/>
    </row>
    <row r="536">
      <c r="A536" s="203"/>
      <c r="B536" s="345"/>
      <c r="C536" s="345"/>
      <c r="D536" s="345"/>
      <c r="E536" s="345"/>
      <c r="F536" s="345"/>
      <c r="G536" s="345"/>
      <c r="H536" s="903"/>
    </row>
    <row r="537">
      <c r="A537" s="203"/>
      <c r="B537" s="345"/>
      <c r="C537" s="345"/>
      <c r="D537" s="345"/>
      <c r="E537" s="345"/>
      <c r="F537" s="345"/>
      <c r="G537" s="345"/>
      <c r="H537" s="903"/>
    </row>
    <row r="538">
      <c r="A538" s="203"/>
      <c r="B538" s="345"/>
      <c r="C538" s="345"/>
      <c r="D538" s="345"/>
      <c r="E538" s="345"/>
      <c r="F538" s="345"/>
      <c r="G538" s="345"/>
      <c r="H538" s="903"/>
    </row>
    <row r="539">
      <c r="A539" s="203"/>
      <c r="B539" s="345"/>
      <c r="C539" s="345"/>
      <c r="D539" s="345"/>
      <c r="E539" s="345"/>
      <c r="F539" s="345"/>
      <c r="G539" s="345"/>
      <c r="H539" s="903"/>
    </row>
    <row r="540">
      <c r="A540" s="203"/>
      <c r="B540" s="345"/>
      <c r="C540" s="345"/>
      <c r="D540" s="345"/>
      <c r="E540" s="345"/>
      <c r="F540" s="345"/>
      <c r="G540" s="345"/>
      <c r="H540" s="903"/>
    </row>
    <row r="541">
      <c r="A541" s="203"/>
      <c r="B541" s="345"/>
      <c r="C541" s="345"/>
      <c r="D541" s="345"/>
      <c r="E541" s="345"/>
      <c r="F541" s="345"/>
      <c r="G541" s="345"/>
      <c r="H541" s="903"/>
    </row>
    <row r="542">
      <c r="A542" s="203"/>
      <c r="B542" s="345"/>
      <c r="C542" s="345"/>
      <c r="D542" s="345"/>
      <c r="E542" s="345"/>
      <c r="F542" s="345"/>
      <c r="G542" s="345"/>
      <c r="H542" s="903"/>
    </row>
    <row r="543">
      <c r="A543" s="203"/>
      <c r="B543" s="345"/>
      <c r="C543" s="345"/>
      <c r="D543" s="345"/>
      <c r="E543" s="345"/>
      <c r="F543" s="345"/>
      <c r="G543" s="345"/>
      <c r="H543" s="903"/>
    </row>
    <row r="544">
      <c r="A544" s="203"/>
      <c r="B544" s="345"/>
      <c r="C544" s="345"/>
      <c r="D544" s="345"/>
      <c r="E544" s="345"/>
      <c r="F544" s="345"/>
      <c r="G544" s="345"/>
      <c r="H544" s="903"/>
    </row>
    <row r="545">
      <c r="A545" s="203"/>
      <c r="B545" s="345"/>
      <c r="C545" s="345"/>
      <c r="D545" s="345"/>
      <c r="E545" s="345"/>
      <c r="F545" s="345"/>
      <c r="G545" s="345"/>
      <c r="H545" s="903"/>
    </row>
    <row r="546">
      <c r="A546" s="203"/>
      <c r="B546" s="345"/>
      <c r="C546" s="345"/>
      <c r="D546" s="345"/>
      <c r="E546" s="345"/>
      <c r="F546" s="345"/>
      <c r="G546" s="345"/>
      <c r="H546" s="903"/>
    </row>
    <row r="547">
      <c r="A547" s="203"/>
      <c r="B547" s="345"/>
      <c r="C547" s="345"/>
      <c r="D547" s="345"/>
      <c r="E547" s="345"/>
      <c r="F547" s="345"/>
      <c r="G547" s="345"/>
      <c r="H547" s="903"/>
    </row>
    <row r="548">
      <c r="A548" s="203"/>
      <c r="B548" s="345"/>
      <c r="C548" s="345"/>
      <c r="D548" s="345"/>
      <c r="E548" s="345"/>
      <c r="F548" s="345"/>
      <c r="G548" s="345"/>
      <c r="H548" s="903"/>
    </row>
    <row r="549">
      <c r="A549" s="203"/>
      <c r="B549" s="345"/>
      <c r="C549" s="345"/>
      <c r="D549" s="345"/>
      <c r="E549" s="345"/>
      <c r="F549" s="345"/>
      <c r="G549" s="345"/>
      <c r="H549" s="903"/>
    </row>
    <row r="550">
      <c r="A550" s="203"/>
      <c r="B550" s="345"/>
      <c r="C550" s="345"/>
      <c r="D550" s="345"/>
      <c r="E550" s="345"/>
      <c r="F550" s="345"/>
      <c r="G550" s="345"/>
      <c r="H550" s="903"/>
    </row>
    <row r="551">
      <c r="A551" s="203"/>
      <c r="B551" s="345"/>
      <c r="C551" s="345"/>
      <c r="D551" s="345"/>
      <c r="E551" s="345"/>
      <c r="F551" s="345"/>
      <c r="G551" s="345"/>
      <c r="H551" s="903"/>
    </row>
    <row r="552">
      <c r="A552" s="203"/>
      <c r="B552" s="345"/>
      <c r="C552" s="345"/>
      <c r="D552" s="345"/>
      <c r="E552" s="345"/>
      <c r="F552" s="345"/>
      <c r="G552" s="345"/>
      <c r="H552" s="903"/>
    </row>
    <row r="553">
      <c r="A553" s="203"/>
      <c r="B553" s="345"/>
      <c r="C553" s="345"/>
      <c r="D553" s="345"/>
      <c r="E553" s="345"/>
      <c r="F553" s="345"/>
      <c r="G553" s="345"/>
      <c r="H553" s="903"/>
    </row>
    <row r="554">
      <c r="A554" s="203"/>
      <c r="B554" s="345"/>
      <c r="C554" s="345"/>
      <c r="D554" s="345"/>
      <c r="E554" s="345"/>
      <c r="F554" s="345"/>
      <c r="G554" s="345"/>
      <c r="H554" s="903"/>
    </row>
    <row r="555">
      <c r="A555" s="203"/>
      <c r="B555" s="345"/>
      <c r="C555" s="345"/>
      <c r="D555" s="345"/>
      <c r="E555" s="345"/>
      <c r="F555" s="345"/>
      <c r="G555" s="345"/>
      <c r="H555" s="903"/>
    </row>
    <row r="556">
      <c r="A556" s="203"/>
      <c r="B556" s="345"/>
      <c r="C556" s="345"/>
      <c r="D556" s="345"/>
      <c r="E556" s="345"/>
      <c r="F556" s="345"/>
      <c r="G556" s="345"/>
      <c r="H556" s="903"/>
    </row>
    <row r="557">
      <c r="A557" s="203"/>
      <c r="B557" s="345"/>
      <c r="C557" s="345"/>
      <c r="D557" s="345"/>
      <c r="E557" s="345"/>
      <c r="F557" s="345"/>
      <c r="G557" s="345"/>
      <c r="H557" s="903"/>
    </row>
    <row r="558">
      <c r="A558" s="203"/>
      <c r="B558" s="345"/>
      <c r="C558" s="345"/>
      <c r="D558" s="345"/>
      <c r="E558" s="345"/>
      <c r="F558" s="345"/>
      <c r="G558" s="345"/>
      <c r="H558" s="903"/>
    </row>
    <row r="559">
      <c r="A559" s="203"/>
      <c r="B559" s="345"/>
      <c r="C559" s="345"/>
      <c r="D559" s="345"/>
      <c r="E559" s="345"/>
      <c r="F559" s="345"/>
      <c r="G559" s="345"/>
      <c r="H559" s="903"/>
    </row>
    <row r="560">
      <c r="A560" s="203"/>
      <c r="B560" s="345"/>
      <c r="C560" s="345"/>
      <c r="D560" s="345"/>
      <c r="E560" s="345"/>
      <c r="F560" s="345"/>
      <c r="G560" s="345"/>
      <c r="H560" s="903"/>
    </row>
    <row r="561">
      <c r="A561" s="203"/>
      <c r="B561" s="345"/>
      <c r="C561" s="345"/>
      <c r="D561" s="345"/>
      <c r="E561" s="345"/>
      <c r="F561" s="345"/>
      <c r="G561" s="345"/>
      <c r="H561" s="903"/>
    </row>
    <row r="562">
      <c r="A562" s="203"/>
      <c r="B562" s="345"/>
      <c r="C562" s="345"/>
      <c r="D562" s="345"/>
      <c r="E562" s="345"/>
      <c r="F562" s="345"/>
      <c r="G562" s="345"/>
      <c r="H562" s="903"/>
    </row>
    <row r="563">
      <c r="A563" s="203"/>
      <c r="B563" s="345"/>
      <c r="C563" s="345"/>
      <c r="D563" s="345"/>
      <c r="E563" s="345"/>
      <c r="F563" s="345"/>
      <c r="G563" s="345"/>
      <c r="H563" s="903"/>
    </row>
    <row r="564">
      <c r="A564" s="203"/>
      <c r="B564" s="345"/>
      <c r="C564" s="345"/>
      <c r="D564" s="345"/>
      <c r="E564" s="345"/>
      <c r="F564" s="345"/>
      <c r="G564" s="345"/>
      <c r="H564" s="903"/>
    </row>
    <row r="565">
      <c r="A565" s="203"/>
      <c r="B565" s="345"/>
      <c r="C565" s="345"/>
      <c r="D565" s="345"/>
      <c r="E565" s="345"/>
      <c r="F565" s="345"/>
      <c r="G565" s="345"/>
      <c r="H565" s="903"/>
    </row>
    <row r="566">
      <c r="A566" s="203"/>
      <c r="B566" s="345"/>
      <c r="C566" s="345"/>
      <c r="D566" s="345"/>
      <c r="E566" s="345"/>
      <c r="F566" s="345"/>
      <c r="G566" s="345"/>
      <c r="H566" s="903"/>
    </row>
    <row r="567">
      <c r="A567" s="203"/>
      <c r="B567" s="345"/>
      <c r="C567" s="345"/>
      <c r="D567" s="345"/>
      <c r="E567" s="345"/>
      <c r="F567" s="345"/>
      <c r="G567" s="345"/>
      <c r="H567" s="903"/>
    </row>
    <row r="568">
      <c r="A568" s="203"/>
      <c r="B568" s="345"/>
      <c r="C568" s="345"/>
      <c r="D568" s="345"/>
      <c r="E568" s="345"/>
      <c r="F568" s="345"/>
      <c r="G568" s="345"/>
      <c r="H568" s="903"/>
    </row>
    <row r="569">
      <c r="A569" s="203"/>
      <c r="B569" s="345"/>
      <c r="C569" s="345"/>
      <c r="D569" s="345"/>
      <c r="E569" s="345"/>
      <c r="F569" s="345"/>
      <c r="G569" s="345"/>
      <c r="H569" s="903"/>
    </row>
    <row r="570">
      <c r="A570" s="203"/>
      <c r="B570" s="345"/>
      <c r="C570" s="345"/>
      <c r="D570" s="345"/>
      <c r="E570" s="345"/>
      <c r="F570" s="345"/>
      <c r="G570" s="345"/>
      <c r="H570" s="903"/>
    </row>
    <row r="571">
      <c r="A571" s="203"/>
      <c r="B571" s="345"/>
      <c r="C571" s="345"/>
      <c r="D571" s="345"/>
      <c r="E571" s="345"/>
      <c r="F571" s="345"/>
      <c r="G571" s="345"/>
      <c r="H571" s="903"/>
    </row>
    <row r="572">
      <c r="A572" s="203"/>
      <c r="B572" s="345"/>
      <c r="C572" s="345"/>
      <c r="D572" s="345"/>
      <c r="E572" s="345"/>
      <c r="F572" s="345"/>
      <c r="G572" s="345"/>
      <c r="H572" s="903"/>
    </row>
    <row r="573">
      <c r="A573" s="203"/>
      <c r="B573" s="345"/>
      <c r="C573" s="345"/>
      <c r="D573" s="345"/>
      <c r="E573" s="345"/>
      <c r="F573" s="345"/>
      <c r="G573" s="345"/>
      <c r="H573" s="903"/>
    </row>
    <row r="574">
      <c r="A574" s="203"/>
      <c r="B574" s="345"/>
      <c r="C574" s="345"/>
      <c r="D574" s="345"/>
      <c r="E574" s="345"/>
      <c r="F574" s="345"/>
      <c r="G574" s="345"/>
      <c r="H574" s="903"/>
    </row>
    <row r="575">
      <c r="A575" s="203"/>
      <c r="B575" s="345"/>
      <c r="C575" s="345"/>
      <c r="D575" s="345"/>
      <c r="E575" s="345"/>
      <c r="F575" s="345"/>
      <c r="G575" s="345"/>
      <c r="H575" s="903"/>
    </row>
    <row r="576">
      <c r="A576" s="203"/>
      <c r="B576" s="345"/>
      <c r="C576" s="345"/>
      <c r="D576" s="345"/>
      <c r="E576" s="345"/>
      <c r="F576" s="345"/>
      <c r="G576" s="345"/>
      <c r="H576" s="903"/>
    </row>
    <row r="577">
      <c r="A577" s="203"/>
      <c r="B577" s="345"/>
      <c r="C577" s="345"/>
      <c r="D577" s="345"/>
      <c r="E577" s="345"/>
      <c r="F577" s="345"/>
      <c r="G577" s="345"/>
      <c r="H577" s="903"/>
    </row>
    <row r="578">
      <c r="A578" s="203"/>
      <c r="B578" s="345"/>
      <c r="C578" s="345"/>
      <c r="D578" s="345"/>
      <c r="E578" s="345"/>
      <c r="F578" s="345"/>
      <c r="G578" s="345"/>
      <c r="H578" s="903"/>
    </row>
    <row r="579">
      <c r="A579" s="203"/>
      <c r="B579" s="345"/>
      <c r="C579" s="345"/>
      <c r="D579" s="345"/>
      <c r="E579" s="345"/>
      <c r="F579" s="345"/>
      <c r="G579" s="345"/>
      <c r="H579" s="903"/>
    </row>
    <row r="580">
      <c r="A580" s="203"/>
      <c r="B580" s="345"/>
      <c r="C580" s="345"/>
      <c r="D580" s="345"/>
      <c r="E580" s="345"/>
      <c r="F580" s="345"/>
      <c r="G580" s="345"/>
      <c r="H580" s="903"/>
    </row>
    <row r="581">
      <c r="A581" s="203"/>
      <c r="B581" s="345"/>
      <c r="C581" s="345"/>
      <c r="D581" s="345"/>
      <c r="E581" s="345"/>
      <c r="F581" s="345"/>
      <c r="G581" s="345"/>
      <c r="H581" s="903"/>
    </row>
    <row r="582">
      <c r="A582" s="203"/>
      <c r="B582" s="345"/>
      <c r="C582" s="345"/>
      <c r="D582" s="345"/>
      <c r="E582" s="345"/>
      <c r="F582" s="345"/>
      <c r="G582" s="345"/>
      <c r="H582" s="903"/>
    </row>
    <row r="583">
      <c r="A583" s="203"/>
      <c r="B583" s="345"/>
      <c r="C583" s="345"/>
      <c r="D583" s="345"/>
      <c r="E583" s="345"/>
      <c r="F583" s="345"/>
      <c r="G583" s="345"/>
      <c r="H583" s="903"/>
    </row>
    <row r="584">
      <c r="A584" s="203"/>
      <c r="B584" s="345"/>
      <c r="C584" s="345"/>
      <c r="D584" s="345"/>
      <c r="E584" s="345"/>
      <c r="F584" s="345"/>
      <c r="G584" s="345"/>
      <c r="H584" s="903"/>
    </row>
    <row r="585">
      <c r="A585" s="203"/>
      <c r="B585" s="345"/>
      <c r="C585" s="345"/>
      <c r="D585" s="345"/>
      <c r="E585" s="345"/>
      <c r="F585" s="345"/>
      <c r="G585" s="345"/>
      <c r="H585" s="903"/>
    </row>
    <row r="586">
      <c r="A586" s="203"/>
      <c r="B586" s="345"/>
      <c r="C586" s="345"/>
      <c r="D586" s="345"/>
      <c r="E586" s="345"/>
      <c r="F586" s="345"/>
      <c r="G586" s="345"/>
      <c r="H586" s="903"/>
    </row>
    <row r="587">
      <c r="A587" s="203"/>
      <c r="B587" s="345"/>
      <c r="C587" s="345"/>
      <c r="D587" s="345"/>
      <c r="E587" s="345"/>
      <c r="F587" s="345"/>
      <c r="G587" s="345"/>
      <c r="H587" s="903"/>
    </row>
    <row r="588">
      <c r="A588" s="203"/>
      <c r="B588" s="345"/>
      <c r="C588" s="345"/>
      <c r="D588" s="345"/>
      <c r="E588" s="345"/>
      <c r="F588" s="345"/>
      <c r="G588" s="345"/>
      <c r="H588" s="903"/>
    </row>
    <row r="589">
      <c r="A589" s="203"/>
      <c r="B589" s="345"/>
      <c r="C589" s="345"/>
      <c r="D589" s="345"/>
      <c r="E589" s="345"/>
      <c r="F589" s="345"/>
      <c r="G589" s="345"/>
      <c r="H589" s="903"/>
    </row>
    <row r="590">
      <c r="A590" s="203"/>
      <c r="B590" s="345"/>
      <c r="C590" s="345"/>
      <c r="D590" s="345"/>
      <c r="E590" s="345"/>
      <c r="F590" s="345"/>
      <c r="G590" s="345"/>
      <c r="H590" s="903"/>
    </row>
    <row r="591">
      <c r="A591" s="203"/>
      <c r="B591" s="345"/>
      <c r="C591" s="345"/>
      <c r="D591" s="345"/>
      <c r="E591" s="345"/>
      <c r="F591" s="345"/>
      <c r="G591" s="345"/>
      <c r="H591" s="903"/>
    </row>
    <row r="592">
      <c r="A592" s="203"/>
      <c r="B592" s="345"/>
      <c r="C592" s="345"/>
      <c r="D592" s="345"/>
      <c r="E592" s="345"/>
      <c r="F592" s="345"/>
      <c r="G592" s="345"/>
      <c r="H592" s="903"/>
    </row>
    <row r="593">
      <c r="A593" s="203"/>
      <c r="B593" s="345"/>
      <c r="C593" s="345"/>
      <c r="D593" s="345"/>
      <c r="E593" s="345"/>
      <c r="F593" s="345"/>
      <c r="G593" s="345"/>
      <c r="H593" s="903"/>
    </row>
    <row r="594">
      <c r="A594" s="203"/>
      <c r="B594" s="345"/>
      <c r="C594" s="345"/>
      <c r="D594" s="345"/>
      <c r="E594" s="345"/>
      <c r="F594" s="345"/>
      <c r="G594" s="345"/>
      <c r="H594" s="903"/>
    </row>
    <row r="595">
      <c r="A595" s="203"/>
      <c r="B595" s="345"/>
      <c r="C595" s="345"/>
      <c r="D595" s="345"/>
      <c r="E595" s="345"/>
      <c r="F595" s="345"/>
      <c r="G595" s="345"/>
      <c r="H595" s="903"/>
    </row>
    <row r="596">
      <c r="A596" s="203"/>
      <c r="B596" s="345"/>
      <c r="C596" s="345"/>
      <c r="D596" s="345"/>
      <c r="E596" s="345"/>
      <c r="F596" s="345"/>
      <c r="G596" s="345"/>
      <c r="H596" s="903"/>
    </row>
    <row r="597">
      <c r="A597" s="203"/>
      <c r="B597" s="345"/>
      <c r="C597" s="345"/>
      <c r="D597" s="345"/>
      <c r="E597" s="345"/>
      <c r="F597" s="345"/>
      <c r="G597" s="345"/>
      <c r="H597" s="903"/>
    </row>
    <row r="598">
      <c r="A598" s="203"/>
      <c r="B598" s="345"/>
      <c r="C598" s="345"/>
      <c r="D598" s="345"/>
      <c r="E598" s="345"/>
      <c r="F598" s="345"/>
      <c r="G598" s="345"/>
      <c r="H598" s="903"/>
    </row>
    <row r="599">
      <c r="A599" s="203"/>
      <c r="B599" s="345"/>
      <c r="C599" s="345"/>
      <c r="D599" s="345"/>
      <c r="E599" s="345"/>
      <c r="F599" s="345"/>
      <c r="G599" s="345"/>
      <c r="H599" s="903"/>
    </row>
    <row r="600">
      <c r="A600" s="203"/>
      <c r="B600" s="345"/>
      <c r="C600" s="345"/>
      <c r="D600" s="345"/>
      <c r="E600" s="345"/>
      <c r="F600" s="345"/>
      <c r="G600" s="345"/>
      <c r="H600" s="903"/>
    </row>
    <row r="601">
      <c r="A601" s="203"/>
      <c r="B601" s="345"/>
      <c r="C601" s="345"/>
      <c r="D601" s="345"/>
      <c r="E601" s="345"/>
      <c r="F601" s="345"/>
      <c r="G601" s="345"/>
      <c r="H601" s="903"/>
    </row>
    <row r="602">
      <c r="A602" s="203"/>
      <c r="B602" s="345"/>
      <c r="C602" s="345"/>
      <c r="D602" s="345"/>
      <c r="E602" s="345"/>
      <c r="F602" s="345"/>
      <c r="G602" s="345"/>
      <c r="H602" s="903"/>
    </row>
    <row r="603">
      <c r="A603" s="203"/>
      <c r="B603" s="345"/>
      <c r="C603" s="345"/>
      <c r="D603" s="345"/>
      <c r="E603" s="345"/>
      <c r="F603" s="345"/>
      <c r="G603" s="345"/>
      <c r="H603" s="903"/>
    </row>
    <row r="604">
      <c r="A604" s="203"/>
      <c r="B604" s="345"/>
      <c r="C604" s="345"/>
      <c r="D604" s="345"/>
      <c r="E604" s="345"/>
      <c r="F604" s="345"/>
      <c r="G604" s="345"/>
      <c r="H604" s="903"/>
    </row>
    <row r="605">
      <c r="A605" s="203"/>
      <c r="B605" s="345"/>
      <c r="C605" s="345"/>
      <c r="D605" s="345"/>
      <c r="E605" s="345"/>
      <c r="F605" s="345"/>
      <c r="G605" s="345"/>
      <c r="H605" s="903"/>
    </row>
    <row r="606">
      <c r="A606" s="203"/>
      <c r="B606" s="345"/>
      <c r="C606" s="345"/>
      <c r="D606" s="345"/>
      <c r="E606" s="345"/>
      <c r="F606" s="345"/>
      <c r="G606" s="345"/>
      <c r="H606" s="903"/>
    </row>
    <row r="607">
      <c r="A607" s="203"/>
      <c r="B607" s="345"/>
      <c r="C607" s="345"/>
      <c r="D607" s="345"/>
      <c r="E607" s="345"/>
      <c r="F607" s="345"/>
      <c r="G607" s="345"/>
      <c r="H607" s="903"/>
    </row>
    <row r="608">
      <c r="A608" s="203"/>
      <c r="B608" s="345"/>
      <c r="C608" s="345"/>
      <c r="D608" s="345"/>
      <c r="E608" s="345"/>
      <c r="F608" s="345"/>
      <c r="G608" s="345"/>
      <c r="H608" s="903"/>
    </row>
    <row r="609">
      <c r="A609" s="203"/>
      <c r="B609" s="345"/>
      <c r="C609" s="345"/>
      <c r="D609" s="345"/>
      <c r="E609" s="345"/>
      <c r="F609" s="345"/>
      <c r="G609" s="345"/>
      <c r="H609" s="903"/>
    </row>
    <row r="610">
      <c r="A610" s="203"/>
      <c r="B610" s="345"/>
      <c r="C610" s="345"/>
      <c r="D610" s="345"/>
      <c r="E610" s="345"/>
      <c r="F610" s="345"/>
      <c r="G610" s="345"/>
      <c r="H610" s="903"/>
    </row>
    <row r="611">
      <c r="A611" s="203"/>
      <c r="B611" s="345"/>
      <c r="C611" s="345"/>
      <c r="D611" s="345"/>
      <c r="E611" s="345"/>
      <c r="F611" s="345"/>
      <c r="G611" s="345"/>
      <c r="H611" s="903"/>
    </row>
    <row r="612">
      <c r="A612" s="203"/>
      <c r="B612" s="345"/>
      <c r="C612" s="345"/>
      <c r="D612" s="345"/>
      <c r="E612" s="345"/>
      <c r="F612" s="345"/>
      <c r="G612" s="345"/>
      <c r="H612" s="903"/>
    </row>
    <row r="613">
      <c r="A613" s="203"/>
      <c r="B613" s="345"/>
      <c r="C613" s="345"/>
      <c r="D613" s="345"/>
      <c r="E613" s="345"/>
      <c r="F613" s="345"/>
      <c r="G613" s="345"/>
      <c r="H613" s="903"/>
    </row>
    <row r="614">
      <c r="A614" s="203"/>
      <c r="B614" s="345"/>
      <c r="C614" s="345"/>
      <c r="D614" s="345"/>
      <c r="E614" s="345"/>
      <c r="F614" s="345"/>
      <c r="G614" s="345"/>
      <c r="H614" s="903"/>
    </row>
    <row r="615">
      <c r="A615" s="203"/>
      <c r="B615" s="345"/>
      <c r="C615" s="345"/>
      <c r="D615" s="345"/>
      <c r="E615" s="345"/>
      <c r="F615" s="345"/>
      <c r="G615" s="345"/>
      <c r="H615" s="903"/>
    </row>
    <row r="616">
      <c r="A616" s="203"/>
      <c r="B616" s="345"/>
      <c r="C616" s="345"/>
      <c r="D616" s="345"/>
      <c r="E616" s="345"/>
      <c r="F616" s="345"/>
      <c r="G616" s="345"/>
      <c r="H616" s="903"/>
    </row>
    <row r="617">
      <c r="A617" s="203"/>
      <c r="B617" s="345"/>
      <c r="C617" s="345"/>
      <c r="D617" s="345"/>
      <c r="E617" s="345"/>
      <c r="F617" s="345"/>
      <c r="G617" s="345"/>
      <c r="H617" s="903"/>
    </row>
    <row r="618">
      <c r="A618" s="203"/>
      <c r="B618" s="345"/>
      <c r="C618" s="345"/>
      <c r="D618" s="345"/>
      <c r="E618" s="345"/>
      <c r="F618" s="345"/>
      <c r="G618" s="345"/>
      <c r="H618" s="903"/>
    </row>
    <row r="619">
      <c r="A619" s="203"/>
      <c r="B619" s="345"/>
      <c r="C619" s="345"/>
      <c r="D619" s="345"/>
      <c r="E619" s="345"/>
      <c r="F619" s="345"/>
      <c r="G619" s="345"/>
      <c r="H619" s="903"/>
    </row>
    <row r="620">
      <c r="A620" s="203"/>
      <c r="B620" s="345"/>
      <c r="C620" s="345"/>
      <c r="D620" s="345"/>
      <c r="E620" s="345"/>
      <c r="F620" s="345"/>
      <c r="G620" s="345"/>
      <c r="H620" s="903"/>
    </row>
    <row r="621">
      <c r="A621" s="203"/>
      <c r="B621" s="345"/>
      <c r="C621" s="345"/>
      <c r="D621" s="345"/>
      <c r="E621" s="345"/>
      <c r="F621" s="345"/>
      <c r="G621" s="345"/>
      <c r="H621" s="903"/>
    </row>
    <row r="622">
      <c r="A622" s="203"/>
      <c r="B622" s="345"/>
      <c r="C622" s="345"/>
      <c r="D622" s="345"/>
      <c r="E622" s="345"/>
      <c r="F622" s="345"/>
      <c r="G622" s="345"/>
      <c r="H622" s="903"/>
    </row>
    <row r="623">
      <c r="A623" s="203"/>
      <c r="B623" s="345"/>
      <c r="C623" s="345"/>
      <c r="D623" s="345"/>
      <c r="E623" s="345"/>
      <c r="F623" s="345"/>
      <c r="G623" s="345"/>
      <c r="H623" s="903"/>
    </row>
    <row r="624">
      <c r="A624" s="203"/>
      <c r="B624" s="345"/>
      <c r="C624" s="345"/>
      <c r="D624" s="345"/>
      <c r="E624" s="345"/>
      <c r="F624" s="345"/>
      <c r="G624" s="345"/>
      <c r="H624" s="903"/>
    </row>
    <row r="625">
      <c r="A625" s="203"/>
      <c r="B625" s="345"/>
      <c r="C625" s="345"/>
      <c r="D625" s="345"/>
      <c r="E625" s="345"/>
      <c r="F625" s="345"/>
      <c r="G625" s="345"/>
      <c r="H625" s="903"/>
    </row>
    <row r="626">
      <c r="A626" s="203"/>
      <c r="B626" s="345"/>
      <c r="C626" s="345"/>
      <c r="D626" s="345"/>
      <c r="E626" s="345"/>
      <c r="F626" s="345"/>
      <c r="G626" s="345"/>
      <c r="H626" s="903"/>
    </row>
    <row r="627">
      <c r="A627" s="203"/>
      <c r="B627" s="345"/>
      <c r="C627" s="345"/>
      <c r="D627" s="345"/>
      <c r="E627" s="345"/>
      <c r="F627" s="345"/>
      <c r="G627" s="345"/>
      <c r="H627" s="903"/>
    </row>
    <row r="628">
      <c r="A628" s="203"/>
      <c r="B628" s="345"/>
      <c r="C628" s="345"/>
      <c r="D628" s="345"/>
      <c r="E628" s="345"/>
      <c r="F628" s="345"/>
      <c r="G628" s="345"/>
      <c r="H628" s="903"/>
    </row>
    <row r="629">
      <c r="A629" s="203"/>
      <c r="B629" s="345"/>
      <c r="C629" s="345"/>
      <c r="D629" s="345"/>
      <c r="E629" s="345"/>
      <c r="F629" s="345"/>
      <c r="G629" s="345"/>
      <c r="H629" s="903"/>
    </row>
    <row r="630">
      <c r="A630" s="203"/>
      <c r="B630" s="345"/>
      <c r="C630" s="345"/>
      <c r="D630" s="345"/>
      <c r="E630" s="345"/>
      <c r="F630" s="345"/>
      <c r="G630" s="345"/>
      <c r="H630" s="903"/>
    </row>
    <row r="631">
      <c r="A631" s="203"/>
      <c r="B631" s="345"/>
      <c r="C631" s="345"/>
      <c r="D631" s="345"/>
      <c r="E631" s="345"/>
      <c r="F631" s="345"/>
      <c r="G631" s="345"/>
      <c r="H631" s="903"/>
    </row>
    <row r="632">
      <c r="A632" s="203"/>
      <c r="B632" s="345"/>
      <c r="C632" s="345"/>
      <c r="D632" s="345"/>
      <c r="E632" s="345"/>
      <c r="F632" s="345"/>
      <c r="G632" s="345"/>
      <c r="H632" s="903"/>
    </row>
    <row r="633">
      <c r="A633" s="203"/>
      <c r="B633" s="345"/>
      <c r="C633" s="345"/>
      <c r="D633" s="345"/>
      <c r="E633" s="345"/>
      <c r="F633" s="345"/>
      <c r="G633" s="345"/>
      <c r="H633" s="903"/>
    </row>
    <row r="634">
      <c r="A634" s="203"/>
      <c r="B634" s="345"/>
      <c r="C634" s="345"/>
      <c r="D634" s="345"/>
      <c r="E634" s="345"/>
      <c r="F634" s="345"/>
      <c r="G634" s="345"/>
      <c r="H634" s="903"/>
    </row>
    <row r="635">
      <c r="A635" s="203"/>
      <c r="B635" s="345"/>
      <c r="C635" s="345"/>
      <c r="D635" s="345"/>
      <c r="E635" s="345"/>
      <c r="F635" s="345"/>
      <c r="G635" s="345"/>
      <c r="H635" s="903"/>
    </row>
    <row r="636">
      <c r="A636" s="203"/>
      <c r="B636" s="345"/>
      <c r="C636" s="345"/>
      <c r="D636" s="345"/>
      <c r="E636" s="345"/>
      <c r="F636" s="345"/>
      <c r="G636" s="345"/>
      <c r="H636" s="903"/>
    </row>
    <row r="637">
      <c r="A637" s="203"/>
      <c r="B637" s="345"/>
      <c r="C637" s="345"/>
      <c r="D637" s="345"/>
      <c r="E637" s="345"/>
      <c r="F637" s="345"/>
      <c r="G637" s="345"/>
      <c r="H637" s="903"/>
    </row>
    <row r="638">
      <c r="A638" s="203"/>
      <c r="B638" s="345"/>
      <c r="C638" s="345"/>
      <c r="D638" s="345"/>
      <c r="E638" s="345"/>
      <c r="F638" s="345"/>
      <c r="G638" s="345"/>
      <c r="H638" s="903"/>
    </row>
    <row r="639">
      <c r="A639" s="203"/>
      <c r="B639" s="345"/>
      <c r="C639" s="345"/>
      <c r="D639" s="345"/>
      <c r="E639" s="345"/>
      <c r="F639" s="345"/>
      <c r="G639" s="345"/>
      <c r="H639" s="903"/>
    </row>
    <row r="640">
      <c r="A640" s="203"/>
      <c r="B640" s="345"/>
      <c r="C640" s="345"/>
      <c r="D640" s="345"/>
      <c r="E640" s="345"/>
      <c r="F640" s="345"/>
      <c r="G640" s="345"/>
      <c r="H640" s="903"/>
    </row>
    <row r="641">
      <c r="A641" s="203"/>
      <c r="B641" s="345"/>
      <c r="C641" s="345"/>
      <c r="D641" s="345"/>
      <c r="E641" s="345"/>
      <c r="F641" s="345"/>
      <c r="G641" s="345"/>
      <c r="H641" s="903"/>
    </row>
    <row r="642">
      <c r="A642" s="203"/>
      <c r="B642" s="345"/>
      <c r="C642" s="345"/>
      <c r="D642" s="345"/>
      <c r="E642" s="345"/>
      <c r="F642" s="345"/>
      <c r="G642" s="345"/>
      <c r="H642" s="903"/>
    </row>
    <row r="643">
      <c r="A643" s="203"/>
      <c r="B643" s="345"/>
      <c r="C643" s="345"/>
      <c r="D643" s="345"/>
      <c r="E643" s="345"/>
      <c r="F643" s="345"/>
      <c r="G643" s="345"/>
      <c r="H643" s="903"/>
    </row>
    <row r="644">
      <c r="A644" s="203"/>
      <c r="B644" s="345"/>
      <c r="C644" s="345"/>
      <c r="D644" s="345"/>
      <c r="E644" s="345"/>
      <c r="F644" s="345"/>
      <c r="G644" s="345"/>
      <c r="H644" s="903"/>
    </row>
    <row r="645">
      <c r="A645" s="203"/>
      <c r="B645" s="345"/>
      <c r="C645" s="345"/>
      <c r="D645" s="345"/>
      <c r="E645" s="345"/>
      <c r="F645" s="345"/>
      <c r="G645" s="345"/>
      <c r="H645" s="903"/>
    </row>
    <row r="646">
      <c r="A646" s="203"/>
      <c r="B646" s="345"/>
      <c r="C646" s="345"/>
      <c r="D646" s="345"/>
      <c r="E646" s="345"/>
      <c r="F646" s="345"/>
      <c r="G646" s="345"/>
      <c r="H646" s="903"/>
    </row>
    <row r="647">
      <c r="A647" s="203"/>
      <c r="B647" s="345"/>
      <c r="C647" s="345"/>
      <c r="D647" s="345"/>
      <c r="E647" s="345"/>
      <c r="F647" s="345"/>
      <c r="G647" s="345"/>
      <c r="H647" s="903"/>
    </row>
    <row r="648">
      <c r="A648" s="203"/>
      <c r="B648" s="345"/>
      <c r="C648" s="345"/>
      <c r="D648" s="345"/>
      <c r="E648" s="345"/>
      <c r="F648" s="345"/>
      <c r="G648" s="345"/>
      <c r="H648" s="903"/>
    </row>
    <row r="649">
      <c r="A649" s="203"/>
      <c r="B649" s="345"/>
      <c r="C649" s="345"/>
      <c r="D649" s="345"/>
      <c r="E649" s="345"/>
      <c r="F649" s="345"/>
      <c r="G649" s="345"/>
      <c r="H649" s="903"/>
    </row>
    <row r="650">
      <c r="A650" s="203"/>
      <c r="B650" s="345"/>
      <c r="C650" s="345"/>
      <c r="D650" s="345"/>
      <c r="E650" s="345"/>
      <c r="F650" s="345"/>
      <c r="G650" s="345"/>
      <c r="H650" s="903"/>
    </row>
    <row r="651">
      <c r="A651" s="203"/>
      <c r="B651" s="345"/>
      <c r="C651" s="345"/>
      <c r="D651" s="345"/>
      <c r="E651" s="345"/>
      <c r="F651" s="345"/>
      <c r="G651" s="345"/>
      <c r="H651" s="903"/>
    </row>
    <row r="652">
      <c r="A652" s="203"/>
      <c r="B652" s="345"/>
      <c r="C652" s="345"/>
      <c r="D652" s="345"/>
      <c r="E652" s="345"/>
      <c r="F652" s="345"/>
      <c r="G652" s="345"/>
      <c r="H652" s="903"/>
    </row>
    <row r="653">
      <c r="A653" s="203"/>
      <c r="B653" s="345"/>
      <c r="C653" s="345"/>
      <c r="D653" s="345"/>
      <c r="E653" s="345"/>
      <c r="F653" s="345"/>
      <c r="G653" s="345"/>
      <c r="H653" s="903"/>
    </row>
    <row r="654">
      <c r="A654" s="203"/>
      <c r="B654" s="345"/>
      <c r="C654" s="345"/>
      <c r="D654" s="345"/>
      <c r="E654" s="345"/>
      <c r="F654" s="345"/>
      <c r="G654" s="345"/>
      <c r="H654" s="903"/>
    </row>
    <row r="655">
      <c r="A655" s="203"/>
      <c r="B655" s="345"/>
      <c r="C655" s="345"/>
      <c r="D655" s="345"/>
      <c r="E655" s="345"/>
      <c r="F655" s="345"/>
      <c r="G655" s="345"/>
      <c r="H655" s="903"/>
    </row>
    <row r="656">
      <c r="A656" s="203"/>
      <c r="B656" s="345"/>
      <c r="C656" s="345"/>
      <c r="D656" s="345"/>
      <c r="E656" s="345"/>
      <c r="F656" s="345"/>
      <c r="G656" s="345"/>
      <c r="H656" s="903"/>
    </row>
    <row r="657">
      <c r="A657" s="203"/>
      <c r="B657" s="345"/>
      <c r="C657" s="345"/>
      <c r="D657" s="345"/>
      <c r="E657" s="345"/>
      <c r="F657" s="345"/>
      <c r="G657" s="345"/>
      <c r="H657" s="903"/>
    </row>
    <row r="658">
      <c r="A658" s="203"/>
      <c r="B658" s="345"/>
      <c r="C658" s="345"/>
      <c r="D658" s="345"/>
      <c r="E658" s="345"/>
      <c r="F658" s="345"/>
      <c r="G658" s="345"/>
      <c r="H658" s="903"/>
    </row>
    <row r="659">
      <c r="A659" s="203"/>
      <c r="B659" s="345"/>
      <c r="C659" s="345"/>
      <c r="D659" s="345"/>
      <c r="E659" s="345"/>
      <c r="F659" s="345"/>
      <c r="G659" s="345"/>
      <c r="H659" s="903"/>
    </row>
    <row r="660">
      <c r="A660" s="203"/>
      <c r="B660" s="345"/>
      <c r="C660" s="345"/>
      <c r="D660" s="345"/>
      <c r="E660" s="345"/>
      <c r="F660" s="345"/>
      <c r="G660" s="345"/>
      <c r="H660" s="903"/>
    </row>
    <row r="661">
      <c r="A661" s="203"/>
      <c r="B661" s="345"/>
      <c r="C661" s="345"/>
      <c r="D661" s="345"/>
      <c r="E661" s="345"/>
      <c r="F661" s="345"/>
      <c r="G661" s="345"/>
      <c r="H661" s="903"/>
    </row>
    <row r="662">
      <c r="A662" s="203"/>
      <c r="B662" s="345"/>
      <c r="C662" s="345"/>
      <c r="D662" s="345"/>
      <c r="E662" s="345"/>
      <c r="F662" s="345"/>
      <c r="G662" s="345"/>
      <c r="H662" s="903"/>
    </row>
    <row r="663">
      <c r="A663" s="203"/>
      <c r="B663" s="345"/>
      <c r="C663" s="345"/>
      <c r="D663" s="345"/>
      <c r="E663" s="345"/>
      <c r="F663" s="345"/>
      <c r="G663" s="345"/>
      <c r="H663" s="903"/>
    </row>
    <row r="664">
      <c r="A664" s="203"/>
      <c r="B664" s="345"/>
      <c r="C664" s="345"/>
      <c r="D664" s="345"/>
      <c r="E664" s="345"/>
      <c r="F664" s="345"/>
      <c r="G664" s="345"/>
      <c r="H664" s="903"/>
    </row>
    <row r="665">
      <c r="A665" s="203"/>
      <c r="B665" s="345"/>
      <c r="C665" s="345"/>
      <c r="D665" s="345"/>
      <c r="E665" s="345"/>
      <c r="F665" s="345"/>
      <c r="G665" s="345"/>
      <c r="H665" s="903"/>
    </row>
    <row r="666">
      <c r="A666" s="203"/>
      <c r="B666" s="345"/>
      <c r="C666" s="345"/>
      <c r="D666" s="345"/>
      <c r="E666" s="345"/>
      <c r="F666" s="345"/>
      <c r="G666" s="345"/>
      <c r="H666" s="903"/>
    </row>
    <row r="667">
      <c r="A667" s="203"/>
      <c r="B667" s="345"/>
      <c r="C667" s="345"/>
      <c r="D667" s="345"/>
      <c r="E667" s="345"/>
      <c r="F667" s="345"/>
      <c r="G667" s="345"/>
      <c r="H667" s="903"/>
    </row>
    <row r="668">
      <c r="A668" s="203"/>
      <c r="B668" s="345"/>
      <c r="C668" s="345"/>
      <c r="D668" s="345"/>
      <c r="E668" s="345"/>
      <c r="F668" s="345"/>
      <c r="G668" s="345"/>
      <c r="H668" s="903"/>
    </row>
    <row r="669">
      <c r="A669" s="203"/>
      <c r="B669" s="345"/>
      <c r="C669" s="345"/>
      <c r="D669" s="345"/>
      <c r="E669" s="345"/>
      <c r="F669" s="345"/>
      <c r="G669" s="345"/>
      <c r="H669" s="903"/>
    </row>
    <row r="670">
      <c r="A670" s="203"/>
      <c r="B670" s="345"/>
      <c r="C670" s="345"/>
      <c r="D670" s="345"/>
      <c r="E670" s="345"/>
      <c r="F670" s="345"/>
      <c r="G670" s="345"/>
      <c r="H670" s="903"/>
    </row>
    <row r="671">
      <c r="A671" s="203"/>
      <c r="B671" s="345"/>
      <c r="C671" s="345"/>
      <c r="D671" s="345"/>
      <c r="E671" s="345"/>
      <c r="F671" s="345"/>
      <c r="G671" s="345"/>
      <c r="H671" s="903"/>
    </row>
    <row r="672">
      <c r="A672" s="203"/>
      <c r="B672" s="345"/>
      <c r="C672" s="345"/>
      <c r="D672" s="345"/>
      <c r="E672" s="345"/>
      <c r="F672" s="345"/>
      <c r="G672" s="345"/>
      <c r="H672" s="903"/>
    </row>
    <row r="673">
      <c r="A673" s="203"/>
      <c r="B673" s="345"/>
      <c r="C673" s="345"/>
      <c r="D673" s="345"/>
      <c r="E673" s="345"/>
      <c r="F673" s="345"/>
      <c r="G673" s="345"/>
      <c r="H673" s="903"/>
    </row>
    <row r="674">
      <c r="A674" s="203"/>
      <c r="B674" s="345"/>
      <c r="C674" s="345"/>
      <c r="D674" s="345"/>
      <c r="E674" s="345"/>
      <c r="F674" s="345"/>
      <c r="G674" s="345"/>
      <c r="H674" s="903"/>
    </row>
    <row r="675">
      <c r="A675" s="203"/>
      <c r="B675" s="345"/>
      <c r="C675" s="345"/>
      <c r="D675" s="345"/>
      <c r="E675" s="345"/>
      <c r="F675" s="345"/>
      <c r="G675" s="345"/>
      <c r="H675" s="903"/>
    </row>
    <row r="676">
      <c r="A676" s="203"/>
      <c r="B676" s="345"/>
      <c r="C676" s="345"/>
      <c r="D676" s="345"/>
      <c r="E676" s="345"/>
      <c r="F676" s="345"/>
      <c r="G676" s="345"/>
      <c r="H676" s="903"/>
    </row>
    <row r="677">
      <c r="A677" s="203"/>
      <c r="B677" s="345"/>
      <c r="C677" s="345"/>
      <c r="D677" s="345"/>
      <c r="E677" s="345"/>
      <c r="F677" s="345"/>
      <c r="G677" s="345"/>
      <c r="H677" s="903"/>
    </row>
    <row r="678">
      <c r="A678" s="203"/>
      <c r="B678" s="345"/>
      <c r="C678" s="345"/>
      <c r="D678" s="345"/>
      <c r="E678" s="345"/>
      <c r="F678" s="345"/>
      <c r="G678" s="345"/>
      <c r="H678" s="903"/>
    </row>
    <row r="679">
      <c r="A679" s="203"/>
      <c r="B679" s="345"/>
      <c r="C679" s="345"/>
      <c r="D679" s="345"/>
      <c r="E679" s="345"/>
      <c r="F679" s="345"/>
      <c r="G679" s="345"/>
      <c r="H679" s="903"/>
    </row>
    <row r="680">
      <c r="A680" s="203"/>
      <c r="B680" s="345"/>
      <c r="C680" s="345"/>
      <c r="D680" s="345"/>
      <c r="E680" s="345"/>
      <c r="F680" s="345"/>
      <c r="G680" s="345"/>
      <c r="H680" s="903"/>
    </row>
    <row r="681">
      <c r="A681" s="203"/>
      <c r="B681" s="345"/>
      <c r="C681" s="345"/>
      <c r="D681" s="345"/>
      <c r="E681" s="345"/>
      <c r="F681" s="345"/>
      <c r="G681" s="345"/>
      <c r="H681" s="903"/>
    </row>
    <row r="682">
      <c r="A682" s="203"/>
      <c r="B682" s="345"/>
      <c r="C682" s="345"/>
      <c r="D682" s="345"/>
      <c r="E682" s="345"/>
      <c r="F682" s="345"/>
      <c r="G682" s="345"/>
      <c r="H682" s="903"/>
    </row>
    <row r="683">
      <c r="A683" s="203"/>
      <c r="B683" s="345"/>
      <c r="C683" s="345"/>
      <c r="D683" s="345"/>
      <c r="E683" s="345"/>
      <c r="F683" s="345"/>
      <c r="G683" s="345"/>
      <c r="H683" s="903"/>
    </row>
    <row r="684">
      <c r="A684" s="203"/>
      <c r="B684" s="345"/>
      <c r="C684" s="345"/>
      <c r="D684" s="345"/>
      <c r="E684" s="345"/>
      <c r="F684" s="345"/>
      <c r="G684" s="345"/>
      <c r="H684" s="903"/>
    </row>
    <row r="685">
      <c r="A685" s="203"/>
      <c r="B685" s="345"/>
      <c r="C685" s="345"/>
      <c r="D685" s="345"/>
      <c r="E685" s="345"/>
      <c r="F685" s="345"/>
      <c r="G685" s="345"/>
      <c r="H685" s="903"/>
    </row>
    <row r="686">
      <c r="A686" s="203"/>
      <c r="B686" s="345"/>
      <c r="C686" s="345"/>
      <c r="D686" s="345"/>
      <c r="E686" s="345"/>
      <c r="F686" s="345"/>
      <c r="G686" s="345"/>
      <c r="H686" s="903"/>
    </row>
    <row r="687">
      <c r="A687" s="203"/>
      <c r="B687" s="345"/>
      <c r="C687" s="345"/>
      <c r="D687" s="345"/>
      <c r="E687" s="345"/>
      <c r="F687" s="345"/>
      <c r="G687" s="345"/>
      <c r="H687" s="903"/>
    </row>
    <row r="688">
      <c r="A688" s="203"/>
      <c r="B688" s="345"/>
      <c r="C688" s="345"/>
      <c r="D688" s="345"/>
      <c r="E688" s="345"/>
      <c r="F688" s="345"/>
      <c r="G688" s="345"/>
      <c r="H688" s="903"/>
    </row>
    <row r="689">
      <c r="A689" s="203"/>
      <c r="B689" s="345"/>
      <c r="C689" s="345"/>
      <c r="D689" s="345"/>
      <c r="E689" s="345"/>
      <c r="F689" s="345"/>
      <c r="G689" s="345"/>
      <c r="H689" s="903"/>
    </row>
    <row r="690">
      <c r="A690" s="203"/>
      <c r="B690" s="345"/>
      <c r="C690" s="345"/>
      <c r="D690" s="345"/>
      <c r="E690" s="345"/>
      <c r="F690" s="345"/>
      <c r="G690" s="345"/>
      <c r="H690" s="903"/>
    </row>
    <row r="691">
      <c r="A691" s="203"/>
      <c r="B691" s="345"/>
      <c r="C691" s="345"/>
      <c r="D691" s="345"/>
      <c r="E691" s="345"/>
      <c r="F691" s="345"/>
      <c r="G691" s="345"/>
      <c r="H691" s="903"/>
    </row>
    <row r="692">
      <c r="A692" s="203"/>
      <c r="B692" s="345"/>
      <c r="C692" s="345"/>
      <c r="D692" s="345"/>
      <c r="E692" s="345"/>
      <c r="F692" s="345"/>
      <c r="G692" s="345"/>
      <c r="H692" s="903"/>
    </row>
    <row r="693">
      <c r="A693" s="203"/>
      <c r="B693" s="345"/>
      <c r="C693" s="345"/>
      <c r="D693" s="345"/>
      <c r="E693" s="345"/>
      <c r="F693" s="345"/>
      <c r="G693" s="345"/>
      <c r="H693" s="903"/>
    </row>
    <row r="694">
      <c r="A694" s="203"/>
      <c r="B694" s="345"/>
      <c r="C694" s="345"/>
      <c r="D694" s="345"/>
      <c r="E694" s="345"/>
      <c r="F694" s="345"/>
      <c r="G694" s="345"/>
      <c r="H694" s="903"/>
    </row>
    <row r="695">
      <c r="A695" s="203"/>
      <c r="B695" s="345"/>
      <c r="C695" s="345"/>
      <c r="D695" s="345"/>
      <c r="E695" s="345"/>
      <c r="F695" s="345"/>
      <c r="G695" s="345"/>
      <c r="H695" s="903"/>
    </row>
    <row r="696">
      <c r="A696" s="203"/>
      <c r="B696" s="345"/>
      <c r="C696" s="345"/>
      <c r="D696" s="345"/>
      <c r="E696" s="345"/>
      <c r="F696" s="345"/>
      <c r="G696" s="345"/>
      <c r="H696" s="903"/>
    </row>
    <row r="697">
      <c r="A697" s="203"/>
      <c r="B697" s="345"/>
      <c r="C697" s="345"/>
      <c r="D697" s="345"/>
      <c r="E697" s="345"/>
      <c r="F697" s="345"/>
      <c r="G697" s="345"/>
      <c r="H697" s="903"/>
    </row>
    <row r="698">
      <c r="A698" s="203"/>
      <c r="B698" s="345"/>
      <c r="C698" s="345"/>
      <c r="D698" s="345"/>
      <c r="E698" s="345"/>
      <c r="F698" s="345"/>
      <c r="G698" s="345"/>
      <c r="H698" s="903"/>
    </row>
    <row r="699">
      <c r="A699" s="203"/>
      <c r="B699" s="345"/>
      <c r="C699" s="345"/>
      <c r="D699" s="345"/>
      <c r="E699" s="345"/>
      <c r="F699" s="345"/>
      <c r="G699" s="345"/>
      <c r="H699" s="903"/>
    </row>
    <row r="700">
      <c r="A700" s="203"/>
      <c r="B700" s="345"/>
      <c r="C700" s="345"/>
      <c r="D700" s="345"/>
      <c r="E700" s="345"/>
      <c r="F700" s="345"/>
      <c r="G700" s="345"/>
      <c r="H700" s="903"/>
    </row>
    <row r="701">
      <c r="A701" s="203"/>
      <c r="B701" s="345"/>
      <c r="C701" s="345"/>
      <c r="D701" s="345"/>
      <c r="E701" s="345"/>
      <c r="F701" s="345"/>
      <c r="G701" s="345"/>
      <c r="H701" s="903"/>
    </row>
    <row r="702">
      <c r="A702" s="203"/>
      <c r="B702" s="345"/>
      <c r="C702" s="345"/>
      <c r="D702" s="345"/>
      <c r="E702" s="345"/>
      <c r="F702" s="345"/>
      <c r="G702" s="345"/>
      <c r="H702" s="903"/>
    </row>
    <row r="703">
      <c r="A703" s="203"/>
      <c r="B703" s="345"/>
      <c r="C703" s="345"/>
      <c r="D703" s="345"/>
      <c r="E703" s="345"/>
      <c r="F703" s="345"/>
      <c r="G703" s="345"/>
      <c r="H703" s="903"/>
    </row>
    <row r="704">
      <c r="A704" s="203"/>
      <c r="B704" s="345"/>
      <c r="C704" s="345"/>
      <c r="D704" s="345"/>
      <c r="E704" s="345"/>
      <c r="F704" s="345"/>
      <c r="G704" s="345"/>
      <c r="H704" s="903"/>
    </row>
    <row r="705">
      <c r="A705" s="203"/>
      <c r="B705" s="345"/>
      <c r="C705" s="345"/>
      <c r="D705" s="345"/>
      <c r="E705" s="345"/>
      <c r="F705" s="345"/>
      <c r="G705" s="345"/>
      <c r="H705" s="903"/>
    </row>
    <row r="706">
      <c r="A706" s="203"/>
      <c r="B706" s="345"/>
      <c r="C706" s="345"/>
      <c r="D706" s="345"/>
      <c r="E706" s="345"/>
      <c r="F706" s="345"/>
      <c r="G706" s="345"/>
      <c r="H706" s="903"/>
    </row>
    <row r="707">
      <c r="A707" s="203"/>
      <c r="B707" s="345"/>
      <c r="C707" s="345"/>
      <c r="D707" s="345"/>
      <c r="E707" s="345"/>
      <c r="F707" s="345"/>
      <c r="G707" s="345"/>
      <c r="H707" s="903"/>
    </row>
    <row r="708">
      <c r="A708" s="203"/>
      <c r="B708" s="345"/>
      <c r="C708" s="345"/>
      <c r="D708" s="345"/>
      <c r="E708" s="345"/>
      <c r="F708" s="345"/>
      <c r="G708" s="345"/>
      <c r="H708" s="903"/>
    </row>
    <row r="709">
      <c r="A709" s="203"/>
      <c r="B709" s="345"/>
      <c r="C709" s="345"/>
      <c r="D709" s="345"/>
      <c r="E709" s="345"/>
      <c r="F709" s="345"/>
      <c r="G709" s="345"/>
      <c r="H709" s="903"/>
    </row>
    <row r="710">
      <c r="A710" s="203"/>
      <c r="B710" s="345"/>
      <c r="C710" s="345"/>
      <c r="D710" s="345"/>
      <c r="E710" s="345"/>
      <c r="F710" s="345"/>
      <c r="G710" s="345"/>
      <c r="H710" s="903"/>
    </row>
    <row r="711">
      <c r="A711" s="203"/>
      <c r="B711" s="345"/>
      <c r="C711" s="345"/>
      <c r="D711" s="345"/>
      <c r="E711" s="345"/>
      <c r="F711" s="345"/>
      <c r="G711" s="345"/>
      <c r="H711" s="903"/>
    </row>
    <row r="712">
      <c r="A712" s="203"/>
      <c r="B712" s="345"/>
      <c r="C712" s="345"/>
      <c r="D712" s="345"/>
      <c r="E712" s="345"/>
      <c r="F712" s="345"/>
      <c r="G712" s="345"/>
      <c r="H712" s="903"/>
    </row>
    <row r="713">
      <c r="A713" s="203"/>
      <c r="B713" s="345"/>
      <c r="C713" s="345"/>
      <c r="D713" s="345"/>
      <c r="E713" s="345"/>
      <c r="F713" s="345"/>
      <c r="G713" s="345"/>
      <c r="H713" s="903"/>
    </row>
    <row r="714">
      <c r="A714" s="203"/>
      <c r="B714" s="345"/>
      <c r="C714" s="345"/>
      <c r="D714" s="345"/>
      <c r="E714" s="345"/>
      <c r="F714" s="345"/>
      <c r="G714" s="345"/>
      <c r="H714" s="903"/>
    </row>
    <row r="715">
      <c r="A715" s="203"/>
      <c r="B715" s="345"/>
      <c r="C715" s="345"/>
      <c r="D715" s="345"/>
      <c r="E715" s="345"/>
      <c r="F715" s="345"/>
      <c r="G715" s="345"/>
      <c r="H715" s="903"/>
    </row>
    <row r="716">
      <c r="A716" s="203"/>
      <c r="B716" s="345"/>
      <c r="C716" s="345"/>
      <c r="D716" s="345"/>
      <c r="E716" s="345"/>
      <c r="F716" s="345"/>
      <c r="G716" s="345"/>
      <c r="H716" s="903"/>
    </row>
    <row r="717">
      <c r="A717" s="203"/>
      <c r="B717" s="345"/>
      <c r="C717" s="345"/>
      <c r="D717" s="345"/>
      <c r="E717" s="345"/>
      <c r="F717" s="345"/>
      <c r="G717" s="345"/>
      <c r="H717" s="903"/>
    </row>
    <row r="718">
      <c r="A718" s="203"/>
      <c r="B718" s="345"/>
      <c r="C718" s="345"/>
      <c r="D718" s="345"/>
      <c r="E718" s="345"/>
      <c r="F718" s="345"/>
      <c r="G718" s="345"/>
      <c r="H718" s="903"/>
    </row>
    <row r="719">
      <c r="A719" s="203"/>
      <c r="B719" s="345"/>
      <c r="C719" s="345"/>
      <c r="D719" s="345"/>
      <c r="E719" s="345"/>
      <c r="F719" s="345"/>
      <c r="G719" s="345"/>
      <c r="H719" s="903"/>
    </row>
    <row r="720">
      <c r="A720" s="203"/>
      <c r="B720" s="345"/>
      <c r="C720" s="345"/>
      <c r="D720" s="345"/>
      <c r="E720" s="345"/>
      <c r="F720" s="345"/>
      <c r="G720" s="345"/>
      <c r="H720" s="903"/>
    </row>
    <row r="721">
      <c r="A721" s="203"/>
      <c r="B721" s="345"/>
      <c r="C721" s="345"/>
      <c r="D721" s="345"/>
      <c r="E721" s="345"/>
      <c r="F721" s="345"/>
      <c r="G721" s="345"/>
      <c r="H721" s="903"/>
    </row>
    <row r="722">
      <c r="A722" s="203"/>
      <c r="B722" s="345"/>
      <c r="C722" s="345"/>
      <c r="D722" s="345"/>
      <c r="E722" s="345"/>
      <c r="F722" s="345"/>
      <c r="G722" s="345"/>
      <c r="H722" s="903"/>
    </row>
    <row r="723">
      <c r="A723" s="203"/>
      <c r="B723" s="345"/>
      <c r="C723" s="345"/>
      <c r="D723" s="345"/>
      <c r="E723" s="345"/>
      <c r="F723" s="345"/>
      <c r="G723" s="345"/>
      <c r="H723" s="903"/>
    </row>
    <row r="724">
      <c r="A724" s="203"/>
      <c r="B724" s="345"/>
      <c r="C724" s="345"/>
      <c r="D724" s="345"/>
      <c r="E724" s="345"/>
      <c r="F724" s="345"/>
      <c r="G724" s="345"/>
      <c r="H724" s="903"/>
    </row>
    <row r="725">
      <c r="A725" s="203"/>
      <c r="B725" s="345"/>
      <c r="C725" s="345"/>
      <c r="D725" s="345"/>
      <c r="E725" s="345"/>
      <c r="F725" s="345"/>
      <c r="G725" s="345"/>
      <c r="H725" s="903"/>
    </row>
    <row r="726">
      <c r="A726" s="203"/>
      <c r="B726" s="345"/>
      <c r="C726" s="345"/>
      <c r="D726" s="345"/>
      <c r="E726" s="345"/>
      <c r="F726" s="345"/>
      <c r="G726" s="345"/>
      <c r="H726" s="903"/>
    </row>
    <row r="727">
      <c r="A727" s="203"/>
      <c r="B727" s="345"/>
      <c r="C727" s="345"/>
      <c r="D727" s="345"/>
      <c r="E727" s="345"/>
      <c r="F727" s="345"/>
      <c r="G727" s="345"/>
      <c r="H727" s="903"/>
    </row>
    <row r="728">
      <c r="A728" s="203"/>
      <c r="B728" s="345"/>
      <c r="C728" s="345"/>
      <c r="D728" s="345"/>
      <c r="E728" s="345"/>
      <c r="F728" s="345"/>
      <c r="G728" s="345"/>
      <c r="H728" s="903"/>
    </row>
    <row r="729">
      <c r="A729" s="203"/>
      <c r="B729" s="345"/>
      <c r="C729" s="345"/>
      <c r="D729" s="345"/>
      <c r="E729" s="345"/>
      <c r="F729" s="345"/>
      <c r="G729" s="345"/>
      <c r="H729" s="903"/>
    </row>
    <row r="730">
      <c r="A730" s="203"/>
      <c r="B730" s="345"/>
      <c r="C730" s="345"/>
      <c r="D730" s="345"/>
      <c r="E730" s="345"/>
      <c r="F730" s="345"/>
      <c r="G730" s="345"/>
      <c r="H730" s="903"/>
    </row>
    <row r="731">
      <c r="A731" s="203"/>
      <c r="B731" s="345"/>
      <c r="C731" s="345"/>
      <c r="D731" s="345"/>
      <c r="E731" s="345"/>
      <c r="F731" s="345"/>
      <c r="G731" s="345"/>
      <c r="H731" s="903"/>
    </row>
    <row r="732">
      <c r="A732" s="203"/>
      <c r="B732" s="345"/>
      <c r="C732" s="345"/>
      <c r="D732" s="345"/>
      <c r="E732" s="345"/>
      <c r="F732" s="345"/>
      <c r="G732" s="345"/>
      <c r="H732" s="903"/>
    </row>
    <row r="733">
      <c r="A733" s="203"/>
      <c r="B733" s="345"/>
      <c r="C733" s="345"/>
      <c r="D733" s="345"/>
      <c r="E733" s="345"/>
      <c r="F733" s="345"/>
      <c r="G733" s="345"/>
      <c r="H733" s="903"/>
    </row>
    <row r="734">
      <c r="A734" s="203"/>
      <c r="B734" s="345"/>
      <c r="C734" s="345"/>
      <c r="D734" s="345"/>
      <c r="E734" s="345"/>
      <c r="F734" s="345"/>
      <c r="G734" s="345"/>
      <c r="H734" s="903"/>
    </row>
    <row r="735">
      <c r="A735" s="203"/>
      <c r="B735" s="345"/>
      <c r="C735" s="345"/>
      <c r="D735" s="345"/>
      <c r="E735" s="345"/>
      <c r="F735" s="345"/>
      <c r="G735" s="345"/>
      <c r="H735" s="903"/>
    </row>
    <row r="736">
      <c r="A736" s="203"/>
      <c r="B736" s="345"/>
      <c r="C736" s="345"/>
      <c r="D736" s="345"/>
      <c r="E736" s="345"/>
      <c r="F736" s="345"/>
      <c r="G736" s="345"/>
      <c r="H736" s="903"/>
    </row>
    <row r="737">
      <c r="A737" s="203"/>
      <c r="B737" s="345"/>
      <c r="C737" s="345"/>
      <c r="D737" s="345"/>
      <c r="E737" s="345"/>
      <c r="F737" s="345"/>
      <c r="G737" s="345"/>
      <c r="H737" s="903"/>
    </row>
    <row r="738">
      <c r="A738" s="203"/>
      <c r="B738" s="345"/>
      <c r="C738" s="345"/>
      <c r="D738" s="345"/>
      <c r="E738" s="345"/>
      <c r="F738" s="345"/>
      <c r="G738" s="345"/>
      <c r="H738" s="903"/>
    </row>
    <row r="739">
      <c r="A739" s="203"/>
      <c r="B739" s="345"/>
      <c r="C739" s="345"/>
      <c r="D739" s="345"/>
      <c r="E739" s="345"/>
      <c r="F739" s="345"/>
      <c r="G739" s="345"/>
      <c r="H739" s="903"/>
    </row>
    <row r="740">
      <c r="A740" s="203"/>
      <c r="B740" s="345"/>
      <c r="C740" s="345"/>
      <c r="D740" s="345"/>
      <c r="E740" s="345"/>
      <c r="F740" s="345"/>
      <c r="G740" s="345"/>
      <c r="H740" s="903"/>
    </row>
    <row r="741">
      <c r="A741" s="203"/>
      <c r="B741" s="345"/>
      <c r="C741" s="345"/>
      <c r="D741" s="345"/>
      <c r="E741" s="345"/>
      <c r="F741" s="345"/>
      <c r="G741" s="345"/>
      <c r="H741" s="903"/>
    </row>
    <row r="742">
      <c r="A742" s="203"/>
      <c r="B742" s="345"/>
      <c r="C742" s="345"/>
      <c r="D742" s="345"/>
      <c r="E742" s="345"/>
      <c r="F742" s="345"/>
      <c r="G742" s="345"/>
      <c r="H742" s="903"/>
    </row>
    <row r="743">
      <c r="A743" s="203"/>
      <c r="B743" s="345"/>
      <c r="C743" s="345"/>
      <c r="D743" s="345"/>
      <c r="E743" s="345"/>
      <c r="F743" s="345"/>
      <c r="G743" s="345"/>
      <c r="H743" s="903"/>
    </row>
    <row r="744">
      <c r="A744" s="203"/>
      <c r="B744" s="345"/>
      <c r="C744" s="345"/>
      <c r="D744" s="345"/>
      <c r="E744" s="345"/>
      <c r="F744" s="345"/>
      <c r="G744" s="345"/>
      <c r="H744" s="903"/>
    </row>
    <row r="745">
      <c r="A745" s="203"/>
      <c r="B745" s="345"/>
      <c r="C745" s="345"/>
      <c r="D745" s="345"/>
      <c r="E745" s="345"/>
      <c r="F745" s="345"/>
      <c r="G745" s="345"/>
      <c r="H745" s="903"/>
    </row>
    <row r="746">
      <c r="A746" s="203"/>
      <c r="B746" s="345"/>
      <c r="C746" s="345"/>
      <c r="D746" s="345"/>
      <c r="E746" s="345"/>
      <c r="F746" s="345"/>
      <c r="G746" s="345"/>
      <c r="H746" s="903"/>
    </row>
    <row r="747">
      <c r="A747" s="203"/>
      <c r="B747" s="345"/>
      <c r="C747" s="345"/>
      <c r="D747" s="345"/>
      <c r="E747" s="345"/>
      <c r="F747" s="345"/>
      <c r="G747" s="345"/>
      <c r="H747" s="903"/>
    </row>
    <row r="748">
      <c r="A748" s="203"/>
      <c r="B748" s="345"/>
      <c r="C748" s="345"/>
      <c r="D748" s="345"/>
      <c r="E748" s="345"/>
      <c r="F748" s="345"/>
      <c r="G748" s="345"/>
      <c r="H748" s="903"/>
    </row>
    <row r="749">
      <c r="A749" s="203"/>
      <c r="B749" s="345"/>
      <c r="C749" s="345"/>
      <c r="D749" s="345"/>
      <c r="E749" s="345"/>
      <c r="F749" s="345"/>
      <c r="G749" s="345"/>
      <c r="H749" s="903"/>
    </row>
    <row r="750">
      <c r="A750" s="203"/>
      <c r="B750" s="345"/>
      <c r="C750" s="345"/>
      <c r="D750" s="345"/>
      <c r="E750" s="345"/>
      <c r="F750" s="345"/>
      <c r="G750" s="345"/>
      <c r="H750" s="903"/>
    </row>
    <row r="751">
      <c r="A751" s="203"/>
      <c r="B751" s="345"/>
      <c r="C751" s="345"/>
      <c r="D751" s="345"/>
      <c r="E751" s="345"/>
      <c r="F751" s="345"/>
      <c r="G751" s="345"/>
      <c r="H751" s="903"/>
    </row>
    <row r="752">
      <c r="A752" s="203"/>
      <c r="B752" s="345"/>
      <c r="C752" s="345"/>
      <c r="D752" s="345"/>
      <c r="E752" s="345"/>
      <c r="F752" s="345"/>
      <c r="G752" s="345"/>
      <c r="H752" s="903"/>
    </row>
    <row r="753">
      <c r="A753" s="203"/>
      <c r="B753" s="345"/>
      <c r="C753" s="345"/>
      <c r="D753" s="345"/>
      <c r="E753" s="345"/>
      <c r="F753" s="345"/>
      <c r="G753" s="345"/>
      <c r="H753" s="903"/>
    </row>
    <row r="754">
      <c r="A754" s="203"/>
      <c r="B754" s="345"/>
      <c r="C754" s="345"/>
      <c r="D754" s="345"/>
      <c r="E754" s="345"/>
      <c r="F754" s="345"/>
      <c r="G754" s="345"/>
      <c r="H754" s="903"/>
    </row>
    <row r="755">
      <c r="A755" s="203"/>
      <c r="B755" s="345"/>
      <c r="C755" s="345"/>
      <c r="D755" s="345"/>
      <c r="E755" s="345"/>
      <c r="F755" s="345"/>
      <c r="G755" s="345"/>
      <c r="H755" s="903"/>
    </row>
    <row r="756">
      <c r="A756" s="203"/>
      <c r="B756" s="345"/>
      <c r="C756" s="345"/>
      <c r="D756" s="345"/>
      <c r="E756" s="345"/>
      <c r="F756" s="345"/>
      <c r="G756" s="345"/>
      <c r="H756" s="903"/>
    </row>
    <row r="757">
      <c r="A757" s="203"/>
      <c r="B757" s="345"/>
      <c r="C757" s="345"/>
      <c r="D757" s="345"/>
      <c r="E757" s="345"/>
      <c r="F757" s="345"/>
      <c r="G757" s="345"/>
      <c r="H757" s="903"/>
    </row>
    <row r="758">
      <c r="A758" s="203"/>
      <c r="B758" s="345"/>
      <c r="C758" s="345"/>
      <c r="D758" s="345"/>
      <c r="E758" s="345"/>
      <c r="F758" s="345"/>
      <c r="G758" s="345"/>
      <c r="H758" s="903"/>
    </row>
    <row r="759">
      <c r="A759" s="203"/>
      <c r="B759" s="345"/>
      <c r="C759" s="345"/>
      <c r="D759" s="345"/>
      <c r="E759" s="345"/>
      <c r="F759" s="345"/>
      <c r="G759" s="345"/>
      <c r="H759" s="903"/>
    </row>
    <row r="760">
      <c r="A760" s="203"/>
      <c r="B760" s="345"/>
      <c r="C760" s="345"/>
      <c r="D760" s="345"/>
      <c r="E760" s="345"/>
      <c r="F760" s="345"/>
      <c r="G760" s="345"/>
      <c r="H760" s="903"/>
    </row>
    <row r="761">
      <c r="A761" s="203"/>
      <c r="B761" s="345"/>
      <c r="C761" s="345"/>
      <c r="D761" s="345"/>
      <c r="E761" s="345"/>
      <c r="F761" s="345"/>
      <c r="G761" s="345"/>
      <c r="H761" s="903"/>
    </row>
    <row r="762">
      <c r="A762" s="203"/>
      <c r="B762" s="345"/>
      <c r="C762" s="345"/>
      <c r="D762" s="345"/>
      <c r="E762" s="345"/>
      <c r="F762" s="345"/>
      <c r="G762" s="345"/>
      <c r="H762" s="903"/>
    </row>
    <row r="763">
      <c r="A763" s="203"/>
      <c r="B763" s="345"/>
      <c r="C763" s="345"/>
      <c r="D763" s="345"/>
      <c r="E763" s="345"/>
      <c r="F763" s="345"/>
      <c r="G763" s="345"/>
      <c r="H763" s="903"/>
    </row>
    <row r="764">
      <c r="A764" s="203"/>
      <c r="B764" s="345"/>
      <c r="C764" s="345"/>
      <c r="D764" s="345"/>
      <c r="E764" s="345"/>
      <c r="F764" s="345"/>
      <c r="G764" s="345"/>
      <c r="H764" s="903"/>
    </row>
    <row r="765">
      <c r="A765" s="203"/>
      <c r="B765" s="345"/>
      <c r="C765" s="345"/>
      <c r="D765" s="345"/>
      <c r="E765" s="345"/>
      <c r="F765" s="345"/>
      <c r="G765" s="345"/>
      <c r="H765" s="903"/>
    </row>
    <row r="766">
      <c r="A766" s="203"/>
      <c r="B766" s="345"/>
      <c r="C766" s="345"/>
      <c r="D766" s="345"/>
      <c r="E766" s="345"/>
      <c r="F766" s="345"/>
      <c r="G766" s="345"/>
      <c r="H766" s="903"/>
    </row>
    <row r="767">
      <c r="A767" s="203"/>
      <c r="B767" s="345"/>
      <c r="C767" s="345"/>
      <c r="D767" s="345"/>
      <c r="E767" s="345"/>
      <c r="F767" s="345"/>
      <c r="G767" s="345"/>
      <c r="H767" s="903"/>
    </row>
    <row r="768">
      <c r="A768" s="203"/>
      <c r="B768" s="345"/>
      <c r="C768" s="345"/>
      <c r="D768" s="345"/>
      <c r="E768" s="345"/>
      <c r="F768" s="345"/>
      <c r="G768" s="345"/>
      <c r="H768" s="903"/>
    </row>
    <row r="769">
      <c r="A769" s="203"/>
      <c r="B769" s="345"/>
      <c r="C769" s="345"/>
      <c r="D769" s="345"/>
      <c r="E769" s="345"/>
      <c r="F769" s="345"/>
      <c r="G769" s="345"/>
      <c r="H769" s="903"/>
    </row>
    <row r="770">
      <c r="A770" s="203"/>
      <c r="B770" s="345"/>
      <c r="C770" s="345"/>
      <c r="D770" s="345"/>
      <c r="E770" s="345"/>
      <c r="F770" s="345"/>
      <c r="G770" s="345"/>
      <c r="H770" s="903"/>
    </row>
    <row r="771">
      <c r="A771" s="203"/>
      <c r="B771" s="345"/>
      <c r="C771" s="345"/>
      <c r="D771" s="345"/>
      <c r="E771" s="345"/>
      <c r="F771" s="345"/>
      <c r="G771" s="345"/>
      <c r="H771" s="903"/>
    </row>
    <row r="772">
      <c r="A772" s="203"/>
      <c r="B772" s="345"/>
      <c r="C772" s="345"/>
      <c r="D772" s="345"/>
      <c r="E772" s="345"/>
      <c r="F772" s="345"/>
      <c r="G772" s="345"/>
      <c r="H772" s="903"/>
    </row>
    <row r="773">
      <c r="A773" s="203"/>
      <c r="B773" s="345"/>
      <c r="C773" s="345"/>
      <c r="D773" s="345"/>
      <c r="E773" s="345"/>
      <c r="F773" s="345"/>
      <c r="G773" s="345"/>
      <c r="H773" s="903"/>
    </row>
    <row r="774">
      <c r="A774" s="203"/>
      <c r="B774" s="345"/>
      <c r="C774" s="345"/>
      <c r="D774" s="345"/>
      <c r="E774" s="345"/>
      <c r="F774" s="345"/>
      <c r="G774" s="345"/>
      <c r="H774" s="903"/>
    </row>
    <row r="775">
      <c r="A775" s="203"/>
      <c r="B775" s="345"/>
      <c r="C775" s="345"/>
      <c r="D775" s="345"/>
      <c r="E775" s="345"/>
      <c r="F775" s="345"/>
      <c r="G775" s="345"/>
      <c r="H775" s="903"/>
    </row>
    <row r="776">
      <c r="A776" s="203"/>
      <c r="B776" s="345"/>
      <c r="C776" s="345"/>
      <c r="D776" s="345"/>
      <c r="E776" s="345"/>
      <c r="F776" s="345"/>
      <c r="G776" s="345"/>
      <c r="H776" s="903"/>
    </row>
    <row r="777">
      <c r="A777" s="203"/>
      <c r="B777" s="345"/>
      <c r="C777" s="345"/>
      <c r="D777" s="345"/>
      <c r="E777" s="345"/>
      <c r="F777" s="345"/>
      <c r="G777" s="345"/>
      <c r="H777" s="903"/>
    </row>
    <row r="778">
      <c r="A778" s="203"/>
      <c r="B778" s="345"/>
      <c r="C778" s="345"/>
      <c r="D778" s="345"/>
      <c r="E778" s="345"/>
      <c r="F778" s="345"/>
      <c r="G778" s="345"/>
      <c r="H778" s="903"/>
    </row>
    <row r="779">
      <c r="A779" s="203"/>
      <c r="B779" s="345"/>
      <c r="C779" s="345"/>
      <c r="D779" s="345"/>
      <c r="E779" s="345"/>
      <c r="F779" s="345"/>
      <c r="G779" s="345"/>
      <c r="H779" s="903"/>
    </row>
    <row r="780">
      <c r="A780" s="203"/>
      <c r="B780" s="345"/>
      <c r="C780" s="345"/>
      <c r="D780" s="345"/>
      <c r="E780" s="345"/>
      <c r="F780" s="345"/>
      <c r="G780" s="345"/>
      <c r="H780" s="903"/>
    </row>
    <row r="781">
      <c r="A781" s="203"/>
      <c r="B781" s="345"/>
      <c r="C781" s="345"/>
      <c r="D781" s="345"/>
      <c r="E781" s="345"/>
      <c r="F781" s="345"/>
      <c r="G781" s="345"/>
      <c r="H781" s="903"/>
    </row>
    <row r="782">
      <c r="A782" s="203"/>
      <c r="B782" s="345"/>
      <c r="C782" s="345"/>
      <c r="D782" s="345"/>
      <c r="E782" s="345"/>
      <c r="F782" s="345"/>
      <c r="G782" s="345"/>
      <c r="H782" s="903"/>
    </row>
    <row r="783">
      <c r="A783" s="203"/>
      <c r="B783" s="345"/>
      <c r="C783" s="345"/>
      <c r="D783" s="345"/>
      <c r="E783" s="345"/>
      <c r="F783" s="345"/>
      <c r="G783" s="345"/>
      <c r="H783" s="903"/>
    </row>
    <row r="784">
      <c r="A784" s="203"/>
      <c r="B784" s="345"/>
      <c r="C784" s="345"/>
      <c r="D784" s="345"/>
      <c r="E784" s="345"/>
      <c r="F784" s="345"/>
      <c r="G784" s="345"/>
      <c r="H784" s="903"/>
    </row>
    <row r="785">
      <c r="A785" s="203"/>
      <c r="B785" s="345"/>
      <c r="C785" s="345"/>
      <c r="D785" s="345"/>
      <c r="E785" s="345"/>
      <c r="F785" s="345"/>
      <c r="G785" s="345"/>
      <c r="H785" s="903"/>
    </row>
    <row r="786">
      <c r="A786" s="203"/>
      <c r="B786" s="345"/>
      <c r="C786" s="345"/>
      <c r="D786" s="345"/>
      <c r="E786" s="345"/>
      <c r="F786" s="345"/>
      <c r="G786" s="345"/>
      <c r="H786" s="903"/>
    </row>
    <row r="787">
      <c r="A787" s="203"/>
      <c r="B787" s="345"/>
      <c r="C787" s="345"/>
      <c r="D787" s="345"/>
      <c r="E787" s="345"/>
      <c r="F787" s="345"/>
      <c r="G787" s="345"/>
      <c r="H787" s="903"/>
    </row>
    <row r="788">
      <c r="A788" s="203"/>
      <c r="B788" s="345"/>
      <c r="C788" s="345"/>
      <c r="D788" s="345"/>
      <c r="E788" s="345"/>
      <c r="F788" s="345"/>
      <c r="G788" s="345"/>
      <c r="H788" s="903"/>
    </row>
    <row r="789">
      <c r="A789" s="203"/>
      <c r="B789" s="345"/>
      <c r="C789" s="345"/>
      <c r="D789" s="345"/>
      <c r="E789" s="345"/>
      <c r="F789" s="345"/>
      <c r="G789" s="345"/>
      <c r="H789" s="903"/>
    </row>
    <row r="790">
      <c r="A790" s="203"/>
      <c r="B790" s="345"/>
      <c r="C790" s="345"/>
      <c r="D790" s="345"/>
      <c r="E790" s="345"/>
      <c r="F790" s="345"/>
      <c r="G790" s="345"/>
      <c r="H790" s="903"/>
    </row>
    <row r="791">
      <c r="A791" s="203"/>
      <c r="B791" s="345"/>
      <c r="C791" s="345"/>
      <c r="D791" s="345"/>
      <c r="E791" s="345"/>
      <c r="F791" s="345"/>
      <c r="G791" s="345"/>
      <c r="H791" s="903"/>
    </row>
    <row r="792">
      <c r="A792" s="203"/>
      <c r="B792" s="345"/>
      <c r="C792" s="345"/>
      <c r="D792" s="345"/>
      <c r="E792" s="345"/>
      <c r="F792" s="345"/>
      <c r="G792" s="345"/>
      <c r="H792" s="903"/>
    </row>
    <row r="793">
      <c r="A793" s="203"/>
      <c r="B793" s="345"/>
      <c r="C793" s="345"/>
      <c r="D793" s="345"/>
      <c r="E793" s="345"/>
      <c r="F793" s="345"/>
      <c r="G793" s="345"/>
      <c r="H793" s="903"/>
    </row>
    <row r="794">
      <c r="A794" s="203"/>
      <c r="B794" s="345"/>
      <c r="C794" s="345"/>
      <c r="D794" s="345"/>
      <c r="E794" s="345"/>
      <c r="F794" s="345"/>
      <c r="G794" s="345"/>
      <c r="H794" s="903"/>
    </row>
    <row r="795">
      <c r="A795" s="203"/>
      <c r="B795" s="345"/>
      <c r="C795" s="345"/>
      <c r="D795" s="345"/>
      <c r="E795" s="345"/>
      <c r="F795" s="345"/>
      <c r="G795" s="345"/>
      <c r="H795" s="903"/>
    </row>
    <row r="796">
      <c r="A796" s="203"/>
      <c r="B796" s="345"/>
      <c r="C796" s="345"/>
      <c r="D796" s="345"/>
      <c r="E796" s="345"/>
      <c r="F796" s="345"/>
      <c r="G796" s="345"/>
      <c r="H796" s="903"/>
    </row>
    <row r="797">
      <c r="A797" s="203"/>
      <c r="B797" s="345"/>
      <c r="C797" s="345"/>
      <c r="D797" s="345"/>
      <c r="E797" s="345"/>
      <c r="F797" s="345"/>
      <c r="G797" s="345"/>
      <c r="H797" s="903"/>
    </row>
    <row r="798">
      <c r="A798" s="203"/>
      <c r="B798" s="345"/>
      <c r="C798" s="345"/>
      <c r="D798" s="345"/>
      <c r="E798" s="345"/>
      <c r="F798" s="345"/>
      <c r="G798" s="345"/>
      <c r="H798" s="903"/>
    </row>
    <row r="799">
      <c r="A799" s="203"/>
      <c r="B799" s="345"/>
      <c r="C799" s="345"/>
      <c r="D799" s="345"/>
      <c r="E799" s="345"/>
      <c r="F799" s="345"/>
      <c r="G799" s="345"/>
      <c r="H799" s="903"/>
    </row>
    <row r="800">
      <c r="A800" s="203"/>
      <c r="B800" s="345"/>
      <c r="C800" s="345"/>
      <c r="D800" s="345"/>
      <c r="E800" s="345"/>
      <c r="F800" s="345"/>
      <c r="G800" s="345"/>
      <c r="H800" s="903"/>
    </row>
    <row r="801">
      <c r="A801" s="203"/>
      <c r="B801" s="345"/>
      <c r="C801" s="345"/>
      <c r="D801" s="345"/>
      <c r="E801" s="345"/>
      <c r="F801" s="345"/>
      <c r="G801" s="345"/>
      <c r="H801" s="903"/>
    </row>
    <row r="802">
      <c r="A802" s="203"/>
      <c r="B802" s="345"/>
      <c r="C802" s="345"/>
      <c r="D802" s="345"/>
      <c r="E802" s="345"/>
      <c r="F802" s="345"/>
      <c r="G802" s="345"/>
      <c r="H802" s="903"/>
    </row>
    <row r="803">
      <c r="A803" s="203"/>
      <c r="B803" s="345"/>
      <c r="C803" s="345"/>
      <c r="D803" s="345"/>
      <c r="E803" s="345"/>
      <c r="F803" s="345"/>
      <c r="G803" s="345"/>
      <c r="H803" s="903"/>
    </row>
    <row r="804">
      <c r="A804" s="203"/>
      <c r="B804" s="345"/>
      <c r="C804" s="345"/>
      <c r="D804" s="345"/>
      <c r="E804" s="345"/>
      <c r="F804" s="345"/>
      <c r="G804" s="345"/>
      <c r="H804" s="903"/>
    </row>
    <row r="805">
      <c r="A805" s="203"/>
      <c r="B805" s="345"/>
      <c r="C805" s="345"/>
      <c r="D805" s="345"/>
      <c r="E805" s="345"/>
      <c r="F805" s="345"/>
      <c r="G805" s="345"/>
      <c r="H805" s="903"/>
    </row>
    <row r="806">
      <c r="A806" s="203"/>
      <c r="B806" s="345"/>
      <c r="C806" s="345"/>
      <c r="D806" s="345"/>
      <c r="E806" s="345"/>
      <c r="F806" s="345"/>
      <c r="G806" s="345"/>
      <c r="H806" s="903"/>
    </row>
    <row r="807">
      <c r="A807" s="203"/>
      <c r="B807" s="345"/>
      <c r="C807" s="345"/>
      <c r="D807" s="345"/>
      <c r="E807" s="345"/>
      <c r="F807" s="345"/>
      <c r="G807" s="345"/>
      <c r="H807" s="903"/>
    </row>
    <row r="808">
      <c r="A808" s="203"/>
      <c r="B808" s="345"/>
      <c r="C808" s="345"/>
      <c r="D808" s="345"/>
      <c r="E808" s="345"/>
      <c r="F808" s="345"/>
      <c r="G808" s="345"/>
      <c r="H808" s="903"/>
    </row>
    <row r="809">
      <c r="A809" s="203"/>
      <c r="B809" s="345"/>
      <c r="C809" s="345"/>
      <c r="D809" s="345"/>
      <c r="E809" s="345"/>
      <c r="F809" s="345"/>
      <c r="G809" s="345"/>
      <c r="H809" s="903"/>
    </row>
    <row r="810">
      <c r="A810" s="203"/>
      <c r="B810" s="345"/>
      <c r="C810" s="345"/>
      <c r="D810" s="345"/>
      <c r="E810" s="345"/>
      <c r="F810" s="345"/>
      <c r="G810" s="345"/>
      <c r="H810" s="903"/>
    </row>
    <row r="811">
      <c r="A811" s="203"/>
      <c r="B811" s="345"/>
      <c r="C811" s="345"/>
      <c r="D811" s="345"/>
      <c r="E811" s="345"/>
      <c r="F811" s="345"/>
      <c r="G811" s="345"/>
      <c r="H811" s="903"/>
    </row>
    <row r="812">
      <c r="A812" s="203"/>
      <c r="B812" s="345"/>
      <c r="C812" s="345"/>
      <c r="D812" s="345"/>
      <c r="E812" s="345"/>
      <c r="F812" s="345"/>
      <c r="G812" s="345"/>
      <c r="H812" s="903"/>
    </row>
    <row r="813">
      <c r="A813" s="203"/>
      <c r="B813" s="345"/>
      <c r="C813" s="345"/>
      <c r="D813" s="345"/>
      <c r="E813" s="345"/>
      <c r="F813" s="345"/>
      <c r="G813" s="345"/>
      <c r="H813" s="903"/>
    </row>
    <row r="814">
      <c r="A814" s="203"/>
      <c r="B814" s="345"/>
      <c r="C814" s="345"/>
      <c r="D814" s="345"/>
      <c r="E814" s="345"/>
      <c r="F814" s="345"/>
      <c r="G814" s="345"/>
      <c r="H814" s="903"/>
    </row>
    <row r="815">
      <c r="A815" s="203"/>
      <c r="B815" s="345"/>
      <c r="C815" s="345"/>
      <c r="D815" s="345"/>
      <c r="E815" s="345"/>
      <c r="F815" s="345"/>
      <c r="G815" s="345"/>
      <c r="H815" s="903"/>
    </row>
    <row r="816">
      <c r="A816" s="203"/>
      <c r="B816" s="345"/>
      <c r="C816" s="345"/>
      <c r="D816" s="345"/>
      <c r="E816" s="345"/>
      <c r="F816" s="345"/>
      <c r="G816" s="345"/>
      <c r="H816" s="903"/>
    </row>
    <row r="817">
      <c r="A817" s="203"/>
      <c r="B817" s="345"/>
      <c r="C817" s="345"/>
      <c r="D817" s="345"/>
      <c r="E817" s="345"/>
      <c r="F817" s="345"/>
      <c r="G817" s="345"/>
      <c r="H817" s="903"/>
    </row>
    <row r="818">
      <c r="A818" s="203"/>
      <c r="B818" s="345"/>
      <c r="C818" s="345"/>
      <c r="D818" s="345"/>
      <c r="E818" s="345"/>
      <c r="F818" s="345"/>
      <c r="G818" s="345"/>
      <c r="H818" s="903"/>
    </row>
    <row r="819">
      <c r="A819" s="203"/>
      <c r="B819" s="345"/>
      <c r="C819" s="345"/>
      <c r="D819" s="345"/>
      <c r="E819" s="345"/>
      <c r="F819" s="345"/>
      <c r="G819" s="345"/>
      <c r="H819" s="903"/>
    </row>
    <row r="820">
      <c r="A820" s="203"/>
      <c r="B820" s="345"/>
      <c r="C820" s="345"/>
      <c r="D820" s="345"/>
      <c r="E820" s="345"/>
      <c r="F820" s="345"/>
      <c r="G820" s="345"/>
      <c r="H820" s="903"/>
    </row>
    <row r="821">
      <c r="A821" s="203"/>
      <c r="B821" s="345"/>
      <c r="C821" s="345"/>
      <c r="D821" s="345"/>
      <c r="E821" s="345"/>
      <c r="F821" s="345"/>
      <c r="G821" s="345"/>
      <c r="H821" s="903"/>
    </row>
    <row r="822">
      <c r="A822" s="203"/>
      <c r="B822" s="345"/>
      <c r="C822" s="345"/>
      <c r="D822" s="345"/>
      <c r="E822" s="345"/>
      <c r="F822" s="345"/>
      <c r="G822" s="345"/>
      <c r="H822" s="903"/>
    </row>
    <row r="823">
      <c r="A823" s="203"/>
      <c r="B823" s="345"/>
      <c r="C823" s="345"/>
      <c r="D823" s="345"/>
      <c r="E823" s="345"/>
      <c r="F823" s="345"/>
      <c r="G823" s="345"/>
      <c r="H823" s="903"/>
    </row>
    <row r="824">
      <c r="A824" s="203"/>
      <c r="B824" s="345"/>
      <c r="C824" s="345"/>
      <c r="D824" s="345"/>
      <c r="E824" s="345"/>
      <c r="F824" s="345"/>
      <c r="G824" s="345"/>
      <c r="H824" s="903"/>
    </row>
    <row r="825">
      <c r="A825" s="203"/>
      <c r="B825" s="345"/>
      <c r="C825" s="345"/>
      <c r="D825" s="345"/>
      <c r="E825" s="345"/>
      <c r="F825" s="345"/>
      <c r="G825" s="345"/>
      <c r="H825" s="903"/>
    </row>
    <row r="826">
      <c r="A826" s="203"/>
      <c r="B826" s="345"/>
      <c r="C826" s="345"/>
      <c r="D826" s="345"/>
      <c r="E826" s="345"/>
      <c r="F826" s="345"/>
      <c r="G826" s="345"/>
      <c r="H826" s="903"/>
    </row>
    <row r="827">
      <c r="A827" s="203"/>
      <c r="B827" s="345"/>
      <c r="C827" s="345"/>
      <c r="D827" s="345"/>
      <c r="E827" s="345"/>
      <c r="F827" s="345"/>
      <c r="G827" s="345"/>
      <c r="H827" s="903"/>
    </row>
    <row r="828">
      <c r="A828" s="203"/>
      <c r="B828" s="345"/>
      <c r="C828" s="345"/>
      <c r="D828" s="345"/>
      <c r="E828" s="345"/>
      <c r="F828" s="345"/>
      <c r="G828" s="345"/>
      <c r="H828" s="903"/>
    </row>
    <row r="829">
      <c r="A829" s="203"/>
      <c r="B829" s="345"/>
      <c r="C829" s="345"/>
      <c r="D829" s="345"/>
      <c r="E829" s="345"/>
      <c r="F829" s="345"/>
      <c r="G829" s="345"/>
      <c r="H829" s="903"/>
    </row>
    <row r="830">
      <c r="A830" s="203"/>
      <c r="B830" s="345"/>
      <c r="C830" s="345"/>
      <c r="D830" s="345"/>
      <c r="E830" s="345"/>
      <c r="F830" s="345"/>
      <c r="G830" s="345"/>
      <c r="H830" s="903"/>
    </row>
    <row r="831">
      <c r="A831" s="203"/>
      <c r="B831" s="345"/>
      <c r="C831" s="345"/>
      <c r="D831" s="345"/>
      <c r="E831" s="345"/>
      <c r="F831" s="345"/>
      <c r="G831" s="345"/>
      <c r="H831" s="903"/>
    </row>
    <row r="832">
      <c r="A832" s="203"/>
      <c r="B832" s="345"/>
      <c r="C832" s="345"/>
      <c r="D832" s="345"/>
      <c r="E832" s="345"/>
      <c r="F832" s="345"/>
      <c r="G832" s="345"/>
      <c r="H832" s="903"/>
    </row>
    <row r="833">
      <c r="A833" s="203"/>
      <c r="B833" s="345"/>
      <c r="C833" s="345"/>
      <c r="D833" s="345"/>
      <c r="E833" s="345"/>
      <c r="F833" s="345"/>
      <c r="G833" s="345"/>
      <c r="H833" s="903"/>
    </row>
    <row r="834">
      <c r="A834" s="203"/>
      <c r="B834" s="345"/>
      <c r="C834" s="345"/>
      <c r="D834" s="345"/>
      <c r="E834" s="345"/>
      <c r="F834" s="345"/>
      <c r="G834" s="345"/>
      <c r="H834" s="903"/>
    </row>
    <row r="835">
      <c r="A835" s="203"/>
      <c r="B835" s="345"/>
      <c r="C835" s="345"/>
      <c r="D835" s="345"/>
      <c r="E835" s="345"/>
      <c r="F835" s="345"/>
      <c r="G835" s="345"/>
      <c r="H835" s="903"/>
    </row>
    <row r="836">
      <c r="A836" s="203"/>
      <c r="B836" s="345"/>
      <c r="C836" s="345"/>
      <c r="D836" s="345"/>
      <c r="E836" s="345"/>
      <c r="F836" s="345"/>
      <c r="G836" s="345"/>
      <c r="H836" s="903"/>
    </row>
    <row r="837">
      <c r="A837" s="203"/>
      <c r="B837" s="345"/>
      <c r="C837" s="345"/>
      <c r="D837" s="345"/>
      <c r="E837" s="345"/>
      <c r="F837" s="345"/>
      <c r="G837" s="345"/>
      <c r="H837" s="903"/>
    </row>
    <row r="838">
      <c r="A838" s="203"/>
      <c r="B838" s="345"/>
      <c r="C838" s="345"/>
      <c r="D838" s="345"/>
      <c r="E838" s="345"/>
      <c r="F838" s="345"/>
      <c r="G838" s="345"/>
      <c r="H838" s="903"/>
    </row>
    <row r="839">
      <c r="A839" s="203"/>
      <c r="B839" s="345"/>
      <c r="C839" s="345"/>
      <c r="D839" s="345"/>
      <c r="E839" s="345"/>
      <c r="F839" s="345"/>
      <c r="G839" s="345"/>
      <c r="H839" s="903"/>
    </row>
    <row r="840">
      <c r="A840" s="203"/>
      <c r="B840" s="345"/>
      <c r="C840" s="345"/>
      <c r="D840" s="345"/>
      <c r="E840" s="345"/>
      <c r="F840" s="345"/>
      <c r="G840" s="345"/>
      <c r="H840" s="903"/>
    </row>
    <row r="841">
      <c r="A841" s="203"/>
      <c r="B841" s="345"/>
      <c r="C841" s="345"/>
      <c r="D841" s="345"/>
      <c r="E841" s="345"/>
      <c r="F841" s="345"/>
      <c r="G841" s="345"/>
      <c r="H841" s="903"/>
    </row>
    <row r="842">
      <c r="A842" s="203"/>
      <c r="B842" s="345"/>
      <c r="C842" s="345"/>
      <c r="D842" s="345"/>
      <c r="E842" s="345"/>
      <c r="F842" s="345"/>
      <c r="G842" s="345"/>
      <c r="H842" s="903"/>
    </row>
    <row r="843">
      <c r="A843" s="203"/>
      <c r="B843" s="345"/>
      <c r="C843" s="345"/>
      <c r="D843" s="345"/>
      <c r="E843" s="345"/>
      <c r="F843" s="345"/>
      <c r="G843" s="345"/>
      <c r="H843" s="903"/>
    </row>
    <row r="844">
      <c r="A844" s="203"/>
      <c r="B844" s="345"/>
      <c r="C844" s="345"/>
      <c r="D844" s="345"/>
      <c r="E844" s="345"/>
      <c r="F844" s="345"/>
      <c r="G844" s="345"/>
      <c r="H844" s="903"/>
    </row>
    <row r="845">
      <c r="A845" s="203"/>
      <c r="B845" s="345"/>
      <c r="C845" s="345"/>
      <c r="D845" s="345"/>
      <c r="E845" s="345"/>
      <c r="F845" s="345"/>
      <c r="G845" s="345"/>
      <c r="H845" s="903"/>
    </row>
    <row r="846">
      <c r="A846" s="203"/>
      <c r="B846" s="345"/>
      <c r="C846" s="345"/>
      <c r="D846" s="345"/>
      <c r="E846" s="345"/>
      <c r="F846" s="345"/>
      <c r="G846" s="345"/>
      <c r="H846" s="903"/>
    </row>
    <row r="847">
      <c r="A847" s="203"/>
      <c r="B847" s="345"/>
      <c r="C847" s="345"/>
      <c r="D847" s="345"/>
      <c r="E847" s="345"/>
      <c r="F847" s="345"/>
      <c r="G847" s="345"/>
      <c r="H847" s="903"/>
    </row>
    <row r="848">
      <c r="A848" s="203"/>
      <c r="B848" s="345"/>
      <c r="C848" s="345"/>
      <c r="D848" s="345"/>
      <c r="E848" s="345"/>
      <c r="F848" s="345"/>
      <c r="G848" s="345"/>
      <c r="H848" s="903"/>
    </row>
    <row r="849">
      <c r="A849" s="203"/>
      <c r="B849" s="345"/>
      <c r="C849" s="345"/>
      <c r="D849" s="345"/>
      <c r="E849" s="345"/>
      <c r="F849" s="345"/>
      <c r="G849" s="345"/>
      <c r="H849" s="903"/>
    </row>
    <row r="850">
      <c r="A850" s="203"/>
      <c r="B850" s="345"/>
      <c r="C850" s="345"/>
      <c r="D850" s="345"/>
      <c r="E850" s="345"/>
      <c r="F850" s="345"/>
      <c r="G850" s="345"/>
      <c r="H850" s="903"/>
    </row>
    <row r="851">
      <c r="A851" s="203"/>
      <c r="B851" s="345"/>
      <c r="C851" s="345"/>
      <c r="D851" s="345"/>
      <c r="E851" s="345"/>
      <c r="F851" s="345"/>
      <c r="G851" s="345"/>
      <c r="H851" s="903"/>
    </row>
    <row r="852">
      <c r="A852" s="203"/>
      <c r="B852" s="345"/>
      <c r="C852" s="345"/>
      <c r="D852" s="345"/>
      <c r="E852" s="345"/>
      <c r="F852" s="345"/>
      <c r="G852" s="345"/>
      <c r="H852" s="903"/>
    </row>
    <row r="853">
      <c r="A853" s="203"/>
      <c r="B853" s="345"/>
      <c r="C853" s="345"/>
      <c r="D853" s="345"/>
      <c r="E853" s="345"/>
      <c r="F853" s="345"/>
      <c r="G853" s="345"/>
      <c r="H853" s="903"/>
    </row>
    <row r="854">
      <c r="A854" s="203"/>
      <c r="B854" s="345"/>
      <c r="C854" s="345"/>
      <c r="D854" s="345"/>
      <c r="E854" s="345"/>
      <c r="F854" s="345"/>
      <c r="G854" s="345"/>
      <c r="H854" s="903"/>
    </row>
    <row r="855">
      <c r="A855" s="203"/>
      <c r="B855" s="345"/>
      <c r="C855" s="345"/>
      <c r="D855" s="345"/>
      <c r="E855" s="345"/>
      <c r="F855" s="345"/>
      <c r="G855" s="345"/>
      <c r="H855" s="903"/>
    </row>
    <row r="856">
      <c r="A856" s="203"/>
      <c r="B856" s="345"/>
      <c r="C856" s="345"/>
      <c r="D856" s="345"/>
      <c r="E856" s="345"/>
      <c r="F856" s="345"/>
      <c r="G856" s="345"/>
      <c r="H856" s="903"/>
    </row>
    <row r="857">
      <c r="A857" s="203"/>
      <c r="B857" s="345"/>
      <c r="C857" s="345"/>
      <c r="D857" s="345"/>
      <c r="E857" s="345"/>
      <c r="F857" s="345"/>
      <c r="G857" s="345"/>
      <c r="H857" s="903"/>
    </row>
    <row r="858">
      <c r="A858" s="203"/>
      <c r="B858" s="345"/>
      <c r="C858" s="345"/>
      <c r="D858" s="345"/>
      <c r="E858" s="345"/>
      <c r="F858" s="345"/>
      <c r="G858" s="345"/>
      <c r="H858" s="903"/>
    </row>
    <row r="859">
      <c r="A859" s="203"/>
      <c r="B859" s="345"/>
      <c r="C859" s="345"/>
      <c r="D859" s="345"/>
      <c r="E859" s="345"/>
      <c r="F859" s="345"/>
      <c r="G859" s="345"/>
      <c r="H859" s="903"/>
    </row>
    <row r="860">
      <c r="A860" s="203"/>
      <c r="B860" s="345"/>
      <c r="C860" s="345"/>
      <c r="D860" s="345"/>
      <c r="E860" s="345"/>
      <c r="F860" s="345"/>
      <c r="G860" s="345"/>
      <c r="H860" s="903"/>
    </row>
    <row r="861">
      <c r="A861" s="203"/>
      <c r="B861" s="345"/>
      <c r="C861" s="345"/>
      <c r="D861" s="345"/>
      <c r="E861" s="345"/>
      <c r="F861" s="345"/>
      <c r="G861" s="345"/>
      <c r="H861" s="903"/>
    </row>
    <row r="862">
      <c r="A862" s="203"/>
      <c r="B862" s="345"/>
      <c r="C862" s="345"/>
      <c r="D862" s="345"/>
      <c r="E862" s="345"/>
      <c r="F862" s="345"/>
      <c r="G862" s="345"/>
      <c r="H862" s="903"/>
    </row>
    <row r="863">
      <c r="A863" s="203"/>
      <c r="B863" s="345"/>
      <c r="C863" s="345"/>
      <c r="D863" s="345"/>
      <c r="E863" s="345"/>
      <c r="F863" s="345"/>
      <c r="G863" s="345"/>
      <c r="H863" s="903"/>
    </row>
    <row r="864">
      <c r="A864" s="203"/>
      <c r="B864" s="345"/>
      <c r="C864" s="345"/>
      <c r="D864" s="345"/>
      <c r="E864" s="345"/>
      <c r="F864" s="345"/>
      <c r="G864" s="345"/>
      <c r="H864" s="903"/>
    </row>
    <row r="865">
      <c r="A865" s="203"/>
      <c r="B865" s="345"/>
      <c r="C865" s="345"/>
      <c r="D865" s="345"/>
      <c r="E865" s="345"/>
      <c r="F865" s="345"/>
      <c r="G865" s="345"/>
      <c r="H865" s="903"/>
    </row>
    <row r="866">
      <c r="A866" s="203"/>
      <c r="B866" s="345"/>
      <c r="C866" s="345"/>
      <c r="D866" s="345"/>
      <c r="E866" s="345"/>
      <c r="F866" s="345"/>
      <c r="G866" s="345"/>
      <c r="H866" s="903"/>
    </row>
    <row r="867">
      <c r="A867" s="203"/>
      <c r="B867" s="345"/>
      <c r="C867" s="345"/>
      <c r="D867" s="345"/>
      <c r="E867" s="345"/>
      <c r="F867" s="345"/>
      <c r="G867" s="345"/>
      <c r="H867" s="903"/>
    </row>
    <row r="868">
      <c r="A868" s="203"/>
      <c r="B868" s="345"/>
      <c r="C868" s="345"/>
      <c r="D868" s="345"/>
      <c r="E868" s="345"/>
      <c r="F868" s="345"/>
      <c r="G868" s="345"/>
      <c r="H868" s="903"/>
    </row>
    <row r="869">
      <c r="A869" s="203"/>
      <c r="B869" s="345"/>
      <c r="C869" s="345"/>
      <c r="D869" s="345"/>
      <c r="E869" s="345"/>
      <c r="F869" s="345"/>
      <c r="G869" s="345"/>
      <c r="H869" s="903"/>
    </row>
    <row r="870">
      <c r="A870" s="203"/>
      <c r="B870" s="345"/>
      <c r="C870" s="345"/>
      <c r="D870" s="345"/>
      <c r="E870" s="345"/>
      <c r="F870" s="345"/>
      <c r="G870" s="345"/>
      <c r="H870" s="903"/>
    </row>
    <row r="871">
      <c r="A871" s="203"/>
      <c r="B871" s="345"/>
      <c r="C871" s="345"/>
      <c r="D871" s="345"/>
      <c r="E871" s="345"/>
      <c r="F871" s="345"/>
      <c r="G871" s="345"/>
      <c r="H871" s="903"/>
    </row>
    <row r="872">
      <c r="A872" s="203"/>
      <c r="B872" s="345"/>
      <c r="C872" s="345"/>
      <c r="D872" s="345"/>
      <c r="E872" s="345"/>
      <c r="F872" s="345"/>
      <c r="G872" s="345"/>
      <c r="H872" s="903"/>
    </row>
    <row r="873">
      <c r="A873" s="203"/>
      <c r="B873" s="345"/>
      <c r="C873" s="345"/>
      <c r="D873" s="345"/>
      <c r="E873" s="345"/>
      <c r="F873" s="345"/>
      <c r="G873" s="345"/>
      <c r="H873" s="903"/>
    </row>
    <row r="874">
      <c r="A874" s="203"/>
      <c r="B874" s="345"/>
      <c r="C874" s="345"/>
      <c r="D874" s="345"/>
      <c r="E874" s="345"/>
      <c r="F874" s="345"/>
      <c r="G874" s="345"/>
      <c r="H874" s="903"/>
    </row>
    <row r="875">
      <c r="A875" s="203"/>
      <c r="B875" s="345"/>
      <c r="C875" s="345"/>
      <c r="D875" s="345"/>
      <c r="E875" s="345"/>
      <c r="F875" s="345"/>
      <c r="G875" s="345"/>
      <c r="H875" s="903"/>
    </row>
    <row r="876">
      <c r="A876" s="203"/>
      <c r="B876" s="345"/>
      <c r="C876" s="345"/>
      <c r="D876" s="345"/>
      <c r="E876" s="345"/>
      <c r="F876" s="345"/>
      <c r="G876" s="345"/>
      <c r="H876" s="903"/>
    </row>
    <row r="877">
      <c r="A877" s="203"/>
      <c r="B877" s="345"/>
      <c r="C877" s="345"/>
      <c r="D877" s="345"/>
      <c r="E877" s="345"/>
      <c r="F877" s="345"/>
      <c r="G877" s="345"/>
      <c r="H877" s="903"/>
    </row>
    <row r="878">
      <c r="A878" s="203"/>
      <c r="B878" s="345"/>
      <c r="C878" s="345"/>
      <c r="D878" s="345"/>
      <c r="E878" s="345"/>
      <c r="F878" s="345"/>
      <c r="G878" s="345"/>
      <c r="H878" s="903"/>
    </row>
    <row r="879">
      <c r="A879" s="203"/>
      <c r="B879" s="345"/>
      <c r="C879" s="345"/>
      <c r="D879" s="345"/>
      <c r="E879" s="345"/>
      <c r="F879" s="345"/>
      <c r="G879" s="345"/>
      <c r="H879" s="903"/>
    </row>
    <row r="880">
      <c r="A880" s="203"/>
      <c r="B880" s="345"/>
      <c r="C880" s="345"/>
      <c r="D880" s="345"/>
      <c r="E880" s="345"/>
      <c r="F880" s="345"/>
      <c r="G880" s="345"/>
      <c r="H880" s="903"/>
    </row>
    <row r="881">
      <c r="A881" s="203"/>
      <c r="B881" s="345"/>
      <c r="C881" s="345"/>
      <c r="D881" s="345"/>
      <c r="E881" s="345"/>
      <c r="F881" s="345"/>
      <c r="G881" s="345"/>
      <c r="H881" s="903"/>
    </row>
    <row r="882">
      <c r="A882" s="203"/>
      <c r="B882" s="345"/>
      <c r="C882" s="345"/>
      <c r="D882" s="345"/>
      <c r="E882" s="345"/>
      <c r="F882" s="345"/>
      <c r="G882" s="345"/>
      <c r="H882" s="903"/>
    </row>
    <row r="883">
      <c r="A883" s="203"/>
      <c r="B883" s="345"/>
      <c r="C883" s="345"/>
      <c r="D883" s="345"/>
      <c r="E883" s="345"/>
      <c r="F883" s="345"/>
      <c r="G883" s="345"/>
      <c r="H883" s="903"/>
    </row>
    <row r="884">
      <c r="A884" s="203"/>
      <c r="B884" s="345"/>
      <c r="C884" s="345"/>
      <c r="D884" s="345"/>
      <c r="E884" s="345"/>
      <c r="F884" s="345"/>
      <c r="G884" s="345"/>
      <c r="H884" s="903"/>
    </row>
    <row r="885">
      <c r="A885" s="203"/>
      <c r="B885" s="345"/>
      <c r="C885" s="345"/>
      <c r="D885" s="345"/>
      <c r="E885" s="345"/>
      <c r="F885" s="345"/>
      <c r="G885" s="345"/>
      <c r="H885" s="903"/>
    </row>
    <row r="886">
      <c r="A886" s="203"/>
      <c r="B886" s="345"/>
      <c r="C886" s="345"/>
      <c r="D886" s="345"/>
      <c r="E886" s="345"/>
      <c r="F886" s="345"/>
      <c r="G886" s="345"/>
      <c r="H886" s="903"/>
    </row>
    <row r="887">
      <c r="A887" s="203"/>
      <c r="B887" s="345"/>
      <c r="C887" s="345"/>
      <c r="D887" s="345"/>
      <c r="E887" s="345"/>
      <c r="F887" s="345"/>
      <c r="G887" s="345"/>
      <c r="H887" s="903"/>
    </row>
    <row r="888">
      <c r="A888" s="203"/>
      <c r="B888" s="345"/>
      <c r="C888" s="345"/>
      <c r="D888" s="345"/>
      <c r="E888" s="345"/>
      <c r="F888" s="345"/>
      <c r="G888" s="345"/>
      <c r="H888" s="903"/>
    </row>
    <row r="889">
      <c r="A889" s="203"/>
      <c r="B889" s="345"/>
      <c r="C889" s="345"/>
      <c r="D889" s="345"/>
      <c r="E889" s="345"/>
      <c r="F889" s="345"/>
      <c r="G889" s="345"/>
      <c r="H889" s="903"/>
    </row>
    <row r="890">
      <c r="A890" s="203"/>
      <c r="B890" s="345"/>
      <c r="C890" s="345"/>
      <c r="D890" s="345"/>
      <c r="E890" s="345"/>
      <c r="F890" s="345"/>
      <c r="G890" s="345"/>
      <c r="H890" s="903"/>
    </row>
    <row r="891">
      <c r="A891" s="203"/>
      <c r="B891" s="345"/>
      <c r="C891" s="345"/>
      <c r="D891" s="345"/>
      <c r="E891" s="345"/>
      <c r="F891" s="345"/>
      <c r="G891" s="345"/>
      <c r="H891" s="903"/>
    </row>
    <row r="892">
      <c r="A892" s="203"/>
      <c r="B892" s="345"/>
      <c r="C892" s="345"/>
      <c r="D892" s="345"/>
      <c r="E892" s="345"/>
      <c r="F892" s="345"/>
      <c r="G892" s="345"/>
      <c r="H892" s="903"/>
    </row>
    <row r="893">
      <c r="A893" s="203"/>
      <c r="B893" s="345"/>
      <c r="C893" s="345"/>
      <c r="D893" s="345"/>
      <c r="E893" s="345"/>
      <c r="F893" s="345"/>
      <c r="G893" s="345"/>
      <c r="H893" s="903"/>
    </row>
    <row r="894">
      <c r="A894" s="203"/>
      <c r="B894" s="345"/>
      <c r="C894" s="345"/>
      <c r="D894" s="345"/>
      <c r="E894" s="345"/>
      <c r="F894" s="345"/>
      <c r="G894" s="345"/>
      <c r="H894" s="903"/>
    </row>
    <row r="895">
      <c r="A895" s="203"/>
      <c r="B895" s="345"/>
      <c r="C895" s="345"/>
      <c r="D895" s="345"/>
      <c r="E895" s="345"/>
      <c r="F895" s="345"/>
      <c r="G895" s="345"/>
      <c r="H895" s="903"/>
    </row>
    <row r="896">
      <c r="A896" s="203"/>
      <c r="B896" s="345"/>
      <c r="C896" s="345"/>
      <c r="D896" s="345"/>
      <c r="E896" s="345"/>
      <c r="F896" s="345"/>
      <c r="G896" s="345"/>
      <c r="H896" s="903"/>
    </row>
    <row r="897">
      <c r="A897" s="203"/>
      <c r="B897" s="345"/>
      <c r="C897" s="345"/>
      <c r="D897" s="345"/>
      <c r="E897" s="345"/>
      <c r="F897" s="345"/>
      <c r="G897" s="345"/>
      <c r="H897" s="903"/>
    </row>
    <row r="898">
      <c r="A898" s="203"/>
      <c r="B898" s="345"/>
      <c r="C898" s="345"/>
      <c r="D898" s="345"/>
      <c r="E898" s="345"/>
      <c r="F898" s="345"/>
      <c r="G898" s="345"/>
      <c r="H898" s="903"/>
    </row>
    <row r="899">
      <c r="A899" s="203"/>
      <c r="B899" s="345"/>
      <c r="C899" s="345"/>
      <c r="D899" s="345"/>
      <c r="E899" s="345"/>
      <c r="F899" s="345"/>
      <c r="G899" s="345"/>
      <c r="H899" s="903"/>
    </row>
    <row r="900">
      <c r="A900" s="203"/>
      <c r="B900" s="345"/>
      <c r="C900" s="345"/>
      <c r="D900" s="345"/>
      <c r="E900" s="345"/>
      <c r="F900" s="345"/>
      <c r="G900" s="345"/>
      <c r="H900" s="903"/>
    </row>
    <row r="901">
      <c r="A901" s="203"/>
      <c r="B901" s="345"/>
      <c r="C901" s="345"/>
      <c r="D901" s="345"/>
      <c r="E901" s="345"/>
      <c r="F901" s="345"/>
      <c r="G901" s="345"/>
      <c r="H901" s="903"/>
    </row>
    <row r="902">
      <c r="A902" s="203"/>
      <c r="B902" s="345"/>
      <c r="C902" s="345"/>
      <c r="D902" s="345"/>
      <c r="E902" s="345"/>
      <c r="F902" s="345"/>
      <c r="G902" s="345"/>
      <c r="H902" s="903"/>
    </row>
    <row r="903">
      <c r="A903" s="203"/>
      <c r="B903" s="345"/>
      <c r="C903" s="345"/>
      <c r="D903" s="345"/>
      <c r="E903" s="345"/>
      <c r="F903" s="345"/>
      <c r="G903" s="345"/>
      <c r="H903" s="903"/>
    </row>
    <row r="904">
      <c r="A904" s="203"/>
      <c r="B904" s="345"/>
      <c r="C904" s="345"/>
      <c r="D904" s="345"/>
      <c r="E904" s="345"/>
      <c r="F904" s="345"/>
      <c r="G904" s="345"/>
      <c r="H904" s="903"/>
    </row>
    <row r="905">
      <c r="A905" s="203"/>
      <c r="B905" s="345"/>
      <c r="C905" s="345"/>
      <c r="D905" s="345"/>
      <c r="E905" s="345"/>
      <c r="F905" s="345"/>
      <c r="G905" s="345"/>
      <c r="H905" s="903"/>
    </row>
    <row r="906">
      <c r="A906" s="203"/>
      <c r="B906" s="345"/>
      <c r="C906" s="345"/>
      <c r="D906" s="345"/>
      <c r="E906" s="345"/>
      <c r="F906" s="345"/>
      <c r="G906" s="345"/>
      <c r="H906" s="903"/>
    </row>
    <row r="907">
      <c r="A907" s="203"/>
      <c r="B907" s="345"/>
      <c r="C907" s="345"/>
      <c r="D907" s="345"/>
      <c r="E907" s="345"/>
      <c r="F907" s="345"/>
      <c r="G907" s="345"/>
      <c r="H907" s="903"/>
    </row>
    <row r="908">
      <c r="A908" s="203"/>
      <c r="B908" s="345"/>
      <c r="C908" s="345"/>
      <c r="D908" s="345"/>
      <c r="E908" s="345"/>
      <c r="F908" s="345"/>
      <c r="G908" s="345"/>
      <c r="H908" s="903"/>
    </row>
    <row r="909">
      <c r="A909" s="203"/>
      <c r="B909" s="345"/>
      <c r="C909" s="345"/>
      <c r="D909" s="345"/>
      <c r="E909" s="345"/>
      <c r="F909" s="345"/>
      <c r="G909" s="345"/>
      <c r="H909" s="903"/>
    </row>
    <row r="910">
      <c r="A910" s="203"/>
      <c r="B910" s="345"/>
      <c r="C910" s="345"/>
      <c r="D910" s="345"/>
      <c r="E910" s="345"/>
      <c r="F910" s="345"/>
      <c r="G910" s="345"/>
      <c r="H910" s="903"/>
    </row>
    <row r="911">
      <c r="A911" s="203"/>
      <c r="B911" s="345"/>
      <c r="C911" s="345"/>
      <c r="D911" s="345"/>
      <c r="E911" s="345"/>
      <c r="F911" s="345"/>
      <c r="G911" s="345"/>
      <c r="H911" s="903"/>
    </row>
    <row r="912">
      <c r="A912" s="203"/>
      <c r="B912" s="345"/>
      <c r="C912" s="345"/>
      <c r="D912" s="345"/>
      <c r="E912" s="345"/>
      <c r="F912" s="345"/>
      <c r="G912" s="345"/>
      <c r="H912" s="903"/>
    </row>
    <row r="913">
      <c r="A913" s="203"/>
      <c r="B913" s="345"/>
      <c r="C913" s="345"/>
      <c r="D913" s="345"/>
      <c r="E913" s="345"/>
      <c r="F913" s="345"/>
      <c r="G913" s="345"/>
      <c r="H913" s="903"/>
    </row>
    <row r="914">
      <c r="A914" s="203"/>
      <c r="B914" s="345"/>
      <c r="C914" s="345"/>
      <c r="D914" s="345"/>
      <c r="E914" s="345"/>
      <c r="F914" s="345"/>
      <c r="G914" s="345"/>
      <c r="H914" s="903"/>
    </row>
    <row r="915">
      <c r="A915" s="203"/>
      <c r="B915" s="345"/>
      <c r="C915" s="345"/>
      <c r="D915" s="345"/>
      <c r="E915" s="345"/>
      <c r="F915" s="345"/>
      <c r="G915" s="345"/>
      <c r="H915" s="903"/>
    </row>
    <row r="916">
      <c r="A916" s="203"/>
      <c r="B916" s="345"/>
      <c r="C916" s="345"/>
      <c r="D916" s="345"/>
      <c r="E916" s="345"/>
      <c r="F916" s="345"/>
      <c r="G916" s="345"/>
      <c r="H916" s="903"/>
    </row>
    <row r="917">
      <c r="A917" s="203"/>
      <c r="B917" s="345"/>
      <c r="C917" s="345"/>
      <c r="D917" s="345"/>
      <c r="E917" s="345"/>
      <c r="F917" s="345"/>
      <c r="G917" s="345"/>
      <c r="H917" s="903"/>
    </row>
    <row r="918">
      <c r="A918" s="203"/>
      <c r="B918" s="345"/>
      <c r="C918" s="345"/>
      <c r="D918" s="345"/>
      <c r="E918" s="345"/>
      <c r="F918" s="345"/>
      <c r="G918" s="345"/>
      <c r="H918" s="903"/>
    </row>
    <row r="919">
      <c r="A919" s="203"/>
      <c r="B919" s="345"/>
      <c r="C919" s="345"/>
      <c r="D919" s="345"/>
      <c r="E919" s="345"/>
      <c r="F919" s="345"/>
      <c r="G919" s="345"/>
      <c r="H919" s="903"/>
    </row>
    <row r="920">
      <c r="A920" s="203"/>
      <c r="B920" s="345"/>
      <c r="C920" s="345"/>
      <c r="D920" s="345"/>
      <c r="E920" s="345"/>
      <c r="F920" s="345"/>
      <c r="G920" s="345"/>
      <c r="H920" s="903"/>
    </row>
    <row r="921">
      <c r="A921" s="203"/>
      <c r="B921" s="345"/>
      <c r="C921" s="345"/>
      <c r="D921" s="345"/>
      <c r="E921" s="345"/>
      <c r="F921" s="345"/>
      <c r="G921" s="345"/>
      <c r="H921" s="903"/>
    </row>
    <row r="922">
      <c r="A922" s="203"/>
      <c r="B922" s="345"/>
      <c r="C922" s="345"/>
      <c r="D922" s="345"/>
      <c r="E922" s="345"/>
      <c r="F922" s="345"/>
      <c r="G922" s="345"/>
      <c r="H922" s="903"/>
    </row>
    <row r="923">
      <c r="A923" s="203"/>
      <c r="B923" s="345"/>
      <c r="C923" s="345"/>
      <c r="D923" s="345"/>
      <c r="E923" s="345"/>
      <c r="F923" s="345"/>
      <c r="G923" s="345"/>
      <c r="H923" s="903"/>
    </row>
    <row r="924">
      <c r="A924" s="203"/>
      <c r="B924" s="345"/>
      <c r="C924" s="345"/>
      <c r="D924" s="345"/>
      <c r="E924" s="345"/>
      <c r="F924" s="345"/>
      <c r="G924" s="345"/>
      <c r="H924" s="903"/>
    </row>
    <row r="925">
      <c r="A925" s="203"/>
      <c r="B925" s="345"/>
      <c r="C925" s="345"/>
      <c r="D925" s="345"/>
      <c r="E925" s="345"/>
      <c r="F925" s="345"/>
      <c r="G925" s="345"/>
      <c r="H925" s="903"/>
    </row>
    <row r="926">
      <c r="A926" s="203"/>
      <c r="B926" s="345"/>
      <c r="C926" s="345"/>
      <c r="D926" s="345"/>
      <c r="E926" s="345"/>
      <c r="F926" s="345"/>
      <c r="G926" s="345"/>
      <c r="H926" s="903"/>
    </row>
    <row r="927">
      <c r="A927" s="203"/>
      <c r="B927" s="345"/>
      <c r="C927" s="345"/>
      <c r="D927" s="345"/>
      <c r="E927" s="345"/>
      <c r="F927" s="345"/>
      <c r="G927" s="345"/>
      <c r="H927" s="903"/>
    </row>
    <row r="928">
      <c r="A928" s="203"/>
      <c r="B928" s="345"/>
      <c r="C928" s="345"/>
      <c r="D928" s="345"/>
      <c r="E928" s="345"/>
      <c r="F928" s="345"/>
      <c r="G928" s="345"/>
      <c r="H928" s="903"/>
    </row>
    <row r="929">
      <c r="A929" s="203"/>
      <c r="B929" s="345"/>
      <c r="C929" s="345"/>
      <c r="D929" s="345"/>
      <c r="E929" s="345"/>
      <c r="F929" s="345"/>
      <c r="G929" s="345"/>
      <c r="H929" s="903"/>
    </row>
    <row r="930">
      <c r="A930" s="203"/>
      <c r="B930" s="345"/>
      <c r="C930" s="345"/>
      <c r="D930" s="345"/>
      <c r="E930" s="345"/>
      <c r="F930" s="345"/>
      <c r="G930" s="345"/>
      <c r="H930" s="903"/>
    </row>
    <row r="931">
      <c r="A931" s="203"/>
      <c r="B931" s="345"/>
      <c r="C931" s="345"/>
      <c r="D931" s="345"/>
      <c r="E931" s="345"/>
      <c r="F931" s="345"/>
      <c r="G931" s="345"/>
      <c r="H931" s="903"/>
    </row>
    <row r="932">
      <c r="A932" s="203"/>
      <c r="B932" s="345"/>
      <c r="C932" s="345"/>
      <c r="D932" s="345"/>
      <c r="E932" s="345"/>
      <c r="F932" s="345"/>
      <c r="G932" s="345"/>
      <c r="H932" s="903"/>
    </row>
    <row r="933">
      <c r="A933" s="203"/>
      <c r="B933" s="345"/>
      <c r="C933" s="345"/>
      <c r="D933" s="345"/>
      <c r="E933" s="345"/>
      <c r="F933" s="345"/>
      <c r="G933" s="345"/>
      <c r="H933" s="903"/>
    </row>
    <row r="934">
      <c r="A934" s="203"/>
      <c r="B934" s="345"/>
      <c r="C934" s="345"/>
      <c r="D934" s="345"/>
      <c r="E934" s="345"/>
      <c r="F934" s="345"/>
      <c r="G934" s="345"/>
      <c r="H934" s="903"/>
    </row>
    <row r="935">
      <c r="A935" s="203"/>
      <c r="B935" s="345"/>
      <c r="C935" s="345"/>
      <c r="D935" s="345"/>
      <c r="E935" s="345"/>
      <c r="F935" s="345"/>
      <c r="G935" s="345"/>
      <c r="H935" s="903"/>
    </row>
    <row r="936">
      <c r="A936" s="203"/>
      <c r="B936" s="345"/>
      <c r="C936" s="345"/>
      <c r="D936" s="345"/>
      <c r="E936" s="345"/>
      <c r="F936" s="345"/>
      <c r="G936" s="345"/>
      <c r="H936" s="903"/>
    </row>
    <row r="937">
      <c r="A937" s="203"/>
      <c r="B937" s="345"/>
      <c r="C937" s="345"/>
      <c r="D937" s="345"/>
      <c r="E937" s="345"/>
      <c r="F937" s="345"/>
      <c r="G937" s="345"/>
      <c r="H937" s="903"/>
    </row>
    <row r="938">
      <c r="A938" s="203"/>
      <c r="B938" s="345"/>
      <c r="C938" s="345"/>
      <c r="D938" s="345"/>
      <c r="E938" s="345"/>
      <c r="F938" s="345"/>
      <c r="G938" s="345"/>
      <c r="H938" s="903"/>
    </row>
    <row r="939">
      <c r="A939" s="203"/>
      <c r="B939" s="345"/>
      <c r="C939" s="345"/>
      <c r="D939" s="345"/>
      <c r="E939" s="345"/>
      <c r="F939" s="345"/>
      <c r="G939" s="345"/>
      <c r="H939" s="903"/>
    </row>
    <row r="940">
      <c r="A940" s="203"/>
      <c r="B940" s="345"/>
      <c r="C940" s="345"/>
      <c r="D940" s="345"/>
      <c r="E940" s="345"/>
      <c r="F940" s="345"/>
      <c r="G940" s="345"/>
      <c r="H940" s="903"/>
    </row>
    <row r="941">
      <c r="A941" s="203"/>
      <c r="B941" s="345"/>
      <c r="C941" s="345"/>
      <c r="D941" s="345"/>
      <c r="E941" s="345"/>
      <c r="F941" s="345"/>
      <c r="G941" s="345"/>
      <c r="H941" s="903"/>
    </row>
    <row r="942">
      <c r="A942" s="203"/>
      <c r="B942" s="345"/>
      <c r="C942" s="345"/>
      <c r="D942" s="345"/>
      <c r="E942" s="345"/>
      <c r="F942" s="345"/>
      <c r="G942" s="345"/>
      <c r="H942" s="903"/>
    </row>
    <row r="943">
      <c r="A943" s="203"/>
      <c r="B943" s="345"/>
      <c r="C943" s="345"/>
      <c r="D943" s="345"/>
      <c r="E943" s="345"/>
      <c r="F943" s="345"/>
      <c r="G943" s="345"/>
      <c r="H943" s="903"/>
    </row>
    <row r="944">
      <c r="A944" s="203"/>
      <c r="B944" s="345"/>
      <c r="C944" s="345"/>
      <c r="D944" s="345"/>
      <c r="E944" s="345"/>
      <c r="F944" s="345"/>
      <c r="G944" s="345"/>
      <c r="H944" s="903"/>
    </row>
    <row r="945">
      <c r="A945" s="203"/>
      <c r="B945" s="345"/>
      <c r="C945" s="345"/>
      <c r="D945" s="345"/>
      <c r="E945" s="345"/>
      <c r="F945" s="345"/>
      <c r="G945" s="345"/>
      <c r="H945" s="903"/>
    </row>
    <row r="946">
      <c r="A946" s="203"/>
      <c r="B946" s="345"/>
      <c r="C946" s="345"/>
      <c r="D946" s="345"/>
      <c r="E946" s="345"/>
      <c r="F946" s="345"/>
      <c r="G946" s="345"/>
      <c r="H946" s="903"/>
    </row>
    <row r="947">
      <c r="A947" s="203"/>
      <c r="B947" s="345"/>
      <c r="C947" s="345"/>
      <c r="D947" s="345"/>
      <c r="E947" s="345"/>
      <c r="F947" s="345"/>
      <c r="G947" s="345"/>
      <c r="H947" s="903"/>
    </row>
    <row r="948">
      <c r="A948" s="203"/>
      <c r="B948" s="345"/>
      <c r="C948" s="345"/>
      <c r="D948" s="345"/>
      <c r="E948" s="345"/>
      <c r="F948" s="345"/>
      <c r="G948" s="345"/>
      <c r="H948" s="903"/>
    </row>
    <row r="949">
      <c r="A949" s="203"/>
      <c r="B949" s="345"/>
      <c r="C949" s="345"/>
      <c r="D949" s="345"/>
      <c r="E949" s="345"/>
      <c r="F949" s="345"/>
      <c r="G949" s="345"/>
      <c r="H949" s="903"/>
    </row>
    <row r="950">
      <c r="A950" s="203"/>
      <c r="B950" s="345"/>
      <c r="C950" s="345"/>
      <c r="D950" s="345"/>
      <c r="E950" s="345"/>
      <c r="F950" s="345"/>
      <c r="G950" s="345"/>
      <c r="H950" s="903"/>
    </row>
    <row r="951">
      <c r="A951" s="203"/>
      <c r="B951" s="345"/>
      <c r="C951" s="345"/>
      <c r="D951" s="345"/>
      <c r="E951" s="345"/>
      <c r="F951" s="345"/>
      <c r="G951" s="345"/>
      <c r="H951" s="903"/>
    </row>
    <row r="952">
      <c r="A952" s="203"/>
      <c r="B952" s="345"/>
      <c r="C952" s="345"/>
      <c r="D952" s="345"/>
      <c r="E952" s="345"/>
      <c r="F952" s="345"/>
      <c r="G952" s="345"/>
      <c r="H952" s="903"/>
    </row>
    <row r="953">
      <c r="A953" s="203"/>
      <c r="B953" s="345"/>
      <c r="C953" s="345"/>
      <c r="D953" s="345"/>
      <c r="E953" s="345"/>
      <c r="F953" s="345"/>
      <c r="G953" s="345"/>
      <c r="H953" s="903"/>
    </row>
    <row r="954">
      <c r="A954" s="203"/>
      <c r="B954" s="345"/>
      <c r="C954" s="345"/>
      <c r="D954" s="345"/>
      <c r="E954" s="345"/>
      <c r="F954" s="345"/>
      <c r="G954" s="345"/>
      <c r="H954" s="903"/>
    </row>
    <row r="955">
      <c r="A955" s="203"/>
      <c r="B955" s="345"/>
      <c r="C955" s="345"/>
      <c r="D955" s="345"/>
      <c r="E955" s="345"/>
      <c r="F955" s="345"/>
      <c r="G955" s="345"/>
      <c r="H955" s="903"/>
    </row>
    <row r="956">
      <c r="A956" s="203"/>
      <c r="B956" s="345"/>
      <c r="C956" s="345"/>
      <c r="D956" s="345"/>
      <c r="E956" s="345"/>
      <c r="F956" s="345"/>
      <c r="G956" s="345"/>
      <c r="H956" s="903"/>
    </row>
    <row r="957">
      <c r="A957" s="203"/>
      <c r="B957" s="345"/>
      <c r="C957" s="345"/>
      <c r="D957" s="345"/>
      <c r="E957" s="345"/>
      <c r="F957" s="345"/>
      <c r="G957" s="345"/>
      <c r="H957" s="903"/>
    </row>
    <row r="958">
      <c r="A958" s="203"/>
      <c r="B958" s="345"/>
      <c r="C958" s="345"/>
      <c r="D958" s="345"/>
      <c r="E958" s="345"/>
      <c r="F958" s="345"/>
      <c r="G958" s="345"/>
      <c r="H958" s="903"/>
    </row>
    <row r="959">
      <c r="A959" s="203"/>
      <c r="B959" s="345"/>
      <c r="C959" s="345"/>
      <c r="D959" s="345"/>
      <c r="E959" s="345"/>
      <c r="F959" s="345"/>
      <c r="G959" s="345"/>
      <c r="H959" s="903"/>
    </row>
    <row r="960">
      <c r="A960" s="203"/>
      <c r="B960" s="345"/>
      <c r="C960" s="345"/>
      <c r="D960" s="345"/>
      <c r="E960" s="345"/>
      <c r="F960" s="345"/>
      <c r="G960" s="345"/>
      <c r="H960" s="903"/>
    </row>
    <row r="961">
      <c r="A961" s="203"/>
      <c r="B961" s="345"/>
      <c r="C961" s="345"/>
      <c r="D961" s="345"/>
      <c r="E961" s="345"/>
      <c r="F961" s="345"/>
      <c r="G961" s="345"/>
      <c r="H961" s="903"/>
    </row>
    <row r="962">
      <c r="A962" s="203"/>
      <c r="B962" s="345"/>
      <c r="C962" s="345"/>
      <c r="D962" s="345"/>
      <c r="E962" s="345"/>
      <c r="F962" s="345"/>
      <c r="G962" s="345"/>
      <c r="H962" s="903"/>
    </row>
    <row r="963">
      <c r="A963" s="203"/>
      <c r="B963" s="345"/>
      <c r="C963" s="345"/>
      <c r="D963" s="345"/>
      <c r="E963" s="345"/>
      <c r="F963" s="345"/>
      <c r="G963" s="345"/>
      <c r="H963" s="903"/>
    </row>
    <row r="964">
      <c r="A964" s="203"/>
      <c r="B964" s="345"/>
      <c r="C964" s="345"/>
      <c r="D964" s="345"/>
      <c r="E964" s="345"/>
      <c r="F964" s="345"/>
      <c r="G964" s="345"/>
      <c r="H964" s="903"/>
    </row>
    <row r="965">
      <c r="A965" s="203"/>
      <c r="B965" s="345"/>
      <c r="C965" s="345"/>
      <c r="D965" s="345"/>
      <c r="E965" s="345"/>
      <c r="F965" s="345"/>
      <c r="G965" s="345"/>
      <c r="H965" s="903"/>
    </row>
    <row r="966">
      <c r="A966" s="203"/>
      <c r="B966" s="345"/>
      <c r="C966" s="345"/>
      <c r="D966" s="345"/>
      <c r="E966" s="345"/>
      <c r="F966" s="345"/>
      <c r="G966" s="345"/>
      <c r="H966" s="903"/>
    </row>
    <row r="967">
      <c r="A967" s="203"/>
      <c r="B967" s="345"/>
      <c r="C967" s="345"/>
      <c r="D967" s="345"/>
      <c r="E967" s="345"/>
      <c r="F967" s="345"/>
      <c r="G967" s="345"/>
      <c r="H967" s="903"/>
    </row>
    <row r="968">
      <c r="A968" s="203"/>
      <c r="B968" s="345"/>
      <c r="C968" s="345"/>
      <c r="D968" s="345"/>
      <c r="E968" s="345"/>
      <c r="F968" s="345"/>
      <c r="G968" s="345"/>
      <c r="H968" s="903"/>
    </row>
    <row r="969">
      <c r="A969" s="203"/>
      <c r="B969" s="345"/>
      <c r="C969" s="345"/>
      <c r="D969" s="345"/>
      <c r="E969" s="345"/>
      <c r="F969" s="345"/>
      <c r="G969" s="345"/>
      <c r="H969" s="903"/>
    </row>
    <row r="970">
      <c r="A970" s="203"/>
      <c r="B970" s="345"/>
      <c r="C970" s="345"/>
      <c r="D970" s="345"/>
      <c r="E970" s="345"/>
      <c r="F970" s="345"/>
      <c r="G970" s="345"/>
      <c r="H970" s="903"/>
    </row>
    <row r="971">
      <c r="A971" s="203"/>
      <c r="B971" s="345"/>
      <c r="C971" s="345"/>
      <c r="D971" s="345"/>
      <c r="E971" s="345"/>
      <c r="F971" s="345"/>
      <c r="G971" s="345"/>
      <c r="H971" s="903"/>
    </row>
    <row r="972">
      <c r="A972" s="203"/>
      <c r="B972" s="345"/>
      <c r="C972" s="345"/>
      <c r="D972" s="345"/>
      <c r="E972" s="345"/>
      <c r="F972" s="345"/>
      <c r="G972" s="345"/>
      <c r="H972" s="903"/>
    </row>
    <row r="973">
      <c r="A973" s="203"/>
      <c r="B973" s="345"/>
      <c r="C973" s="345"/>
      <c r="D973" s="345"/>
      <c r="E973" s="345"/>
      <c r="F973" s="345"/>
      <c r="G973" s="345"/>
      <c r="H973" s="903"/>
    </row>
    <row r="974">
      <c r="A974" s="203"/>
      <c r="B974" s="345"/>
      <c r="C974" s="345"/>
      <c r="D974" s="345"/>
      <c r="E974" s="345"/>
      <c r="F974" s="345"/>
      <c r="G974" s="345"/>
      <c r="H974" s="903"/>
    </row>
    <row r="975">
      <c r="A975" s="203"/>
      <c r="B975" s="345"/>
      <c r="C975" s="345"/>
      <c r="D975" s="345"/>
      <c r="E975" s="345"/>
      <c r="F975" s="345"/>
      <c r="G975" s="345"/>
      <c r="H975" s="903"/>
    </row>
    <row r="976">
      <c r="A976" s="203"/>
      <c r="B976" s="345"/>
      <c r="C976" s="345"/>
      <c r="D976" s="345"/>
      <c r="E976" s="345"/>
      <c r="F976" s="345"/>
      <c r="G976" s="345"/>
      <c r="H976" s="903"/>
    </row>
    <row r="977">
      <c r="A977" s="203"/>
      <c r="B977" s="345"/>
      <c r="C977" s="345"/>
      <c r="D977" s="345"/>
      <c r="E977" s="345"/>
      <c r="F977" s="345"/>
      <c r="G977" s="345"/>
      <c r="H977" s="903"/>
    </row>
    <row r="978">
      <c r="A978" s="203"/>
      <c r="B978" s="345"/>
      <c r="C978" s="345"/>
      <c r="D978" s="345"/>
      <c r="E978" s="345"/>
      <c r="F978" s="345"/>
      <c r="G978" s="345"/>
      <c r="H978" s="903"/>
    </row>
    <row r="979">
      <c r="A979" s="203"/>
      <c r="B979" s="345"/>
      <c r="C979" s="345"/>
      <c r="D979" s="345"/>
      <c r="E979" s="345"/>
      <c r="F979" s="345"/>
      <c r="G979" s="345"/>
      <c r="H979" s="903"/>
    </row>
    <row r="980">
      <c r="A980" s="203"/>
      <c r="B980" s="345"/>
      <c r="C980" s="345"/>
      <c r="D980" s="345"/>
      <c r="E980" s="345"/>
      <c r="F980" s="345"/>
      <c r="G980" s="345"/>
      <c r="H980" s="903"/>
    </row>
    <row r="981">
      <c r="A981" s="203"/>
      <c r="B981" s="345"/>
      <c r="C981" s="345"/>
      <c r="D981" s="345"/>
      <c r="E981" s="345"/>
      <c r="F981" s="345"/>
      <c r="G981" s="345"/>
      <c r="H981" s="903"/>
    </row>
    <row r="982">
      <c r="A982" s="203"/>
      <c r="B982" s="345"/>
      <c r="C982" s="345"/>
      <c r="D982" s="345"/>
      <c r="E982" s="345"/>
      <c r="F982" s="345"/>
      <c r="G982" s="345"/>
      <c r="H982" s="903"/>
    </row>
    <row r="983">
      <c r="A983" s="203"/>
      <c r="B983" s="345"/>
      <c r="C983" s="345"/>
      <c r="D983" s="345"/>
      <c r="E983" s="345"/>
      <c r="F983" s="345"/>
      <c r="G983" s="345"/>
      <c r="H983" s="903"/>
    </row>
    <row r="984">
      <c r="A984" s="203"/>
      <c r="B984" s="345"/>
      <c r="C984" s="345"/>
      <c r="D984" s="345"/>
      <c r="E984" s="345"/>
      <c r="F984" s="345"/>
      <c r="G984" s="345"/>
      <c r="H984" s="903"/>
    </row>
    <row r="985">
      <c r="A985" s="203"/>
      <c r="B985" s="345"/>
      <c r="C985" s="345"/>
      <c r="D985" s="345"/>
      <c r="E985" s="345"/>
      <c r="F985" s="345"/>
      <c r="G985" s="345"/>
      <c r="H985" s="903"/>
    </row>
    <row r="986">
      <c r="A986" s="203"/>
      <c r="B986" s="345"/>
      <c r="C986" s="345"/>
      <c r="D986" s="345"/>
      <c r="E986" s="345"/>
      <c r="F986" s="345"/>
      <c r="G986" s="345"/>
      <c r="H986" s="903"/>
    </row>
    <row r="987">
      <c r="A987" s="203"/>
      <c r="B987" s="345"/>
      <c r="C987" s="345"/>
      <c r="D987" s="345"/>
      <c r="E987" s="345"/>
      <c r="F987" s="345"/>
      <c r="G987" s="345"/>
      <c r="H987" s="903"/>
    </row>
    <row r="988">
      <c r="A988" s="203"/>
      <c r="B988" s="345"/>
      <c r="C988" s="345"/>
      <c r="D988" s="345"/>
      <c r="E988" s="345"/>
      <c r="F988" s="345"/>
      <c r="G988" s="345"/>
      <c r="H988" s="903"/>
    </row>
    <row r="989">
      <c r="A989" s="203"/>
      <c r="B989" s="345"/>
      <c r="C989" s="345"/>
      <c r="D989" s="345"/>
      <c r="E989" s="345"/>
      <c r="F989" s="345"/>
      <c r="G989" s="345"/>
      <c r="H989" s="903"/>
    </row>
    <row r="990">
      <c r="A990" s="203"/>
      <c r="B990" s="345"/>
      <c r="C990" s="345"/>
      <c r="D990" s="345"/>
      <c r="E990" s="345"/>
      <c r="F990" s="345"/>
      <c r="G990" s="345"/>
      <c r="H990" s="903"/>
    </row>
    <row r="991">
      <c r="A991" s="203"/>
      <c r="B991" s="345"/>
      <c r="C991" s="345"/>
      <c r="D991" s="345"/>
      <c r="E991" s="345"/>
      <c r="F991" s="345"/>
      <c r="G991" s="345"/>
      <c r="H991" s="903"/>
    </row>
    <row r="992">
      <c r="A992" s="203"/>
      <c r="B992" s="345"/>
      <c r="C992" s="345"/>
      <c r="D992" s="345"/>
      <c r="E992" s="345"/>
      <c r="F992" s="345"/>
      <c r="G992" s="345"/>
      <c r="H992" s="903"/>
    </row>
    <row r="993">
      <c r="A993" s="203"/>
      <c r="B993" s="345"/>
      <c r="C993" s="345"/>
      <c r="D993" s="345"/>
      <c r="E993" s="345"/>
      <c r="F993" s="345"/>
      <c r="G993" s="345"/>
      <c r="H993" s="903"/>
    </row>
    <row r="994">
      <c r="A994" s="203"/>
      <c r="B994" s="345"/>
      <c r="C994" s="345"/>
      <c r="D994" s="345"/>
      <c r="E994" s="345"/>
      <c r="F994" s="345"/>
      <c r="G994" s="345"/>
      <c r="H994" s="903"/>
    </row>
    <row r="995">
      <c r="A995" s="203"/>
      <c r="B995" s="345"/>
      <c r="C995" s="345"/>
      <c r="D995" s="345"/>
      <c r="E995" s="345"/>
      <c r="F995" s="345"/>
      <c r="G995" s="345"/>
      <c r="H995" s="903"/>
    </row>
    <row r="996">
      <c r="A996" s="203"/>
      <c r="B996" s="345"/>
      <c r="C996" s="345"/>
      <c r="D996" s="345"/>
      <c r="E996" s="345"/>
      <c r="F996" s="345"/>
      <c r="G996" s="345"/>
      <c r="H996" s="903"/>
    </row>
    <row r="997">
      <c r="A997" s="203"/>
      <c r="B997" s="345"/>
      <c r="C997" s="345"/>
      <c r="D997" s="345"/>
      <c r="E997" s="345"/>
      <c r="F997" s="345"/>
      <c r="G997" s="345"/>
      <c r="H997" s="903"/>
    </row>
    <row r="998">
      <c r="A998" s="203"/>
      <c r="B998" s="345"/>
      <c r="C998" s="345"/>
      <c r="D998" s="345"/>
      <c r="E998" s="345"/>
      <c r="F998" s="345"/>
      <c r="G998" s="345"/>
      <c r="H998" s="903"/>
    </row>
    <row r="999">
      <c r="A999" s="203"/>
      <c r="B999" s="345"/>
      <c r="C999" s="345"/>
      <c r="D999" s="345"/>
      <c r="E999" s="345"/>
      <c r="F999" s="345"/>
      <c r="G999" s="345"/>
      <c r="H999" s="903"/>
    </row>
    <row r="1000">
      <c r="A1000" s="203"/>
      <c r="B1000" s="345"/>
      <c r="C1000" s="345"/>
      <c r="D1000" s="345"/>
      <c r="E1000" s="345"/>
      <c r="F1000" s="345"/>
      <c r="G1000" s="345"/>
      <c r="H1000" s="903"/>
    </row>
  </sheetData>
  <mergeCells count="1">
    <mergeCell ref="A1:H1"/>
  </mergeCells>
  <conditionalFormatting sqref="E99:F147">
    <cfRule type="expression" dxfId="0" priority="1">
      <formula>#REF!=TRUE</formula>
    </cfRule>
  </conditionalFormatting>
  <conditionalFormatting sqref="C99:C147">
    <cfRule type="expression" dxfId="0" priority="2">
      <formula>#REF!=TRUE</formula>
    </cfRule>
  </conditionalFormatting>
  <conditionalFormatting sqref="A3:B206 C3:C98 D3:D206 E3:F98 G3:G206 C148:C206 E148:F206">
    <cfRule type="expression" dxfId="0" priority="3">
      <formula>$B3=TRUE</formula>
    </cfRule>
  </conditionalFormatting>
  <hyperlinks>
    <hyperlink r:id="rId1" ref="F26"/>
    <hyperlink r:id="rId2" ref="F49"/>
    <hyperlink r:id="rId3" ref="E52"/>
    <hyperlink r:id="rId4" ref="F52"/>
    <hyperlink r:id="rId5" ref="F70"/>
    <hyperlink r:id="rId6" ref="E83"/>
    <hyperlink r:id="rId7" ref="F92"/>
    <hyperlink r:id="rId8" ref="F96"/>
    <hyperlink r:id="rId9" ref="F98"/>
  </hyperlinks>
  <drawing r:id="rId10"/>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2" width="6.88"/>
    <col customWidth="1" min="3" max="3" width="58.75"/>
    <col customWidth="1" min="4" max="4" width="21.13"/>
    <col customWidth="1" min="5" max="6" width="35.88"/>
    <col customWidth="1" min="7" max="7" width="27.25"/>
    <col customWidth="1" min="8" max="10" width="28.63"/>
  </cols>
  <sheetData>
    <row r="1" ht="57.0" customHeight="1">
      <c r="A1" s="904" t="s">
        <v>5045</v>
      </c>
      <c r="B1" s="905"/>
      <c r="C1" s="905"/>
      <c r="D1" s="905"/>
      <c r="E1" s="905"/>
      <c r="F1" s="906"/>
      <c r="G1" s="906"/>
      <c r="H1" s="907"/>
      <c r="I1" s="908"/>
      <c r="J1" s="908"/>
    </row>
    <row r="2" ht="30.0" customHeight="1">
      <c r="A2" s="909"/>
      <c r="B2" s="909" t="s">
        <v>0</v>
      </c>
      <c r="C2" s="909" t="s">
        <v>1</v>
      </c>
      <c r="D2" s="909" t="s">
        <v>2</v>
      </c>
      <c r="E2" s="909" t="s">
        <v>3</v>
      </c>
      <c r="F2" s="910" t="s">
        <v>4</v>
      </c>
      <c r="G2" s="910" t="s">
        <v>6371</v>
      </c>
      <c r="H2" s="910" t="s">
        <v>6</v>
      </c>
      <c r="I2" s="911"/>
      <c r="J2" s="911"/>
    </row>
    <row r="3" ht="26.25" customHeight="1">
      <c r="A3" s="912">
        <v>1.0</v>
      </c>
      <c r="B3" s="913" t="b">
        <v>0</v>
      </c>
      <c r="C3" s="914" t="s">
        <v>6372</v>
      </c>
      <c r="D3" s="915"/>
      <c r="E3" s="916">
        <v>7.504452081E9</v>
      </c>
      <c r="F3" s="917" t="s">
        <v>6373</v>
      </c>
      <c r="G3" s="918"/>
      <c r="H3" s="919" t="s">
        <v>674</v>
      </c>
      <c r="I3" s="920"/>
      <c r="J3" s="920"/>
    </row>
    <row r="4" ht="26.25" customHeight="1">
      <c r="A4" s="912">
        <v>2.0</v>
      </c>
      <c r="B4" s="913" t="b">
        <v>0</v>
      </c>
      <c r="C4" s="921" t="s">
        <v>6374</v>
      </c>
      <c r="D4" s="922"/>
      <c r="E4" s="923" t="s">
        <v>6375</v>
      </c>
      <c r="F4" s="924"/>
      <c r="G4" s="924"/>
      <c r="H4" s="925" t="s">
        <v>674</v>
      </c>
      <c r="I4" s="926"/>
      <c r="J4" s="926"/>
    </row>
    <row r="5" ht="26.25" customHeight="1">
      <c r="A5" s="912">
        <v>3.0</v>
      </c>
      <c r="B5" s="913" t="b">
        <v>0</v>
      </c>
      <c r="C5" s="927" t="s">
        <v>6376</v>
      </c>
      <c r="D5" s="922"/>
      <c r="E5" s="928" t="s">
        <v>6377</v>
      </c>
      <c r="F5" s="929" t="s">
        <v>6378</v>
      </c>
      <c r="G5" s="924"/>
      <c r="H5" s="925" t="s">
        <v>674</v>
      </c>
      <c r="I5" s="926"/>
      <c r="J5" s="926"/>
    </row>
    <row r="6" ht="26.25" customHeight="1">
      <c r="A6" s="912">
        <v>4.0</v>
      </c>
      <c r="B6" s="913" t="b">
        <v>0</v>
      </c>
      <c r="C6" s="930" t="s">
        <v>6379</v>
      </c>
      <c r="D6" s="922"/>
      <c r="E6" s="922" t="s">
        <v>6380</v>
      </c>
      <c r="F6" s="925" t="s">
        <v>6381</v>
      </c>
      <c r="G6" s="924"/>
      <c r="H6" s="925" t="s">
        <v>674</v>
      </c>
      <c r="I6" s="926"/>
      <c r="J6" s="926"/>
    </row>
    <row r="7" ht="26.25" customHeight="1">
      <c r="A7" s="912">
        <v>5.0</v>
      </c>
      <c r="B7" s="913" t="b">
        <v>0</v>
      </c>
      <c r="C7" s="931" t="s">
        <v>6382</v>
      </c>
      <c r="D7" s="922"/>
      <c r="E7" s="922" t="s">
        <v>6383</v>
      </c>
      <c r="F7" s="932" t="s">
        <v>6384</v>
      </c>
      <c r="G7" s="924"/>
      <c r="H7" s="924" t="s">
        <v>674</v>
      </c>
      <c r="I7" s="933"/>
      <c r="J7" s="933"/>
    </row>
    <row r="8" ht="26.25" customHeight="1">
      <c r="A8" s="912">
        <v>6.0</v>
      </c>
      <c r="B8" s="913" t="b">
        <v>0</v>
      </c>
      <c r="C8" s="934" t="s">
        <v>6385</v>
      </c>
      <c r="D8" s="922"/>
      <c r="E8" s="922">
        <v>9.05302522256E11</v>
      </c>
      <c r="F8" s="924"/>
      <c r="G8" s="924"/>
      <c r="H8" s="924" t="s">
        <v>6386</v>
      </c>
      <c r="I8" s="933"/>
      <c r="J8" s="933"/>
    </row>
    <row r="9" ht="26.25" customHeight="1">
      <c r="A9" s="912">
        <v>7.0</v>
      </c>
      <c r="B9" s="913" t="b">
        <v>0</v>
      </c>
      <c r="C9" s="935" t="s">
        <v>6387</v>
      </c>
      <c r="D9" s="922"/>
      <c r="E9" s="922">
        <v>7.901917992E9</v>
      </c>
      <c r="F9" s="924"/>
      <c r="G9" s="924"/>
      <c r="H9" s="924" t="s">
        <v>960</v>
      </c>
      <c r="I9" s="933"/>
      <c r="J9" s="933"/>
    </row>
    <row r="10" ht="26.25" customHeight="1">
      <c r="A10" s="912">
        <v>8.0</v>
      </c>
      <c r="B10" s="913" t="b">
        <v>0</v>
      </c>
      <c r="C10" s="935" t="s">
        <v>6388</v>
      </c>
      <c r="D10" s="936" t="s">
        <v>6389</v>
      </c>
      <c r="E10" s="922">
        <v>7.504831616E9</v>
      </c>
      <c r="F10" s="924"/>
      <c r="G10" s="924"/>
      <c r="H10" s="924" t="s">
        <v>674</v>
      </c>
      <c r="I10" s="933"/>
      <c r="J10" s="933"/>
    </row>
    <row r="11" ht="26.25" customHeight="1">
      <c r="A11" s="912">
        <v>9.0</v>
      </c>
      <c r="B11" s="913" t="b">
        <v>0</v>
      </c>
      <c r="C11" s="935" t="s">
        <v>6390</v>
      </c>
      <c r="D11" s="936" t="s">
        <v>6391</v>
      </c>
      <c r="E11" s="922">
        <v>7.503558081E9</v>
      </c>
      <c r="F11" s="924" t="s">
        <v>6392</v>
      </c>
      <c r="G11" s="924"/>
      <c r="H11" s="924"/>
      <c r="I11" s="933"/>
      <c r="J11" s="933"/>
    </row>
    <row r="12" ht="26.25" customHeight="1">
      <c r="A12" s="912">
        <v>10.0</v>
      </c>
      <c r="B12" s="913" t="b">
        <v>0</v>
      </c>
      <c r="C12" s="935" t="s">
        <v>6393</v>
      </c>
      <c r="D12" s="936" t="s">
        <v>6394</v>
      </c>
      <c r="E12" s="922">
        <v>7.8010000054E10</v>
      </c>
      <c r="F12" s="924"/>
      <c r="G12" s="924"/>
      <c r="H12" s="924" t="s">
        <v>6395</v>
      </c>
      <c r="I12" s="933"/>
      <c r="J12" s="933"/>
    </row>
    <row r="13" ht="26.25" customHeight="1">
      <c r="A13" s="937">
        <v>12.0</v>
      </c>
      <c r="B13" s="913" t="b">
        <v>0</v>
      </c>
      <c r="C13" s="938" t="s">
        <v>6396</v>
      </c>
      <c r="D13" s="939" t="s">
        <v>6397</v>
      </c>
      <c r="E13" s="939">
        <v>7.504200077E9</v>
      </c>
      <c r="F13" s="940" t="s">
        <v>6398</v>
      </c>
      <c r="G13" s="940"/>
      <c r="H13" s="941" t="s">
        <v>6399</v>
      </c>
      <c r="I13" s="942"/>
      <c r="J13" s="942"/>
    </row>
    <row r="14" ht="26.25" customHeight="1">
      <c r="A14" s="937">
        <v>13.0</v>
      </c>
      <c r="B14" s="913" t="b">
        <v>0</v>
      </c>
      <c r="C14" s="938" t="s">
        <v>6400</v>
      </c>
      <c r="D14" s="939" t="s">
        <v>2545</v>
      </c>
      <c r="E14" s="939">
        <v>7.504471976E9</v>
      </c>
      <c r="F14" s="940" t="s">
        <v>6401</v>
      </c>
      <c r="G14" s="940"/>
      <c r="H14" s="943" t="s">
        <v>674</v>
      </c>
      <c r="I14" s="944"/>
      <c r="J14" s="944"/>
    </row>
    <row r="15" ht="26.25" customHeight="1">
      <c r="A15" s="937">
        <v>14.0</v>
      </c>
      <c r="B15" s="913" t="b">
        <v>0</v>
      </c>
      <c r="C15" s="938" t="s">
        <v>6402</v>
      </c>
      <c r="D15" s="939" t="s">
        <v>6403</v>
      </c>
      <c r="E15" s="945" t="s">
        <v>6404</v>
      </c>
      <c r="F15" s="940" t="s">
        <v>6405</v>
      </c>
      <c r="G15" s="940"/>
      <c r="H15" s="943" t="s">
        <v>6406</v>
      </c>
      <c r="I15" s="944"/>
      <c r="J15" s="944"/>
    </row>
    <row r="16" ht="26.25" customHeight="1">
      <c r="A16" s="937">
        <v>15.0</v>
      </c>
      <c r="B16" s="913" t="b">
        <v>0</v>
      </c>
      <c r="C16" s="938" t="s">
        <v>6407</v>
      </c>
      <c r="D16" s="939" t="s">
        <v>6403</v>
      </c>
      <c r="E16" s="945" t="s">
        <v>6408</v>
      </c>
      <c r="F16" s="940" t="s">
        <v>6409</v>
      </c>
      <c r="G16" s="940"/>
      <c r="H16" s="946" t="s">
        <v>6410</v>
      </c>
      <c r="I16" s="942"/>
      <c r="J16" s="942"/>
    </row>
    <row r="17" ht="26.25" customHeight="1">
      <c r="A17" s="937">
        <v>16.0</v>
      </c>
      <c r="B17" s="913" t="b">
        <v>0</v>
      </c>
      <c r="C17" s="938" t="s">
        <v>6411</v>
      </c>
      <c r="D17" s="939" t="s">
        <v>2545</v>
      </c>
      <c r="E17" s="939">
        <v>7.50470333E9</v>
      </c>
      <c r="F17" s="940" t="s">
        <v>6412</v>
      </c>
      <c r="G17" s="940"/>
      <c r="H17" s="946" t="s">
        <v>674</v>
      </c>
      <c r="I17" s="942"/>
      <c r="J17" s="942"/>
    </row>
    <row r="18" ht="26.25" customHeight="1">
      <c r="A18" s="937">
        <v>17.0</v>
      </c>
      <c r="B18" s="913" t="b">
        <v>0</v>
      </c>
      <c r="C18" s="938" t="s">
        <v>6413</v>
      </c>
      <c r="D18" s="939" t="s">
        <v>6414</v>
      </c>
      <c r="E18" s="939">
        <v>7.504485917E9</v>
      </c>
      <c r="F18" s="940" t="s">
        <v>6415</v>
      </c>
      <c r="G18" s="940"/>
      <c r="H18" s="946" t="s">
        <v>674</v>
      </c>
      <c r="I18" s="942"/>
      <c r="J18" s="942"/>
    </row>
    <row r="19" ht="26.25" customHeight="1">
      <c r="A19" s="937">
        <v>18.0</v>
      </c>
      <c r="B19" s="913" t="b">
        <v>0</v>
      </c>
      <c r="C19" s="938" t="s">
        <v>6416</v>
      </c>
      <c r="D19" s="939" t="s">
        <v>2524</v>
      </c>
      <c r="E19" s="939">
        <v>7.501900306E9</v>
      </c>
      <c r="F19" s="940" t="s">
        <v>6417</v>
      </c>
      <c r="G19" s="940"/>
      <c r="H19" s="943" t="s">
        <v>674</v>
      </c>
      <c r="I19" s="944"/>
      <c r="J19" s="944"/>
    </row>
    <row r="20" ht="26.25" customHeight="1">
      <c r="A20" s="937">
        <v>19.0</v>
      </c>
      <c r="B20" s="913" t="b">
        <v>0</v>
      </c>
      <c r="C20" s="938" t="s">
        <v>6418</v>
      </c>
      <c r="D20" s="939" t="s">
        <v>6419</v>
      </c>
      <c r="E20" s="945" t="s">
        <v>6420</v>
      </c>
      <c r="F20" s="940" t="s">
        <v>6421</v>
      </c>
      <c r="G20" s="940"/>
      <c r="H20" s="946" t="s">
        <v>6422</v>
      </c>
      <c r="I20" s="942"/>
      <c r="J20" s="942"/>
    </row>
    <row r="21" ht="26.25" customHeight="1">
      <c r="A21" s="937">
        <v>20.0</v>
      </c>
      <c r="B21" s="913" t="b">
        <v>0</v>
      </c>
      <c r="C21" s="938" t="s">
        <v>6423</v>
      </c>
      <c r="D21" s="939" t="s">
        <v>2524</v>
      </c>
      <c r="E21" s="939">
        <v>7.705443552E9</v>
      </c>
      <c r="F21" s="940" t="s">
        <v>6424</v>
      </c>
      <c r="G21" s="940"/>
      <c r="H21" s="946" t="s">
        <v>6425</v>
      </c>
      <c r="I21" s="942"/>
      <c r="J21" s="942"/>
    </row>
    <row r="22" ht="26.25" customHeight="1">
      <c r="A22" s="937">
        <v>21.0</v>
      </c>
      <c r="B22" s="913" t="b">
        <v>0</v>
      </c>
      <c r="C22" s="938" t="s">
        <v>6426</v>
      </c>
      <c r="D22" s="939" t="s">
        <v>2524</v>
      </c>
      <c r="E22" s="939">
        <v>7.5117704E9</v>
      </c>
      <c r="F22" s="947"/>
      <c r="G22" s="947"/>
      <c r="H22" s="948" t="s">
        <v>6427</v>
      </c>
      <c r="I22" s="949"/>
      <c r="J22" s="949"/>
    </row>
    <row r="23" ht="26.25" customHeight="1">
      <c r="A23" s="937">
        <v>22.0</v>
      </c>
      <c r="B23" s="913" t="b">
        <v>0</v>
      </c>
      <c r="C23" s="938" t="s">
        <v>6428</v>
      </c>
      <c r="D23" s="939" t="s">
        <v>6429</v>
      </c>
      <c r="E23" s="939">
        <v>7.504452961E9</v>
      </c>
      <c r="F23" s="940" t="s">
        <v>6430</v>
      </c>
      <c r="G23" s="940"/>
      <c r="H23" s="946" t="s">
        <v>6431</v>
      </c>
      <c r="I23" s="942"/>
      <c r="J23" s="942"/>
    </row>
    <row r="24" ht="26.25" customHeight="1">
      <c r="A24" s="937">
        <v>23.0</v>
      </c>
      <c r="B24" s="913" t="b">
        <v>0</v>
      </c>
      <c r="C24" s="938" t="s">
        <v>6432</v>
      </c>
      <c r="D24" s="939" t="s">
        <v>6433</v>
      </c>
      <c r="E24" s="939">
        <v>7.504458268E9</v>
      </c>
      <c r="F24" s="940" t="s">
        <v>6434</v>
      </c>
      <c r="G24" s="940"/>
      <c r="H24" s="946" t="s">
        <v>6435</v>
      </c>
      <c r="I24" s="942"/>
      <c r="J24" s="942"/>
    </row>
    <row r="25" ht="26.25" customHeight="1">
      <c r="A25" s="937">
        <v>24.0</v>
      </c>
      <c r="B25" s="913" t="b">
        <v>0</v>
      </c>
      <c r="C25" s="938" t="s">
        <v>6436</v>
      </c>
      <c r="D25" s="939" t="s">
        <v>6437</v>
      </c>
      <c r="E25" s="939">
        <v>7.504646423E9</v>
      </c>
      <c r="F25" s="940" t="s">
        <v>6438</v>
      </c>
      <c r="G25" s="940"/>
      <c r="H25" s="946" t="s">
        <v>674</v>
      </c>
      <c r="I25" s="942"/>
      <c r="J25" s="942"/>
    </row>
    <row r="26" ht="26.25" customHeight="1">
      <c r="A26" s="937">
        <v>25.0</v>
      </c>
      <c r="B26" s="913" t="b">
        <v>0</v>
      </c>
      <c r="C26" s="938" t="s">
        <v>6439</v>
      </c>
      <c r="D26" s="939" t="s">
        <v>2524</v>
      </c>
      <c r="E26" s="939">
        <v>7.514414E9</v>
      </c>
      <c r="F26" s="940" t="s">
        <v>6440</v>
      </c>
      <c r="G26" s="940"/>
      <c r="H26" s="946" t="s">
        <v>674</v>
      </c>
      <c r="I26" s="942"/>
      <c r="J26" s="942"/>
    </row>
    <row r="27" ht="26.25" customHeight="1">
      <c r="A27" s="937">
        <v>26.0</v>
      </c>
      <c r="B27" s="913" t="b">
        <v>0</v>
      </c>
      <c r="C27" s="938" t="s">
        <v>6441</v>
      </c>
      <c r="D27" s="939" t="s">
        <v>2524</v>
      </c>
      <c r="E27" s="939">
        <v>7.507232114E9</v>
      </c>
      <c r="F27" s="947"/>
      <c r="G27" s="947"/>
      <c r="H27" s="948" t="s">
        <v>6442</v>
      </c>
      <c r="I27" s="949"/>
      <c r="J27" s="949"/>
    </row>
    <row r="28" ht="26.25" customHeight="1">
      <c r="A28" s="937">
        <v>27.0</v>
      </c>
      <c r="B28" s="913" t="b">
        <v>0</v>
      </c>
      <c r="C28" s="938" t="s">
        <v>6443</v>
      </c>
      <c r="D28" s="939" t="s">
        <v>6429</v>
      </c>
      <c r="E28" s="939">
        <v>7.701510679E9</v>
      </c>
      <c r="F28" s="940" t="s">
        <v>6444</v>
      </c>
      <c r="G28" s="940"/>
      <c r="H28" s="946" t="s">
        <v>6445</v>
      </c>
      <c r="I28" s="942"/>
      <c r="J28" s="942"/>
    </row>
    <row r="29" ht="26.25" customHeight="1">
      <c r="A29" s="937">
        <v>28.0</v>
      </c>
      <c r="B29" s="913" t="b">
        <v>0</v>
      </c>
      <c r="C29" s="938" t="s">
        <v>6446</v>
      </c>
      <c r="D29" s="939" t="s">
        <v>6447</v>
      </c>
      <c r="E29" s="939">
        <v>7.504485918E9</v>
      </c>
      <c r="F29" s="940" t="s">
        <v>6448</v>
      </c>
      <c r="G29" s="940"/>
      <c r="H29" s="946" t="s">
        <v>674</v>
      </c>
      <c r="I29" s="942"/>
      <c r="J29" s="942"/>
    </row>
    <row r="30" ht="26.25" customHeight="1">
      <c r="A30" s="937">
        <v>29.0</v>
      </c>
      <c r="B30" s="913" t="b">
        <v>0</v>
      </c>
      <c r="C30" s="950" t="s">
        <v>6449</v>
      </c>
      <c r="D30" s="951" t="s">
        <v>6450</v>
      </c>
      <c r="E30" s="951">
        <v>7.504527677E9</v>
      </c>
      <c r="F30" s="952" t="s">
        <v>6451</v>
      </c>
      <c r="G30" s="952"/>
      <c r="H30" s="953" t="s">
        <v>6452</v>
      </c>
      <c r="I30" s="954"/>
      <c r="J30" s="954"/>
    </row>
    <row r="31" ht="26.25" customHeight="1">
      <c r="A31" s="937">
        <v>30.0</v>
      </c>
      <c r="B31" s="913" t="b">
        <v>0</v>
      </c>
      <c r="C31" s="950" t="s">
        <v>6453</v>
      </c>
      <c r="D31" s="951" t="s">
        <v>2545</v>
      </c>
      <c r="E31" s="951">
        <v>7.504455544E9</v>
      </c>
      <c r="F31" s="952" t="s">
        <v>6454</v>
      </c>
      <c r="G31" s="952"/>
      <c r="H31" s="953" t="s">
        <v>6455</v>
      </c>
      <c r="I31" s="954"/>
      <c r="J31" s="954"/>
    </row>
    <row r="32" ht="26.25" customHeight="1">
      <c r="A32" s="937">
        <v>31.0</v>
      </c>
      <c r="B32" s="913" t="b">
        <v>0</v>
      </c>
      <c r="C32" s="950" t="s">
        <v>6456</v>
      </c>
      <c r="D32" s="951" t="s">
        <v>6457</v>
      </c>
      <c r="E32" s="951">
        <v>7.503940088E9</v>
      </c>
      <c r="F32" s="952" t="s">
        <v>6458</v>
      </c>
      <c r="G32" s="952"/>
      <c r="H32" s="953" t="s">
        <v>6459</v>
      </c>
      <c r="I32" s="954"/>
      <c r="J32" s="954"/>
    </row>
    <row r="33" ht="26.25" customHeight="1">
      <c r="A33" s="937">
        <v>32.0</v>
      </c>
      <c r="B33" s="913" t="b">
        <v>0</v>
      </c>
      <c r="C33" s="950" t="s">
        <v>6460</v>
      </c>
      <c r="D33" s="951" t="s">
        <v>2545</v>
      </c>
      <c r="E33" s="951">
        <v>7.504362141E9</v>
      </c>
      <c r="F33" s="952" t="s">
        <v>6461</v>
      </c>
      <c r="G33" s="952"/>
      <c r="H33" s="953" t="s">
        <v>6462</v>
      </c>
      <c r="I33" s="954"/>
      <c r="J33" s="954"/>
    </row>
    <row r="34" ht="26.25" customHeight="1">
      <c r="A34" s="937">
        <v>33.0</v>
      </c>
      <c r="B34" s="913" t="b">
        <v>0</v>
      </c>
      <c r="C34" s="950" t="s">
        <v>6463</v>
      </c>
      <c r="D34" s="951" t="s">
        <v>6464</v>
      </c>
      <c r="E34" s="951">
        <v>7.517336136E9</v>
      </c>
      <c r="F34" s="952" t="s">
        <v>6465</v>
      </c>
      <c r="G34" s="952"/>
      <c r="H34" s="953" t="s">
        <v>6466</v>
      </c>
      <c r="I34" s="954"/>
      <c r="J34" s="954"/>
    </row>
    <row r="35" ht="26.25" customHeight="1">
      <c r="A35" s="937">
        <v>34.0</v>
      </c>
      <c r="B35" s="913" t="b">
        <v>0</v>
      </c>
      <c r="C35" s="950" t="s">
        <v>6467</v>
      </c>
      <c r="D35" s="951" t="s">
        <v>2524</v>
      </c>
      <c r="E35" s="951">
        <v>7.506751111E9</v>
      </c>
      <c r="F35" s="952" t="s">
        <v>6468</v>
      </c>
      <c r="G35" s="952"/>
      <c r="H35" s="953" t="s">
        <v>6469</v>
      </c>
      <c r="I35" s="954"/>
      <c r="J35" s="954"/>
    </row>
    <row r="36" ht="26.25" customHeight="1">
      <c r="A36" s="937">
        <v>35.0</v>
      </c>
      <c r="B36" s="913" t="b">
        <v>0</v>
      </c>
      <c r="C36" s="950" t="s">
        <v>6470</v>
      </c>
      <c r="D36" s="951" t="s">
        <v>6471</v>
      </c>
      <c r="E36" s="951">
        <v>7.504532268E9</v>
      </c>
      <c r="F36" s="952" t="s">
        <v>6472</v>
      </c>
      <c r="G36" s="952"/>
      <c r="H36" s="953" t="s">
        <v>6473</v>
      </c>
      <c r="I36" s="954"/>
      <c r="J36" s="954"/>
    </row>
    <row r="37" ht="26.25" customHeight="1">
      <c r="A37" s="937">
        <v>36.0</v>
      </c>
      <c r="B37" s="913" t="b">
        <v>0</v>
      </c>
      <c r="C37" s="950" t="s">
        <v>6474</v>
      </c>
      <c r="D37" s="951" t="s">
        <v>2545</v>
      </c>
      <c r="E37" s="951">
        <v>7.701512265E9</v>
      </c>
      <c r="F37" s="952" t="s">
        <v>6475</v>
      </c>
      <c r="G37" s="952"/>
      <c r="H37" s="953" t="s">
        <v>6476</v>
      </c>
      <c r="I37" s="954"/>
      <c r="J37" s="954"/>
    </row>
    <row r="38" ht="26.25" customHeight="1">
      <c r="A38" s="937">
        <v>37.0</v>
      </c>
      <c r="B38" s="913" t="b">
        <v>0</v>
      </c>
      <c r="C38" s="950" t="s">
        <v>6477</v>
      </c>
      <c r="D38" s="951" t="s">
        <v>2545</v>
      </c>
      <c r="E38" s="951">
        <v>7.504510039E9</v>
      </c>
      <c r="F38" s="952" t="s">
        <v>6478</v>
      </c>
      <c r="G38" s="952"/>
      <c r="H38" s="953" t="s">
        <v>674</v>
      </c>
      <c r="I38" s="954"/>
      <c r="J38" s="954"/>
    </row>
    <row r="39" ht="26.25" customHeight="1">
      <c r="A39" s="937">
        <v>38.0</v>
      </c>
      <c r="B39" s="913" t="b">
        <v>0</v>
      </c>
      <c r="C39" s="950" t="s">
        <v>6479</v>
      </c>
      <c r="D39" s="951" t="s">
        <v>2524</v>
      </c>
      <c r="E39" s="951">
        <v>7.504490045E9</v>
      </c>
      <c r="F39" s="955" t="s">
        <v>6480</v>
      </c>
      <c r="G39" s="955"/>
      <c r="H39" s="953" t="s">
        <v>674</v>
      </c>
      <c r="I39" s="954"/>
      <c r="J39" s="954"/>
    </row>
    <row r="40" ht="26.25" customHeight="1">
      <c r="A40" s="937">
        <v>39.0</v>
      </c>
      <c r="B40" s="913" t="b">
        <v>0</v>
      </c>
      <c r="C40" s="950" t="s">
        <v>6481</v>
      </c>
      <c r="D40" s="951" t="s">
        <v>6482</v>
      </c>
      <c r="E40" s="951">
        <v>7.501234113E9</v>
      </c>
      <c r="F40" s="952" t="s">
        <v>6483</v>
      </c>
      <c r="G40" s="952"/>
      <c r="H40" s="956"/>
      <c r="I40" s="957"/>
      <c r="J40" s="957"/>
    </row>
    <row r="41" ht="26.25" customHeight="1">
      <c r="A41" s="937">
        <v>40.0</v>
      </c>
      <c r="B41" s="913" t="b">
        <v>0</v>
      </c>
      <c r="C41" s="950" t="s">
        <v>6484</v>
      </c>
      <c r="D41" s="951" t="s">
        <v>2524</v>
      </c>
      <c r="E41" s="951">
        <v>7.701612763E9</v>
      </c>
      <c r="F41" s="952" t="s">
        <v>6485</v>
      </c>
      <c r="G41" s="952"/>
      <c r="H41" s="958" t="s">
        <v>6486</v>
      </c>
      <c r="I41" s="959"/>
      <c r="J41" s="959"/>
    </row>
    <row r="42" ht="26.25" customHeight="1">
      <c r="A42" s="937">
        <v>41.0</v>
      </c>
      <c r="B42" s="913" t="b">
        <v>0</v>
      </c>
      <c r="C42" s="950" t="s">
        <v>6487</v>
      </c>
      <c r="D42" s="951" t="s">
        <v>2524</v>
      </c>
      <c r="E42" s="951">
        <v>7.503470707E9</v>
      </c>
      <c r="F42" s="955" t="s">
        <v>6480</v>
      </c>
      <c r="G42" s="955"/>
      <c r="H42" s="953" t="s">
        <v>6488</v>
      </c>
      <c r="I42" s="954"/>
      <c r="J42" s="954"/>
    </row>
    <row r="43" ht="26.25" customHeight="1">
      <c r="A43" s="937">
        <v>42.0</v>
      </c>
      <c r="B43" s="913" t="b">
        <v>0</v>
      </c>
      <c r="C43" s="950" t="s">
        <v>6489</v>
      </c>
      <c r="D43" s="951" t="s">
        <v>2524</v>
      </c>
      <c r="E43" s="951">
        <v>7.504457299E9</v>
      </c>
      <c r="F43" s="952" t="s">
        <v>6490</v>
      </c>
      <c r="G43" s="952"/>
      <c r="H43" s="953" t="s">
        <v>6491</v>
      </c>
      <c r="I43" s="954"/>
      <c r="J43" s="954"/>
    </row>
    <row r="44" ht="26.25" customHeight="1">
      <c r="A44" s="937">
        <v>43.0</v>
      </c>
      <c r="B44" s="913" t="b">
        <v>0</v>
      </c>
      <c r="C44" s="950" t="s">
        <v>6492</v>
      </c>
      <c r="D44" s="951" t="s">
        <v>2524</v>
      </c>
      <c r="E44" s="951">
        <v>7.507403206E9</v>
      </c>
      <c r="F44" s="952" t="s">
        <v>6493</v>
      </c>
      <c r="G44" s="952"/>
      <c r="H44" s="953" t="s">
        <v>6494</v>
      </c>
      <c r="I44" s="954"/>
      <c r="J44" s="954"/>
    </row>
    <row r="45" ht="26.25" customHeight="1">
      <c r="A45" s="937">
        <v>44.0</v>
      </c>
      <c r="B45" s="913" t="b">
        <v>0</v>
      </c>
      <c r="C45" s="950" t="s">
        <v>6495</v>
      </c>
      <c r="D45" s="951" t="s">
        <v>6496</v>
      </c>
      <c r="E45" s="951">
        <v>7.504589569E9</v>
      </c>
      <c r="F45" s="952" t="s">
        <v>6497</v>
      </c>
      <c r="G45" s="952"/>
      <c r="H45" s="953" t="s">
        <v>6498</v>
      </c>
      <c r="I45" s="954"/>
      <c r="J45" s="954"/>
    </row>
    <row r="46" ht="26.25" customHeight="1">
      <c r="A46" s="937">
        <v>45.0</v>
      </c>
      <c r="B46" s="913" t="b">
        <v>0</v>
      </c>
      <c r="C46" s="950" t="s">
        <v>6499</v>
      </c>
      <c r="D46" s="951" t="s">
        <v>6500</v>
      </c>
      <c r="E46" s="951">
        <v>7.516586353E9</v>
      </c>
      <c r="F46" s="952" t="s">
        <v>6501</v>
      </c>
      <c r="G46" s="952"/>
      <c r="H46" s="953" t="s">
        <v>6502</v>
      </c>
      <c r="I46" s="954"/>
      <c r="J46" s="954"/>
    </row>
    <row r="47" ht="26.25" customHeight="1">
      <c r="A47" s="937">
        <v>46.0</v>
      </c>
      <c r="B47" s="913" t="b">
        <v>0</v>
      </c>
      <c r="C47" s="950" t="s">
        <v>6503</v>
      </c>
      <c r="D47" s="951" t="s">
        <v>6504</v>
      </c>
      <c r="E47" s="951">
        <v>7.505545141E9</v>
      </c>
      <c r="F47" s="952" t="s">
        <v>6505</v>
      </c>
      <c r="G47" s="952"/>
      <c r="H47" s="953" t="s">
        <v>6506</v>
      </c>
      <c r="I47" s="954"/>
      <c r="J47" s="954"/>
    </row>
    <row r="48" ht="26.25" customHeight="1">
      <c r="A48" s="937">
        <v>47.0</v>
      </c>
      <c r="B48" s="913" t="b">
        <v>0</v>
      </c>
      <c r="C48" s="950" t="s">
        <v>6507</v>
      </c>
      <c r="D48" s="951" t="s">
        <v>2524</v>
      </c>
      <c r="E48" s="951">
        <v>7.50746419E9</v>
      </c>
      <c r="F48" s="952" t="s">
        <v>6508</v>
      </c>
      <c r="G48" s="952"/>
      <c r="H48" s="953" t="s">
        <v>6509</v>
      </c>
      <c r="I48" s="954"/>
      <c r="J48" s="954"/>
    </row>
    <row r="49" ht="22.5" hidden="1" customHeight="1">
      <c r="A49" s="937">
        <v>48.0</v>
      </c>
      <c r="B49" s="913" t="b">
        <v>0</v>
      </c>
      <c r="C49" s="950" t="s">
        <v>6510</v>
      </c>
      <c r="D49" s="951" t="s">
        <v>6511</v>
      </c>
      <c r="E49" s="951">
        <v>7.504586313E9</v>
      </c>
      <c r="F49" s="952" t="s">
        <v>6512</v>
      </c>
      <c r="G49" s="952"/>
      <c r="H49" s="953" t="s">
        <v>6513</v>
      </c>
      <c r="I49" s="954"/>
      <c r="J49" s="954"/>
    </row>
    <row r="50" ht="22.5" customHeight="1">
      <c r="A50" s="937">
        <v>49.0</v>
      </c>
      <c r="B50" s="913" t="b">
        <v>0</v>
      </c>
      <c r="C50" s="950" t="s">
        <v>6514</v>
      </c>
      <c r="D50" s="951" t="s">
        <v>6504</v>
      </c>
      <c r="E50" s="951">
        <v>7.508223311E9</v>
      </c>
      <c r="F50" s="952" t="s">
        <v>6515</v>
      </c>
      <c r="G50" s="952"/>
      <c r="H50" s="953" t="s">
        <v>6516</v>
      </c>
      <c r="I50" s="954"/>
      <c r="J50" s="954"/>
    </row>
    <row r="51" ht="22.5" customHeight="1">
      <c r="A51" s="937">
        <v>50.0</v>
      </c>
      <c r="B51" s="913" t="b">
        <v>0</v>
      </c>
      <c r="C51" s="950" t="s">
        <v>6517</v>
      </c>
      <c r="D51" s="951" t="s">
        <v>2545</v>
      </c>
      <c r="E51" s="951">
        <v>7.504474512E9</v>
      </c>
      <c r="F51" s="952" t="s">
        <v>6518</v>
      </c>
      <c r="G51" s="952"/>
      <c r="H51" s="958" t="s">
        <v>6480</v>
      </c>
      <c r="I51" s="959"/>
      <c r="J51" s="959"/>
    </row>
    <row r="52" ht="22.5" customHeight="1">
      <c r="A52" s="937">
        <v>51.0</v>
      </c>
      <c r="B52" s="913" t="b">
        <v>0</v>
      </c>
      <c r="C52" s="950" t="s">
        <v>6519</v>
      </c>
      <c r="D52" s="951" t="s">
        <v>2545</v>
      </c>
      <c r="E52" s="951">
        <v>7.504454095E9</v>
      </c>
      <c r="F52" s="955" t="s">
        <v>6480</v>
      </c>
      <c r="G52" s="955"/>
      <c r="H52" s="958" t="s">
        <v>6520</v>
      </c>
      <c r="I52" s="959"/>
      <c r="J52" s="959"/>
    </row>
    <row r="53" ht="22.5" customHeight="1">
      <c r="A53" s="937">
        <v>52.0</v>
      </c>
      <c r="B53" s="913" t="b">
        <v>0</v>
      </c>
      <c r="C53" s="950" t="s">
        <v>6521</v>
      </c>
      <c r="D53" s="951" t="s">
        <v>2524</v>
      </c>
      <c r="E53" s="951">
        <v>7.501547383E9</v>
      </c>
      <c r="F53" s="952" t="s">
        <v>6522</v>
      </c>
      <c r="G53" s="952"/>
      <c r="H53" s="958" t="s">
        <v>6480</v>
      </c>
      <c r="I53" s="959"/>
      <c r="J53" s="959"/>
    </row>
    <row r="54" ht="22.5" customHeight="1">
      <c r="A54" s="937">
        <v>53.0</v>
      </c>
      <c r="B54" s="913" t="b">
        <v>0</v>
      </c>
      <c r="C54" s="950" t="s">
        <v>6523</v>
      </c>
      <c r="D54" s="951" t="s">
        <v>2524</v>
      </c>
      <c r="E54" s="951">
        <v>7.504535472E9</v>
      </c>
      <c r="F54" s="952" t="s">
        <v>6524</v>
      </c>
      <c r="G54" s="952"/>
      <c r="H54" s="953" t="s">
        <v>6525</v>
      </c>
      <c r="I54" s="954"/>
      <c r="J54" s="954"/>
    </row>
    <row r="55" ht="22.5" customHeight="1">
      <c r="A55" s="937">
        <v>54.0</v>
      </c>
      <c r="B55" s="913" t="b">
        <v>0</v>
      </c>
      <c r="C55" s="950" t="s">
        <v>6526</v>
      </c>
      <c r="D55" s="951" t="s">
        <v>6527</v>
      </c>
      <c r="E55" s="951">
        <v>7.504972737E9</v>
      </c>
      <c r="F55" s="952" t="s">
        <v>6528</v>
      </c>
      <c r="G55" s="952"/>
      <c r="H55" s="953" t="s">
        <v>6529</v>
      </c>
      <c r="I55" s="954"/>
      <c r="J55" s="954"/>
    </row>
    <row r="56" ht="22.5" customHeight="1">
      <c r="A56" s="937">
        <v>55.0</v>
      </c>
      <c r="B56" s="913" t="b">
        <v>0</v>
      </c>
      <c r="C56" s="950" t="s">
        <v>6530</v>
      </c>
      <c r="D56" s="951" t="s">
        <v>6531</v>
      </c>
      <c r="E56" s="951">
        <v>7.504459765E9</v>
      </c>
      <c r="F56" s="952" t="s">
        <v>6532</v>
      </c>
      <c r="G56" s="952"/>
      <c r="H56" s="953" t="s">
        <v>6533</v>
      </c>
      <c r="I56" s="954"/>
      <c r="J56" s="954"/>
    </row>
    <row r="57" ht="22.5" customHeight="1">
      <c r="A57" s="937">
        <v>56.0</v>
      </c>
      <c r="B57" s="913" t="b">
        <v>0</v>
      </c>
      <c r="C57" s="950" t="s">
        <v>6534</v>
      </c>
      <c r="D57" s="951" t="s">
        <v>2524</v>
      </c>
      <c r="E57" s="951">
        <v>7.504496727E9</v>
      </c>
      <c r="F57" s="952" t="s">
        <v>6535</v>
      </c>
      <c r="G57" s="952"/>
      <c r="H57" s="953" t="s">
        <v>6536</v>
      </c>
      <c r="I57" s="954"/>
      <c r="J57" s="954"/>
    </row>
    <row r="58" ht="22.5" customHeight="1">
      <c r="A58" s="937">
        <v>57.0</v>
      </c>
      <c r="B58" s="913" t="b">
        <v>0</v>
      </c>
      <c r="C58" s="950" t="s">
        <v>6537</v>
      </c>
      <c r="D58" s="951" t="s">
        <v>6504</v>
      </c>
      <c r="E58" s="951">
        <v>7.504455977E9</v>
      </c>
      <c r="F58" s="952" t="s">
        <v>6538</v>
      </c>
      <c r="G58" s="952"/>
      <c r="H58" s="953" t="s">
        <v>6539</v>
      </c>
      <c r="I58" s="954"/>
      <c r="J58" s="954"/>
    </row>
    <row r="59" ht="22.5" customHeight="1">
      <c r="A59" s="937">
        <v>58.0</v>
      </c>
      <c r="B59" s="913" t="b">
        <v>0</v>
      </c>
      <c r="C59" s="950" t="s">
        <v>6540</v>
      </c>
      <c r="D59" s="951" t="s">
        <v>2524</v>
      </c>
      <c r="E59" s="951">
        <v>7.504523613E9</v>
      </c>
      <c r="F59" s="955" t="s">
        <v>6480</v>
      </c>
      <c r="G59" s="955"/>
      <c r="H59" s="953" t="s">
        <v>6506</v>
      </c>
      <c r="I59" s="954"/>
      <c r="J59" s="954"/>
    </row>
    <row r="60" ht="22.5" customHeight="1">
      <c r="A60" s="937">
        <v>59.0</v>
      </c>
      <c r="B60" s="913" t="b">
        <v>0</v>
      </c>
      <c r="C60" s="950" t="s">
        <v>6541</v>
      </c>
      <c r="D60" s="951" t="s">
        <v>2524</v>
      </c>
      <c r="E60" s="951">
        <v>7.50422338E9</v>
      </c>
      <c r="F60" s="955" t="s">
        <v>6480</v>
      </c>
      <c r="G60" s="955"/>
      <c r="H60" s="953" t="s">
        <v>6542</v>
      </c>
      <c r="I60" s="954"/>
      <c r="J60" s="954"/>
    </row>
    <row r="61" ht="22.5" customHeight="1">
      <c r="A61" s="937">
        <v>60.0</v>
      </c>
      <c r="B61" s="913" t="b">
        <v>0</v>
      </c>
      <c r="C61" s="950" t="s">
        <v>6543</v>
      </c>
      <c r="D61" s="951" t="s">
        <v>2524</v>
      </c>
      <c r="E61" s="951">
        <v>7.51640506E9</v>
      </c>
      <c r="F61" s="955" t="s">
        <v>6480</v>
      </c>
      <c r="G61" s="955"/>
      <c r="H61" s="953" t="s">
        <v>6544</v>
      </c>
      <c r="I61" s="954"/>
      <c r="J61" s="954"/>
    </row>
    <row r="62" ht="22.5" customHeight="1">
      <c r="A62" s="937">
        <v>61.0</v>
      </c>
      <c r="B62" s="913" t="b">
        <v>0</v>
      </c>
      <c r="C62" s="950" t="s">
        <v>6545</v>
      </c>
      <c r="D62" s="951" t="s">
        <v>2524</v>
      </c>
      <c r="E62" s="951">
        <v>7.503447044E9</v>
      </c>
      <c r="F62" s="947"/>
      <c r="G62" s="947"/>
      <c r="H62" s="960" t="s">
        <v>6546</v>
      </c>
      <c r="I62" s="961"/>
      <c r="J62" s="961"/>
    </row>
    <row r="63" ht="22.5" customHeight="1">
      <c r="A63" s="937">
        <v>62.0</v>
      </c>
      <c r="B63" s="913" t="b">
        <v>0</v>
      </c>
      <c r="C63" s="950" t="s">
        <v>6547</v>
      </c>
      <c r="D63" s="951" t="s">
        <v>2524</v>
      </c>
      <c r="E63" s="951">
        <v>7.501631107E9</v>
      </c>
      <c r="F63" s="952" t="s">
        <v>6548</v>
      </c>
      <c r="G63" s="952"/>
      <c r="H63" s="953" t="s">
        <v>6549</v>
      </c>
      <c r="I63" s="954"/>
      <c r="J63" s="954"/>
    </row>
    <row r="64" ht="22.5" customHeight="1">
      <c r="A64" s="937">
        <v>63.0</v>
      </c>
      <c r="B64" s="913" t="b">
        <v>0</v>
      </c>
      <c r="C64" s="950" t="s">
        <v>6550</v>
      </c>
      <c r="D64" s="951" t="s">
        <v>2524</v>
      </c>
      <c r="E64" s="951">
        <v>7.504550914E9</v>
      </c>
      <c r="F64" s="952" t="s">
        <v>6551</v>
      </c>
      <c r="G64" s="952"/>
      <c r="H64" s="953" t="s">
        <v>6552</v>
      </c>
      <c r="I64" s="954"/>
      <c r="J64" s="954"/>
    </row>
    <row r="65" ht="22.5" customHeight="1">
      <c r="A65" s="937">
        <v>64.0</v>
      </c>
      <c r="B65" s="913" t="b">
        <v>0</v>
      </c>
      <c r="C65" s="950" t="s">
        <v>6553</v>
      </c>
      <c r="D65" s="951" t="s">
        <v>2524</v>
      </c>
      <c r="E65" s="951">
        <v>7.504731621E9</v>
      </c>
      <c r="F65" s="952" t="s">
        <v>6554</v>
      </c>
      <c r="G65" s="952"/>
      <c r="H65" s="953" t="s">
        <v>6555</v>
      </c>
      <c r="I65" s="954"/>
      <c r="J65" s="954"/>
    </row>
    <row r="66" ht="22.5" customHeight="1">
      <c r="A66" s="937">
        <v>65.0</v>
      </c>
      <c r="B66" s="913" t="b">
        <v>0</v>
      </c>
      <c r="C66" s="950" t="s">
        <v>6556</v>
      </c>
      <c r="D66" s="951" t="s">
        <v>2524</v>
      </c>
      <c r="E66" s="951">
        <v>7.504531346E9</v>
      </c>
      <c r="F66" s="952" t="s">
        <v>6557</v>
      </c>
      <c r="G66" s="952"/>
      <c r="H66" s="953" t="s">
        <v>6558</v>
      </c>
      <c r="I66" s="954"/>
      <c r="J66" s="954"/>
    </row>
    <row r="67" ht="22.5" customHeight="1">
      <c r="A67" s="937">
        <v>66.0</v>
      </c>
      <c r="B67" s="913" t="b">
        <v>0</v>
      </c>
      <c r="C67" s="950" t="s">
        <v>6559</v>
      </c>
      <c r="D67" s="951" t="s">
        <v>6560</v>
      </c>
      <c r="E67" s="951">
        <v>7.507989976E9</v>
      </c>
      <c r="F67" s="952" t="s">
        <v>6561</v>
      </c>
      <c r="G67" s="952"/>
      <c r="H67" s="953" t="s">
        <v>6562</v>
      </c>
      <c r="I67" s="954"/>
      <c r="J67" s="954"/>
    </row>
    <row r="68" ht="22.5" customHeight="1">
      <c r="A68" s="937">
        <v>67.0</v>
      </c>
      <c r="B68" s="913" t="b">
        <v>0</v>
      </c>
      <c r="C68" s="950" t="s">
        <v>6563</v>
      </c>
      <c r="D68" s="951" t="s">
        <v>2524</v>
      </c>
      <c r="E68" s="951">
        <v>7.508465626E9</v>
      </c>
      <c r="F68" s="952" t="s">
        <v>6564</v>
      </c>
      <c r="G68" s="952"/>
      <c r="H68" s="953" t="s">
        <v>6565</v>
      </c>
      <c r="I68" s="954"/>
      <c r="J68" s="954"/>
    </row>
    <row r="69" ht="22.5" customHeight="1">
      <c r="A69" s="937">
        <v>68.0</v>
      </c>
      <c r="B69" s="913" t="b">
        <v>0</v>
      </c>
      <c r="C69" s="950" t="s">
        <v>6566</v>
      </c>
      <c r="D69" s="951" t="s">
        <v>6567</v>
      </c>
      <c r="E69" s="951">
        <v>7.50735933E9</v>
      </c>
      <c r="F69" s="952" t="s">
        <v>6568</v>
      </c>
      <c r="G69" s="952"/>
      <c r="H69" s="956"/>
      <c r="I69" s="957"/>
      <c r="J69" s="957"/>
    </row>
    <row r="70" ht="22.5" customHeight="1">
      <c r="A70" s="937">
        <v>69.0</v>
      </c>
      <c r="B70" s="913" t="b">
        <v>0</v>
      </c>
      <c r="C70" s="950" t="s">
        <v>6569</v>
      </c>
      <c r="D70" s="951" t="s">
        <v>2524</v>
      </c>
      <c r="E70" s="951">
        <v>7.504626602E9</v>
      </c>
      <c r="F70" s="952" t="s">
        <v>6570</v>
      </c>
      <c r="G70" s="952"/>
      <c r="H70" s="956"/>
      <c r="I70" s="957"/>
      <c r="J70" s="957"/>
    </row>
    <row r="71" ht="22.5" customHeight="1">
      <c r="A71" s="937">
        <v>70.0</v>
      </c>
      <c r="B71" s="913" t="b">
        <v>0</v>
      </c>
      <c r="C71" s="950" t="s">
        <v>6571</v>
      </c>
      <c r="D71" s="951" t="s">
        <v>6482</v>
      </c>
      <c r="E71" s="951">
        <v>7.504482026E9</v>
      </c>
      <c r="F71" s="952" t="s">
        <v>6572</v>
      </c>
      <c r="G71" s="952"/>
      <c r="H71" s="953" t="s">
        <v>6573</v>
      </c>
      <c r="I71" s="954"/>
      <c r="J71" s="954"/>
    </row>
    <row r="72" ht="22.5" customHeight="1">
      <c r="A72" s="937">
        <v>71.0</v>
      </c>
      <c r="B72" s="913" t="b">
        <v>0</v>
      </c>
      <c r="C72" s="950" t="s">
        <v>6574</v>
      </c>
      <c r="D72" s="951" t="s">
        <v>2524</v>
      </c>
      <c r="E72" s="951">
        <v>7.50446456E9</v>
      </c>
      <c r="F72" s="952" t="s">
        <v>6575</v>
      </c>
      <c r="G72" s="952"/>
      <c r="H72" s="953" t="s">
        <v>6576</v>
      </c>
      <c r="I72" s="954"/>
      <c r="J72" s="954"/>
    </row>
    <row r="73" ht="22.5" customHeight="1">
      <c r="A73" s="937">
        <v>72.0</v>
      </c>
      <c r="B73" s="913" t="b">
        <v>0</v>
      </c>
      <c r="C73" s="950" t="s">
        <v>6577</v>
      </c>
      <c r="D73" s="951" t="s">
        <v>2524</v>
      </c>
      <c r="E73" s="951">
        <v>7.507441443E9</v>
      </c>
      <c r="F73" s="947"/>
      <c r="G73" s="947"/>
      <c r="H73" s="953" t="s">
        <v>6578</v>
      </c>
      <c r="I73" s="954"/>
      <c r="J73" s="954"/>
    </row>
    <row r="74" ht="22.5" customHeight="1">
      <c r="A74" s="937">
        <v>73.0</v>
      </c>
      <c r="B74" s="913" t="b">
        <v>0</v>
      </c>
      <c r="C74" s="950" t="s">
        <v>6579</v>
      </c>
      <c r="D74" s="951" t="s">
        <v>2524</v>
      </c>
      <c r="E74" s="951">
        <v>7.50744994E9</v>
      </c>
      <c r="F74" s="952" t="s">
        <v>6580</v>
      </c>
      <c r="G74" s="952"/>
      <c r="H74" s="953" t="s">
        <v>6581</v>
      </c>
      <c r="I74" s="954"/>
      <c r="J74" s="954"/>
    </row>
    <row r="75" ht="22.5" customHeight="1">
      <c r="A75" s="937">
        <v>74.0</v>
      </c>
      <c r="B75" s="913" t="b">
        <v>0</v>
      </c>
      <c r="C75" s="950" t="s">
        <v>6582</v>
      </c>
      <c r="D75" s="951" t="s">
        <v>2545</v>
      </c>
      <c r="E75" s="951">
        <v>7.504429541E9</v>
      </c>
      <c r="F75" s="952" t="s">
        <v>6583</v>
      </c>
      <c r="G75" s="952"/>
      <c r="H75" s="956"/>
      <c r="I75" s="957"/>
      <c r="J75" s="957"/>
    </row>
    <row r="76" ht="22.5" customHeight="1">
      <c r="A76" s="937">
        <v>75.0</v>
      </c>
      <c r="B76" s="913" t="b">
        <v>0</v>
      </c>
      <c r="C76" s="950" t="s">
        <v>6584</v>
      </c>
      <c r="D76" s="951" t="s">
        <v>2524</v>
      </c>
      <c r="E76" s="951">
        <v>7.504665507E9</v>
      </c>
      <c r="F76" s="952" t="s">
        <v>6585</v>
      </c>
      <c r="G76" s="952"/>
      <c r="H76" s="953" t="s">
        <v>6586</v>
      </c>
      <c r="I76" s="954"/>
      <c r="J76" s="954"/>
    </row>
    <row r="77" ht="22.5" customHeight="1">
      <c r="A77" s="937">
        <v>76.0</v>
      </c>
      <c r="B77" s="913" t="b">
        <v>0</v>
      </c>
      <c r="C77" s="950" t="s">
        <v>6587</v>
      </c>
      <c r="D77" s="951" t="s">
        <v>2524</v>
      </c>
      <c r="E77" s="951">
        <v>7.504551217E9</v>
      </c>
      <c r="F77" s="952" t="s">
        <v>6588</v>
      </c>
      <c r="G77" s="952"/>
      <c r="H77" s="953" t="s">
        <v>6589</v>
      </c>
      <c r="I77" s="954"/>
      <c r="J77" s="954"/>
    </row>
    <row r="78" ht="22.5" customHeight="1">
      <c r="A78" s="937">
        <v>77.0</v>
      </c>
      <c r="B78" s="913" t="b">
        <v>0</v>
      </c>
      <c r="C78" s="950" t="s">
        <v>6590</v>
      </c>
      <c r="D78" s="951" t="s">
        <v>6504</v>
      </c>
      <c r="E78" s="951">
        <v>7.504456389E9</v>
      </c>
      <c r="F78" s="947"/>
      <c r="G78" s="947"/>
      <c r="H78" s="953" t="s">
        <v>6591</v>
      </c>
      <c r="I78" s="954"/>
      <c r="J78" s="954"/>
    </row>
    <row r="79" ht="22.5" customHeight="1">
      <c r="A79" s="937">
        <v>78.0</v>
      </c>
      <c r="B79" s="913" t="b">
        <v>0</v>
      </c>
      <c r="C79" s="950" t="s">
        <v>6592</v>
      </c>
      <c r="D79" s="951" t="s">
        <v>2524</v>
      </c>
      <c r="E79" s="951">
        <v>7.504744816E9</v>
      </c>
      <c r="F79" s="952" t="s">
        <v>6593</v>
      </c>
      <c r="G79" s="952"/>
      <c r="H79" s="953" t="s">
        <v>6594</v>
      </c>
      <c r="I79" s="954"/>
      <c r="J79" s="954"/>
    </row>
    <row r="80" ht="22.5" customHeight="1">
      <c r="A80" s="937">
        <v>79.0</v>
      </c>
      <c r="B80" s="913" t="b">
        <v>0</v>
      </c>
      <c r="C80" s="950" t="s">
        <v>6595</v>
      </c>
      <c r="D80" s="951" t="s">
        <v>6596</v>
      </c>
      <c r="E80" s="951">
        <v>7.500211E9</v>
      </c>
      <c r="F80" s="952" t="s">
        <v>6597</v>
      </c>
      <c r="G80" s="952"/>
      <c r="H80" s="953" t="s">
        <v>6598</v>
      </c>
      <c r="I80" s="954"/>
      <c r="J80" s="954"/>
    </row>
    <row r="81" ht="22.5" customHeight="1">
      <c r="A81" s="937">
        <v>80.0</v>
      </c>
      <c r="B81" s="913" t="b">
        <v>0</v>
      </c>
      <c r="C81" s="950" t="s">
        <v>6599</v>
      </c>
      <c r="D81" s="951" t="s">
        <v>2545</v>
      </c>
      <c r="E81" s="951">
        <v>7.50950202E9</v>
      </c>
      <c r="F81" s="952" t="s">
        <v>6600</v>
      </c>
      <c r="G81" s="952"/>
      <c r="H81" s="953" t="s">
        <v>6601</v>
      </c>
      <c r="I81" s="954"/>
      <c r="J81" s="954"/>
    </row>
    <row r="82" ht="22.5" customHeight="1">
      <c r="A82" s="937">
        <v>81.0</v>
      </c>
      <c r="B82" s="913" t="b">
        <v>0</v>
      </c>
      <c r="C82" s="950" t="s">
        <v>6602</v>
      </c>
      <c r="D82" s="951" t="s">
        <v>2524</v>
      </c>
      <c r="E82" s="951">
        <v>7.508135695E9</v>
      </c>
      <c r="F82" s="952" t="s">
        <v>6603</v>
      </c>
      <c r="G82" s="952"/>
      <c r="H82" s="953" t="s">
        <v>6604</v>
      </c>
      <c r="I82" s="954"/>
      <c r="J82" s="954"/>
    </row>
    <row r="83" ht="22.5" customHeight="1">
      <c r="A83" s="937">
        <v>82.0</v>
      </c>
      <c r="B83" s="913" t="b">
        <v>0</v>
      </c>
      <c r="C83" s="950" t="s">
        <v>6605</v>
      </c>
      <c r="D83" s="951" t="s">
        <v>2524</v>
      </c>
      <c r="E83" s="951">
        <v>7.5135005E9</v>
      </c>
      <c r="F83" s="947"/>
      <c r="G83" s="947"/>
      <c r="H83" s="953" t="s">
        <v>6606</v>
      </c>
      <c r="I83" s="954"/>
      <c r="J83" s="954"/>
    </row>
    <row r="84" ht="22.5" customHeight="1">
      <c r="A84" s="937">
        <v>83.0</v>
      </c>
      <c r="B84" s="913" t="b">
        <v>0</v>
      </c>
      <c r="C84" s="950" t="s">
        <v>6607</v>
      </c>
      <c r="D84" s="951" t="s">
        <v>2524</v>
      </c>
      <c r="E84" s="951">
        <v>7.5033309E9</v>
      </c>
      <c r="F84" s="952" t="s">
        <v>6608</v>
      </c>
      <c r="G84" s="952"/>
      <c r="H84" s="953" t="s">
        <v>6609</v>
      </c>
      <c r="I84" s="954"/>
      <c r="J84" s="954"/>
    </row>
    <row r="85" ht="22.5" customHeight="1">
      <c r="A85" s="937">
        <v>84.0</v>
      </c>
      <c r="B85" s="913" t="b">
        <v>0</v>
      </c>
      <c r="C85" s="950" t="s">
        <v>6610</v>
      </c>
      <c r="D85" s="951" t="s">
        <v>6611</v>
      </c>
      <c r="E85" s="951">
        <v>7.800024706E9</v>
      </c>
      <c r="F85" s="952" t="s">
        <v>6612</v>
      </c>
      <c r="G85" s="952"/>
      <c r="H85" s="953" t="s">
        <v>6613</v>
      </c>
      <c r="I85" s="954"/>
      <c r="J85" s="954"/>
    </row>
    <row r="86" ht="22.5" customHeight="1">
      <c r="A86" s="937">
        <v>85.0</v>
      </c>
      <c r="B86" s="913" t="b">
        <v>0</v>
      </c>
      <c r="C86" s="950" t="s">
        <v>6614</v>
      </c>
      <c r="D86" s="951" t="s">
        <v>2545</v>
      </c>
      <c r="E86" s="951">
        <v>7.703200005E9</v>
      </c>
      <c r="F86" s="952" t="s">
        <v>6615</v>
      </c>
      <c r="G86" s="952"/>
      <c r="H86" s="953" t="s">
        <v>6616</v>
      </c>
      <c r="I86" s="954"/>
      <c r="J86" s="954"/>
    </row>
    <row r="87" ht="22.5" customHeight="1">
      <c r="A87" s="937">
        <v>86.0</v>
      </c>
      <c r="B87" s="913" t="b">
        <v>0</v>
      </c>
      <c r="C87" s="950" t="s">
        <v>6617</v>
      </c>
      <c r="D87" s="951" t="s">
        <v>2570</v>
      </c>
      <c r="E87" s="951">
        <v>7.51235907E9</v>
      </c>
      <c r="F87" s="952" t="s">
        <v>6618</v>
      </c>
      <c r="G87" s="952"/>
      <c r="H87" s="953" t="s">
        <v>6619</v>
      </c>
      <c r="I87" s="954"/>
      <c r="J87" s="954"/>
    </row>
    <row r="88" ht="22.5" customHeight="1">
      <c r="A88" s="937">
        <v>87.0</v>
      </c>
      <c r="B88" s="913" t="b">
        <v>0</v>
      </c>
      <c r="C88" s="950" t="s">
        <v>6620</v>
      </c>
      <c r="D88" s="951" t="s">
        <v>6621</v>
      </c>
      <c r="E88" s="951">
        <v>7.501000318E9</v>
      </c>
      <c r="F88" s="952" t="s">
        <v>6622</v>
      </c>
      <c r="G88" s="952"/>
      <c r="H88" s="953" t="s">
        <v>6623</v>
      </c>
      <c r="I88" s="954"/>
      <c r="J88" s="954"/>
    </row>
    <row r="89" ht="22.5" customHeight="1">
      <c r="A89" s="937">
        <v>88.0</v>
      </c>
      <c r="B89" s="913" t="b">
        <v>0</v>
      </c>
      <c r="C89" s="950" t="s">
        <v>156</v>
      </c>
      <c r="D89" s="951" t="s">
        <v>6624</v>
      </c>
      <c r="E89" s="951">
        <v>7.510066056E9</v>
      </c>
      <c r="F89" s="952" t="s">
        <v>6625</v>
      </c>
      <c r="G89" s="952"/>
      <c r="H89" s="953" t="s">
        <v>6626</v>
      </c>
      <c r="I89" s="954"/>
      <c r="J89" s="954"/>
    </row>
    <row r="90" ht="22.5" customHeight="1">
      <c r="A90" s="937">
        <v>89.0</v>
      </c>
      <c r="B90" s="913" t="b">
        <v>0</v>
      </c>
      <c r="C90" s="950" t="s">
        <v>6627</v>
      </c>
      <c r="D90" s="951" t="s">
        <v>2545</v>
      </c>
      <c r="E90" s="951">
        <v>7.506114411E9</v>
      </c>
      <c r="F90" s="952" t="s">
        <v>6628</v>
      </c>
      <c r="G90" s="952"/>
      <c r="H90" s="953" t="s">
        <v>6629</v>
      </c>
      <c r="I90" s="954"/>
      <c r="J90" s="954"/>
    </row>
    <row r="91" ht="22.5" customHeight="1">
      <c r="A91" s="937">
        <v>90.0</v>
      </c>
      <c r="B91" s="913" t="b">
        <v>0</v>
      </c>
      <c r="C91" s="950" t="s">
        <v>6630</v>
      </c>
      <c r="D91" s="951" t="s">
        <v>2545</v>
      </c>
      <c r="E91" s="951">
        <v>7.503380959E9</v>
      </c>
      <c r="F91" s="952" t="s">
        <v>6631</v>
      </c>
      <c r="G91" s="952"/>
      <c r="H91" s="953" t="s">
        <v>6632</v>
      </c>
      <c r="I91" s="954"/>
      <c r="J91" s="954"/>
    </row>
    <row r="92" ht="22.5" customHeight="1">
      <c r="A92" s="937">
        <v>91.0</v>
      </c>
      <c r="B92" s="913" t="b">
        <v>0</v>
      </c>
      <c r="C92" s="950" t="s">
        <v>6633</v>
      </c>
      <c r="D92" s="951" t="s">
        <v>6634</v>
      </c>
      <c r="E92" s="951">
        <v>7.506433033E9</v>
      </c>
      <c r="F92" s="952" t="s">
        <v>6635</v>
      </c>
      <c r="G92" s="952"/>
      <c r="H92" s="953" t="s">
        <v>6636</v>
      </c>
      <c r="I92" s="954"/>
      <c r="J92" s="954"/>
    </row>
    <row r="93" ht="22.5" customHeight="1">
      <c r="A93" s="937">
        <v>92.0</v>
      </c>
      <c r="B93" s="913" t="b">
        <v>0</v>
      </c>
      <c r="C93" s="950" t="s">
        <v>213</v>
      </c>
      <c r="D93" s="951" t="s">
        <v>6637</v>
      </c>
      <c r="E93" s="951">
        <v>7.723335219E9</v>
      </c>
      <c r="F93" s="952" t="s">
        <v>6638</v>
      </c>
      <c r="G93" s="952"/>
      <c r="H93" s="953" t="s">
        <v>6639</v>
      </c>
      <c r="I93" s="954"/>
      <c r="J93" s="954"/>
    </row>
    <row r="94" ht="22.5" customHeight="1">
      <c r="A94" s="937">
        <v>93.0</v>
      </c>
      <c r="B94" s="913" t="b">
        <v>0</v>
      </c>
      <c r="C94" s="950" t="s">
        <v>6640</v>
      </c>
      <c r="D94" s="951" t="s">
        <v>6641</v>
      </c>
      <c r="E94" s="951">
        <v>7.508611111E9</v>
      </c>
      <c r="F94" s="952" t="s">
        <v>6642</v>
      </c>
      <c r="G94" s="952"/>
      <c r="H94" s="953" t="s">
        <v>6643</v>
      </c>
      <c r="I94" s="954"/>
      <c r="J94" s="954"/>
    </row>
    <row r="95" ht="22.5" customHeight="1">
      <c r="A95" s="937">
        <v>94.0</v>
      </c>
      <c r="B95" s="913" t="b">
        <v>0</v>
      </c>
      <c r="C95" s="950" t="s">
        <v>6644</v>
      </c>
      <c r="D95" s="951" t="s">
        <v>2524</v>
      </c>
      <c r="E95" s="951">
        <v>7.501643017E9</v>
      </c>
      <c r="F95" s="962" t="s">
        <v>6645</v>
      </c>
      <c r="G95" s="962"/>
      <c r="H95" s="953" t="s">
        <v>6646</v>
      </c>
      <c r="I95" s="954"/>
      <c r="J95" s="954"/>
    </row>
    <row r="96" ht="22.5" customHeight="1">
      <c r="A96" s="937">
        <v>95.0</v>
      </c>
      <c r="B96" s="913" t="b">
        <v>0</v>
      </c>
      <c r="C96" s="950" t="s">
        <v>6647</v>
      </c>
      <c r="D96" s="951" t="s">
        <v>6648</v>
      </c>
      <c r="E96" s="951">
        <v>7.501406406E9</v>
      </c>
      <c r="F96" s="952" t="s">
        <v>6649</v>
      </c>
      <c r="G96" s="952"/>
      <c r="H96" s="953" t="s">
        <v>6650</v>
      </c>
      <c r="I96" s="954"/>
      <c r="J96" s="954"/>
    </row>
    <row r="97" ht="22.5" customHeight="1">
      <c r="A97" s="937">
        <v>96.0</v>
      </c>
      <c r="B97" s="913" t="b">
        <v>0</v>
      </c>
      <c r="C97" s="950" t="s">
        <v>6651</v>
      </c>
      <c r="D97" s="951" t="s">
        <v>2545</v>
      </c>
      <c r="E97" s="951">
        <v>7.504279191E9</v>
      </c>
      <c r="F97" s="952" t="s">
        <v>6652</v>
      </c>
      <c r="G97" s="952"/>
      <c r="H97" s="953" t="s">
        <v>6653</v>
      </c>
      <c r="I97" s="954"/>
      <c r="J97" s="954"/>
    </row>
    <row r="98" ht="22.5" customHeight="1">
      <c r="A98" s="937">
        <v>97.0</v>
      </c>
      <c r="B98" s="913" t="b">
        <v>0</v>
      </c>
      <c r="C98" s="950" t="s">
        <v>6654</v>
      </c>
      <c r="D98" s="951" t="s">
        <v>6527</v>
      </c>
      <c r="E98" s="951">
        <v>7.517401493E9</v>
      </c>
      <c r="F98" s="952" t="s">
        <v>6655</v>
      </c>
      <c r="G98" s="952"/>
      <c r="H98" s="953" t="s">
        <v>674</v>
      </c>
      <c r="I98" s="954"/>
      <c r="J98" s="954"/>
    </row>
    <row r="99" ht="22.5" customHeight="1">
      <c r="A99" s="937">
        <v>98.0</v>
      </c>
      <c r="B99" s="913" t="b">
        <v>0</v>
      </c>
      <c r="C99" s="950" t="s">
        <v>6656</v>
      </c>
      <c r="D99" s="951" t="s">
        <v>6504</v>
      </c>
      <c r="E99" s="951">
        <v>7.504452645E9</v>
      </c>
      <c r="F99" s="952" t="s">
        <v>6657</v>
      </c>
      <c r="G99" s="952"/>
      <c r="H99" s="956"/>
      <c r="I99" s="957"/>
      <c r="J99" s="957"/>
    </row>
    <row r="100" ht="22.5" customHeight="1">
      <c r="A100" s="937">
        <v>99.0</v>
      </c>
      <c r="B100" s="913" t="b">
        <v>0</v>
      </c>
      <c r="C100" s="950" t="s">
        <v>6658</v>
      </c>
      <c r="D100" s="951" t="s">
        <v>6659</v>
      </c>
      <c r="E100" s="951">
        <v>7.504685198E9</v>
      </c>
      <c r="F100" s="952" t="s">
        <v>6660</v>
      </c>
      <c r="G100" s="952"/>
      <c r="H100" s="953" t="s">
        <v>6661</v>
      </c>
      <c r="I100" s="954"/>
      <c r="J100" s="954"/>
    </row>
    <row r="101" ht="22.5" customHeight="1">
      <c r="A101" s="937">
        <v>100.0</v>
      </c>
      <c r="B101" s="913" t="b">
        <v>0</v>
      </c>
      <c r="C101" s="950" t="s">
        <v>6662</v>
      </c>
      <c r="D101" s="951" t="s">
        <v>2524</v>
      </c>
      <c r="E101" s="951">
        <v>7.505230009E9</v>
      </c>
      <c r="F101" s="952" t="s">
        <v>6663</v>
      </c>
      <c r="G101" s="952"/>
      <c r="H101" s="953" t="s">
        <v>6664</v>
      </c>
      <c r="I101" s="954"/>
      <c r="J101" s="954"/>
    </row>
    <row r="102" ht="22.5" customHeight="1">
      <c r="A102" s="937">
        <v>101.0</v>
      </c>
      <c r="B102" s="913" t="b">
        <v>0</v>
      </c>
      <c r="C102" s="950" t="s">
        <v>6665</v>
      </c>
      <c r="D102" s="951" t="s">
        <v>2524</v>
      </c>
      <c r="E102" s="951">
        <v>7.502202229E9</v>
      </c>
      <c r="F102" s="952" t="s">
        <v>6666</v>
      </c>
      <c r="G102" s="952"/>
      <c r="H102" s="953" t="s">
        <v>6667</v>
      </c>
      <c r="I102" s="954"/>
      <c r="J102" s="954"/>
    </row>
    <row r="103" ht="22.5" customHeight="1">
      <c r="A103" s="937">
        <v>102.0</v>
      </c>
      <c r="B103" s="913" t="b">
        <v>0</v>
      </c>
      <c r="C103" s="950" t="s">
        <v>6668</v>
      </c>
      <c r="D103" s="951" t="s">
        <v>6527</v>
      </c>
      <c r="E103" s="951">
        <v>7.833056312E9</v>
      </c>
      <c r="F103" s="952" t="s">
        <v>6669</v>
      </c>
      <c r="G103" s="952"/>
      <c r="H103" s="953" t="s">
        <v>6670</v>
      </c>
      <c r="I103" s="954"/>
      <c r="J103" s="954"/>
    </row>
    <row r="104" ht="22.5" customHeight="1">
      <c r="A104" s="937">
        <v>103.0</v>
      </c>
      <c r="B104" s="913" t="b">
        <v>0</v>
      </c>
      <c r="C104" s="950" t="s">
        <v>6671</v>
      </c>
      <c r="D104" s="951" t="s">
        <v>2524</v>
      </c>
      <c r="E104" s="951">
        <v>7.506371E9</v>
      </c>
      <c r="F104" s="952" t="s">
        <v>6672</v>
      </c>
      <c r="G104" s="952"/>
      <c r="H104" s="953" t="s">
        <v>6673</v>
      </c>
      <c r="I104" s="954"/>
      <c r="J104" s="954"/>
    </row>
    <row r="105" ht="22.5" customHeight="1">
      <c r="A105" s="937">
        <v>104.0</v>
      </c>
      <c r="B105" s="913" t="b">
        <v>0</v>
      </c>
      <c r="C105" s="950" t="s">
        <v>6674</v>
      </c>
      <c r="D105" s="951" t="s">
        <v>6504</v>
      </c>
      <c r="E105" s="951">
        <v>7.516418383E9</v>
      </c>
      <c r="F105" s="952" t="s">
        <v>6675</v>
      </c>
      <c r="G105" s="952"/>
      <c r="H105" s="953" t="s">
        <v>6676</v>
      </c>
      <c r="I105" s="954"/>
      <c r="J105" s="954"/>
    </row>
    <row r="106" ht="22.5" customHeight="1">
      <c r="A106" s="937">
        <v>105.0</v>
      </c>
      <c r="B106" s="913" t="b">
        <v>0</v>
      </c>
      <c r="C106" s="950" t="s">
        <v>6677</v>
      </c>
      <c r="D106" s="951" t="s">
        <v>6678</v>
      </c>
      <c r="E106" s="951">
        <v>7.501444428E9</v>
      </c>
      <c r="F106" s="952" t="s">
        <v>6679</v>
      </c>
      <c r="G106" s="952"/>
      <c r="H106" s="953" t="s">
        <v>674</v>
      </c>
      <c r="I106" s="954"/>
      <c r="J106" s="954"/>
    </row>
    <row r="107" ht="22.5" customHeight="1">
      <c r="A107" s="937">
        <v>106.0</v>
      </c>
      <c r="B107" s="913" t="b">
        <v>0</v>
      </c>
      <c r="C107" s="950" t="s">
        <v>6680</v>
      </c>
      <c r="D107" s="951" t="s">
        <v>6681</v>
      </c>
      <c r="E107" s="951">
        <v>7.5046847E9</v>
      </c>
      <c r="F107" s="952" t="s">
        <v>6682</v>
      </c>
      <c r="G107" s="952"/>
      <c r="H107" s="956"/>
      <c r="I107" s="957"/>
      <c r="J107" s="957"/>
    </row>
    <row r="108" ht="22.5" customHeight="1">
      <c r="A108" s="937">
        <v>107.0</v>
      </c>
      <c r="B108" s="913" t="b">
        <v>0</v>
      </c>
      <c r="C108" s="950" t="s">
        <v>6683</v>
      </c>
      <c r="D108" s="951" t="s">
        <v>6560</v>
      </c>
      <c r="E108" s="951">
        <v>7.507464825E9</v>
      </c>
      <c r="F108" s="952" t="s">
        <v>6684</v>
      </c>
      <c r="G108" s="952"/>
      <c r="H108" s="953" t="s">
        <v>6685</v>
      </c>
      <c r="I108" s="954"/>
      <c r="J108" s="954"/>
    </row>
    <row r="109" ht="22.5" customHeight="1">
      <c r="A109" s="937">
        <v>108.0</v>
      </c>
      <c r="B109" s="913" t="b">
        <v>0</v>
      </c>
      <c r="C109" s="950" t="s">
        <v>6686</v>
      </c>
      <c r="D109" s="951" t="s">
        <v>2524</v>
      </c>
      <c r="E109" s="951">
        <v>7.502075237E9</v>
      </c>
      <c r="F109" s="952" t="s">
        <v>6687</v>
      </c>
      <c r="G109" s="952"/>
      <c r="H109" s="953" t="s">
        <v>6688</v>
      </c>
      <c r="I109" s="954"/>
      <c r="J109" s="954"/>
    </row>
    <row r="110" ht="22.5" customHeight="1">
      <c r="A110" s="937">
        <v>109.0</v>
      </c>
      <c r="B110" s="913" t="b">
        <v>0</v>
      </c>
      <c r="C110" s="950" t="s">
        <v>6689</v>
      </c>
      <c r="D110" s="951" t="s">
        <v>2524</v>
      </c>
      <c r="E110" s="951">
        <v>7.50446965E9</v>
      </c>
      <c r="F110" s="952" t="s">
        <v>6690</v>
      </c>
      <c r="G110" s="952"/>
      <c r="H110" s="953" t="s">
        <v>6691</v>
      </c>
      <c r="I110" s="954"/>
      <c r="J110" s="954"/>
    </row>
    <row r="111" ht="22.5" customHeight="1">
      <c r="A111" s="937">
        <v>110.0</v>
      </c>
      <c r="B111" s="913" t="b">
        <v>0</v>
      </c>
      <c r="C111" s="950" t="s">
        <v>6692</v>
      </c>
      <c r="D111" s="951" t="s">
        <v>2545</v>
      </c>
      <c r="E111" s="951">
        <v>7.504459726E9</v>
      </c>
      <c r="F111" s="952" t="s">
        <v>6693</v>
      </c>
      <c r="G111" s="952"/>
      <c r="H111" s="953" t="s">
        <v>6694</v>
      </c>
      <c r="I111" s="954"/>
      <c r="J111" s="954"/>
    </row>
    <row r="112" ht="22.5" customHeight="1">
      <c r="A112" s="937">
        <v>111.0</v>
      </c>
      <c r="B112" s="913" t="b">
        <v>0</v>
      </c>
      <c r="C112" s="950" t="s">
        <v>6695</v>
      </c>
      <c r="D112" s="951" t="s">
        <v>2524</v>
      </c>
      <c r="E112" s="951">
        <v>7.50241588E9</v>
      </c>
      <c r="F112" s="952" t="s">
        <v>6696</v>
      </c>
      <c r="G112" s="952"/>
      <c r="H112" s="956"/>
      <c r="I112" s="957"/>
      <c r="J112" s="957"/>
    </row>
    <row r="113" ht="22.5" customHeight="1">
      <c r="A113" s="937">
        <v>112.0</v>
      </c>
      <c r="B113" s="913" t="b">
        <v>0</v>
      </c>
      <c r="C113" s="950" t="s">
        <v>6697</v>
      </c>
      <c r="D113" s="951" t="s">
        <v>2545</v>
      </c>
      <c r="E113" s="951">
        <v>7.504480082E9</v>
      </c>
      <c r="F113" s="952" t="s">
        <v>6698</v>
      </c>
      <c r="G113" s="952"/>
      <c r="H113" s="956"/>
      <c r="I113" s="957"/>
      <c r="J113" s="957"/>
    </row>
    <row r="114" ht="22.5" customHeight="1">
      <c r="A114" s="937">
        <v>113.0</v>
      </c>
      <c r="B114" s="913" t="b">
        <v>0</v>
      </c>
      <c r="C114" s="950" t="s">
        <v>6699</v>
      </c>
      <c r="D114" s="951" t="s">
        <v>2524</v>
      </c>
      <c r="E114" s="951">
        <v>7.504640153E9</v>
      </c>
      <c r="F114" s="952" t="s">
        <v>6700</v>
      </c>
      <c r="G114" s="952"/>
      <c r="H114" s="953" t="s">
        <v>674</v>
      </c>
      <c r="I114" s="954"/>
      <c r="J114" s="954"/>
    </row>
    <row r="115" ht="22.5" customHeight="1">
      <c r="A115" s="937">
        <v>114.0</v>
      </c>
      <c r="B115" s="913" t="b">
        <v>0</v>
      </c>
      <c r="C115" s="950" t="s">
        <v>6701</v>
      </c>
      <c r="D115" s="951" t="s">
        <v>2545</v>
      </c>
      <c r="E115" s="951">
        <v>7.504510194E9</v>
      </c>
      <c r="F115" s="952" t="s">
        <v>6702</v>
      </c>
      <c r="G115" s="952"/>
      <c r="H115" s="953" t="s">
        <v>6703</v>
      </c>
      <c r="I115" s="954"/>
      <c r="J115" s="954"/>
    </row>
    <row r="116" ht="22.5" customHeight="1">
      <c r="A116" s="937">
        <v>115.0</v>
      </c>
      <c r="B116" s="913" t="b">
        <v>0</v>
      </c>
      <c r="C116" s="950" t="s">
        <v>6704</v>
      </c>
      <c r="D116" s="951" t="s">
        <v>2545</v>
      </c>
      <c r="E116" s="951">
        <v>7.504490282E9</v>
      </c>
      <c r="F116" s="952" t="s">
        <v>6705</v>
      </c>
      <c r="G116" s="952"/>
      <c r="H116" s="953" t="s">
        <v>6706</v>
      </c>
      <c r="I116" s="954"/>
      <c r="J116" s="954"/>
    </row>
    <row r="117" ht="22.5" customHeight="1">
      <c r="A117" s="937">
        <v>116.0</v>
      </c>
      <c r="B117" s="913" t="b">
        <v>0</v>
      </c>
      <c r="C117" s="950" t="s">
        <v>6707</v>
      </c>
      <c r="D117" s="951" t="s">
        <v>6504</v>
      </c>
      <c r="E117" s="951">
        <v>7.508383333E9</v>
      </c>
      <c r="F117" s="952" t="s">
        <v>6708</v>
      </c>
      <c r="G117" s="952"/>
      <c r="H117" s="953" t="s">
        <v>6709</v>
      </c>
      <c r="I117" s="954"/>
      <c r="J117" s="954"/>
    </row>
    <row r="118" ht="22.5" customHeight="1">
      <c r="A118" s="937">
        <v>117.0</v>
      </c>
      <c r="B118" s="913" t="b">
        <v>0</v>
      </c>
      <c r="C118" s="950" t="s">
        <v>6710</v>
      </c>
      <c r="D118" s="951" t="s">
        <v>6711</v>
      </c>
      <c r="E118" s="951">
        <v>7.502443401E9</v>
      </c>
      <c r="F118" s="952" t="s">
        <v>6712</v>
      </c>
      <c r="G118" s="952"/>
      <c r="H118" s="953" t="s">
        <v>6713</v>
      </c>
      <c r="I118" s="954"/>
      <c r="J118" s="954"/>
    </row>
    <row r="119" ht="22.5" customHeight="1">
      <c r="A119" s="937">
        <v>118.0</v>
      </c>
      <c r="B119" s="913" t="b">
        <v>0</v>
      </c>
      <c r="C119" s="950" t="s">
        <v>6714</v>
      </c>
      <c r="D119" s="951" t="s">
        <v>6715</v>
      </c>
      <c r="E119" s="951">
        <v>7.504643685E9</v>
      </c>
      <c r="F119" s="952" t="s">
        <v>6716</v>
      </c>
      <c r="G119" s="952"/>
      <c r="H119" s="953" t="s">
        <v>6717</v>
      </c>
      <c r="I119" s="954"/>
      <c r="J119" s="954"/>
    </row>
    <row r="120" ht="22.5" customHeight="1">
      <c r="A120" s="937">
        <v>119.0</v>
      </c>
      <c r="B120" s="913" t="b">
        <v>0</v>
      </c>
      <c r="C120" s="950" t="s">
        <v>6718</v>
      </c>
      <c r="D120" s="951" t="s">
        <v>2524</v>
      </c>
      <c r="E120" s="951">
        <v>7.504493845E9</v>
      </c>
      <c r="F120" s="947"/>
      <c r="G120" s="947"/>
      <c r="H120" s="953" t="s">
        <v>674</v>
      </c>
      <c r="I120" s="954"/>
      <c r="J120" s="954"/>
    </row>
    <row r="121" ht="22.5" customHeight="1">
      <c r="A121" s="937">
        <v>120.0</v>
      </c>
      <c r="B121" s="913" t="b">
        <v>0</v>
      </c>
      <c r="C121" s="950" t="s">
        <v>6719</v>
      </c>
      <c r="D121" s="951" t="s">
        <v>2524</v>
      </c>
      <c r="E121" s="951">
        <v>7.508808027E9</v>
      </c>
      <c r="F121" s="952" t="s">
        <v>6720</v>
      </c>
      <c r="G121" s="952"/>
      <c r="H121" s="953" t="s">
        <v>6721</v>
      </c>
      <c r="I121" s="954"/>
      <c r="J121" s="954"/>
    </row>
    <row r="122" ht="22.5" customHeight="1">
      <c r="A122" s="937">
        <v>121.0</v>
      </c>
      <c r="B122" s="913" t="b">
        <v>0</v>
      </c>
      <c r="C122" s="950" t="s">
        <v>6722</v>
      </c>
      <c r="D122" s="951" t="s">
        <v>2524</v>
      </c>
      <c r="E122" s="951">
        <v>7.504497227E9</v>
      </c>
      <c r="F122" s="952" t="s">
        <v>6723</v>
      </c>
      <c r="G122" s="952"/>
      <c r="H122" s="953" t="s">
        <v>6724</v>
      </c>
      <c r="I122" s="954"/>
      <c r="J122" s="954"/>
    </row>
    <row r="123" ht="22.5" customHeight="1">
      <c r="A123" s="937">
        <v>122.0</v>
      </c>
      <c r="B123" s="913" t="b">
        <v>0</v>
      </c>
      <c r="C123" s="950" t="s">
        <v>6725</v>
      </c>
      <c r="D123" s="951" t="s">
        <v>2545</v>
      </c>
      <c r="E123" s="951">
        <v>7.504459325E9</v>
      </c>
      <c r="F123" s="952" t="s">
        <v>6726</v>
      </c>
      <c r="G123" s="952"/>
      <c r="H123" s="953" t="s">
        <v>6727</v>
      </c>
      <c r="I123" s="954"/>
      <c r="J123" s="954"/>
    </row>
    <row r="124" ht="22.5" customHeight="1">
      <c r="A124" s="937">
        <v>123.0</v>
      </c>
      <c r="B124" s="913" t="b">
        <v>0</v>
      </c>
      <c r="C124" s="950" t="s">
        <v>6728</v>
      </c>
      <c r="D124" s="951" t="s">
        <v>6729</v>
      </c>
      <c r="E124" s="951">
        <v>7.503774545E9</v>
      </c>
      <c r="F124" s="952" t="s">
        <v>6730</v>
      </c>
      <c r="G124" s="952"/>
      <c r="H124" s="953" t="s">
        <v>6731</v>
      </c>
      <c r="I124" s="954"/>
      <c r="J124" s="954"/>
    </row>
    <row r="125" ht="22.5" customHeight="1">
      <c r="A125" s="937">
        <v>124.0</v>
      </c>
      <c r="B125" s="913" t="b">
        <v>0</v>
      </c>
      <c r="C125" s="950" t="s">
        <v>6732</v>
      </c>
      <c r="D125" s="951" t="s">
        <v>6733</v>
      </c>
      <c r="E125" s="951" t="s">
        <v>6734</v>
      </c>
      <c r="F125" s="947"/>
      <c r="G125" s="947"/>
      <c r="H125" s="953" t="s">
        <v>6735</v>
      </c>
      <c r="I125" s="954"/>
      <c r="J125" s="954"/>
    </row>
    <row r="126" ht="22.5" customHeight="1">
      <c r="A126" s="937">
        <v>125.0</v>
      </c>
      <c r="B126" s="913" t="b">
        <v>0</v>
      </c>
      <c r="C126" s="950" t="s">
        <v>6736</v>
      </c>
      <c r="D126" s="963"/>
      <c r="E126" s="951" t="s">
        <v>6737</v>
      </c>
      <c r="F126" s="947"/>
      <c r="G126" s="947"/>
      <c r="H126" s="953" t="s">
        <v>6738</v>
      </c>
      <c r="I126" s="954"/>
      <c r="J126" s="954"/>
    </row>
    <row r="127" ht="22.5" customHeight="1">
      <c r="A127" s="937">
        <v>126.0</v>
      </c>
      <c r="B127" s="913" t="b">
        <v>0</v>
      </c>
      <c r="C127" s="950" t="s">
        <v>6739</v>
      </c>
      <c r="D127" s="963"/>
      <c r="E127" s="951" t="s">
        <v>6740</v>
      </c>
      <c r="F127" s="964" t="s">
        <v>6741</v>
      </c>
      <c r="G127" s="964"/>
      <c r="H127" s="953" t="s">
        <v>6742</v>
      </c>
      <c r="I127" s="954"/>
      <c r="J127" s="954"/>
    </row>
    <row r="128" ht="22.5" customHeight="1">
      <c r="A128" s="937">
        <v>127.0</v>
      </c>
      <c r="B128" s="913" t="b">
        <v>0</v>
      </c>
      <c r="C128" s="950" t="s">
        <v>6743</v>
      </c>
      <c r="D128" s="963"/>
      <c r="E128" s="951" t="s">
        <v>6744</v>
      </c>
      <c r="F128" s="964" t="s">
        <v>6745</v>
      </c>
      <c r="G128" s="964"/>
      <c r="H128" s="953" t="s">
        <v>6735</v>
      </c>
      <c r="I128" s="954"/>
      <c r="J128" s="954"/>
    </row>
    <row r="129" ht="22.5" customHeight="1">
      <c r="A129" s="937">
        <v>128.0</v>
      </c>
      <c r="B129" s="913" t="b">
        <v>0</v>
      </c>
      <c r="C129" s="950" t="s">
        <v>6746</v>
      </c>
      <c r="D129" s="963"/>
      <c r="E129" s="951" t="s">
        <v>6747</v>
      </c>
      <c r="F129" s="947"/>
      <c r="G129" s="947"/>
      <c r="H129" s="953" t="s">
        <v>6735</v>
      </c>
      <c r="I129" s="954"/>
      <c r="J129" s="954"/>
    </row>
    <row r="130" ht="22.5" customHeight="1">
      <c r="A130" s="937">
        <v>129.0</v>
      </c>
      <c r="B130" s="913" t="b">
        <v>0</v>
      </c>
      <c r="C130" s="950" t="s">
        <v>6748</v>
      </c>
      <c r="D130" s="963"/>
      <c r="E130" s="951" t="s">
        <v>6749</v>
      </c>
      <c r="F130" s="964" t="s">
        <v>6750</v>
      </c>
      <c r="G130" s="964"/>
      <c r="H130" s="953" t="s">
        <v>6735</v>
      </c>
      <c r="I130" s="954"/>
      <c r="J130" s="954"/>
    </row>
    <row r="131" ht="22.5" customHeight="1">
      <c r="A131" s="937">
        <v>130.0</v>
      </c>
      <c r="B131" s="913" t="b">
        <v>0</v>
      </c>
      <c r="C131" s="950" t="s">
        <v>6751</v>
      </c>
      <c r="D131" s="951" t="s">
        <v>6752</v>
      </c>
      <c r="E131" s="951" t="s">
        <v>6753</v>
      </c>
      <c r="F131" s="964" t="s">
        <v>6754</v>
      </c>
      <c r="G131" s="964"/>
      <c r="H131" s="953" t="s">
        <v>6755</v>
      </c>
      <c r="I131" s="954"/>
      <c r="J131" s="954"/>
    </row>
    <row r="132" ht="22.5" customHeight="1">
      <c r="A132" s="937">
        <v>131.0</v>
      </c>
      <c r="B132" s="913" t="b">
        <v>0</v>
      </c>
      <c r="C132" s="950" t="s">
        <v>6756</v>
      </c>
      <c r="D132" s="951" t="s">
        <v>6757</v>
      </c>
      <c r="E132" s="951" t="s">
        <v>6758</v>
      </c>
      <c r="F132" s="947"/>
      <c r="G132" s="947"/>
      <c r="H132" s="953" t="s">
        <v>6759</v>
      </c>
      <c r="I132" s="954"/>
      <c r="J132" s="954"/>
    </row>
    <row r="133" ht="22.5" customHeight="1">
      <c r="A133" s="937">
        <v>132.0</v>
      </c>
      <c r="B133" s="913" t="b">
        <v>0</v>
      </c>
      <c r="C133" s="950" t="s">
        <v>6760</v>
      </c>
      <c r="D133" s="951" t="s">
        <v>6761</v>
      </c>
      <c r="E133" s="951" t="s">
        <v>6762</v>
      </c>
      <c r="F133" s="947"/>
      <c r="G133" s="947"/>
      <c r="H133" s="953" t="s">
        <v>6763</v>
      </c>
      <c r="I133" s="954"/>
      <c r="J133" s="954"/>
    </row>
    <row r="134" ht="22.5" customHeight="1">
      <c r="A134" s="937">
        <v>133.0</v>
      </c>
      <c r="B134" s="913" t="b">
        <v>0</v>
      </c>
      <c r="C134" s="950" t="s">
        <v>6764</v>
      </c>
      <c r="D134" s="963"/>
      <c r="E134" s="951" t="s">
        <v>6765</v>
      </c>
      <c r="F134" s="964" t="s">
        <v>6766</v>
      </c>
      <c r="G134" s="964"/>
      <c r="H134" s="953" t="s">
        <v>6767</v>
      </c>
      <c r="I134" s="954"/>
      <c r="J134" s="954"/>
    </row>
    <row r="135" ht="22.5" customHeight="1">
      <c r="A135" s="937">
        <v>134.0</v>
      </c>
      <c r="B135" s="913" t="b">
        <v>0</v>
      </c>
      <c r="C135" s="950" t="s">
        <v>6768</v>
      </c>
      <c r="D135" s="963"/>
      <c r="E135" s="951" t="s">
        <v>6769</v>
      </c>
      <c r="F135" s="964" t="s">
        <v>6770</v>
      </c>
      <c r="G135" s="964"/>
      <c r="H135" s="953" t="s">
        <v>6771</v>
      </c>
      <c r="I135" s="954"/>
      <c r="J135" s="954"/>
    </row>
    <row r="136" ht="22.5" customHeight="1">
      <c r="A136" s="937">
        <v>135.0</v>
      </c>
      <c r="B136" s="913" t="b">
        <v>0</v>
      </c>
      <c r="C136" s="950" t="s">
        <v>6772</v>
      </c>
      <c r="D136" s="951" t="s">
        <v>6773</v>
      </c>
      <c r="E136" s="951" t="s">
        <v>6774</v>
      </c>
      <c r="F136" s="947"/>
      <c r="G136" s="947"/>
      <c r="H136" s="953" t="s">
        <v>6775</v>
      </c>
      <c r="I136" s="954"/>
      <c r="J136" s="954"/>
    </row>
    <row r="137" ht="22.5" customHeight="1">
      <c r="A137" s="937">
        <v>136.0</v>
      </c>
      <c r="B137" s="913" t="b">
        <v>0</v>
      </c>
      <c r="C137" s="950" t="s">
        <v>6776</v>
      </c>
      <c r="D137" s="963"/>
      <c r="E137" s="951" t="s">
        <v>6777</v>
      </c>
      <c r="F137" s="947"/>
      <c r="G137" s="947"/>
      <c r="H137" s="953" t="s">
        <v>6775</v>
      </c>
      <c r="I137" s="954"/>
      <c r="J137" s="954"/>
    </row>
    <row r="138" ht="22.5" customHeight="1">
      <c r="A138" s="937">
        <v>137.0</v>
      </c>
      <c r="B138" s="913" t="b">
        <v>0</v>
      </c>
      <c r="C138" s="950" t="s">
        <v>6778</v>
      </c>
      <c r="D138" s="963"/>
      <c r="E138" s="951" t="s">
        <v>6779</v>
      </c>
      <c r="F138" s="964" t="s">
        <v>6780</v>
      </c>
      <c r="G138" s="964"/>
      <c r="H138" s="953" t="s">
        <v>6781</v>
      </c>
      <c r="I138" s="954"/>
      <c r="J138" s="954"/>
    </row>
    <row r="139" ht="22.5" customHeight="1">
      <c r="A139" s="937">
        <v>138.0</v>
      </c>
      <c r="B139" s="913" t="b">
        <v>0</v>
      </c>
      <c r="C139" s="950" t="s">
        <v>6782</v>
      </c>
      <c r="D139" s="963"/>
      <c r="E139" s="951" t="s">
        <v>6783</v>
      </c>
      <c r="F139" s="964" t="s">
        <v>6784</v>
      </c>
      <c r="G139" s="964"/>
      <c r="H139" s="953" t="s">
        <v>6775</v>
      </c>
      <c r="I139" s="954"/>
      <c r="J139" s="954"/>
    </row>
    <row r="140" ht="22.5" customHeight="1">
      <c r="A140" s="937">
        <v>139.0</v>
      </c>
      <c r="B140" s="913" t="b">
        <v>0</v>
      </c>
      <c r="C140" s="950" t="s">
        <v>6785</v>
      </c>
      <c r="D140" s="963"/>
      <c r="E140" s="951" t="s">
        <v>6786</v>
      </c>
      <c r="F140" s="964" t="s">
        <v>6787</v>
      </c>
      <c r="G140" s="964"/>
      <c r="H140" s="953" t="s">
        <v>6738</v>
      </c>
      <c r="I140" s="954"/>
      <c r="J140" s="954"/>
    </row>
    <row r="141" ht="22.5" customHeight="1">
      <c r="A141" s="937">
        <v>140.0</v>
      </c>
      <c r="B141" s="913" t="b">
        <v>0</v>
      </c>
      <c r="C141" s="950" t="s">
        <v>6788</v>
      </c>
      <c r="D141" s="963"/>
      <c r="E141" s="951" t="s">
        <v>6789</v>
      </c>
      <c r="F141" s="947"/>
      <c r="G141" s="947"/>
      <c r="H141" s="953" t="s">
        <v>6775</v>
      </c>
      <c r="I141" s="954"/>
      <c r="J141" s="954"/>
    </row>
    <row r="142" ht="22.5" customHeight="1">
      <c r="A142" s="937">
        <v>141.0</v>
      </c>
      <c r="B142" s="913" t="b">
        <v>0</v>
      </c>
      <c r="C142" s="950" t="s">
        <v>6790</v>
      </c>
      <c r="D142" s="963"/>
      <c r="E142" s="951" t="s">
        <v>6791</v>
      </c>
      <c r="F142" s="964" t="s">
        <v>6792</v>
      </c>
      <c r="G142" s="964"/>
      <c r="H142" s="953" t="s">
        <v>6767</v>
      </c>
      <c r="I142" s="954"/>
      <c r="J142" s="954"/>
    </row>
    <row r="143" ht="22.5" customHeight="1">
      <c r="A143" s="937">
        <v>142.0</v>
      </c>
      <c r="B143" s="913" t="b">
        <v>0</v>
      </c>
      <c r="C143" s="950" t="s">
        <v>6793</v>
      </c>
      <c r="D143" s="951" t="s">
        <v>6794</v>
      </c>
      <c r="E143" s="951" t="s">
        <v>6795</v>
      </c>
      <c r="F143" s="947"/>
      <c r="G143" s="947"/>
      <c r="H143" s="953" t="s">
        <v>6796</v>
      </c>
      <c r="I143" s="954"/>
      <c r="J143" s="954"/>
    </row>
    <row r="144" ht="22.5" customHeight="1">
      <c r="A144" s="937">
        <v>143.0</v>
      </c>
      <c r="B144" s="913" t="b">
        <v>0</v>
      </c>
      <c r="C144" s="950" t="s">
        <v>6797</v>
      </c>
      <c r="D144" s="951" t="s">
        <v>6798</v>
      </c>
      <c r="E144" s="951" t="s">
        <v>6799</v>
      </c>
      <c r="F144" s="964" t="s">
        <v>6800</v>
      </c>
      <c r="G144" s="964"/>
      <c r="H144" s="953" t="s">
        <v>6801</v>
      </c>
      <c r="I144" s="954"/>
      <c r="J144" s="954"/>
    </row>
    <row r="145" ht="22.5" customHeight="1">
      <c r="A145" s="937">
        <v>144.0</v>
      </c>
      <c r="B145" s="913" t="b">
        <v>0</v>
      </c>
      <c r="C145" s="950" t="s">
        <v>6802</v>
      </c>
      <c r="D145" s="951" t="s">
        <v>6803</v>
      </c>
      <c r="E145" s="951" t="s">
        <v>6804</v>
      </c>
      <c r="F145" s="964" t="s">
        <v>6805</v>
      </c>
      <c r="G145" s="964"/>
      <c r="H145" s="953" t="s">
        <v>6806</v>
      </c>
      <c r="I145" s="954"/>
      <c r="J145" s="954"/>
    </row>
    <row r="146" ht="22.5" customHeight="1">
      <c r="A146" s="937">
        <v>145.0</v>
      </c>
      <c r="B146" s="913" t="b">
        <v>0</v>
      </c>
      <c r="C146" s="965"/>
      <c r="D146" s="951" t="s">
        <v>6807</v>
      </c>
      <c r="E146" s="951" t="s">
        <v>6808</v>
      </c>
      <c r="F146" s="964" t="s">
        <v>6809</v>
      </c>
      <c r="G146" s="964"/>
      <c r="H146" s="953" t="s">
        <v>6738</v>
      </c>
      <c r="I146" s="954"/>
      <c r="J146" s="954"/>
    </row>
    <row r="147" ht="22.5" customHeight="1">
      <c r="A147" s="937">
        <v>146.0</v>
      </c>
      <c r="B147" s="913" t="b">
        <v>0</v>
      </c>
      <c r="C147" s="950" t="s">
        <v>6810</v>
      </c>
      <c r="D147" s="963"/>
      <c r="E147" s="951" t="s">
        <v>6811</v>
      </c>
      <c r="F147" s="964" t="s">
        <v>6812</v>
      </c>
      <c r="G147" s="964"/>
      <c r="H147" s="953" t="s">
        <v>6738</v>
      </c>
      <c r="I147" s="954"/>
      <c r="J147" s="954"/>
    </row>
    <row r="148" ht="22.5" customHeight="1">
      <c r="A148" s="937">
        <v>147.0</v>
      </c>
      <c r="B148" s="913" t="b">
        <v>0</v>
      </c>
      <c r="C148" s="950" t="s">
        <v>6813</v>
      </c>
      <c r="D148" s="963"/>
      <c r="E148" s="951" t="s">
        <v>6814</v>
      </c>
      <c r="F148" s="947"/>
      <c r="G148" s="947"/>
      <c r="H148" s="953" t="s">
        <v>6815</v>
      </c>
      <c r="I148" s="954"/>
      <c r="J148" s="954"/>
    </row>
    <row r="149" ht="22.5" customHeight="1">
      <c r="A149" s="937">
        <v>148.0</v>
      </c>
      <c r="B149" s="913" t="b">
        <v>0</v>
      </c>
      <c r="C149" s="950" t="s">
        <v>6816</v>
      </c>
      <c r="D149" s="951" t="s">
        <v>6817</v>
      </c>
      <c r="E149" s="951" t="s">
        <v>6818</v>
      </c>
      <c r="F149" s="964" t="s">
        <v>6819</v>
      </c>
      <c r="G149" s="964"/>
      <c r="H149" s="953" t="s">
        <v>6738</v>
      </c>
      <c r="I149" s="954"/>
      <c r="J149" s="954"/>
    </row>
    <row r="150" ht="22.5" customHeight="1">
      <c r="A150" s="937">
        <v>149.0</v>
      </c>
      <c r="B150" s="913" t="b">
        <v>0</v>
      </c>
      <c r="C150" s="950" t="s">
        <v>6820</v>
      </c>
      <c r="D150" s="951" t="s">
        <v>6821</v>
      </c>
      <c r="E150" s="951" t="s">
        <v>6822</v>
      </c>
      <c r="F150" s="947"/>
      <c r="G150" s="947"/>
      <c r="H150" s="953" t="s">
        <v>6823</v>
      </c>
      <c r="I150" s="954"/>
      <c r="J150" s="954"/>
    </row>
    <row r="151" ht="22.5" customHeight="1">
      <c r="A151" s="937">
        <v>150.0</v>
      </c>
      <c r="B151" s="913" t="b">
        <v>0</v>
      </c>
      <c r="C151" s="950" t="s">
        <v>6824</v>
      </c>
      <c r="D151" s="951" t="s">
        <v>6825</v>
      </c>
      <c r="E151" s="951" t="s">
        <v>6826</v>
      </c>
      <c r="F151" s="964" t="s">
        <v>6827</v>
      </c>
      <c r="G151" s="964"/>
      <c r="H151" s="953" t="s">
        <v>6828</v>
      </c>
      <c r="I151" s="954"/>
      <c r="J151" s="954"/>
    </row>
    <row r="152" ht="22.5" customHeight="1">
      <c r="A152" s="937">
        <v>151.0</v>
      </c>
      <c r="B152" s="913" t="b">
        <v>0</v>
      </c>
      <c r="C152" s="950" t="s">
        <v>6829</v>
      </c>
      <c r="D152" s="951" t="s">
        <v>6830</v>
      </c>
      <c r="E152" s="951" t="s">
        <v>6831</v>
      </c>
      <c r="F152" s="964" t="s">
        <v>6832</v>
      </c>
      <c r="G152" s="964"/>
      <c r="H152" s="953" t="s">
        <v>6833</v>
      </c>
      <c r="I152" s="954"/>
      <c r="J152" s="954"/>
    </row>
    <row r="153" ht="22.5" customHeight="1">
      <c r="A153" s="937">
        <v>152.0</v>
      </c>
      <c r="B153" s="913" t="b">
        <v>0</v>
      </c>
      <c r="C153" s="950" t="s">
        <v>6834</v>
      </c>
      <c r="D153" s="951" t="s">
        <v>6835</v>
      </c>
      <c r="E153" s="951" t="s">
        <v>6836</v>
      </c>
      <c r="F153" s="964" t="s">
        <v>6837</v>
      </c>
      <c r="G153" s="964"/>
      <c r="H153" s="953" t="s">
        <v>6738</v>
      </c>
      <c r="I153" s="954"/>
      <c r="J153" s="954"/>
    </row>
    <row r="154" ht="22.5" customHeight="1">
      <c r="A154" s="937">
        <v>153.0</v>
      </c>
      <c r="B154" s="913" t="b">
        <v>0</v>
      </c>
      <c r="C154" s="950" t="s">
        <v>6838</v>
      </c>
      <c r="D154" s="951" t="s">
        <v>6839</v>
      </c>
      <c r="E154" s="951" t="s">
        <v>6840</v>
      </c>
      <c r="F154" s="964" t="s">
        <v>6841</v>
      </c>
      <c r="G154" s="964"/>
      <c r="H154" s="953" t="s">
        <v>6842</v>
      </c>
      <c r="I154" s="954"/>
      <c r="J154" s="954"/>
    </row>
    <row r="155" ht="22.5" customHeight="1">
      <c r="A155" s="937">
        <v>154.0</v>
      </c>
      <c r="B155" s="913" t="b">
        <v>0</v>
      </c>
      <c r="C155" s="950" t="s">
        <v>6843</v>
      </c>
      <c r="D155" s="951" t="s">
        <v>6844</v>
      </c>
      <c r="E155" s="951" t="s">
        <v>6845</v>
      </c>
      <c r="F155" s="964" t="s">
        <v>6846</v>
      </c>
      <c r="G155" s="964"/>
      <c r="H155" s="953" t="s">
        <v>6738</v>
      </c>
      <c r="I155" s="954"/>
      <c r="J155" s="954"/>
    </row>
    <row r="156" ht="22.5" customHeight="1">
      <c r="A156" s="937">
        <v>155.0</v>
      </c>
      <c r="B156" s="913" t="b">
        <v>0</v>
      </c>
      <c r="C156" s="950" t="s">
        <v>6847</v>
      </c>
      <c r="D156" s="951" t="s">
        <v>3246</v>
      </c>
      <c r="E156" s="951" t="s">
        <v>6848</v>
      </c>
      <c r="F156" s="964" t="s">
        <v>6849</v>
      </c>
      <c r="G156" s="964"/>
      <c r="H156" s="953" t="s">
        <v>6850</v>
      </c>
      <c r="I156" s="954"/>
      <c r="J156" s="954"/>
    </row>
    <row r="157" ht="22.5" customHeight="1">
      <c r="A157" s="937">
        <v>156.0</v>
      </c>
      <c r="B157" s="913" t="b">
        <v>0</v>
      </c>
      <c r="C157" s="950" t="s">
        <v>6851</v>
      </c>
      <c r="D157" s="951" t="s">
        <v>6852</v>
      </c>
      <c r="E157" s="951" t="s">
        <v>6853</v>
      </c>
      <c r="F157" s="964" t="s">
        <v>6854</v>
      </c>
      <c r="G157" s="964"/>
      <c r="H157" s="953" t="s">
        <v>6738</v>
      </c>
      <c r="I157" s="954"/>
      <c r="J157" s="954"/>
    </row>
    <row r="158" ht="22.5" customHeight="1">
      <c r="A158" s="937">
        <v>157.0</v>
      </c>
      <c r="B158" s="913" t="b">
        <v>0</v>
      </c>
      <c r="C158" s="950" t="s">
        <v>6855</v>
      </c>
      <c r="D158" s="951" t="s">
        <v>6856</v>
      </c>
      <c r="E158" s="951" t="s">
        <v>6857</v>
      </c>
      <c r="F158" s="964" t="s">
        <v>6858</v>
      </c>
      <c r="G158" s="964"/>
      <c r="H158" s="953" t="s">
        <v>6859</v>
      </c>
      <c r="I158" s="954"/>
      <c r="J158" s="954"/>
    </row>
    <row r="159" ht="22.5" customHeight="1">
      <c r="A159" s="937">
        <v>158.0</v>
      </c>
      <c r="B159" s="913" t="b">
        <v>0</v>
      </c>
      <c r="C159" s="950" t="s">
        <v>6860</v>
      </c>
      <c r="D159" s="951" t="s">
        <v>6861</v>
      </c>
      <c r="E159" s="951" t="s">
        <v>6862</v>
      </c>
      <c r="F159" s="964" t="s">
        <v>6863</v>
      </c>
      <c r="G159" s="964"/>
      <c r="H159" s="953" t="s">
        <v>6738</v>
      </c>
      <c r="I159" s="954"/>
      <c r="J159" s="954"/>
    </row>
    <row r="160" ht="22.5" customHeight="1">
      <c r="A160" s="937">
        <v>159.0</v>
      </c>
      <c r="B160" s="913" t="b">
        <v>0</v>
      </c>
      <c r="C160" s="950" t="s">
        <v>6864</v>
      </c>
      <c r="D160" s="951" t="s">
        <v>6865</v>
      </c>
      <c r="E160" s="951" t="s">
        <v>6866</v>
      </c>
      <c r="F160" s="964" t="s">
        <v>6867</v>
      </c>
      <c r="G160" s="964"/>
      <c r="H160" s="953" t="s">
        <v>6868</v>
      </c>
      <c r="I160" s="954"/>
      <c r="J160" s="954"/>
    </row>
    <row r="161" ht="22.5" customHeight="1">
      <c r="A161" s="937">
        <v>160.0</v>
      </c>
      <c r="B161" s="913" t="b">
        <v>0</v>
      </c>
      <c r="C161" s="950" t="s">
        <v>6869</v>
      </c>
      <c r="D161" s="951" t="s">
        <v>6870</v>
      </c>
      <c r="E161" s="951" t="s">
        <v>6871</v>
      </c>
      <c r="F161" s="964" t="s">
        <v>6872</v>
      </c>
      <c r="G161" s="964"/>
      <c r="H161" s="953" t="s">
        <v>6738</v>
      </c>
      <c r="I161" s="954"/>
      <c r="J161" s="954"/>
    </row>
    <row r="162" ht="22.5" customHeight="1">
      <c r="A162" s="937">
        <v>161.0</v>
      </c>
      <c r="B162" s="913" t="b">
        <v>0</v>
      </c>
      <c r="C162" s="950" t="s">
        <v>6873</v>
      </c>
      <c r="D162" s="951" t="s">
        <v>6874</v>
      </c>
      <c r="E162" s="951" t="s">
        <v>6875</v>
      </c>
      <c r="F162" s="964" t="s">
        <v>6876</v>
      </c>
      <c r="G162" s="964"/>
      <c r="H162" s="953" t="s">
        <v>6877</v>
      </c>
      <c r="I162" s="954"/>
      <c r="J162" s="954"/>
    </row>
    <row r="163" ht="22.5" customHeight="1">
      <c r="A163" s="937">
        <v>162.0</v>
      </c>
      <c r="B163" s="913" t="b">
        <v>0</v>
      </c>
      <c r="C163" s="950" t="s">
        <v>2020</v>
      </c>
      <c r="D163" s="951" t="s">
        <v>6878</v>
      </c>
      <c r="E163" s="951" t="s">
        <v>6879</v>
      </c>
      <c r="F163" s="964" t="s">
        <v>6880</v>
      </c>
      <c r="G163" s="964"/>
      <c r="H163" s="953" t="s">
        <v>6815</v>
      </c>
      <c r="I163" s="954"/>
      <c r="J163" s="954"/>
    </row>
    <row r="164" ht="22.5" customHeight="1">
      <c r="A164" s="937">
        <v>163.0</v>
      </c>
      <c r="B164" s="913" t="b">
        <v>0</v>
      </c>
      <c r="C164" s="950" t="s">
        <v>6881</v>
      </c>
      <c r="D164" s="951" t="s">
        <v>6882</v>
      </c>
      <c r="E164" s="951" t="s">
        <v>6883</v>
      </c>
      <c r="F164" s="964" t="s">
        <v>6884</v>
      </c>
      <c r="G164" s="964"/>
      <c r="H164" s="953" t="s">
        <v>6885</v>
      </c>
      <c r="I164" s="954"/>
      <c r="J164" s="954"/>
    </row>
    <row r="165" ht="22.5" customHeight="1">
      <c r="A165" s="937">
        <v>164.0</v>
      </c>
      <c r="B165" s="913" t="b">
        <v>0</v>
      </c>
      <c r="C165" s="950" t="s">
        <v>6886</v>
      </c>
      <c r="D165" s="963"/>
      <c r="E165" s="951" t="s">
        <v>6887</v>
      </c>
      <c r="F165" s="964" t="s">
        <v>6888</v>
      </c>
      <c r="G165" s="964"/>
      <c r="H165" s="953" t="s">
        <v>6889</v>
      </c>
      <c r="I165" s="954"/>
      <c r="J165" s="954"/>
    </row>
    <row r="166" ht="22.5" customHeight="1">
      <c r="A166" s="937">
        <v>165.0</v>
      </c>
      <c r="B166" s="913" t="b">
        <v>0</v>
      </c>
      <c r="C166" s="950" t="s">
        <v>6890</v>
      </c>
      <c r="D166" s="951" t="s">
        <v>6891</v>
      </c>
      <c r="E166" s="951" t="s">
        <v>6892</v>
      </c>
      <c r="F166" s="964" t="s">
        <v>6893</v>
      </c>
      <c r="G166" s="964"/>
      <c r="H166" s="953" t="s">
        <v>6738</v>
      </c>
      <c r="I166" s="954"/>
      <c r="J166" s="954"/>
    </row>
    <row r="167" ht="22.5" customHeight="1">
      <c r="A167" s="937">
        <v>166.0</v>
      </c>
      <c r="B167" s="913" t="b">
        <v>0</v>
      </c>
      <c r="C167" s="950" t="s">
        <v>6894</v>
      </c>
      <c r="D167" s="951" t="s">
        <v>6895</v>
      </c>
      <c r="E167" s="951" t="s">
        <v>6896</v>
      </c>
      <c r="F167" s="964" t="s">
        <v>6897</v>
      </c>
      <c r="G167" s="964"/>
      <c r="H167" s="953" t="s">
        <v>6898</v>
      </c>
      <c r="I167" s="954"/>
      <c r="J167" s="954"/>
    </row>
    <row r="168" ht="22.5" customHeight="1">
      <c r="A168" s="937">
        <v>167.0</v>
      </c>
      <c r="B168" s="913" t="b">
        <v>0</v>
      </c>
      <c r="C168" s="950" t="s">
        <v>6899</v>
      </c>
      <c r="D168" s="963"/>
      <c r="E168" s="951" t="s">
        <v>6900</v>
      </c>
      <c r="F168" s="947"/>
      <c r="G168" s="947"/>
      <c r="H168" s="953" t="s">
        <v>6735</v>
      </c>
      <c r="I168" s="954"/>
      <c r="J168" s="954"/>
    </row>
    <row r="169" ht="22.5" customHeight="1">
      <c r="A169" s="937">
        <v>168.0</v>
      </c>
      <c r="B169" s="913" t="b">
        <v>0</v>
      </c>
      <c r="C169" s="950" t="s">
        <v>6901</v>
      </c>
      <c r="D169" s="951" t="s">
        <v>6902</v>
      </c>
      <c r="E169" s="951" t="s">
        <v>6903</v>
      </c>
      <c r="F169" s="964" t="s">
        <v>6904</v>
      </c>
      <c r="G169" s="964"/>
      <c r="H169" s="953" t="s">
        <v>6905</v>
      </c>
      <c r="I169" s="954"/>
      <c r="J169" s="954"/>
    </row>
    <row r="170" ht="22.5" customHeight="1">
      <c r="A170" s="937">
        <v>169.0</v>
      </c>
      <c r="B170" s="913" t="b">
        <v>0</v>
      </c>
      <c r="C170" s="950" t="s">
        <v>6906</v>
      </c>
      <c r="D170" s="951" t="s">
        <v>6907</v>
      </c>
      <c r="E170" s="951" t="s">
        <v>6908</v>
      </c>
      <c r="F170" s="964" t="s">
        <v>6909</v>
      </c>
      <c r="G170" s="964"/>
      <c r="H170" s="953" t="s">
        <v>6910</v>
      </c>
      <c r="I170" s="954"/>
      <c r="J170" s="954"/>
    </row>
    <row r="171" ht="22.5" customHeight="1">
      <c r="A171" s="937">
        <v>170.0</v>
      </c>
      <c r="B171" s="913" t="b">
        <v>0</v>
      </c>
      <c r="C171" s="950" t="s">
        <v>6911</v>
      </c>
      <c r="D171" s="951" t="s">
        <v>6912</v>
      </c>
      <c r="E171" s="951" t="s">
        <v>6913</v>
      </c>
      <c r="F171" s="964" t="s">
        <v>6914</v>
      </c>
      <c r="G171" s="964"/>
      <c r="H171" s="953" t="s">
        <v>6738</v>
      </c>
      <c r="I171" s="954"/>
      <c r="J171" s="954"/>
    </row>
    <row r="172" ht="22.5" customHeight="1">
      <c r="A172" s="937">
        <v>171.0</v>
      </c>
      <c r="B172" s="913" t="b">
        <v>0</v>
      </c>
      <c r="C172" s="950" t="s">
        <v>6915</v>
      </c>
      <c r="D172" s="951" t="s">
        <v>6916</v>
      </c>
      <c r="E172" s="951" t="s">
        <v>6917</v>
      </c>
      <c r="F172" s="964" t="s">
        <v>6918</v>
      </c>
      <c r="G172" s="964"/>
      <c r="H172" s="953" t="s">
        <v>6738</v>
      </c>
      <c r="I172" s="954"/>
      <c r="J172" s="954"/>
    </row>
    <row r="173" ht="22.5" customHeight="1">
      <c r="A173" s="937">
        <v>172.0</v>
      </c>
      <c r="B173" s="913" t="b">
        <v>0</v>
      </c>
      <c r="C173" s="950" t="s">
        <v>6919</v>
      </c>
      <c r="D173" s="951" t="s">
        <v>6920</v>
      </c>
      <c r="E173" s="951" t="s">
        <v>6921</v>
      </c>
      <c r="F173" s="964" t="s">
        <v>6922</v>
      </c>
      <c r="G173" s="964"/>
      <c r="H173" s="953" t="s">
        <v>6923</v>
      </c>
      <c r="I173" s="954"/>
      <c r="J173" s="954"/>
    </row>
    <row r="174" ht="22.5" customHeight="1">
      <c r="A174" s="937">
        <v>173.0</v>
      </c>
      <c r="B174" s="913" t="b">
        <v>0</v>
      </c>
      <c r="C174" s="950" t="s">
        <v>6924</v>
      </c>
      <c r="D174" s="963"/>
      <c r="E174" s="951" t="s">
        <v>6925</v>
      </c>
      <c r="F174" s="964" t="s">
        <v>6926</v>
      </c>
      <c r="G174" s="964"/>
      <c r="H174" s="953" t="s">
        <v>6927</v>
      </c>
      <c r="I174" s="954"/>
      <c r="J174" s="954"/>
    </row>
    <row r="175" ht="22.5" customHeight="1">
      <c r="A175" s="912">
        <v>174.0</v>
      </c>
      <c r="B175" s="913" t="b">
        <v>0</v>
      </c>
      <c r="C175" s="966" t="s">
        <v>6928</v>
      </c>
      <c r="D175" s="922" t="s">
        <v>6929</v>
      </c>
      <c r="E175" s="922">
        <v>7.514040919E9</v>
      </c>
      <c r="F175" s="924"/>
      <c r="G175" s="924" t="s">
        <v>6930</v>
      </c>
      <c r="H175" s="967" t="s">
        <v>6931</v>
      </c>
      <c r="I175" s="968"/>
      <c r="J175" s="968"/>
    </row>
    <row r="176" ht="22.5" customHeight="1">
      <c r="A176" s="912">
        <v>175.0</v>
      </c>
      <c r="B176" s="913" t="b">
        <v>0</v>
      </c>
      <c r="C176" s="966" t="s">
        <v>6932</v>
      </c>
      <c r="D176" s="922"/>
      <c r="E176" s="922">
        <v>7.504480917E9</v>
      </c>
      <c r="F176" s="924"/>
      <c r="G176" s="924" t="s">
        <v>6933</v>
      </c>
      <c r="H176" s="967" t="s">
        <v>6934</v>
      </c>
      <c r="I176" s="968"/>
      <c r="J176" s="968"/>
    </row>
    <row r="177" ht="22.5" customHeight="1">
      <c r="A177" s="912">
        <v>176.0</v>
      </c>
      <c r="B177" s="913" t="b">
        <v>0</v>
      </c>
      <c r="C177" s="935" t="s">
        <v>6935</v>
      </c>
      <c r="D177" s="936" t="s">
        <v>6936</v>
      </c>
      <c r="E177" s="922">
        <v>7.512188228E9</v>
      </c>
      <c r="F177" s="924"/>
      <c r="G177" s="969" t="s">
        <v>6937</v>
      </c>
      <c r="H177" s="970" t="s">
        <v>6938</v>
      </c>
      <c r="I177" s="971"/>
      <c r="J177" s="971"/>
    </row>
    <row r="178" ht="22.5" customHeight="1">
      <c r="A178" s="912">
        <v>177.0</v>
      </c>
      <c r="B178" s="913" t="b">
        <v>0</v>
      </c>
      <c r="C178" s="935" t="s">
        <v>6939</v>
      </c>
      <c r="D178" s="922"/>
      <c r="E178" s="922">
        <v>7.702716064E9</v>
      </c>
      <c r="F178" s="924"/>
      <c r="G178" s="969" t="s">
        <v>6940</v>
      </c>
      <c r="H178" s="970" t="s">
        <v>6941</v>
      </c>
      <c r="I178" s="971"/>
      <c r="J178" s="971"/>
    </row>
    <row r="179" ht="22.5" customHeight="1">
      <c r="A179" s="912">
        <v>178.0</v>
      </c>
      <c r="B179" s="913" t="b">
        <v>0</v>
      </c>
      <c r="C179" s="935" t="s">
        <v>6942</v>
      </c>
      <c r="D179" s="922"/>
      <c r="E179" s="922">
        <v>7.507947929E9</v>
      </c>
      <c r="F179" s="924"/>
      <c r="G179" s="969" t="s">
        <v>6943</v>
      </c>
      <c r="H179" s="972" t="s">
        <v>6944</v>
      </c>
      <c r="I179" s="973"/>
      <c r="J179" s="973"/>
    </row>
    <row r="180" ht="22.5" customHeight="1">
      <c r="A180" s="912">
        <v>179.0</v>
      </c>
      <c r="B180" s="913" t="b">
        <v>0</v>
      </c>
      <c r="C180" s="935" t="s">
        <v>6945</v>
      </c>
      <c r="D180" s="922"/>
      <c r="E180" s="922">
        <v>7.504304679E9</v>
      </c>
      <c r="F180" s="924"/>
      <c r="G180" s="969" t="s">
        <v>6946</v>
      </c>
      <c r="H180" s="972" t="s">
        <v>6944</v>
      </c>
      <c r="I180" s="973"/>
      <c r="J180" s="973"/>
    </row>
    <row r="181" ht="22.5" customHeight="1">
      <c r="A181" s="912">
        <v>180.0</v>
      </c>
      <c r="B181" s="913" t="b">
        <v>0</v>
      </c>
      <c r="C181" s="935" t="s">
        <v>6947</v>
      </c>
      <c r="D181" s="922"/>
      <c r="E181" s="922">
        <v>7.504681662E9</v>
      </c>
      <c r="F181" s="924"/>
      <c r="G181" s="969" t="s">
        <v>6948</v>
      </c>
      <c r="H181" s="972" t="s">
        <v>6944</v>
      </c>
      <c r="I181" s="973"/>
      <c r="J181" s="973"/>
    </row>
    <row r="182" ht="22.5" customHeight="1">
      <c r="A182" s="912">
        <v>181.0</v>
      </c>
      <c r="B182" s="913" t="b">
        <v>0</v>
      </c>
      <c r="C182" s="966" t="s">
        <v>6949</v>
      </c>
      <c r="D182" s="922"/>
      <c r="E182" s="922">
        <v>7.504256526E9</v>
      </c>
      <c r="F182" s="924"/>
      <c r="G182" s="969" t="s">
        <v>6950</v>
      </c>
      <c r="H182" s="974" t="s">
        <v>6951</v>
      </c>
      <c r="I182" s="971"/>
      <c r="J182" s="971"/>
    </row>
    <row r="183" ht="22.5" customHeight="1">
      <c r="A183" s="912">
        <v>182.0</v>
      </c>
      <c r="B183" s="913" t="b">
        <v>0</v>
      </c>
      <c r="C183" s="935" t="s">
        <v>6952</v>
      </c>
      <c r="D183" s="922"/>
      <c r="E183" s="922">
        <v>7.504051616E9</v>
      </c>
      <c r="F183" s="924"/>
      <c r="G183" s="969" t="s">
        <v>6953</v>
      </c>
      <c r="H183" s="970" t="s">
        <v>6954</v>
      </c>
      <c r="I183" s="971"/>
      <c r="J183" s="971"/>
    </row>
    <row r="184" ht="22.5" customHeight="1">
      <c r="A184" s="912">
        <v>183.0</v>
      </c>
      <c r="B184" s="913" t="b">
        <v>0</v>
      </c>
      <c r="C184" s="935" t="s">
        <v>6955</v>
      </c>
      <c r="D184" s="922"/>
      <c r="E184" s="922">
        <v>7.507441443E9</v>
      </c>
      <c r="F184" s="924"/>
      <c r="G184" s="969" t="s">
        <v>6956</v>
      </c>
      <c r="H184" s="970" t="s">
        <v>6957</v>
      </c>
      <c r="I184" s="971"/>
      <c r="J184" s="971"/>
    </row>
    <row r="185" ht="22.5" customHeight="1">
      <c r="A185" s="912">
        <v>184.0</v>
      </c>
      <c r="B185" s="913" t="b">
        <v>0</v>
      </c>
      <c r="C185" s="935" t="s">
        <v>6958</v>
      </c>
      <c r="D185" s="922"/>
      <c r="E185" s="922">
        <v>7.504034444E9</v>
      </c>
      <c r="F185" s="924" t="s">
        <v>6959</v>
      </c>
      <c r="G185" s="924"/>
      <c r="H185" s="970" t="s">
        <v>6960</v>
      </c>
      <c r="I185" s="971"/>
      <c r="J185" s="971"/>
    </row>
    <row r="186" ht="22.5" customHeight="1">
      <c r="A186" s="912">
        <v>185.0</v>
      </c>
      <c r="B186" s="913" t="b">
        <v>0</v>
      </c>
      <c r="C186" s="935" t="s">
        <v>6961</v>
      </c>
      <c r="D186" s="922"/>
      <c r="E186" s="922">
        <v>7.50448325E9</v>
      </c>
      <c r="F186" s="924"/>
      <c r="G186" s="969" t="s">
        <v>6946</v>
      </c>
      <c r="H186" s="970" t="s">
        <v>6938</v>
      </c>
      <c r="I186" s="971"/>
      <c r="J186" s="971"/>
    </row>
    <row r="187" ht="22.5" customHeight="1">
      <c r="A187" s="912">
        <v>186.0</v>
      </c>
      <c r="B187" s="913" t="b">
        <v>0</v>
      </c>
      <c r="C187" s="935" t="s">
        <v>6962</v>
      </c>
      <c r="D187" s="922"/>
      <c r="E187" s="922">
        <v>7.501407004E9</v>
      </c>
      <c r="F187" s="924"/>
      <c r="G187" s="969" t="s">
        <v>6963</v>
      </c>
      <c r="H187" s="970" t="s">
        <v>6964</v>
      </c>
      <c r="I187" s="971"/>
      <c r="J187" s="971"/>
    </row>
    <row r="188" ht="22.5" customHeight="1">
      <c r="A188" s="912">
        <v>187.0</v>
      </c>
      <c r="B188" s="913" t="b">
        <v>0</v>
      </c>
      <c r="C188" s="966" t="s">
        <v>6965</v>
      </c>
      <c r="D188" s="922"/>
      <c r="E188" s="922">
        <v>7.504474442E9</v>
      </c>
      <c r="F188" s="924" t="s">
        <v>6666</v>
      </c>
      <c r="G188" s="924"/>
      <c r="H188" s="970" t="s">
        <v>6966</v>
      </c>
      <c r="I188" s="971"/>
      <c r="J188" s="971"/>
    </row>
    <row r="189" ht="22.5" customHeight="1">
      <c r="A189" s="912">
        <v>188.0</v>
      </c>
      <c r="B189" s="913" t="b">
        <v>0</v>
      </c>
      <c r="C189" s="935" t="s">
        <v>6967</v>
      </c>
      <c r="D189" s="922"/>
      <c r="E189" s="922">
        <v>7.504913456E9</v>
      </c>
      <c r="F189" s="924" t="s">
        <v>6968</v>
      </c>
      <c r="G189" s="969" t="s">
        <v>6943</v>
      </c>
      <c r="H189" s="970" t="s">
        <v>6938</v>
      </c>
      <c r="I189" s="971"/>
      <c r="J189" s="971"/>
    </row>
    <row r="190" ht="22.5" customHeight="1">
      <c r="A190" s="912">
        <v>189.0</v>
      </c>
      <c r="B190" s="913" t="b">
        <v>0</v>
      </c>
      <c r="C190" s="935" t="s">
        <v>6969</v>
      </c>
      <c r="D190" s="922"/>
      <c r="E190" s="922">
        <v>7.5119183E9</v>
      </c>
      <c r="F190" s="924"/>
      <c r="G190" s="969" t="s">
        <v>6970</v>
      </c>
      <c r="H190" s="970" t="s">
        <v>6971</v>
      </c>
      <c r="I190" s="971"/>
      <c r="J190" s="971"/>
    </row>
    <row r="191" ht="22.5" customHeight="1">
      <c r="A191" s="912">
        <v>190.0</v>
      </c>
      <c r="B191" s="913" t="b">
        <v>0</v>
      </c>
      <c r="C191" s="935" t="s">
        <v>6972</v>
      </c>
      <c r="D191" s="922"/>
      <c r="E191" s="922">
        <v>7.504528852E9</v>
      </c>
      <c r="F191" s="924"/>
      <c r="G191" s="969" t="s">
        <v>6973</v>
      </c>
      <c r="H191" s="969" t="s">
        <v>6974</v>
      </c>
      <c r="I191" s="975"/>
      <c r="J191" s="975"/>
    </row>
    <row r="192" ht="22.5" customHeight="1">
      <c r="A192" s="912">
        <v>191.0</v>
      </c>
      <c r="B192" s="913" t="b">
        <v>0</v>
      </c>
      <c r="C192" s="935" t="s">
        <v>6975</v>
      </c>
      <c r="D192" s="922"/>
      <c r="E192" s="922">
        <v>7.502076677E9</v>
      </c>
      <c r="F192" s="924"/>
      <c r="G192" s="924"/>
      <c r="H192" s="969" t="s">
        <v>6976</v>
      </c>
      <c r="I192" s="975"/>
      <c r="J192" s="975"/>
    </row>
    <row r="193" ht="22.5" customHeight="1">
      <c r="A193" s="912">
        <v>192.0</v>
      </c>
      <c r="B193" s="913" t="b">
        <v>0</v>
      </c>
      <c r="C193" s="935" t="s">
        <v>6977</v>
      </c>
      <c r="D193" s="922"/>
      <c r="E193" s="922">
        <v>7.504603726E9</v>
      </c>
      <c r="F193" s="924" t="s">
        <v>6978</v>
      </c>
      <c r="G193" s="924"/>
      <c r="H193" s="969" t="s">
        <v>6938</v>
      </c>
      <c r="I193" s="975"/>
      <c r="J193" s="975"/>
    </row>
    <row r="194" ht="22.5" customHeight="1">
      <c r="A194" s="912">
        <v>193.0</v>
      </c>
      <c r="B194" s="913" t="b">
        <v>0</v>
      </c>
      <c r="C194" s="935" t="s">
        <v>6979</v>
      </c>
      <c r="D194" s="922"/>
      <c r="E194" s="922">
        <v>7.504451621E9</v>
      </c>
      <c r="F194" s="924"/>
      <c r="G194" s="924"/>
      <c r="H194" s="976" t="s">
        <v>6944</v>
      </c>
      <c r="I194" s="976"/>
      <c r="J194" s="976"/>
    </row>
    <row r="195" ht="22.5" customHeight="1">
      <c r="A195" s="912">
        <v>194.0</v>
      </c>
      <c r="B195" s="913" t="b">
        <v>0</v>
      </c>
      <c r="C195" s="966" t="s">
        <v>6980</v>
      </c>
      <c r="D195" s="922"/>
      <c r="E195" s="922">
        <v>7.501012004E9</v>
      </c>
      <c r="F195" s="924"/>
      <c r="G195" s="969" t="s">
        <v>6963</v>
      </c>
      <c r="H195" s="969" t="s">
        <v>6981</v>
      </c>
      <c r="I195" s="975"/>
      <c r="J195" s="975"/>
    </row>
    <row r="196" ht="22.5" customHeight="1">
      <c r="A196" s="912">
        <v>195.0</v>
      </c>
      <c r="B196" s="913" t="b">
        <v>0</v>
      </c>
      <c r="C196" s="966" t="s">
        <v>6982</v>
      </c>
      <c r="D196" s="922"/>
      <c r="E196" s="922">
        <v>7.506462E9</v>
      </c>
      <c r="F196" s="924" t="s">
        <v>6983</v>
      </c>
      <c r="G196" s="976" t="s">
        <v>6984</v>
      </c>
      <c r="H196" s="969" t="s">
        <v>6985</v>
      </c>
      <c r="I196" s="975"/>
      <c r="J196" s="975"/>
    </row>
    <row r="197" ht="22.5" customHeight="1">
      <c r="A197" s="912">
        <v>196.0</v>
      </c>
      <c r="B197" s="913" t="b">
        <v>0</v>
      </c>
      <c r="C197" s="935" t="s">
        <v>6986</v>
      </c>
      <c r="D197" s="922"/>
      <c r="E197" s="922">
        <v>7.50462148E9</v>
      </c>
      <c r="F197" s="924" t="s">
        <v>6987</v>
      </c>
      <c r="G197" s="969" t="s">
        <v>6988</v>
      </c>
      <c r="H197" s="977" t="s">
        <v>6944</v>
      </c>
      <c r="I197" s="977"/>
      <c r="J197" s="977"/>
    </row>
    <row r="198" ht="22.5" customHeight="1">
      <c r="A198" s="912">
        <v>197.0</v>
      </c>
      <c r="B198" s="913" t="b">
        <v>0</v>
      </c>
      <c r="C198" s="966" t="s">
        <v>6989</v>
      </c>
      <c r="D198" s="922"/>
      <c r="E198" s="922">
        <v>7.503385007E9</v>
      </c>
      <c r="F198" s="924" t="s">
        <v>6990</v>
      </c>
      <c r="G198" s="969" t="s">
        <v>6937</v>
      </c>
      <c r="H198" s="969" t="s">
        <v>6938</v>
      </c>
      <c r="I198" s="975"/>
      <c r="J198" s="975"/>
    </row>
    <row r="199" ht="22.5" customHeight="1">
      <c r="A199" s="912">
        <v>198.0</v>
      </c>
      <c r="B199" s="913" t="b">
        <v>0</v>
      </c>
      <c r="C199" s="966" t="s">
        <v>3193</v>
      </c>
      <c r="D199" s="922"/>
      <c r="E199" s="922">
        <v>7.504150415E9</v>
      </c>
      <c r="F199" s="924" t="s">
        <v>3196</v>
      </c>
      <c r="G199" s="969" t="s">
        <v>6937</v>
      </c>
      <c r="H199" s="969" t="s">
        <v>6938</v>
      </c>
      <c r="I199" s="975"/>
      <c r="J199" s="975"/>
    </row>
    <row r="200" ht="22.5" customHeight="1">
      <c r="A200" s="912">
        <v>199.0</v>
      </c>
      <c r="B200" s="913" t="b">
        <v>0</v>
      </c>
      <c r="C200" s="935" t="s">
        <v>6991</v>
      </c>
      <c r="D200" s="922"/>
      <c r="E200" s="922">
        <v>7.504475699E9</v>
      </c>
      <c r="F200" s="924"/>
      <c r="G200" s="969" t="s">
        <v>6992</v>
      </c>
      <c r="H200" s="969" t="s">
        <v>6957</v>
      </c>
      <c r="I200" s="975"/>
      <c r="J200" s="975"/>
    </row>
    <row r="201" ht="22.5" customHeight="1">
      <c r="A201" s="912">
        <v>200.0</v>
      </c>
      <c r="B201" s="913" t="b">
        <v>0</v>
      </c>
      <c r="C201" s="966" t="s">
        <v>6993</v>
      </c>
      <c r="D201" s="922"/>
      <c r="E201" s="922">
        <v>7.509871313E9</v>
      </c>
      <c r="F201" s="924"/>
      <c r="G201" s="969" t="s">
        <v>6994</v>
      </c>
      <c r="H201" s="969" t="s">
        <v>6995</v>
      </c>
      <c r="I201" s="975"/>
      <c r="J201" s="975"/>
    </row>
    <row r="202" ht="22.5" customHeight="1">
      <c r="A202" s="912">
        <v>201.0</v>
      </c>
      <c r="B202" s="913" t="b">
        <v>0</v>
      </c>
      <c r="C202" s="935" t="s">
        <v>6996</v>
      </c>
      <c r="D202" s="922"/>
      <c r="E202" s="922">
        <v>7.504439741E9</v>
      </c>
      <c r="F202" s="924" t="s">
        <v>6997</v>
      </c>
      <c r="G202" s="924"/>
      <c r="H202" s="969" t="s">
        <v>6954</v>
      </c>
      <c r="I202" s="975"/>
      <c r="J202" s="975"/>
    </row>
    <row r="203" ht="22.5" customHeight="1">
      <c r="A203" s="912">
        <v>202.0</v>
      </c>
      <c r="B203" s="913" t="b">
        <v>0</v>
      </c>
      <c r="C203" s="935" t="s">
        <v>6998</v>
      </c>
      <c r="D203" s="922"/>
      <c r="E203" s="922">
        <v>7.503520001E9</v>
      </c>
      <c r="F203" s="924" t="s">
        <v>6999</v>
      </c>
      <c r="G203" s="924"/>
      <c r="H203" s="978" t="s">
        <v>7000</v>
      </c>
      <c r="I203" s="977"/>
      <c r="J203" s="977"/>
    </row>
    <row r="204" ht="22.5" customHeight="1">
      <c r="A204" s="912">
        <v>203.0</v>
      </c>
      <c r="B204" s="913" t="b">
        <v>0</v>
      </c>
      <c r="C204" s="966" t="s">
        <v>7001</v>
      </c>
      <c r="D204" s="922"/>
      <c r="E204" s="922">
        <v>7.504803635E9</v>
      </c>
      <c r="F204" s="924" t="s">
        <v>7002</v>
      </c>
      <c r="G204" s="924"/>
      <c r="H204" s="979" t="s">
        <v>7000</v>
      </c>
      <c r="I204" s="976"/>
      <c r="J204" s="976"/>
    </row>
    <row r="205" ht="22.5" customHeight="1">
      <c r="A205" s="912">
        <v>204.0</v>
      </c>
      <c r="B205" s="913" t="b">
        <v>0</v>
      </c>
      <c r="C205" s="935" t="s">
        <v>7003</v>
      </c>
      <c r="D205" s="922"/>
      <c r="E205" s="922">
        <v>7.503617277E9</v>
      </c>
      <c r="F205" s="924"/>
      <c r="G205" s="969" t="s">
        <v>7004</v>
      </c>
      <c r="H205" s="969" t="s">
        <v>6960</v>
      </c>
      <c r="I205" s="975"/>
      <c r="J205" s="975"/>
    </row>
    <row r="206" ht="22.5" customHeight="1">
      <c r="A206" s="912">
        <v>205.0</v>
      </c>
      <c r="B206" s="913" t="b">
        <v>0</v>
      </c>
      <c r="C206" s="966" t="s">
        <v>7005</v>
      </c>
      <c r="D206" s="922"/>
      <c r="E206" s="922">
        <v>7.504482679E9</v>
      </c>
      <c r="F206" s="924"/>
      <c r="G206" s="969" t="s">
        <v>7006</v>
      </c>
      <c r="H206" s="969" t="s">
        <v>6985</v>
      </c>
      <c r="I206" s="975"/>
      <c r="J206" s="975"/>
    </row>
    <row r="207" ht="22.5" customHeight="1">
      <c r="A207" s="912">
        <v>206.0</v>
      </c>
      <c r="B207" s="913" t="b">
        <v>0</v>
      </c>
      <c r="C207" s="935" t="s">
        <v>7007</v>
      </c>
      <c r="D207" s="922"/>
      <c r="E207" s="922">
        <v>7.504430023E9</v>
      </c>
      <c r="F207" s="924" t="s">
        <v>7008</v>
      </c>
      <c r="G207" s="969" t="s">
        <v>6970</v>
      </c>
      <c r="H207" s="969" t="s">
        <v>7009</v>
      </c>
      <c r="I207" s="975"/>
      <c r="J207" s="975"/>
    </row>
    <row r="208" ht="22.5" customHeight="1">
      <c r="A208" s="912">
        <v>207.0</v>
      </c>
      <c r="B208" s="913" t="b">
        <v>0</v>
      </c>
      <c r="C208" s="966" t="s">
        <v>7010</v>
      </c>
      <c r="D208" s="922"/>
      <c r="E208" s="922">
        <v>7.504641175E9</v>
      </c>
      <c r="F208" s="924"/>
      <c r="G208" s="969" t="s">
        <v>6937</v>
      </c>
      <c r="H208" s="924"/>
      <c r="I208" s="933"/>
      <c r="J208" s="933"/>
    </row>
    <row r="209" ht="22.5" customHeight="1">
      <c r="A209" s="912">
        <v>208.0</v>
      </c>
      <c r="B209" s="913" t="b">
        <v>0</v>
      </c>
      <c r="C209" s="935" t="s">
        <v>7011</v>
      </c>
      <c r="D209" s="936" t="s">
        <v>7012</v>
      </c>
      <c r="E209" s="922">
        <v>7.504453338E9</v>
      </c>
      <c r="F209" s="924" t="s">
        <v>7013</v>
      </c>
      <c r="G209" s="924"/>
      <c r="H209" s="969" t="s">
        <v>7014</v>
      </c>
      <c r="I209" s="975"/>
      <c r="J209" s="975"/>
    </row>
    <row r="210" ht="22.5" customHeight="1">
      <c r="A210" s="912">
        <v>209.0</v>
      </c>
      <c r="B210" s="913" t="b">
        <v>0</v>
      </c>
      <c r="C210" s="935" t="s">
        <v>7015</v>
      </c>
      <c r="D210" s="922"/>
      <c r="E210" s="922">
        <v>7.504344545E9</v>
      </c>
      <c r="F210" s="924"/>
      <c r="G210" s="969" t="s">
        <v>6946</v>
      </c>
      <c r="H210" s="969" t="s">
        <v>6957</v>
      </c>
      <c r="I210" s="975"/>
      <c r="J210" s="975"/>
    </row>
    <row r="211" ht="22.5" customHeight="1">
      <c r="A211" s="912">
        <v>210.0</v>
      </c>
      <c r="B211" s="913" t="b">
        <v>0</v>
      </c>
      <c r="C211" s="966" t="s">
        <v>7016</v>
      </c>
      <c r="D211" s="922"/>
      <c r="E211" s="922">
        <v>7.504466722E9</v>
      </c>
      <c r="F211" s="924"/>
      <c r="G211" s="969" t="s">
        <v>7017</v>
      </c>
      <c r="H211" s="969" t="s">
        <v>6985</v>
      </c>
      <c r="I211" s="975"/>
      <c r="J211" s="975"/>
    </row>
    <row r="212" ht="22.5" customHeight="1">
      <c r="A212" s="912">
        <v>211.0</v>
      </c>
      <c r="B212" s="913" t="b">
        <v>0</v>
      </c>
      <c r="C212" s="935" t="s">
        <v>7018</v>
      </c>
      <c r="D212" s="922"/>
      <c r="E212" s="922">
        <v>7.511551173E9</v>
      </c>
      <c r="F212" s="924"/>
      <c r="G212" s="969" t="s">
        <v>7019</v>
      </c>
      <c r="H212" s="969" t="s">
        <v>7020</v>
      </c>
      <c r="I212" s="975"/>
      <c r="J212" s="975"/>
    </row>
    <row r="213" ht="22.5" customHeight="1">
      <c r="A213" s="912">
        <v>212.0</v>
      </c>
      <c r="B213" s="913" t="b">
        <v>0</v>
      </c>
      <c r="C213" s="966" t="s">
        <v>7021</v>
      </c>
      <c r="D213" s="922"/>
      <c r="E213" s="922">
        <v>7.504443513E9</v>
      </c>
      <c r="F213" s="924"/>
      <c r="G213" s="969" t="s">
        <v>7022</v>
      </c>
      <c r="H213" s="969" t="s">
        <v>7023</v>
      </c>
      <c r="I213" s="975"/>
      <c r="J213" s="975"/>
    </row>
    <row r="214" ht="22.5" customHeight="1">
      <c r="A214" s="912">
        <v>213.0</v>
      </c>
      <c r="B214" s="913" t="b">
        <v>0</v>
      </c>
      <c r="C214" s="935" t="s">
        <v>7024</v>
      </c>
      <c r="D214" s="922"/>
      <c r="E214" s="922">
        <v>7.504298987E9</v>
      </c>
      <c r="F214" s="924"/>
      <c r="G214" s="969" t="s">
        <v>7025</v>
      </c>
      <c r="H214" s="969" t="s">
        <v>7026</v>
      </c>
      <c r="I214" s="975"/>
      <c r="J214" s="975"/>
    </row>
    <row r="215" ht="22.5" customHeight="1">
      <c r="A215" s="912">
        <v>214.0</v>
      </c>
      <c r="B215" s="913" t="b">
        <v>0</v>
      </c>
      <c r="C215" s="935" t="s">
        <v>7027</v>
      </c>
      <c r="D215" s="922"/>
      <c r="E215" s="922">
        <v>7.501232111E9</v>
      </c>
      <c r="F215" s="924" t="s">
        <v>7028</v>
      </c>
      <c r="G215" s="924"/>
      <c r="H215" s="969" t="s">
        <v>7029</v>
      </c>
      <c r="I215" s="975"/>
      <c r="J215" s="975"/>
    </row>
    <row r="216" ht="22.5" customHeight="1">
      <c r="A216" s="912">
        <v>215.0</v>
      </c>
      <c r="B216" s="913" t="b">
        <v>0</v>
      </c>
      <c r="C216" s="935" t="s">
        <v>7030</v>
      </c>
      <c r="D216" s="922"/>
      <c r="E216" s="922">
        <v>7.504500476E9</v>
      </c>
      <c r="F216" s="924" t="s">
        <v>7031</v>
      </c>
      <c r="G216" s="924"/>
      <c r="H216" s="969" t="s">
        <v>7032</v>
      </c>
      <c r="I216" s="975"/>
      <c r="J216" s="975"/>
    </row>
    <row r="217" ht="22.5" customHeight="1">
      <c r="A217" s="912">
        <v>216.0</v>
      </c>
      <c r="B217" s="913" t="b">
        <v>0</v>
      </c>
      <c r="C217" s="935" t="s">
        <v>7033</v>
      </c>
      <c r="D217" s="922"/>
      <c r="E217" s="922">
        <v>7.504452187E9</v>
      </c>
      <c r="F217" s="924" t="s">
        <v>7034</v>
      </c>
      <c r="G217" s="969" t="s">
        <v>7035</v>
      </c>
      <c r="H217" s="969" t="s">
        <v>6938</v>
      </c>
      <c r="I217" s="975"/>
      <c r="J217" s="975"/>
    </row>
    <row r="218" ht="22.5" customHeight="1">
      <c r="A218" s="912">
        <v>217.0</v>
      </c>
      <c r="B218" s="913" t="b">
        <v>0</v>
      </c>
      <c r="C218" s="935" t="s">
        <v>7036</v>
      </c>
      <c r="D218" s="922"/>
      <c r="E218" s="922">
        <v>7.504486011E9</v>
      </c>
      <c r="F218" s="924"/>
      <c r="G218" s="969" t="s">
        <v>7037</v>
      </c>
      <c r="H218" s="969" t="s">
        <v>6954</v>
      </c>
      <c r="I218" s="975"/>
      <c r="J218" s="975"/>
    </row>
    <row r="219" ht="22.5" customHeight="1">
      <c r="A219" s="912">
        <v>218.0</v>
      </c>
      <c r="B219" s="913" t="b">
        <v>0</v>
      </c>
      <c r="C219" s="935" t="s">
        <v>7038</v>
      </c>
      <c r="D219" s="936" t="s">
        <v>7039</v>
      </c>
      <c r="E219" s="922">
        <v>7.50756171E9</v>
      </c>
      <c r="F219" s="924" t="s">
        <v>7040</v>
      </c>
      <c r="G219" s="924"/>
      <c r="H219" s="969" t="s">
        <v>7041</v>
      </c>
      <c r="I219" s="975"/>
      <c r="J219" s="975"/>
    </row>
    <row r="220" ht="22.5" customHeight="1">
      <c r="A220" s="912">
        <v>219.0</v>
      </c>
      <c r="B220" s="913" t="b">
        <v>0</v>
      </c>
      <c r="C220" s="935" t="s">
        <v>7042</v>
      </c>
      <c r="D220" s="922"/>
      <c r="E220" s="922">
        <v>7.501087477E9</v>
      </c>
      <c r="F220" s="924"/>
      <c r="G220" s="969" t="s">
        <v>6946</v>
      </c>
      <c r="H220" s="969" t="s">
        <v>7043</v>
      </c>
      <c r="I220" s="975"/>
      <c r="J220" s="975"/>
    </row>
    <row r="221" ht="22.5" customHeight="1">
      <c r="A221" s="912">
        <v>220.0</v>
      </c>
      <c r="B221" s="913" t="b">
        <v>0</v>
      </c>
      <c r="C221" s="935" t="s">
        <v>7044</v>
      </c>
      <c r="D221" s="922"/>
      <c r="E221" s="922">
        <v>7.505253E9</v>
      </c>
      <c r="F221" s="924"/>
      <c r="G221" s="969" t="s">
        <v>7045</v>
      </c>
      <c r="H221" s="969" t="s">
        <v>7046</v>
      </c>
      <c r="I221" s="975"/>
      <c r="J221" s="975"/>
    </row>
    <row r="222" ht="22.5" customHeight="1">
      <c r="A222" s="912">
        <v>221.0</v>
      </c>
      <c r="B222" s="913" t="b">
        <v>0</v>
      </c>
      <c r="C222" s="966" t="s">
        <v>7047</v>
      </c>
      <c r="D222" s="922"/>
      <c r="E222" s="922">
        <v>7.50368215E9</v>
      </c>
      <c r="F222" s="924"/>
      <c r="G222" s="969" t="s">
        <v>7048</v>
      </c>
      <c r="H222" s="969" t="s">
        <v>7043</v>
      </c>
      <c r="I222" s="975"/>
      <c r="J222" s="975"/>
    </row>
    <row r="223" ht="22.5" customHeight="1">
      <c r="A223" s="912">
        <v>222.0</v>
      </c>
      <c r="B223" s="913" t="b">
        <v>0</v>
      </c>
      <c r="C223" s="935" t="s">
        <v>7049</v>
      </c>
      <c r="D223" s="922"/>
      <c r="E223" s="922">
        <v>7.504557326E9</v>
      </c>
      <c r="F223" s="924"/>
      <c r="G223" s="969" t="s">
        <v>7050</v>
      </c>
      <c r="H223" s="969" t="s">
        <v>6995</v>
      </c>
      <c r="I223" s="975"/>
      <c r="J223" s="975"/>
    </row>
    <row r="224" ht="22.5" customHeight="1">
      <c r="A224" s="912">
        <v>223.0</v>
      </c>
      <c r="B224" s="913" t="b">
        <v>0</v>
      </c>
      <c r="C224" s="935" t="s">
        <v>7051</v>
      </c>
      <c r="D224" s="922"/>
      <c r="E224" s="922">
        <v>7.504488623E9</v>
      </c>
      <c r="F224" s="924"/>
      <c r="G224" s="969" t="s">
        <v>6946</v>
      </c>
      <c r="H224" s="969" t="s">
        <v>6995</v>
      </c>
      <c r="I224" s="975"/>
      <c r="J224" s="975"/>
    </row>
    <row r="225" ht="22.5" customHeight="1">
      <c r="A225" s="912">
        <v>224.0</v>
      </c>
      <c r="B225" s="913" t="b">
        <v>0</v>
      </c>
      <c r="C225" s="935" t="s">
        <v>7052</v>
      </c>
      <c r="D225" s="922"/>
      <c r="E225" s="922">
        <v>7.503472102E9</v>
      </c>
      <c r="F225" s="924"/>
      <c r="G225" s="969" t="s">
        <v>6946</v>
      </c>
      <c r="H225" s="969" t="s">
        <v>6995</v>
      </c>
      <c r="I225" s="975"/>
      <c r="J225" s="975"/>
    </row>
    <row r="226" ht="22.5" customHeight="1">
      <c r="A226" s="912">
        <v>225.0</v>
      </c>
      <c r="B226" s="913" t="b">
        <v>0</v>
      </c>
      <c r="C226" s="966" t="s">
        <v>7053</v>
      </c>
      <c r="D226" s="922"/>
      <c r="E226" s="922">
        <v>7.507776686E9</v>
      </c>
      <c r="F226" s="924"/>
      <c r="G226" s="969" t="s">
        <v>7054</v>
      </c>
      <c r="H226" s="969" t="s">
        <v>7020</v>
      </c>
      <c r="I226" s="975"/>
      <c r="J226" s="975"/>
    </row>
    <row r="227" ht="22.5" customHeight="1">
      <c r="A227" s="912">
        <v>226.0</v>
      </c>
      <c r="B227" s="913" t="b">
        <v>0</v>
      </c>
      <c r="C227" s="966" t="s">
        <v>7055</v>
      </c>
      <c r="D227" s="922"/>
      <c r="E227" s="922">
        <v>7.504699969E9</v>
      </c>
      <c r="F227" s="924"/>
      <c r="G227" s="969" t="s">
        <v>6937</v>
      </c>
      <c r="H227" s="969" t="s">
        <v>6995</v>
      </c>
      <c r="I227" s="975"/>
      <c r="J227" s="975"/>
    </row>
    <row r="228" ht="22.5" customHeight="1">
      <c r="A228" s="912">
        <v>227.0</v>
      </c>
      <c r="B228" s="913" t="b">
        <v>0</v>
      </c>
      <c r="C228" s="966" t="s">
        <v>7056</v>
      </c>
      <c r="D228" s="922"/>
      <c r="E228" s="922">
        <v>7.504464485E9</v>
      </c>
      <c r="F228" s="924" t="s">
        <v>7057</v>
      </c>
      <c r="G228" s="969" t="s">
        <v>6937</v>
      </c>
      <c r="H228" s="969" t="s">
        <v>6995</v>
      </c>
      <c r="I228" s="975"/>
      <c r="J228" s="975"/>
    </row>
    <row r="229" ht="22.5" customHeight="1">
      <c r="A229" s="912">
        <v>228.0</v>
      </c>
      <c r="B229" s="913" t="b">
        <v>0</v>
      </c>
      <c r="C229" s="966" t="s">
        <v>7058</v>
      </c>
      <c r="D229" s="922"/>
      <c r="E229" s="922">
        <v>7.504649805E9</v>
      </c>
      <c r="F229" s="924" t="s">
        <v>7059</v>
      </c>
      <c r="G229" s="969" t="s">
        <v>7060</v>
      </c>
      <c r="H229" s="969" t="s">
        <v>6954</v>
      </c>
      <c r="I229" s="975"/>
      <c r="J229" s="975"/>
    </row>
    <row r="230" ht="22.5" customHeight="1">
      <c r="A230" s="912">
        <v>229.0</v>
      </c>
      <c r="B230" s="913" t="b">
        <v>0</v>
      </c>
      <c r="C230" s="966" t="s">
        <v>7061</v>
      </c>
      <c r="D230" s="922"/>
      <c r="E230" s="922">
        <v>7.504731621E9</v>
      </c>
      <c r="F230" s="924" t="s">
        <v>6554</v>
      </c>
      <c r="G230" s="969" t="s">
        <v>6937</v>
      </c>
      <c r="H230" s="969" t="s">
        <v>6995</v>
      </c>
      <c r="I230" s="975"/>
      <c r="J230" s="975"/>
    </row>
    <row r="231" ht="22.5" customHeight="1">
      <c r="A231" s="912">
        <v>230.0</v>
      </c>
      <c r="B231" s="913" t="b">
        <v>0</v>
      </c>
      <c r="C231" s="935" t="s">
        <v>7062</v>
      </c>
      <c r="D231" s="922"/>
      <c r="E231" s="922">
        <v>7.504472103E9</v>
      </c>
      <c r="F231" s="924"/>
      <c r="G231" s="969" t="s">
        <v>6937</v>
      </c>
      <c r="H231" s="969" t="s">
        <v>6995</v>
      </c>
      <c r="I231" s="975"/>
      <c r="J231" s="975"/>
    </row>
    <row r="232" ht="22.5" customHeight="1">
      <c r="A232" s="912">
        <v>231.0</v>
      </c>
      <c r="B232" s="913" t="b">
        <v>0</v>
      </c>
      <c r="C232" s="935" t="s">
        <v>7063</v>
      </c>
      <c r="D232" s="936" t="s">
        <v>7064</v>
      </c>
      <c r="E232" s="922">
        <v>7.504700484E9</v>
      </c>
      <c r="F232" s="924"/>
      <c r="G232" s="969" t="s">
        <v>7065</v>
      </c>
      <c r="H232" s="969" t="s">
        <v>6995</v>
      </c>
      <c r="I232" s="975"/>
      <c r="J232" s="975"/>
    </row>
    <row r="233" ht="22.5" customHeight="1">
      <c r="A233" s="912">
        <v>232.0</v>
      </c>
      <c r="B233" s="913" t="b">
        <v>0</v>
      </c>
      <c r="C233" s="935" t="s">
        <v>7066</v>
      </c>
      <c r="D233" s="936" t="s">
        <v>7067</v>
      </c>
      <c r="E233" s="922">
        <v>7.501342222E9</v>
      </c>
      <c r="F233" s="924"/>
      <c r="G233" s="969" t="s">
        <v>6946</v>
      </c>
      <c r="H233" s="969" t="s">
        <v>7043</v>
      </c>
      <c r="I233" s="975"/>
      <c r="J233" s="975"/>
    </row>
    <row r="234" ht="22.5" customHeight="1">
      <c r="A234" s="912">
        <v>233.0</v>
      </c>
      <c r="B234" s="913" t="b">
        <v>0</v>
      </c>
      <c r="C234" s="935" t="s">
        <v>7068</v>
      </c>
      <c r="D234" s="922"/>
      <c r="E234" s="922">
        <v>7.502001003E9</v>
      </c>
      <c r="F234" s="924" t="s">
        <v>7069</v>
      </c>
      <c r="G234" s="924"/>
      <c r="H234" s="969" t="s">
        <v>7070</v>
      </c>
      <c r="I234" s="975"/>
      <c r="J234" s="975"/>
    </row>
    <row r="235" ht="22.5" customHeight="1">
      <c r="A235" s="912">
        <v>234.0</v>
      </c>
      <c r="B235" s="913" t="b">
        <v>0</v>
      </c>
      <c r="C235" s="966" t="s">
        <v>7071</v>
      </c>
      <c r="D235" s="922"/>
      <c r="E235" s="922">
        <v>7.504469955E9</v>
      </c>
      <c r="F235" s="924" t="s">
        <v>7072</v>
      </c>
      <c r="G235" s="969" t="s">
        <v>6937</v>
      </c>
      <c r="H235" s="924"/>
      <c r="I235" s="933"/>
      <c r="J235" s="933"/>
    </row>
    <row r="236" ht="22.5" customHeight="1">
      <c r="A236" s="912">
        <v>235.0</v>
      </c>
      <c r="B236" s="913" t="b">
        <v>0</v>
      </c>
      <c r="C236" s="966" t="s">
        <v>7073</v>
      </c>
      <c r="D236" s="922"/>
      <c r="E236" s="922">
        <v>7.504461821E9</v>
      </c>
      <c r="F236" s="924" t="s">
        <v>7074</v>
      </c>
      <c r="G236" s="969" t="s">
        <v>7075</v>
      </c>
      <c r="H236" s="969" t="s">
        <v>6957</v>
      </c>
      <c r="I236" s="975"/>
      <c r="J236" s="975"/>
    </row>
    <row r="237" ht="22.5" customHeight="1">
      <c r="A237" s="912">
        <v>236.0</v>
      </c>
      <c r="B237" s="913" t="b">
        <v>0</v>
      </c>
      <c r="C237" s="966" t="s">
        <v>7076</v>
      </c>
      <c r="D237" s="922"/>
      <c r="E237" s="922">
        <v>7.50166588E9</v>
      </c>
      <c r="F237" s="924" t="s">
        <v>7077</v>
      </c>
      <c r="G237" s="969" t="s">
        <v>7078</v>
      </c>
      <c r="H237" s="969" t="s">
        <v>7079</v>
      </c>
      <c r="I237" s="975"/>
      <c r="J237" s="975"/>
    </row>
    <row r="238" ht="22.5" customHeight="1">
      <c r="A238" s="912">
        <v>237.0</v>
      </c>
      <c r="B238" s="913" t="b">
        <v>0</v>
      </c>
      <c r="C238" s="966" t="s">
        <v>7080</v>
      </c>
      <c r="D238" s="922"/>
      <c r="E238" s="922">
        <v>7.504455848E9</v>
      </c>
      <c r="F238" s="924"/>
      <c r="G238" s="969" t="s">
        <v>6937</v>
      </c>
      <c r="H238" s="969" t="s">
        <v>7081</v>
      </c>
      <c r="I238" s="975"/>
      <c r="J238" s="975"/>
    </row>
    <row r="239" ht="22.5" customHeight="1">
      <c r="A239" s="912">
        <v>238.0</v>
      </c>
      <c r="B239" s="913" t="b">
        <v>0</v>
      </c>
      <c r="C239" s="966" t="s">
        <v>7082</v>
      </c>
      <c r="D239" s="922"/>
      <c r="E239" s="922">
        <v>7.514575474E9</v>
      </c>
      <c r="F239" s="924"/>
      <c r="G239" s="969" t="s">
        <v>6937</v>
      </c>
      <c r="H239" s="969" t="s">
        <v>6995</v>
      </c>
      <c r="I239" s="975"/>
      <c r="J239" s="975"/>
    </row>
    <row r="240" ht="22.5" customHeight="1">
      <c r="A240" s="912">
        <v>239.0</v>
      </c>
      <c r="B240" s="913" t="b">
        <v>0</v>
      </c>
      <c r="C240" s="966" t="s">
        <v>7083</v>
      </c>
      <c r="D240" s="922"/>
      <c r="E240" s="922">
        <v>7.503279393E9</v>
      </c>
      <c r="F240" s="924" t="s">
        <v>7084</v>
      </c>
      <c r="G240" s="969" t="s">
        <v>7085</v>
      </c>
      <c r="H240" s="969" t="s">
        <v>6957</v>
      </c>
      <c r="I240" s="975"/>
      <c r="J240" s="975"/>
    </row>
    <row r="241" ht="22.5" customHeight="1">
      <c r="A241" s="912">
        <v>240.0</v>
      </c>
      <c r="B241" s="913" t="b">
        <v>0</v>
      </c>
      <c r="C241" s="935" t="s">
        <v>7086</v>
      </c>
      <c r="D241" s="922"/>
      <c r="E241" s="922">
        <v>7.504453519E9</v>
      </c>
      <c r="F241" s="924" t="s">
        <v>7087</v>
      </c>
      <c r="G241" s="969" t="s">
        <v>6946</v>
      </c>
      <c r="H241" s="969" t="s">
        <v>6995</v>
      </c>
      <c r="I241" s="975"/>
      <c r="J241" s="975"/>
    </row>
    <row r="242" ht="22.5" customHeight="1">
      <c r="A242" s="912">
        <v>241.0</v>
      </c>
      <c r="B242" s="913" t="b">
        <v>0</v>
      </c>
      <c r="C242" s="935" t="s">
        <v>7088</v>
      </c>
      <c r="D242" s="922"/>
      <c r="E242" s="922">
        <v>7.504471782E9</v>
      </c>
      <c r="F242" s="924" t="s">
        <v>7089</v>
      </c>
      <c r="G242" s="924"/>
      <c r="H242" s="969" t="s">
        <v>6995</v>
      </c>
      <c r="I242" s="975"/>
      <c r="J242" s="975"/>
    </row>
    <row r="243" ht="22.5" customHeight="1">
      <c r="A243" s="912">
        <v>242.0</v>
      </c>
      <c r="B243" s="913" t="b">
        <v>0</v>
      </c>
      <c r="C243" s="966" t="s">
        <v>7090</v>
      </c>
      <c r="D243" s="922"/>
      <c r="E243" s="922">
        <v>7.504622551E9</v>
      </c>
      <c r="F243" s="924"/>
      <c r="G243" s="969" t="s">
        <v>7091</v>
      </c>
      <c r="H243" s="969" t="s">
        <v>7043</v>
      </c>
      <c r="I243" s="975"/>
      <c r="J243" s="975"/>
    </row>
    <row r="244" ht="22.5" customHeight="1">
      <c r="A244" s="912">
        <v>243.0</v>
      </c>
      <c r="B244" s="913" t="b">
        <v>0</v>
      </c>
      <c r="C244" s="966" t="s">
        <v>7092</v>
      </c>
      <c r="D244" s="922"/>
      <c r="E244" s="922">
        <v>7.50447011E9</v>
      </c>
      <c r="F244" s="924" t="s">
        <v>7093</v>
      </c>
      <c r="G244" s="969" t="s">
        <v>7094</v>
      </c>
      <c r="H244" s="969" t="s">
        <v>7009</v>
      </c>
      <c r="I244" s="975"/>
      <c r="J244" s="975"/>
    </row>
    <row r="245" ht="22.5" customHeight="1">
      <c r="A245" s="912">
        <v>244.0</v>
      </c>
      <c r="B245" s="913" t="b">
        <v>0</v>
      </c>
      <c r="C245" s="966" t="s">
        <v>7095</v>
      </c>
      <c r="D245" s="922"/>
      <c r="E245" s="922">
        <v>7.515010402E9</v>
      </c>
      <c r="F245" s="924" t="s">
        <v>7096</v>
      </c>
      <c r="G245" s="969" t="s">
        <v>7097</v>
      </c>
      <c r="H245" s="969" t="s">
        <v>7098</v>
      </c>
      <c r="I245" s="975"/>
      <c r="J245" s="975"/>
    </row>
    <row r="246" ht="22.5" customHeight="1">
      <c r="A246" s="912">
        <v>245.0</v>
      </c>
      <c r="B246" s="913" t="b">
        <v>0</v>
      </c>
      <c r="C246" s="966" t="s">
        <v>7099</v>
      </c>
      <c r="D246" s="922"/>
      <c r="E246" s="922">
        <v>7.506007002E9</v>
      </c>
      <c r="F246" s="924" t="s">
        <v>7100</v>
      </c>
      <c r="G246" s="969" t="s">
        <v>7101</v>
      </c>
      <c r="H246" s="969" t="s">
        <v>7081</v>
      </c>
      <c r="I246" s="975"/>
      <c r="J246" s="975"/>
    </row>
    <row r="247" ht="22.5" customHeight="1">
      <c r="A247" s="912">
        <v>246.0</v>
      </c>
      <c r="B247" s="913" t="b">
        <v>0</v>
      </c>
      <c r="C247" s="966" t="s">
        <v>7102</v>
      </c>
      <c r="D247" s="922"/>
      <c r="E247" s="922">
        <v>7.509513737E9</v>
      </c>
      <c r="F247" s="924"/>
      <c r="G247" s="969" t="s">
        <v>6994</v>
      </c>
      <c r="H247" s="969" t="s">
        <v>6995</v>
      </c>
      <c r="I247" s="975"/>
      <c r="J247" s="975"/>
    </row>
    <row r="248" ht="22.5" customHeight="1">
      <c r="A248" s="912">
        <v>247.0</v>
      </c>
      <c r="B248" s="913" t="b">
        <v>0</v>
      </c>
      <c r="C248" s="966" t="s">
        <v>7103</v>
      </c>
      <c r="D248" s="922"/>
      <c r="E248" s="922">
        <v>7.514303399E9</v>
      </c>
      <c r="F248" s="924" t="s">
        <v>7104</v>
      </c>
      <c r="G248" s="969" t="s">
        <v>7037</v>
      </c>
      <c r="H248" s="969" t="s">
        <v>6957</v>
      </c>
      <c r="I248" s="975"/>
      <c r="J248" s="975"/>
    </row>
    <row r="249" ht="22.5" customHeight="1">
      <c r="A249" s="912">
        <v>248.0</v>
      </c>
      <c r="B249" s="913" t="b">
        <v>0</v>
      </c>
      <c r="C249" s="966" t="s">
        <v>7105</v>
      </c>
      <c r="D249" s="936" t="s">
        <v>7106</v>
      </c>
      <c r="E249" s="922">
        <v>7.514579832E9</v>
      </c>
      <c r="F249" s="924" t="s">
        <v>7107</v>
      </c>
      <c r="G249" s="969" t="s">
        <v>7108</v>
      </c>
      <c r="H249" s="969" t="s">
        <v>7109</v>
      </c>
      <c r="I249" s="975"/>
      <c r="J249" s="975"/>
    </row>
    <row r="250" ht="22.5" customHeight="1">
      <c r="A250" s="912">
        <v>249.0</v>
      </c>
      <c r="B250" s="913" t="b">
        <v>0</v>
      </c>
      <c r="C250" s="966" t="s">
        <v>7110</v>
      </c>
      <c r="D250" s="922"/>
      <c r="E250" s="922">
        <v>7.504493497E9</v>
      </c>
      <c r="F250" s="924"/>
      <c r="G250" s="969" t="s">
        <v>7111</v>
      </c>
      <c r="H250" s="969" t="s">
        <v>6957</v>
      </c>
      <c r="I250" s="975"/>
      <c r="J250" s="975"/>
    </row>
    <row r="251" ht="22.5" customHeight="1">
      <c r="A251" s="912">
        <v>250.0</v>
      </c>
      <c r="B251" s="913" t="b">
        <v>0</v>
      </c>
      <c r="C251" s="980" t="s">
        <v>7112</v>
      </c>
      <c r="D251" s="922"/>
      <c r="E251" s="922">
        <v>7.504490428E9</v>
      </c>
      <c r="F251" s="924" t="s">
        <v>7113</v>
      </c>
      <c r="G251" s="981" t="s">
        <v>7114</v>
      </c>
      <c r="H251" s="969" t="s">
        <v>7115</v>
      </c>
      <c r="I251" s="975"/>
      <c r="J251" s="975"/>
    </row>
    <row r="252" ht="22.5" customHeight="1">
      <c r="A252" s="912">
        <v>251.0</v>
      </c>
      <c r="B252" s="913" t="b">
        <v>0</v>
      </c>
      <c r="C252" s="966" t="s">
        <v>7116</v>
      </c>
      <c r="D252" s="922"/>
      <c r="E252" s="922">
        <v>7.505432626E9</v>
      </c>
      <c r="F252" s="924" t="s">
        <v>7117</v>
      </c>
      <c r="G252" s="969" t="s">
        <v>6994</v>
      </c>
      <c r="H252" s="969" t="s">
        <v>7118</v>
      </c>
      <c r="I252" s="975"/>
      <c r="J252" s="975"/>
    </row>
    <row r="253" ht="22.5" customHeight="1">
      <c r="A253" s="912">
        <v>252.0</v>
      </c>
      <c r="B253" s="913" t="b">
        <v>0</v>
      </c>
      <c r="C253" s="966" t="s">
        <v>7119</v>
      </c>
      <c r="D253" s="922"/>
      <c r="E253" s="922">
        <v>7.502837373E9</v>
      </c>
      <c r="F253" s="924" t="s">
        <v>7120</v>
      </c>
      <c r="G253" s="969" t="s">
        <v>6946</v>
      </c>
      <c r="H253" s="969" t="s">
        <v>7043</v>
      </c>
      <c r="I253" s="975"/>
      <c r="J253" s="975"/>
    </row>
    <row r="254" ht="22.5" customHeight="1">
      <c r="A254" s="912">
        <v>253.0</v>
      </c>
      <c r="B254" s="913" t="b">
        <v>0</v>
      </c>
      <c r="C254" s="966" t="s">
        <v>7121</v>
      </c>
      <c r="D254" s="922"/>
      <c r="E254" s="922">
        <v>7.504600305E9</v>
      </c>
      <c r="F254" s="924"/>
      <c r="G254" s="969" t="s">
        <v>6937</v>
      </c>
      <c r="H254" s="969" t="s">
        <v>6938</v>
      </c>
      <c r="I254" s="975"/>
      <c r="J254" s="975"/>
    </row>
    <row r="255" ht="22.5" customHeight="1">
      <c r="A255" s="912">
        <v>254.0</v>
      </c>
      <c r="B255" s="913" t="b">
        <v>0</v>
      </c>
      <c r="C255" s="935" t="s">
        <v>7122</v>
      </c>
      <c r="D255" s="922"/>
      <c r="E255" s="922">
        <v>7.506283654E9</v>
      </c>
      <c r="F255" s="924" t="s">
        <v>97</v>
      </c>
      <c r="G255" s="969" t="s">
        <v>6937</v>
      </c>
      <c r="H255" s="969" t="s">
        <v>6938</v>
      </c>
      <c r="I255" s="975"/>
      <c r="J255" s="975"/>
    </row>
    <row r="256" ht="22.5" customHeight="1">
      <c r="A256" s="912">
        <v>255.0</v>
      </c>
      <c r="B256" s="913" t="b">
        <v>0</v>
      </c>
      <c r="C256" s="966" t="s">
        <v>7123</v>
      </c>
      <c r="D256" s="922"/>
      <c r="E256" s="922">
        <v>7.718833304E9</v>
      </c>
      <c r="F256" s="924" t="s">
        <v>7124</v>
      </c>
      <c r="G256" s="924"/>
      <c r="H256" s="969" t="s">
        <v>6985</v>
      </c>
      <c r="I256" s="975"/>
      <c r="J256" s="975"/>
    </row>
    <row r="257" ht="22.5" customHeight="1">
      <c r="A257" s="912">
        <v>256.0</v>
      </c>
      <c r="B257" s="913" t="b">
        <v>0</v>
      </c>
      <c r="C257" s="982" t="s">
        <v>7125</v>
      </c>
      <c r="D257" s="922"/>
      <c r="E257" s="922">
        <v>7.504867171E9</v>
      </c>
      <c r="F257" s="924"/>
      <c r="G257" s="924"/>
      <c r="H257" s="969" t="s">
        <v>6951</v>
      </c>
      <c r="I257" s="975"/>
      <c r="J257" s="975"/>
    </row>
    <row r="258" ht="22.5" customHeight="1">
      <c r="A258" s="912">
        <v>257.0</v>
      </c>
      <c r="B258" s="913" t="b">
        <v>0</v>
      </c>
      <c r="C258" s="983" t="s">
        <v>7126</v>
      </c>
      <c r="D258" s="922"/>
      <c r="E258" s="922">
        <v>7.502007005E9</v>
      </c>
      <c r="F258" s="932" t="s">
        <v>7127</v>
      </c>
      <c r="G258" s="924"/>
      <c r="H258" s="969" t="s">
        <v>6954</v>
      </c>
      <c r="I258" s="975"/>
      <c r="J258" s="975"/>
    </row>
    <row r="259" ht="22.5" customHeight="1">
      <c r="A259" s="912">
        <v>258.0</v>
      </c>
      <c r="B259" s="913" t="b">
        <v>0</v>
      </c>
      <c r="C259" s="966" t="s">
        <v>7128</v>
      </c>
      <c r="D259" s="922"/>
      <c r="E259" s="922">
        <v>7.501569667E9</v>
      </c>
      <c r="F259" s="924" t="s">
        <v>7129</v>
      </c>
      <c r="G259" s="969" t="s">
        <v>7130</v>
      </c>
      <c r="H259" s="969" t="s">
        <v>7009</v>
      </c>
      <c r="I259" s="975"/>
      <c r="J259" s="975"/>
    </row>
    <row r="260" ht="22.5" customHeight="1">
      <c r="A260" s="912">
        <v>259.0</v>
      </c>
      <c r="B260" s="913" t="b">
        <v>0</v>
      </c>
      <c r="C260" s="984" t="s">
        <v>7131</v>
      </c>
      <c r="D260" s="922"/>
      <c r="E260" s="922">
        <v>7.504994729E9</v>
      </c>
      <c r="F260" s="924" t="s">
        <v>7132</v>
      </c>
      <c r="G260" s="969" t="s">
        <v>7133</v>
      </c>
      <c r="H260" s="969" t="s">
        <v>7134</v>
      </c>
      <c r="I260" s="975"/>
      <c r="J260" s="975"/>
    </row>
    <row r="261" ht="22.5" customHeight="1">
      <c r="A261" s="912">
        <v>260.0</v>
      </c>
      <c r="B261" s="913" t="b">
        <v>0</v>
      </c>
      <c r="C261" s="966" t="s">
        <v>7135</v>
      </c>
      <c r="D261" s="922"/>
      <c r="E261" s="922">
        <v>7.501228005E9</v>
      </c>
      <c r="F261" s="924" t="s">
        <v>7136</v>
      </c>
      <c r="G261" s="969" t="s">
        <v>7037</v>
      </c>
      <c r="H261" s="969" t="s">
        <v>6985</v>
      </c>
      <c r="I261" s="975"/>
      <c r="J261" s="975"/>
    </row>
    <row r="262" ht="22.5" customHeight="1">
      <c r="A262" s="912">
        <v>261.0</v>
      </c>
      <c r="B262" s="913" t="b">
        <v>0</v>
      </c>
      <c r="C262" s="966" t="s">
        <v>7137</v>
      </c>
      <c r="D262" s="922"/>
      <c r="E262" s="922">
        <v>7.701528606E9</v>
      </c>
      <c r="F262" s="985" t="s">
        <v>7138</v>
      </c>
      <c r="G262" s="969" t="s">
        <v>7139</v>
      </c>
      <c r="H262" s="969" t="s">
        <v>7140</v>
      </c>
      <c r="I262" s="975"/>
      <c r="J262" s="975"/>
    </row>
    <row r="263" ht="22.5" customHeight="1">
      <c r="A263" s="912">
        <v>262.0</v>
      </c>
      <c r="B263" s="913" t="b">
        <v>0</v>
      </c>
      <c r="C263" s="966" t="s">
        <v>7141</v>
      </c>
      <c r="D263" s="922"/>
      <c r="E263" s="922">
        <v>7.51014359E9</v>
      </c>
      <c r="F263" s="924" t="s">
        <v>7142</v>
      </c>
      <c r="G263" s="969" t="s">
        <v>7143</v>
      </c>
      <c r="H263" s="969" t="s">
        <v>6951</v>
      </c>
      <c r="I263" s="975"/>
      <c r="J263" s="975"/>
    </row>
    <row r="264" ht="22.5" customHeight="1">
      <c r="A264" s="912">
        <v>263.0</v>
      </c>
      <c r="B264" s="913" t="b">
        <v>0</v>
      </c>
      <c r="C264" s="935" t="s">
        <v>7144</v>
      </c>
      <c r="D264" s="922"/>
      <c r="E264" s="922">
        <v>7.511706463E9</v>
      </c>
      <c r="F264" s="924"/>
      <c r="G264" s="969" t="s">
        <v>6946</v>
      </c>
      <c r="H264" s="969" t="s">
        <v>6985</v>
      </c>
      <c r="I264" s="975"/>
      <c r="J264" s="975"/>
    </row>
    <row r="265" ht="22.5" customHeight="1">
      <c r="A265" s="912">
        <v>264.0</v>
      </c>
      <c r="B265" s="913" t="b">
        <v>0</v>
      </c>
      <c r="C265" s="966" t="s">
        <v>7145</v>
      </c>
      <c r="D265" s="922"/>
      <c r="E265" s="922">
        <v>7.503467816E9</v>
      </c>
      <c r="F265" s="924" t="s">
        <v>7146</v>
      </c>
      <c r="G265" s="969" t="s">
        <v>7019</v>
      </c>
      <c r="H265" s="969" t="s">
        <v>6938</v>
      </c>
      <c r="I265" s="975"/>
      <c r="J265" s="975"/>
    </row>
    <row r="266" ht="22.5" customHeight="1">
      <c r="A266" s="912">
        <v>265.0</v>
      </c>
      <c r="B266" s="913" t="b">
        <v>0</v>
      </c>
      <c r="C266" s="935" t="s">
        <v>7147</v>
      </c>
      <c r="D266" s="922"/>
      <c r="E266" s="922">
        <v>7.50446776E9</v>
      </c>
      <c r="F266" s="924" t="s">
        <v>7148</v>
      </c>
      <c r="G266" s="969" t="s">
        <v>6946</v>
      </c>
      <c r="H266" s="969" t="s">
        <v>6995</v>
      </c>
      <c r="I266" s="975"/>
      <c r="J266" s="975"/>
    </row>
    <row r="267" ht="22.5" customHeight="1">
      <c r="A267" s="912">
        <v>266.0</v>
      </c>
      <c r="B267" s="913" t="b">
        <v>0</v>
      </c>
      <c r="C267" s="935" t="s">
        <v>7149</v>
      </c>
      <c r="D267" s="922"/>
      <c r="E267" s="922">
        <v>7.504604477E9</v>
      </c>
      <c r="F267" s="924"/>
      <c r="G267" s="969" t="s">
        <v>7150</v>
      </c>
      <c r="H267" s="969" t="s">
        <v>6995</v>
      </c>
      <c r="I267" s="975"/>
      <c r="J267" s="975"/>
    </row>
    <row r="268" ht="22.5" customHeight="1">
      <c r="A268" s="912">
        <v>267.0</v>
      </c>
      <c r="B268" s="913" t="b">
        <v>0</v>
      </c>
      <c r="C268" s="966" t="s">
        <v>7151</v>
      </c>
      <c r="D268" s="922"/>
      <c r="E268" s="922">
        <v>7.50724385E9</v>
      </c>
      <c r="F268" s="924"/>
      <c r="G268" s="969" t="s">
        <v>6937</v>
      </c>
      <c r="H268" s="969" t="s">
        <v>6995</v>
      </c>
      <c r="I268" s="975"/>
      <c r="J268" s="975"/>
    </row>
    <row r="269" ht="22.5" customHeight="1">
      <c r="A269" s="912">
        <v>268.0</v>
      </c>
      <c r="B269" s="913" t="b">
        <v>0</v>
      </c>
      <c r="C269" s="935" t="s">
        <v>7152</v>
      </c>
      <c r="D269" s="922"/>
      <c r="E269" s="922">
        <v>7.504453486E9</v>
      </c>
      <c r="F269" s="924" t="s">
        <v>7153</v>
      </c>
      <c r="G269" s="969" t="s">
        <v>6946</v>
      </c>
      <c r="H269" s="969" t="s">
        <v>6995</v>
      </c>
      <c r="I269" s="975"/>
      <c r="J269" s="975"/>
    </row>
    <row r="270" ht="22.5" customHeight="1">
      <c r="A270" s="912">
        <v>269.0</v>
      </c>
      <c r="B270" s="913" t="b">
        <v>0</v>
      </c>
      <c r="C270" s="966" t="s">
        <v>7154</v>
      </c>
      <c r="D270" s="922"/>
      <c r="E270" s="922">
        <v>7.507264747E9</v>
      </c>
      <c r="F270" s="924" t="s">
        <v>7155</v>
      </c>
      <c r="G270" s="969" t="s">
        <v>7156</v>
      </c>
      <c r="H270" s="969" t="s">
        <v>6957</v>
      </c>
      <c r="I270" s="975"/>
      <c r="J270" s="975"/>
    </row>
    <row r="271" ht="22.5" customHeight="1">
      <c r="A271" s="912">
        <v>270.0</v>
      </c>
      <c r="B271" s="913" t="b">
        <v>0</v>
      </c>
      <c r="C271" s="935" t="s">
        <v>7157</v>
      </c>
      <c r="D271" s="922"/>
      <c r="E271" s="922">
        <v>7.504466451E9</v>
      </c>
      <c r="F271" s="924"/>
      <c r="G271" s="969" t="s">
        <v>6946</v>
      </c>
      <c r="H271" s="969" t="s">
        <v>6995</v>
      </c>
      <c r="I271" s="975"/>
      <c r="J271" s="975"/>
    </row>
    <row r="272" ht="22.5" customHeight="1">
      <c r="A272" s="912">
        <v>271.0</v>
      </c>
      <c r="B272" s="913" t="b">
        <v>0</v>
      </c>
      <c r="C272" s="935" t="s">
        <v>7158</v>
      </c>
      <c r="D272" s="922"/>
      <c r="E272" s="922">
        <v>7.518018243E9</v>
      </c>
      <c r="F272" s="924"/>
      <c r="G272" s="924"/>
      <c r="H272" s="924"/>
      <c r="I272" s="933"/>
      <c r="J272" s="933"/>
    </row>
    <row r="273" ht="22.5" customHeight="1">
      <c r="A273" s="912">
        <v>272.0</v>
      </c>
      <c r="B273" s="913" t="b">
        <v>0</v>
      </c>
      <c r="C273" s="935" t="s">
        <v>7159</v>
      </c>
      <c r="D273" s="922"/>
      <c r="E273" s="922">
        <v>7.504466519E9</v>
      </c>
      <c r="F273" s="924"/>
      <c r="G273" s="969" t="s">
        <v>7160</v>
      </c>
      <c r="H273" s="969" t="s">
        <v>6995</v>
      </c>
      <c r="I273" s="975"/>
      <c r="J273" s="975"/>
    </row>
    <row r="274" ht="22.5" customHeight="1">
      <c r="A274" s="912">
        <v>273.0</v>
      </c>
      <c r="B274" s="913" t="b">
        <v>0</v>
      </c>
      <c r="C274" s="935" t="s">
        <v>7161</v>
      </c>
      <c r="D274" s="922"/>
      <c r="E274" s="922">
        <v>7.503440711E9</v>
      </c>
      <c r="F274" s="924" t="s">
        <v>7162</v>
      </c>
      <c r="G274" s="924"/>
      <c r="H274" s="969" t="s">
        <v>6957</v>
      </c>
      <c r="I274" s="975"/>
      <c r="J274" s="975"/>
    </row>
    <row r="275" ht="22.5" customHeight="1">
      <c r="A275" s="912">
        <v>274.0</v>
      </c>
      <c r="B275" s="913" t="b">
        <v>0</v>
      </c>
      <c r="C275" s="935" t="s">
        <v>7163</v>
      </c>
      <c r="D275" s="922"/>
      <c r="E275" s="922">
        <v>7.504469332E9</v>
      </c>
      <c r="F275" s="924" t="s">
        <v>7164</v>
      </c>
      <c r="G275" s="924"/>
      <c r="H275" s="969" t="s">
        <v>6995</v>
      </c>
      <c r="I275" s="975"/>
      <c r="J275" s="975"/>
    </row>
    <row r="276" ht="22.5" customHeight="1">
      <c r="A276" s="912">
        <v>275.0</v>
      </c>
      <c r="B276" s="913" t="b">
        <v>0</v>
      </c>
      <c r="C276" s="935" t="s">
        <v>7165</v>
      </c>
      <c r="D276" s="922"/>
      <c r="E276" s="922">
        <v>7.514457914E9</v>
      </c>
      <c r="F276" s="924" t="s">
        <v>7166</v>
      </c>
      <c r="G276" s="969" t="s">
        <v>7167</v>
      </c>
      <c r="H276" s="969" t="s">
        <v>7168</v>
      </c>
      <c r="I276" s="975"/>
      <c r="J276" s="975"/>
    </row>
    <row r="277" ht="22.5" customHeight="1">
      <c r="A277" s="912">
        <v>276.0</v>
      </c>
      <c r="B277" s="913" t="b">
        <v>0</v>
      </c>
      <c r="C277" s="935" t="s">
        <v>7169</v>
      </c>
      <c r="D277" s="922"/>
      <c r="E277" s="922">
        <v>7.504456663E9</v>
      </c>
      <c r="F277" s="924" t="s">
        <v>7170</v>
      </c>
      <c r="G277" s="924"/>
      <c r="H277" s="969" t="s">
        <v>7171</v>
      </c>
      <c r="I277" s="975"/>
      <c r="J277" s="975"/>
    </row>
    <row r="278" ht="22.5" customHeight="1">
      <c r="A278" s="912">
        <v>277.0</v>
      </c>
      <c r="B278" s="913" t="b">
        <v>0</v>
      </c>
      <c r="C278" s="966" t="s">
        <v>7172</v>
      </c>
      <c r="D278" s="922"/>
      <c r="E278" s="922">
        <v>7.507093031E9</v>
      </c>
      <c r="F278" s="924"/>
      <c r="G278" s="969" t="s">
        <v>7037</v>
      </c>
      <c r="H278" s="969" t="s">
        <v>7173</v>
      </c>
      <c r="I278" s="975"/>
      <c r="J278" s="975"/>
    </row>
    <row r="279" ht="22.5" customHeight="1">
      <c r="A279" s="912">
        <v>278.0</v>
      </c>
      <c r="B279" s="913" t="b">
        <v>0</v>
      </c>
      <c r="C279" s="966" t="s">
        <v>7174</v>
      </c>
      <c r="D279" s="922"/>
      <c r="E279" s="922">
        <v>7.702090225E9</v>
      </c>
      <c r="F279" s="924" t="s">
        <v>7175</v>
      </c>
      <c r="G279" s="924"/>
      <c r="H279" s="969" t="s">
        <v>7176</v>
      </c>
      <c r="I279" s="975"/>
      <c r="J279" s="975"/>
    </row>
    <row r="280" ht="22.5" customHeight="1">
      <c r="A280" s="912">
        <v>279.0</v>
      </c>
      <c r="B280" s="913" t="b">
        <v>0</v>
      </c>
      <c r="C280" s="935" t="s">
        <v>7177</v>
      </c>
      <c r="D280" s="922"/>
      <c r="E280" s="922">
        <v>7.504928862E9</v>
      </c>
      <c r="F280" s="924" t="s">
        <v>7178</v>
      </c>
      <c r="G280" s="969" t="s">
        <v>7179</v>
      </c>
      <c r="H280" s="969" t="s">
        <v>7043</v>
      </c>
      <c r="I280" s="975"/>
      <c r="J280" s="975"/>
    </row>
    <row r="281" ht="22.5" customHeight="1">
      <c r="A281" s="912">
        <v>280.0</v>
      </c>
      <c r="B281" s="913" t="b">
        <v>0</v>
      </c>
      <c r="C281" s="986" t="s">
        <v>7180</v>
      </c>
      <c r="D281" s="922"/>
      <c r="E281" s="987">
        <v>7.501992518E9</v>
      </c>
      <c r="F281" s="924" t="s">
        <v>7181</v>
      </c>
      <c r="G281" s="969" t="s">
        <v>7182</v>
      </c>
      <c r="H281" s="924"/>
      <c r="I281" s="933"/>
      <c r="J281" s="933"/>
    </row>
    <row r="282" ht="22.5" customHeight="1">
      <c r="A282" s="912">
        <v>281.0</v>
      </c>
      <c r="B282" s="913" t="b">
        <v>0</v>
      </c>
      <c r="C282" s="966" t="s">
        <v>7183</v>
      </c>
      <c r="D282" s="922"/>
      <c r="E282" s="922">
        <v>7.508127888E9</v>
      </c>
      <c r="F282" s="924" t="s">
        <v>7184</v>
      </c>
      <c r="G282" s="969" t="s">
        <v>7185</v>
      </c>
      <c r="H282" s="969" t="s">
        <v>7186</v>
      </c>
      <c r="I282" s="975"/>
      <c r="J282" s="975"/>
    </row>
    <row r="283" ht="22.5" customHeight="1">
      <c r="A283" s="912">
        <v>282.0</v>
      </c>
      <c r="B283" s="913" t="b">
        <v>0</v>
      </c>
      <c r="C283" s="966" t="s">
        <v>7187</v>
      </c>
      <c r="D283" s="922"/>
      <c r="E283" s="922">
        <v>7.504544282E9</v>
      </c>
      <c r="F283" s="924"/>
      <c r="G283" s="969" t="s">
        <v>6937</v>
      </c>
      <c r="H283" s="924"/>
      <c r="I283" s="933"/>
      <c r="J283" s="933"/>
    </row>
    <row r="284" ht="22.5" customHeight="1">
      <c r="A284" s="912">
        <v>283.0</v>
      </c>
      <c r="B284" s="913" t="b">
        <v>0</v>
      </c>
      <c r="C284" s="935" t="s">
        <v>7188</v>
      </c>
      <c r="D284" s="922"/>
      <c r="E284" s="922">
        <v>7.504451593E9</v>
      </c>
      <c r="F284" s="924"/>
      <c r="G284" s="969" t="s">
        <v>6937</v>
      </c>
      <c r="H284" s="969" t="s">
        <v>6995</v>
      </c>
      <c r="I284" s="975"/>
      <c r="J284" s="975"/>
    </row>
    <row r="285" ht="22.5" customHeight="1">
      <c r="A285" s="912">
        <v>284.0</v>
      </c>
      <c r="B285" s="913" t="b">
        <v>0</v>
      </c>
      <c r="C285" s="935" t="s">
        <v>7189</v>
      </c>
      <c r="D285" s="922"/>
      <c r="E285" s="922">
        <v>7.514740404E9</v>
      </c>
      <c r="F285" s="924"/>
      <c r="G285" s="969" t="s">
        <v>6946</v>
      </c>
      <c r="H285" s="969" t="s">
        <v>6995</v>
      </c>
      <c r="I285" s="975"/>
      <c r="J285" s="975"/>
    </row>
    <row r="286" ht="22.5" customHeight="1">
      <c r="A286" s="912">
        <v>285.0</v>
      </c>
      <c r="B286" s="913" t="b">
        <v>0</v>
      </c>
      <c r="C286" s="935" t="s">
        <v>7190</v>
      </c>
      <c r="D286" s="922"/>
      <c r="E286" s="922">
        <v>7.51400199E9</v>
      </c>
      <c r="F286" s="924" t="s">
        <v>7191</v>
      </c>
      <c r="G286" s="924"/>
      <c r="H286" s="969" t="s">
        <v>6957</v>
      </c>
      <c r="I286" s="975"/>
      <c r="J286" s="975"/>
    </row>
    <row r="287" ht="22.5" customHeight="1">
      <c r="A287" s="912">
        <v>286.0</v>
      </c>
      <c r="B287" s="913" t="b">
        <v>0</v>
      </c>
      <c r="C287" s="935" t="s">
        <v>7192</v>
      </c>
      <c r="D287" s="922"/>
      <c r="E287" s="922">
        <v>7.504605528E9</v>
      </c>
      <c r="F287" s="924" t="s">
        <v>7193</v>
      </c>
      <c r="G287" s="969" t="s">
        <v>6946</v>
      </c>
      <c r="H287" s="969" t="s">
        <v>6995</v>
      </c>
      <c r="I287" s="975"/>
      <c r="J287" s="975"/>
    </row>
    <row r="288" ht="22.5" customHeight="1">
      <c r="A288" s="912">
        <v>287.0</v>
      </c>
      <c r="B288" s="913" t="b">
        <v>0</v>
      </c>
      <c r="C288" s="935" t="s">
        <v>7194</v>
      </c>
      <c r="D288" s="922"/>
      <c r="E288" s="922">
        <v>7.504048183E9</v>
      </c>
      <c r="F288" s="924"/>
      <c r="G288" s="969" t="s">
        <v>6946</v>
      </c>
      <c r="H288" s="969" t="s">
        <v>6995</v>
      </c>
      <c r="I288" s="975"/>
      <c r="J288" s="975"/>
    </row>
    <row r="289" ht="22.5" customHeight="1">
      <c r="A289" s="912">
        <v>288.0</v>
      </c>
      <c r="B289" s="913" t="b">
        <v>0</v>
      </c>
      <c r="C289" s="966" t="s">
        <v>7195</v>
      </c>
      <c r="D289" s="922"/>
      <c r="E289" s="922">
        <v>7.504330009E9</v>
      </c>
      <c r="F289" s="924" t="s">
        <v>7196</v>
      </c>
      <c r="G289" s="924"/>
      <c r="H289" s="969" t="s">
        <v>6957</v>
      </c>
      <c r="I289" s="975"/>
      <c r="J289" s="975"/>
    </row>
    <row r="290" ht="22.5" customHeight="1">
      <c r="A290" s="912">
        <v>289.0</v>
      </c>
      <c r="B290" s="913" t="b">
        <v>0</v>
      </c>
      <c r="C290" s="966" t="s">
        <v>7197</v>
      </c>
      <c r="D290" s="922"/>
      <c r="E290" s="922">
        <v>7.504702614E9</v>
      </c>
      <c r="F290" s="924" t="s">
        <v>7198</v>
      </c>
      <c r="G290" s="969" t="s">
        <v>6994</v>
      </c>
      <c r="H290" s="969" t="s">
        <v>6995</v>
      </c>
      <c r="I290" s="975"/>
      <c r="J290" s="975"/>
    </row>
    <row r="291" ht="22.5" customHeight="1">
      <c r="A291" s="912">
        <v>290.0</v>
      </c>
      <c r="B291" s="913" t="b">
        <v>0</v>
      </c>
      <c r="C291" s="935" t="s">
        <v>7199</v>
      </c>
      <c r="D291" s="922"/>
      <c r="E291" s="922">
        <v>7.504153878E9</v>
      </c>
      <c r="F291" s="924"/>
      <c r="G291" s="969" t="s">
        <v>7200</v>
      </c>
      <c r="H291" s="969" t="s">
        <v>7201</v>
      </c>
      <c r="I291" s="975"/>
      <c r="J291" s="975"/>
    </row>
    <row r="292" ht="22.5" customHeight="1">
      <c r="A292" s="912">
        <v>291.0</v>
      </c>
      <c r="B292" s="913" t="b">
        <v>0</v>
      </c>
      <c r="C292" s="966" t="s">
        <v>7202</v>
      </c>
      <c r="D292" s="922"/>
      <c r="E292" s="922">
        <v>7.509997711E9</v>
      </c>
      <c r="F292" s="924"/>
      <c r="G292" s="969" t="s">
        <v>7203</v>
      </c>
      <c r="H292" s="969" t="s">
        <v>6957</v>
      </c>
      <c r="I292" s="975"/>
      <c r="J292" s="975"/>
    </row>
    <row r="293" ht="22.5" customHeight="1">
      <c r="A293" s="912">
        <v>292.0</v>
      </c>
      <c r="B293" s="913" t="b">
        <v>0</v>
      </c>
      <c r="C293" s="966" t="s">
        <v>7204</v>
      </c>
      <c r="D293" s="922"/>
      <c r="E293" s="922">
        <v>7.501020333E9</v>
      </c>
      <c r="F293" s="924" t="s">
        <v>7205</v>
      </c>
      <c r="G293" s="969" t="s">
        <v>6946</v>
      </c>
      <c r="H293" s="924"/>
      <c r="I293" s="933"/>
      <c r="J293" s="933"/>
    </row>
    <row r="294" ht="22.5" customHeight="1">
      <c r="A294" s="912">
        <v>293.0</v>
      </c>
      <c r="B294" s="913" t="b">
        <v>0</v>
      </c>
      <c r="C294" s="966" t="s">
        <v>7206</v>
      </c>
      <c r="D294" s="922"/>
      <c r="E294" s="922">
        <v>7.504834949E9</v>
      </c>
      <c r="F294" s="924"/>
      <c r="G294" s="969" t="s">
        <v>7207</v>
      </c>
      <c r="H294" s="924"/>
      <c r="I294" s="933"/>
      <c r="J294" s="933"/>
    </row>
    <row r="295" ht="22.5" customHeight="1">
      <c r="A295" s="912">
        <v>294.0</v>
      </c>
      <c r="B295" s="913" t="b">
        <v>0</v>
      </c>
      <c r="C295" s="966" t="s">
        <v>7208</v>
      </c>
      <c r="D295" s="922"/>
      <c r="E295" s="922">
        <v>7.7302739E9</v>
      </c>
      <c r="F295" s="924" t="s">
        <v>7209</v>
      </c>
      <c r="G295" s="969" t="s">
        <v>6946</v>
      </c>
      <c r="H295" s="924"/>
      <c r="I295" s="933"/>
      <c r="J295" s="933"/>
    </row>
    <row r="296" ht="22.5" customHeight="1">
      <c r="A296" s="912">
        <v>295.0</v>
      </c>
      <c r="B296" s="913" t="b">
        <v>0</v>
      </c>
      <c r="C296" s="935" t="s">
        <v>7210</v>
      </c>
      <c r="D296" s="922"/>
      <c r="E296" s="922">
        <v>7.504452959E9</v>
      </c>
      <c r="F296" s="924"/>
      <c r="G296" s="969" t="s">
        <v>7048</v>
      </c>
      <c r="H296" s="969" t="s">
        <v>7211</v>
      </c>
      <c r="I296" s="975"/>
      <c r="J296" s="975"/>
    </row>
    <row r="297" ht="22.5" customHeight="1">
      <c r="A297" s="912">
        <v>296.0</v>
      </c>
      <c r="B297" s="913" t="b">
        <v>0</v>
      </c>
      <c r="C297" s="935" t="s">
        <v>7212</v>
      </c>
      <c r="D297" s="922"/>
      <c r="E297" s="922">
        <v>7.504369279E9</v>
      </c>
      <c r="F297" s="924"/>
      <c r="G297" s="924"/>
      <c r="H297" s="969" t="s">
        <v>6995</v>
      </c>
      <c r="I297" s="975"/>
      <c r="J297" s="975"/>
    </row>
    <row r="298" ht="22.5" customHeight="1">
      <c r="A298" s="912">
        <v>297.0</v>
      </c>
      <c r="B298" s="913" t="b">
        <v>0</v>
      </c>
      <c r="C298" s="935" t="s">
        <v>7213</v>
      </c>
      <c r="D298" s="922"/>
      <c r="E298" s="922">
        <v>7.504469971E9</v>
      </c>
      <c r="F298" s="924"/>
      <c r="G298" s="969" t="s">
        <v>7214</v>
      </c>
      <c r="H298" s="969" t="s">
        <v>7211</v>
      </c>
      <c r="I298" s="975"/>
      <c r="J298" s="975"/>
    </row>
    <row r="299" ht="22.5" customHeight="1">
      <c r="A299" s="912">
        <v>298.0</v>
      </c>
      <c r="B299" s="913" t="b">
        <v>0</v>
      </c>
      <c r="C299" s="966" t="s">
        <v>7215</v>
      </c>
      <c r="D299" s="922"/>
      <c r="E299" s="922">
        <v>7.509242222E9</v>
      </c>
      <c r="F299" s="924" t="s">
        <v>7216</v>
      </c>
      <c r="G299" s="969" t="s">
        <v>7217</v>
      </c>
      <c r="H299" s="969" t="s">
        <v>7218</v>
      </c>
      <c r="I299" s="975"/>
      <c r="J299" s="975"/>
    </row>
    <row r="300" ht="22.5" customHeight="1">
      <c r="A300" s="912">
        <v>299.0</v>
      </c>
      <c r="B300" s="913" t="b">
        <v>0</v>
      </c>
      <c r="C300" s="966" t="s">
        <v>7219</v>
      </c>
      <c r="D300" s="922"/>
      <c r="E300" s="922">
        <v>7.503763434E9</v>
      </c>
      <c r="F300" s="924" t="s">
        <v>7220</v>
      </c>
      <c r="G300" s="969" t="s">
        <v>7221</v>
      </c>
      <c r="H300" s="969" t="s">
        <v>7211</v>
      </c>
      <c r="I300" s="975"/>
      <c r="J300" s="975"/>
    </row>
    <row r="301" ht="22.5" customHeight="1">
      <c r="A301" s="912">
        <v>300.0</v>
      </c>
      <c r="B301" s="913" t="b">
        <v>0</v>
      </c>
      <c r="C301" s="966" t="s">
        <v>7222</v>
      </c>
      <c r="D301" s="922"/>
      <c r="E301" s="922">
        <v>7.504425551E9</v>
      </c>
      <c r="F301" s="924" t="s">
        <v>7223</v>
      </c>
      <c r="G301" s="969" t="s">
        <v>7224</v>
      </c>
      <c r="H301" s="969" t="s">
        <v>7218</v>
      </c>
      <c r="I301" s="975"/>
      <c r="J301" s="975"/>
    </row>
    <row r="302" ht="22.5" customHeight="1">
      <c r="A302" s="912">
        <v>301.0</v>
      </c>
      <c r="B302" s="913" t="b">
        <v>0</v>
      </c>
      <c r="C302" s="966" t="s">
        <v>7225</v>
      </c>
      <c r="D302" s="922"/>
      <c r="E302" s="922">
        <v>7.50170104E9</v>
      </c>
      <c r="F302" s="924"/>
      <c r="G302" s="969" t="s">
        <v>7224</v>
      </c>
      <c r="H302" s="969" t="s">
        <v>7020</v>
      </c>
      <c r="I302" s="975"/>
      <c r="J302" s="975"/>
    </row>
    <row r="303" ht="22.5" customHeight="1">
      <c r="A303" s="912">
        <v>302.0</v>
      </c>
      <c r="B303" s="913" t="b">
        <v>0</v>
      </c>
      <c r="C303" s="966" t="s">
        <v>7226</v>
      </c>
      <c r="D303" s="922"/>
      <c r="E303" s="922">
        <v>7.507412662E9</v>
      </c>
      <c r="F303" s="924" t="s">
        <v>7227</v>
      </c>
      <c r="G303" s="969" t="s">
        <v>6970</v>
      </c>
      <c r="H303" s="969" t="s">
        <v>7041</v>
      </c>
      <c r="I303" s="975"/>
      <c r="J303" s="975"/>
    </row>
    <row r="304" ht="22.5" customHeight="1">
      <c r="A304" s="912">
        <v>303.0</v>
      </c>
      <c r="B304" s="913" t="b">
        <v>0</v>
      </c>
      <c r="C304" s="966" t="s">
        <v>7228</v>
      </c>
      <c r="D304" s="922"/>
      <c r="E304" s="922">
        <v>7.503075158E9</v>
      </c>
      <c r="F304" s="924"/>
      <c r="G304" s="969" t="s">
        <v>7229</v>
      </c>
      <c r="H304" s="969" t="s">
        <v>7230</v>
      </c>
      <c r="I304" s="975"/>
      <c r="J304" s="975"/>
    </row>
    <row r="305" ht="22.5" customHeight="1">
      <c r="A305" s="912">
        <v>304.0</v>
      </c>
      <c r="B305" s="913" t="b">
        <v>0</v>
      </c>
      <c r="C305" s="966" t="s">
        <v>7231</v>
      </c>
      <c r="D305" s="922"/>
      <c r="E305" s="922">
        <v>7.50448325E9</v>
      </c>
      <c r="F305" s="924"/>
      <c r="G305" s="969" t="s">
        <v>6937</v>
      </c>
      <c r="H305" s="969" t="s">
        <v>6995</v>
      </c>
      <c r="I305" s="975"/>
      <c r="J305" s="975"/>
    </row>
    <row r="306" ht="22.5" customHeight="1">
      <c r="A306" s="912">
        <v>305.0</v>
      </c>
      <c r="B306" s="913" t="b">
        <v>0</v>
      </c>
      <c r="C306" s="966" t="s">
        <v>7232</v>
      </c>
      <c r="D306" s="922"/>
      <c r="E306" s="922">
        <v>7.505122003E9</v>
      </c>
      <c r="F306" s="924" t="s">
        <v>7233</v>
      </c>
      <c r="G306" s="969" t="s">
        <v>7234</v>
      </c>
      <c r="H306" s="969" t="s">
        <v>7235</v>
      </c>
      <c r="I306" s="975"/>
      <c r="J306" s="975"/>
    </row>
    <row r="307" ht="22.5" customHeight="1">
      <c r="A307" s="912">
        <v>306.0</v>
      </c>
      <c r="B307" s="913" t="b">
        <v>0</v>
      </c>
      <c r="C307" s="935" t="s">
        <v>7236</v>
      </c>
      <c r="D307" s="922"/>
      <c r="E307" s="922">
        <v>7.502333311E9</v>
      </c>
      <c r="F307" s="924" t="s">
        <v>7237</v>
      </c>
      <c r="G307" s="924"/>
      <c r="H307" s="969" t="s">
        <v>7043</v>
      </c>
      <c r="I307" s="975"/>
      <c r="J307" s="975"/>
    </row>
    <row r="308" ht="22.5" customHeight="1">
      <c r="A308" s="912">
        <v>307.0</v>
      </c>
      <c r="B308" s="913" t="b">
        <v>0</v>
      </c>
      <c r="C308" s="935" t="s">
        <v>7238</v>
      </c>
      <c r="D308" s="922"/>
      <c r="E308" s="922">
        <v>7.507004141E9</v>
      </c>
      <c r="F308" s="924"/>
      <c r="G308" s="969" t="s">
        <v>6946</v>
      </c>
      <c r="H308" s="969" t="s">
        <v>6995</v>
      </c>
      <c r="I308" s="975"/>
      <c r="J308" s="975"/>
    </row>
    <row r="309" ht="22.5" customHeight="1">
      <c r="A309" s="912">
        <v>308.0</v>
      </c>
      <c r="B309" s="913" t="b">
        <v>0</v>
      </c>
      <c r="C309" s="935" t="s">
        <v>7239</v>
      </c>
      <c r="D309" s="922"/>
      <c r="E309" s="922">
        <v>7.504551862E9</v>
      </c>
      <c r="F309" s="924" t="s">
        <v>7240</v>
      </c>
      <c r="G309" s="969" t="s">
        <v>7241</v>
      </c>
      <c r="H309" s="969" t="s">
        <v>6995</v>
      </c>
      <c r="I309" s="975"/>
      <c r="J309" s="975"/>
    </row>
    <row r="310" ht="22.5" customHeight="1">
      <c r="A310" s="912">
        <v>309.0</v>
      </c>
      <c r="B310" s="913" t="b">
        <v>0</v>
      </c>
      <c r="C310" s="966" t="s">
        <v>7242</v>
      </c>
      <c r="D310" s="922"/>
      <c r="E310" s="922">
        <v>7.504531346E9</v>
      </c>
      <c r="F310" s="924"/>
      <c r="G310" s="969" t="s">
        <v>6937</v>
      </c>
      <c r="H310" s="969" t="s">
        <v>6995</v>
      </c>
      <c r="I310" s="975"/>
      <c r="J310" s="975"/>
    </row>
    <row r="311" ht="22.5" customHeight="1">
      <c r="A311" s="912">
        <v>310.0</v>
      </c>
      <c r="B311" s="913" t="b">
        <v>0</v>
      </c>
      <c r="C311" s="988" t="s">
        <v>7243</v>
      </c>
      <c r="D311" s="922"/>
      <c r="E311" s="922">
        <v>7.504682446E9</v>
      </c>
      <c r="F311" s="924" t="s">
        <v>7244</v>
      </c>
      <c r="G311" s="969" t="s">
        <v>7022</v>
      </c>
      <c r="H311" s="969" t="s">
        <v>7118</v>
      </c>
      <c r="I311" s="975"/>
      <c r="J311" s="975"/>
    </row>
    <row r="312" ht="22.5" customHeight="1">
      <c r="A312" s="912">
        <v>311.0</v>
      </c>
      <c r="B312" s="913" t="b">
        <v>0</v>
      </c>
      <c r="C312" s="966" t="s">
        <v>7245</v>
      </c>
      <c r="D312" s="922"/>
      <c r="E312" s="922">
        <v>7.504544631E9</v>
      </c>
      <c r="F312" s="924" t="s">
        <v>7246</v>
      </c>
      <c r="G312" s="969" t="s">
        <v>6937</v>
      </c>
      <c r="H312" s="969" t="s">
        <v>7211</v>
      </c>
      <c r="I312" s="975"/>
      <c r="J312" s="975"/>
    </row>
    <row r="313" ht="22.5" customHeight="1">
      <c r="A313" s="912">
        <v>312.0</v>
      </c>
      <c r="B313" s="913" t="b">
        <v>0</v>
      </c>
      <c r="C313" s="966" t="s">
        <v>7247</v>
      </c>
      <c r="D313" s="922"/>
      <c r="E313" s="922">
        <v>7.701343593E9</v>
      </c>
      <c r="F313" s="924"/>
      <c r="G313" s="969" t="s">
        <v>7248</v>
      </c>
      <c r="H313" s="969" t="s">
        <v>7249</v>
      </c>
      <c r="I313" s="975"/>
      <c r="J313" s="975"/>
    </row>
    <row r="314" ht="22.5" customHeight="1">
      <c r="A314" s="912">
        <v>313.0</v>
      </c>
      <c r="B314" s="913" t="b">
        <v>0</v>
      </c>
      <c r="C314" s="966" t="s">
        <v>7250</v>
      </c>
      <c r="D314" s="922"/>
      <c r="E314" s="922">
        <v>7.503351356E9</v>
      </c>
      <c r="F314" s="924" t="s">
        <v>7251</v>
      </c>
      <c r="G314" s="969" t="s">
        <v>7252</v>
      </c>
      <c r="H314" s="969" t="s">
        <v>7249</v>
      </c>
      <c r="I314" s="975"/>
      <c r="J314" s="975"/>
    </row>
    <row r="315" ht="22.5" customHeight="1">
      <c r="A315" s="912">
        <v>314.0</v>
      </c>
      <c r="B315" s="913" t="b">
        <v>0</v>
      </c>
      <c r="C315" s="935" t="s">
        <v>7253</v>
      </c>
      <c r="D315" s="922"/>
      <c r="E315" s="922">
        <v>7.504116116E9</v>
      </c>
      <c r="F315" s="924"/>
      <c r="G315" s="969" t="s">
        <v>7254</v>
      </c>
      <c r="H315" s="969" t="s">
        <v>6951</v>
      </c>
      <c r="I315" s="975"/>
      <c r="J315" s="975"/>
    </row>
    <row r="316" ht="22.5" customHeight="1">
      <c r="A316" s="912">
        <v>315.0</v>
      </c>
      <c r="B316" s="913" t="b">
        <v>0</v>
      </c>
      <c r="C316" s="935" t="s">
        <v>7255</v>
      </c>
      <c r="D316" s="922"/>
      <c r="E316" s="922">
        <v>7.71777055E9</v>
      </c>
      <c r="F316" s="924" t="s">
        <v>7256</v>
      </c>
      <c r="G316" s="969" t="s">
        <v>7257</v>
      </c>
      <c r="H316" s="969" t="s">
        <v>7258</v>
      </c>
      <c r="I316" s="975"/>
      <c r="J316" s="975"/>
    </row>
    <row r="317" ht="22.5" customHeight="1">
      <c r="A317" s="912">
        <v>316.0</v>
      </c>
      <c r="B317" s="913" t="b">
        <v>0</v>
      </c>
      <c r="C317" s="989" t="s">
        <v>7259</v>
      </c>
      <c r="D317" s="922"/>
      <c r="E317" s="922">
        <v>7.50442551E9</v>
      </c>
      <c r="F317" s="924" t="s">
        <v>7260</v>
      </c>
      <c r="G317" s="969" t="s">
        <v>7261</v>
      </c>
      <c r="H317" s="969" t="s">
        <v>7262</v>
      </c>
      <c r="I317" s="975"/>
      <c r="J317" s="975"/>
    </row>
    <row r="318" ht="22.5" customHeight="1">
      <c r="A318" s="912">
        <v>317.0</v>
      </c>
      <c r="B318" s="913" t="b">
        <v>0</v>
      </c>
      <c r="C318" s="983" t="s">
        <v>7263</v>
      </c>
      <c r="D318" s="922"/>
      <c r="E318" s="922">
        <v>7.504441411E9</v>
      </c>
      <c r="F318" s="924" t="s">
        <v>7264</v>
      </c>
      <c r="G318" s="924"/>
      <c r="H318" s="969" t="s">
        <v>6954</v>
      </c>
      <c r="I318" s="975"/>
      <c r="J318" s="975"/>
    </row>
    <row r="319" ht="22.5" customHeight="1">
      <c r="A319" s="912">
        <v>318.0</v>
      </c>
      <c r="B319" s="913" t="b">
        <v>0</v>
      </c>
      <c r="C319" s="966" t="s">
        <v>7265</v>
      </c>
      <c r="D319" s="922"/>
      <c r="E319" s="922">
        <v>7.511981161E9</v>
      </c>
      <c r="F319" s="924" t="s">
        <v>7266</v>
      </c>
      <c r="G319" s="924"/>
      <c r="H319" s="969" t="s">
        <v>7267</v>
      </c>
      <c r="I319" s="975"/>
      <c r="J319" s="975"/>
    </row>
    <row r="320" ht="22.5" customHeight="1">
      <c r="A320" s="912">
        <v>319.0</v>
      </c>
      <c r="B320" s="913" t="b">
        <v>0</v>
      </c>
      <c r="C320" s="990" t="s">
        <v>7268</v>
      </c>
      <c r="D320" s="922"/>
      <c r="E320" s="922">
        <v>7.506427272E9</v>
      </c>
      <c r="F320" s="924" t="s">
        <v>7269</v>
      </c>
      <c r="G320" s="969" t="s">
        <v>7270</v>
      </c>
      <c r="H320" s="969" t="s">
        <v>7020</v>
      </c>
      <c r="I320" s="975"/>
      <c r="J320" s="975"/>
    </row>
    <row r="321" ht="22.5" customHeight="1">
      <c r="A321" s="912">
        <v>320.0</v>
      </c>
      <c r="B321" s="913" t="b">
        <v>0</v>
      </c>
      <c r="C321" s="966" t="s">
        <v>7271</v>
      </c>
      <c r="D321" s="922"/>
      <c r="E321" s="922">
        <v>7.502468646E9</v>
      </c>
      <c r="F321" s="924"/>
      <c r="G321" s="969" t="s">
        <v>7272</v>
      </c>
      <c r="H321" s="969" t="s">
        <v>6995</v>
      </c>
      <c r="I321" s="975"/>
      <c r="J321" s="975"/>
    </row>
    <row r="322" ht="22.5" customHeight="1">
      <c r="A322" s="912">
        <v>321.0</v>
      </c>
      <c r="B322" s="913" t="b">
        <v>0</v>
      </c>
      <c r="C322" s="935" t="s">
        <v>7273</v>
      </c>
      <c r="D322" s="922"/>
      <c r="E322" s="922">
        <v>7.50668707E9</v>
      </c>
      <c r="F322" s="924" t="s">
        <v>7274</v>
      </c>
      <c r="G322" s="969" t="s">
        <v>7275</v>
      </c>
      <c r="H322" s="969" t="s">
        <v>6995</v>
      </c>
      <c r="I322" s="975"/>
      <c r="J322" s="975"/>
    </row>
    <row r="323" ht="22.5" customHeight="1">
      <c r="A323" s="912">
        <v>322.0</v>
      </c>
      <c r="B323" s="913" t="b">
        <v>0</v>
      </c>
      <c r="C323" s="991" t="s">
        <v>7276</v>
      </c>
      <c r="D323" s="922"/>
      <c r="E323" s="922">
        <v>7.504457798E9</v>
      </c>
      <c r="F323" s="924"/>
      <c r="G323" s="969" t="s">
        <v>7085</v>
      </c>
      <c r="H323" s="969" t="s">
        <v>6951</v>
      </c>
      <c r="I323" s="975"/>
      <c r="J323" s="975"/>
    </row>
    <row r="324" ht="22.5" customHeight="1">
      <c r="A324" s="912">
        <v>323.0</v>
      </c>
      <c r="B324" s="913" t="b">
        <v>0</v>
      </c>
      <c r="C324" s="992" t="s">
        <v>7277</v>
      </c>
      <c r="D324" s="922"/>
      <c r="E324" s="922">
        <v>7.504491769E9</v>
      </c>
      <c r="F324" s="924" t="s">
        <v>7278</v>
      </c>
      <c r="G324" s="969" t="s">
        <v>7279</v>
      </c>
      <c r="H324" s="969" t="s">
        <v>7009</v>
      </c>
      <c r="I324" s="975"/>
      <c r="J324" s="975"/>
    </row>
    <row r="325" ht="22.5" customHeight="1">
      <c r="A325" s="912">
        <v>324.0</v>
      </c>
      <c r="B325" s="913" t="b">
        <v>0</v>
      </c>
      <c r="C325" s="966" t="s">
        <v>7280</v>
      </c>
      <c r="D325" s="922"/>
      <c r="E325" s="922">
        <v>7.509387887E9</v>
      </c>
      <c r="F325" s="924"/>
      <c r="G325" s="924"/>
      <c r="H325" s="969" t="s">
        <v>7281</v>
      </c>
      <c r="I325" s="975"/>
      <c r="J325" s="975"/>
    </row>
    <row r="326" ht="22.5" customHeight="1">
      <c r="A326" s="912">
        <v>325.0</v>
      </c>
      <c r="B326" s="913" t="b">
        <v>0</v>
      </c>
      <c r="C326" s="935" t="s">
        <v>7282</v>
      </c>
      <c r="D326" s="922" t="s">
        <v>5045</v>
      </c>
      <c r="E326" s="922">
        <v>7.504480859E9</v>
      </c>
      <c r="F326" s="924" t="s">
        <v>7283</v>
      </c>
      <c r="G326" s="924"/>
      <c r="H326" s="969" t="s">
        <v>7211</v>
      </c>
      <c r="I326" s="975"/>
      <c r="J326" s="975"/>
    </row>
    <row r="327" ht="22.5" customHeight="1">
      <c r="A327" s="912">
        <v>326.0</v>
      </c>
      <c r="B327" s="913" t="b">
        <v>0</v>
      </c>
      <c r="C327" s="935" t="s">
        <v>7284</v>
      </c>
      <c r="D327" s="922"/>
      <c r="E327" s="922">
        <v>7.504499499E9</v>
      </c>
      <c r="F327" s="924"/>
      <c r="G327" s="924"/>
      <c r="H327" s="969" t="s">
        <v>7285</v>
      </c>
      <c r="I327" s="975"/>
      <c r="J327" s="975"/>
    </row>
    <row r="328" ht="22.5" customHeight="1">
      <c r="A328" s="912">
        <v>327.0</v>
      </c>
      <c r="B328" s="913" t="b">
        <v>0</v>
      </c>
      <c r="C328" s="966" t="s">
        <v>7286</v>
      </c>
      <c r="D328" s="922"/>
      <c r="E328" s="922">
        <v>7.508782121E9</v>
      </c>
      <c r="F328" s="924"/>
      <c r="G328" s="924"/>
      <c r="H328" s="969" t="s">
        <v>7211</v>
      </c>
      <c r="I328" s="975"/>
      <c r="J328" s="975"/>
    </row>
    <row r="329" ht="22.5" customHeight="1">
      <c r="A329" s="912">
        <v>328.0</v>
      </c>
      <c r="B329" s="913" t="b">
        <v>0</v>
      </c>
      <c r="C329" s="935" t="s">
        <v>7287</v>
      </c>
      <c r="D329" s="922"/>
      <c r="E329" s="922">
        <v>7.50446847E10</v>
      </c>
      <c r="F329" s="924" t="s">
        <v>7288</v>
      </c>
      <c r="G329" s="969" t="s">
        <v>7156</v>
      </c>
      <c r="H329" s="924"/>
      <c r="I329" s="933"/>
      <c r="J329" s="933"/>
    </row>
    <row r="330" ht="22.5" customHeight="1">
      <c r="A330" s="912">
        <v>329.0</v>
      </c>
      <c r="B330" s="913" t="b">
        <v>0</v>
      </c>
      <c r="C330" s="966" t="s">
        <v>7289</v>
      </c>
      <c r="D330" s="922"/>
      <c r="E330" s="922">
        <v>7.505763433E9</v>
      </c>
      <c r="F330" s="924" t="s">
        <v>7290</v>
      </c>
      <c r="G330" s="924"/>
      <c r="H330" s="969" t="s">
        <v>7291</v>
      </c>
      <c r="I330" s="975"/>
      <c r="J330" s="975"/>
    </row>
    <row r="331" ht="22.5" customHeight="1">
      <c r="A331" s="912">
        <v>330.0</v>
      </c>
      <c r="B331" s="913" t="b">
        <v>0</v>
      </c>
      <c r="C331" s="935" t="s">
        <v>7292</v>
      </c>
      <c r="D331" s="922"/>
      <c r="E331" s="922">
        <v>7.509236999E9</v>
      </c>
      <c r="F331" s="924" t="s">
        <v>7293</v>
      </c>
      <c r="G331" s="924"/>
      <c r="H331" s="969" t="s">
        <v>7294</v>
      </c>
      <c r="I331" s="975"/>
      <c r="J331" s="975"/>
    </row>
    <row r="332" ht="22.5" customHeight="1">
      <c r="A332" s="912">
        <v>331.0</v>
      </c>
      <c r="B332" s="913" t="b">
        <v>0</v>
      </c>
      <c r="C332" s="966" t="s">
        <v>7295</v>
      </c>
      <c r="D332" s="922"/>
      <c r="E332" s="922">
        <v>7.505359999E9</v>
      </c>
      <c r="F332" s="924" t="s">
        <v>7296</v>
      </c>
      <c r="G332" s="924"/>
      <c r="H332" s="969" t="s">
        <v>7297</v>
      </c>
      <c r="I332" s="975"/>
      <c r="J332" s="975"/>
    </row>
    <row r="333" ht="22.5" customHeight="1">
      <c r="A333" s="912">
        <v>332.0</v>
      </c>
      <c r="B333" s="913" t="b">
        <v>0</v>
      </c>
      <c r="C333" s="966" t="s">
        <v>7298</v>
      </c>
      <c r="D333" s="922"/>
      <c r="E333" s="922">
        <v>7.507022622E9</v>
      </c>
      <c r="F333" s="924" t="s">
        <v>7299</v>
      </c>
      <c r="G333" s="924"/>
      <c r="H333" s="924"/>
      <c r="I333" s="933"/>
      <c r="J333" s="933"/>
    </row>
    <row r="334" ht="22.5" customHeight="1">
      <c r="A334" s="912">
        <v>333.0</v>
      </c>
      <c r="B334" s="913" t="b">
        <v>0</v>
      </c>
      <c r="C334" s="966" t="s">
        <v>7300</v>
      </c>
      <c r="D334" s="922"/>
      <c r="E334" s="922">
        <v>7.506206262E9</v>
      </c>
      <c r="F334" s="924" t="s">
        <v>7301</v>
      </c>
      <c r="G334" s="924"/>
      <c r="H334" s="969" t="s">
        <v>6954</v>
      </c>
      <c r="I334" s="975"/>
      <c r="J334" s="975"/>
    </row>
    <row r="335" ht="22.5" customHeight="1">
      <c r="A335" s="912">
        <v>334.0</v>
      </c>
      <c r="B335" s="913" t="b">
        <v>0</v>
      </c>
      <c r="C335" s="966" t="s">
        <v>7302</v>
      </c>
      <c r="D335" s="922"/>
      <c r="E335" s="922">
        <v>7.50636E9</v>
      </c>
      <c r="F335" s="924" t="s">
        <v>7303</v>
      </c>
      <c r="G335" s="924"/>
      <c r="H335" s="969" t="s">
        <v>6954</v>
      </c>
      <c r="I335" s="975"/>
      <c r="J335" s="975"/>
    </row>
    <row r="336" ht="22.5" customHeight="1">
      <c r="A336" s="912">
        <v>335.0</v>
      </c>
      <c r="B336" s="913" t="b">
        <v>0</v>
      </c>
      <c r="C336" s="966" t="s">
        <v>7304</v>
      </c>
      <c r="D336" s="922"/>
      <c r="E336" s="922">
        <v>7.504459842E9</v>
      </c>
      <c r="F336" s="924" t="s">
        <v>7305</v>
      </c>
      <c r="G336" s="924"/>
      <c r="H336" s="969" t="s">
        <v>7115</v>
      </c>
      <c r="I336" s="975"/>
      <c r="J336" s="975"/>
    </row>
    <row r="337" ht="22.5" customHeight="1">
      <c r="A337" s="912">
        <v>336.0</v>
      </c>
      <c r="B337" s="913" t="b">
        <v>0</v>
      </c>
      <c r="C337" s="966" t="s">
        <v>7306</v>
      </c>
      <c r="D337" s="922"/>
      <c r="E337" s="922">
        <v>7.509279191E9</v>
      </c>
      <c r="F337" s="924" t="s">
        <v>7307</v>
      </c>
      <c r="G337" s="924"/>
      <c r="H337" s="969" t="s">
        <v>6957</v>
      </c>
      <c r="I337" s="975"/>
      <c r="J337" s="975"/>
    </row>
    <row r="338" ht="22.5" customHeight="1">
      <c r="A338" s="912">
        <v>337.0</v>
      </c>
      <c r="B338" s="913" t="b">
        <v>0</v>
      </c>
      <c r="C338" s="993" t="s">
        <v>7308</v>
      </c>
      <c r="D338" s="922"/>
      <c r="E338" s="922">
        <v>7.514144158E9</v>
      </c>
      <c r="F338" s="924" t="s">
        <v>7309</v>
      </c>
      <c r="G338" s="924"/>
      <c r="H338" s="969" t="s">
        <v>6954</v>
      </c>
      <c r="I338" s="975"/>
      <c r="J338" s="975"/>
    </row>
    <row r="339" ht="22.5" customHeight="1">
      <c r="A339" s="912">
        <v>338.0</v>
      </c>
      <c r="B339" s="913" t="b">
        <v>0</v>
      </c>
      <c r="C339" s="935" t="s">
        <v>7310</v>
      </c>
      <c r="D339" s="922"/>
      <c r="E339" s="922">
        <v>7.501054747E9</v>
      </c>
      <c r="F339" s="924" t="s">
        <v>7311</v>
      </c>
      <c r="G339" s="969" t="s">
        <v>7312</v>
      </c>
      <c r="H339" s="969" t="s">
        <v>6957</v>
      </c>
      <c r="I339" s="975"/>
      <c r="J339" s="975"/>
    </row>
    <row r="340" ht="22.5" customHeight="1">
      <c r="A340" s="912">
        <v>339.0</v>
      </c>
      <c r="B340" s="913" t="b">
        <v>0</v>
      </c>
      <c r="C340" s="935" t="s">
        <v>6958</v>
      </c>
      <c r="D340" s="922"/>
      <c r="E340" s="922">
        <v>7.504455757E9</v>
      </c>
      <c r="F340" s="924" t="s">
        <v>6959</v>
      </c>
      <c r="G340" s="969" t="s">
        <v>7312</v>
      </c>
      <c r="H340" s="969" t="s">
        <v>7313</v>
      </c>
      <c r="I340" s="975"/>
      <c r="J340" s="975"/>
    </row>
    <row r="341" ht="22.5" customHeight="1">
      <c r="A341" s="912">
        <v>340.0</v>
      </c>
      <c r="B341" s="913" t="b">
        <v>0</v>
      </c>
      <c r="C341" s="966" t="s">
        <v>7314</v>
      </c>
      <c r="D341" s="922"/>
      <c r="E341" s="922">
        <v>7.504759312E9</v>
      </c>
      <c r="F341" s="924" t="s">
        <v>7315</v>
      </c>
      <c r="G341" s="969" t="s">
        <v>7270</v>
      </c>
      <c r="H341" s="969" t="s">
        <v>7230</v>
      </c>
      <c r="I341" s="975"/>
      <c r="J341" s="975"/>
    </row>
    <row r="342" ht="22.5" customHeight="1">
      <c r="A342" s="912">
        <v>341.0</v>
      </c>
      <c r="B342" s="913" t="b">
        <v>0</v>
      </c>
      <c r="C342" s="935" t="s">
        <v>7316</v>
      </c>
      <c r="D342" s="922"/>
      <c r="E342" s="922">
        <v>7.502075237E9</v>
      </c>
      <c r="F342" s="924" t="s">
        <v>7317</v>
      </c>
      <c r="G342" s="924"/>
      <c r="H342" s="969" t="s">
        <v>7318</v>
      </c>
      <c r="I342" s="975"/>
      <c r="J342" s="975"/>
    </row>
    <row r="343" ht="22.5" customHeight="1">
      <c r="A343" s="912">
        <v>342.0</v>
      </c>
      <c r="B343" s="913" t="b">
        <v>0</v>
      </c>
      <c r="C343" s="935" t="s">
        <v>7319</v>
      </c>
      <c r="D343" s="922"/>
      <c r="E343" s="922">
        <v>7.503729797E9</v>
      </c>
      <c r="F343" s="924" t="s">
        <v>7320</v>
      </c>
      <c r="G343" s="969" t="s">
        <v>7270</v>
      </c>
      <c r="H343" s="924"/>
      <c r="I343" s="933"/>
      <c r="J343" s="933"/>
    </row>
    <row r="344" ht="22.5" customHeight="1">
      <c r="A344" s="912">
        <v>343.0</v>
      </c>
      <c r="B344" s="913" t="b">
        <v>0</v>
      </c>
      <c r="C344" s="935" t="s">
        <v>7321</v>
      </c>
      <c r="D344" s="922"/>
      <c r="E344" s="922">
        <v>7.504121177E9</v>
      </c>
      <c r="F344" s="924"/>
      <c r="G344" s="924"/>
      <c r="H344" s="969" t="s">
        <v>7322</v>
      </c>
      <c r="I344" s="975"/>
      <c r="J344" s="975"/>
    </row>
    <row r="345" ht="22.5" customHeight="1">
      <c r="A345" s="912">
        <v>344.0</v>
      </c>
      <c r="B345" s="913" t="b">
        <v>0</v>
      </c>
      <c r="C345" s="966" t="s">
        <v>7323</v>
      </c>
      <c r="D345" s="922"/>
      <c r="E345" s="922">
        <v>7.505141441E9</v>
      </c>
      <c r="F345" s="924"/>
      <c r="G345" s="924"/>
      <c r="H345" s="969" t="s">
        <v>7324</v>
      </c>
      <c r="I345" s="975"/>
      <c r="J345" s="975"/>
    </row>
    <row r="346" ht="22.5" customHeight="1">
      <c r="A346" s="912">
        <v>345.0</v>
      </c>
      <c r="B346" s="913" t="b">
        <v>0</v>
      </c>
      <c r="C346" s="966" t="s">
        <v>7325</v>
      </c>
      <c r="D346" s="922"/>
      <c r="E346" s="922">
        <v>7.504461257E9</v>
      </c>
      <c r="F346" s="924" t="s">
        <v>7326</v>
      </c>
      <c r="G346" s="924"/>
      <c r="H346" s="969" t="s">
        <v>6957</v>
      </c>
      <c r="I346" s="975"/>
      <c r="J346" s="975"/>
    </row>
    <row r="347" ht="22.5" customHeight="1">
      <c r="A347" s="912">
        <v>346.0</v>
      </c>
      <c r="B347" s="913" t="b">
        <v>0</v>
      </c>
      <c r="C347" s="935" t="s">
        <v>7327</v>
      </c>
      <c r="D347" s="922"/>
      <c r="E347" s="922">
        <v>7.504059595E9</v>
      </c>
      <c r="F347" s="924"/>
      <c r="G347" s="924"/>
      <c r="H347" s="969" t="s">
        <v>7328</v>
      </c>
      <c r="I347" s="975"/>
      <c r="J347" s="975"/>
    </row>
    <row r="348" ht="22.5" customHeight="1">
      <c r="A348" s="912">
        <v>347.0</v>
      </c>
      <c r="B348" s="913" t="b">
        <v>0</v>
      </c>
      <c r="C348" s="935" t="s">
        <v>7329</v>
      </c>
      <c r="D348" s="922"/>
      <c r="E348" s="922">
        <v>7.503111952E9</v>
      </c>
      <c r="F348" s="924" t="s">
        <v>7330</v>
      </c>
      <c r="G348" s="924"/>
      <c r="H348" s="969" t="s">
        <v>7331</v>
      </c>
      <c r="I348" s="975"/>
      <c r="J348" s="975"/>
    </row>
    <row r="349" ht="22.5" customHeight="1">
      <c r="A349" s="912">
        <v>348.0</v>
      </c>
      <c r="B349" s="913" t="b">
        <v>0</v>
      </c>
      <c r="C349" s="935" t="s">
        <v>7332</v>
      </c>
      <c r="D349" s="922"/>
      <c r="E349" s="922">
        <v>7.501314831E9</v>
      </c>
      <c r="F349" s="924"/>
      <c r="G349" s="924"/>
      <c r="H349" s="969" t="s">
        <v>7324</v>
      </c>
      <c r="I349" s="975"/>
      <c r="J349" s="975"/>
    </row>
    <row r="350" ht="22.5" customHeight="1">
      <c r="A350" s="912">
        <v>349.0</v>
      </c>
      <c r="B350" s="913" t="b">
        <v>0</v>
      </c>
      <c r="C350" s="966" t="s">
        <v>7333</v>
      </c>
      <c r="D350" s="922"/>
      <c r="E350" s="922">
        <v>7.502212223E9</v>
      </c>
      <c r="F350" s="924" t="s">
        <v>7334</v>
      </c>
      <c r="G350" s="924"/>
      <c r="H350" s="969" t="s">
        <v>7335</v>
      </c>
      <c r="I350" s="975"/>
      <c r="J350" s="975"/>
    </row>
    <row r="351" ht="22.5" customHeight="1">
      <c r="A351" s="912">
        <v>350.0</v>
      </c>
      <c r="B351" s="913" t="b">
        <v>0</v>
      </c>
      <c r="C351" s="966" t="s">
        <v>7336</v>
      </c>
      <c r="D351" s="922"/>
      <c r="E351" s="922">
        <v>7.508212774E9</v>
      </c>
      <c r="F351" s="924"/>
      <c r="G351" s="924"/>
      <c r="H351" s="969" t="s">
        <v>7043</v>
      </c>
      <c r="I351" s="975"/>
      <c r="J351" s="975"/>
    </row>
    <row r="352" ht="22.5" customHeight="1">
      <c r="A352" s="912">
        <v>351.0</v>
      </c>
      <c r="B352" s="913" t="b">
        <v>0</v>
      </c>
      <c r="C352" s="935" t="s">
        <v>7337</v>
      </c>
      <c r="D352" s="922"/>
      <c r="E352" s="922">
        <v>7.50207707E9</v>
      </c>
      <c r="F352" s="924"/>
      <c r="G352" s="969" t="s">
        <v>7078</v>
      </c>
      <c r="H352" s="969" t="s">
        <v>7324</v>
      </c>
      <c r="I352" s="975"/>
      <c r="J352" s="975"/>
    </row>
    <row r="353" ht="22.5" customHeight="1">
      <c r="A353" s="912">
        <v>352.0</v>
      </c>
      <c r="B353" s="913" t="b">
        <v>0</v>
      </c>
      <c r="C353" s="966" t="s">
        <v>7338</v>
      </c>
      <c r="D353" s="922"/>
      <c r="E353" s="922">
        <v>7.502481952E9</v>
      </c>
      <c r="F353" s="924"/>
      <c r="G353" s="924"/>
      <c r="H353" s="969" t="s">
        <v>7324</v>
      </c>
      <c r="I353" s="975"/>
      <c r="J353" s="975"/>
    </row>
    <row r="354" ht="22.5" customHeight="1">
      <c r="A354" s="912">
        <v>353.0</v>
      </c>
      <c r="B354" s="913" t="b">
        <v>0</v>
      </c>
      <c r="C354" s="935" t="s">
        <v>7339</v>
      </c>
      <c r="D354" s="922"/>
      <c r="E354" s="922">
        <v>7.507015555E9</v>
      </c>
      <c r="F354" s="924"/>
      <c r="G354" s="969" t="s">
        <v>6950</v>
      </c>
      <c r="H354" s="969" t="s">
        <v>7218</v>
      </c>
      <c r="I354" s="975"/>
      <c r="J354" s="975"/>
    </row>
    <row r="355" ht="22.5" customHeight="1">
      <c r="A355" s="912">
        <v>354.0</v>
      </c>
      <c r="B355" s="913" t="b">
        <v>0</v>
      </c>
      <c r="C355" s="935" t="s">
        <v>7340</v>
      </c>
      <c r="D355" s="922"/>
      <c r="E355" s="922">
        <v>7.504522461E9</v>
      </c>
      <c r="F355" s="924" t="s">
        <v>7341</v>
      </c>
      <c r="G355" s="924"/>
      <c r="H355" s="924"/>
      <c r="I355" s="933"/>
      <c r="J355" s="933"/>
    </row>
    <row r="356" ht="22.5" customHeight="1">
      <c r="A356" s="912">
        <v>355.0</v>
      </c>
      <c r="B356" s="913" t="b">
        <v>0</v>
      </c>
      <c r="C356" s="966" t="s">
        <v>7342</v>
      </c>
      <c r="D356" s="922"/>
      <c r="E356" s="922">
        <v>7.505921313E9</v>
      </c>
      <c r="F356" s="924" t="s">
        <v>7343</v>
      </c>
      <c r="G356" s="924"/>
      <c r="H356" s="969" t="s">
        <v>7344</v>
      </c>
      <c r="I356" s="975"/>
      <c r="J356" s="975"/>
    </row>
    <row r="357" ht="22.5" customHeight="1">
      <c r="A357" s="912">
        <v>356.0</v>
      </c>
      <c r="B357" s="913" t="b">
        <v>0</v>
      </c>
      <c r="C357" s="966" t="s">
        <v>7345</v>
      </c>
      <c r="D357" s="922"/>
      <c r="E357" s="922">
        <v>7.506225858E9</v>
      </c>
      <c r="F357" s="924" t="s">
        <v>7346</v>
      </c>
      <c r="G357" s="924"/>
      <c r="H357" s="969" t="s">
        <v>7347</v>
      </c>
      <c r="I357" s="975"/>
      <c r="J357" s="975"/>
    </row>
    <row r="358" ht="22.5" customHeight="1">
      <c r="A358" s="912">
        <v>357.0</v>
      </c>
      <c r="B358" s="913" t="b">
        <v>0</v>
      </c>
      <c r="C358" s="966" t="s">
        <v>7348</v>
      </c>
      <c r="D358" s="922"/>
      <c r="E358" s="922">
        <v>7.50622011E9</v>
      </c>
      <c r="F358" s="924"/>
      <c r="G358" s="969" t="s">
        <v>7349</v>
      </c>
      <c r="H358" s="969" t="s">
        <v>6954</v>
      </c>
      <c r="I358" s="975"/>
      <c r="J358" s="975"/>
    </row>
    <row r="359" ht="22.5" customHeight="1">
      <c r="A359" s="912">
        <v>358.0</v>
      </c>
      <c r="B359" s="913" t="b">
        <v>0</v>
      </c>
      <c r="C359" s="966" t="s">
        <v>7350</v>
      </c>
      <c r="D359" s="922"/>
      <c r="E359" s="922">
        <v>7.505550707E9</v>
      </c>
      <c r="F359" s="924" t="s">
        <v>2688</v>
      </c>
      <c r="G359" s="924"/>
      <c r="H359" s="969" t="s">
        <v>6954</v>
      </c>
      <c r="I359" s="975"/>
      <c r="J359" s="975"/>
    </row>
    <row r="360" ht="22.5" customHeight="1">
      <c r="A360" s="912">
        <v>359.0</v>
      </c>
      <c r="B360" s="913" t="b">
        <v>0</v>
      </c>
      <c r="C360" s="966" t="s">
        <v>7351</v>
      </c>
      <c r="D360" s="922"/>
      <c r="E360" s="922">
        <v>7.504257273E9</v>
      </c>
      <c r="F360" s="924"/>
      <c r="G360" s="924"/>
      <c r="H360" s="924"/>
      <c r="I360" s="933"/>
      <c r="J360" s="933"/>
    </row>
    <row r="361" ht="22.5" customHeight="1">
      <c r="A361" s="912">
        <v>360.0</v>
      </c>
      <c r="B361" s="913" t="b">
        <v>0</v>
      </c>
      <c r="C361" s="966" t="s">
        <v>7352</v>
      </c>
      <c r="D361" s="922"/>
      <c r="E361" s="922">
        <v>7.517702024E9</v>
      </c>
      <c r="F361" s="924" t="s">
        <v>7353</v>
      </c>
      <c r="G361" s="924"/>
      <c r="H361" s="924"/>
      <c r="I361" s="933"/>
      <c r="J361" s="933"/>
    </row>
    <row r="362" ht="22.5" customHeight="1">
      <c r="A362" s="912">
        <v>361.0</v>
      </c>
      <c r="B362" s="913" t="b">
        <v>0</v>
      </c>
      <c r="C362" s="966" t="s">
        <v>7354</v>
      </c>
      <c r="D362" s="922"/>
      <c r="E362" s="922">
        <v>7.508200202E9</v>
      </c>
      <c r="F362" s="924"/>
      <c r="G362" s="924"/>
      <c r="H362" s="969" t="s">
        <v>7331</v>
      </c>
      <c r="I362" s="975"/>
      <c r="J362" s="975"/>
    </row>
    <row r="363" ht="22.5" customHeight="1">
      <c r="A363" s="912">
        <v>362.0</v>
      </c>
      <c r="B363" s="913" t="b">
        <v>0</v>
      </c>
      <c r="C363" s="935" t="s">
        <v>7355</v>
      </c>
      <c r="D363" s="922"/>
      <c r="E363" s="922">
        <v>7.5045354E9</v>
      </c>
      <c r="F363" s="924" t="s">
        <v>7356</v>
      </c>
      <c r="G363" s="924"/>
      <c r="H363" s="969" t="s">
        <v>7357</v>
      </c>
      <c r="I363" s="975"/>
      <c r="J363" s="975"/>
    </row>
    <row r="364" ht="22.5" customHeight="1">
      <c r="A364" s="912">
        <v>363.0</v>
      </c>
      <c r="B364" s="913" t="b">
        <v>0</v>
      </c>
      <c r="C364" s="935" t="s">
        <v>7358</v>
      </c>
      <c r="D364" s="922"/>
      <c r="E364" s="922">
        <v>7.71333101E9</v>
      </c>
      <c r="F364" s="924" t="s">
        <v>7359</v>
      </c>
      <c r="G364" s="924"/>
      <c r="H364" s="969" t="s">
        <v>7360</v>
      </c>
      <c r="I364" s="975"/>
      <c r="J364" s="975"/>
    </row>
    <row r="365" ht="22.5" customHeight="1">
      <c r="A365" s="912">
        <v>364.0</v>
      </c>
      <c r="B365" s="913" t="b">
        <v>0</v>
      </c>
      <c r="C365" s="966" t="s">
        <v>7361</v>
      </c>
      <c r="D365" s="922"/>
      <c r="E365" s="922"/>
      <c r="F365" s="924"/>
      <c r="G365" s="924"/>
      <c r="H365" s="924"/>
      <c r="I365" s="933"/>
      <c r="J365" s="933"/>
    </row>
    <row r="366" ht="22.5" customHeight="1">
      <c r="A366" s="912">
        <v>365.0</v>
      </c>
      <c r="B366" s="913" t="b">
        <v>0</v>
      </c>
      <c r="C366" s="994" t="s">
        <v>7362</v>
      </c>
      <c r="D366" s="922"/>
      <c r="E366" s="922">
        <v>7.501008555E9</v>
      </c>
      <c r="F366" s="924" t="s">
        <v>7363</v>
      </c>
      <c r="G366" s="924"/>
      <c r="H366" s="924"/>
      <c r="I366" s="933"/>
      <c r="J366" s="933"/>
    </row>
    <row r="367" ht="22.5" customHeight="1">
      <c r="A367" s="912">
        <v>366.0</v>
      </c>
      <c r="B367" s="913" t="b">
        <v>0</v>
      </c>
      <c r="C367" s="935" t="s">
        <v>7364</v>
      </c>
      <c r="D367" s="936" t="s">
        <v>7365</v>
      </c>
      <c r="E367" s="922">
        <v>7.504607772E9</v>
      </c>
      <c r="F367" s="924"/>
      <c r="G367" s="924"/>
      <c r="H367" s="969" t="s">
        <v>7366</v>
      </c>
      <c r="I367" s="975"/>
      <c r="J367" s="975"/>
    </row>
    <row r="368" ht="22.5" customHeight="1">
      <c r="A368" s="912">
        <v>367.0</v>
      </c>
      <c r="B368" s="913" t="b">
        <v>0</v>
      </c>
      <c r="C368" s="966" t="s">
        <v>7367</v>
      </c>
      <c r="D368" s="922"/>
      <c r="E368" s="922">
        <v>7.504520049E9</v>
      </c>
      <c r="F368" s="924"/>
      <c r="G368" s="924"/>
      <c r="H368" s="969" t="s">
        <v>6951</v>
      </c>
      <c r="I368" s="975"/>
      <c r="J368" s="975"/>
    </row>
    <row r="369" ht="22.5" customHeight="1">
      <c r="A369" s="912">
        <v>368.0</v>
      </c>
      <c r="B369" s="913" t="b">
        <v>0</v>
      </c>
      <c r="C369" s="935" t="s">
        <v>7368</v>
      </c>
      <c r="D369" s="922"/>
      <c r="E369" s="922">
        <v>7.504856663E9</v>
      </c>
      <c r="F369" s="924" t="s">
        <v>7369</v>
      </c>
      <c r="G369" s="924"/>
      <c r="H369" s="969" t="s">
        <v>6954</v>
      </c>
      <c r="I369" s="975"/>
      <c r="J369" s="975"/>
    </row>
    <row r="370" ht="22.5" customHeight="1">
      <c r="A370" s="912">
        <v>369.0</v>
      </c>
      <c r="B370" s="913" t="b">
        <v>0</v>
      </c>
      <c r="C370" s="935" t="s">
        <v>7370</v>
      </c>
      <c r="D370" s="936" t="s">
        <v>7371</v>
      </c>
      <c r="E370" s="922">
        <v>7.503334545E9</v>
      </c>
      <c r="F370" s="924"/>
      <c r="G370" s="924"/>
      <c r="H370" s="969" t="s">
        <v>6954</v>
      </c>
      <c r="I370" s="975"/>
      <c r="J370" s="975"/>
    </row>
    <row r="371" ht="22.5" customHeight="1">
      <c r="A371" s="912">
        <v>370.0</v>
      </c>
      <c r="B371" s="913" t="b">
        <v>0</v>
      </c>
      <c r="C371" s="966" t="s">
        <v>7372</v>
      </c>
      <c r="D371" s="922"/>
      <c r="E371" s="922">
        <v>7.504492187E9</v>
      </c>
      <c r="F371" s="924" t="s">
        <v>7373</v>
      </c>
      <c r="G371" s="924"/>
      <c r="H371" s="969" t="s">
        <v>6974</v>
      </c>
      <c r="I371" s="975"/>
      <c r="J371" s="975"/>
    </row>
    <row r="372" ht="22.5" customHeight="1">
      <c r="A372" s="912">
        <v>371.0</v>
      </c>
      <c r="B372" s="913" t="b">
        <v>0</v>
      </c>
      <c r="C372" s="935" t="s">
        <v>7374</v>
      </c>
      <c r="D372" s="922"/>
      <c r="E372" s="922">
        <v>7.80099988E9</v>
      </c>
      <c r="F372" s="924"/>
      <c r="G372" s="924"/>
      <c r="H372" s="969" t="s">
        <v>7375</v>
      </c>
      <c r="I372" s="975"/>
      <c r="J372" s="975"/>
    </row>
    <row r="373" ht="22.5" customHeight="1">
      <c r="A373" s="912">
        <v>372.0</v>
      </c>
      <c r="B373" s="913" t="b">
        <v>0</v>
      </c>
      <c r="C373" s="935" t="s">
        <v>7376</v>
      </c>
      <c r="D373" s="922"/>
      <c r="E373" s="922">
        <v>7.823022221E9</v>
      </c>
      <c r="F373" s="924" t="s">
        <v>7377</v>
      </c>
      <c r="G373" s="924"/>
      <c r="H373" s="924"/>
      <c r="I373" s="933"/>
      <c r="J373" s="933"/>
    </row>
    <row r="374" ht="22.5" customHeight="1">
      <c r="A374" s="912">
        <v>373.0</v>
      </c>
      <c r="B374" s="913" t="b">
        <v>0</v>
      </c>
      <c r="C374" s="935" t="s">
        <v>7378</v>
      </c>
      <c r="D374" s="922"/>
      <c r="E374" s="922">
        <v>7.71144492E9</v>
      </c>
      <c r="F374" s="924" t="s">
        <v>7379</v>
      </c>
      <c r="G374" s="924"/>
      <c r="H374" s="969" t="s">
        <v>7380</v>
      </c>
      <c r="I374" s="975"/>
      <c r="J374" s="975"/>
    </row>
    <row r="375" ht="22.5" customHeight="1">
      <c r="A375" s="912">
        <v>374.0</v>
      </c>
      <c r="B375" s="913" t="b">
        <v>0</v>
      </c>
      <c r="C375" s="935" t="s">
        <v>7381</v>
      </c>
      <c r="D375" s="936" t="s">
        <v>7382</v>
      </c>
      <c r="E375" s="922">
        <v>7.748017202E9</v>
      </c>
      <c r="F375" s="924" t="s">
        <v>7383</v>
      </c>
      <c r="G375" s="924"/>
      <c r="H375" s="969" t="s">
        <v>7380</v>
      </c>
      <c r="I375" s="975"/>
      <c r="J375" s="975"/>
    </row>
    <row r="376" ht="22.5" customHeight="1">
      <c r="A376" s="912">
        <v>375.0</v>
      </c>
      <c r="B376" s="913" t="b">
        <v>0</v>
      </c>
      <c r="C376" s="935" t="s">
        <v>7384</v>
      </c>
      <c r="D376" s="922"/>
      <c r="E376" s="922">
        <v>7.844955444E9</v>
      </c>
      <c r="F376" s="924" t="s">
        <v>7385</v>
      </c>
      <c r="G376" s="924"/>
      <c r="H376" s="969" t="s">
        <v>7386</v>
      </c>
      <c r="I376" s="975"/>
      <c r="J376" s="975"/>
    </row>
    <row r="377" ht="22.5" customHeight="1">
      <c r="A377" s="912">
        <v>376.0</v>
      </c>
      <c r="B377" s="913" t="b">
        <v>0</v>
      </c>
      <c r="C377" s="935" t="s">
        <v>7387</v>
      </c>
      <c r="D377" s="922"/>
      <c r="E377" s="922">
        <v>7.722280077E9</v>
      </c>
      <c r="F377" s="924" t="s">
        <v>7388</v>
      </c>
      <c r="G377" s="924"/>
      <c r="H377" s="969" t="s">
        <v>7389</v>
      </c>
      <c r="I377" s="975"/>
      <c r="J377" s="975"/>
    </row>
    <row r="378" ht="22.5" customHeight="1">
      <c r="A378" s="912">
        <v>377.0</v>
      </c>
      <c r="B378" s="913" t="b">
        <v>0</v>
      </c>
      <c r="C378" s="966" t="s">
        <v>7390</v>
      </c>
      <c r="D378" s="922" t="s">
        <v>7391</v>
      </c>
      <c r="E378" s="922">
        <v>9.19979760248E11</v>
      </c>
      <c r="F378" s="924" t="s">
        <v>7392</v>
      </c>
      <c r="G378" s="924"/>
      <c r="H378" s="924" t="s">
        <v>7393</v>
      </c>
      <c r="I378" s="933"/>
      <c r="J378" s="933"/>
    </row>
    <row r="379" ht="22.5" customHeight="1">
      <c r="A379" s="912">
        <v>378.0</v>
      </c>
      <c r="B379" s="913" t="b">
        <v>0</v>
      </c>
      <c r="C379" s="935" t="s">
        <v>7394</v>
      </c>
      <c r="D379" s="936" t="s">
        <v>7395</v>
      </c>
      <c r="E379" s="922">
        <v>7.740895786E9</v>
      </c>
      <c r="F379" s="924" t="s">
        <v>7396</v>
      </c>
      <c r="G379" s="924"/>
      <c r="H379" s="969" t="s">
        <v>7397</v>
      </c>
      <c r="I379" s="975"/>
      <c r="J379" s="975"/>
    </row>
    <row r="380" ht="22.5" customHeight="1">
      <c r="A380" s="912">
        <v>379.0</v>
      </c>
      <c r="B380" s="913" t="b">
        <v>0</v>
      </c>
      <c r="C380" s="935" t="s">
        <v>7398</v>
      </c>
      <c r="D380" s="922"/>
      <c r="E380" s="922">
        <v>7.733111148E9</v>
      </c>
      <c r="F380" s="924" t="s">
        <v>7399</v>
      </c>
      <c r="G380" s="924"/>
      <c r="H380" s="969" t="s">
        <v>7380</v>
      </c>
      <c r="I380" s="975"/>
      <c r="J380" s="975"/>
    </row>
    <row r="381" ht="22.5" customHeight="1">
      <c r="A381" s="912">
        <v>380.0</v>
      </c>
      <c r="B381" s="913" t="b">
        <v>0</v>
      </c>
      <c r="C381" s="935" t="s">
        <v>7400</v>
      </c>
      <c r="D381" s="922"/>
      <c r="E381" s="922">
        <v>7.801128749E9</v>
      </c>
      <c r="F381" s="924" t="s">
        <v>7401</v>
      </c>
      <c r="G381" s="924"/>
      <c r="H381" s="969" t="s">
        <v>7402</v>
      </c>
      <c r="I381" s="975"/>
      <c r="J381" s="975"/>
    </row>
    <row r="382" ht="22.5" customHeight="1">
      <c r="A382" s="912">
        <v>381.0</v>
      </c>
      <c r="B382" s="913" t="b">
        <v>0</v>
      </c>
      <c r="C382" s="988" t="s">
        <v>7403</v>
      </c>
      <c r="D382" s="922" t="s">
        <v>7404</v>
      </c>
      <c r="E382" s="922">
        <v>7.749000006E9</v>
      </c>
      <c r="F382" s="924" t="s">
        <v>7405</v>
      </c>
      <c r="G382" s="924"/>
      <c r="H382" s="924" t="s">
        <v>7406</v>
      </c>
      <c r="I382" s="933"/>
      <c r="J382" s="933"/>
    </row>
    <row r="383" ht="22.5" customHeight="1">
      <c r="A383" s="912">
        <v>382.0</v>
      </c>
      <c r="B383" s="913" t="b">
        <v>0</v>
      </c>
      <c r="C383" s="966" t="s">
        <v>7407</v>
      </c>
      <c r="D383" s="922" t="s">
        <v>7408</v>
      </c>
      <c r="E383" s="922">
        <v>9.112762233E11</v>
      </c>
      <c r="F383" s="924" t="s">
        <v>7409</v>
      </c>
      <c r="G383" s="924"/>
      <c r="H383" s="924" t="s">
        <v>7393</v>
      </c>
      <c r="I383" s="933"/>
      <c r="J383" s="933"/>
    </row>
    <row r="384" ht="22.5" customHeight="1">
      <c r="A384" s="912">
        <v>383.0</v>
      </c>
      <c r="B384" s="913" t="b">
        <v>0</v>
      </c>
      <c r="C384" s="935" t="s">
        <v>7410</v>
      </c>
      <c r="D384" s="922"/>
      <c r="E384" s="922">
        <v>7.504347405E10</v>
      </c>
      <c r="F384" s="924"/>
      <c r="G384" s="924"/>
      <c r="H384" s="969" t="s">
        <v>7009</v>
      </c>
      <c r="I384" s="975"/>
      <c r="J384" s="975"/>
    </row>
    <row r="385" ht="22.5" customHeight="1">
      <c r="A385" s="912">
        <v>384.0</v>
      </c>
      <c r="B385" s="913" t="b">
        <v>0</v>
      </c>
      <c r="C385" s="995" t="s">
        <v>7411</v>
      </c>
      <c r="D385" s="922"/>
      <c r="E385" s="996">
        <v>7.7115005E9</v>
      </c>
      <c r="F385" s="997" t="s">
        <v>7412</v>
      </c>
      <c r="G385" s="924"/>
      <c r="H385" s="969" t="s">
        <v>7413</v>
      </c>
      <c r="I385" s="975"/>
      <c r="J385" s="975"/>
    </row>
    <row r="386" ht="22.5" customHeight="1">
      <c r="A386" s="912">
        <v>385.0</v>
      </c>
      <c r="B386" s="913" t="b">
        <v>0</v>
      </c>
      <c r="C386" s="966" t="s">
        <v>7414</v>
      </c>
      <c r="D386" s="998" t="s">
        <v>927</v>
      </c>
      <c r="E386" s="922">
        <v>7.504857626E9</v>
      </c>
      <c r="F386" s="924" t="s">
        <v>7415</v>
      </c>
      <c r="G386" s="924"/>
      <c r="H386" s="969" t="s">
        <v>7281</v>
      </c>
      <c r="I386" s="975"/>
      <c r="J386" s="975"/>
    </row>
    <row r="387" ht="22.5" customHeight="1">
      <c r="A387" s="912">
        <v>386.0</v>
      </c>
      <c r="B387" s="913" t="b">
        <v>0</v>
      </c>
      <c r="C387" s="935" t="s">
        <v>7416</v>
      </c>
      <c r="D387" s="936" t="s">
        <v>7417</v>
      </c>
      <c r="E387" s="922">
        <v>7.504561723E9</v>
      </c>
      <c r="F387" s="924"/>
      <c r="G387" s="924"/>
      <c r="H387" s="969" t="s">
        <v>6954</v>
      </c>
      <c r="I387" s="975"/>
      <c r="J387" s="975"/>
    </row>
    <row r="388" ht="22.5" customHeight="1">
      <c r="A388" s="912">
        <v>387.0</v>
      </c>
      <c r="B388" s="913" t="b">
        <v>0</v>
      </c>
      <c r="C388" s="966" t="s">
        <v>7418</v>
      </c>
      <c r="D388" s="936" t="s">
        <v>7419</v>
      </c>
      <c r="E388" s="922">
        <v>7.504484369E9</v>
      </c>
      <c r="F388" s="924" t="s">
        <v>7420</v>
      </c>
      <c r="G388" s="924"/>
      <c r="H388" s="969" t="s">
        <v>6954</v>
      </c>
      <c r="I388" s="975"/>
      <c r="J388" s="975"/>
    </row>
    <row r="389" ht="22.5" customHeight="1">
      <c r="A389" s="912">
        <v>388.0</v>
      </c>
      <c r="B389" s="913" t="b">
        <v>0</v>
      </c>
      <c r="C389" s="966" t="s">
        <v>7421</v>
      </c>
      <c r="D389" s="922"/>
      <c r="E389" s="922">
        <v>9.89120122362E11</v>
      </c>
      <c r="F389" s="924" t="s">
        <v>7422</v>
      </c>
      <c r="G389" s="924"/>
      <c r="H389" s="924" t="s">
        <v>7423</v>
      </c>
      <c r="I389" s="933"/>
      <c r="J389" s="933"/>
    </row>
    <row r="390" ht="22.5" customHeight="1">
      <c r="A390" s="912">
        <v>389.0</v>
      </c>
      <c r="B390" s="913" t="b">
        <v>0</v>
      </c>
      <c r="C390" s="935" t="s">
        <v>7424</v>
      </c>
      <c r="D390" s="922"/>
      <c r="E390" s="922">
        <v>7.504662282E9</v>
      </c>
      <c r="F390" s="924"/>
      <c r="G390" s="924"/>
      <c r="H390" s="969" t="s">
        <v>6951</v>
      </c>
      <c r="I390" s="975"/>
      <c r="J390" s="975"/>
    </row>
    <row r="391" ht="22.5" customHeight="1">
      <c r="A391" s="912">
        <v>390.0</v>
      </c>
      <c r="B391" s="913" t="b">
        <v>0</v>
      </c>
      <c r="C391" s="932" t="s">
        <v>7425</v>
      </c>
      <c r="D391" s="922"/>
      <c r="E391" s="999" t="s">
        <v>7426</v>
      </c>
      <c r="F391" s="932" t="s">
        <v>7427</v>
      </c>
      <c r="G391" s="924"/>
      <c r="H391" s="969" t="s">
        <v>7428</v>
      </c>
      <c r="I391" s="975"/>
      <c r="J391" s="975"/>
    </row>
    <row r="392" ht="22.5" customHeight="1">
      <c r="A392" s="912">
        <v>391.0</v>
      </c>
      <c r="B392" s="913" t="b">
        <v>0</v>
      </c>
      <c r="C392" s="966" t="s">
        <v>7429</v>
      </c>
      <c r="D392" s="922" t="s">
        <v>7430</v>
      </c>
      <c r="E392" s="922">
        <v>7.504938939E9</v>
      </c>
      <c r="F392" s="924" t="s">
        <v>7431</v>
      </c>
      <c r="G392" s="924"/>
      <c r="H392" s="924"/>
      <c r="I392" s="933"/>
      <c r="J392" s="933"/>
    </row>
    <row r="393" ht="22.5" customHeight="1">
      <c r="A393" s="912">
        <v>392.0</v>
      </c>
      <c r="B393" s="913" t="b">
        <v>0</v>
      </c>
      <c r="C393" s="935" t="s">
        <v>7432</v>
      </c>
      <c r="D393" s="936" t="s">
        <v>7433</v>
      </c>
      <c r="E393" s="922">
        <v>7.50819644E9</v>
      </c>
      <c r="F393" s="924"/>
      <c r="G393" s="924"/>
      <c r="H393" s="924"/>
      <c r="I393" s="933"/>
      <c r="J393" s="933"/>
    </row>
    <row r="394" ht="22.5" customHeight="1">
      <c r="A394" s="912">
        <v>393.0</v>
      </c>
      <c r="B394" s="913" t="b">
        <v>0</v>
      </c>
      <c r="C394" s="935" t="s">
        <v>7434</v>
      </c>
      <c r="D394" s="922"/>
      <c r="E394" s="922">
        <v>7.727779111E9</v>
      </c>
      <c r="F394" s="924"/>
      <c r="G394" s="924"/>
      <c r="H394" s="969" t="s">
        <v>7435</v>
      </c>
      <c r="I394" s="975"/>
      <c r="J394" s="975"/>
    </row>
    <row r="395" ht="22.5" customHeight="1">
      <c r="A395" s="912">
        <v>394.0</v>
      </c>
      <c r="B395" s="913" t="b">
        <v>0</v>
      </c>
      <c r="C395" s="966" t="s">
        <v>7436</v>
      </c>
      <c r="D395" s="922"/>
      <c r="E395" s="922">
        <v>7.501344414E9</v>
      </c>
      <c r="F395" s="924"/>
      <c r="G395" s="924"/>
      <c r="H395" s="924"/>
      <c r="I395" s="933"/>
      <c r="J395" s="933"/>
    </row>
    <row r="396" ht="22.5" customHeight="1">
      <c r="A396" s="912">
        <v>395.0</v>
      </c>
      <c r="B396" s="913" t="b">
        <v>0</v>
      </c>
      <c r="C396" s="1000" t="s">
        <v>7437</v>
      </c>
      <c r="D396" s="936" t="s">
        <v>7438</v>
      </c>
      <c r="E396" s="922">
        <v>9.8910888377E11</v>
      </c>
      <c r="F396" s="924"/>
      <c r="G396" s="924"/>
      <c r="H396" s="924" t="s">
        <v>7423</v>
      </c>
      <c r="I396" s="933"/>
      <c r="J396" s="933"/>
    </row>
    <row r="397" ht="22.5" customHeight="1">
      <c r="A397" s="912">
        <v>396.0</v>
      </c>
      <c r="B397" s="913" t="b">
        <v>0</v>
      </c>
      <c r="C397" s="935" t="s">
        <v>7439</v>
      </c>
      <c r="D397" s="922"/>
      <c r="E397" s="922">
        <v>7.504223302E9</v>
      </c>
      <c r="F397" s="924" t="s">
        <v>7440</v>
      </c>
      <c r="G397" s="924"/>
      <c r="H397" s="969" t="s">
        <v>7366</v>
      </c>
      <c r="I397" s="975"/>
      <c r="J397" s="975"/>
    </row>
    <row r="398" ht="22.5" customHeight="1">
      <c r="A398" s="912">
        <v>397.0</v>
      </c>
      <c r="B398" s="913" t="b">
        <v>0</v>
      </c>
      <c r="C398" s="966" t="s">
        <v>7441</v>
      </c>
      <c r="D398" s="922"/>
      <c r="E398" s="922">
        <v>9.82128424378E11</v>
      </c>
      <c r="F398" s="924" t="s">
        <v>7442</v>
      </c>
      <c r="G398" s="924"/>
      <c r="H398" s="1001" t="s">
        <v>7443</v>
      </c>
      <c r="I398" s="1001"/>
      <c r="J398" s="1001"/>
    </row>
    <row r="399" ht="22.5" customHeight="1">
      <c r="A399" s="912">
        <v>398.0</v>
      </c>
      <c r="B399" s="913" t="b">
        <v>0</v>
      </c>
      <c r="C399" s="966" t="s">
        <v>7444</v>
      </c>
      <c r="D399" s="922" t="s">
        <v>7445</v>
      </c>
      <c r="E399" s="922">
        <v>7.50109393E9</v>
      </c>
      <c r="F399" s="924" t="s">
        <v>7446</v>
      </c>
      <c r="G399" s="924"/>
      <c r="H399" s="969" t="s">
        <v>7447</v>
      </c>
      <c r="I399" s="975"/>
      <c r="J399" s="975"/>
    </row>
    <row r="400" ht="22.5" customHeight="1">
      <c r="A400" s="912">
        <v>399.0</v>
      </c>
      <c r="B400" s="913" t="b">
        <v>0</v>
      </c>
      <c r="C400" s="966" t="s">
        <v>7448</v>
      </c>
      <c r="D400" s="922" t="s">
        <v>7449</v>
      </c>
      <c r="E400" s="922">
        <v>7.701544414E9</v>
      </c>
      <c r="F400" s="924" t="s">
        <v>7450</v>
      </c>
      <c r="G400" s="924"/>
      <c r="H400" s="924" t="s">
        <v>7451</v>
      </c>
      <c r="I400" s="933"/>
      <c r="J400" s="933"/>
    </row>
    <row r="401" ht="22.5" customHeight="1">
      <c r="A401" s="912">
        <v>400.0</v>
      </c>
      <c r="B401" s="913" t="b">
        <v>0</v>
      </c>
      <c r="C401" s="966" t="s">
        <v>7452</v>
      </c>
      <c r="D401" s="1002"/>
      <c r="E401" s="922">
        <v>7.511087631E9</v>
      </c>
      <c r="F401" s="924"/>
      <c r="G401" s="924"/>
      <c r="H401" s="969" t="s">
        <v>6985</v>
      </c>
      <c r="I401" s="975"/>
      <c r="J401" s="975"/>
    </row>
    <row r="402" ht="22.5" customHeight="1">
      <c r="A402" s="912">
        <v>401.0</v>
      </c>
      <c r="B402" s="913" t="b">
        <v>0</v>
      </c>
      <c r="C402" s="935" t="s">
        <v>7453</v>
      </c>
      <c r="D402" s="922"/>
      <c r="E402" s="922">
        <v>7.504539091E9</v>
      </c>
      <c r="F402" s="924"/>
      <c r="G402" s="924"/>
      <c r="H402" s="969" t="s">
        <v>7454</v>
      </c>
      <c r="I402" s="975"/>
      <c r="J402" s="975"/>
    </row>
    <row r="403" ht="22.5" customHeight="1">
      <c r="A403" s="912">
        <v>402.0</v>
      </c>
      <c r="B403" s="913" t="b">
        <v>0</v>
      </c>
      <c r="C403" s="966" t="s">
        <v>7455</v>
      </c>
      <c r="D403" s="936" t="s">
        <v>7456</v>
      </c>
      <c r="E403" s="922">
        <v>7.835778377E9</v>
      </c>
      <c r="F403" s="924" t="s">
        <v>7457</v>
      </c>
      <c r="G403" s="924"/>
      <c r="H403" s="969" t="s">
        <v>7458</v>
      </c>
      <c r="I403" s="975"/>
      <c r="J403" s="975"/>
    </row>
    <row r="404" ht="22.5" customHeight="1">
      <c r="A404" s="912">
        <v>403.0</v>
      </c>
      <c r="B404" s="913" t="b">
        <v>0</v>
      </c>
      <c r="C404" s="935" t="s">
        <v>7459</v>
      </c>
      <c r="D404" s="936" t="s">
        <v>7460</v>
      </c>
      <c r="E404" s="922">
        <v>7.504465143E9</v>
      </c>
      <c r="F404" s="924" t="s">
        <v>7461</v>
      </c>
      <c r="G404" s="924"/>
      <c r="H404" s="924"/>
      <c r="I404" s="933"/>
      <c r="J404" s="933"/>
    </row>
    <row r="405" ht="22.5" customHeight="1">
      <c r="A405" s="912">
        <v>404.0</v>
      </c>
      <c r="B405" s="913" t="b">
        <v>0</v>
      </c>
      <c r="C405" s="966" t="s">
        <v>7462</v>
      </c>
      <c r="D405" s="1002"/>
      <c r="E405" s="922">
        <v>7.701503438E9</v>
      </c>
      <c r="F405" s="924" t="s">
        <v>7463</v>
      </c>
      <c r="G405" s="924"/>
      <c r="H405" s="924" t="s">
        <v>7451</v>
      </c>
      <c r="I405" s="933"/>
      <c r="J405" s="933"/>
    </row>
    <row r="406" ht="22.5" customHeight="1">
      <c r="A406" s="912">
        <v>405.0</v>
      </c>
      <c r="B406" s="913" t="b">
        <v>0</v>
      </c>
      <c r="C406" s="966" t="s">
        <v>7464</v>
      </c>
      <c r="D406" s="922"/>
      <c r="E406" s="922">
        <v>7.5077781E9</v>
      </c>
      <c r="F406" s="924" t="s">
        <v>7465</v>
      </c>
      <c r="G406" s="924"/>
      <c r="H406" s="969" t="s">
        <v>6954</v>
      </c>
      <c r="I406" s="975"/>
      <c r="J406" s="975"/>
    </row>
    <row r="407" ht="22.5" customHeight="1">
      <c r="A407" s="912">
        <v>406.0</v>
      </c>
      <c r="B407" s="913" t="b">
        <v>0</v>
      </c>
      <c r="C407" s="966" t="s">
        <v>7466</v>
      </c>
      <c r="D407" s="922" t="s">
        <v>7467</v>
      </c>
      <c r="E407" s="922">
        <v>7.502002007E9</v>
      </c>
      <c r="F407" s="924" t="s">
        <v>7468</v>
      </c>
      <c r="G407" s="924"/>
      <c r="H407" s="969" t="s">
        <v>7469</v>
      </c>
      <c r="I407" s="975"/>
      <c r="J407" s="975"/>
    </row>
    <row r="408" ht="22.5" customHeight="1">
      <c r="A408" s="912">
        <v>407.0</v>
      </c>
      <c r="B408" s="913" t="b">
        <v>0</v>
      </c>
      <c r="C408" s="966" t="s">
        <v>7470</v>
      </c>
      <c r="D408" s="922" t="s">
        <v>7471</v>
      </c>
      <c r="E408" s="922">
        <v>7.501339005E9</v>
      </c>
      <c r="F408" s="924" t="s">
        <v>7472</v>
      </c>
      <c r="G408" s="924"/>
      <c r="H408" s="1001" t="s">
        <v>7451</v>
      </c>
      <c r="I408" s="1001"/>
      <c r="J408" s="1001"/>
    </row>
    <row r="409" ht="22.5" customHeight="1">
      <c r="A409" s="912">
        <v>408.0</v>
      </c>
      <c r="B409" s="913" t="b">
        <v>0</v>
      </c>
      <c r="C409" s="966" t="s">
        <v>7473</v>
      </c>
      <c r="D409" s="922" t="s">
        <v>7474</v>
      </c>
      <c r="E409" s="922">
        <v>7.504155654E9</v>
      </c>
      <c r="F409" s="924" t="s">
        <v>7475</v>
      </c>
      <c r="G409" s="924"/>
      <c r="H409" s="969" t="s">
        <v>7476</v>
      </c>
      <c r="I409" s="975"/>
      <c r="J409" s="975"/>
    </row>
    <row r="410" ht="22.5" customHeight="1">
      <c r="A410" s="912">
        <v>409.0</v>
      </c>
      <c r="B410" s="913" t="b">
        <v>0</v>
      </c>
      <c r="C410" s="1003" t="s">
        <v>7477</v>
      </c>
      <c r="D410" s="922"/>
      <c r="E410" s="1004">
        <v>7.800780682E9</v>
      </c>
      <c r="F410" s="1003" t="s">
        <v>7478</v>
      </c>
      <c r="G410" s="924"/>
      <c r="H410" s="924"/>
      <c r="I410" s="933"/>
      <c r="J410" s="933"/>
    </row>
    <row r="411" ht="22.5" customHeight="1">
      <c r="A411" s="912">
        <v>410.0</v>
      </c>
      <c r="B411" s="913" t="b">
        <v>0</v>
      </c>
      <c r="C411" s="1001" t="s">
        <v>7479</v>
      </c>
      <c r="D411" s="922"/>
      <c r="E411" s="1004">
        <v>7.507529935E9</v>
      </c>
      <c r="F411" s="1001" t="s">
        <v>7480</v>
      </c>
      <c r="G411" s="924"/>
      <c r="H411" s="924"/>
      <c r="I411" s="933"/>
      <c r="J411" s="933"/>
    </row>
    <row r="412" ht="22.5" customHeight="1">
      <c r="A412" s="912">
        <v>411.0</v>
      </c>
      <c r="B412" s="913" t="b">
        <v>0</v>
      </c>
      <c r="C412" s="966" t="s">
        <v>7481</v>
      </c>
      <c r="D412" s="922"/>
      <c r="E412" s="922">
        <v>9.89121855627E11</v>
      </c>
      <c r="F412" s="924" t="s">
        <v>7482</v>
      </c>
      <c r="G412" s="924"/>
      <c r="H412" s="924"/>
      <c r="I412" s="933"/>
      <c r="J412" s="933"/>
    </row>
    <row r="413" ht="22.5" customHeight="1">
      <c r="A413" s="912">
        <v>412.0</v>
      </c>
      <c r="B413" s="913" t="b">
        <v>0</v>
      </c>
      <c r="C413" s="966" t="s">
        <v>7483</v>
      </c>
      <c r="D413" s="922" t="s">
        <v>7484</v>
      </c>
      <c r="E413" s="922">
        <v>7.504544392E9</v>
      </c>
      <c r="F413" s="924"/>
      <c r="G413" s="924"/>
      <c r="H413" s="924"/>
      <c r="I413" s="933"/>
      <c r="J413" s="933"/>
    </row>
    <row r="414" ht="22.5" customHeight="1">
      <c r="A414" s="912">
        <v>413.0</v>
      </c>
      <c r="B414" s="913" t="b">
        <v>0</v>
      </c>
      <c r="C414" s="935" t="s">
        <v>7485</v>
      </c>
      <c r="D414" s="922"/>
      <c r="E414" s="922">
        <v>7.7078008E9</v>
      </c>
      <c r="F414" s="924" t="s">
        <v>7486</v>
      </c>
      <c r="G414" s="924"/>
      <c r="H414" s="924" t="s">
        <v>7451</v>
      </c>
      <c r="I414" s="933"/>
      <c r="J414" s="933"/>
    </row>
    <row r="415" ht="22.5" customHeight="1">
      <c r="A415" s="912">
        <v>414.0</v>
      </c>
      <c r="B415" s="913" t="b">
        <v>0</v>
      </c>
      <c r="C415" s="966" t="s">
        <v>7487</v>
      </c>
      <c r="D415" s="922" t="s">
        <v>745</v>
      </c>
      <c r="E415" s="999" t="s">
        <v>7488</v>
      </c>
      <c r="F415" s="932" t="s">
        <v>7489</v>
      </c>
      <c r="G415" s="924"/>
      <c r="H415" s="924" t="s">
        <v>7490</v>
      </c>
      <c r="I415" s="933"/>
      <c r="J415" s="933"/>
    </row>
    <row r="416" ht="22.5" customHeight="1">
      <c r="A416" s="912">
        <v>415.0</v>
      </c>
      <c r="B416" s="913" t="b">
        <v>0</v>
      </c>
      <c r="C416" s="966" t="s">
        <v>7491</v>
      </c>
      <c r="D416" s="1005" t="s">
        <v>7492</v>
      </c>
      <c r="E416" s="922">
        <v>7.500778E9</v>
      </c>
      <c r="F416" s="924" t="s">
        <v>7493</v>
      </c>
      <c r="G416" s="924"/>
      <c r="H416" s="924"/>
      <c r="I416" s="933"/>
      <c r="J416" s="933"/>
    </row>
    <row r="417" ht="22.5" customHeight="1">
      <c r="A417" s="912">
        <v>416.0</v>
      </c>
      <c r="B417" s="913" t="b">
        <v>0</v>
      </c>
      <c r="C417" s="966" t="s">
        <v>7494</v>
      </c>
      <c r="D417" s="922" t="s">
        <v>7495</v>
      </c>
      <c r="E417" s="922">
        <v>5.337280283E9</v>
      </c>
      <c r="F417" s="924" t="s">
        <v>7496</v>
      </c>
      <c r="G417" s="924"/>
      <c r="H417" s="924"/>
      <c r="I417" s="933"/>
      <c r="J417" s="933"/>
    </row>
    <row r="418" ht="22.5" customHeight="1">
      <c r="A418" s="912">
        <v>417.0</v>
      </c>
      <c r="B418" s="913" t="b">
        <v>0</v>
      </c>
      <c r="C418" s="966" t="s">
        <v>7497</v>
      </c>
      <c r="D418" s="922" t="s">
        <v>7498</v>
      </c>
      <c r="E418" s="922">
        <v>7.705353777E9</v>
      </c>
      <c r="F418" s="924" t="s">
        <v>7499</v>
      </c>
      <c r="G418" s="924"/>
      <c r="H418" s="924" t="s">
        <v>7500</v>
      </c>
      <c r="I418" s="933"/>
      <c r="J418" s="933"/>
    </row>
    <row r="419" ht="22.5" customHeight="1">
      <c r="A419" s="912">
        <v>418.0</v>
      </c>
      <c r="B419" s="913" t="b">
        <v>0</v>
      </c>
      <c r="C419" s="966" t="s">
        <v>7501</v>
      </c>
      <c r="D419" s="922" t="s">
        <v>603</v>
      </c>
      <c r="E419" s="922">
        <v>2.164346114E9</v>
      </c>
      <c r="F419" s="1006" t="s">
        <v>7502</v>
      </c>
      <c r="G419" s="924"/>
      <c r="H419" s="924"/>
      <c r="I419" s="933"/>
      <c r="J419" s="933"/>
    </row>
    <row r="420" ht="22.5" customHeight="1">
      <c r="A420" s="912">
        <v>419.0</v>
      </c>
      <c r="B420" s="913" t="b">
        <v>0</v>
      </c>
      <c r="C420" s="935" t="s">
        <v>7503</v>
      </c>
      <c r="D420" s="922"/>
      <c r="E420" s="922">
        <v>7.504465389E9</v>
      </c>
      <c r="F420" s="924" t="s">
        <v>7504</v>
      </c>
      <c r="G420" s="924"/>
      <c r="H420" s="924" t="s">
        <v>1400</v>
      </c>
      <c r="I420" s="933"/>
      <c r="J420" s="933"/>
    </row>
    <row r="421" ht="22.5" customHeight="1">
      <c r="A421" s="912">
        <v>420.0</v>
      </c>
      <c r="B421" s="913" t="b">
        <v>0</v>
      </c>
      <c r="C421" s="966" t="s">
        <v>7505</v>
      </c>
      <c r="D421" s="922"/>
      <c r="E421" s="922">
        <v>6.625692E8</v>
      </c>
      <c r="F421" s="924" t="s">
        <v>7506</v>
      </c>
      <c r="G421" s="924"/>
      <c r="H421" s="924" t="s">
        <v>676</v>
      </c>
      <c r="I421" s="933"/>
      <c r="J421" s="933"/>
    </row>
    <row r="422" ht="22.5" customHeight="1">
      <c r="A422" s="912">
        <v>421.0</v>
      </c>
      <c r="B422" s="913" t="b">
        <v>0</v>
      </c>
      <c r="C422" s="966" t="s">
        <v>7507</v>
      </c>
      <c r="D422" s="922" t="s">
        <v>760</v>
      </c>
      <c r="E422" s="922">
        <v>7.502749999E9</v>
      </c>
      <c r="F422" s="924"/>
      <c r="G422" s="924"/>
      <c r="H422" s="924" t="s">
        <v>7508</v>
      </c>
      <c r="I422" s="933"/>
      <c r="J422" s="933"/>
    </row>
    <row r="423" ht="22.5" customHeight="1">
      <c r="A423" s="912">
        <v>422.0</v>
      </c>
      <c r="B423" s="913" t="b">
        <v>0</v>
      </c>
      <c r="C423" s="966" t="s">
        <v>7509</v>
      </c>
      <c r="D423" s="922" t="s">
        <v>7510</v>
      </c>
      <c r="E423" s="922">
        <v>7.512354618E9</v>
      </c>
      <c r="F423" s="924" t="s">
        <v>7511</v>
      </c>
      <c r="G423" s="924"/>
      <c r="H423" s="969" t="s">
        <v>7186</v>
      </c>
      <c r="I423" s="975"/>
      <c r="J423" s="975"/>
    </row>
    <row r="424" ht="22.5" customHeight="1">
      <c r="A424" s="912">
        <v>423.0</v>
      </c>
      <c r="B424" s="913" t="b">
        <v>0</v>
      </c>
      <c r="C424" s="966" t="s">
        <v>7512</v>
      </c>
      <c r="D424" s="922" t="s">
        <v>760</v>
      </c>
      <c r="E424" s="922">
        <v>9.89123706494E11</v>
      </c>
      <c r="F424" s="924" t="s">
        <v>7513</v>
      </c>
      <c r="G424" s="924"/>
      <c r="H424" s="924" t="s">
        <v>7423</v>
      </c>
      <c r="I424" s="933"/>
      <c r="J424" s="933"/>
    </row>
    <row r="425" ht="22.5" customHeight="1">
      <c r="A425" s="912">
        <v>424.0</v>
      </c>
      <c r="B425" s="913" t="b">
        <v>0</v>
      </c>
      <c r="C425" s="966" t="s">
        <v>7514</v>
      </c>
      <c r="D425" s="922" t="s">
        <v>7515</v>
      </c>
      <c r="E425" s="922">
        <v>7.506565426E9</v>
      </c>
      <c r="F425" s="924" t="s">
        <v>7516</v>
      </c>
      <c r="G425" s="924"/>
      <c r="H425" s="969" t="s">
        <v>6985</v>
      </c>
      <c r="I425" s="975"/>
      <c r="J425" s="975"/>
    </row>
    <row r="426" ht="22.5" customHeight="1">
      <c r="A426" s="912">
        <v>425.0</v>
      </c>
      <c r="B426" s="913" t="b">
        <v>0</v>
      </c>
      <c r="C426" s="966" t="s">
        <v>7517</v>
      </c>
      <c r="D426" s="922"/>
      <c r="E426" s="922">
        <v>7.504489353E9</v>
      </c>
      <c r="F426" s="924"/>
      <c r="G426" s="924"/>
      <c r="H426" s="969" t="s">
        <v>7518</v>
      </c>
      <c r="I426" s="975"/>
      <c r="J426" s="975"/>
    </row>
    <row r="427" ht="22.5" customHeight="1">
      <c r="A427" s="912">
        <v>426.0</v>
      </c>
      <c r="B427" s="913" t="b">
        <v>0</v>
      </c>
      <c r="C427" s="966" t="s">
        <v>7519</v>
      </c>
      <c r="D427" s="922"/>
      <c r="E427" s="922" t="s">
        <v>7520</v>
      </c>
      <c r="F427" s="924"/>
      <c r="G427" s="924"/>
      <c r="H427" s="924"/>
      <c r="I427" s="933"/>
      <c r="J427" s="933"/>
    </row>
    <row r="428" ht="22.5" customHeight="1">
      <c r="A428" s="912">
        <v>427.0</v>
      </c>
      <c r="B428" s="913" t="b">
        <v>0</v>
      </c>
      <c r="C428" s="966" t="s">
        <v>7521</v>
      </c>
      <c r="D428" s="922"/>
      <c r="E428" s="1005">
        <v>7.514407777E9</v>
      </c>
      <c r="F428" s="924"/>
      <c r="G428" s="924"/>
      <c r="H428" s="969" t="s">
        <v>6938</v>
      </c>
      <c r="I428" s="975"/>
      <c r="J428" s="975"/>
    </row>
    <row r="429" ht="22.5" customHeight="1">
      <c r="A429" s="912">
        <v>428.0</v>
      </c>
      <c r="B429" s="913" t="b">
        <v>0</v>
      </c>
      <c r="C429" s="966" t="s">
        <v>7522</v>
      </c>
      <c r="D429" s="922" t="s">
        <v>7523</v>
      </c>
      <c r="E429" s="922">
        <v>7.502831E9</v>
      </c>
      <c r="F429" s="924" t="s">
        <v>7524</v>
      </c>
      <c r="G429" s="924"/>
      <c r="H429" s="969" t="s">
        <v>7525</v>
      </c>
      <c r="I429" s="975"/>
      <c r="J429" s="975"/>
    </row>
    <row r="430" ht="22.5" customHeight="1">
      <c r="A430" s="912">
        <v>429.0</v>
      </c>
      <c r="B430" s="913" t="b">
        <v>0</v>
      </c>
      <c r="C430" s="966" t="s">
        <v>7526</v>
      </c>
      <c r="D430" s="922" t="s">
        <v>7527</v>
      </c>
      <c r="E430" s="922">
        <v>7.510601065E9</v>
      </c>
      <c r="F430" s="924" t="s">
        <v>7528</v>
      </c>
      <c r="G430" s="924"/>
      <c r="H430" s="969" t="s">
        <v>7009</v>
      </c>
      <c r="I430" s="975"/>
      <c r="J430" s="975"/>
    </row>
    <row r="431" ht="22.5" customHeight="1">
      <c r="A431" s="912">
        <v>430.0</v>
      </c>
      <c r="B431" s="913" t="b">
        <v>0</v>
      </c>
      <c r="C431" s="966" t="s">
        <v>7529</v>
      </c>
      <c r="D431" s="922" t="s">
        <v>7530</v>
      </c>
      <c r="E431" s="922">
        <v>7.504440203E9</v>
      </c>
      <c r="F431" s="924" t="s">
        <v>7531</v>
      </c>
      <c r="G431" s="924"/>
      <c r="H431" s="969" t="s">
        <v>7070</v>
      </c>
      <c r="I431" s="975"/>
      <c r="J431" s="975"/>
    </row>
    <row r="432" ht="22.5" customHeight="1">
      <c r="A432" s="912">
        <v>431.0</v>
      </c>
      <c r="B432" s="913" t="b">
        <v>0</v>
      </c>
      <c r="C432" s="966" t="s">
        <v>7532</v>
      </c>
      <c r="D432" s="922" t="s">
        <v>7498</v>
      </c>
      <c r="E432" s="922">
        <v>7.700027766E9</v>
      </c>
      <c r="F432" s="924" t="s">
        <v>7533</v>
      </c>
      <c r="G432" s="924"/>
      <c r="H432" s="924" t="s">
        <v>684</v>
      </c>
      <c r="I432" s="933"/>
      <c r="J432" s="933"/>
    </row>
    <row r="433" ht="22.5" customHeight="1">
      <c r="A433" s="912">
        <v>432.0</v>
      </c>
      <c r="B433" s="913" t="b">
        <v>0</v>
      </c>
      <c r="C433" s="966" t="s">
        <v>7534</v>
      </c>
      <c r="D433" s="922"/>
      <c r="E433" s="922">
        <v>7.504608822E9</v>
      </c>
      <c r="F433" s="924" t="s">
        <v>7535</v>
      </c>
      <c r="G433" s="924"/>
      <c r="H433" s="969" t="s">
        <v>7536</v>
      </c>
      <c r="I433" s="975"/>
      <c r="J433" s="975"/>
    </row>
    <row r="434" ht="22.5" customHeight="1">
      <c r="A434" s="912">
        <v>433.0</v>
      </c>
      <c r="B434" s="913" t="b">
        <v>0</v>
      </c>
      <c r="C434" s="966" t="s">
        <v>7537</v>
      </c>
      <c r="D434" s="936" t="s">
        <v>7538</v>
      </c>
      <c r="E434" s="922">
        <v>3.06952290092E11</v>
      </c>
      <c r="F434" s="924" t="s">
        <v>7539</v>
      </c>
      <c r="G434" s="924"/>
      <c r="H434" s="969" t="s">
        <v>7540</v>
      </c>
      <c r="I434" s="975"/>
      <c r="J434" s="975"/>
    </row>
    <row r="435" ht="22.5" customHeight="1">
      <c r="A435" s="912">
        <v>434.0</v>
      </c>
      <c r="B435" s="913" t="b">
        <v>0</v>
      </c>
      <c r="C435" s="966" t="s">
        <v>7541</v>
      </c>
      <c r="D435" s="922"/>
      <c r="E435" s="922">
        <v>7.700027273E9</v>
      </c>
      <c r="F435" s="924" t="s">
        <v>7542</v>
      </c>
      <c r="G435" s="924"/>
      <c r="H435" s="969" t="s">
        <v>7543</v>
      </c>
      <c r="I435" s="975"/>
      <c r="J435" s="975"/>
    </row>
    <row r="436" ht="22.5" customHeight="1">
      <c r="A436" s="912">
        <v>435.0</v>
      </c>
      <c r="B436" s="913" t="b">
        <v>0</v>
      </c>
      <c r="C436" s="966" t="s">
        <v>7544</v>
      </c>
      <c r="D436" s="922"/>
      <c r="E436" s="922">
        <v>7.506728685E9</v>
      </c>
      <c r="F436" s="924" t="s">
        <v>7545</v>
      </c>
      <c r="G436" s="924"/>
      <c r="H436" s="969" t="s">
        <v>7546</v>
      </c>
      <c r="I436" s="975"/>
      <c r="J436" s="975"/>
    </row>
    <row r="437" ht="22.5" customHeight="1">
      <c r="A437" s="912">
        <v>436.0</v>
      </c>
      <c r="B437" s="913" t="b">
        <v>0</v>
      </c>
      <c r="C437" s="983" t="s">
        <v>7547</v>
      </c>
      <c r="D437" s="922" t="s">
        <v>7548</v>
      </c>
      <c r="E437" s="922">
        <v>7.504886968E9</v>
      </c>
      <c r="F437" s="924" t="s">
        <v>7549</v>
      </c>
      <c r="G437" s="924"/>
      <c r="H437" s="924"/>
      <c r="I437" s="933"/>
      <c r="J437" s="933"/>
    </row>
    <row r="438" ht="22.5" customHeight="1">
      <c r="A438" s="912">
        <v>437.0</v>
      </c>
      <c r="B438" s="913" t="b">
        <v>0</v>
      </c>
      <c r="C438" s="1007" t="s">
        <v>195</v>
      </c>
      <c r="D438" s="922" t="s">
        <v>7550</v>
      </c>
      <c r="E438" s="922">
        <v>7.512856444E9</v>
      </c>
      <c r="F438" s="924" t="s">
        <v>7551</v>
      </c>
      <c r="G438" s="924"/>
      <c r="H438" s="969" t="s">
        <v>7552</v>
      </c>
      <c r="I438" s="975"/>
      <c r="J438" s="975"/>
    </row>
    <row r="439" ht="22.5" customHeight="1">
      <c r="A439" s="912">
        <v>438.0</v>
      </c>
      <c r="B439" s="913" t="b">
        <v>0</v>
      </c>
      <c r="C439" s="966" t="s">
        <v>7553</v>
      </c>
      <c r="D439" s="922" t="s">
        <v>7554</v>
      </c>
      <c r="E439" s="922">
        <v>7.70393981E9</v>
      </c>
      <c r="F439" s="924" t="s">
        <v>7555</v>
      </c>
      <c r="G439" s="924"/>
      <c r="H439" s="969" t="s">
        <v>7435</v>
      </c>
      <c r="I439" s="975"/>
      <c r="J439" s="975"/>
    </row>
    <row r="440" ht="22.5" customHeight="1">
      <c r="A440" s="912">
        <v>439.0</v>
      </c>
      <c r="B440" s="913" t="b">
        <v>0</v>
      </c>
      <c r="C440" s="989" t="s">
        <v>7556</v>
      </c>
      <c r="D440" s="922" t="s">
        <v>7557</v>
      </c>
      <c r="E440" s="922">
        <v>7.509591414E9</v>
      </c>
      <c r="F440" s="924" t="s">
        <v>7558</v>
      </c>
      <c r="G440" s="924"/>
      <c r="H440" s="969" t="s">
        <v>7009</v>
      </c>
      <c r="I440" s="975"/>
      <c r="J440" s="975"/>
    </row>
    <row r="441" ht="22.5" customHeight="1">
      <c r="A441" s="912">
        <v>440.0</v>
      </c>
      <c r="B441" s="913" t="b">
        <v>0</v>
      </c>
      <c r="C441" s="1003" t="s">
        <v>7559</v>
      </c>
      <c r="D441" s="922"/>
      <c r="E441" s="1004">
        <v>7.702216005E9</v>
      </c>
      <c r="F441" s="1001" t="s">
        <v>7560</v>
      </c>
      <c r="G441" s="924"/>
      <c r="H441" s="976" t="s">
        <v>7561</v>
      </c>
      <c r="I441" s="976"/>
      <c r="J441" s="976"/>
    </row>
    <row r="442" ht="22.5" customHeight="1">
      <c r="A442" s="912">
        <v>441.0</v>
      </c>
      <c r="B442" s="913" t="b">
        <v>0</v>
      </c>
      <c r="C442" s="966" t="s">
        <v>7562</v>
      </c>
      <c r="D442" s="922" t="s">
        <v>7563</v>
      </c>
      <c r="E442" s="922">
        <v>7.507233223E9</v>
      </c>
      <c r="F442" s="924" t="s">
        <v>7564</v>
      </c>
      <c r="G442" s="924"/>
      <c r="H442" s="969" t="s">
        <v>7565</v>
      </c>
      <c r="I442" s="975"/>
      <c r="J442" s="975"/>
    </row>
    <row r="443" ht="22.5" customHeight="1">
      <c r="A443" s="912">
        <v>442.0</v>
      </c>
      <c r="B443" s="913" t="b">
        <v>0</v>
      </c>
      <c r="C443" s="966" t="s">
        <v>7566</v>
      </c>
      <c r="D443" s="922"/>
      <c r="E443" s="922">
        <v>7.504607806E9</v>
      </c>
      <c r="F443" s="924" t="s">
        <v>7567</v>
      </c>
      <c r="G443" s="924"/>
      <c r="H443" s="969" t="s">
        <v>7568</v>
      </c>
      <c r="I443" s="975"/>
      <c r="J443" s="975"/>
    </row>
    <row r="444" ht="22.5" customHeight="1">
      <c r="A444" s="912">
        <v>443.0</v>
      </c>
      <c r="B444" s="913" t="b">
        <v>0</v>
      </c>
      <c r="C444" s="966" t="s">
        <v>7569</v>
      </c>
      <c r="D444" s="922" t="s">
        <v>7570</v>
      </c>
      <c r="E444" s="922">
        <v>7.50132896E9</v>
      </c>
      <c r="F444" s="924" t="s">
        <v>7571</v>
      </c>
      <c r="G444" s="924"/>
      <c r="H444" s="969" t="s">
        <v>7294</v>
      </c>
      <c r="I444" s="975"/>
      <c r="J444" s="975"/>
    </row>
    <row r="445" ht="22.5" customHeight="1">
      <c r="A445" s="912">
        <v>444.0</v>
      </c>
      <c r="B445" s="913" t="b">
        <v>0</v>
      </c>
      <c r="C445" s="966" t="s">
        <v>7572</v>
      </c>
      <c r="D445" s="922"/>
      <c r="E445" s="922">
        <v>7.509674E9</v>
      </c>
      <c r="F445" s="924" t="s">
        <v>7573</v>
      </c>
      <c r="G445" s="1008" t="s">
        <v>7574</v>
      </c>
      <c r="H445" s="969" t="s">
        <v>7575</v>
      </c>
      <c r="I445" s="975"/>
      <c r="J445" s="975"/>
    </row>
    <row r="446" ht="22.5" customHeight="1">
      <c r="A446" s="912">
        <v>445.0</v>
      </c>
      <c r="B446" s="913" t="b">
        <v>0</v>
      </c>
      <c r="C446" s="966" t="s">
        <v>7576</v>
      </c>
      <c r="D446" s="922"/>
      <c r="E446" s="922">
        <v>7.508889999E9</v>
      </c>
      <c r="F446" s="924" t="s">
        <v>7577</v>
      </c>
      <c r="G446" s="924"/>
      <c r="H446" s="969" t="s">
        <v>7009</v>
      </c>
      <c r="I446" s="975"/>
      <c r="J446" s="975"/>
    </row>
    <row r="447" ht="22.5" customHeight="1">
      <c r="A447" s="912">
        <v>446.0</v>
      </c>
      <c r="B447" s="913" t="b">
        <v>0</v>
      </c>
      <c r="C447" s="966" t="s">
        <v>7578</v>
      </c>
      <c r="D447" s="922" t="s">
        <v>7579</v>
      </c>
      <c r="E447" s="922">
        <v>7.715604444E9</v>
      </c>
      <c r="F447" s="924" t="s">
        <v>7580</v>
      </c>
      <c r="G447" s="924"/>
      <c r="H447" s="969" t="s">
        <v>7581</v>
      </c>
      <c r="I447" s="975"/>
      <c r="J447" s="975"/>
    </row>
    <row r="448" ht="22.5" customHeight="1">
      <c r="A448" s="912">
        <v>447.0</v>
      </c>
      <c r="B448" s="913" t="b">
        <v>0</v>
      </c>
      <c r="C448" s="966" t="s">
        <v>7582</v>
      </c>
      <c r="D448" s="922"/>
      <c r="E448" s="922">
        <v>7.504506828E9</v>
      </c>
      <c r="F448" s="924" t="s">
        <v>7583</v>
      </c>
      <c r="G448" s="924"/>
      <c r="H448" s="969" t="s">
        <v>7575</v>
      </c>
      <c r="I448" s="975"/>
      <c r="J448" s="975"/>
    </row>
    <row r="449" ht="22.5" customHeight="1">
      <c r="A449" s="912">
        <v>448.0</v>
      </c>
      <c r="B449" s="913" t="b">
        <v>0</v>
      </c>
      <c r="C449" s="966" t="s">
        <v>7584</v>
      </c>
      <c r="D449" s="922"/>
      <c r="E449" s="922">
        <v>7.5011588E9</v>
      </c>
      <c r="F449" s="924" t="s">
        <v>7585</v>
      </c>
      <c r="G449" s="924"/>
      <c r="H449" s="969" t="s">
        <v>7586</v>
      </c>
      <c r="I449" s="975"/>
      <c r="J449" s="975"/>
    </row>
    <row r="450" ht="22.5" customHeight="1">
      <c r="A450" s="912">
        <v>449.0</v>
      </c>
      <c r="B450" s="913" t="b">
        <v>0</v>
      </c>
      <c r="C450" s="932" t="s">
        <v>7587</v>
      </c>
      <c r="D450" s="922" t="s">
        <v>7588</v>
      </c>
      <c r="E450" s="922">
        <v>7.70696203E9</v>
      </c>
      <c r="F450" s="932" t="s">
        <v>7589</v>
      </c>
      <c r="G450" s="924"/>
      <c r="H450" s="924" t="s">
        <v>7590</v>
      </c>
      <c r="I450" s="933"/>
      <c r="J450" s="933"/>
    </row>
    <row r="451" ht="22.5" customHeight="1">
      <c r="A451" s="912">
        <v>450.0</v>
      </c>
      <c r="B451" s="913" t="b">
        <v>0</v>
      </c>
      <c r="C451" s="935" t="s">
        <v>7591</v>
      </c>
      <c r="D451" s="936" t="s">
        <v>7592</v>
      </c>
      <c r="E451" s="922">
        <v>7.50520804E9</v>
      </c>
      <c r="F451" s="924"/>
      <c r="G451" s="924"/>
      <c r="H451" s="969" t="s">
        <v>7593</v>
      </c>
      <c r="I451" s="975"/>
      <c r="J451" s="975"/>
    </row>
    <row r="452" ht="22.5" customHeight="1">
      <c r="A452" s="912">
        <v>451.0</v>
      </c>
      <c r="B452" s="913" t="b">
        <v>0</v>
      </c>
      <c r="C452" s="935" t="s">
        <v>7594</v>
      </c>
      <c r="D452" s="936" t="s">
        <v>7595</v>
      </c>
      <c r="E452" s="922">
        <v>7.505855E9</v>
      </c>
      <c r="F452" s="924" t="s">
        <v>7596</v>
      </c>
      <c r="G452" s="924"/>
      <c r="H452" s="969" t="s">
        <v>7565</v>
      </c>
      <c r="I452" s="975"/>
      <c r="J452" s="975"/>
    </row>
    <row r="453" ht="22.5" customHeight="1">
      <c r="A453" s="912">
        <v>452.0</v>
      </c>
      <c r="B453" s="913" t="b">
        <v>0</v>
      </c>
      <c r="C453" s="988" t="s">
        <v>7597</v>
      </c>
      <c r="D453" s="922"/>
      <c r="E453" s="922">
        <v>7.50446908E9</v>
      </c>
      <c r="F453" s="924"/>
      <c r="G453" s="1009" t="s">
        <v>7598</v>
      </c>
      <c r="H453" s="969" t="s">
        <v>7009</v>
      </c>
      <c r="I453" s="975"/>
      <c r="J453" s="975"/>
    </row>
    <row r="454" ht="22.5" customHeight="1">
      <c r="A454" s="912">
        <v>453.0</v>
      </c>
      <c r="B454" s="913" t="b">
        <v>0</v>
      </c>
      <c r="C454" s="966" t="s">
        <v>7599</v>
      </c>
      <c r="D454" s="936" t="s">
        <v>7600</v>
      </c>
      <c r="E454" s="922">
        <v>7.502001008E9</v>
      </c>
      <c r="F454" s="924" t="s">
        <v>7601</v>
      </c>
      <c r="G454" s="924"/>
      <c r="H454" s="969" t="s">
        <v>7070</v>
      </c>
      <c r="I454" s="975"/>
      <c r="J454" s="975"/>
    </row>
    <row r="455" ht="22.5" customHeight="1">
      <c r="A455" s="912">
        <v>454.0</v>
      </c>
      <c r="B455" s="913" t="b">
        <v>0</v>
      </c>
      <c r="C455" s="966" t="s">
        <v>7602</v>
      </c>
      <c r="D455" s="936" t="s">
        <v>7603</v>
      </c>
      <c r="E455" s="922">
        <v>7.5022525E9</v>
      </c>
      <c r="F455" s="924"/>
      <c r="G455" s="924"/>
      <c r="H455" s="969" t="s">
        <v>7604</v>
      </c>
      <c r="I455" s="975"/>
      <c r="J455" s="975"/>
    </row>
    <row r="456" ht="22.5" customHeight="1">
      <c r="A456" s="912">
        <v>455.0</v>
      </c>
      <c r="B456" s="913" t="b">
        <v>0</v>
      </c>
      <c r="C456" s="935" t="s">
        <v>7605</v>
      </c>
      <c r="D456" s="936" t="s">
        <v>7606</v>
      </c>
      <c r="E456" s="922">
        <v>7.504431681E9</v>
      </c>
      <c r="F456" s="924" t="s">
        <v>7607</v>
      </c>
      <c r="G456" s="924"/>
      <c r="H456" s="969" t="s">
        <v>7608</v>
      </c>
      <c r="I456" s="975"/>
      <c r="J456" s="975"/>
    </row>
    <row r="457" ht="22.5" customHeight="1">
      <c r="A457" s="912">
        <v>456.0</v>
      </c>
      <c r="B457" s="913" t="b">
        <v>0</v>
      </c>
      <c r="C457" s="935" t="s">
        <v>7609</v>
      </c>
      <c r="D457" s="922"/>
      <c r="E457" s="922">
        <v>7.506606464E9</v>
      </c>
      <c r="F457" s="924"/>
      <c r="G457" s="924"/>
      <c r="H457" s="969" t="s">
        <v>7543</v>
      </c>
      <c r="I457" s="975"/>
      <c r="J457" s="975"/>
    </row>
    <row r="458" ht="22.5" customHeight="1">
      <c r="A458" s="912">
        <v>457.0</v>
      </c>
      <c r="B458" s="913" t="b">
        <v>0</v>
      </c>
      <c r="C458" s="1010" t="s">
        <v>7610</v>
      </c>
      <c r="D458" s="922"/>
      <c r="E458" s="922">
        <v>7.504494597E9</v>
      </c>
      <c r="F458" s="924"/>
      <c r="G458" s="924"/>
      <c r="H458" s="969" t="s">
        <v>6938</v>
      </c>
      <c r="I458" s="975"/>
      <c r="J458" s="975"/>
    </row>
    <row r="459" ht="22.5" customHeight="1">
      <c r="A459" s="912">
        <v>484.0</v>
      </c>
      <c r="B459" s="913" t="b">
        <v>0</v>
      </c>
      <c r="C459" s="966" t="s">
        <v>7611</v>
      </c>
      <c r="D459" s="922"/>
      <c r="E459" s="922">
        <v>9.89134201534E11</v>
      </c>
      <c r="F459" s="924" t="s">
        <v>7612</v>
      </c>
      <c r="G459" s="924"/>
      <c r="H459" s="924"/>
      <c r="I459" s="933"/>
      <c r="J459" s="933"/>
    </row>
    <row r="460" ht="22.5" customHeight="1">
      <c r="A460" s="912">
        <v>459.0</v>
      </c>
      <c r="B460" s="913" t="b">
        <v>0</v>
      </c>
      <c r="C460" s="935" t="s">
        <v>7613</v>
      </c>
      <c r="D460" s="922"/>
      <c r="E460" s="922">
        <v>7.504119944E9</v>
      </c>
      <c r="F460" s="924" t="s">
        <v>7614</v>
      </c>
      <c r="G460" s="924"/>
      <c r="H460" s="969" t="s">
        <v>7281</v>
      </c>
      <c r="I460" s="975"/>
      <c r="J460" s="975"/>
    </row>
    <row r="461" ht="22.5" customHeight="1">
      <c r="A461" s="912">
        <v>460.0</v>
      </c>
      <c r="B461" s="913" t="b">
        <v>0</v>
      </c>
      <c r="C461" s="966" t="s">
        <v>7615</v>
      </c>
      <c r="D461" s="922" t="s">
        <v>7616</v>
      </c>
      <c r="E461" s="922">
        <v>7.71443909E9</v>
      </c>
      <c r="F461" s="924" t="s">
        <v>7617</v>
      </c>
      <c r="G461" s="924"/>
      <c r="H461" s="924" t="s">
        <v>7618</v>
      </c>
      <c r="I461" s="933"/>
      <c r="J461" s="933"/>
    </row>
    <row r="462" ht="22.5" customHeight="1">
      <c r="A462" s="912">
        <v>461.0</v>
      </c>
      <c r="B462" s="913" t="b">
        <v>0</v>
      </c>
      <c r="C462" s="966" t="s">
        <v>7619</v>
      </c>
      <c r="D462" s="922"/>
      <c r="E462" s="922">
        <v>7.504972737E9</v>
      </c>
      <c r="F462" s="924" t="s">
        <v>7620</v>
      </c>
      <c r="G462" s="924"/>
      <c r="H462" s="924"/>
      <c r="I462" s="933"/>
      <c r="J462" s="933"/>
    </row>
    <row r="463" ht="22.5" customHeight="1">
      <c r="A463" s="912">
        <v>462.0</v>
      </c>
      <c r="B463" s="913" t="b">
        <v>0</v>
      </c>
      <c r="C463" s="966" t="s">
        <v>7621</v>
      </c>
      <c r="D463" s="922" t="s">
        <v>7622</v>
      </c>
      <c r="E463" s="922">
        <v>7.514457779E9</v>
      </c>
      <c r="F463" s="924" t="s">
        <v>7623</v>
      </c>
      <c r="G463" s="924"/>
      <c r="H463" s="924"/>
      <c r="I463" s="933"/>
      <c r="J463" s="933"/>
    </row>
    <row r="464" ht="22.5" customHeight="1">
      <c r="A464" s="912">
        <v>463.0</v>
      </c>
      <c r="B464" s="913" t="b">
        <v>0</v>
      </c>
      <c r="C464" s="1011" t="s">
        <v>7624</v>
      </c>
      <c r="D464" s="936" t="s">
        <v>7625</v>
      </c>
      <c r="E464" s="922">
        <v>7.501525368E9</v>
      </c>
      <c r="F464" s="924" t="s">
        <v>7626</v>
      </c>
      <c r="G464" s="924"/>
      <c r="H464" s="924"/>
      <c r="I464" s="933"/>
      <c r="J464" s="933"/>
    </row>
    <row r="465" ht="22.5" customHeight="1">
      <c r="A465" s="912">
        <v>464.0</v>
      </c>
      <c r="B465" s="913" t="b">
        <v>0</v>
      </c>
      <c r="C465" s="1012" t="s">
        <v>7627</v>
      </c>
      <c r="D465" s="936" t="s">
        <v>7628</v>
      </c>
      <c r="E465" s="922">
        <v>7.50446148E9</v>
      </c>
      <c r="F465" s="924" t="s">
        <v>7629</v>
      </c>
      <c r="G465" s="924"/>
      <c r="H465" s="969" t="s">
        <v>7281</v>
      </c>
      <c r="I465" s="975"/>
      <c r="J465" s="975"/>
    </row>
    <row r="466" ht="22.5" customHeight="1">
      <c r="A466" s="912">
        <v>465.0</v>
      </c>
      <c r="B466" s="913" t="b">
        <v>0</v>
      </c>
      <c r="C466" s="1012" t="s">
        <v>7630</v>
      </c>
      <c r="D466" s="922"/>
      <c r="E466" s="922">
        <v>7.50446965E9</v>
      </c>
      <c r="F466" s="924" t="s">
        <v>6690</v>
      </c>
      <c r="G466" s="924"/>
      <c r="H466" s="969" t="s">
        <v>7631</v>
      </c>
      <c r="I466" s="975"/>
      <c r="J466" s="975"/>
    </row>
    <row r="467" ht="22.5" customHeight="1">
      <c r="A467" s="912">
        <v>466.0</v>
      </c>
      <c r="B467" s="913" t="b">
        <v>0</v>
      </c>
      <c r="C467" s="1012" t="s">
        <v>7632</v>
      </c>
      <c r="D467" s="936" t="s">
        <v>7633</v>
      </c>
      <c r="E467" s="922">
        <v>7.722705538E9</v>
      </c>
      <c r="F467" s="924" t="s">
        <v>7634</v>
      </c>
      <c r="G467" s="924"/>
      <c r="H467" s="969" t="s">
        <v>7635</v>
      </c>
      <c r="I467" s="975"/>
      <c r="J467" s="975"/>
    </row>
    <row r="468" ht="22.5" customHeight="1">
      <c r="A468" s="912">
        <v>467.0</v>
      </c>
      <c r="B468" s="913" t="b">
        <v>0</v>
      </c>
      <c r="C468" s="966" t="s">
        <v>7636</v>
      </c>
      <c r="D468" s="936" t="s">
        <v>7637</v>
      </c>
      <c r="E468" s="922">
        <v>7.504096444E9</v>
      </c>
      <c r="F468" s="924" t="s">
        <v>7638</v>
      </c>
      <c r="G468" s="924"/>
      <c r="H468" s="969" t="s">
        <v>7631</v>
      </c>
      <c r="I468" s="975"/>
      <c r="J468" s="975"/>
    </row>
    <row r="469" ht="22.5" customHeight="1">
      <c r="A469" s="912">
        <v>468.0</v>
      </c>
      <c r="B469" s="913" t="b">
        <v>0</v>
      </c>
      <c r="C469" s="966" t="s">
        <v>7639</v>
      </c>
      <c r="D469" s="936" t="s">
        <v>7640</v>
      </c>
      <c r="E469" s="922">
        <v>7.501821261E9</v>
      </c>
      <c r="F469" s="924" t="s">
        <v>7641</v>
      </c>
      <c r="G469" s="924"/>
      <c r="H469" s="969" t="s">
        <v>7009</v>
      </c>
      <c r="I469" s="975"/>
      <c r="J469" s="975"/>
    </row>
    <row r="470" ht="22.5" customHeight="1">
      <c r="A470" s="912">
        <v>469.0</v>
      </c>
      <c r="B470" s="913" t="b">
        <v>0</v>
      </c>
      <c r="C470" s="966" t="s">
        <v>7642</v>
      </c>
      <c r="D470" s="936" t="s">
        <v>7643</v>
      </c>
      <c r="E470" s="922">
        <v>7.510151485E9</v>
      </c>
      <c r="F470" s="924"/>
      <c r="G470" s="924"/>
      <c r="H470" s="924"/>
      <c r="I470" s="933"/>
      <c r="J470" s="933"/>
    </row>
    <row r="471" ht="22.5" customHeight="1">
      <c r="A471" s="912">
        <v>470.0</v>
      </c>
      <c r="B471" s="913" t="b">
        <v>0</v>
      </c>
      <c r="C471" s="966" t="s">
        <v>7644</v>
      </c>
      <c r="D471" s="922"/>
      <c r="E471" s="922">
        <v>7.504054012E9</v>
      </c>
      <c r="F471" s="924" t="s">
        <v>7645</v>
      </c>
      <c r="G471" s="924"/>
      <c r="H471" s="969" t="s">
        <v>7575</v>
      </c>
      <c r="I471" s="975"/>
      <c r="J471" s="975"/>
    </row>
    <row r="472" ht="22.5" customHeight="1">
      <c r="A472" s="912">
        <v>471.0</v>
      </c>
      <c r="B472" s="913" t="b">
        <v>0</v>
      </c>
      <c r="C472" s="935" t="s">
        <v>7646</v>
      </c>
      <c r="D472" s="922"/>
      <c r="E472" s="922">
        <v>7.50446839E9</v>
      </c>
      <c r="F472" s="924" t="s">
        <v>7647</v>
      </c>
      <c r="G472" s="924"/>
      <c r="H472" s="969" t="s">
        <v>7009</v>
      </c>
      <c r="I472" s="975"/>
      <c r="J472" s="975"/>
    </row>
    <row r="473" ht="22.5" customHeight="1">
      <c r="A473" s="912">
        <v>472.0</v>
      </c>
      <c r="B473" s="913" t="b">
        <v>0</v>
      </c>
      <c r="C473" s="935" t="s">
        <v>7648</v>
      </c>
      <c r="D473" s="936" t="s">
        <v>7649</v>
      </c>
      <c r="E473" s="922">
        <v>7.503359843E9</v>
      </c>
      <c r="F473" s="924" t="s">
        <v>7650</v>
      </c>
      <c r="G473" s="924"/>
      <c r="H473" s="969" t="s">
        <v>7009</v>
      </c>
      <c r="I473" s="975"/>
      <c r="J473" s="975"/>
    </row>
    <row r="474" ht="22.5" customHeight="1">
      <c r="A474" s="912">
        <v>473.0</v>
      </c>
      <c r="B474" s="913" t="b">
        <v>0</v>
      </c>
      <c r="C474" s="935" t="s">
        <v>7651</v>
      </c>
      <c r="D474" s="936" t="s">
        <v>7652</v>
      </c>
      <c r="E474" s="922">
        <v>7.504473212E9</v>
      </c>
      <c r="F474" s="924"/>
      <c r="G474" s="924"/>
      <c r="H474" s="969" t="s">
        <v>7458</v>
      </c>
      <c r="I474" s="975"/>
      <c r="J474" s="975"/>
    </row>
    <row r="475" ht="22.5" customHeight="1">
      <c r="A475" s="912">
        <v>474.0</v>
      </c>
      <c r="B475" s="913" t="b">
        <v>0</v>
      </c>
      <c r="C475" s="935" t="s">
        <v>7653</v>
      </c>
      <c r="D475" s="936" t="s">
        <v>7654</v>
      </c>
      <c r="E475" s="922">
        <v>7.71000002E9</v>
      </c>
      <c r="F475" s="924" t="s">
        <v>7655</v>
      </c>
      <c r="G475" s="924"/>
      <c r="H475" s="969" t="s">
        <v>7413</v>
      </c>
      <c r="I475" s="975"/>
      <c r="J475" s="975"/>
    </row>
    <row r="476" ht="22.5" customHeight="1">
      <c r="A476" s="912">
        <v>475.0</v>
      </c>
      <c r="B476" s="913" t="b">
        <v>0</v>
      </c>
      <c r="C476" s="1013" t="s">
        <v>7656</v>
      </c>
      <c r="D476" s="936" t="s">
        <v>7657</v>
      </c>
      <c r="E476" s="922">
        <v>7.701512825E9</v>
      </c>
      <c r="F476" s="924" t="s">
        <v>7658</v>
      </c>
      <c r="G476" s="924"/>
      <c r="H476" s="978" t="s">
        <v>7413</v>
      </c>
      <c r="I476" s="977"/>
      <c r="J476" s="977"/>
    </row>
    <row r="477" ht="22.5" customHeight="1">
      <c r="A477" s="912">
        <v>476.0</v>
      </c>
      <c r="B477" s="913" t="b">
        <v>0</v>
      </c>
      <c r="C477" s="935" t="s">
        <v>7659</v>
      </c>
      <c r="D477" s="922"/>
      <c r="E477" s="922">
        <v>7.733266077E9</v>
      </c>
      <c r="F477" s="924" t="s">
        <v>7660</v>
      </c>
      <c r="G477" s="924"/>
      <c r="H477" s="924"/>
      <c r="I477" s="933"/>
      <c r="J477" s="933"/>
    </row>
    <row r="478" ht="22.5" customHeight="1">
      <c r="A478" s="912">
        <v>477.0</v>
      </c>
      <c r="B478" s="913" t="b">
        <v>0</v>
      </c>
      <c r="C478" s="966" t="s">
        <v>7661</v>
      </c>
      <c r="D478" s="922"/>
      <c r="E478" s="922">
        <v>7.50468291E9</v>
      </c>
      <c r="F478" s="924" t="s">
        <v>7662</v>
      </c>
      <c r="G478" s="924"/>
      <c r="H478" s="969" t="s">
        <v>7454</v>
      </c>
      <c r="I478" s="975"/>
      <c r="J478" s="975"/>
    </row>
    <row r="479" ht="22.5" customHeight="1">
      <c r="A479" s="912">
        <v>478.0</v>
      </c>
      <c r="B479" s="913" t="b">
        <v>0</v>
      </c>
      <c r="C479" s="966" t="s">
        <v>7663</v>
      </c>
      <c r="D479" s="936" t="s">
        <v>7664</v>
      </c>
      <c r="E479" s="922">
        <v>7.507169009E9</v>
      </c>
      <c r="F479" s="924" t="s">
        <v>7573</v>
      </c>
      <c r="G479" s="924"/>
      <c r="H479" s="969" t="s">
        <v>7575</v>
      </c>
      <c r="I479" s="975"/>
      <c r="J479" s="975"/>
    </row>
    <row r="480" ht="22.5" customHeight="1">
      <c r="A480" s="912">
        <v>479.0</v>
      </c>
      <c r="B480" s="913" t="b">
        <v>0</v>
      </c>
      <c r="C480" s="966" t="s">
        <v>7665</v>
      </c>
      <c r="D480" s="936" t="s">
        <v>7666</v>
      </c>
      <c r="E480" s="922">
        <v>7.504458512E9</v>
      </c>
      <c r="F480" s="924" t="s">
        <v>7667</v>
      </c>
      <c r="G480" s="924"/>
      <c r="H480" s="924"/>
      <c r="I480" s="933"/>
      <c r="J480" s="933"/>
    </row>
    <row r="481" ht="22.5" customHeight="1">
      <c r="A481" s="912">
        <v>480.0</v>
      </c>
      <c r="B481" s="913" t="b">
        <v>0</v>
      </c>
      <c r="C481" s="935" t="s">
        <v>7668</v>
      </c>
      <c r="D481" s="922"/>
      <c r="E481" s="922">
        <v>7.50602199E9</v>
      </c>
      <c r="F481" s="924" t="s">
        <v>7669</v>
      </c>
      <c r="G481" s="924"/>
      <c r="H481" s="969" t="s">
        <v>7670</v>
      </c>
      <c r="I481" s="975"/>
      <c r="J481" s="975"/>
    </row>
    <row r="482" ht="22.5" customHeight="1">
      <c r="A482" s="912">
        <v>481.0</v>
      </c>
      <c r="B482" s="913" t="b">
        <v>0</v>
      </c>
      <c r="C482" s="966" t="s">
        <v>7671</v>
      </c>
      <c r="D482" s="922"/>
      <c r="E482" s="1014" t="s">
        <v>7672</v>
      </c>
      <c r="F482" s="1015" t="s">
        <v>7673</v>
      </c>
      <c r="G482" s="924"/>
      <c r="H482" s="1016" t="s">
        <v>7674</v>
      </c>
      <c r="I482" s="1017"/>
      <c r="J482" s="1017"/>
    </row>
    <row r="483" ht="22.5" customHeight="1">
      <c r="A483" s="912">
        <v>482.0</v>
      </c>
      <c r="B483" s="913" t="b">
        <v>0</v>
      </c>
      <c r="C483" s="966" t="s">
        <v>7675</v>
      </c>
      <c r="D483" s="922"/>
      <c r="E483" s="922">
        <v>7.500778E9</v>
      </c>
      <c r="F483" s="924" t="s">
        <v>7676</v>
      </c>
      <c r="G483" s="924"/>
      <c r="H483" s="969" t="s">
        <v>7677</v>
      </c>
      <c r="I483" s="975"/>
      <c r="J483" s="975"/>
    </row>
    <row r="484" ht="22.5" customHeight="1">
      <c r="A484" s="912">
        <v>483.0</v>
      </c>
      <c r="B484" s="913" t="b">
        <v>0</v>
      </c>
      <c r="C484" s="966" t="s">
        <v>7678</v>
      </c>
      <c r="D484" s="936" t="s">
        <v>7679</v>
      </c>
      <c r="E484" s="922">
        <v>7.514014882E9</v>
      </c>
      <c r="F484" s="924" t="s">
        <v>7680</v>
      </c>
      <c r="G484" s="924"/>
      <c r="H484" s="969" t="s">
        <v>7581</v>
      </c>
      <c r="I484" s="975"/>
      <c r="J484" s="975"/>
    </row>
    <row r="485" ht="22.5" customHeight="1">
      <c r="A485" s="912">
        <v>484.0</v>
      </c>
      <c r="B485" s="913" t="b">
        <v>0</v>
      </c>
      <c r="C485" s="935" t="s">
        <v>7681</v>
      </c>
      <c r="D485" s="936" t="s">
        <v>7682</v>
      </c>
      <c r="E485" s="922">
        <v>7.504412997E9</v>
      </c>
      <c r="F485" s="924" t="s">
        <v>7683</v>
      </c>
      <c r="G485" s="924"/>
      <c r="H485" s="924"/>
      <c r="I485" s="933"/>
      <c r="J485" s="933"/>
    </row>
    <row r="486" ht="22.5" customHeight="1">
      <c r="A486" s="912">
        <v>485.0</v>
      </c>
      <c r="B486" s="913" t="b">
        <v>0</v>
      </c>
      <c r="C486" s="966" t="s">
        <v>7684</v>
      </c>
      <c r="D486" s="922" t="s">
        <v>7685</v>
      </c>
      <c r="E486" s="922">
        <v>7.504468458E9</v>
      </c>
      <c r="F486" s="924" t="s">
        <v>7686</v>
      </c>
      <c r="G486" s="924"/>
      <c r="H486" s="969" t="s">
        <v>7687</v>
      </c>
      <c r="I486" s="975"/>
      <c r="J486" s="975"/>
    </row>
    <row r="487" ht="22.5" customHeight="1">
      <c r="A487" s="912">
        <v>486.0</v>
      </c>
      <c r="B487" s="913" t="b">
        <v>0</v>
      </c>
      <c r="C487" s="935" t="s">
        <v>7688</v>
      </c>
      <c r="D487" s="936" t="s">
        <v>7689</v>
      </c>
      <c r="E487" s="922">
        <v>7.504556575E9</v>
      </c>
      <c r="F487" s="924" t="s">
        <v>7690</v>
      </c>
      <c r="G487" s="924"/>
      <c r="H487" s="924"/>
      <c r="I487" s="933"/>
      <c r="J487" s="933"/>
    </row>
    <row r="488" ht="22.5" customHeight="1">
      <c r="A488" s="912">
        <v>487.0</v>
      </c>
      <c r="B488" s="913" t="b">
        <v>0</v>
      </c>
      <c r="C488" s="966" t="s">
        <v>7691</v>
      </c>
      <c r="D488" s="922" t="s">
        <v>7692</v>
      </c>
      <c r="E488" s="922">
        <v>7.504540494E9</v>
      </c>
      <c r="F488" s="924" t="s">
        <v>7288</v>
      </c>
      <c r="G488" s="924"/>
      <c r="H488" s="924"/>
      <c r="I488" s="933"/>
      <c r="J488" s="933"/>
    </row>
    <row r="489" ht="22.5" customHeight="1">
      <c r="A489" s="912">
        <v>488.0</v>
      </c>
      <c r="B489" s="913" t="b">
        <v>0</v>
      </c>
      <c r="C489" s="966" t="s">
        <v>7693</v>
      </c>
      <c r="D489" s="922" t="s">
        <v>7694</v>
      </c>
      <c r="E489" s="922">
        <v>3.06943552244E11</v>
      </c>
      <c r="F489" s="924" t="s">
        <v>7695</v>
      </c>
      <c r="G489" s="924"/>
      <c r="H489" s="969" t="s">
        <v>7696</v>
      </c>
      <c r="I489" s="975"/>
      <c r="J489" s="975"/>
    </row>
    <row r="490" ht="22.5" customHeight="1">
      <c r="A490" s="912">
        <v>489.0</v>
      </c>
      <c r="B490" s="913" t="b">
        <v>0</v>
      </c>
      <c r="C490" s="966" t="s">
        <v>7697</v>
      </c>
      <c r="D490" s="922"/>
      <c r="E490" s="922">
        <v>9.05327813082E11</v>
      </c>
      <c r="F490" s="1018" t="s">
        <v>7698</v>
      </c>
      <c r="G490" s="924"/>
      <c r="H490" s="969" t="s">
        <v>7699</v>
      </c>
      <c r="I490" s="975"/>
      <c r="J490" s="975"/>
    </row>
    <row r="491" ht="22.5" customHeight="1">
      <c r="A491" s="912">
        <v>490.0</v>
      </c>
      <c r="B491" s="913" t="b">
        <v>0</v>
      </c>
      <c r="C491" s="966" t="s">
        <v>7700</v>
      </c>
      <c r="D491" s="922"/>
      <c r="E491" s="922">
        <v>750265.0</v>
      </c>
      <c r="F491" s="924"/>
      <c r="G491" s="924"/>
      <c r="H491" s="924"/>
      <c r="I491" s="933"/>
      <c r="J491" s="933"/>
    </row>
    <row r="492" ht="22.5" customHeight="1">
      <c r="A492" s="1019">
        <v>491.0</v>
      </c>
      <c r="B492" s="913" t="b">
        <v>0</v>
      </c>
      <c r="C492" s="935" t="s">
        <v>7701</v>
      </c>
      <c r="D492" s="922"/>
      <c r="E492" s="1020">
        <f>+96522200248</f>
        <v>96522200248</v>
      </c>
      <c r="F492" s="1021" t="s">
        <v>7702</v>
      </c>
      <c r="G492" s="924"/>
      <c r="H492" s="1022" t="s">
        <v>7703</v>
      </c>
      <c r="I492" s="1022"/>
      <c r="J492" s="1022"/>
    </row>
    <row r="493" ht="22.5" customHeight="1">
      <c r="A493" s="1019">
        <v>492.0</v>
      </c>
      <c r="B493" s="913" t="b">
        <v>0</v>
      </c>
      <c r="C493" s="981" t="s">
        <v>7704</v>
      </c>
      <c r="D493" s="922"/>
      <c r="E493" s="1023" t="s">
        <v>7705</v>
      </c>
      <c r="F493" s="924"/>
      <c r="G493" s="924"/>
      <c r="H493" s="1024" t="s">
        <v>7706</v>
      </c>
      <c r="I493" s="1025"/>
      <c r="J493" s="1025"/>
    </row>
    <row r="494" ht="22.5" customHeight="1">
      <c r="A494" s="1019">
        <v>493.0</v>
      </c>
      <c r="B494" s="913" t="b">
        <v>0</v>
      </c>
      <c r="C494" s="1026" t="s">
        <v>7707</v>
      </c>
      <c r="D494" s="922"/>
      <c r="E494" s="1027">
        <v>7.901921739E9</v>
      </c>
      <c r="F494" s="1028" t="s">
        <v>7708</v>
      </c>
      <c r="G494" s="924"/>
      <c r="H494" s="924"/>
      <c r="I494" s="933"/>
      <c r="J494" s="933"/>
    </row>
    <row r="495" ht="22.5" customHeight="1">
      <c r="A495" s="1019">
        <v>494.0</v>
      </c>
      <c r="B495" s="913" t="b">
        <v>0</v>
      </c>
      <c r="C495" s="1029" t="s">
        <v>7709</v>
      </c>
      <c r="D495" s="922"/>
      <c r="E495" s="1030">
        <v>7.835708471E9</v>
      </c>
      <c r="F495" s="924"/>
      <c r="G495" s="924"/>
      <c r="H495" s="924"/>
      <c r="I495" s="933"/>
      <c r="J495" s="933"/>
    </row>
    <row r="496" ht="22.5" customHeight="1">
      <c r="A496" s="1019">
        <v>495.0</v>
      </c>
      <c r="B496" s="913" t="b">
        <v>0</v>
      </c>
      <c r="C496" s="981" t="s">
        <v>7710</v>
      </c>
      <c r="D496" s="922"/>
      <c r="E496" s="1031">
        <v>7.803784513E9</v>
      </c>
      <c r="F496" s="924"/>
      <c r="G496" s="924"/>
      <c r="H496" s="924"/>
      <c r="I496" s="933"/>
      <c r="J496" s="933"/>
    </row>
    <row r="497" ht="22.5" customHeight="1">
      <c r="A497" s="1019">
        <v>496.0</v>
      </c>
      <c r="B497" s="913" t="b">
        <v>0</v>
      </c>
      <c r="C497" s="935" t="s">
        <v>7711</v>
      </c>
      <c r="D497" s="922"/>
      <c r="E497" s="1032">
        <v>7.735669124E9</v>
      </c>
      <c r="F497" s="924"/>
      <c r="G497" s="924"/>
      <c r="H497" s="1033" t="s">
        <v>7712</v>
      </c>
      <c r="I497" s="1033"/>
      <c r="J497" s="1033"/>
    </row>
    <row r="498" ht="22.5" customHeight="1">
      <c r="A498" s="1019">
        <v>497.0</v>
      </c>
      <c r="B498" s="913" t="b">
        <v>0</v>
      </c>
      <c r="C498" s="981" t="s">
        <v>7713</v>
      </c>
      <c r="D498" s="922"/>
      <c r="E498" s="922"/>
      <c r="F498" s="924"/>
      <c r="G498" s="924"/>
      <c r="H498" s="924"/>
      <c r="I498" s="933"/>
      <c r="J498" s="933"/>
    </row>
    <row r="499" ht="22.5" customHeight="1">
      <c r="A499" s="1019">
        <v>498.0</v>
      </c>
      <c r="B499" s="913" t="b">
        <v>0</v>
      </c>
      <c r="C499" s="935" t="s">
        <v>7714</v>
      </c>
      <c r="D499" s="922"/>
      <c r="E499" s="922">
        <v>7.72333505E9</v>
      </c>
      <c r="F499" s="924"/>
      <c r="G499" s="924"/>
      <c r="H499" s="969" t="s">
        <v>7413</v>
      </c>
      <c r="I499" s="975"/>
      <c r="J499" s="975"/>
    </row>
    <row r="500" ht="22.5" customHeight="1">
      <c r="A500" s="1019">
        <v>499.0</v>
      </c>
      <c r="B500" s="913" t="b">
        <v>0</v>
      </c>
      <c r="C500" s="1034" t="s">
        <v>7715</v>
      </c>
      <c r="D500" s="922"/>
      <c r="E500" s="1035" t="s">
        <v>7716</v>
      </c>
      <c r="F500" s="983" t="s">
        <v>7717</v>
      </c>
      <c r="G500" s="924"/>
      <c r="H500" s="969" t="s">
        <v>7718</v>
      </c>
      <c r="I500" s="975"/>
      <c r="J500" s="975"/>
    </row>
    <row r="501" ht="22.5" customHeight="1">
      <c r="A501" s="1019">
        <v>500.0</v>
      </c>
      <c r="B501" s="913" t="b">
        <v>0</v>
      </c>
      <c r="C501" s="1036" t="s">
        <v>7719</v>
      </c>
      <c r="D501" s="922"/>
      <c r="E501" s="1037">
        <v>9.64780630405E12</v>
      </c>
      <c r="F501" s="1038" t="s">
        <v>7720</v>
      </c>
      <c r="G501" s="924"/>
      <c r="H501" s="1039" t="s">
        <v>7721</v>
      </c>
      <c r="I501" s="1039"/>
      <c r="J501" s="1039"/>
    </row>
    <row r="502" ht="22.5" customHeight="1">
      <c r="A502" s="1019">
        <v>501.0</v>
      </c>
      <c r="B502" s="913" t="b">
        <v>0</v>
      </c>
      <c r="C502" s="1040" t="s">
        <v>7722</v>
      </c>
      <c r="D502" s="922"/>
      <c r="E502" s="922">
        <v>7.810886886E9</v>
      </c>
      <c r="F502" s="1041" t="s">
        <v>7723</v>
      </c>
      <c r="G502" s="924"/>
      <c r="H502" s="969" t="s">
        <v>7724</v>
      </c>
      <c r="I502" s="975"/>
      <c r="J502" s="975"/>
    </row>
    <row r="503" ht="22.5" customHeight="1">
      <c r="A503" s="1019">
        <v>502.0</v>
      </c>
      <c r="B503" s="913" t="b">
        <v>0</v>
      </c>
      <c r="C503" s="966" t="s">
        <v>7725</v>
      </c>
      <c r="D503" s="922"/>
      <c r="E503" s="1042">
        <v>9.647818723599E12</v>
      </c>
      <c r="F503" s="1043" t="s">
        <v>7726</v>
      </c>
      <c r="G503" s="924"/>
      <c r="H503" s="969" t="s">
        <v>7718</v>
      </c>
      <c r="I503" s="975"/>
      <c r="J503" s="975"/>
    </row>
    <row r="504" ht="22.5" customHeight="1">
      <c r="A504" s="1019">
        <v>503.0</v>
      </c>
      <c r="B504" s="913" t="b">
        <v>0</v>
      </c>
      <c r="C504" s="1044" t="s">
        <v>7727</v>
      </c>
      <c r="D504" s="922"/>
      <c r="E504" s="1045">
        <v>9.647844401121E12</v>
      </c>
      <c r="F504" s="1046" t="s">
        <v>7728</v>
      </c>
      <c r="G504" s="924"/>
      <c r="H504" s="969" t="s">
        <v>7729</v>
      </c>
      <c r="I504" s="975"/>
      <c r="J504" s="975"/>
    </row>
    <row r="505" ht="22.5" customHeight="1">
      <c r="A505" s="1019">
        <v>504.0</v>
      </c>
      <c r="B505" s="913" t="b">
        <v>0</v>
      </c>
      <c r="C505" s="1036" t="s">
        <v>7719</v>
      </c>
      <c r="D505" s="922"/>
      <c r="E505" s="1037">
        <v>9.64780630405E12</v>
      </c>
      <c r="F505" s="1038" t="s">
        <v>7720</v>
      </c>
      <c r="G505" s="924"/>
      <c r="H505" s="1039" t="s">
        <v>7721</v>
      </c>
      <c r="I505" s="1039"/>
      <c r="J505" s="1039"/>
    </row>
    <row r="506" ht="22.5" customHeight="1">
      <c r="A506" s="1019">
        <v>505.0</v>
      </c>
      <c r="B506" s="913" t="b">
        <v>0</v>
      </c>
      <c r="C506" s="1047" t="s">
        <v>7730</v>
      </c>
      <c r="D506" s="922"/>
      <c r="E506" s="1048" t="s">
        <v>7731</v>
      </c>
      <c r="F506" s="1049" t="s">
        <v>7732</v>
      </c>
      <c r="G506" s="924"/>
      <c r="H506" s="969" t="s">
        <v>7733</v>
      </c>
      <c r="I506" s="975"/>
      <c r="J506" s="975"/>
    </row>
    <row r="507" ht="22.5" customHeight="1">
      <c r="A507" s="1019">
        <v>506.0</v>
      </c>
      <c r="B507" s="913" t="b">
        <v>0</v>
      </c>
      <c r="C507" s="935" t="s">
        <v>7734</v>
      </c>
      <c r="D507" s="922"/>
      <c r="E507" s="922">
        <v>7.800916724E9</v>
      </c>
      <c r="F507" s="924"/>
      <c r="G507" s="924"/>
      <c r="H507" s="969" t="s">
        <v>7735</v>
      </c>
      <c r="I507" s="975"/>
      <c r="J507" s="975"/>
    </row>
    <row r="508" ht="22.5" customHeight="1">
      <c r="A508" s="1019">
        <v>507.0</v>
      </c>
      <c r="B508" s="913" t="b">
        <v>0</v>
      </c>
      <c r="C508" s="1050" t="s">
        <v>7736</v>
      </c>
      <c r="D508" s="922"/>
      <c r="E508" s="1051" t="s">
        <v>7737</v>
      </c>
      <c r="F508" s="1052" t="s">
        <v>7738</v>
      </c>
      <c r="G508" s="924"/>
      <c r="H508" s="969" t="s">
        <v>7739</v>
      </c>
      <c r="I508" s="975"/>
      <c r="J508" s="975"/>
    </row>
    <row r="509" ht="22.5" customHeight="1">
      <c r="A509" s="1019">
        <v>508.0</v>
      </c>
      <c r="B509" s="913" t="b">
        <v>0</v>
      </c>
      <c r="C509" s="935" t="s">
        <v>7740</v>
      </c>
      <c r="D509" s="922"/>
      <c r="E509" s="1053">
        <v>7.730338799E9</v>
      </c>
      <c r="F509" s="1054" t="s">
        <v>7741</v>
      </c>
      <c r="G509" s="924"/>
      <c r="H509" s="1055" t="s">
        <v>7742</v>
      </c>
      <c r="I509" s="1056"/>
      <c r="J509" s="1056"/>
    </row>
    <row r="510" ht="22.5" customHeight="1">
      <c r="A510" s="1019">
        <v>509.0</v>
      </c>
      <c r="B510" s="913" t="b">
        <v>0</v>
      </c>
      <c r="C510" s="935" t="s">
        <v>7743</v>
      </c>
      <c r="D510" s="922"/>
      <c r="E510" s="922"/>
      <c r="F510" s="1057" t="s">
        <v>7744</v>
      </c>
      <c r="G510" s="924"/>
      <c r="H510" s="1058" t="s">
        <v>7745</v>
      </c>
      <c r="I510" s="1058"/>
      <c r="J510" s="1058"/>
    </row>
    <row r="511" ht="22.5" customHeight="1">
      <c r="A511" s="1019">
        <v>510.0</v>
      </c>
      <c r="B511" s="913" t="b">
        <v>0</v>
      </c>
      <c r="C511" s="935" t="s">
        <v>7746</v>
      </c>
      <c r="D511" s="936" t="s">
        <v>7747</v>
      </c>
      <c r="E511" s="922">
        <v>7.802074878E9</v>
      </c>
      <c r="F511" s="924"/>
      <c r="G511" s="924"/>
      <c r="H511" s="924"/>
      <c r="I511" s="933"/>
      <c r="J511" s="933"/>
    </row>
    <row r="512" ht="22.5" customHeight="1">
      <c r="A512" s="1019">
        <v>511.0</v>
      </c>
      <c r="B512" s="913" t="b">
        <v>0</v>
      </c>
      <c r="C512" s="935" t="s">
        <v>7748</v>
      </c>
      <c r="D512" s="922"/>
      <c r="E512" s="1027">
        <v>7.901921739E9</v>
      </c>
      <c r="F512" s="1028" t="s">
        <v>7708</v>
      </c>
      <c r="G512" s="924"/>
      <c r="H512" s="969" t="s">
        <v>7749</v>
      </c>
      <c r="I512" s="975"/>
      <c r="J512" s="975"/>
    </row>
    <row r="513" ht="22.5" customHeight="1">
      <c r="A513" s="1019">
        <v>512.0</v>
      </c>
      <c r="B513" s="913" t="b">
        <v>0</v>
      </c>
      <c r="C513" s="935" t="s">
        <v>7750</v>
      </c>
      <c r="D513" s="922"/>
      <c r="E513" s="1059">
        <v>9.647745059747E12</v>
      </c>
      <c r="F513" s="924"/>
      <c r="G513" s="924"/>
      <c r="H513" s="969" t="s">
        <v>7749</v>
      </c>
      <c r="I513" s="975"/>
      <c r="J513" s="975"/>
    </row>
    <row r="514" ht="22.5" customHeight="1">
      <c r="A514" s="1019">
        <v>513.0</v>
      </c>
      <c r="B514" s="913" t="b">
        <v>0</v>
      </c>
      <c r="C514" s="976" t="s">
        <v>7751</v>
      </c>
      <c r="D514" s="922"/>
      <c r="E514" s="1048" t="s">
        <v>7752</v>
      </c>
      <c r="F514" s="1060" t="s">
        <v>7753</v>
      </c>
      <c r="G514" s="924"/>
      <c r="H514" s="969" t="s">
        <v>7754</v>
      </c>
      <c r="I514" s="975"/>
      <c r="J514" s="975"/>
    </row>
    <row r="515" ht="22.5" customHeight="1">
      <c r="A515" s="1019">
        <v>514.0</v>
      </c>
      <c r="B515" s="913" t="b">
        <v>0</v>
      </c>
      <c r="C515" s="1061" t="s">
        <v>7755</v>
      </c>
      <c r="D515" s="922"/>
      <c r="E515" s="1062">
        <f>+982187184</f>
        <v>982187184</v>
      </c>
      <c r="F515" s="1063" t="s">
        <v>7756</v>
      </c>
      <c r="G515" s="924"/>
      <c r="H515" s="924" t="s">
        <v>7443</v>
      </c>
      <c r="I515" s="933"/>
      <c r="J515" s="933"/>
    </row>
    <row r="516" ht="22.5" customHeight="1">
      <c r="A516" s="1019">
        <v>515.0</v>
      </c>
      <c r="B516" s="913" t="b">
        <v>0</v>
      </c>
      <c r="C516" s="966" t="s">
        <v>7757</v>
      </c>
      <c r="D516" s="922"/>
      <c r="E516" s="1031" t="s">
        <v>7758</v>
      </c>
      <c r="F516" s="983" t="s">
        <v>7759</v>
      </c>
      <c r="G516" s="924"/>
      <c r="H516" s="969" t="s">
        <v>7760</v>
      </c>
      <c r="I516" s="975"/>
      <c r="J516" s="975"/>
    </row>
    <row r="517" ht="22.5" customHeight="1">
      <c r="A517" s="1019">
        <v>516.0</v>
      </c>
      <c r="B517" s="913" t="b">
        <v>0</v>
      </c>
      <c r="C517" s="1064" t="s">
        <v>7761</v>
      </c>
      <c r="D517" s="922"/>
      <c r="E517" s="1065">
        <v>15520.0</v>
      </c>
      <c r="F517" s="924"/>
      <c r="G517" s="924"/>
      <c r="H517" s="924"/>
      <c r="I517" s="933"/>
      <c r="J517" s="933"/>
    </row>
    <row r="518" ht="22.5" customHeight="1">
      <c r="A518" s="1019">
        <v>517.0</v>
      </c>
      <c r="B518" s="913" t="b">
        <v>0</v>
      </c>
      <c r="C518" s="935" t="s">
        <v>7762</v>
      </c>
      <c r="D518" s="922"/>
      <c r="E518" s="1066">
        <v>7.701525825E9</v>
      </c>
      <c r="F518" s="924"/>
      <c r="G518" s="924"/>
      <c r="H518" s="1067" t="s">
        <v>7763</v>
      </c>
      <c r="I518" s="1067"/>
      <c r="J518" s="1067"/>
    </row>
    <row r="519" ht="22.5" customHeight="1">
      <c r="A519" s="1019">
        <v>518.0</v>
      </c>
      <c r="B519" s="913" t="b">
        <v>0</v>
      </c>
      <c r="C519" s="935" t="s">
        <v>7764</v>
      </c>
      <c r="D519" s="922"/>
      <c r="E519" s="1048" t="s">
        <v>7765</v>
      </c>
      <c r="F519" s="1060" t="s">
        <v>7766</v>
      </c>
      <c r="G519" s="924"/>
      <c r="H519" s="969" t="s">
        <v>7009</v>
      </c>
      <c r="I519" s="975"/>
      <c r="J519" s="975"/>
    </row>
    <row r="520" ht="22.5" customHeight="1">
      <c r="A520" s="1019">
        <v>519.0</v>
      </c>
      <c r="B520" s="913" t="b">
        <v>0</v>
      </c>
      <c r="C520" s="981" t="s">
        <v>7767</v>
      </c>
      <c r="D520" s="922"/>
      <c r="E520" s="1048" t="s">
        <v>7768</v>
      </c>
      <c r="F520" s="931" t="s">
        <v>7769</v>
      </c>
      <c r="G520" s="924"/>
      <c r="H520" s="924"/>
      <c r="I520" s="933"/>
      <c r="J520" s="933"/>
    </row>
    <row r="521" ht="22.5" customHeight="1">
      <c r="A521" s="1019">
        <v>520.0</v>
      </c>
      <c r="B521" s="913" t="b">
        <v>0</v>
      </c>
      <c r="C521" s="966" t="s">
        <v>7770</v>
      </c>
      <c r="D521" s="922"/>
      <c r="E521" s="1048" t="s">
        <v>7771</v>
      </c>
      <c r="F521" s="1049" t="s">
        <v>7772</v>
      </c>
      <c r="G521" s="924"/>
      <c r="H521" s="969" t="s">
        <v>7773</v>
      </c>
      <c r="I521" s="975"/>
      <c r="J521" s="975"/>
    </row>
    <row r="522" ht="22.5" customHeight="1">
      <c r="A522" s="1019">
        <v>521.0</v>
      </c>
      <c r="B522" s="913" t="b">
        <v>0</v>
      </c>
      <c r="C522" s="1068" t="s">
        <v>7774</v>
      </c>
      <c r="D522" s="922"/>
      <c r="E522" s="1048" t="s">
        <v>7775</v>
      </c>
      <c r="F522" s="1049" t="s">
        <v>7776</v>
      </c>
      <c r="G522" s="924"/>
      <c r="H522" s="969" t="s">
        <v>7749</v>
      </c>
      <c r="I522" s="975"/>
      <c r="J522" s="975"/>
    </row>
    <row r="523" ht="22.5" customHeight="1">
      <c r="A523" s="1019">
        <v>522.0</v>
      </c>
      <c r="B523" s="913" t="b">
        <v>0</v>
      </c>
      <c r="C523" s="935" t="s">
        <v>7777</v>
      </c>
      <c r="D523" s="922"/>
      <c r="E523" s="1069" t="s">
        <v>7778</v>
      </c>
      <c r="F523" s="1070" t="s">
        <v>7779</v>
      </c>
      <c r="G523" s="924"/>
      <c r="H523" s="969" t="s">
        <v>7780</v>
      </c>
      <c r="I523" s="975"/>
      <c r="J523" s="975"/>
    </row>
    <row r="524" ht="22.5" customHeight="1">
      <c r="A524" s="1019">
        <v>523.0</v>
      </c>
      <c r="B524" s="913" t="b">
        <v>0</v>
      </c>
      <c r="C524" s="935" t="s">
        <v>7781</v>
      </c>
      <c r="D524" s="922"/>
      <c r="E524" s="922"/>
      <c r="F524" s="1071"/>
      <c r="G524" s="924"/>
      <c r="H524" s="924"/>
      <c r="I524" s="933"/>
      <c r="J524" s="933"/>
    </row>
    <row r="525" ht="22.5" customHeight="1">
      <c r="A525" s="1019">
        <v>524.0</v>
      </c>
      <c r="B525" s="913" t="b">
        <v>0</v>
      </c>
      <c r="C525" s="935" t="s">
        <v>7782</v>
      </c>
      <c r="D525" s="922"/>
      <c r="E525" s="1023">
        <v>1.018899934E9</v>
      </c>
      <c r="F525" s="1072" t="s">
        <v>7783</v>
      </c>
      <c r="G525" s="924"/>
      <c r="H525" s="969" t="s">
        <v>7773</v>
      </c>
      <c r="I525" s="975"/>
      <c r="J525" s="975"/>
    </row>
    <row r="526" ht="22.5" customHeight="1">
      <c r="A526" s="1019">
        <v>525.0</v>
      </c>
      <c r="B526" s="913" t="b">
        <v>0</v>
      </c>
      <c r="C526" s="935" t="s">
        <v>7784</v>
      </c>
      <c r="D526" s="922"/>
      <c r="E526" s="1073" t="s">
        <v>7785</v>
      </c>
      <c r="F526" s="924"/>
      <c r="G526" s="924"/>
      <c r="H526" s="969" t="s">
        <v>7786</v>
      </c>
      <c r="I526" s="975"/>
      <c r="J526" s="975"/>
    </row>
    <row r="527" ht="22.5" customHeight="1">
      <c r="A527" s="1019">
        <v>526.0</v>
      </c>
      <c r="B527" s="913" t="b">
        <v>0</v>
      </c>
      <c r="C527" s="1074" t="s">
        <v>7787</v>
      </c>
      <c r="D527" s="922"/>
      <c r="E527" s="1048" t="s">
        <v>7788</v>
      </c>
      <c r="F527" s="1049" t="s">
        <v>7789</v>
      </c>
      <c r="G527" s="924"/>
      <c r="H527" s="969" t="s">
        <v>7773</v>
      </c>
      <c r="I527" s="975"/>
      <c r="J527" s="975"/>
    </row>
    <row r="528" ht="22.5" customHeight="1">
      <c r="A528" s="1019">
        <v>527.0</v>
      </c>
      <c r="B528" s="913" t="b">
        <v>0</v>
      </c>
      <c r="C528" s="966" t="s">
        <v>7790</v>
      </c>
      <c r="D528" s="922"/>
      <c r="E528" s="922"/>
      <c r="F528" s="1075" t="s">
        <v>7791</v>
      </c>
      <c r="G528" s="924"/>
      <c r="H528" s="969" t="s">
        <v>7773</v>
      </c>
      <c r="I528" s="975"/>
      <c r="J528" s="975"/>
    </row>
    <row r="529" ht="22.5" customHeight="1">
      <c r="A529" s="1019">
        <v>528.0</v>
      </c>
      <c r="B529" s="913" t="b">
        <v>0</v>
      </c>
      <c r="C529" s="935" t="s">
        <v>7792</v>
      </c>
      <c r="D529" s="922"/>
      <c r="E529" s="1076" t="s">
        <v>7793</v>
      </c>
      <c r="F529" s="1049" t="s">
        <v>7794</v>
      </c>
      <c r="G529" s="924"/>
      <c r="H529" s="969" t="s">
        <v>7773</v>
      </c>
      <c r="I529" s="975"/>
      <c r="J529" s="975"/>
    </row>
    <row r="530" ht="22.5" customHeight="1">
      <c r="A530" s="1019">
        <v>529.0</v>
      </c>
      <c r="B530" s="913" t="b">
        <v>0</v>
      </c>
      <c r="C530" s="935" t="s">
        <v>7795</v>
      </c>
      <c r="D530" s="922"/>
      <c r="E530" s="1077" t="s">
        <v>7796</v>
      </c>
      <c r="F530" s="924"/>
      <c r="G530" s="924"/>
      <c r="H530" s="969" t="s">
        <v>7773</v>
      </c>
      <c r="I530" s="975"/>
      <c r="J530" s="975"/>
    </row>
    <row r="531" ht="22.5" customHeight="1">
      <c r="A531" s="1019">
        <v>530.0</v>
      </c>
      <c r="B531" s="913" t="b">
        <v>0</v>
      </c>
      <c r="C531" s="966" t="s">
        <v>7797</v>
      </c>
      <c r="D531" s="922"/>
      <c r="E531" s="1078" t="s">
        <v>7798</v>
      </c>
      <c r="F531" s="924"/>
      <c r="G531" s="924"/>
      <c r="H531" s="969" t="s">
        <v>7773</v>
      </c>
      <c r="I531" s="975"/>
      <c r="J531" s="975"/>
    </row>
    <row r="532" ht="22.5" customHeight="1">
      <c r="A532" s="1019">
        <v>531.0</v>
      </c>
      <c r="B532" s="913" t="b">
        <v>0</v>
      </c>
      <c r="C532" s="935" t="s">
        <v>7799</v>
      </c>
      <c r="D532" s="922"/>
      <c r="E532" s="1079" t="s">
        <v>7800</v>
      </c>
      <c r="F532" s="1080" t="s">
        <v>7801</v>
      </c>
      <c r="G532" s="924"/>
      <c r="H532" s="976" t="s">
        <v>7773</v>
      </c>
      <c r="I532" s="976"/>
      <c r="J532" s="976"/>
    </row>
    <row r="533" ht="22.5" customHeight="1">
      <c r="A533" s="1019">
        <v>532.0</v>
      </c>
      <c r="B533" s="913" t="b">
        <v>0</v>
      </c>
      <c r="C533" s="966" t="s">
        <v>7802</v>
      </c>
      <c r="D533" s="922"/>
      <c r="E533" s="1081" t="s">
        <v>7803</v>
      </c>
      <c r="F533" s="1082" t="s">
        <v>7804</v>
      </c>
      <c r="G533" s="924"/>
      <c r="H533" s="969" t="s">
        <v>7773</v>
      </c>
      <c r="I533" s="975"/>
      <c r="J533" s="975"/>
    </row>
    <row r="534" ht="22.5" customHeight="1">
      <c r="A534" s="1019">
        <v>533.0</v>
      </c>
      <c r="B534" s="913" t="b">
        <v>0</v>
      </c>
      <c r="C534" s="935" t="s">
        <v>7805</v>
      </c>
      <c r="D534" s="922"/>
      <c r="E534" s="1083" t="s">
        <v>7806</v>
      </c>
      <c r="F534" s="1084" t="s">
        <v>7807</v>
      </c>
      <c r="G534" s="924"/>
      <c r="H534" s="969" t="s">
        <v>7773</v>
      </c>
      <c r="I534" s="975"/>
      <c r="J534" s="975"/>
    </row>
    <row r="535" ht="21.0" customHeight="1">
      <c r="A535" s="1019">
        <v>534.0</v>
      </c>
      <c r="B535" s="913" t="b">
        <v>0</v>
      </c>
      <c r="C535" s="966" t="s">
        <v>7808</v>
      </c>
      <c r="D535" s="922"/>
      <c r="E535" s="1085">
        <v>1.012461617E9</v>
      </c>
      <c r="F535" s="1086" t="s">
        <v>7809</v>
      </c>
      <c r="G535" s="924"/>
      <c r="H535" s="924"/>
      <c r="I535" s="933"/>
      <c r="J535" s="933"/>
    </row>
    <row r="536" ht="22.5" customHeight="1">
      <c r="A536" s="1019">
        <v>535.0</v>
      </c>
      <c r="B536" s="913" t="b">
        <v>0</v>
      </c>
      <c r="C536" s="966" t="s">
        <v>7810</v>
      </c>
      <c r="D536" s="922"/>
      <c r="E536" s="1048">
        <v>2.01006662116E11</v>
      </c>
      <c r="F536" s="1049" t="s">
        <v>7811</v>
      </c>
      <c r="G536" s="924"/>
      <c r="H536" s="969" t="s">
        <v>7754</v>
      </c>
      <c r="I536" s="975"/>
      <c r="J536" s="975"/>
    </row>
    <row r="537" ht="22.5" customHeight="1">
      <c r="A537" s="1019">
        <v>536.0</v>
      </c>
      <c r="B537" s="913" t="b">
        <v>0</v>
      </c>
      <c r="C537" s="966" t="s">
        <v>7812</v>
      </c>
      <c r="D537" s="922"/>
      <c r="E537" s="1048" t="s">
        <v>7813</v>
      </c>
      <c r="F537" s="1072" t="s">
        <v>7814</v>
      </c>
      <c r="G537" s="924"/>
      <c r="H537" s="969" t="s">
        <v>7815</v>
      </c>
      <c r="I537" s="975"/>
      <c r="J537" s="975"/>
    </row>
    <row r="538" ht="22.5" customHeight="1">
      <c r="A538" s="1019">
        <v>537.0</v>
      </c>
      <c r="B538" s="913" t="b">
        <v>0</v>
      </c>
      <c r="C538" s="935" t="s">
        <v>7816</v>
      </c>
      <c r="D538" s="922"/>
      <c r="E538" s="1087"/>
      <c r="F538" s="1088" t="s">
        <v>7817</v>
      </c>
      <c r="G538" s="924"/>
      <c r="H538" s="1089" t="s">
        <v>7818</v>
      </c>
      <c r="I538" s="1090"/>
      <c r="J538" s="1090"/>
    </row>
    <row r="539" ht="22.5" customHeight="1">
      <c r="A539" s="1019">
        <v>538.0</v>
      </c>
      <c r="B539" s="913" t="b">
        <v>0</v>
      </c>
      <c r="C539" s="1091" t="s">
        <v>7819</v>
      </c>
      <c r="D539" s="922"/>
      <c r="E539" s="1092">
        <v>7.818822885E9</v>
      </c>
      <c r="F539" s="1093" t="s">
        <v>7820</v>
      </c>
      <c r="G539" s="924"/>
      <c r="H539" s="924"/>
      <c r="I539" s="933"/>
      <c r="J539" s="933"/>
    </row>
    <row r="540" ht="22.5" customHeight="1">
      <c r="A540" s="1019">
        <v>539.0</v>
      </c>
      <c r="B540" s="913" t="b">
        <v>0</v>
      </c>
      <c r="C540" s="935" t="s">
        <v>7821</v>
      </c>
      <c r="D540" s="922"/>
      <c r="E540" s="922"/>
      <c r="F540" s="924"/>
      <c r="G540" s="924"/>
      <c r="H540" s="924"/>
      <c r="I540" s="933"/>
      <c r="J540" s="933"/>
    </row>
    <row r="541" ht="22.5" customHeight="1">
      <c r="A541" s="1019">
        <v>540.0</v>
      </c>
      <c r="B541" s="913" t="b">
        <v>0</v>
      </c>
      <c r="C541" s="935" t="s">
        <v>7822</v>
      </c>
      <c r="D541" s="922"/>
      <c r="E541" s="1048">
        <v>7.814405363E9</v>
      </c>
      <c r="F541" s="1049" t="s">
        <v>7823</v>
      </c>
      <c r="G541" s="924"/>
      <c r="H541" s="969" t="s">
        <v>7824</v>
      </c>
      <c r="I541" s="975"/>
      <c r="J541" s="975"/>
    </row>
    <row r="542" ht="22.5" customHeight="1">
      <c r="A542" s="1019">
        <v>541.0</v>
      </c>
      <c r="B542" s="913" t="b">
        <v>0</v>
      </c>
      <c r="C542" s="935" t="s">
        <v>7825</v>
      </c>
      <c r="D542" s="922"/>
      <c r="E542" s="1094" t="s">
        <v>7826</v>
      </c>
      <c r="F542" s="924"/>
      <c r="G542" s="924"/>
      <c r="H542" s="969" t="s">
        <v>7754</v>
      </c>
      <c r="I542" s="975"/>
      <c r="J542" s="975"/>
    </row>
    <row r="543" ht="22.5" customHeight="1">
      <c r="A543" s="1019">
        <v>542.0</v>
      </c>
      <c r="B543" s="913" t="b">
        <v>0</v>
      </c>
      <c r="C543" s="1095" t="s">
        <v>7827</v>
      </c>
      <c r="D543" s="922"/>
      <c r="E543" s="1096" t="s">
        <v>7828</v>
      </c>
      <c r="F543" s="1097" t="s">
        <v>7829</v>
      </c>
      <c r="G543" s="924"/>
      <c r="H543" s="969" t="s">
        <v>7830</v>
      </c>
      <c r="I543" s="975"/>
      <c r="J543" s="975"/>
    </row>
    <row r="544" ht="22.5" customHeight="1">
      <c r="A544" s="1019">
        <v>543.0</v>
      </c>
      <c r="B544" s="913" t="b">
        <v>0</v>
      </c>
      <c r="C544" s="1098" t="s">
        <v>7831</v>
      </c>
      <c r="D544" s="922"/>
      <c r="E544" s="1099">
        <v>9.7148931E10</v>
      </c>
      <c r="F544" s="1041" t="s">
        <v>7832</v>
      </c>
      <c r="G544" s="924"/>
      <c r="H544" s="969" t="s">
        <v>7833</v>
      </c>
      <c r="I544" s="975"/>
      <c r="J544" s="975"/>
    </row>
    <row r="545" ht="22.5" customHeight="1">
      <c r="A545" s="1019">
        <v>544.0</v>
      </c>
      <c r="B545" s="913" t="b">
        <v>0</v>
      </c>
      <c r="C545" s="935" t="s">
        <v>7834</v>
      </c>
      <c r="D545" s="922"/>
      <c r="E545" s="1066">
        <v>7.701525825E9</v>
      </c>
      <c r="F545" s="924"/>
      <c r="G545" s="924"/>
      <c r="H545" s="1100" t="s">
        <v>7835</v>
      </c>
      <c r="I545" s="1101"/>
      <c r="J545" s="1101"/>
    </row>
    <row r="546" ht="22.5" customHeight="1">
      <c r="A546" s="1019">
        <v>545.0</v>
      </c>
      <c r="B546" s="913" t="b">
        <v>0</v>
      </c>
      <c r="C546" s="979" t="s">
        <v>7836</v>
      </c>
      <c r="D546" s="922"/>
      <c r="E546" s="1102">
        <v>9.108939813E9</v>
      </c>
      <c r="F546" s="1103" t="s">
        <v>7837</v>
      </c>
      <c r="G546" s="924"/>
      <c r="H546" s="979" t="s">
        <v>7838</v>
      </c>
      <c r="I546" s="976"/>
      <c r="J546" s="976"/>
    </row>
    <row r="547" ht="22.5" customHeight="1">
      <c r="A547" s="1019">
        <v>546.0</v>
      </c>
      <c r="B547" s="913" t="b">
        <v>0</v>
      </c>
      <c r="C547" s="935" t="s">
        <v>7839</v>
      </c>
      <c r="D547" s="922"/>
      <c r="E547" s="1104" t="s">
        <v>7840</v>
      </c>
      <c r="F547" s="1105" t="s">
        <v>7841</v>
      </c>
      <c r="G547" s="924"/>
      <c r="H547" s="969" t="s">
        <v>7842</v>
      </c>
      <c r="I547" s="975"/>
      <c r="J547" s="975"/>
    </row>
    <row r="548" ht="22.5" customHeight="1">
      <c r="A548" s="1019">
        <v>547.0</v>
      </c>
      <c r="B548" s="913" t="b">
        <v>0</v>
      </c>
      <c r="C548" s="1106" t="s">
        <v>7843</v>
      </c>
      <c r="D548" s="922"/>
      <c r="E548" s="1107">
        <f>20224662183</f>
        <v>20224662183</v>
      </c>
      <c r="F548" s="1108" t="s">
        <v>7844</v>
      </c>
      <c r="G548" s="924"/>
      <c r="H548" s="969" t="s">
        <v>7754</v>
      </c>
      <c r="I548" s="975"/>
      <c r="J548" s="975"/>
    </row>
    <row r="549" ht="22.5" customHeight="1">
      <c r="A549" s="1019">
        <v>548.0</v>
      </c>
      <c r="B549" s="913" t="b">
        <v>0</v>
      </c>
      <c r="C549" s="1109" t="s">
        <v>7845</v>
      </c>
      <c r="D549" s="922"/>
      <c r="E549" s="1110" t="s">
        <v>7846</v>
      </c>
      <c r="F549" s="1111" t="s">
        <v>7847</v>
      </c>
      <c r="G549" s="924"/>
      <c r="H549" s="969" t="s">
        <v>7848</v>
      </c>
      <c r="I549" s="975"/>
      <c r="J549" s="975"/>
    </row>
    <row r="550" ht="22.5" customHeight="1">
      <c r="A550" s="1019">
        <v>549.0</v>
      </c>
      <c r="B550" s="913" t="b">
        <v>0</v>
      </c>
      <c r="C550" s="1112" t="s">
        <v>7849</v>
      </c>
      <c r="D550" s="922"/>
      <c r="E550" s="1113" t="s">
        <v>7850</v>
      </c>
      <c r="F550" s="1114" t="s">
        <v>7851</v>
      </c>
      <c r="G550" s="924"/>
      <c r="H550" s="969" t="s">
        <v>7754</v>
      </c>
      <c r="I550" s="975"/>
      <c r="J550" s="975"/>
    </row>
    <row r="551" ht="22.5" customHeight="1">
      <c r="A551" s="1019">
        <v>550.0</v>
      </c>
      <c r="B551" s="913" t="b">
        <v>0</v>
      </c>
      <c r="C551" s="1115" t="s">
        <v>7852</v>
      </c>
      <c r="D551" s="922"/>
      <c r="E551" s="1116" t="s">
        <v>7853</v>
      </c>
      <c r="F551" s="1117" t="s">
        <v>7854</v>
      </c>
      <c r="G551" s="924"/>
      <c r="H551" s="969" t="s">
        <v>7830</v>
      </c>
      <c r="I551" s="975"/>
      <c r="J551" s="975"/>
    </row>
    <row r="552" ht="22.5" customHeight="1">
      <c r="A552" s="1019">
        <v>551.0</v>
      </c>
      <c r="B552" s="913" t="b">
        <v>0</v>
      </c>
      <c r="C552" s="966" t="s">
        <v>7855</v>
      </c>
      <c r="D552" s="922"/>
      <c r="E552" s="1118" t="s">
        <v>7856</v>
      </c>
      <c r="F552" s="1119" t="s">
        <v>7857</v>
      </c>
      <c r="G552" s="924"/>
      <c r="H552" s="969" t="s">
        <v>7754</v>
      </c>
      <c r="I552" s="975"/>
      <c r="J552" s="975"/>
    </row>
    <row r="553" ht="22.5" customHeight="1">
      <c r="A553" s="1019">
        <v>552.0</v>
      </c>
      <c r="B553" s="913" t="b">
        <v>0</v>
      </c>
      <c r="C553" s="1120" t="s">
        <v>7858</v>
      </c>
      <c r="D553" s="922"/>
      <c r="E553" s="922"/>
      <c r="F553" s="1049" t="s">
        <v>7811</v>
      </c>
      <c r="G553" s="924"/>
      <c r="H553" s="969" t="s">
        <v>7754</v>
      </c>
      <c r="I553" s="975"/>
      <c r="J553" s="975"/>
    </row>
    <row r="554" ht="22.5" customHeight="1">
      <c r="A554" s="1019">
        <v>553.0</v>
      </c>
      <c r="B554" s="913" t="b">
        <v>0</v>
      </c>
      <c r="C554" s="1121" t="s">
        <v>7859</v>
      </c>
      <c r="D554" s="922"/>
      <c r="E554" s="1122" t="s">
        <v>7860</v>
      </c>
      <c r="F554" s="1123" t="s">
        <v>7861</v>
      </c>
      <c r="G554" s="924"/>
      <c r="H554" s="969" t="s">
        <v>7830</v>
      </c>
      <c r="I554" s="975"/>
      <c r="J554" s="975"/>
    </row>
    <row r="555" ht="22.5" customHeight="1">
      <c r="A555" s="1019">
        <v>554.0</v>
      </c>
      <c r="B555" s="913" t="b">
        <v>0</v>
      </c>
      <c r="C555" s="1124" t="s">
        <v>7862</v>
      </c>
      <c r="D555" s="922"/>
      <c r="E555" s="1102">
        <v>19052.0</v>
      </c>
      <c r="F555" s="1125" t="s">
        <v>7863</v>
      </c>
      <c r="G555" s="924"/>
      <c r="H555" s="924"/>
      <c r="I555" s="933"/>
      <c r="J555" s="933"/>
    </row>
    <row r="556" ht="22.5" customHeight="1">
      <c r="A556" s="912">
        <v>555.0</v>
      </c>
      <c r="B556" s="913" t="b">
        <v>0</v>
      </c>
      <c r="C556" s="1126" t="s">
        <v>7864</v>
      </c>
      <c r="D556" s="922"/>
      <c r="E556" s="1127">
        <v>7.736221522E9</v>
      </c>
      <c r="F556" s="1041" t="s">
        <v>7865</v>
      </c>
      <c r="G556" s="924"/>
      <c r="H556" s="969" t="s">
        <v>7754</v>
      </c>
      <c r="I556" s="975"/>
      <c r="J556" s="975"/>
    </row>
    <row r="557" ht="22.5" customHeight="1">
      <c r="A557" s="912">
        <v>556.0</v>
      </c>
      <c r="B557" s="913" t="b">
        <v>0</v>
      </c>
      <c r="C557" s="935" t="s">
        <v>7688</v>
      </c>
      <c r="D557" s="1008" t="s">
        <v>7866</v>
      </c>
      <c r="E557" s="922">
        <v>7.504556575E9</v>
      </c>
      <c r="F557" s="1128" t="s">
        <v>7690</v>
      </c>
      <c r="G557" s="924"/>
      <c r="H557" s="924"/>
      <c r="I557" s="933"/>
      <c r="J557" s="933"/>
    </row>
    <row r="558" ht="22.5" customHeight="1">
      <c r="A558" s="912">
        <v>557.0</v>
      </c>
      <c r="B558" s="913" t="b">
        <v>0</v>
      </c>
      <c r="C558" s="966" t="s">
        <v>7505</v>
      </c>
      <c r="D558" s="922"/>
      <c r="E558" s="922">
        <v>7.5025692E9</v>
      </c>
      <c r="F558" s="924" t="s">
        <v>7867</v>
      </c>
      <c r="G558" s="924"/>
      <c r="H558" s="969" t="s">
        <v>7009</v>
      </c>
      <c r="I558" s="975"/>
      <c r="J558" s="975"/>
    </row>
    <row r="559" ht="22.5" customHeight="1">
      <c r="A559" s="912">
        <v>558.0</v>
      </c>
      <c r="B559" s="913" t="b">
        <v>0</v>
      </c>
      <c r="C559" s="966" t="s">
        <v>7868</v>
      </c>
      <c r="D559" s="922" t="s">
        <v>7869</v>
      </c>
      <c r="E559" s="922">
        <v>7.507174345E9</v>
      </c>
      <c r="F559" s="924" t="s">
        <v>7870</v>
      </c>
      <c r="G559" s="924"/>
      <c r="H559" s="969" t="s">
        <v>7009</v>
      </c>
      <c r="I559" s="975"/>
      <c r="J559" s="975"/>
    </row>
    <row r="560" ht="22.5" customHeight="1">
      <c r="A560" s="912"/>
      <c r="B560" s="913" t="b">
        <v>0</v>
      </c>
      <c r="C560" s="935" t="s">
        <v>7871</v>
      </c>
      <c r="D560" s="922"/>
      <c r="E560" s="1129" t="s">
        <v>7872</v>
      </c>
      <c r="F560" s="924"/>
      <c r="G560" s="924"/>
      <c r="H560" s="924"/>
      <c r="I560" s="933"/>
      <c r="J560" s="933"/>
    </row>
    <row r="561" ht="22.5" customHeight="1">
      <c r="A561" s="912"/>
      <c r="B561" s="913" t="b">
        <v>0</v>
      </c>
      <c r="C561" s="966" t="s">
        <v>7873</v>
      </c>
      <c r="D561" s="922" t="s">
        <v>7874</v>
      </c>
      <c r="E561" s="922">
        <v>9.05300943802E11</v>
      </c>
      <c r="F561" s="924" t="s">
        <v>7875</v>
      </c>
      <c r="G561" s="924"/>
      <c r="H561" s="924"/>
      <c r="I561" s="933"/>
      <c r="J561" s="933"/>
    </row>
    <row r="562" ht="22.5" customHeight="1">
      <c r="A562" s="1019">
        <v>560.0</v>
      </c>
      <c r="B562" s="913" t="b">
        <v>0</v>
      </c>
      <c r="C562" s="935" t="s">
        <v>7876</v>
      </c>
      <c r="D562" s="922"/>
      <c r="E562" s="922"/>
      <c r="F562" s="924"/>
      <c r="G562" s="924"/>
      <c r="H562" s="924"/>
      <c r="I562" s="933"/>
      <c r="J562" s="933"/>
    </row>
    <row r="563" ht="22.5" customHeight="1">
      <c r="A563" s="1019">
        <v>561.0</v>
      </c>
      <c r="B563" s="913" t="b">
        <v>0</v>
      </c>
      <c r="C563" s="1130" t="s">
        <v>7877</v>
      </c>
      <c r="D563" s="922"/>
      <c r="E563" s="1131" t="s">
        <v>7878</v>
      </c>
      <c r="F563" s="1132" t="s">
        <v>7879</v>
      </c>
      <c r="G563" s="924"/>
      <c r="H563" s="969" t="s">
        <v>7718</v>
      </c>
      <c r="I563" s="975"/>
      <c r="J563" s="975"/>
    </row>
    <row r="564" ht="22.5" customHeight="1">
      <c r="A564" s="1019">
        <v>562.0</v>
      </c>
      <c r="B564" s="913" t="b">
        <v>0</v>
      </c>
      <c r="C564" s="966" t="s">
        <v>7880</v>
      </c>
      <c r="D564" s="922"/>
      <c r="E564" s="1133" t="s">
        <v>7881</v>
      </c>
      <c r="F564" s="1134" t="s">
        <v>7882</v>
      </c>
      <c r="G564" s="924"/>
      <c r="H564" s="969" t="s">
        <v>7883</v>
      </c>
      <c r="I564" s="975"/>
      <c r="J564" s="975"/>
    </row>
    <row r="565" ht="22.5" customHeight="1">
      <c r="A565" s="1019">
        <v>563.0</v>
      </c>
      <c r="B565" s="913" t="b">
        <v>0</v>
      </c>
      <c r="C565" s="935" t="s">
        <v>7713</v>
      </c>
      <c r="D565" s="922"/>
      <c r="E565" s="922"/>
      <c r="F565" s="924"/>
      <c r="G565" s="924"/>
      <c r="H565" s="924"/>
      <c r="I565" s="933"/>
      <c r="J565" s="933"/>
    </row>
    <row r="566" ht="22.5" customHeight="1">
      <c r="A566" s="1019">
        <v>564.0</v>
      </c>
      <c r="B566" s="913" t="b">
        <v>0</v>
      </c>
      <c r="C566" s="966" t="s">
        <v>7884</v>
      </c>
      <c r="D566" s="922"/>
      <c r="E566" s="922"/>
      <c r="F566" s="924"/>
      <c r="G566" s="924"/>
      <c r="H566" s="924"/>
      <c r="I566" s="933"/>
      <c r="J566" s="933"/>
    </row>
    <row r="567" ht="22.5" customHeight="1">
      <c r="A567" s="1019">
        <v>565.0</v>
      </c>
      <c r="B567" s="913" t="b">
        <v>0</v>
      </c>
      <c r="C567" s="1135" t="s">
        <v>7885</v>
      </c>
      <c r="D567" s="922"/>
      <c r="E567" s="1136" t="s">
        <v>7886</v>
      </c>
      <c r="F567" s="1137" t="s">
        <v>7887</v>
      </c>
      <c r="G567" s="924"/>
      <c r="H567" s="969" t="s">
        <v>7888</v>
      </c>
      <c r="I567" s="975"/>
      <c r="J567" s="975"/>
    </row>
    <row r="568" ht="22.5" customHeight="1">
      <c r="A568" s="1019">
        <v>566.0</v>
      </c>
      <c r="B568" s="913" t="b">
        <v>0</v>
      </c>
      <c r="C568" s="1138" t="s">
        <v>7889</v>
      </c>
      <c r="D568" s="922"/>
      <c r="E568" s="1127" t="s">
        <v>7890</v>
      </c>
      <c r="F568" s="1139" t="s">
        <v>7891</v>
      </c>
      <c r="G568" s="924"/>
      <c r="H568" s="924"/>
      <c r="I568" s="933"/>
      <c r="J568" s="933"/>
    </row>
    <row r="569" ht="22.5" customHeight="1">
      <c r="A569" s="1019">
        <v>567.0</v>
      </c>
      <c r="B569" s="913" t="b">
        <v>0</v>
      </c>
      <c r="C569" s="935" t="s">
        <v>7892</v>
      </c>
      <c r="D569" s="922"/>
      <c r="E569" s="922">
        <v>7.702828099E9</v>
      </c>
      <c r="F569" s="1140" t="s">
        <v>7893</v>
      </c>
      <c r="G569" s="924"/>
      <c r="H569" s="969" t="s">
        <v>7894</v>
      </c>
      <c r="I569" s="975"/>
      <c r="J569" s="975"/>
    </row>
    <row r="570" ht="22.5" customHeight="1">
      <c r="A570" s="1019">
        <v>568.0</v>
      </c>
      <c r="B570" s="913" t="b">
        <v>0</v>
      </c>
      <c r="C570" s="981" t="s">
        <v>7895</v>
      </c>
      <c r="D570" s="922"/>
      <c r="E570" s="1141" t="s">
        <v>7896</v>
      </c>
      <c r="F570" s="1049" t="s">
        <v>7897</v>
      </c>
      <c r="G570" s="924"/>
      <c r="H570" s="969" t="s">
        <v>7749</v>
      </c>
      <c r="I570" s="975"/>
      <c r="J570" s="975"/>
    </row>
    <row r="571" ht="22.5" customHeight="1">
      <c r="A571" s="1019">
        <v>569.0</v>
      </c>
      <c r="B571" s="913" t="b">
        <v>0</v>
      </c>
      <c r="C571" s="935" t="s">
        <v>7746</v>
      </c>
      <c r="D571" s="936" t="s">
        <v>7898</v>
      </c>
      <c r="E571" s="922">
        <v>7.802074878E9</v>
      </c>
      <c r="F571" s="924"/>
      <c r="G571" s="924"/>
      <c r="H571" s="924"/>
      <c r="I571" s="933"/>
      <c r="J571" s="933"/>
    </row>
    <row r="572" ht="22.5" customHeight="1">
      <c r="A572" s="1019">
        <v>570.0</v>
      </c>
      <c r="B572" s="913" t="b">
        <v>0</v>
      </c>
      <c r="C572" s="1142" t="s">
        <v>7899</v>
      </c>
      <c r="D572" s="922"/>
      <c r="E572" s="1143">
        <v>1.090090097E9</v>
      </c>
      <c r="F572" s="1144" t="s">
        <v>7900</v>
      </c>
      <c r="G572" s="924"/>
      <c r="H572" s="969" t="s">
        <v>7754</v>
      </c>
      <c r="I572" s="975"/>
      <c r="J572" s="975"/>
    </row>
    <row r="573" ht="22.5" customHeight="1">
      <c r="A573" s="1019">
        <v>571.0</v>
      </c>
      <c r="B573" s="913" t="b">
        <v>0</v>
      </c>
      <c r="C573" s="935" t="s">
        <v>7901</v>
      </c>
      <c r="D573" s="922"/>
      <c r="E573" s="1143" t="s">
        <v>7902</v>
      </c>
      <c r="F573" s="1145" t="s">
        <v>7903</v>
      </c>
      <c r="G573" s="924"/>
      <c r="H573" s="969" t="s">
        <v>7718</v>
      </c>
      <c r="I573" s="975"/>
      <c r="J573" s="975"/>
    </row>
    <row r="574" ht="22.5" customHeight="1">
      <c r="A574" s="1019">
        <v>572.0</v>
      </c>
      <c r="B574" s="913" t="b">
        <v>0</v>
      </c>
      <c r="C574" s="935" t="s">
        <v>7904</v>
      </c>
      <c r="D574" s="922"/>
      <c r="E574" s="922"/>
      <c r="F574" s="924"/>
      <c r="G574" s="924"/>
      <c r="H574" s="924"/>
      <c r="I574" s="933"/>
      <c r="J574" s="933"/>
    </row>
    <row r="575" ht="22.5" customHeight="1">
      <c r="A575" s="1019">
        <v>573.0</v>
      </c>
      <c r="B575" s="913" t="b">
        <v>0</v>
      </c>
      <c r="C575" s="935" t="s">
        <v>7905</v>
      </c>
      <c r="D575" s="922"/>
      <c r="E575" s="1146" t="s">
        <v>7906</v>
      </c>
      <c r="F575" s="924"/>
      <c r="G575" s="924"/>
      <c r="H575" s="924"/>
      <c r="I575" s="933"/>
      <c r="J575" s="933"/>
    </row>
    <row r="576" ht="22.5" customHeight="1">
      <c r="A576" s="912">
        <v>574.0</v>
      </c>
      <c r="B576" s="913" t="b">
        <v>0</v>
      </c>
      <c r="C576" s="966" t="s">
        <v>7907</v>
      </c>
      <c r="D576" s="922"/>
      <c r="E576" s="922">
        <v>8.613538467125E12</v>
      </c>
      <c r="F576" s="924" t="s">
        <v>7908</v>
      </c>
      <c r="G576" s="924"/>
      <c r="H576" s="969" t="s">
        <v>7888</v>
      </c>
      <c r="I576" s="975"/>
      <c r="J576" s="975"/>
    </row>
    <row r="577" ht="22.5" customHeight="1">
      <c r="A577" s="912">
        <v>575.0</v>
      </c>
      <c r="B577" s="913" t="b">
        <v>0</v>
      </c>
      <c r="C577" s="1147" t="s">
        <v>7909</v>
      </c>
      <c r="D577" s="922"/>
      <c r="E577" s="1148" t="s">
        <v>7910</v>
      </c>
      <c r="F577" s="1149" t="s">
        <v>7911</v>
      </c>
      <c r="G577" s="924"/>
      <c r="H577" s="969" t="s">
        <v>7888</v>
      </c>
      <c r="I577" s="975"/>
      <c r="J577" s="975"/>
    </row>
    <row r="578" ht="22.5" customHeight="1">
      <c r="A578" s="912">
        <v>576.0</v>
      </c>
      <c r="B578" s="913" t="b">
        <v>0</v>
      </c>
      <c r="C578" s="1150" t="s">
        <v>7912</v>
      </c>
      <c r="D578" s="922"/>
      <c r="E578" s="1151" t="s">
        <v>7913</v>
      </c>
      <c r="F578" s="1152" t="s">
        <v>7914</v>
      </c>
      <c r="G578" s="924"/>
      <c r="H578" s="969" t="s">
        <v>7888</v>
      </c>
      <c r="I578" s="975"/>
      <c r="J578" s="975"/>
    </row>
    <row r="579" ht="22.5" customHeight="1">
      <c r="A579" s="912">
        <v>577.0</v>
      </c>
      <c r="B579" s="913" t="b">
        <v>0</v>
      </c>
      <c r="C579" s="1153" t="s">
        <v>7915</v>
      </c>
      <c r="D579" s="922"/>
      <c r="E579" s="1154">
        <v>8.618752863636E12</v>
      </c>
      <c r="F579" s="1155" t="s">
        <v>7916</v>
      </c>
      <c r="G579" s="924"/>
      <c r="H579" s="969" t="s">
        <v>7888</v>
      </c>
      <c r="I579" s="975"/>
      <c r="J579" s="975"/>
    </row>
    <row r="580" ht="22.5" customHeight="1">
      <c r="A580" s="912">
        <v>578.0</v>
      </c>
      <c r="B580" s="913" t="b">
        <v>0</v>
      </c>
      <c r="C580" s="1156" t="s">
        <v>7917</v>
      </c>
      <c r="D580" s="922"/>
      <c r="E580" s="922"/>
      <c r="F580" s="924"/>
      <c r="G580" s="924"/>
      <c r="H580" s="969" t="s">
        <v>7888</v>
      </c>
      <c r="I580" s="975"/>
      <c r="J580" s="975"/>
    </row>
    <row r="581" ht="22.5" customHeight="1">
      <c r="A581" s="912">
        <v>579.0</v>
      </c>
      <c r="B581" s="913" t="b">
        <v>0</v>
      </c>
      <c r="C581" s="1157" t="s">
        <v>7918</v>
      </c>
      <c r="D581" s="922"/>
      <c r="E581" s="922">
        <v>8.613724640373E12</v>
      </c>
      <c r="F581" s="924" t="s">
        <v>7919</v>
      </c>
      <c r="G581" s="924"/>
      <c r="H581" s="969" t="s">
        <v>7888</v>
      </c>
      <c r="I581" s="975"/>
      <c r="J581" s="975"/>
    </row>
    <row r="582" ht="22.5" customHeight="1">
      <c r="A582" s="912">
        <v>580.0</v>
      </c>
      <c r="B582" s="913" t="b">
        <v>0</v>
      </c>
      <c r="C582" s="966" t="s">
        <v>7920</v>
      </c>
      <c r="D582" s="922"/>
      <c r="E582" s="922">
        <v>8.615258845257E12</v>
      </c>
      <c r="F582" s="924" t="s">
        <v>7921</v>
      </c>
      <c r="G582" s="924"/>
      <c r="H582" s="969" t="s">
        <v>7888</v>
      </c>
      <c r="I582" s="975"/>
      <c r="J582" s="975"/>
    </row>
    <row r="583" ht="22.5" customHeight="1">
      <c r="A583" s="912">
        <v>581.0</v>
      </c>
      <c r="B583" s="913" t="b">
        <v>0</v>
      </c>
      <c r="C583" s="1158" t="s">
        <v>7922</v>
      </c>
      <c r="D583" s="922"/>
      <c r="E583" s="922">
        <v>8.615967768608E12</v>
      </c>
      <c r="F583" s="924" t="s">
        <v>7923</v>
      </c>
      <c r="G583" s="924"/>
      <c r="H583" s="969" t="s">
        <v>7888</v>
      </c>
      <c r="I583" s="975"/>
      <c r="J583" s="975"/>
    </row>
    <row r="584" ht="22.5" customHeight="1">
      <c r="A584" s="912">
        <v>582.0</v>
      </c>
      <c r="B584" s="913" t="b">
        <v>0</v>
      </c>
      <c r="C584" s="966" t="s">
        <v>7924</v>
      </c>
      <c r="D584" s="922"/>
      <c r="E584" s="922">
        <v>1.8779252357E10</v>
      </c>
      <c r="F584" s="924" t="s">
        <v>7925</v>
      </c>
      <c r="G584" s="924"/>
      <c r="H584" s="924"/>
      <c r="I584" s="933"/>
      <c r="J584" s="933"/>
    </row>
    <row r="585" ht="22.5" customHeight="1">
      <c r="A585" s="912">
        <v>583.0</v>
      </c>
      <c r="B585" s="913" t="b">
        <v>0</v>
      </c>
      <c r="C585" s="1159" t="s">
        <v>7926</v>
      </c>
      <c r="D585" s="922"/>
      <c r="E585" s="922">
        <v>8.613861397676E12</v>
      </c>
      <c r="F585" s="924" t="s">
        <v>7927</v>
      </c>
      <c r="G585" s="924"/>
      <c r="H585" s="969" t="s">
        <v>7888</v>
      </c>
      <c r="I585" s="975"/>
      <c r="J585" s="975"/>
    </row>
    <row r="586" ht="22.5" customHeight="1">
      <c r="A586" s="912">
        <v>584.0</v>
      </c>
      <c r="B586" s="913" t="b">
        <v>0</v>
      </c>
      <c r="C586" s="1160" t="s">
        <v>7928</v>
      </c>
      <c r="D586" s="922"/>
      <c r="E586" s="1127" t="s">
        <v>7929</v>
      </c>
      <c r="F586" s="1041" t="s">
        <v>7930</v>
      </c>
      <c r="G586" s="924"/>
      <c r="H586" s="979" t="s">
        <v>7931</v>
      </c>
      <c r="I586" s="976"/>
      <c r="J586" s="976"/>
    </row>
    <row r="587" ht="22.5" customHeight="1">
      <c r="A587" s="912">
        <v>585.0</v>
      </c>
      <c r="B587" s="913" t="b">
        <v>0</v>
      </c>
      <c r="C587" s="966" t="s">
        <v>7932</v>
      </c>
      <c r="D587" s="922"/>
      <c r="E587" s="922">
        <v>8.613777857247E12</v>
      </c>
      <c r="F587" s="1161" t="s">
        <v>7933</v>
      </c>
      <c r="G587" s="924"/>
      <c r="H587" s="969" t="s">
        <v>7888</v>
      </c>
      <c r="I587" s="975"/>
      <c r="J587" s="975"/>
    </row>
    <row r="588" ht="22.5" customHeight="1">
      <c r="A588" s="912">
        <v>586.0</v>
      </c>
      <c r="B588" s="913" t="b">
        <v>0</v>
      </c>
      <c r="C588" s="1162" t="s">
        <v>7934</v>
      </c>
      <c r="D588" s="922"/>
      <c r="E588" s="922">
        <v>8.61356717694E12</v>
      </c>
      <c r="F588" s="1163" t="s">
        <v>7935</v>
      </c>
      <c r="G588" s="924"/>
      <c r="H588" s="979" t="s">
        <v>7931</v>
      </c>
      <c r="I588" s="976"/>
      <c r="J588" s="976"/>
    </row>
    <row r="589" ht="22.5" customHeight="1">
      <c r="A589" s="912">
        <v>587.0</v>
      </c>
      <c r="B589" s="913" t="b">
        <v>0</v>
      </c>
      <c r="C589" s="1164" t="s">
        <v>7936</v>
      </c>
      <c r="D589" s="922"/>
      <c r="E589" s="922">
        <v>8.61392991905E11</v>
      </c>
      <c r="F589" s="924" t="s">
        <v>7937</v>
      </c>
      <c r="G589" s="924"/>
      <c r="H589" s="969" t="s">
        <v>7888</v>
      </c>
      <c r="I589" s="975"/>
      <c r="J589" s="975"/>
    </row>
    <row r="590" ht="22.5" customHeight="1">
      <c r="A590" s="912">
        <v>588.0</v>
      </c>
      <c r="B590" s="913" t="b">
        <v>0</v>
      </c>
      <c r="C590" s="1165" t="s">
        <v>7938</v>
      </c>
      <c r="D590" s="922"/>
      <c r="E590" s="1051">
        <v>8.615628909608E12</v>
      </c>
      <c r="F590" s="1166" t="s">
        <v>7939</v>
      </c>
      <c r="G590" s="924"/>
      <c r="H590" s="969" t="s">
        <v>7888</v>
      </c>
      <c r="I590" s="975"/>
      <c r="J590" s="975"/>
    </row>
    <row r="591" ht="22.5" customHeight="1">
      <c r="A591" s="912">
        <v>589.0</v>
      </c>
      <c r="B591" s="913" t="b">
        <v>0</v>
      </c>
      <c r="C591" s="966" t="s">
        <v>7940</v>
      </c>
      <c r="D591" s="922"/>
      <c r="E591" s="1167" t="s">
        <v>7941</v>
      </c>
      <c r="F591" s="1168" t="s">
        <v>7942</v>
      </c>
      <c r="G591" s="924"/>
      <c r="H591" s="976" t="s">
        <v>7931</v>
      </c>
      <c r="I591" s="976"/>
      <c r="J591" s="976"/>
    </row>
    <row r="592" ht="22.5" customHeight="1">
      <c r="A592" s="912">
        <v>590.0</v>
      </c>
      <c r="B592" s="913" t="b">
        <v>0</v>
      </c>
      <c r="C592" s="935" t="s">
        <v>7943</v>
      </c>
      <c r="D592" s="922"/>
      <c r="E592" s="922">
        <v>7.503761005E9</v>
      </c>
      <c r="F592" s="924" t="s">
        <v>7944</v>
      </c>
      <c r="G592" s="924"/>
      <c r="H592" s="969" t="s">
        <v>7945</v>
      </c>
      <c r="I592" s="975"/>
      <c r="J592" s="975"/>
    </row>
    <row r="593" ht="22.5" customHeight="1">
      <c r="A593" s="912">
        <v>591.0</v>
      </c>
      <c r="B593" s="913" t="b">
        <v>0</v>
      </c>
      <c r="C593" s="1169" t="s">
        <v>7946</v>
      </c>
      <c r="D593" s="922"/>
      <c r="E593" s="922">
        <v>8.61397670936E12</v>
      </c>
      <c r="F593" s="924" t="s">
        <v>7947</v>
      </c>
      <c r="G593" s="924"/>
      <c r="H593" s="969" t="s">
        <v>7888</v>
      </c>
      <c r="I593" s="975"/>
      <c r="J593" s="975"/>
    </row>
    <row r="594" ht="22.5" customHeight="1">
      <c r="A594" s="912">
        <v>592.0</v>
      </c>
      <c r="B594" s="913" t="b">
        <v>0</v>
      </c>
      <c r="C594" s="1170" t="s">
        <v>7948</v>
      </c>
      <c r="D594" s="922"/>
      <c r="E594" s="1171" t="s">
        <v>7949</v>
      </c>
      <c r="F594" s="1172" t="s">
        <v>7950</v>
      </c>
      <c r="G594" s="924"/>
      <c r="H594" s="978" t="s">
        <v>7931</v>
      </c>
      <c r="I594" s="977"/>
      <c r="J594" s="977"/>
    </row>
    <row r="595" ht="22.5" customHeight="1">
      <c r="A595" s="912">
        <v>593.0</v>
      </c>
      <c r="B595" s="913" t="b">
        <v>0</v>
      </c>
      <c r="C595" s="1173" t="s">
        <v>7951</v>
      </c>
      <c r="D595" s="922"/>
      <c r="E595" s="922">
        <v>8.613905508002E12</v>
      </c>
      <c r="F595" s="924" t="s">
        <v>7952</v>
      </c>
      <c r="G595" s="924"/>
      <c r="H595" s="979" t="s">
        <v>7931</v>
      </c>
      <c r="I595" s="976"/>
      <c r="J595" s="976"/>
    </row>
    <row r="596" ht="22.5" customHeight="1">
      <c r="A596" s="912">
        <v>594.0</v>
      </c>
      <c r="B596" s="913" t="b">
        <v>0</v>
      </c>
      <c r="C596" s="1174" t="s">
        <v>7953</v>
      </c>
      <c r="D596" s="922"/>
      <c r="E596" s="922">
        <v>9.71558318977E11</v>
      </c>
      <c r="F596" s="924" t="s">
        <v>7954</v>
      </c>
      <c r="G596" s="924"/>
      <c r="H596" s="969" t="s">
        <v>7955</v>
      </c>
      <c r="I596" s="975"/>
      <c r="J596" s="975"/>
    </row>
    <row r="597" ht="22.5" customHeight="1">
      <c r="A597" s="912">
        <v>595.0</v>
      </c>
      <c r="B597" s="913" t="b">
        <v>0</v>
      </c>
      <c r="C597" s="1175" t="s">
        <v>7956</v>
      </c>
      <c r="D597" s="922"/>
      <c r="E597" s="1176" t="s">
        <v>7957</v>
      </c>
      <c r="F597" s="1177" t="s">
        <v>7958</v>
      </c>
      <c r="G597" s="924"/>
      <c r="H597" s="924"/>
      <c r="I597" s="933"/>
      <c r="J597" s="933"/>
    </row>
    <row r="598" ht="22.5" customHeight="1">
      <c r="A598" s="912">
        <v>596.0</v>
      </c>
      <c r="B598" s="913" t="b">
        <v>0</v>
      </c>
      <c r="C598" s="966" t="s">
        <v>7959</v>
      </c>
      <c r="D598" s="922"/>
      <c r="E598" s="1178" t="s">
        <v>7960</v>
      </c>
      <c r="F598" s="1179" t="s">
        <v>7961</v>
      </c>
      <c r="G598" s="924"/>
      <c r="H598" s="969" t="s">
        <v>7009</v>
      </c>
      <c r="I598" s="975"/>
      <c r="J598" s="975"/>
    </row>
    <row r="599" ht="22.5" customHeight="1">
      <c r="A599" s="912">
        <v>597.0</v>
      </c>
      <c r="B599" s="913" t="b">
        <v>0</v>
      </c>
      <c r="C599" s="966" t="s">
        <v>7962</v>
      </c>
      <c r="D599" s="922"/>
      <c r="E599" s="922">
        <v>9.05302802275E11</v>
      </c>
      <c r="F599" s="924" t="s">
        <v>7963</v>
      </c>
      <c r="G599" s="924"/>
      <c r="H599" s="969" t="s">
        <v>7699</v>
      </c>
      <c r="I599" s="975"/>
      <c r="J599" s="975"/>
    </row>
    <row r="600" ht="22.5" customHeight="1">
      <c r="A600" s="912">
        <v>598.0</v>
      </c>
      <c r="B600" s="913" t="b">
        <v>0</v>
      </c>
      <c r="C600" s="966" t="s">
        <v>7964</v>
      </c>
      <c r="D600" s="922"/>
      <c r="E600" s="922">
        <v>7.70767101E9</v>
      </c>
      <c r="F600" s="924" t="s">
        <v>7965</v>
      </c>
      <c r="G600" s="924"/>
      <c r="H600" s="969" t="s">
        <v>7413</v>
      </c>
      <c r="I600" s="975"/>
      <c r="J600" s="975"/>
    </row>
    <row r="601" ht="22.5" customHeight="1">
      <c r="A601" s="912">
        <v>599.0</v>
      </c>
      <c r="B601" s="913" t="b">
        <v>0</v>
      </c>
      <c r="C601" s="966" t="s">
        <v>7966</v>
      </c>
      <c r="D601" s="922"/>
      <c r="E601" s="922">
        <v>7.510151485E9</v>
      </c>
      <c r="F601" s="924" t="s">
        <v>7967</v>
      </c>
      <c r="G601" s="924"/>
      <c r="H601" s="969" t="s">
        <v>7833</v>
      </c>
      <c r="I601" s="975"/>
      <c r="J601" s="975"/>
    </row>
    <row r="602" ht="22.5" customHeight="1">
      <c r="A602" s="912">
        <v>600.0</v>
      </c>
      <c r="B602" s="913" t="b">
        <v>0</v>
      </c>
      <c r="C602" s="966" t="s">
        <v>7968</v>
      </c>
      <c r="D602" s="922"/>
      <c r="E602" s="922">
        <v>7.5077781E9</v>
      </c>
      <c r="F602" s="924" t="s">
        <v>7465</v>
      </c>
      <c r="G602" s="924"/>
      <c r="H602" s="969" t="s">
        <v>7009</v>
      </c>
      <c r="I602" s="975"/>
      <c r="J602" s="975"/>
    </row>
    <row r="603" ht="22.5" customHeight="1">
      <c r="A603" s="912">
        <v>601.0</v>
      </c>
      <c r="B603" s="913" t="b">
        <v>0</v>
      </c>
      <c r="C603" s="935" t="s">
        <v>7969</v>
      </c>
      <c r="D603" s="922"/>
      <c r="E603" s="922">
        <v>7.504453975E9</v>
      </c>
      <c r="F603" s="924" t="s">
        <v>7970</v>
      </c>
      <c r="G603" s="924"/>
      <c r="H603" s="969" t="s">
        <v>7009</v>
      </c>
      <c r="I603" s="975"/>
      <c r="J603" s="975"/>
    </row>
    <row r="604" ht="22.5" customHeight="1">
      <c r="A604" s="912">
        <v>602.0</v>
      </c>
      <c r="B604" s="913" t="b">
        <v>0</v>
      </c>
      <c r="C604" s="1180" t="s">
        <v>7971</v>
      </c>
      <c r="D604" s="936" t="s">
        <v>7972</v>
      </c>
      <c r="E604" s="922">
        <v>7.701553355E9</v>
      </c>
      <c r="F604" s="924" t="s">
        <v>7973</v>
      </c>
      <c r="G604" s="924"/>
      <c r="H604" s="979" t="s">
        <v>7974</v>
      </c>
      <c r="I604" s="976"/>
      <c r="J604" s="976"/>
    </row>
    <row r="605" ht="22.5" customHeight="1">
      <c r="A605" s="912">
        <v>603.0</v>
      </c>
      <c r="B605" s="913" t="b">
        <v>0</v>
      </c>
      <c r="C605" s="1181" t="s">
        <v>7975</v>
      </c>
      <c r="D605" s="936" t="s">
        <v>7976</v>
      </c>
      <c r="E605" s="922">
        <v>7.504412828E9</v>
      </c>
      <c r="F605" s="924" t="s">
        <v>7977</v>
      </c>
      <c r="G605" s="924"/>
      <c r="H605" s="969" t="s">
        <v>7009</v>
      </c>
      <c r="I605" s="975"/>
      <c r="J605" s="975"/>
    </row>
    <row r="606" ht="22.5" customHeight="1">
      <c r="A606" s="912">
        <v>604.0</v>
      </c>
      <c r="B606" s="913" t="b">
        <v>0</v>
      </c>
      <c r="C606" s="1182" t="s">
        <v>7978</v>
      </c>
      <c r="D606" s="922"/>
      <c r="E606" s="1183" t="s">
        <v>7979</v>
      </c>
      <c r="F606" s="1184" t="s">
        <v>7980</v>
      </c>
      <c r="G606" s="924"/>
      <c r="H606" s="969" t="s">
        <v>7699</v>
      </c>
      <c r="I606" s="975"/>
      <c r="J606" s="975"/>
    </row>
    <row r="607" ht="22.5" customHeight="1">
      <c r="A607" s="912">
        <v>605.0</v>
      </c>
      <c r="B607" s="913" t="b">
        <v>0</v>
      </c>
      <c r="C607" s="1185" t="s">
        <v>7981</v>
      </c>
      <c r="D607" s="922"/>
      <c r="E607" s="922">
        <v>9.82188715251E11</v>
      </c>
      <c r="F607" s="924" t="s">
        <v>7982</v>
      </c>
      <c r="G607" s="924"/>
      <c r="H607" s="969" t="s">
        <v>7983</v>
      </c>
      <c r="I607" s="975"/>
      <c r="J607" s="975"/>
    </row>
    <row r="608" ht="22.5" customHeight="1">
      <c r="A608" s="912">
        <v>606.0</v>
      </c>
      <c r="B608" s="913" t="b">
        <v>0</v>
      </c>
      <c r="C608" s="1186" t="s">
        <v>7984</v>
      </c>
      <c r="D608" s="922" t="s">
        <v>7985</v>
      </c>
      <c r="E608" s="922">
        <v>7.50457041E9</v>
      </c>
      <c r="F608" s="1049" t="s">
        <v>7986</v>
      </c>
      <c r="G608" s="924"/>
      <c r="H608" s="969" t="s">
        <v>7009</v>
      </c>
      <c r="I608" s="975"/>
      <c r="J608" s="975"/>
    </row>
    <row r="609" ht="22.5" customHeight="1">
      <c r="A609" s="912">
        <v>607.0</v>
      </c>
      <c r="B609" s="913" t="b">
        <v>0</v>
      </c>
      <c r="C609" s="1187" t="s">
        <v>7987</v>
      </c>
      <c r="D609" s="922"/>
      <c r="E609" s="922">
        <v>7.504455074E9</v>
      </c>
      <c r="F609" s="1188" t="s">
        <v>7988</v>
      </c>
      <c r="G609" s="924"/>
      <c r="H609" s="969" t="s">
        <v>7575</v>
      </c>
      <c r="I609" s="975"/>
      <c r="J609" s="975"/>
    </row>
    <row r="610" ht="22.5" customHeight="1">
      <c r="A610" s="912">
        <v>608.0</v>
      </c>
      <c r="B610" s="913" t="b">
        <v>0</v>
      </c>
      <c r="C610" s="966" t="s">
        <v>7989</v>
      </c>
      <c r="D610" s="922" t="s">
        <v>7990</v>
      </c>
      <c r="E610" s="922">
        <v>7.504464063E9</v>
      </c>
      <c r="F610" s="1189" t="s">
        <v>7991</v>
      </c>
      <c r="G610" s="924"/>
      <c r="H610" s="969" t="s">
        <v>7009</v>
      </c>
      <c r="I610" s="975"/>
      <c r="J610" s="975"/>
    </row>
    <row r="611" ht="22.5" customHeight="1">
      <c r="A611" s="912">
        <v>609.0</v>
      </c>
      <c r="B611" s="913" t="b">
        <v>0</v>
      </c>
      <c r="C611" s="966" t="s">
        <v>7992</v>
      </c>
      <c r="D611" s="922"/>
      <c r="E611" s="922">
        <v>7.504490652E9</v>
      </c>
      <c r="F611" s="924" t="s">
        <v>7993</v>
      </c>
      <c r="G611" s="924"/>
      <c r="H611" s="969" t="s">
        <v>7009</v>
      </c>
      <c r="I611" s="975"/>
      <c r="J611" s="975"/>
    </row>
    <row r="612" ht="22.5" customHeight="1">
      <c r="A612" s="912">
        <v>610.0</v>
      </c>
      <c r="B612" s="913" t="b">
        <v>0</v>
      </c>
      <c r="C612" s="966" t="s">
        <v>7215</v>
      </c>
      <c r="D612" s="922"/>
      <c r="E612" s="1190" t="s">
        <v>7994</v>
      </c>
      <c r="F612" s="1191" t="s">
        <v>7995</v>
      </c>
      <c r="G612" s="924"/>
      <c r="H612" s="976" t="s">
        <v>7974</v>
      </c>
      <c r="I612" s="976"/>
      <c r="J612" s="976"/>
    </row>
    <row r="613" ht="22.5" customHeight="1">
      <c r="A613" s="912">
        <v>611.0</v>
      </c>
      <c r="B613" s="913" t="b">
        <v>0</v>
      </c>
      <c r="C613" s="966" t="s">
        <v>7996</v>
      </c>
      <c r="D613" s="922"/>
      <c r="E613" s="922">
        <v>7.504047272E9</v>
      </c>
      <c r="F613" s="924"/>
      <c r="G613" s="924"/>
      <c r="H613" s="924"/>
      <c r="I613" s="933"/>
      <c r="J613" s="933"/>
    </row>
    <row r="614" ht="22.5" customHeight="1">
      <c r="A614" s="912">
        <v>612.0</v>
      </c>
      <c r="B614" s="913" t="b">
        <v>0</v>
      </c>
      <c r="C614" s="966" t="s">
        <v>7997</v>
      </c>
      <c r="D614" s="922"/>
      <c r="E614" s="922">
        <v>7.501969696E9</v>
      </c>
      <c r="F614" s="924" t="s">
        <v>7998</v>
      </c>
      <c r="G614" s="924"/>
      <c r="H614" s="969" t="s">
        <v>7413</v>
      </c>
      <c r="I614" s="975"/>
      <c r="J614" s="975"/>
    </row>
    <row r="615" ht="22.5" customHeight="1">
      <c r="A615" s="912">
        <v>613.0</v>
      </c>
      <c r="B615" s="913" t="b">
        <v>0</v>
      </c>
      <c r="C615" s="935" t="s">
        <v>7999</v>
      </c>
      <c r="D615" s="936" t="s">
        <v>8000</v>
      </c>
      <c r="E615" s="922">
        <v>7.5073388E9</v>
      </c>
      <c r="F615" s="924" t="s">
        <v>8001</v>
      </c>
      <c r="G615" s="924"/>
      <c r="H615" s="969" t="s">
        <v>7009</v>
      </c>
      <c r="I615" s="975"/>
      <c r="J615" s="975"/>
    </row>
    <row r="616" ht="22.5" customHeight="1">
      <c r="A616" s="912">
        <v>614.0</v>
      </c>
      <c r="B616" s="913" t="b">
        <v>0</v>
      </c>
      <c r="C616" s="966" t="s">
        <v>8002</v>
      </c>
      <c r="D616" s="936" t="s">
        <v>8003</v>
      </c>
      <c r="E616" s="922">
        <v>7.70155848E9</v>
      </c>
      <c r="F616" s="924" t="s">
        <v>8004</v>
      </c>
      <c r="G616" s="924"/>
      <c r="H616" s="924"/>
      <c r="I616" s="933"/>
      <c r="J616" s="933"/>
    </row>
    <row r="617" ht="22.5" customHeight="1">
      <c r="A617" s="912">
        <v>615.0</v>
      </c>
      <c r="B617" s="913" t="b">
        <v>0</v>
      </c>
      <c r="C617" s="966" t="s">
        <v>8005</v>
      </c>
      <c r="D617" s="936" t="s">
        <v>8006</v>
      </c>
      <c r="E617" s="922">
        <v>7.50447748E9</v>
      </c>
      <c r="F617" s="924" t="s">
        <v>8007</v>
      </c>
      <c r="G617" s="924"/>
      <c r="H617" s="969" t="s">
        <v>7009</v>
      </c>
      <c r="I617" s="975"/>
      <c r="J617" s="975"/>
    </row>
    <row r="618" ht="22.5" customHeight="1">
      <c r="A618" s="912">
        <v>616.0</v>
      </c>
      <c r="B618" s="913" t="b">
        <v>0</v>
      </c>
      <c r="C618" s="935" t="s">
        <v>8008</v>
      </c>
      <c r="D618" s="922"/>
      <c r="E618" s="922">
        <v>7.50446965E9</v>
      </c>
      <c r="F618" s="1018" t="s">
        <v>8009</v>
      </c>
      <c r="G618" s="924"/>
      <c r="H618" s="969" t="s">
        <v>7009</v>
      </c>
      <c r="I618" s="975"/>
      <c r="J618" s="975"/>
    </row>
    <row r="619" ht="22.5" customHeight="1">
      <c r="A619" s="912">
        <v>617.0</v>
      </c>
      <c r="B619" s="913" t="b">
        <v>0</v>
      </c>
      <c r="C619" s="966" t="s">
        <v>8010</v>
      </c>
      <c r="D619" s="922"/>
      <c r="E619" s="922">
        <v>7.7233353E9</v>
      </c>
      <c r="F619" s="924" t="s">
        <v>8011</v>
      </c>
      <c r="G619" s="924"/>
      <c r="H619" s="969" t="s">
        <v>7413</v>
      </c>
      <c r="I619" s="975"/>
      <c r="J619" s="975"/>
    </row>
    <row r="620" ht="22.5" customHeight="1">
      <c r="A620" s="912">
        <v>618.0</v>
      </c>
      <c r="B620" s="913" t="b">
        <v>0</v>
      </c>
      <c r="C620" s="966" t="s">
        <v>8012</v>
      </c>
      <c r="D620" s="922" t="s">
        <v>8013</v>
      </c>
      <c r="E620" s="922">
        <v>7.504450402E9</v>
      </c>
      <c r="F620" s="1192" t="s">
        <v>8014</v>
      </c>
      <c r="G620" s="924"/>
      <c r="H620" s="969" t="s">
        <v>7009</v>
      </c>
      <c r="I620" s="975"/>
      <c r="J620" s="975"/>
    </row>
    <row r="621" ht="22.5" customHeight="1">
      <c r="A621" s="912">
        <v>619.0</v>
      </c>
      <c r="B621" s="913" t="b">
        <v>0</v>
      </c>
      <c r="C621" s="966" t="s">
        <v>8015</v>
      </c>
      <c r="D621" s="936" t="s">
        <v>8016</v>
      </c>
      <c r="E621" s="922">
        <v>7.504488609E9</v>
      </c>
      <c r="F621" s="924" t="s">
        <v>8017</v>
      </c>
      <c r="G621" s="924"/>
      <c r="H621" s="969" t="s">
        <v>7009</v>
      </c>
      <c r="I621" s="975"/>
      <c r="J621" s="975"/>
    </row>
    <row r="622" ht="22.5" customHeight="1">
      <c r="A622" s="912">
        <v>620.0</v>
      </c>
      <c r="B622" s="913" t="b">
        <v>0</v>
      </c>
      <c r="C622" s="935" t="s">
        <v>8018</v>
      </c>
      <c r="D622" s="936" t="s">
        <v>8019</v>
      </c>
      <c r="E622" s="922">
        <v>9.62796414174E11</v>
      </c>
      <c r="F622" s="924" t="s">
        <v>8020</v>
      </c>
      <c r="G622" s="924"/>
      <c r="H622" s="969" t="s">
        <v>8021</v>
      </c>
      <c r="I622" s="975"/>
      <c r="J622" s="975"/>
    </row>
    <row r="623" ht="22.5" customHeight="1">
      <c r="A623" s="912">
        <v>621.0</v>
      </c>
      <c r="B623" s="913" t="b">
        <v>0</v>
      </c>
      <c r="C623" s="966" t="s">
        <v>8022</v>
      </c>
      <c r="D623" s="936" t="s">
        <v>8023</v>
      </c>
      <c r="E623" s="922">
        <v>7.504476982E9</v>
      </c>
      <c r="F623" s="924" t="s">
        <v>8024</v>
      </c>
      <c r="G623" s="924"/>
      <c r="H623" s="924"/>
      <c r="I623" s="933"/>
      <c r="J623" s="933"/>
    </row>
    <row r="624" ht="22.5" customHeight="1">
      <c r="A624" s="912">
        <v>622.0</v>
      </c>
      <c r="B624" s="913" t="b">
        <v>0</v>
      </c>
      <c r="C624" s="935" t="s">
        <v>8025</v>
      </c>
      <c r="D624" s="922"/>
      <c r="E624" s="922">
        <v>7.501307255E9</v>
      </c>
      <c r="F624" s="924"/>
      <c r="G624" s="924"/>
      <c r="H624" s="969" t="s">
        <v>7009</v>
      </c>
      <c r="I624" s="975"/>
      <c r="J624" s="975"/>
    </row>
    <row r="625" ht="22.5" customHeight="1">
      <c r="A625" s="912">
        <v>623.0</v>
      </c>
      <c r="B625" s="913" t="b">
        <v>0</v>
      </c>
      <c r="C625" s="1193" t="s">
        <v>8026</v>
      </c>
      <c r="D625" s="936" t="s">
        <v>8027</v>
      </c>
      <c r="E625" s="922">
        <v>9.626588552E10</v>
      </c>
      <c r="F625" s="924" t="s">
        <v>8028</v>
      </c>
      <c r="G625" s="924"/>
      <c r="H625" s="969" t="s">
        <v>8029</v>
      </c>
      <c r="I625" s="975"/>
      <c r="J625" s="975"/>
    </row>
    <row r="626" ht="22.5" customHeight="1">
      <c r="A626" s="912">
        <v>624.0</v>
      </c>
      <c r="B626" s="913" t="b">
        <v>0</v>
      </c>
      <c r="C626" s="935" t="s">
        <v>8030</v>
      </c>
      <c r="D626" s="922"/>
      <c r="E626" s="922">
        <v>7.728811666E9</v>
      </c>
      <c r="F626" s="924" t="s">
        <v>2621</v>
      </c>
      <c r="G626" s="924"/>
      <c r="H626" s="969" t="s">
        <v>7009</v>
      </c>
      <c r="I626" s="975"/>
      <c r="J626" s="975"/>
    </row>
    <row r="627" ht="22.5" customHeight="1">
      <c r="A627" s="912">
        <v>625.0</v>
      </c>
      <c r="B627" s="913" t="b">
        <v>0</v>
      </c>
      <c r="C627" s="966" t="s">
        <v>8031</v>
      </c>
      <c r="D627" s="922"/>
      <c r="E627" s="922">
        <v>7.504779545E9</v>
      </c>
      <c r="F627" s="924" t="s">
        <v>8032</v>
      </c>
      <c r="G627" s="924"/>
      <c r="H627" s="969" t="s">
        <v>7009</v>
      </c>
      <c r="I627" s="975"/>
      <c r="J627" s="975"/>
    </row>
    <row r="628" ht="22.5" customHeight="1">
      <c r="A628" s="912">
        <v>626.0</v>
      </c>
      <c r="B628" s="913" t="b">
        <v>0</v>
      </c>
      <c r="C628" s="966" t="s">
        <v>8033</v>
      </c>
      <c r="D628" s="922"/>
      <c r="E628" s="922">
        <v>7.504445363E9</v>
      </c>
      <c r="F628" s="924" t="s">
        <v>8034</v>
      </c>
      <c r="G628" s="924"/>
      <c r="H628" s="969" t="s">
        <v>7413</v>
      </c>
      <c r="I628" s="975"/>
      <c r="J628" s="975"/>
    </row>
    <row r="629" ht="22.5" customHeight="1">
      <c r="A629" s="912">
        <v>627.0</v>
      </c>
      <c r="B629" s="913" t="b">
        <v>0</v>
      </c>
      <c r="C629" s="935" t="s">
        <v>8035</v>
      </c>
      <c r="D629" s="922"/>
      <c r="E629" s="922">
        <v>7.50495224E9</v>
      </c>
      <c r="F629" s="924"/>
      <c r="G629" s="924"/>
      <c r="H629" s="969" t="s">
        <v>7009</v>
      </c>
      <c r="I629" s="975"/>
      <c r="J629" s="975"/>
    </row>
    <row r="630" ht="22.5" customHeight="1">
      <c r="A630" s="912">
        <v>628.0</v>
      </c>
      <c r="B630" s="913" t="b">
        <v>0</v>
      </c>
      <c r="C630" s="966" t="s">
        <v>7700</v>
      </c>
      <c r="D630" s="922"/>
      <c r="E630" s="922">
        <v>7.5025692E9</v>
      </c>
      <c r="F630" s="924" t="s">
        <v>7867</v>
      </c>
      <c r="G630" s="924"/>
      <c r="H630" s="969" t="s">
        <v>7009</v>
      </c>
      <c r="I630" s="975"/>
      <c r="J630" s="975"/>
    </row>
    <row r="631" ht="22.5" customHeight="1">
      <c r="A631" s="912">
        <v>629.0</v>
      </c>
      <c r="B631" s="913" t="b">
        <v>0</v>
      </c>
      <c r="C631" s="966" t="s">
        <v>8036</v>
      </c>
      <c r="D631" s="922"/>
      <c r="E631" s="922">
        <v>7.504512346E9</v>
      </c>
      <c r="F631" s="924" t="s">
        <v>8037</v>
      </c>
      <c r="G631" s="924"/>
      <c r="H631" s="969" t="s">
        <v>7009</v>
      </c>
      <c r="I631" s="975"/>
      <c r="J631" s="975"/>
    </row>
    <row r="632" ht="22.5" customHeight="1">
      <c r="A632" s="912">
        <v>630.0</v>
      </c>
      <c r="B632" s="913" t="b">
        <v>0</v>
      </c>
      <c r="C632" s="966" t="s">
        <v>8038</v>
      </c>
      <c r="D632" s="922"/>
      <c r="E632" s="922">
        <v>7.700929596E9</v>
      </c>
      <c r="F632" s="924" t="s">
        <v>8039</v>
      </c>
      <c r="G632" s="924"/>
      <c r="H632" s="969" t="s">
        <v>8040</v>
      </c>
      <c r="I632" s="975"/>
      <c r="J632" s="975"/>
    </row>
    <row r="633" ht="22.5" customHeight="1">
      <c r="A633" s="912">
        <v>631.0</v>
      </c>
      <c r="B633" s="913" t="b">
        <v>0</v>
      </c>
      <c r="C633" s="966" t="s">
        <v>8041</v>
      </c>
      <c r="D633" s="922"/>
      <c r="E633" s="922">
        <v>7.723335202E9</v>
      </c>
      <c r="F633" s="924" t="s">
        <v>141</v>
      </c>
      <c r="G633" s="924"/>
      <c r="H633" s="969" t="s">
        <v>7009</v>
      </c>
      <c r="I633" s="975"/>
      <c r="J633" s="975"/>
    </row>
    <row r="634" ht="22.5" customHeight="1">
      <c r="A634" s="912">
        <v>632.0</v>
      </c>
      <c r="B634" s="913" t="b">
        <v>0</v>
      </c>
      <c r="C634" s="966" t="s">
        <v>8042</v>
      </c>
      <c r="D634" s="922"/>
      <c r="E634" s="922">
        <v>7.504472443E9</v>
      </c>
      <c r="F634" s="924" t="s">
        <v>8043</v>
      </c>
      <c r="G634" s="924"/>
      <c r="H634" s="969" t="s">
        <v>7009</v>
      </c>
      <c r="I634" s="975"/>
      <c r="J634" s="975"/>
    </row>
    <row r="635" ht="22.5" customHeight="1">
      <c r="A635" s="912">
        <v>633.0</v>
      </c>
      <c r="B635" s="913" t="b">
        <v>0</v>
      </c>
      <c r="C635" s="966" t="s">
        <v>8044</v>
      </c>
      <c r="D635" s="922"/>
      <c r="E635" s="922">
        <v>7.502212223E9</v>
      </c>
      <c r="F635" s="924" t="s">
        <v>8045</v>
      </c>
      <c r="G635" s="924"/>
      <c r="H635" s="969" t="s">
        <v>7009</v>
      </c>
      <c r="I635" s="975"/>
      <c r="J635" s="975"/>
    </row>
    <row r="636" ht="22.5" customHeight="1">
      <c r="A636" s="912">
        <v>634.0</v>
      </c>
      <c r="B636" s="913" t="b">
        <v>0</v>
      </c>
      <c r="C636" s="1194" t="s">
        <v>8046</v>
      </c>
      <c r="D636" s="922" t="s">
        <v>8047</v>
      </c>
      <c r="E636" s="922">
        <v>7.503633494E9</v>
      </c>
      <c r="F636" s="924" t="s">
        <v>8048</v>
      </c>
      <c r="G636" s="924"/>
      <c r="H636" s="969" t="s">
        <v>7009</v>
      </c>
      <c r="I636" s="975"/>
      <c r="J636" s="975"/>
    </row>
    <row r="637" ht="22.5" customHeight="1">
      <c r="A637" s="912">
        <v>635.0</v>
      </c>
      <c r="B637" s="913" t="b">
        <v>0</v>
      </c>
      <c r="C637" s="966" t="s">
        <v>8049</v>
      </c>
      <c r="D637" s="922" t="s">
        <v>8050</v>
      </c>
      <c r="E637" s="922">
        <v>7.736221522E9</v>
      </c>
      <c r="F637" s="924" t="s">
        <v>7865</v>
      </c>
      <c r="G637" s="924"/>
      <c r="H637" s="969" t="s">
        <v>7749</v>
      </c>
      <c r="I637" s="975"/>
      <c r="J637" s="975"/>
    </row>
    <row r="638" ht="22.5" customHeight="1">
      <c r="A638" s="912">
        <v>636.0</v>
      </c>
      <c r="B638" s="913" t="b">
        <v>0</v>
      </c>
      <c r="C638" s="913" t="s">
        <v>8051</v>
      </c>
      <c r="D638" s="922" t="s">
        <v>8052</v>
      </c>
      <c r="E638" s="922">
        <v>7.508471289E9</v>
      </c>
      <c r="F638" s="924" t="s">
        <v>8053</v>
      </c>
      <c r="G638" s="924"/>
      <c r="H638" s="924"/>
      <c r="I638" s="933"/>
      <c r="J638" s="933"/>
    </row>
    <row r="639" ht="22.5" customHeight="1">
      <c r="A639" s="912">
        <v>637.0</v>
      </c>
      <c r="B639" s="913" t="b">
        <v>0</v>
      </c>
      <c r="C639" s="966" t="s">
        <v>8054</v>
      </c>
      <c r="D639" s="922" t="s">
        <v>8055</v>
      </c>
      <c r="E639" s="922">
        <v>7.504521407E9</v>
      </c>
      <c r="F639" s="924" t="s">
        <v>8056</v>
      </c>
      <c r="G639" s="924"/>
      <c r="H639" s="924" t="s">
        <v>8057</v>
      </c>
      <c r="I639" s="933"/>
      <c r="J639" s="933"/>
    </row>
    <row r="640" ht="22.5" customHeight="1">
      <c r="A640" s="912">
        <v>638.0</v>
      </c>
      <c r="B640" s="913" t="b">
        <v>0</v>
      </c>
      <c r="C640" s="966" t="s">
        <v>8058</v>
      </c>
      <c r="D640" s="922"/>
      <c r="E640" s="1195" t="s">
        <v>8059</v>
      </c>
      <c r="F640" s="924" t="s">
        <v>8060</v>
      </c>
      <c r="G640" s="924"/>
      <c r="H640" s="924"/>
      <c r="I640" s="933"/>
      <c r="J640" s="933"/>
    </row>
    <row r="641" ht="22.5" customHeight="1">
      <c r="A641" s="912">
        <v>639.0</v>
      </c>
      <c r="B641" s="913" t="b">
        <v>0</v>
      </c>
      <c r="C641" s="935" t="s">
        <v>8061</v>
      </c>
      <c r="D641" s="936" t="s">
        <v>8062</v>
      </c>
      <c r="E641" s="922">
        <v>7.50445415E9</v>
      </c>
      <c r="F641" s="924" t="s">
        <v>8063</v>
      </c>
      <c r="G641" s="924"/>
      <c r="H641" s="969" t="s">
        <v>7009</v>
      </c>
      <c r="I641" s="975"/>
      <c r="J641" s="975"/>
    </row>
    <row r="642" ht="22.5" customHeight="1">
      <c r="A642" s="912">
        <v>640.0</v>
      </c>
      <c r="B642" s="913" t="b">
        <v>0</v>
      </c>
      <c r="C642" s="966" t="s">
        <v>8064</v>
      </c>
      <c r="D642" s="922"/>
      <c r="E642" s="922">
        <v>7.505220022E9</v>
      </c>
      <c r="F642" s="924" t="s">
        <v>8065</v>
      </c>
      <c r="G642" s="924"/>
      <c r="H642" s="924" t="s">
        <v>8057</v>
      </c>
      <c r="I642" s="933"/>
      <c r="J642" s="933"/>
    </row>
    <row r="643" ht="22.5" customHeight="1">
      <c r="A643" s="912">
        <v>641.0</v>
      </c>
      <c r="B643" s="913" t="b">
        <v>0</v>
      </c>
      <c r="C643" s="966" t="s">
        <v>8066</v>
      </c>
      <c r="D643" s="922"/>
      <c r="E643" s="922">
        <v>9.05065438641E11</v>
      </c>
      <c r="F643" s="924" t="s">
        <v>8067</v>
      </c>
      <c r="G643" s="924"/>
      <c r="H643" s="924" t="s">
        <v>6386</v>
      </c>
      <c r="I643" s="933"/>
      <c r="J643" s="933"/>
    </row>
    <row r="644" ht="22.5" customHeight="1">
      <c r="A644" s="912">
        <v>642.0</v>
      </c>
      <c r="B644" s="913" t="b">
        <v>0</v>
      </c>
      <c r="C644" s="935" t="s">
        <v>8068</v>
      </c>
      <c r="D644" s="936" t="s">
        <v>8069</v>
      </c>
      <c r="E644" s="922">
        <v>7.5044609E9</v>
      </c>
      <c r="F644" s="924" t="s">
        <v>8070</v>
      </c>
      <c r="G644" s="924"/>
      <c r="H644" s="969" t="s">
        <v>6938</v>
      </c>
      <c r="I644" s="975"/>
      <c r="J644" s="975"/>
    </row>
    <row r="645" ht="22.5" customHeight="1">
      <c r="A645" s="912">
        <v>643.0</v>
      </c>
      <c r="B645" s="913" t="b">
        <v>0</v>
      </c>
      <c r="C645" s="935" t="s">
        <v>8071</v>
      </c>
      <c r="D645" s="922"/>
      <c r="E645" s="922">
        <v>9.71552845739E11</v>
      </c>
      <c r="F645" s="924" t="s">
        <v>8072</v>
      </c>
      <c r="G645" s="924"/>
      <c r="H645" s="969" t="s">
        <v>7833</v>
      </c>
      <c r="I645" s="975"/>
      <c r="J645" s="975"/>
    </row>
    <row r="646" ht="22.5" customHeight="1">
      <c r="A646" s="912">
        <v>644.0</v>
      </c>
      <c r="B646" s="913" t="b">
        <v>0</v>
      </c>
      <c r="C646" s="966" t="s">
        <v>8073</v>
      </c>
      <c r="D646" s="922"/>
      <c r="E646" s="922">
        <v>7.504475409E9</v>
      </c>
      <c r="F646" s="924"/>
      <c r="G646" s="924"/>
      <c r="H646" s="924" t="s">
        <v>8057</v>
      </c>
      <c r="I646" s="933"/>
      <c r="J646" s="933"/>
    </row>
    <row r="647" ht="22.5" customHeight="1">
      <c r="A647" s="912">
        <v>645.0</v>
      </c>
      <c r="B647" s="913" t="b">
        <v>0</v>
      </c>
      <c r="C647" s="1196" t="s">
        <v>8074</v>
      </c>
      <c r="D647" s="922"/>
      <c r="E647" s="1197" t="s">
        <v>8075</v>
      </c>
      <c r="F647" s="924"/>
      <c r="G647" s="924"/>
      <c r="H647" s="924"/>
      <c r="I647" s="933"/>
      <c r="J647" s="933"/>
    </row>
    <row r="648" ht="25.5" customHeight="1">
      <c r="A648" s="912">
        <v>646.0</v>
      </c>
      <c r="B648" s="913" t="b">
        <v>0</v>
      </c>
      <c r="C648" s="1198" t="s">
        <v>8076</v>
      </c>
      <c r="D648" s="922"/>
      <c r="E648" s="922" t="s">
        <v>8077</v>
      </c>
      <c r="F648" s="924"/>
      <c r="G648" s="924"/>
      <c r="H648" s="924"/>
      <c r="I648" s="933"/>
      <c r="J648" s="933"/>
    </row>
    <row r="649" ht="22.5" customHeight="1">
      <c r="A649" s="912">
        <v>647.0</v>
      </c>
      <c r="B649" s="913" t="b">
        <v>0</v>
      </c>
      <c r="C649" s="981" t="s">
        <v>8078</v>
      </c>
      <c r="D649" s="922"/>
      <c r="E649" s="1048" t="s">
        <v>8079</v>
      </c>
      <c r="F649" s="1049" t="s">
        <v>8080</v>
      </c>
      <c r="G649" s="924"/>
      <c r="H649" s="924"/>
      <c r="I649" s="933"/>
      <c r="J649" s="933"/>
    </row>
    <row r="650" ht="22.5" customHeight="1">
      <c r="A650" s="912">
        <v>648.0</v>
      </c>
      <c r="B650" s="913" t="b">
        <v>0</v>
      </c>
      <c r="C650" s="966" t="s">
        <v>8081</v>
      </c>
      <c r="D650" s="922"/>
      <c r="E650" s="1048" t="s">
        <v>8082</v>
      </c>
      <c r="F650" s="1072" t="s">
        <v>8083</v>
      </c>
      <c r="G650" s="924"/>
      <c r="H650" s="924"/>
      <c r="I650" s="933"/>
      <c r="J650" s="933"/>
    </row>
    <row r="651" ht="22.5" customHeight="1">
      <c r="A651" s="912">
        <v>649.0</v>
      </c>
      <c r="B651" s="913" t="b">
        <v>0</v>
      </c>
      <c r="C651" s="1199" t="s">
        <v>8084</v>
      </c>
      <c r="D651" s="922"/>
      <c r="E651" s="922"/>
      <c r="F651" s="924"/>
      <c r="G651" s="924"/>
      <c r="H651" s="924"/>
      <c r="I651" s="933"/>
      <c r="J651" s="933"/>
    </row>
    <row r="652" ht="22.5" customHeight="1">
      <c r="A652" s="912">
        <v>650.0</v>
      </c>
      <c r="B652" s="913" t="b">
        <v>0</v>
      </c>
      <c r="C652" s="1200" t="s">
        <v>8085</v>
      </c>
      <c r="D652" s="922"/>
      <c r="E652" s="1201">
        <v>9.647508807083E12</v>
      </c>
      <c r="F652" s="924"/>
      <c r="G652" s="924"/>
      <c r="H652" s="969" t="s">
        <v>7565</v>
      </c>
      <c r="I652" s="975"/>
      <c r="J652" s="975"/>
    </row>
    <row r="653" ht="22.5" customHeight="1">
      <c r="A653" s="912">
        <v>651.0</v>
      </c>
      <c r="B653" s="913" t="b">
        <v>0</v>
      </c>
      <c r="C653" s="966" t="s">
        <v>8086</v>
      </c>
      <c r="D653" s="922"/>
      <c r="E653" s="922" t="s">
        <v>8087</v>
      </c>
      <c r="F653" s="924"/>
      <c r="G653" s="924"/>
      <c r="H653" s="969" t="s">
        <v>7833</v>
      </c>
      <c r="I653" s="975"/>
      <c r="J653" s="975"/>
    </row>
    <row r="654" ht="22.5" customHeight="1">
      <c r="A654" s="912">
        <v>652.0</v>
      </c>
      <c r="B654" s="913" t="b">
        <v>0</v>
      </c>
      <c r="C654" s="1202" t="s">
        <v>8088</v>
      </c>
      <c r="D654" s="922"/>
      <c r="E654" s="1203">
        <v>9.71567281124E11</v>
      </c>
      <c r="F654" s="1204" t="s">
        <v>8089</v>
      </c>
      <c r="G654" s="924"/>
      <c r="H654" s="924"/>
      <c r="I654" s="933"/>
      <c r="J654" s="933"/>
    </row>
    <row r="655" ht="22.5" customHeight="1">
      <c r="A655" s="912">
        <v>653.0</v>
      </c>
      <c r="B655" s="913" t="b">
        <v>0</v>
      </c>
      <c r="C655" s="1205" t="s">
        <v>8090</v>
      </c>
      <c r="D655" s="922"/>
      <c r="E655" s="922" t="s">
        <v>8091</v>
      </c>
      <c r="F655" s="924"/>
      <c r="G655" s="924"/>
      <c r="H655" s="924"/>
      <c r="I655" s="933"/>
      <c r="J655" s="933"/>
    </row>
    <row r="656" ht="22.5" customHeight="1">
      <c r="A656" s="912">
        <v>654.0</v>
      </c>
      <c r="B656" s="913" t="b">
        <v>0</v>
      </c>
      <c r="C656" s="1206" t="s">
        <v>8092</v>
      </c>
      <c r="D656" s="922"/>
      <c r="E656" s="922" t="s">
        <v>8093</v>
      </c>
      <c r="F656" s="924"/>
      <c r="G656" s="924"/>
      <c r="H656" s="924"/>
      <c r="I656" s="933"/>
      <c r="J656" s="933"/>
    </row>
    <row r="657" ht="22.5" customHeight="1">
      <c r="A657" s="912">
        <v>655.0</v>
      </c>
      <c r="B657" s="913" t="b">
        <v>0</v>
      </c>
      <c r="C657" s="1207" t="s">
        <v>8094</v>
      </c>
      <c r="D657" s="922"/>
      <c r="E657" s="1127" t="s">
        <v>8095</v>
      </c>
      <c r="F657" s="1208" t="s">
        <v>8096</v>
      </c>
      <c r="G657" s="924"/>
      <c r="H657" s="969" t="s">
        <v>8097</v>
      </c>
      <c r="I657" s="975"/>
      <c r="J657" s="975"/>
    </row>
    <row r="658" ht="22.5" customHeight="1">
      <c r="A658" s="912">
        <v>656.0</v>
      </c>
      <c r="B658" s="913" t="b">
        <v>0</v>
      </c>
      <c r="C658" s="1209" t="s">
        <v>8098</v>
      </c>
      <c r="D658" s="922"/>
      <c r="E658" s="1210">
        <v>9.71544402955E11</v>
      </c>
      <c r="F658" s="1211" t="s">
        <v>8099</v>
      </c>
      <c r="G658" s="924"/>
      <c r="H658" s="969" t="s">
        <v>7833</v>
      </c>
      <c r="I658" s="975"/>
      <c r="J658" s="975"/>
    </row>
    <row r="659" ht="22.5" customHeight="1">
      <c r="A659" s="912">
        <v>657.0</v>
      </c>
      <c r="B659" s="913" t="b">
        <v>0</v>
      </c>
      <c r="C659" s="1212" t="s">
        <v>8100</v>
      </c>
      <c r="D659" s="922"/>
      <c r="E659" s="1213" t="s">
        <v>8101</v>
      </c>
      <c r="F659" s="924"/>
      <c r="G659" s="924"/>
      <c r="H659" s="924"/>
      <c r="I659" s="933"/>
      <c r="J659" s="933"/>
    </row>
    <row r="660" ht="22.5" customHeight="1">
      <c r="A660" s="912">
        <v>658.0</v>
      </c>
      <c r="B660" s="913" t="b">
        <v>0</v>
      </c>
      <c r="C660" s="1214" t="s">
        <v>8102</v>
      </c>
      <c r="D660" s="1004"/>
      <c r="E660" s="1066">
        <v>9.715044059E11</v>
      </c>
      <c r="F660" s="1215" t="s">
        <v>8103</v>
      </c>
      <c r="G660" s="924"/>
      <c r="H660" s="924"/>
      <c r="I660" s="933"/>
      <c r="J660" s="933"/>
    </row>
    <row r="661" ht="22.5" customHeight="1">
      <c r="A661" s="912">
        <v>659.0</v>
      </c>
      <c r="B661" s="913" t="b">
        <v>0</v>
      </c>
      <c r="C661" s="1216" t="s">
        <v>8104</v>
      </c>
      <c r="D661" s="922"/>
      <c r="E661" s="922" t="s">
        <v>8105</v>
      </c>
      <c r="F661" s="1217" t="s">
        <v>8106</v>
      </c>
      <c r="G661" s="924"/>
      <c r="H661" s="924"/>
      <c r="I661" s="933"/>
      <c r="J661" s="933"/>
    </row>
    <row r="662" ht="22.5" customHeight="1">
      <c r="A662" s="912">
        <v>660.0</v>
      </c>
      <c r="B662" s="913" t="b">
        <v>0</v>
      </c>
      <c r="C662" s="1218" t="s">
        <v>8107</v>
      </c>
      <c r="D662" s="922"/>
      <c r="E662" s="922">
        <v>7.504455544E9</v>
      </c>
      <c r="F662" s="924" t="s">
        <v>8108</v>
      </c>
      <c r="G662" s="924"/>
      <c r="H662" s="969" t="s">
        <v>7009</v>
      </c>
      <c r="I662" s="975"/>
      <c r="J662" s="975"/>
    </row>
    <row r="663" ht="22.5" customHeight="1">
      <c r="A663" s="912">
        <v>661.0</v>
      </c>
      <c r="B663" s="913" t="b">
        <v>0</v>
      </c>
      <c r="C663" s="966" t="s">
        <v>8109</v>
      </c>
      <c r="D663" s="922"/>
      <c r="E663" s="922">
        <v>7.502249E9</v>
      </c>
      <c r="F663" s="924" t="s">
        <v>8110</v>
      </c>
      <c r="G663" s="924"/>
      <c r="H663" s="969" t="s">
        <v>7009</v>
      </c>
      <c r="I663" s="975"/>
      <c r="J663" s="975"/>
    </row>
    <row r="664" ht="22.5" customHeight="1">
      <c r="A664" s="912">
        <v>662.0</v>
      </c>
      <c r="B664" s="913" t="b">
        <v>0</v>
      </c>
      <c r="C664" s="966" t="s">
        <v>8111</v>
      </c>
      <c r="D664" s="922"/>
      <c r="E664" s="922">
        <v>7.501000755E9</v>
      </c>
      <c r="F664" s="924" t="s">
        <v>8112</v>
      </c>
      <c r="G664" s="924"/>
      <c r="H664" s="969" t="s">
        <v>7009</v>
      </c>
      <c r="I664" s="975"/>
      <c r="J664" s="975"/>
    </row>
    <row r="665" ht="22.5" customHeight="1">
      <c r="A665" s="912">
        <v>663.0</v>
      </c>
      <c r="B665" s="913" t="b">
        <v>0</v>
      </c>
      <c r="C665" s="1003" t="s">
        <v>8113</v>
      </c>
      <c r="D665" s="998" t="s">
        <v>8114</v>
      </c>
      <c r="E665" s="1004">
        <v>7.504739988E9</v>
      </c>
      <c r="F665" s="1001" t="s">
        <v>8115</v>
      </c>
      <c r="G665" s="924"/>
      <c r="H665" s="924"/>
      <c r="I665" s="933"/>
      <c r="J665" s="933"/>
    </row>
    <row r="666" ht="22.5" customHeight="1">
      <c r="A666" s="912">
        <v>664.0</v>
      </c>
      <c r="B666" s="913" t="b">
        <v>0</v>
      </c>
      <c r="C666" s="988" t="s">
        <v>8116</v>
      </c>
      <c r="D666" s="922"/>
      <c r="E666" s="1031">
        <v>5.321662131E9</v>
      </c>
      <c r="F666" s="924" t="s">
        <v>8117</v>
      </c>
      <c r="G666" s="924"/>
      <c r="H666" s="1024"/>
      <c r="I666" s="1025"/>
      <c r="J666" s="1025"/>
    </row>
    <row r="667" ht="22.5" customHeight="1">
      <c r="A667" s="912">
        <v>665.0</v>
      </c>
      <c r="B667" s="913" t="b">
        <v>0</v>
      </c>
      <c r="C667" s="983" t="s">
        <v>8118</v>
      </c>
      <c r="D667" s="922" t="s">
        <v>8119</v>
      </c>
      <c r="E667" s="1027">
        <v>9.05355912416E11</v>
      </c>
      <c r="F667" s="1219" t="s">
        <v>8120</v>
      </c>
      <c r="G667" s="924"/>
      <c r="H667" s="969" t="s">
        <v>7699</v>
      </c>
      <c r="I667" s="975"/>
      <c r="J667" s="975"/>
    </row>
    <row r="668" ht="22.5" customHeight="1">
      <c r="A668" s="912">
        <v>666.0</v>
      </c>
      <c r="B668" s="913" t="b">
        <v>0</v>
      </c>
      <c r="C668" s="1220" t="s">
        <v>8121</v>
      </c>
      <c r="D668" s="922" t="s">
        <v>8122</v>
      </c>
      <c r="E668" s="1030">
        <v>7.507343E9</v>
      </c>
      <c r="F668" s="924" t="s">
        <v>8123</v>
      </c>
      <c r="G668" s="924"/>
      <c r="H668" s="969" t="s">
        <v>7009</v>
      </c>
      <c r="I668" s="975"/>
      <c r="J668" s="975"/>
    </row>
    <row r="669" ht="22.5" customHeight="1">
      <c r="A669" s="912">
        <v>667.0</v>
      </c>
      <c r="B669" s="913" t="b">
        <v>0</v>
      </c>
      <c r="C669" s="981" t="s">
        <v>8124</v>
      </c>
      <c r="D669" s="936" t="s">
        <v>7640</v>
      </c>
      <c r="E669" s="1031">
        <v>9.05322058031E11</v>
      </c>
      <c r="F669" s="924" t="s">
        <v>8125</v>
      </c>
      <c r="G669" s="924"/>
      <c r="H669" s="969" t="s">
        <v>8126</v>
      </c>
      <c r="I669" s="975"/>
      <c r="J669" s="975"/>
    </row>
    <row r="670" ht="22.5" customHeight="1">
      <c r="A670" s="912">
        <v>668.0</v>
      </c>
      <c r="B670" s="913" t="b">
        <v>0</v>
      </c>
      <c r="C670" s="966" t="s">
        <v>8127</v>
      </c>
      <c r="D670" s="922"/>
      <c r="E670" s="1195">
        <v>9.05322601273E11</v>
      </c>
      <c r="F670" s="924" t="s">
        <v>8128</v>
      </c>
      <c r="G670" s="924"/>
      <c r="H670" s="1040" t="s">
        <v>7699</v>
      </c>
      <c r="I670" s="1040"/>
      <c r="J670" s="1040"/>
    </row>
    <row r="671" ht="22.5" customHeight="1">
      <c r="A671" s="912">
        <v>669.0</v>
      </c>
      <c r="B671" s="913" t="b">
        <v>0</v>
      </c>
      <c r="C671" s="988" t="s">
        <v>8129</v>
      </c>
      <c r="D671" s="922"/>
      <c r="E671" s="922">
        <v>5.323770731E9</v>
      </c>
      <c r="F671" s="924"/>
      <c r="G671" s="924"/>
      <c r="H671" s="969" t="s">
        <v>7699</v>
      </c>
      <c r="I671" s="975"/>
      <c r="J671" s="975"/>
    </row>
    <row r="672" ht="22.5" customHeight="1">
      <c r="A672" s="912">
        <v>670.0</v>
      </c>
      <c r="B672" s="913" t="b">
        <v>0</v>
      </c>
      <c r="C672" s="966" t="s">
        <v>8130</v>
      </c>
      <c r="D672" s="922"/>
      <c r="E672" s="1221">
        <v>9.005380841504E12</v>
      </c>
      <c r="F672" s="924"/>
      <c r="G672" s="924"/>
      <c r="H672" s="969" t="s">
        <v>7699</v>
      </c>
      <c r="I672" s="975"/>
      <c r="J672" s="975"/>
    </row>
    <row r="673" ht="22.5" customHeight="1">
      <c r="A673" s="912">
        <v>671.0</v>
      </c>
      <c r="B673" s="913" t="b">
        <v>0</v>
      </c>
      <c r="C673" s="1034" t="s">
        <v>8131</v>
      </c>
      <c r="D673" s="922"/>
      <c r="E673" s="1035">
        <v>9.05382765091E11</v>
      </c>
      <c r="F673" s="983"/>
      <c r="G673" s="924"/>
      <c r="H673" s="969"/>
      <c r="I673" s="975"/>
      <c r="J673" s="975"/>
    </row>
    <row r="674" ht="22.5" customHeight="1">
      <c r="A674" s="912">
        <v>672.0</v>
      </c>
      <c r="B674" s="913" t="b">
        <v>0</v>
      </c>
      <c r="C674" s="1222" t="s">
        <v>8132</v>
      </c>
      <c r="D674" s="922"/>
      <c r="E674" s="1223">
        <v>9.05327630987E11</v>
      </c>
      <c r="F674" s="1038"/>
      <c r="G674" s="924"/>
      <c r="H674" s="1039"/>
      <c r="I674" s="1039"/>
      <c r="J674" s="1039"/>
    </row>
    <row r="675" ht="22.5" customHeight="1">
      <c r="A675" s="912">
        <v>673.0</v>
      </c>
      <c r="B675" s="913" t="b">
        <v>0</v>
      </c>
      <c r="C675" s="1224" t="s">
        <v>3535</v>
      </c>
      <c r="D675" s="922"/>
      <c r="E675" s="922">
        <v>7.504453975E9</v>
      </c>
      <c r="F675" s="1041" t="s">
        <v>7970</v>
      </c>
      <c r="G675" s="924"/>
      <c r="H675" s="969" t="s">
        <v>7009</v>
      </c>
      <c r="I675" s="975"/>
      <c r="J675" s="975"/>
    </row>
    <row r="676" ht="22.5" customHeight="1">
      <c r="A676" s="912">
        <v>674.0</v>
      </c>
      <c r="B676" s="913" t="b">
        <v>0</v>
      </c>
      <c r="C676" s="935" t="s">
        <v>8133</v>
      </c>
      <c r="D676" s="936" t="s">
        <v>8134</v>
      </c>
      <c r="E676" s="1042">
        <v>7.714402865E9</v>
      </c>
      <c r="F676" s="1043" t="s">
        <v>8135</v>
      </c>
      <c r="G676" s="924"/>
      <c r="H676" s="969" t="s">
        <v>7009</v>
      </c>
      <c r="I676" s="975"/>
      <c r="J676" s="975"/>
    </row>
    <row r="677" ht="22.5" customHeight="1">
      <c r="A677" s="912">
        <v>675.0</v>
      </c>
      <c r="B677" s="913" t="b">
        <v>0</v>
      </c>
      <c r="C677" s="1044" t="s">
        <v>8136</v>
      </c>
      <c r="D677" s="922"/>
      <c r="E677" s="1045">
        <v>7.504304007E9</v>
      </c>
      <c r="F677" s="1046" t="s">
        <v>8137</v>
      </c>
      <c r="G677" s="924"/>
      <c r="H677" s="969" t="s">
        <v>7009</v>
      </c>
      <c r="I677" s="975"/>
      <c r="J677" s="975"/>
    </row>
    <row r="678" ht="22.5" customHeight="1">
      <c r="A678" s="912">
        <v>676.0</v>
      </c>
      <c r="B678" s="913" t="b">
        <v>0</v>
      </c>
      <c r="C678" s="935" t="s">
        <v>8138</v>
      </c>
      <c r="D678" s="922"/>
      <c r="E678" s="922">
        <v>7.504626602E9</v>
      </c>
      <c r="F678" s="1225" t="s">
        <v>8139</v>
      </c>
      <c r="G678" s="924"/>
      <c r="H678" s="969" t="s">
        <v>7009</v>
      </c>
      <c r="I678" s="975"/>
      <c r="J678" s="975"/>
    </row>
    <row r="679" ht="22.5" customHeight="1">
      <c r="A679" s="912">
        <v>677.0</v>
      </c>
      <c r="B679" s="913" t="b">
        <v>0</v>
      </c>
      <c r="C679" s="966" t="s">
        <v>8140</v>
      </c>
      <c r="D679" s="922"/>
      <c r="E679" s="922">
        <v>7.504458192E9</v>
      </c>
      <c r="F679" s="1225" t="s">
        <v>8141</v>
      </c>
      <c r="G679" s="924"/>
      <c r="H679" s="969" t="s">
        <v>7009</v>
      </c>
      <c r="I679" s="975"/>
      <c r="J679" s="975"/>
    </row>
    <row r="680" ht="22.5" customHeight="1">
      <c r="A680" s="912">
        <v>678.0</v>
      </c>
      <c r="B680" s="913" t="b">
        <v>0</v>
      </c>
      <c r="C680" s="966" t="s">
        <v>8142</v>
      </c>
      <c r="D680" s="922"/>
      <c r="E680" s="922">
        <v>9.66597300977E11</v>
      </c>
      <c r="F680" s="1226" t="s">
        <v>8143</v>
      </c>
      <c r="G680" s="924"/>
      <c r="H680" s="969" t="s">
        <v>7699</v>
      </c>
      <c r="I680" s="975"/>
      <c r="J680" s="975"/>
    </row>
    <row r="681" ht="22.5" customHeight="1">
      <c r="A681" s="912">
        <v>679.0</v>
      </c>
      <c r="B681" s="913" t="b">
        <v>0</v>
      </c>
      <c r="C681" s="966" t="s">
        <v>8144</v>
      </c>
      <c r="D681" s="922"/>
      <c r="E681" s="922">
        <v>3.5799432244E10</v>
      </c>
      <c r="F681" s="924"/>
      <c r="G681" s="924"/>
      <c r="H681" s="969" t="s">
        <v>8145</v>
      </c>
      <c r="I681" s="975"/>
      <c r="J681" s="975"/>
    </row>
    <row r="682" ht="22.5" customHeight="1">
      <c r="A682" s="912">
        <v>680.0</v>
      </c>
      <c r="B682" s="913" t="b">
        <v>0</v>
      </c>
      <c r="C682" s="966" t="s">
        <v>7529</v>
      </c>
      <c r="D682" s="936" t="s">
        <v>8146</v>
      </c>
      <c r="E682" s="922">
        <v>7.504444465E9</v>
      </c>
      <c r="F682" s="924"/>
      <c r="G682" s="924"/>
      <c r="H682" s="969" t="s">
        <v>7009</v>
      </c>
      <c r="I682" s="975"/>
      <c r="J682" s="975"/>
    </row>
    <row r="683" ht="22.5" customHeight="1">
      <c r="A683" s="912">
        <v>681.0</v>
      </c>
      <c r="B683" s="913" t="b">
        <v>0</v>
      </c>
      <c r="C683" s="935" t="s">
        <v>8147</v>
      </c>
      <c r="D683" s="922"/>
      <c r="E683" s="922">
        <v>7.518716151E9</v>
      </c>
      <c r="F683" s="924"/>
      <c r="G683" s="924"/>
      <c r="H683" s="969" t="s">
        <v>7009</v>
      </c>
      <c r="I683" s="975"/>
      <c r="J683" s="975"/>
    </row>
    <row r="684" ht="22.5" customHeight="1">
      <c r="A684" s="912">
        <v>682.0</v>
      </c>
      <c r="B684" s="913" t="b">
        <v>0</v>
      </c>
      <c r="C684" s="935" t="s">
        <v>8148</v>
      </c>
      <c r="D684" s="922"/>
      <c r="E684" s="922">
        <v>7.501353501E9</v>
      </c>
      <c r="F684" s="924" t="s">
        <v>8149</v>
      </c>
      <c r="G684" s="924"/>
      <c r="H684" s="969" t="s">
        <v>8040</v>
      </c>
      <c r="I684" s="975"/>
      <c r="J684" s="975"/>
    </row>
    <row r="685" ht="22.5" customHeight="1">
      <c r="A685" s="912">
        <v>683.0</v>
      </c>
      <c r="B685" s="913" t="b">
        <v>0</v>
      </c>
      <c r="C685" s="966" t="s">
        <v>8150</v>
      </c>
      <c r="D685" s="922"/>
      <c r="E685" s="922">
        <v>7.502816466E9</v>
      </c>
      <c r="F685" s="924" t="s">
        <v>8151</v>
      </c>
      <c r="G685" s="924"/>
      <c r="H685" s="969" t="s">
        <v>7009</v>
      </c>
      <c r="I685" s="975"/>
      <c r="J685" s="975"/>
    </row>
    <row r="686" ht="22.5" customHeight="1">
      <c r="A686" s="912">
        <v>684.0</v>
      </c>
      <c r="B686" s="913" t="b">
        <v>0</v>
      </c>
      <c r="C686" s="966" t="s">
        <v>8152</v>
      </c>
      <c r="D686" s="922"/>
      <c r="E686" s="922">
        <v>7.504434242E9</v>
      </c>
      <c r="F686" s="924"/>
      <c r="G686" s="924"/>
      <c r="H686" s="924"/>
      <c r="I686" s="933"/>
      <c r="J686" s="933"/>
    </row>
    <row r="687" ht="22.5" customHeight="1">
      <c r="A687" s="912">
        <v>685.0</v>
      </c>
      <c r="B687" s="913" t="b">
        <v>0</v>
      </c>
      <c r="C687" s="935" t="s">
        <v>8153</v>
      </c>
      <c r="D687" s="922"/>
      <c r="E687" s="922">
        <v>7.704553985E9</v>
      </c>
      <c r="F687" s="924" t="s">
        <v>8154</v>
      </c>
      <c r="G687" s="924"/>
      <c r="H687" s="969" t="s">
        <v>8155</v>
      </c>
      <c r="I687" s="975"/>
      <c r="J687" s="975"/>
    </row>
    <row r="688" ht="22.5" customHeight="1">
      <c r="A688" s="912">
        <v>686.0</v>
      </c>
      <c r="B688" s="913" t="b">
        <v>0</v>
      </c>
      <c r="C688" s="966" t="s">
        <v>8156</v>
      </c>
      <c r="D688" s="922"/>
      <c r="E688" s="922">
        <v>3.06949589958E11</v>
      </c>
      <c r="F688" s="924" t="s">
        <v>8157</v>
      </c>
      <c r="G688" s="924"/>
      <c r="H688" s="969" t="s">
        <v>7696</v>
      </c>
      <c r="I688" s="975"/>
      <c r="J688" s="975"/>
    </row>
    <row r="689" ht="22.5" customHeight="1">
      <c r="A689" s="912">
        <v>687.0</v>
      </c>
      <c r="B689" s="913" t="b">
        <v>0</v>
      </c>
      <c r="C689" s="935" t="s">
        <v>8158</v>
      </c>
      <c r="D689" s="922"/>
      <c r="E689" s="922">
        <v>7.507760187E9</v>
      </c>
      <c r="F689" s="924"/>
      <c r="G689" s="924"/>
      <c r="H689" s="969" t="s">
        <v>7176</v>
      </c>
      <c r="I689" s="975"/>
      <c r="J689" s="975"/>
    </row>
    <row r="690" ht="22.5" customHeight="1">
      <c r="A690" s="912">
        <v>688.0</v>
      </c>
      <c r="B690" s="913" t="b">
        <v>0</v>
      </c>
      <c r="C690" s="966" t="s">
        <v>8159</v>
      </c>
      <c r="D690" s="922"/>
      <c r="E690" s="922">
        <v>9.647829002222E12</v>
      </c>
      <c r="F690" s="924" t="s">
        <v>51</v>
      </c>
      <c r="G690" s="924"/>
      <c r="H690" s="969" t="s">
        <v>7749</v>
      </c>
      <c r="I690" s="975"/>
      <c r="J690" s="975"/>
    </row>
    <row r="691" ht="22.5" customHeight="1">
      <c r="A691" s="912">
        <v>689.0</v>
      </c>
      <c r="B691" s="913" t="b">
        <v>0</v>
      </c>
      <c r="C691" s="935" t="s">
        <v>7287</v>
      </c>
      <c r="D691" s="922"/>
      <c r="E691" s="922">
        <v>7.5046847E9</v>
      </c>
      <c r="F691" s="924" t="s">
        <v>8160</v>
      </c>
      <c r="G691" s="924"/>
      <c r="H691" s="969" t="s">
        <v>7009</v>
      </c>
      <c r="I691" s="975"/>
      <c r="J691" s="975"/>
    </row>
    <row r="692" ht="22.5" customHeight="1">
      <c r="A692" s="912">
        <v>690.0</v>
      </c>
      <c r="B692" s="913" t="b">
        <v>0</v>
      </c>
      <c r="C692" s="966" t="s">
        <v>8161</v>
      </c>
      <c r="D692" s="922"/>
      <c r="E692" s="922">
        <v>9.7150268094E11</v>
      </c>
      <c r="F692" s="924" t="s">
        <v>8162</v>
      </c>
      <c r="G692" s="924"/>
      <c r="H692" s="969" t="s">
        <v>7833</v>
      </c>
      <c r="I692" s="975"/>
      <c r="J692" s="975"/>
    </row>
    <row r="693" ht="22.5" customHeight="1">
      <c r="A693" s="912">
        <v>691.0</v>
      </c>
      <c r="B693" s="913" t="b">
        <v>0</v>
      </c>
      <c r="C693" s="988" t="s">
        <v>8163</v>
      </c>
      <c r="D693" s="922"/>
      <c r="E693" s="922">
        <v>7.504713114E9</v>
      </c>
      <c r="F693" s="924"/>
      <c r="G693" s="924"/>
      <c r="H693" s="969" t="s">
        <v>7009</v>
      </c>
      <c r="I693" s="975"/>
      <c r="J693" s="975"/>
    </row>
    <row r="694" ht="22.5" customHeight="1">
      <c r="A694" s="912">
        <v>692.0</v>
      </c>
      <c r="B694" s="913" t="b">
        <v>0</v>
      </c>
      <c r="C694" s="966" t="s">
        <v>7532</v>
      </c>
      <c r="D694" s="936" t="s">
        <v>8164</v>
      </c>
      <c r="E694" s="922">
        <v>7.50449069E9</v>
      </c>
      <c r="F694" s="924"/>
      <c r="G694" s="924"/>
      <c r="H694" s="969" t="s">
        <v>7009</v>
      </c>
      <c r="I694" s="975"/>
      <c r="J694" s="975"/>
    </row>
    <row r="695" ht="22.5" customHeight="1">
      <c r="A695" s="912">
        <v>693.0</v>
      </c>
      <c r="B695" s="913" t="b">
        <v>0</v>
      </c>
      <c r="C695" s="966" t="s">
        <v>8165</v>
      </c>
      <c r="D695" s="922"/>
      <c r="E695" s="922">
        <v>7.504449166E9</v>
      </c>
      <c r="F695" s="924"/>
      <c r="G695" s="924"/>
      <c r="H695" s="924"/>
      <c r="I695" s="933"/>
      <c r="J695" s="933"/>
    </row>
    <row r="696" ht="22.5" customHeight="1">
      <c r="A696" s="912">
        <v>694.0</v>
      </c>
      <c r="B696" s="913" t="b">
        <v>0</v>
      </c>
      <c r="C696" s="935" t="s">
        <v>8166</v>
      </c>
      <c r="D696" s="922"/>
      <c r="E696" s="922">
        <v>7.504028581E9</v>
      </c>
      <c r="F696" s="924"/>
      <c r="G696" s="924"/>
      <c r="H696" s="969" t="s">
        <v>7575</v>
      </c>
      <c r="I696" s="975"/>
      <c r="J696" s="975"/>
    </row>
    <row r="697" ht="22.5" customHeight="1">
      <c r="A697" s="912">
        <v>695.0</v>
      </c>
      <c r="B697" s="913" t="b">
        <v>0</v>
      </c>
      <c r="C697" s="935" t="s">
        <v>8167</v>
      </c>
      <c r="D697" s="922"/>
      <c r="E697" s="922">
        <v>7.517354453E9</v>
      </c>
      <c r="F697" s="924"/>
      <c r="G697" s="924"/>
      <c r="H697" s="969" t="s">
        <v>7176</v>
      </c>
      <c r="I697" s="975"/>
      <c r="J697" s="975"/>
    </row>
    <row r="698" ht="22.5" customHeight="1">
      <c r="A698" s="912">
        <v>696.0</v>
      </c>
      <c r="B698" s="913" t="b">
        <v>0</v>
      </c>
      <c r="C698" s="935" t="s">
        <v>8168</v>
      </c>
      <c r="D698" s="922"/>
      <c r="E698" s="922">
        <v>7.504452927E9</v>
      </c>
      <c r="F698" s="924"/>
      <c r="G698" s="924"/>
      <c r="H698" s="969" t="s">
        <v>7009</v>
      </c>
      <c r="I698" s="975"/>
      <c r="J698" s="975"/>
    </row>
    <row r="699" ht="22.5" customHeight="1">
      <c r="A699" s="912">
        <v>697.0</v>
      </c>
      <c r="B699" s="913" t="b">
        <v>0</v>
      </c>
      <c r="C699" s="966" t="s">
        <v>8169</v>
      </c>
      <c r="D699" s="922"/>
      <c r="E699" s="922">
        <v>7.504458573E9</v>
      </c>
      <c r="F699" s="924"/>
      <c r="G699" s="924"/>
      <c r="H699" s="969" t="s">
        <v>7009</v>
      </c>
      <c r="I699" s="975"/>
      <c r="J699" s="975"/>
    </row>
    <row r="700" ht="22.5" customHeight="1">
      <c r="A700" s="912">
        <v>698.0</v>
      </c>
      <c r="B700" s="913" t="b">
        <v>0</v>
      </c>
      <c r="C700" s="935" t="s">
        <v>8170</v>
      </c>
      <c r="D700" s="922"/>
      <c r="E700" s="922">
        <v>7.504655166E9</v>
      </c>
      <c r="F700" s="924"/>
      <c r="G700" s="924"/>
      <c r="H700" s="969" t="s">
        <v>7009</v>
      </c>
      <c r="I700" s="975"/>
      <c r="J700" s="975"/>
    </row>
    <row r="701" ht="22.5" customHeight="1">
      <c r="A701" s="912">
        <v>699.0</v>
      </c>
      <c r="B701" s="913" t="b">
        <v>0</v>
      </c>
      <c r="C701" s="966" t="s">
        <v>8171</v>
      </c>
      <c r="D701" s="922"/>
      <c r="E701" s="922">
        <v>7.506660665E9</v>
      </c>
      <c r="F701" s="924"/>
      <c r="G701" s="924"/>
      <c r="H701" s="969" t="s">
        <v>7009</v>
      </c>
      <c r="I701" s="975"/>
      <c r="J701" s="975"/>
    </row>
    <row r="702" ht="22.5" customHeight="1">
      <c r="A702" s="912">
        <v>700.0</v>
      </c>
      <c r="B702" s="913" t="b">
        <v>0</v>
      </c>
      <c r="C702" s="935" t="s">
        <v>8172</v>
      </c>
      <c r="D702" s="922"/>
      <c r="E702" s="922">
        <v>7.504511511E9</v>
      </c>
      <c r="F702" s="924"/>
      <c r="G702" s="924"/>
      <c r="H702" s="969" t="s">
        <v>7009</v>
      </c>
      <c r="I702" s="975"/>
      <c r="J702" s="975"/>
    </row>
    <row r="703" ht="22.5" customHeight="1">
      <c r="A703" s="912">
        <v>701.0</v>
      </c>
      <c r="B703" s="913" t="b">
        <v>0</v>
      </c>
      <c r="C703" s="966" t="s">
        <v>8173</v>
      </c>
      <c r="D703" s="922"/>
      <c r="E703" s="922">
        <v>7.504673419E9</v>
      </c>
      <c r="F703" s="924"/>
      <c r="G703" s="924"/>
      <c r="H703" s="969" t="s">
        <v>7009</v>
      </c>
      <c r="I703" s="975"/>
      <c r="J703" s="975"/>
    </row>
    <row r="704" ht="22.5" customHeight="1">
      <c r="A704" s="912">
        <v>702.0</v>
      </c>
      <c r="B704" s="913" t="b">
        <v>0</v>
      </c>
      <c r="C704" s="966" t="s">
        <v>8174</v>
      </c>
      <c r="D704" s="922"/>
      <c r="E704" s="922">
        <v>7.808227E9</v>
      </c>
      <c r="F704" s="924"/>
      <c r="G704" s="924"/>
      <c r="H704" s="969" t="s">
        <v>7009</v>
      </c>
      <c r="I704" s="975"/>
      <c r="J704" s="975"/>
    </row>
    <row r="705" ht="22.5" customHeight="1">
      <c r="A705" s="912">
        <v>703.0</v>
      </c>
      <c r="B705" s="913" t="b">
        <v>0</v>
      </c>
      <c r="C705" s="966" t="s">
        <v>8175</v>
      </c>
      <c r="D705" s="922"/>
      <c r="E705" s="922">
        <v>7.50454285E9</v>
      </c>
      <c r="F705" s="924"/>
      <c r="G705" s="924"/>
      <c r="H705" s="969" t="s">
        <v>7009</v>
      </c>
      <c r="I705" s="975"/>
      <c r="J705" s="975"/>
    </row>
    <row r="706" ht="22.5" customHeight="1">
      <c r="A706" s="912">
        <v>704.0</v>
      </c>
      <c r="B706" s="913" t="b">
        <v>0</v>
      </c>
      <c r="C706" s="966" t="s">
        <v>7071</v>
      </c>
      <c r="D706" s="922"/>
      <c r="E706" s="922">
        <v>7.504469955E9</v>
      </c>
      <c r="F706" s="924"/>
      <c r="G706" s="924"/>
      <c r="H706" s="969" t="s">
        <v>7009</v>
      </c>
      <c r="I706" s="975"/>
      <c r="J706" s="975"/>
    </row>
    <row r="707" ht="22.5" customHeight="1">
      <c r="A707" s="912">
        <v>705.0</v>
      </c>
      <c r="B707" s="913" t="b">
        <v>0</v>
      </c>
      <c r="C707" s="966" t="s">
        <v>8176</v>
      </c>
      <c r="D707" s="922"/>
      <c r="E707" s="922">
        <v>7.504498522E9</v>
      </c>
      <c r="F707" s="924"/>
      <c r="G707" s="924"/>
      <c r="H707" s="969" t="s">
        <v>7009</v>
      </c>
      <c r="I707" s="975"/>
      <c r="J707" s="975"/>
    </row>
    <row r="708" ht="22.5" customHeight="1">
      <c r="A708" s="912">
        <v>706.0</v>
      </c>
      <c r="B708" s="913" t="b">
        <v>0</v>
      </c>
      <c r="C708" s="966" t="s">
        <v>8177</v>
      </c>
      <c r="D708" s="922"/>
      <c r="E708" s="922">
        <v>7.504496718E9</v>
      </c>
      <c r="F708" s="924"/>
      <c r="G708" s="924"/>
      <c r="H708" s="969" t="s">
        <v>7009</v>
      </c>
      <c r="I708" s="975"/>
      <c r="J708" s="975"/>
    </row>
    <row r="709" ht="22.5" customHeight="1">
      <c r="A709" s="912">
        <v>707.0</v>
      </c>
      <c r="B709" s="913" t="b">
        <v>0</v>
      </c>
      <c r="C709" s="966" t="s">
        <v>8178</v>
      </c>
      <c r="D709" s="922"/>
      <c r="E709" s="922">
        <v>7.504472878E9</v>
      </c>
      <c r="F709" s="924"/>
      <c r="G709" s="924"/>
      <c r="H709" s="969" t="s">
        <v>7009</v>
      </c>
      <c r="I709" s="975"/>
      <c r="J709" s="975"/>
    </row>
    <row r="710" ht="22.5" customHeight="1">
      <c r="A710" s="912">
        <v>708.0</v>
      </c>
      <c r="B710" s="913" t="b">
        <v>0</v>
      </c>
      <c r="C710" s="966" t="s">
        <v>8179</v>
      </c>
      <c r="D710" s="922"/>
      <c r="E710" s="922">
        <v>7.507777956E9</v>
      </c>
      <c r="F710" s="924"/>
      <c r="G710" s="924"/>
      <c r="H710" s="924"/>
      <c r="I710" s="933"/>
      <c r="J710" s="933"/>
    </row>
    <row r="711" ht="22.5" customHeight="1">
      <c r="A711" s="912">
        <v>709.0</v>
      </c>
      <c r="B711" s="913" t="b">
        <v>0</v>
      </c>
      <c r="C711" s="966" t="s">
        <v>8180</v>
      </c>
      <c r="D711" s="922"/>
      <c r="E711" s="922">
        <v>7.504493812E9</v>
      </c>
      <c r="F711" s="924"/>
      <c r="G711" s="924"/>
      <c r="H711" s="969" t="s">
        <v>7009</v>
      </c>
      <c r="I711" s="975"/>
      <c r="J711" s="975"/>
    </row>
    <row r="712" ht="22.5" customHeight="1">
      <c r="A712" s="912">
        <v>710.0</v>
      </c>
      <c r="B712" s="913" t="b">
        <v>0</v>
      </c>
      <c r="C712" s="935" t="s">
        <v>8181</v>
      </c>
      <c r="D712" s="922"/>
      <c r="E712" s="922">
        <v>7.50463272E9</v>
      </c>
      <c r="F712" s="924"/>
      <c r="G712" s="924"/>
      <c r="H712" s="969" t="s">
        <v>7009</v>
      </c>
      <c r="I712" s="975"/>
      <c r="J712" s="975"/>
    </row>
    <row r="713" ht="22.5" customHeight="1">
      <c r="A713" s="912">
        <v>711.0</v>
      </c>
      <c r="B713" s="913" t="b">
        <v>0</v>
      </c>
      <c r="C713" s="966" t="s">
        <v>8182</v>
      </c>
      <c r="D713" s="922"/>
      <c r="E713" s="922">
        <v>7.50448725E9</v>
      </c>
      <c r="F713" s="924"/>
      <c r="G713" s="924"/>
      <c r="H713" s="969" t="s">
        <v>7009</v>
      </c>
      <c r="I713" s="975"/>
      <c r="J713" s="975"/>
    </row>
    <row r="714" ht="22.5" customHeight="1">
      <c r="A714" s="912">
        <v>712.0</v>
      </c>
      <c r="B714" s="913" t="b">
        <v>0</v>
      </c>
      <c r="C714" s="935" t="s">
        <v>8183</v>
      </c>
      <c r="D714" s="922"/>
      <c r="E714" s="922">
        <v>9.66547673231E11</v>
      </c>
      <c r="F714" s="924"/>
      <c r="G714" s="924"/>
      <c r="H714" s="969" t="s">
        <v>7848</v>
      </c>
      <c r="I714" s="975"/>
      <c r="J714" s="975"/>
    </row>
    <row r="715" ht="22.5" customHeight="1">
      <c r="A715" s="912">
        <v>713.0</v>
      </c>
      <c r="B715" s="913" t="b">
        <v>0</v>
      </c>
      <c r="C715" s="966" t="s">
        <v>8184</v>
      </c>
      <c r="D715" s="922"/>
      <c r="E715" s="922">
        <v>7.505969799E9</v>
      </c>
      <c r="F715" s="924"/>
      <c r="G715" s="924"/>
      <c r="H715" s="969" t="s">
        <v>7009</v>
      </c>
      <c r="I715" s="975"/>
      <c r="J715" s="975"/>
    </row>
    <row r="716" ht="22.5" customHeight="1">
      <c r="A716" s="912">
        <v>714.0</v>
      </c>
      <c r="B716" s="913" t="b">
        <v>0</v>
      </c>
      <c r="C716" s="966" t="s">
        <v>8185</v>
      </c>
      <c r="D716" s="922"/>
      <c r="E716" s="922">
        <v>7.504111112E9</v>
      </c>
      <c r="F716" s="924"/>
      <c r="G716" s="924"/>
      <c r="H716" s="969" t="s">
        <v>7009</v>
      </c>
      <c r="I716" s="975"/>
      <c r="J716" s="975"/>
    </row>
    <row r="717" ht="22.5" customHeight="1">
      <c r="A717" s="912">
        <v>715.0</v>
      </c>
      <c r="B717" s="913" t="b">
        <v>0</v>
      </c>
      <c r="C717" s="966" t="s">
        <v>7265</v>
      </c>
      <c r="D717" s="922"/>
      <c r="E717" s="922">
        <v>7.508331415E9</v>
      </c>
      <c r="F717" s="924"/>
      <c r="G717" s="924"/>
      <c r="H717" s="969" t="s">
        <v>7009</v>
      </c>
      <c r="I717" s="975"/>
      <c r="J717" s="975"/>
    </row>
    <row r="718" ht="22.5" customHeight="1">
      <c r="A718" s="912">
        <v>716.0</v>
      </c>
      <c r="B718" s="913" t="b">
        <v>0</v>
      </c>
      <c r="C718" s="966" t="s">
        <v>8186</v>
      </c>
      <c r="D718" s="922"/>
      <c r="E718" s="922">
        <v>7.504469332E9</v>
      </c>
      <c r="F718" s="924"/>
      <c r="G718" s="924"/>
      <c r="H718" s="969" t="s">
        <v>7009</v>
      </c>
      <c r="I718" s="975"/>
      <c r="J718" s="975"/>
    </row>
    <row r="719" ht="22.5" customHeight="1">
      <c r="A719" s="912">
        <v>717.0</v>
      </c>
      <c r="B719" s="913" t="b">
        <v>0</v>
      </c>
      <c r="C719" s="935" t="s">
        <v>8187</v>
      </c>
      <c r="D719" s="922"/>
      <c r="E719" s="922">
        <v>7.504480082E9</v>
      </c>
      <c r="F719" s="924"/>
      <c r="G719" s="924"/>
      <c r="H719" s="969" t="s">
        <v>7009</v>
      </c>
      <c r="I719" s="975"/>
      <c r="J719" s="975"/>
    </row>
    <row r="720" ht="22.5" customHeight="1">
      <c r="A720" s="912">
        <v>718.0</v>
      </c>
      <c r="B720" s="913" t="b">
        <v>0</v>
      </c>
      <c r="C720" s="966" t="s">
        <v>8188</v>
      </c>
      <c r="D720" s="922"/>
      <c r="E720" s="922">
        <v>7.502468646E9</v>
      </c>
      <c r="F720" s="924"/>
      <c r="G720" s="924"/>
      <c r="H720" s="969" t="s">
        <v>7009</v>
      </c>
      <c r="I720" s="975"/>
      <c r="J720" s="975"/>
    </row>
    <row r="721" ht="22.5" customHeight="1">
      <c r="A721" s="912">
        <v>719.0</v>
      </c>
      <c r="B721" s="913" t="b">
        <v>0</v>
      </c>
      <c r="C721" s="935" t="s">
        <v>8189</v>
      </c>
      <c r="D721" s="936" t="s">
        <v>8190</v>
      </c>
      <c r="E721" s="922">
        <v>9.66553047381E11</v>
      </c>
      <c r="F721" s="924" t="s">
        <v>8191</v>
      </c>
      <c r="G721" s="924"/>
      <c r="H721" s="969" t="s">
        <v>7848</v>
      </c>
      <c r="I721" s="975"/>
      <c r="J721" s="975"/>
    </row>
    <row r="722" ht="22.5" customHeight="1">
      <c r="A722" s="912">
        <v>720.0</v>
      </c>
      <c r="B722" s="913" t="b">
        <v>0</v>
      </c>
      <c r="C722" s="935" t="s">
        <v>8192</v>
      </c>
      <c r="D722" s="922"/>
      <c r="E722" s="922">
        <v>7.866226688E9</v>
      </c>
      <c r="F722" s="924" t="s">
        <v>8193</v>
      </c>
      <c r="G722" s="924"/>
      <c r="H722" s="969" t="s">
        <v>8194</v>
      </c>
      <c r="I722" s="975"/>
      <c r="J722" s="975"/>
    </row>
    <row r="723" ht="22.5" customHeight="1">
      <c r="A723" s="912">
        <v>721.0</v>
      </c>
      <c r="B723" s="913" t="b">
        <v>0</v>
      </c>
      <c r="C723" s="935" t="s">
        <v>8195</v>
      </c>
      <c r="D723" s="922"/>
      <c r="E723" s="922">
        <v>9.89144503261E11</v>
      </c>
      <c r="F723" s="924"/>
      <c r="G723" s="924"/>
      <c r="H723" s="969" t="s">
        <v>7983</v>
      </c>
      <c r="I723" s="975"/>
      <c r="J723" s="975"/>
    </row>
    <row r="724" ht="22.5" customHeight="1">
      <c r="A724" s="912">
        <v>722.0</v>
      </c>
      <c r="B724" s="913" t="b">
        <v>0</v>
      </c>
      <c r="C724" s="935" t="s">
        <v>8196</v>
      </c>
      <c r="D724" s="922"/>
      <c r="E724" s="922">
        <v>9.89121035656E11</v>
      </c>
      <c r="F724" s="924" t="s">
        <v>8197</v>
      </c>
      <c r="G724" s="924"/>
      <c r="H724" s="969" t="s">
        <v>7983</v>
      </c>
      <c r="I724" s="975"/>
      <c r="J724" s="975"/>
    </row>
    <row r="725" ht="22.5" customHeight="1">
      <c r="A725" s="912">
        <v>723.0</v>
      </c>
      <c r="B725" s="913" t="b">
        <v>0</v>
      </c>
      <c r="C725" s="966" t="s">
        <v>8198</v>
      </c>
      <c r="D725" s="922"/>
      <c r="E725" s="922">
        <v>9.19104788099E11</v>
      </c>
      <c r="F725" s="924" t="s">
        <v>8199</v>
      </c>
      <c r="G725" s="924"/>
      <c r="H725" s="969" t="s">
        <v>8200</v>
      </c>
      <c r="I725" s="975"/>
      <c r="J725" s="975"/>
    </row>
    <row r="726" ht="22.5" customHeight="1">
      <c r="A726" s="912">
        <v>724.0</v>
      </c>
      <c r="B726" s="913" t="b">
        <v>0</v>
      </c>
      <c r="C726" s="935" t="s">
        <v>8201</v>
      </c>
      <c r="D726" s="922"/>
      <c r="E726" s="922">
        <v>7.706010122E9</v>
      </c>
      <c r="F726" s="924" t="s">
        <v>8202</v>
      </c>
      <c r="G726" s="924"/>
      <c r="H726" s="969" t="s">
        <v>8203</v>
      </c>
      <c r="I726" s="975"/>
      <c r="J726" s="975"/>
    </row>
    <row r="727" ht="22.5" customHeight="1">
      <c r="A727" s="912">
        <v>725.0</v>
      </c>
      <c r="B727" s="913" t="b">
        <v>0</v>
      </c>
      <c r="C727" s="935" t="s">
        <v>8204</v>
      </c>
      <c r="D727" s="922"/>
      <c r="E727" s="922">
        <v>7.810811111E9</v>
      </c>
      <c r="F727" s="924" t="s">
        <v>8205</v>
      </c>
      <c r="G727" s="924"/>
      <c r="H727" s="969" t="s">
        <v>8206</v>
      </c>
      <c r="I727" s="975"/>
      <c r="J727" s="975"/>
    </row>
    <row r="728" ht="22.5" customHeight="1">
      <c r="A728" s="912">
        <v>726.0</v>
      </c>
      <c r="B728" s="913" t="b">
        <v>0</v>
      </c>
      <c r="C728" s="935" t="s">
        <v>8207</v>
      </c>
      <c r="D728" s="922"/>
      <c r="E728" s="922">
        <v>7.805660867E9</v>
      </c>
      <c r="F728" s="924" t="s">
        <v>1624</v>
      </c>
      <c r="G728" s="924"/>
      <c r="H728" s="969" t="s">
        <v>7749</v>
      </c>
      <c r="I728" s="975"/>
      <c r="J728" s="975"/>
    </row>
    <row r="729" ht="22.5" customHeight="1">
      <c r="A729" s="912">
        <v>727.0</v>
      </c>
      <c r="B729" s="913" t="b">
        <v>0</v>
      </c>
      <c r="C729" s="935" t="s">
        <v>8208</v>
      </c>
      <c r="D729" s="922"/>
      <c r="E729" s="922">
        <v>1.22889644E8</v>
      </c>
      <c r="F729" s="924" t="s">
        <v>8209</v>
      </c>
      <c r="G729" s="924"/>
      <c r="H729" s="969" t="s">
        <v>7848</v>
      </c>
      <c r="I729" s="975"/>
      <c r="J729" s="975"/>
    </row>
    <row r="730" ht="22.5" customHeight="1">
      <c r="A730" s="912">
        <v>728.0</v>
      </c>
      <c r="B730" s="913" t="b">
        <v>0</v>
      </c>
      <c r="C730" s="935" t="s">
        <v>8210</v>
      </c>
      <c r="D730" s="922"/>
      <c r="E730" s="922"/>
      <c r="F730" s="924" t="s">
        <v>8211</v>
      </c>
      <c r="G730" s="924"/>
      <c r="H730" s="969" t="s">
        <v>7749</v>
      </c>
      <c r="I730" s="975"/>
      <c r="J730" s="975"/>
    </row>
    <row r="731" ht="22.5" customHeight="1">
      <c r="A731" s="912">
        <v>729.0</v>
      </c>
      <c r="B731" s="913" t="b">
        <v>0</v>
      </c>
      <c r="C731" s="966" t="s">
        <v>8212</v>
      </c>
      <c r="D731" s="922"/>
      <c r="E731" s="922">
        <v>9.6824448677E10</v>
      </c>
      <c r="F731" s="924" t="s">
        <v>8213</v>
      </c>
      <c r="G731" s="924"/>
      <c r="H731" s="969" t="s">
        <v>8214</v>
      </c>
      <c r="I731" s="975"/>
      <c r="J731" s="975"/>
    </row>
    <row r="732" ht="22.5" customHeight="1">
      <c r="A732" s="912">
        <v>730.0</v>
      </c>
      <c r="B732" s="913" t="b">
        <v>0</v>
      </c>
      <c r="C732" s="935" t="s">
        <v>8215</v>
      </c>
      <c r="D732" s="922"/>
      <c r="E732" s="922">
        <v>9.689626077E10</v>
      </c>
      <c r="F732" s="924" t="s">
        <v>8216</v>
      </c>
      <c r="G732" s="924"/>
      <c r="H732" s="969" t="s">
        <v>8214</v>
      </c>
      <c r="I732" s="975"/>
      <c r="J732" s="975"/>
    </row>
    <row r="733" ht="22.5" customHeight="1">
      <c r="A733" s="912">
        <v>731.0</v>
      </c>
      <c r="B733" s="913" t="b">
        <v>0</v>
      </c>
      <c r="C733" s="935" t="s">
        <v>8217</v>
      </c>
      <c r="D733" s="922"/>
      <c r="E733" s="922">
        <v>9.689788918E10</v>
      </c>
      <c r="F733" s="924" t="s">
        <v>8218</v>
      </c>
      <c r="G733" s="924"/>
      <c r="H733" s="969" t="s">
        <v>8214</v>
      </c>
      <c r="I733" s="975"/>
      <c r="J733" s="975"/>
    </row>
    <row r="734" ht="22.5" customHeight="1">
      <c r="A734" s="912">
        <v>732.0</v>
      </c>
      <c r="B734" s="913" t="b">
        <v>0</v>
      </c>
      <c r="C734" s="935" t="s">
        <v>8219</v>
      </c>
      <c r="D734" s="936" t="s">
        <v>8220</v>
      </c>
      <c r="E734" s="922">
        <v>7.901920471E9</v>
      </c>
      <c r="F734" s="924" t="s">
        <v>8221</v>
      </c>
      <c r="G734" s="924"/>
      <c r="H734" s="924"/>
      <c r="I734" s="933"/>
      <c r="J734" s="933"/>
    </row>
    <row r="735" ht="22.5" customHeight="1">
      <c r="A735" s="912">
        <v>733.0</v>
      </c>
      <c r="B735" s="913" t="b">
        <v>0</v>
      </c>
      <c r="C735" s="966" t="s">
        <v>8222</v>
      </c>
      <c r="D735" s="922"/>
      <c r="E735" s="922">
        <v>2.68657E7</v>
      </c>
      <c r="F735" s="924" t="s">
        <v>8223</v>
      </c>
      <c r="G735" s="924"/>
      <c r="H735" s="969" t="s">
        <v>8214</v>
      </c>
      <c r="I735" s="975"/>
      <c r="J735" s="975"/>
    </row>
    <row r="736" ht="22.5" customHeight="1">
      <c r="A736" s="912">
        <v>734.0</v>
      </c>
      <c r="B736" s="913" t="b">
        <v>0</v>
      </c>
      <c r="C736" s="966" t="s">
        <v>8224</v>
      </c>
      <c r="D736" s="922"/>
      <c r="E736" s="922">
        <v>9.661120082651E12</v>
      </c>
      <c r="F736" s="1072" t="s">
        <v>8225</v>
      </c>
      <c r="G736" s="924"/>
      <c r="H736" s="969" t="s">
        <v>7848</v>
      </c>
      <c r="I736" s="975"/>
      <c r="J736" s="975"/>
    </row>
    <row r="737" ht="22.5" customHeight="1">
      <c r="A737" s="912">
        <v>735.0</v>
      </c>
      <c r="B737" s="913" t="b">
        <v>0</v>
      </c>
      <c r="C737" s="935" t="s">
        <v>8226</v>
      </c>
      <c r="D737" s="922"/>
      <c r="E737" s="922">
        <v>7.71750558E9</v>
      </c>
      <c r="F737" s="924" t="s">
        <v>8227</v>
      </c>
      <c r="G737" s="924"/>
      <c r="H737" s="969" t="s">
        <v>7749</v>
      </c>
      <c r="I737" s="975"/>
      <c r="J737" s="975"/>
    </row>
    <row r="738" ht="22.5" customHeight="1">
      <c r="A738" s="912">
        <v>736.0</v>
      </c>
      <c r="B738" s="913" t="b">
        <v>0</v>
      </c>
      <c r="C738" s="935" t="s">
        <v>8228</v>
      </c>
      <c r="D738" s="922"/>
      <c r="E738" s="922">
        <v>7.729200044E9</v>
      </c>
      <c r="F738" s="924" t="s">
        <v>8229</v>
      </c>
      <c r="G738" s="924"/>
      <c r="H738" s="924"/>
      <c r="I738" s="933"/>
      <c r="J738" s="933"/>
    </row>
    <row r="739" ht="22.5" customHeight="1">
      <c r="A739" s="912">
        <v>737.0</v>
      </c>
      <c r="B739" s="913" t="b">
        <v>0</v>
      </c>
      <c r="C739" s="966" t="s">
        <v>8230</v>
      </c>
      <c r="D739" s="922"/>
      <c r="E739" s="922">
        <v>7.7115005E9</v>
      </c>
      <c r="F739" s="1018" t="s">
        <v>8231</v>
      </c>
      <c r="G739" s="924"/>
      <c r="H739" s="924"/>
      <c r="I739" s="933"/>
      <c r="J739" s="933"/>
    </row>
    <row r="740" ht="22.5" customHeight="1">
      <c r="A740" s="912">
        <v>738.0</v>
      </c>
      <c r="B740" s="913" t="b">
        <v>0</v>
      </c>
      <c r="C740" s="935" t="s">
        <v>8232</v>
      </c>
      <c r="D740" s="936" t="s">
        <v>8233</v>
      </c>
      <c r="E740" s="922">
        <v>7.750000499E9</v>
      </c>
      <c r="F740" s="924" t="s">
        <v>8234</v>
      </c>
      <c r="G740" s="924"/>
      <c r="H740" s="969" t="s">
        <v>7749</v>
      </c>
      <c r="I740" s="975"/>
      <c r="J740" s="975"/>
    </row>
    <row r="741" ht="22.5" customHeight="1">
      <c r="A741" s="912">
        <v>739.0</v>
      </c>
      <c r="B741" s="913" t="b">
        <v>0</v>
      </c>
      <c r="C741" s="966" t="s">
        <v>8235</v>
      </c>
      <c r="D741" s="922"/>
      <c r="E741" s="922">
        <v>9.89101010195E11</v>
      </c>
      <c r="F741" s="924" t="s">
        <v>8236</v>
      </c>
      <c r="G741" s="924"/>
      <c r="H741" s="969" t="s">
        <v>7983</v>
      </c>
      <c r="I741" s="975"/>
      <c r="J741" s="975"/>
    </row>
    <row r="742" ht="22.5" customHeight="1">
      <c r="A742" s="912">
        <v>740.0</v>
      </c>
      <c r="B742" s="913" t="b">
        <v>0</v>
      </c>
      <c r="C742" s="935" t="s">
        <v>8237</v>
      </c>
      <c r="D742" s="922"/>
      <c r="E742" s="922">
        <v>7.835599406E9</v>
      </c>
      <c r="F742" s="924"/>
      <c r="G742" s="924"/>
      <c r="H742" s="969" t="s">
        <v>7749</v>
      </c>
      <c r="I742" s="975"/>
      <c r="J742" s="975"/>
    </row>
    <row r="743" ht="22.5" customHeight="1">
      <c r="A743" s="912">
        <v>741.0</v>
      </c>
      <c r="B743" s="913" t="b">
        <v>0</v>
      </c>
      <c r="C743" s="935" t="s">
        <v>8238</v>
      </c>
      <c r="D743" s="922"/>
      <c r="E743" s="922">
        <v>6867.0</v>
      </c>
      <c r="F743" s="924"/>
      <c r="G743" s="1018" t="s">
        <v>8239</v>
      </c>
      <c r="H743" s="969" t="s">
        <v>7749</v>
      </c>
      <c r="I743" s="975"/>
      <c r="J743" s="975"/>
    </row>
    <row r="744" ht="22.5" customHeight="1">
      <c r="A744" s="912">
        <v>742.0</v>
      </c>
      <c r="B744" s="913" t="b">
        <v>0</v>
      </c>
      <c r="C744" s="935" t="s">
        <v>8240</v>
      </c>
      <c r="D744" s="922"/>
      <c r="E744" s="922" t="s">
        <v>8241</v>
      </c>
      <c r="F744" s="924" t="s">
        <v>8242</v>
      </c>
      <c r="G744" s="924"/>
      <c r="H744" s="969" t="s">
        <v>7848</v>
      </c>
      <c r="I744" s="975"/>
      <c r="J744" s="975"/>
    </row>
    <row r="745" ht="22.5" customHeight="1">
      <c r="A745" s="912">
        <v>743.0</v>
      </c>
      <c r="B745" s="913" t="b">
        <v>0</v>
      </c>
      <c r="C745" s="935" t="s">
        <v>8243</v>
      </c>
      <c r="D745" s="922"/>
      <c r="E745" s="922"/>
      <c r="F745" s="924" t="s">
        <v>8244</v>
      </c>
      <c r="G745" s="924"/>
      <c r="H745" s="924"/>
      <c r="I745" s="933"/>
      <c r="J745" s="933"/>
    </row>
    <row r="746" ht="22.5" customHeight="1">
      <c r="A746" s="912">
        <v>744.0</v>
      </c>
      <c r="B746" s="913" t="b">
        <v>0</v>
      </c>
      <c r="C746" s="935" t="s">
        <v>8245</v>
      </c>
      <c r="D746" s="922"/>
      <c r="E746" s="922">
        <v>6888.0</v>
      </c>
      <c r="F746" s="924"/>
      <c r="G746" s="924"/>
      <c r="H746" s="924"/>
      <c r="I746" s="933"/>
      <c r="J746" s="933"/>
    </row>
    <row r="747" ht="22.5" customHeight="1">
      <c r="A747" s="937">
        <v>745.0</v>
      </c>
      <c r="B747" s="913" t="b">
        <v>0</v>
      </c>
      <c r="C747" s="1227" t="s">
        <v>8246</v>
      </c>
      <c r="D747" s="1228"/>
      <c r="E747" s="1229" t="s">
        <v>8247</v>
      </c>
      <c r="F747" s="1230"/>
      <c r="G747" s="1231" t="s">
        <v>8248</v>
      </c>
      <c r="H747" s="924"/>
      <c r="I747" s="933"/>
      <c r="J747" s="933"/>
    </row>
    <row r="748" ht="22.5" customHeight="1">
      <c r="A748" s="937">
        <v>746.0</v>
      </c>
      <c r="B748" s="913" t="b">
        <v>0</v>
      </c>
      <c r="C748" s="1232" t="s">
        <v>8249</v>
      </c>
      <c r="D748" s="1233"/>
      <c r="E748" s="1234" t="s">
        <v>8250</v>
      </c>
      <c r="F748" s="1235"/>
      <c r="G748" s="1235"/>
      <c r="H748" s="924"/>
      <c r="I748" s="933"/>
      <c r="J748" s="933"/>
    </row>
    <row r="749" ht="22.5" customHeight="1">
      <c r="A749" s="937">
        <v>747.0</v>
      </c>
      <c r="B749" s="913" t="b">
        <v>0</v>
      </c>
      <c r="C749" s="913" t="s">
        <v>8251</v>
      </c>
      <c r="D749" s="922"/>
      <c r="E749" s="1236" t="s">
        <v>8252</v>
      </c>
      <c r="F749" s="924"/>
      <c r="G749" s="924"/>
      <c r="H749" s="924"/>
      <c r="I749" s="933"/>
      <c r="J749" s="933"/>
    </row>
    <row r="750" ht="22.5" customHeight="1">
      <c r="A750" s="937">
        <v>748.0</v>
      </c>
      <c r="B750" s="913" t="b">
        <v>0</v>
      </c>
      <c r="C750" s="913" t="s">
        <v>8253</v>
      </c>
      <c r="D750" s="922"/>
      <c r="E750" s="922" t="s">
        <v>8254</v>
      </c>
      <c r="F750" s="924"/>
      <c r="G750" s="924"/>
      <c r="H750" s="924"/>
      <c r="I750" s="933"/>
      <c r="J750" s="933"/>
    </row>
    <row r="751" ht="22.5" customHeight="1">
      <c r="A751" s="937">
        <v>749.0</v>
      </c>
      <c r="B751" s="913" t="b">
        <v>0</v>
      </c>
      <c r="C751" s="913" t="s">
        <v>8255</v>
      </c>
      <c r="D751" s="922"/>
      <c r="E751" s="922" t="s">
        <v>8256</v>
      </c>
      <c r="F751" s="924"/>
      <c r="G751" s="924"/>
      <c r="H751" s="924"/>
      <c r="I751" s="933"/>
      <c r="J751" s="933"/>
    </row>
    <row r="752" ht="22.5" customHeight="1">
      <c r="A752" s="937">
        <v>750.0</v>
      </c>
      <c r="B752" s="913" t="b">
        <v>0</v>
      </c>
      <c r="C752" s="913" t="s">
        <v>8257</v>
      </c>
      <c r="D752" s="922"/>
      <c r="E752" s="922" t="s">
        <v>8258</v>
      </c>
      <c r="F752" s="924"/>
      <c r="G752" s="924"/>
      <c r="H752" s="924"/>
      <c r="I752" s="933"/>
      <c r="J752" s="933"/>
    </row>
    <row r="753" ht="22.5" customHeight="1">
      <c r="A753" s="937">
        <v>751.0</v>
      </c>
      <c r="B753" s="913" t="b">
        <v>0</v>
      </c>
      <c r="C753" s="913" t="s">
        <v>8259</v>
      </c>
      <c r="D753" s="922"/>
      <c r="E753" s="922" t="s">
        <v>8260</v>
      </c>
      <c r="F753" s="924" t="s">
        <v>8261</v>
      </c>
      <c r="G753" s="924"/>
      <c r="H753" s="924"/>
      <c r="I753" s="933"/>
      <c r="J753" s="933"/>
    </row>
    <row r="754" ht="22.5" customHeight="1">
      <c r="A754" s="937">
        <v>752.0</v>
      </c>
      <c r="B754" s="913" t="b">
        <v>0</v>
      </c>
      <c r="C754" s="913" t="s">
        <v>8262</v>
      </c>
      <c r="D754" s="922"/>
      <c r="E754" s="922" t="s">
        <v>8263</v>
      </c>
      <c r="F754" s="924" t="s">
        <v>8264</v>
      </c>
      <c r="G754" s="924"/>
      <c r="H754" s="924"/>
      <c r="I754" s="933"/>
      <c r="J754" s="933"/>
    </row>
    <row r="755" ht="22.5" customHeight="1">
      <c r="A755" s="937">
        <v>753.0</v>
      </c>
      <c r="B755" s="913" t="b">
        <v>0</v>
      </c>
      <c r="C755" s="913" t="s">
        <v>8265</v>
      </c>
      <c r="D755" s="922" t="s">
        <v>8266</v>
      </c>
      <c r="E755" s="922" t="s">
        <v>8267</v>
      </c>
      <c r="F755" s="924"/>
      <c r="G755" s="924"/>
      <c r="H755" s="924"/>
      <c r="I755" s="933"/>
      <c r="J755" s="933"/>
    </row>
    <row r="756" ht="22.5" customHeight="1">
      <c r="A756" s="937">
        <v>754.0</v>
      </c>
      <c r="B756" s="913" t="b">
        <v>0</v>
      </c>
      <c r="C756" s="913" t="s">
        <v>8268</v>
      </c>
      <c r="D756" s="922" t="s">
        <v>8269</v>
      </c>
      <c r="E756" s="922" t="s">
        <v>8270</v>
      </c>
      <c r="F756" s="924"/>
      <c r="G756" s="924"/>
      <c r="H756" s="924"/>
      <c r="I756" s="933"/>
      <c r="J756" s="933"/>
    </row>
    <row r="757" ht="22.5" customHeight="1">
      <c r="A757" s="937">
        <v>755.0</v>
      </c>
      <c r="B757" s="913" t="b">
        <v>0</v>
      </c>
      <c r="C757" s="913" t="s">
        <v>8271</v>
      </c>
      <c r="D757" s="922" t="s">
        <v>8272</v>
      </c>
      <c r="E757" s="922" t="s">
        <v>8273</v>
      </c>
      <c r="F757" s="924"/>
      <c r="G757" s="924"/>
      <c r="H757" s="924"/>
      <c r="I757" s="933"/>
      <c r="J757" s="933"/>
    </row>
    <row r="758" ht="22.5" customHeight="1">
      <c r="A758" s="937">
        <v>756.0</v>
      </c>
      <c r="B758" s="913" t="b">
        <v>0</v>
      </c>
      <c r="C758" s="913" t="s">
        <v>8274</v>
      </c>
      <c r="D758" s="922" t="s">
        <v>8275</v>
      </c>
      <c r="E758" s="922" t="s">
        <v>8276</v>
      </c>
      <c r="F758" s="924"/>
      <c r="G758" s="924"/>
      <c r="H758" s="924"/>
      <c r="I758" s="933"/>
      <c r="J758" s="933"/>
    </row>
    <row r="759" ht="22.5" customHeight="1">
      <c r="A759" s="937">
        <v>757.0</v>
      </c>
      <c r="B759" s="913" t="b">
        <v>0</v>
      </c>
      <c r="C759" s="913" t="s">
        <v>8277</v>
      </c>
      <c r="D759" s="922"/>
      <c r="E759" s="922" t="s">
        <v>8278</v>
      </c>
      <c r="F759" s="924"/>
      <c r="G759" s="924"/>
      <c r="H759" s="924"/>
      <c r="I759" s="933"/>
      <c r="J759" s="933"/>
    </row>
    <row r="760" ht="22.5" customHeight="1">
      <c r="A760" s="937">
        <v>758.0</v>
      </c>
      <c r="B760" s="913" t="b">
        <v>0</v>
      </c>
      <c r="C760" s="913" t="s">
        <v>8279</v>
      </c>
      <c r="D760" s="922"/>
      <c r="E760" s="922" t="s">
        <v>8280</v>
      </c>
      <c r="F760" s="924"/>
      <c r="G760" s="924"/>
      <c r="H760" s="924"/>
      <c r="I760" s="933"/>
      <c r="J760" s="933"/>
    </row>
    <row r="761" ht="22.5" customHeight="1">
      <c r="A761" s="937">
        <v>759.0</v>
      </c>
      <c r="B761" s="913" t="b">
        <v>0</v>
      </c>
      <c r="C761" s="913" t="s">
        <v>8281</v>
      </c>
      <c r="D761" s="922"/>
      <c r="E761" s="922" t="s">
        <v>8282</v>
      </c>
      <c r="F761" s="924"/>
      <c r="G761" s="924"/>
      <c r="H761" s="924"/>
      <c r="I761" s="933"/>
      <c r="J761" s="933"/>
    </row>
    <row r="762" ht="22.5" customHeight="1">
      <c r="A762" s="937">
        <v>760.0</v>
      </c>
      <c r="B762" s="913" t="b">
        <v>0</v>
      </c>
      <c r="C762" s="913" t="s">
        <v>8283</v>
      </c>
      <c r="D762" s="922"/>
      <c r="E762" s="922" t="s">
        <v>8284</v>
      </c>
      <c r="F762" s="924"/>
      <c r="G762" s="924"/>
      <c r="H762" s="924"/>
      <c r="I762" s="933"/>
      <c r="J762" s="933"/>
    </row>
    <row r="763" ht="22.5" customHeight="1">
      <c r="A763" s="937">
        <v>761.0</v>
      </c>
      <c r="B763" s="913" t="b">
        <v>0</v>
      </c>
      <c r="C763" s="913" t="s">
        <v>8285</v>
      </c>
      <c r="D763" s="922"/>
      <c r="E763" s="922">
        <v>6889.0</v>
      </c>
      <c r="F763" s="1237" t="s">
        <v>8286</v>
      </c>
      <c r="G763" s="924"/>
      <c r="H763" s="924"/>
      <c r="I763" s="933"/>
      <c r="J763" s="933"/>
    </row>
    <row r="764" ht="22.5" customHeight="1">
      <c r="A764" s="937">
        <v>762.0</v>
      </c>
      <c r="B764" s="913" t="b">
        <v>0</v>
      </c>
      <c r="C764" s="1238" t="s">
        <v>8287</v>
      </c>
      <c r="D764" s="922"/>
      <c r="E764" s="922" t="s">
        <v>8288</v>
      </c>
      <c r="F764" s="924"/>
      <c r="G764" s="924"/>
      <c r="H764" s="924"/>
      <c r="I764" s="933"/>
      <c r="J764" s="933"/>
    </row>
    <row r="765" ht="22.5" customHeight="1">
      <c r="A765" s="937">
        <v>763.0</v>
      </c>
      <c r="B765" s="913" t="b">
        <v>0</v>
      </c>
      <c r="C765" s="913" t="s">
        <v>8289</v>
      </c>
      <c r="D765" s="922"/>
      <c r="E765" s="922" t="s">
        <v>8290</v>
      </c>
      <c r="F765" s="924"/>
      <c r="G765" s="924"/>
      <c r="H765" s="924"/>
      <c r="I765" s="933"/>
      <c r="J765" s="933"/>
    </row>
    <row r="766" ht="22.5" customHeight="1">
      <c r="A766" s="937">
        <v>764.0</v>
      </c>
      <c r="B766" s="913" t="b">
        <v>0</v>
      </c>
      <c r="C766" s="913" t="s">
        <v>8291</v>
      </c>
      <c r="D766" s="922"/>
      <c r="E766" s="922" t="s">
        <v>8292</v>
      </c>
      <c r="F766" s="924"/>
      <c r="G766" s="924"/>
      <c r="H766" s="924"/>
      <c r="I766" s="933"/>
      <c r="J766" s="933"/>
    </row>
    <row r="767" ht="22.5" customHeight="1">
      <c r="A767" s="937">
        <v>765.0</v>
      </c>
      <c r="B767" s="913" t="b">
        <v>0</v>
      </c>
      <c r="C767" s="913" t="s">
        <v>8293</v>
      </c>
      <c r="D767" s="922" t="s">
        <v>8294</v>
      </c>
      <c r="E767" s="922" t="s">
        <v>8295</v>
      </c>
      <c r="F767" s="924"/>
      <c r="G767" s="924"/>
      <c r="H767" s="924"/>
      <c r="I767" s="933"/>
      <c r="J767" s="933"/>
    </row>
    <row r="768" ht="22.5" customHeight="1">
      <c r="A768" s="937">
        <v>766.0</v>
      </c>
      <c r="B768" s="913" t="b">
        <v>0</v>
      </c>
      <c r="C768" s="913" t="s">
        <v>8296</v>
      </c>
      <c r="D768" s="922" t="s">
        <v>8297</v>
      </c>
      <c r="E768" s="922" t="s">
        <v>8298</v>
      </c>
      <c r="F768" s="924"/>
      <c r="G768" s="924"/>
      <c r="H768" s="924"/>
      <c r="I768" s="933"/>
      <c r="J768" s="933"/>
    </row>
    <row r="769" ht="22.5" customHeight="1">
      <c r="A769" s="937">
        <v>767.0</v>
      </c>
      <c r="B769" s="913" t="b">
        <v>0</v>
      </c>
      <c r="C769" s="913" t="s">
        <v>8299</v>
      </c>
      <c r="D769" s="922" t="s">
        <v>8300</v>
      </c>
      <c r="E769" s="922" t="s">
        <v>8301</v>
      </c>
      <c r="F769" s="924"/>
      <c r="G769" s="924"/>
      <c r="H769" s="924"/>
      <c r="I769" s="933"/>
      <c r="J769" s="933"/>
    </row>
    <row r="770" ht="22.5" customHeight="1">
      <c r="A770" s="937">
        <v>768.0</v>
      </c>
      <c r="B770" s="913" t="b">
        <v>0</v>
      </c>
      <c r="C770" s="913" t="s">
        <v>8302</v>
      </c>
      <c r="D770" s="922"/>
      <c r="E770" s="922"/>
      <c r="F770" s="1018" t="s">
        <v>8303</v>
      </c>
      <c r="G770" s="924"/>
      <c r="H770" s="924"/>
      <c r="I770" s="933"/>
      <c r="J770" s="933"/>
    </row>
    <row r="771" ht="22.5" customHeight="1">
      <c r="A771" s="937">
        <v>769.0</v>
      </c>
      <c r="B771" s="913" t="b">
        <v>0</v>
      </c>
      <c r="C771" s="1238" t="s">
        <v>8304</v>
      </c>
      <c r="D771" s="922"/>
      <c r="E771" s="1239" t="s">
        <v>8305</v>
      </c>
      <c r="F771" s="924"/>
      <c r="G771" s="924"/>
      <c r="H771" s="924"/>
      <c r="I771" s="933"/>
      <c r="J771" s="933"/>
    </row>
    <row r="772" ht="22.5" customHeight="1">
      <c r="A772" s="937">
        <v>770.0</v>
      </c>
      <c r="B772" s="913" t="b">
        <v>0</v>
      </c>
      <c r="C772" s="913" t="s">
        <v>8306</v>
      </c>
      <c r="D772" s="922" t="s">
        <v>8307</v>
      </c>
      <c r="E772" s="922" t="s">
        <v>8308</v>
      </c>
      <c r="F772" s="924"/>
      <c r="G772" s="924"/>
      <c r="H772" s="924"/>
      <c r="I772" s="933"/>
      <c r="J772" s="933"/>
    </row>
    <row r="773" ht="22.5" customHeight="1">
      <c r="A773" s="937">
        <v>771.0</v>
      </c>
      <c r="B773" s="913" t="b">
        <v>0</v>
      </c>
      <c r="C773" s="913" t="s">
        <v>8309</v>
      </c>
      <c r="D773" s="922"/>
      <c r="E773" s="922" t="s">
        <v>8310</v>
      </c>
      <c r="F773" s="924"/>
      <c r="G773" s="924"/>
      <c r="H773" s="924"/>
      <c r="I773" s="933"/>
      <c r="J773" s="933"/>
    </row>
    <row r="774" ht="22.5" customHeight="1">
      <c r="A774" s="937">
        <v>772.0</v>
      </c>
      <c r="B774" s="913" t="b">
        <v>0</v>
      </c>
      <c r="C774" s="913" t="s">
        <v>8311</v>
      </c>
      <c r="D774" s="922"/>
      <c r="E774" s="922" t="s">
        <v>8312</v>
      </c>
      <c r="F774" s="924"/>
      <c r="G774" s="924"/>
      <c r="H774" s="924"/>
      <c r="I774" s="933"/>
      <c r="J774" s="933"/>
    </row>
    <row r="775" ht="22.5" customHeight="1">
      <c r="A775" s="937">
        <v>773.0</v>
      </c>
      <c r="B775" s="913" t="b">
        <v>0</v>
      </c>
      <c r="C775" s="913" t="s">
        <v>8313</v>
      </c>
      <c r="D775" s="922" t="s">
        <v>8314</v>
      </c>
      <c r="E775" s="922">
        <v>9.200049E8</v>
      </c>
      <c r="F775" s="924"/>
      <c r="G775" s="924"/>
      <c r="H775" s="924"/>
      <c r="I775" s="933"/>
      <c r="J775" s="933"/>
    </row>
    <row r="776" ht="22.5" customHeight="1">
      <c r="A776" s="937">
        <v>774.0</v>
      </c>
      <c r="B776" s="913" t="b">
        <v>0</v>
      </c>
      <c r="C776" s="1238" t="s">
        <v>8315</v>
      </c>
      <c r="D776" s="922"/>
      <c r="E776" s="922"/>
      <c r="F776" s="924" t="s">
        <v>8316</v>
      </c>
      <c r="G776" s="924"/>
      <c r="H776" s="924"/>
      <c r="I776" s="933"/>
      <c r="J776" s="933"/>
    </row>
    <row r="777" ht="22.5" customHeight="1">
      <c r="A777" s="937">
        <v>775.0</v>
      </c>
      <c r="B777" s="913" t="b">
        <v>0</v>
      </c>
      <c r="C777" s="913" t="s">
        <v>8317</v>
      </c>
      <c r="D777" s="922" t="s">
        <v>8318</v>
      </c>
      <c r="E777" s="922" t="s">
        <v>8319</v>
      </c>
      <c r="F777" s="924"/>
      <c r="G777" s="924"/>
      <c r="H777" s="924"/>
      <c r="I777" s="933"/>
      <c r="J777" s="933"/>
    </row>
    <row r="778" ht="22.5" customHeight="1">
      <c r="A778" s="937">
        <v>776.0</v>
      </c>
      <c r="B778" s="913" t="b">
        <v>0</v>
      </c>
      <c r="C778" s="913" t="s">
        <v>8320</v>
      </c>
      <c r="D778" s="922"/>
      <c r="E778" s="922" t="s">
        <v>8321</v>
      </c>
      <c r="F778" s="924"/>
      <c r="G778" s="924"/>
      <c r="H778" s="924"/>
      <c r="I778" s="933"/>
      <c r="J778" s="933"/>
    </row>
    <row r="779" ht="22.5" customHeight="1">
      <c r="A779" s="937">
        <v>777.0</v>
      </c>
      <c r="B779" s="913" t="b">
        <v>0</v>
      </c>
      <c r="C779" s="913" t="s">
        <v>8322</v>
      </c>
      <c r="D779" s="922" t="s">
        <v>8323</v>
      </c>
      <c r="E779" s="922" t="s">
        <v>8324</v>
      </c>
      <c r="F779" s="924"/>
      <c r="G779" s="924"/>
      <c r="H779" s="924"/>
      <c r="I779" s="933"/>
      <c r="J779" s="933"/>
    </row>
    <row r="780" ht="22.5" customHeight="1">
      <c r="A780" s="937">
        <v>778.0</v>
      </c>
      <c r="B780" s="913" t="b">
        <v>0</v>
      </c>
      <c r="C780" s="913" t="s">
        <v>8325</v>
      </c>
      <c r="D780" s="922" t="s">
        <v>8326</v>
      </c>
      <c r="E780" s="922" t="s">
        <v>8327</v>
      </c>
      <c r="F780" s="924"/>
      <c r="G780" s="924"/>
      <c r="H780" s="924"/>
      <c r="I780" s="933"/>
      <c r="J780" s="933"/>
    </row>
    <row r="781" ht="22.5" customHeight="1">
      <c r="A781" s="937">
        <v>779.0</v>
      </c>
      <c r="B781" s="913" t="b">
        <v>0</v>
      </c>
      <c r="C781" s="913" t="s">
        <v>8328</v>
      </c>
      <c r="D781" s="922" t="s">
        <v>8329</v>
      </c>
      <c r="E781" s="922" t="s">
        <v>8330</v>
      </c>
      <c r="F781" s="924"/>
      <c r="G781" s="924"/>
      <c r="H781" s="924"/>
      <c r="I781" s="933"/>
      <c r="J781" s="933"/>
    </row>
    <row r="782" ht="22.5" customHeight="1">
      <c r="A782" s="937">
        <v>780.0</v>
      </c>
      <c r="B782" s="913" t="b">
        <v>0</v>
      </c>
      <c r="C782" s="913" t="s">
        <v>8331</v>
      </c>
      <c r="D782" s="922" t="s">
        <v>8332</v>
      </c>
      <c r="E782" s="922" t="s">
        <v>8333</v>
      </c>
      <c r="F782" s="924"/>
      <c r="G782" s="924"/>
      <c r="H782" s="924"/>
      <c r="I782" s="933"/>
      <c r="J782" s="933"/>
    </row>
    <row r="783" ht="22.5" customHeight="1">
      <c r="A783" s="937">
        <v>781.0</v>
      </c>
      <c r="B783" s="913" t="b">
        <v>0</v>
      </c>
      <c r="C783" s="913" t="s">
        <v>8334</v>
      </c>
      <c r="D783" s="922" t="s">
        <v>8335</v>
      </c>
      <c r="E783" s="922" t="s">
        <v>8336</v>
      </c>
      <c r="F783" s="924"/>
      <c r="G783" s="924"/>
      <c r="H783" s="924"/>
      <c r="I783" s="933"/>
      <c r="J783" s="933"/>
    </row>
    <row r="784" ht="22.5" customHeight="1">
      <c r="A784" s="937">
        <v>782.0</v>
      </c>
      <c r="B784" s="913" t="b">
        <v>0</v>
      </c>
      <c r="C784" s="913" t="s">
        <v>8337</v>
      </c>
      <c r="D784" s="922" t="s">
        <v>8338</v>
      </c>
      <c r="E784" s="922" t="s">
        <v>8339</v>
      </c>
      <c r="F784" s="924"/>
      <c r="G784" s="924"/>
      <c r="H784" s="924"/>
      <c r="I784" s="933"/>
      <c r="J784" s="933"/>
    </row>
    <row r="785" ht="22.5" customHeight="1">
      <c r="A785" s="937">
        <v>783.0</v>
      </c>
      <c r="B785" s="913" t="b">
        <v>0</v>
      </c>
      <c r="C785" s="913" t="s">
        <v>8340</v>
      </c>
      <c r="D785" s="922"/>
      <c r="E785" s="922" t="s">
        <v>8341</v>
      </c>
      <c r="F785" s="924"/>
      <c r="G785" s="924"/>
      <c r="H785" s="924"/>
      <c r="I785" s="933"/>
      <c r="J785" s="933"/>
    </row>
    <row r="786" ht="22.5" customHeight="1">
      <c r="A786" s="937">
        <v>784.0</v>
      </c>
      <c r="B786" s="913" t="b">
        <v>0</v>
      </c>
      <c r="C786" s="913" t="s">
        <v>8251</v>
      </c>
      <c r="D786" s="922"/>
      <c r="E786" s="922" t="s">
        <v>8342</v>
      </c>
      <c r="F786" s="924"/>
      <c r="G786" s="924"/>
      <c r="H786" s="924"/>
      <c r="I786" s="933"/>
      <c r="J786" s="933"/>
    </row>
    <row r="787" ht="22.5" customHeight="1">
      <c r="A787" s="937">
        <v>785.0</v>
      </c>
      <c r="B787" s="913" t="b">
        <v>0</v>
      </c>
      <c r="C787" s="913" t="s">
        <v>8343</v>
      </c>
      <c r="D787" s="922"/>
      <c r="E787" s="922" t="s">
        <v>8344</v>
      </c>
      <c r="F787" s="924"/>
      <c r="G787" s="924"/>
      <c r="H787" s="924"/>
      <c r="I787" s="933"/>
      <c r="J787" s="933"/>
    </row>
    <row r="788" ht="22.5" customHeight="1">
      <c r="A788" s="937">
        <v>786.0</v>
      </c>
      <c r="B788" s="913" t="b">
        <v>0</v>
      </c>
      <c r="C788" s="913" t="s">
        <v>8345</v>
      </c>
      <c r="D788" s="922" t="s">
        <v>8346</v>
      </c>
      <c r="E788" s="922" t="s">
        <v>8347</v>
      </c>
      <c r="F788" s="924"/>
      <c r="G788" s="924"/>
      <c r="H788" s="924"/>
      <c r="I788" s="933"/>
      <c r="J788" s="933"/>
    </row>
    <row r="789" ht="22.5" customHeight="1">
      <c r="A789" s="937">
        <v>787.0</v>
      </c>
      <c r="B789" s="913" t="b">
        <v>0</v>
      </c>
      <c r="C789" s="913" t="s">
        <v>8348</v>
      </c>
      <c r="D789" s="922" t="s">
        <v>8349</v>
      </c>
      <c r="E789" s="922" t="s">
        <v>8350</v>
      </c>
      <c r="F789" s="924"/>
      <c r="G789" s="924"/>
      <c r="H789" s="924"/>
      <c r="I789" s="933"/>
      <c r="J789" s="933"/>
    </row>
    <row r="790" ht="22.5" customHeight="1">
      <c r="A790" s="937">
        <v>788.0</v>
      </c>
      <c r="B790" s="913" t="b">
        <v>0</v>
      </c>
      <c r="C790" s="913" t="s">
        <v>8351</v>
      </c>
      <c r="D790" s="922" t="s">
        <v>8352</v>
      </c>
      <c r="E790" s="922" t="s">
        <v>8353</v>
      </c>
      <c r="F790" s="924"/>
      <c r="G790" s="924"/>
      <c r="H790" s="924"/>
      <c r="I790" s="933"/>
      <c r="J790" s="933"/>
    </row>
    <row r="791" ht="22.5" customHeight="1">
      <c r="A791" s="937">
        <v>789.0</v>
      </c>
      <c r="B791" s="913" t="b">
        <v>0</v>
      </c>
      <c r="C791" s="913" t="s">
        <v>8354</v>
      </c>
      <c r="D791" s="922" t="s">
        <v>8355</v>
      </c>
      <c r="E791" s="922" t="s">
        <v>8356</v>
      </c>
      <c r="F791" s="924"/>
      <c r="G791" s="924"/>
      <c r="H791" s="924"/>
      <c r="I791" s="933"/>
      <c r="J791" s="933"/>
    </row>
    <row r="792" ht="22.5" customHeight="1">
      <c r="A792" s="937">
        <v>790.0</v>
      </c>
      <c r="B792" s="913" t="b">
        <v>0</v>
      </c>
      <c r="C792" s="913" t="s">
        <v>8357</v>
      </c>
      <c r="D792" s="922" t="s">
        <v>8358</v>
      </c>
      <c r="E792" s="922" t="s">
        <v>8359</v>
      </c>
      <c r="F792" s="924"/>
      <c r="G792" s="924"/>
      <c r="H792" s="924"/>
      <c r="I792" s="933"/>
      <c r="J792" s="933"/>
    </row>
    <row r="793" ht="22.5" customHeight="1">
      <c r="A793" s="937">
        <v>791.0</v>
      </c>
      <c r="B793" s="913" t="b">
        <v>0</v>
      </c>
      <c r="C793" s="913" t="s">
        <v>8360</v>
      </c>
      <c r="D793" s="922" t="s">
        <v>5045</v>
      </c>
      <c r="E793" s="922" t="s">
        <v>8361</v>
      </c>
      <c r="F793" s="924"/>
      <c r="G793" s="924"/>
      <c r="H793" s="924"/>
      <c r="I793" s="933"/>
      <c r="J793" s="933"/>
    </row>
    <row r="794" ht="22.5" customHeight="1">
      <c r="A794" s="937">
        <v>792.0</v>
      </c>
      <c r="B794" s="913" t="b">
        <v>0</v>
      </c>
      <c r="C794" s="913" t="s">
        <v>8362</v>
      </c>
      <c r="D794" s="922"/>
      <c r="E794" s="922" t="s">
        <v>8363</v>
      </c>
      <c r="F794" s="924"/>
      <c r="G794" s="924"/>
      <c r="H794" s="924"/>
      <c r="I794" s="933"/>
      <c r="J794" s="933"/>
    </row>
    <row r="795" ht="22.5" customHeight="1">
      <c r="A795" s="937">
        <v>793.0</v>
      </c>
      <c r="B795" s="913" t="b">
        <v>0</v>
      </c>
      <c r="C795" s="913" t="s">
        <v>8364</v>
      </c>
      <c r="D795" s="922"/>
      <c r="E795" s="922" t="s">
        <v>8365</v>
      </c>
      <c r="F795" s="924"/>
      <c r="G795" s="924"/>
      <c r="H795" s="924"/>
      <c r="I795" s="933"/>
      <c r="J795" s="933"/>
    </row>
    <row r="796" ht="22.5" customHeight="1">
      <c r="A796" s="937">
        <v>794.0</v>
      </c>
      <c r="B796" s="913" t="b">
        <v>0</v>
      </c>
      <c r="C796" s="913" t="s">
        <v>8366</v>
      </c>
      <c r="D796" s="922"/>
      <c r="E796" s="922" t="s">
        <v>8367</v>
      </c>
      <c r="F796" s="924"/>
      <c r="G796" s="924"/>
      <c r="H796" s="924"/>
      <c r="I796" s="933"/>
      <c r="J796" s="933"/>
    </row>
    <row r="797" ht="22.5" customHeight="1">
      <c r="A797" s="937">
        <v>795.0</v>
      </c>
      <c r="B797" s="913" t="b">
        <v>0</v>
      </c>
      <c r="C797" s="913" t="s">
        <v>8368</v>
      </c>
      <c r="D797" s="922" t="s">
        <v>8369</v>
      </c>
      <c r="E797" s="922" t="s">
        <v>8370</v>
      </c>
      <c r="F797" s="924"/>
      <c r="G797" s="924"/>
      <c r="H797" s="924"/>
      <c r="I797" s="933"/>
      <c r="J797" s="933"/>
    </row>
    <row r="798" ht="22.5" customHeight="1">
      <c r="A798" s="937">
        <v>796.0</v>
      </c>
      <c r="B798" s="913" t="b">
        <v>0</v>
      </c>
      <c r="C798" s="913" t="s">
        <v>8371</v>
      </c>
      <c r="D798" s="922"/>
      <c r="E798" s="922" t="s">
        <v>8372</v>
      </c>
      <c r="F798" s="924"/>
      <c r="G798" s="924"/>
      <c r="H798" s="924"/>
      <c r="I798" s="933"/>
      <c r="J798" s="933"/>
    </row>
    <row r="799" ht="22.5" customHeight="1">
      <c r="A799" s="937">
        <v>797.0</v>
      </c>
      <c r="B799" s="913" t="b">
        <v>0</v>
      </c>
      <c r="C799" s="1240"/>
      <c r="D799" s="922"/>
      <c r="E799" s="922"/>
      <c r="F799" s="924"/>
      <c r="G799" s="924"/>
      <c r="H799" s="924"/>
      <c r="I799" s="933"/>
      <c r="J799" s="933"/>
    </row>
    <row r="800" ht="22.5" customHeight="1">
      <c r="A800" s="937">
        <v>798.0</v>
      </c>
      <c r="B800" s="913" t="b">
        <v>0</v>
      </c>
      <c r="C800" s="1240"/>
      <c r="D800" s="922"/>
      <c r="E800" s="922"/>
      <c r="F800" s="924"/>
      <c r="G800" s="924"/>
      <c r="H800" s="924"/>
      <c r="I800" s="933"/>
      <c r="J800" s="933"/>
    </row>
    <row r="801" ht="22.5" customHeight="1">
      <c r="A801" s="937">
        <v>799.0</v>
      </c>
      <c r="B801" s="913" t="b">
        <v>0</v>
      </c>
      <c r="C801" s="1240"/>
      <c r="D801" s="922"/>
      <c r="E801" s="922"/>
      <c r="F801" s="924"/>
      <c r="G801" s="924"/>
      <c r="H801" s="924"/>
      <c r="I801" s="933"/>
      <c r="J801" s="933"/>
    </row>
    <row r="802" ht="22.5" customHeight="1">
      <c r="A802" s="937">
        <v>800.0</v>
      </c>
      <c r="B802" s="913" t="b">
        <v>0</v>
      </c>
      <c r="C802" s="1240"/>
      <c r="D802" s="922"/>
      <c r="E802" s="922"/>
      <c r="F802" s="924"/>
      <c r="G802" s="924"/>
      <c r="H802" s="924"/>
      <c r="I802" s="933"/>
      <c r="J802" s="933"/>
    </row>
    <row r="803" ht="22.5" customHeight="1">
      <c r="A803" s="937">
        <v>801.0</v>
      </c>
      <c r="B803" s="913" t="b">
        <v>0</v>
      </c>
      <c r="C803" s="1240"/>
      <c r="D803" s="922"/>
      <c r="E803" s="922"/>
      <c r="F803" s="924"/>
      <c r="G803" s="924"/>
      <c r="H803" s="924"/>
      <c r="I803" s="933"/>
      <c r="J803" s="933"/>
    </row>
    <row r="804" ht="22.5" customHeight="1">
      <c r="A804" s="1241">
        <v>802.0</v>
      </c>
      <c r="B804" s="913" t="b">
        <v>0</v>
      </c>
      <c r="C804" s="935" t="s">
        <v>8373</v>
      </c>
      <c r="D804" s="922"/>
      <c r="E804" s="922">
        <v>7.901303033E9</v>
      </c>
      <c r="F804" s="924" t="s">
        <v>8374</v>
      </c>
      <c r="G804" s="924"/>
      <c r="H804" s="924"/>
      <c r="I804" s="933"/>
      <c r="J804" s="933"/>
    </row>
    <row r="805" ht="22.5" customHeight="1">
      <c r="A805" s="1241">
        <v>803.0</v>
      </c>
      <c r="B805" s="913" t="b">
        <v>0</v>
      </c>
      <c r="C805" s="935" t="s">
        <v>8375</v>
      </c>
      <c r="D805" s="922"/>
      <c r="E805" s="922">
        <v>7.723335555E9</v>
      </c>
      <c r="F805" s="924"/>
      <c r="G805" s="924"/>
      <c r="H805" s="969" t="s">
        <v>7413</v>
      </c>
      <c r="I805" s="975"/>
      <c r="J805" s="975"/>
    </row>
    <row r="806" ht="22.5" customHeight="1">
      <c r="A806" s="1241">
        <v>804.0</v>
      </c>
      <c r="B806" s="913" t="b">
        <v>0</v>
      </c>
      <c r="C806" s="966" t="s">
        <v>8376</v>
      </c>
      <c r="D806" s="922"/>
      <c r="E806" s="922" t="s">
        <v>8377</v>
      </c>
      <c r="F806" s="924" t="s">
        <v>8378</v>
      </c>
      <c r="G806" s="924"/>
      <c r="H806" s="969" t="s">
        <v>7749</v>
      </c>
      <c r="I806" s="975"/>
      <c r="J806" s="975"/>
    </row>
    <row r="807" ht="22.5" customHeight="1">
      <c r="A807" s="1241">
        <v>805.0</v>
      </c>
      <c r="B807" s="913" t="b">
        <v>0</v>
      </c>
      <c r="C807" s="935" t="s">
        <v>8379</v>
      </c>
      <c r="D807" s="922"/>
      <c r="E807" s="922">
        <v>9.66502626468E11</v>
      </c>
      <c r="F807" s="924" t="s">
        <v>8380</v>
      </c>
      <c r="G807" s="924"/>
      <c r="H807" s="969" t="s">
        <v>7848</v>
      </c>
      <c r="I807" s="975"/>
      <c r="J807" s="975"/>
    </row>
    <row r="808" ht="22.5" customHeight="1">
      <c r="A808" s="1241">
        <v>806.0</v>
      </c>
      <c r="B808" s="913" t="b">
        <v>0</v>
      </c>
      <c r="C808" s="935" t="s">
        <v>8381</v>
      </c>
      <c r="D808" s="922"/>
      <c r="E808" s="922">
        <v>7.841055521E9</v>
      </c>
      <c r="F808" s="924" t="s">
        <v>3660</v>
      </c>
      <c r="G808" s="924"/>
      <c r="H808" s="969" t="s">
        <v>7749</v>
      </c>
      <c r="I808" s="975"/>
      <c r="J808" s="975"/>
    </row>
    <row r="809" ht="22.5" customHeight="1">
      <c r="A809" s="1241">
        <v>807.0</v>
      </c>
      <c r="B809" s="913" t="b">
        <v>0</v>
      </c>
      <c r="C809" s="935" t="s">
        <v>8382</v>
      </c>
      <c r="D809" s="922"/>
      <c r="E809" s="922">
        <v>7.736233375E9</v>
      </c>
      <c r="F809" s="924" t="s">
        <v>8383</v>
      </c>
      <c r="G809" s="924"/>
      <c r="H809" s="924"/>
      <c r="I809" s="933"/>
      <c r="J809" s="933"/>
    </row>
    <row r="810" ht="22.5" customHeight="1">
      <c r="A810" s="1241">
        <v>808.0</v>
      </c>
      <c r="B810" s="913" t="b">
        <v>0</v>
      </c>
      <c r="C810" s="935" t="s">
        <v>8384</v>
      </c>
      <c r="D810" s="922"/>
      <c r="E810" s="922">
        <v>7.733388929E9</v>
      </c>
      <c r="F810" s="924" t="s">
        <v>8385</v>
      </c>
      <c r="G810" s="924"/>
      <c r="H810" s="924"/>
      <c r="I810" s="933"/>
      <c r="J810" s="933"/>
    </row>
    <row r="811" ht="22.5" customHeight="1">
      <c r="A811" s="1241">
        <v>809.0</v>
      </c>
      <c r="B811" s="913" t="b">
        <v>0</v>
      </c>
      <c r="C811" s="935" t="s">
        <v>8386</v>
      </c>
      <c r="D811" s="922"/>
      <c r="E811" s="922">
        <v>5.01503059E8</v>
      </c>
      <c r="F811" s="924" t="s">
        <v>8387</v>
      </c>
      <c r="G811" s="924"/>
      <c r="H811" s="969" t="s">
        <v>7848</v>
      </c>
      <c r="I811" s="975"/>
      <c r="J811" s="975"/>
    </row>
    <row r="812" ht="22.5" customHeight="1">
      <c r="A812" s="1241">
        <v>810.0</v>
      </c>
      <c r="B812" s="913" t="b">
        <v>0</v>
      </c>
      <c r="C812" s="935" t="s">
        <v>8388</v>
      </c>
      <c r="D812" s="922"/>
      <c r="E812" s="922">
        <v>7.810288336E9</v>
      </c>
      <c r="F812" s="924" t="s">
        <v>8389</v>
      </c>
      <c r="G812" s="924"/>
      <c r="H812" s="969" t="s">
        <v>7786</v>
      </c>
      <c r="I812" s="975"/>
      <c r="J812" s="975"/>
    </row>
    <row r="813" ht="22.5" customHeight="1">
      <c r="A813" s="1241">
        <v>811.0</v>
      </c>
      <c r="B813" s="913" t="b">
        <v>0</v>
      </c>
      <c r="C813" s="935" t="s">
        <v>8390</v>
      </c>
      <c r="D813" s="922"/>
      <c r="E813" s="922">
        <v>7.703285748E9</v>
      </c>
      <c r="F813" s="924" t="s">
        <v>8391</v>
      </c>
      <c r="G813" s="924"/>
      <c r="H813" s="969" t="s">
        <v>7749</v>
      </c>
      <c r="I813" s="975"/>
      <c r="J813" s="975"/>
    </row>
    <row r="814" ht="22.5" customHeight="1">
      <c r="A814" s="1241">
        <v>812.0</v>
      </c>
      <c r="B814" s="913" t="b">
        <v>0</v>
      </c>
      <c r="C814" s="935" t="s">
        <v>8392</v>
      </c>
      <c r="D814" s="922"/>
      <c r="E814" s="922">
        <v>9.66569500999E11</v>
      </c>
      <c r="F814" s="924" t="s">
        <v>8393</v>
      </c>
      <c r="G814" s="924"/>
      <c r="H814" s="969" t="s">
        <v>7848</v>
      </c>
      <c r="I814" s="975"/>
      <c r="J814" s="975"/>
    </row>
    <row r="815" ht="22.5" customHeight="1">
      <c r="A815" s="1241">
        <v>813.0</v>
      </c>
      <c r="B815" s="913" t="b">
        <v>0</v>
      </c>
      <c r="C815" s="935" t="s">
        <v>8394</v>
      </c>
      <c r="D815" s="936" t="s">
        <v>8395</v>
      </c>
      <c r="E815" s="1195">
        <v>9.66569013608E11</v>
      </c>
      <c r="F815" s="924" t="s">
        <v>8396</v>
      </c>
      <c r="G815" s="924"/>
      <c r="H815" s="969" t="s">
        <v>7848</v>
      </c>
      <c r="I815" s="975"/>
      <c r="J815" s="975"/>
    </row>
    <row r="816" ht="22.5" customHeight="1">
      <c r="A816" s="1241">
        <v>814.0</v>
      </c>
      <c r="B816" s="913" t="b">
        <v>0</v>
      </c>
      <c r="C816" s="935" t="s">
        <v>8397</v>
      </c>
      <c r="D816" s="936" t="s">
        <v>8398</v>
      </c>
      <c r="E816" s="922">
        <v>7.721522015E9</v>
      </c>
      <c r="F816" s="924" t="s">
        <v>8399</v>
      </c>
      <c r="G816" s="924"/>
      <c r="H816" s="969" t="s">
        <v>7413</v>
      </c>
      <c r="I816" s="975"/>
      <c r="J816" s="975"/>
    </row>
    <row r="817" ht="22.5" customHeight="1">
      <c r="A817" s="1241">
        <v>815.0</v>
      </c>
      <c r="B817" s="913" t="b">
        <v>0</v>
      </c>
      <c r="C817" s="935" t="s">
        <v>8400</v>
      </c>
      <c r="D817" s="922"/>
      <c r="E817" s="922">
        <v>7.71096661E9</v>
      </c>
      <c r="F817" s="924" t="s">
        <v>8401</v>
      </c>
      <c r="G817" s="924"/>
      <c r="H817" s="969" t="s">
        <v>7749</v>
      </c>
      <c r="I817" s="975"/>
      <c r="J817" s="975"/>
    </row>
    <row r="818" ht="22.5" customHeight="1">
      <c r="A818" s="1241">
        <v>816.0</v>
      </c>
      <c r="B818" s="913" t="b">
        <v>0</v>
      </c>
      <c r="C818" s="1242" t="s">
        <v>8402</v>
      </c>
      <c r="D818" s="1243" t="s">
        <v>8403</v>
      </c>
      <c r="E818" s="1243">
        <v>9.66566336626E11</v>
      </c>
      <c r="F818" s="1244" t="s">
        <v>8404</v>
      </c>
      <c r="G818" s="194"/>
      <c r="H818" s="1244" t="s">
        <v>7848</v>
      </c>
      <c r="I818" s="1230"/>
    </row>
    <row r="819" ht="22.5" customHeight="1">
      <c r="A819" s="1241">
        <v>817.0</v>
      </c>
      <c r="B819" s="913" t="b">
        <v>0</v>
      </c>
      <c r="C819" s="1245" t="s">
        <v>8405</v>
      </c>
      <c r="D819" s="1246"/>
      <c r="E819" s="1247">
        <v>9.8912338187E11</v>
      </c>
      <c r="F819" s="1248" t="s">
        <v>8406</v>
      </c>
      <c r="G819" s="194"/>
      <c r="H819" s="1248" t="s">
        <v>7983</v>
      </c>
      <c r="I819" s="1235"/>
    </row>
    <row r="820" ht="22.5" customHeight="1">
      <c r="A820" s="1241">
        <v>818.0</v>
      </c>
      <c r="B820" s="913" t="b">
        <v>0</v>
      </c>
      <c r="C820" s="1249" t="s">
        <v>8407</v>
      </c>
      <c r="D820" s="1247" t="s">
        <v>8408</v>
      </c>
      <c r="E820" s="1247">
        <v>7.518506285E9</v>
      </c>
      <c r="F820" s="1248" t="s">
        <v>8409</v>
      </c>
      <c r="G820" s="194"/>
      <c r="H820" s="1248" t="s">
        <v>7749</v>
      </c>
      <c r="I820" s="1235"/>
    </row>
    <row r="821" ht="22.5" customHeight="1">
      <c r="A821" s="1241">
        <v>819.0</v>
      </c>
      <c r="B821" s="913" t="b">
        <v>0</v>
      </c>
      <c r="C821" s="1250" t="s">
        <v>8410</v>
      </c>
      <c r="D821" s="1247" t="s">
        <v>8411</v>
      </c>
      <c r="E821" s="1247">
        <v>7.86450603E9</v>
      </c>
      <c r="F821" s="1248" t="s">
        <v>8412</v>
      </c>
      <c r="G821" s="194"/>
      <c r="H821" s="1248" t="s">
        <v>7749</v>
      </c>
      <c r="I821" s="1235"/>
    </row>
    <row r="822" ht="22.5" customHeight="1">
      <c r="A822" s="1241">
        <v>820.0</v>
      </c>
      <c r="B822" s="913" t="b">
        <v>0</v>
      </c>
      <c r="C822" s="1250" t="s">
        <v>8413</v>
      </c>
      <c r="D822" s="1246"/>
      <c r="E822" s="1247" t="s">
        <v>8414</v>
      </c>
      <c r="F822" s="1248" t="s">
        <v>8415</v>
      </c>
      <c r="G822" s="194"/>
      <c r="H822" s="1248" t="s">
        <v>7983</v>
      </c>
      <c r="I822" s="1235"/>
    </row>
    <row r="823" ht="22.5" customHeight="1">
      <c r="A823" s="1241">
        <v>821.0</v>
      </c>
      <c r="B823" s="913" t="b">
        <v>0</v>
      </c>
      <c r="C823" s="966" t="s">
        <v>8416</v>
      </c>
      <c r="D823" s="922"/>
      <c r="E823" s="922">
        <v>7.50446965E9</v>
      </c>
      <c r="F823" s="924" t="s">
        <v>6690</v>
      </c>
      <c r="G823" s="924"/>
      <c r="H823" s="969" t="s">
        <v>7009</v>
      </c>
      <c r="I823" s="933"/>
      <c r="J823" s="933"/>
    </row>
    <row r="824" ht="22.5" customHeight="1">
      <c r="A824" s="1241">
        <v>822.0</v>
      </c>
      <c r="B824" s="913" t="b">
        <v>0</v>
      </c>
      <c r="C824" s="966" t="s">
        <v>8417</v>
      </c>
      <c r="D824" s="922"/>
      <c r="E824" s="922" t="s">
        <v>8418</v>
      </c>
      <c r="F824" s="924" t="s">
        <v>8419</v>
      </c>
      <c r="G824" s="924"/>
      <c r="H824" s="969" t="s">
        <v>6938</v>
      </c>
      <c r="I824" s="933"/>
      <c r="J824" s="933"/>
    </row>
    <row r="825" ht="22.5" customHeight="1">
      <c r="A825" s="1241">
        <v>823.0</v>
      </c>
      <c r="B825" s="913" t="b">
        <v>0</v>
      </c>
      <c r="C825" s="966" t="s">
        <v>8420</v>
      </c>
      <c r="D825" s="922" t="s">
        <v>8421</v>
      </c>
      <c r="E825" s="922">
        <v>7.517401493E9</v>
      </c>
      <c r="F825" s="924" t="s">
        <v>8422</v>
      </c>
      <c r="G825" s="924"/>
      <c r="H825" s="969"/>
      <c r="I825" s="933"/>
      <c r="J825" s="933"/>
    </row>
    <row r="826" ht="22.5" customHeight="1">
      <c r="A826" s="1241">
        <v>824.0</v>
      </c>
      <c r="B826" s="913" t="b">
        <v>0</v>
      </c>
      <c r="C826" s="935" t="s">
        <v>8423</v>
      </c>
      <c r="D826" s="922"/>
      <c r="E826" s="922">
        <v>7.504566757E9</v>
      </c>
      <c r="F826" s="924" t="s">
        <v>8424</v>
      </c>
      <c r="G826" s="924"/>
      <c r="H826" s="969" t="s">
        <v>6944</v>
      </c>
      <c r="I826" s="933"/>
      <c r="J826" s="933"/>
    </row>
    <row r="827" ht="22.5" customHeight="1">
      <c r="A827" s="1241">
        <v>825.0</v>
      </c>
      <c r="B827" s="913" t="b">
        <v>0</v>
      </c>
      <c r="C827" s="935" t="s">
        <v>8425</v>
      </c>
      <c r="D827" s="936" t="s">
        <v>7664</v>
      </c>
      <c r="E827" s="922">
        <v>7.507947929E9</v>
      </c>
      <c r="F827" s="924"/>
      <c r="G827" s="924"/>
      <c r="H827" s="969" t="s">
        <v>6944</v>
      </c>
      <c r="I827" s="933"/>
      <c r="J827" s="933"/>
    </row>
    <row r="828" ht="22.5" customHeight="1">
      <c r="A828" s="1241">
        <v>826.0</v>
      </c>
      <c r="B828" s="913" t="b">
        <v>0</v>
      </c>
      <c r="C828" s="966" t="s">
        <v>8426</v>
      </c>
      <c r="D828" s="922"/>
      <c r="E828" s="922" t="s">
        <v>8427</v>
      </c>
      <c r="F828" s="924"/>
      <c r="G828" s="924"/>
      <c r="H828" s="969" t="s">
        <v>8428</v>
      </c>
      <c r="I828" s="933"/>
      <c r="J828" s="933"/>
    </row>
    <row r="829" ht="22.5" customHeight="1">
      <c r="A829" s="1241">
        <v>827.0</v>
      </c>
      <c r="B829" s="913" t="b">
        <v>0</v>
      </c>
      <c r="C829" s="966" t="s">
        <v>8429</v>
      </c>
      <c r="D829" s="922"/>
      <c r="E829" s="922">
        <v>9.05494222262E11</v>
      </c>
      <c r="F829" s="924" t="s">
        <v>8430</v>
      </c>
      <c r="G829" s="924"/>
      <c r="H829" s="969" t="s">
        <v>8431</v>
      </c>
      <c r="I829" s="933"/>
      <c r="J829" s="933"/>
    </row>
    <row r="830" ht="22.5" customHeight="1">
      <c r="A830" s="1241">
        <v>828.0</v>
      </c>
      <c r="B830" s="913" t="b">
        <v>0</v>
      </c>
      <c r="C830" s="966" t="s">
        <v>8432</v>
      </c>
      <c r="D830" s="922" t="s">
        <v>8433</v>
      </c>
      <c r="E830" s="922" t="s">
        <v>8434</v>
      </c>
      <c r="F830" s="924" t="s">
        <v>8435</v>
      </c>
      <c r="G830" s="924"/>
      <c r="H830" s="969" t="s">
        <v>8436</v>
      </c>
      <c r="I830" s="933"/>
      <c r="J830" s="933"/>
    </row>
    <row r="831" ht="22.5" customHeight="1">
      <c r="A831" s="1241">
        <v>829.0</v>
      </c>
      <c r="B831" s="913" t="b">
        <v>0</v>
      </c>
      <c r="C831" s="935" t="s">
        <v>8437</v>
      </c>
      <c r="D831" s="936" t="s">
        <v>8438</v>
      </c>
      <c r="E831" s="922">
        <v>9.66502884411E11</v>
      </c>
      <c r="F831" s="924" t="s">
        <v>8439</v>
      </c>
      <c r="G831" s="924"/>
      <c r="H831" s="969" t="s">
        <v>7848</v>
      </c>
      <c r="I831" s="933"/>
      <c r="J831" s="933"/>
    </row>
    <row r="832" ht="22.5" customHeight="1">
      <c r="A832" s="1241">
        <v>830.0</v>
      </c>
      <c r="B832" s="913" t="b">
        <v>0</v>
      </c>
      <c r="C832" s="935" t="s">
        <v>8440</v>
      </c>
      <c r="D832" s="922"/>
      <c r="E832" s="922" t="s">
        <v>8441</v>
      </c>
      <c r="F832" s="924"/>
      <c r="G832" s="924"/>
      <c r="H832" s="969" t="s">
        <v>8442</v>
      </c>
      <c r="I832" s="933"/>
      <c r="J832" s="933"/>
    </row>
    <row r="833" ht="22.5" customHeight="1">
      <c r="A833" s="1241">
        <v>831.0</v>
      </c>
      <c r="B833" s="913" t="b">
        <v>0</v>
      </c>
      <c r="C833" s="966" t="s">
        <v>8443</v>
      </c>
      <c r="D833" s="936"/>
      <c r="E833" s="1251" t="s">
        <v>8444</v>
      </c>
      <c r="F833" s="1252" t="s">
        <v>8445</v>
      </c>
      <c r="G833" s="924"/>
      <c r="H833" s="969" t="s">
        <v>7983</v>
      </c>
      <c r="I833" s="933"/>
      <c r="J833" s="933"/>
    </row>
    <row r="834" ht="22.5" customHeight="1">
      <c r="A834" s="1241">
        <v>832.0</v>
      </c>
      <c r="B834" s="913" t="b">
        <v>0</v>
      </c>
      <c r="C834" s="966" t="s">
        <v>8446</v>
      </c>
      <c r="D834" s="922"/>
      <c r="E834" s="922">
        <v>2.01063888009E11</v>
      </c>
      <c r="F834" s="924" t="s">
        <v>8447</v>
      </c>
      <c r="G834" s="924"/>
      <c r="H834" s="969" t="s">
        <v>8448</v>
      </c>
      <c r="I834" s="933"/>
      <c r="J834" s="933"/>
    </row>
    <row r="835" ht="22.5" customHeight="1">
      <c r="A835" s="1241">
        <v>833.0</v>
      </c>
      <c r="B835" s="913" t="b">
        <v>0</v>
      </c>
      <c r="C835" s="966" t="s">
        <v>8449</v>
      </c>
      <c r="D835" s="922"/>
      <c r="E835" s="1146" t="s">
        <v>8450</v>
      </c>
      <c r="F835" s="924" t="s">
        <v>8451</v>
      </c>
      <c r="G835" s="924"/>
      <c r="H835" s="969" t="s">
        <v>7413</v>
      </c>
      <c r="I835" s="933"/>
      <c r="J835" s="933"/>
    </row>
    <row r="836" ht="22.5" customHeight="1">
      <c r="A836" s="1241">
        <v>834.0</v>
      </c>
      <c r="B836" s="913" t="b">
        <v>0</v>
      </c>
      <c r="C836" s="935" t="s">
        <v>8452</v>
      </c>
      <c r="D836" s="936" t="s">
        <v>8453</v>
      </c>
      <c r="E836" s="922">
        <v>9.66504884478E11</v>
      </c>
      <c r="F836" s="924" t="s">
        <v>8454</v>
      </c>
      <c r="G836" s="924"/>
      <c r="H836" s="969" t="s">
        <v>7848</v>
      </c>
      <c r="I836" s="933"/>
      <c r="J836" s="933"/>
    </row>
    <row r="837" ht="22.5" customHeight="1">
      <c r="A837" s="1241">
        <v>835.0</v>
      </c>
      <c r="B837" s="913" t="b">
        <v>0</v>
      </c>
      <c r="C837" s="935" t="s">
        <v>8455</v>
      </c>
      <c r="D837" s="936" t="s">
        <v>8456</v>
      </c>
      <c r="E837" s="922" t="s">
        <v>8457</v>
      </c>
      <c r="F837" s="924" t="s">
        <v>8458</v>
      </c>
      <c r="G837" s="924"/>
      <c r="H837" s="969" t="s">
        <v>7581</v>
      </c>
      <c r="I837" s="933"/>
      <c r="J837" s="933"/>
    </row>
    <row r="838" ht="22.5" customHeight="1">
      <c r="A838" s="1241">
        <v>836.0</v>
      </c>
      <c r="B838" s="913" t="b">
        <v>0</v>
      </c>
      <c r="C838" s="935" t="s">
        <v>8459</v>
      </c>
      <c r="D838" s="936" t="s">
        <v>8460</v>
      </c>
      <c r="E838" s="922">
        <v>7.504493845E9</v>
      </c>
      <c r="F838" s="924" t="s">
        <v>8461</v>
      </c>
      <c r="G838" s="924"/>
      <c r="H838" s="969" t="s">
        <v>7009</v>
      </c>
      <c r="I838" s="933"/>
      <c r="J838" s="933"/>
    </row>
    <row r="839" ht="22.5" customHeight="1">
      <c r="A839" s="1241">
        <v>837.0</v>
      </c>
      <c r="B839" s="913" t="b">
        <v>0</v>
      </c>
      <c r="C839" s="966" t="s">
        <v>8462</v>
      </c>
      <c r="D839" s="922"/>
      <c r="E839" s="922">
        <v>9.05370627378E11</v>
      </c>
      <c r="F839" s="924" t="s">
        <v>8463</v>
      </c>
      <c r="G839" s="924"/>
      <c r="H839" s="969" t="s">
        <v>7699</v>
      </c>
      <c r="I839" s="933"/>
      <c r="J839" s="933"/>
    </row>
    <row r="840" ht="22.5" customHeight="1">
      <c r="A840" s="1241">
        <v>838.0</v>
      </c>
      <c r="B840" s="913" t="b">
        <v>0</v>
      </c>
      <c r="C840" s="966" t="s">
        <v>8464</v>
      </c>
      <c r="D840" s="922"/>
      <c r="E840" s="922">
        <v>7.504452453E9</v>
      </c>
      <c r="F840" s="924" t="s">
        <v>8465</v>
      </c>
      <c r="G840" s="924"/>
      <c r="H840" s="924"/>
      <c r="I840" s="933"/>
      <c r="J840" s="933"/>
    </row>
    <row r="841" ht="22.5" customHeight="1">
      <c r="A841" s="1241">
        <v>839.0</v>
      </c>
      <c r="B841" s="913" t="b">
        <v>0</v>
      </c>
      <c r="C841" s="935" t="s">
        <v>8466</v>
      </c>
      <c r="D841" s="936" t="s">
        <v>8467</v>
      </c>
      <c r="E841" s="922">
        <v>9.66504203468E11</v>
      </c>
      <c r="F841" s="924" t="s">
        <v>8468</v>
      </c>
      <c r="G841" s="924"/>
      <c r="H841" s="969" t="s">
        <v>7848</v>
      </c>
      <c r="I841" s="933"/>
      <c r="J841" s="933"/>
    </row>
    <row r="842" ht="22.5" customHeight="1">
      <c r="A842" s="1241">
        <v>840.0</v>
      </c>
      <c r="B842" s="913" t="b">
        <v>0</v>
      </c>
      <c r="C842" s="988" t="s">
        <v>8469</v>
      </c>
      <c r="D842" s="922" t="s">
        <v>8470</v>
      </c>
      <c r="E842" s="922">
        <v>7.504242263E9</v>
      </c>
      <c r="F842" s="924" t="s">
        <v>8471</v>
      </c>
      <c r="G842" s="924"/>
      <c r="H842" s="924"/>
      <c r="I842" s="933"/>
      <c r="J842" s="933"/>
    </row>
    <row r="843" ht="22.5" customHeight="1">
      <c r="A843" s="1241">
        <v>841.0</v>
      </c>
      <c r="B843" s="913" t="b">
        <v>0</v>
      </c>
      <c r="C843" s="935" t="s">
        <v>8472</v>
      </c>
      <c r="D843" s="922"/>
      <c r="E843" s="922">
        <v>7.504450494E9</v>
      </c>
      <c r="F843" s="924"/>
      <c r="G843" s="924"/>
      <c r="H843" s="969" t="s">
        <v>7009</v>
      </c>
      <c r="I843" s="933"/>
      <c r="J843" s="933"/>
    </row>
    <row r="844" ht="22.5" customHeight="1">
      <c r="A844" s="1241">
        <v>842.0</v>
      </c>
      <c r="B844" s="913" t="b">
        <v>0</v>
      </c>
      <c r="C844" s="1140" t="s">
        <v>8473</v>
      </c>
      <c r="D844" s="1253" t="s">
        <v>8474</v>
      </c>
      <c r="E844" s="1253">
        <v>7.701523444E9</v>
      </c>
      <c r="F844" s="924" t="s">
        <v>8475</v>
      </c>
      <c r="G844" s="924"/>
      <c r="H844" s="969" t="s">
        <v>7413</v>
      </c>
      <c r="I844" s="933"/>
      <c r="J844" s="933"/>
    </row>
    <row r="845" ht="22.5" customHeight="1">
      <c r="A845" s="1241">
        <v>843.0</v>
      </c>
      <c r="B845" s="913" t="b">
        <v>0</v>
      </c>
      <c r="C845" s="966" t="s">
        <v>8476</v>
      </c>
      <c r="D845" s="922"/>
      <c r="E845" s="922">
        <v>7.504513622E9</v>
      </c>
      <c r="F845" s="924" t="s">
        <v>8477</v>
      </c>
      <c r="G845" s="924"/>
      <c r="H845" s="969" t="s">
        <v>7009</v>
      </c>
      <c r="I845" s="933"/>
      <c r="J845" s="933"/>
    </row>
    <row r="846" ht="22.5" customHeight="1">
      <c r="A846" s="1241">
        <v>844.0</v>
      </c>
      <c r="B846" s="913" t="b">
        <v>0</v>
      </c>
      <c r="C846" s="935" t="s">
        <v>8478</v>
      </c>
      <c r="D846" s="922"/>
      <c r="E846" s="922">
        <v>7.50740406E9</v>
      </c>
      <c r="F846" s="924" t="s">
        <v>8479</v>
      </c>
      <c r="G846" s="924"/>
      <c r="H846" s="924"/>
      <c r="I846" s="933"/>
      <c r="J846" s="933"/>
    </row>
    <row r="847" ht="22.5" customHeight="1">
      <c r="A847" s="1241">
        <v>845.0</v>
      </c>
      <c r="B847" s="913" t="b">
        <v>0</v>
      </c>
      <c r="C847" s="966" t="s">
        <v>8480</v>
      </c>
      <c r="D847" s="922"/>
      <c r="E847" s="922">
        <v>7.50480198E9</v>
      </c>
      <c r="F847" s="924" t="s">
        <v>8481</v>
      </c>
      <c r="G847" s="924"/>
      <c r="H847" s="924"/>
      <c r="I847" s="933"/>
      <c r="J847" s="933"/>
    </row>
    <row r="848" ht="22.5" customHeight="1">
      <c r="A848" s="1241">
        <v>846.0</v>
      </c>
      <c r="B848" s="913" t="b">
        <v>0</v>
      </c>
      <c r="C848" s="966" t="s">
        <v>8482</v>
      </c>
      <c r="D848" s="922"/>
      <c r="E848" s="922">
        <v>7.709430888E9</v>
      </c>
      <c r="F848" s="924"/>
      <c r="G848" s="924"/>
      <c r="H848" s="969" t="s">
        <v>7581</v>
      </c>
      <c r="I848" s="933"/>
      <c r="J848" s="933"/>
    </row>
    <row r="849" ht="22.5" customHeight="1">
      <c r="A849" s="1241">
        <v>847.0</v>
      </c>
      <c r="B849" s="913" t="b">
        <v>0</v>
      </c>
      <c r="C849" s="935" t="s">
        <v>8483</v>
      </c>
      <c r="D849" s="922"/>
      <c r="E849" s="922">
        <v>7.705131755E9</v>
      </c>
      <c r="F849" s="924"/>
      <c r="G849" s="924"/>
      <c r="H849" s="976" t="s">
        <v>8484</v>
      </c>
      <c r="I849" s="933"/>
      <c r="J849" s="933"/>
    </row>
    <row r="850" ht="22.5" customHeight="1">
      <c r="A850" s="1241">
        <v>848.0</v>
      </c>
      <c r="B850" s="913" t="b">
        <v>0</v>
      </c>
      <c r="C850" s="966" t="s">
        <v>8485</v>
      </c>
      <c r="D850" s="922"/>
      <c r="E850" s="922">
        <v>7.507300326E9</v>
      </c>
      <c r="F850" s="924" t="s">
        <v>8486</v>
      </c>
      <c r="G850" s="924"/>
      <c r="H850" s="969" t="s">
        <v>6951</v>
      </c>
      <c r="I850" s="933"/>
      <c r="J850" s="933"/>
    </row>
    <row r="851" ht="22.5" customHeight="1">
      <c r="A851" s="1241">
        <v>849.0</v>
      </c>
      <c r="B851" s="913" t="b">
        <v>0</v>
      </c>
      <c r="C851" s="935" t="s">
        <v>8487</v>
      </c>
      <c r="D851" s="936" t="s">
        <v>8488</v>
      </c>
      <c r="E851" s="922" t="s">
        <v>8489</v>
      </c>
      <c r="F851" s="924" t="s">
        <v>8490</v>
      </c>
      <c r="G851" s="924"/>
      <c r="H851" s="969" t="s">
        <v>8491</v>
      </c>
      <c r="I851" s="933"/>
      <c r="J851" s="933"/>
    </row>
    <row r="852" ht="22.5" customHeight="1">
      <c r="A852" s="1241">
        <v>850.0</v>
      </c>
      <c r="B852" s="913" t="b">
        <v>0</v>
      </c>
      <c r="C852" s="976" t="s">
        <v>8492</v>
      </c>
      <c r="D852" s="936"/>
      <c r="E852" s="922" t="s">
        <v>8493</v>
      </c>
      <c r="F852" s="924" t="s">
        <v>8494</v>
      </c>
      <c r="G852" s="924"/>
      <c r="H852" s="924" t="s">
        <v>8495</v>
      </c>
      <c r="I852" s="933"/>
      <c r="J852" s="933"/>
    </row>
    <row r="853" ht="22.5" customHeight="1">
      <c r="A853" s="1241">
        <v>851.0</v>
      </c>
      <c r="B853" s="913" t="b">
        <v>0</v>
      </c>
      <c r="C853" s="935" t="s">
        <v>8496</v>
      </c>
      <c r="D853" s="922"/>
      <c r="E853" s="922" t="s">
        <v>8497</v>
      </c>
      <c r="F853" s="924" t="s">
        <v>8498</v>
      </c>
      <c r="G853" s="924"/>
      <c r="H853" s="969" t="s">
        <v>7281</v>
      </c>
      <c r="I853" s="933"/>
      <c r="J853" s="933"/>
    </row>
    <row r="854" ht="22.5" customHeight="1">
      <c r="A854" s="1241">
        <v>852.0</v>
      </c>
      <c r="B854" s="913" t="b">
        <v>0</v>
      </c>
      <c r="C854" s="966" t="s">
        <v>8499</v>
      </c>
      <c r="D854" s="922" t="s">
        <v>8500</v>
      </c>
      <c r="E854" s="922" t="s">
        <v>8501</v>
      </c>
      <c r="F854" s="924" t="s">
        <v>8502</v>
      </c>
      <c r="G854" s="924"/>
      <c r="H854" s="969" t="s">
        <v>8491</v>
      </c>
      <c r="I854" s="933"/>
      <c r="J854" s="933"/>
    </row>
    <row r="855" ht="22.5" customHeight="1">
      <c r="A855" s="1241">
        <v>853.0</v>
      </c>
      <c r="B855" s="913" t="b">
        <v>0</v>
      </c>
      <c r="C855" s="935" t="s">
        <v>8503</v>
      </c>
      <c r="D855" s="936" t="s">
        <v>8504</v>
      </c>
      <c r="E855" s="922">
        <v>7.511845155E9</v>
      </c>
      <c r="F855" s="924" t="s">
        <v>8505</v>
      </c>
      <c r="G855" s="924"/>
      <c r="H855" s="924"/>
      <c r="I855" s="933"/>
      <c r="J855" s="933"/>
    </row>
    <row r="856" ht="22.5" customHeight="1">
      <c r="A856" s="1241">
        <v>854.0</v>
      </c>
      <c r="B856" s="913" t="b">
        <v>0</v>
      </c>
      <c r="C856" s="966" t="s">
        <v>8506</v>
      </c>
      <c r="D856" s="922" t="s">
        <v>8507</v>
      </c>
      <c r="E856" s="922">
        <v>9.62798165299E11</v>
      </c>
      <c r="F856" s="924" t="s">
        <v>8508</v>
      </c>
      <c r="G856" s="924"/>
      <c r="H856" s="969" t="s">
        <v>8029</v>
      </c>
      <c r="I856" s="933"/>
      <c r="J856" s="933"/>
    </row>
    <row r="857" ht="22.5" customHeight="1">
      <c r="A857" s="1241">
        <v>855.0</v>
      </c>
      <c r="B857" s="913" t="b">
        <v>0</v>
      </c>
      <c r="C857" s="966" t="s">
        <v>8509</v>
      </c>
      <c r="D857" s="922"/>
      <c r="E857" s="922">
        <v>7.902426143E9</v>
      </c>
      <c r="F857" s="924" t="s">
        <v>8510</v>
      </c>
      <c r="G857" s="924"/>
      <c r="H857" s="969" t="s">
        <v>7749</v>
      </c>
      <c r="I857" s="933"/>
      <c r="J857" s="933"/>
    </row>
    <row r="858" ht="22.5" customHeight="1">
      <c r="A858" s="1241">
        <v>856.0</v>
      </c>
      <c r="B858" s="913" t="b">
        <v>0</v>
      </c>
      <c r="C858" s="966" t="s">
        <v>8511</v>
      </c>
      <c r="D858" s="922"/>
      <c r="E858" s="922">
        <v>9.05338349675E11</v>
      </c>
      <c r="F858" s="924" t="s">
        <v>8512</v>
      </c>
      <c r="G858" s="924"/>
      <c r="H858" s="969" t="s">
        <v>7699</v>
      </c>
      <c r="I858" s="933"/>
      <c r="J858" s="933"/>
    </row>
    <row r="859" ht="22.5" customHeight="1">
      <c r="A859" s="1241">
        <v>857.0</v>
      </c>
      <c r="B859" s="913" t="b">
        <v>0</v>
      </c>
      <c r="C859" s="966" t="s">
        <v>8513</v>
      </c>
      <c r="D859" s="922"/>
      <c r="E859" s="922" t="s">
        <v>8514</v>
      </c>
      <c r="F859" s="924" t="s">
        <v>8515</v>
      </c>
      <c r="G859" s="924"/>
      <c r="H859" s="969" t="s">
        <v>7413</v>
      </c>
      <c r="I859" s="933"/>
      <c r="J859" s="933"/>
    </row>
    <row r="860" ht="22.5" customHeight="1">
      <c r="A860" s="1241">
        <v>858.0</v>
      </c>
      <c r="B860" s="913" t="b">
        <v>0</v>
      </c>
      <c r="C860" s="966" t="s">
        <v>8516</v>
      </c>
      <c r="D860" s="922"/>
      <c r="E860" s="922">
        <v>9.05382765091E11</v>
      </c>
      <c r="F860" s="924"/>
      <c r="G860" s="924"/>
      <c r="H860" s="969" t="s">
        <v>7699</v>
      </c>
      <c r="I860" s="933"/>
      <c r="J860" s="933"/>
    </row>
    <row r="861" ht="22.5" customHeight="1">
      <c r="A861" s="1241">
        <v>859.0</v>
      </c>
      <c r="B861" s="913" t="b">
        <v>0</v>
      </c>
      <c r="C861" s="966" t="s">
        <v>8517</v>
      </c>
      <c r="D861" s="922"/>
      <c r="E861" s="922">
        <v>9.05332095377E11</v>
      </c>
      <c r="F861" s="924" t="s">
        <v>8518</v>
      </c>
      <c r="G861" s="924"/>
      <c r="H861" s="924"/>
      <c r="I861" s="933"/>
      <c r="J861" s="933"/>
    </row>
    <row r="862" ht="22.5" customHeight="1">
      <c r="A862" s="1241">
        <v>860.0</v>
      </c>
      <c r="B862" s="913" t="b">
        <v>0</v>
      </c>
      <c r="C862" s="966" t="s">
        <v>8519</v>
      </c>
      <c r="D862" s="922"/>
      <c r="E862" s="922" t="s">
        <v>8520</v>
      </c>
      <c r="F862" s="924" t="s">
        <v>8521</v>
      </c>
      <c r="G862" s="924"/>
      <c r="H862" s="969" t="s">
        <v>7699</v>
      </c>
      <c r="I862" s="933"/>
      <c r="J862" s="933"/>
    </row>
    <row r="863" ht="22.5" customHeight="1">
      <c r="A863" s="1241">
        <v>861.0</v>
      </c>
      <c r="B863" s="913" t="b">
        <v>0</v>
      </c>
      <c r="C863" s="966" t="s">
        <v>8522</v>
      </c>
      <c r="D863" s="922"/>
      <c r="E863" s="922" t="s">
        <v>8523</v>
      </c>
      <c r="F863" s="924" t="s">
        <v>8524</v>
      </c>
      <c r="G863" s="924"/>
      <c r="H863" s="969" t="s">
        <v>7009</v>
      </c>
      <c r="I863" s="933"/>
      <c r="J863" s="933"/>
    </row>
    <row r="864" ht="22.5" customHeight="1">
      <c r="A864" s="1241">
        <v>862.0</v>
      </c>
      <c r="B864" s="913" t="b">
        <v>0</v>
      </c>
      <c r="C864" s="966" t="s">
        <v>8525</v>
      </c>
      <c r="D864" s="922"/>
      <c r="E864" s="922">
        <v>9.62799772007E11</v>
      </c>
      <c r="F864" s="924" t="s">
        <v>8526</v>
      </c>
      <c r="G864" s="924"/>
      <c r="H864" s="969" t="s">
        <v>8527</v>
      </c>
      <c r="I864" s="933"/>
      <c r="J864" s="933"/>
    </row>
    <row r="865" ht="22.5" customHeight="1">
      <c r="A865" s="1241">
        <v>863.0</v>
      </c>
      <c r="B865" s="913" t="b">
        <v>0</v>
      </c>
      <c r="C865" s="966" t="s">
        <v>8528</v>
      </c>
      <c r="D865" s="922"/>
      <c r="E865" s="922">
        <v>9.03126413222E11</v>
      </c>
      <c r="F865" s="924" t="s">
        <v>8529</v>
      </c>
      <c r="G865" s="924"/>
      <c r="H865" s="969" t="s">
        <v>7699</v>
      </c>
      <c r="I865" s="933"/>
      <c r="J865" s="933"/>
    </row>
    <row r="866" ht="22.5" customHeight="1">
      <c r="A866" s="1241">
        <v>864.0</v>
      </c>
      <c r="B866" s="913" t="b">
        <v>0</v>
      </c>
      <c r="C866" s="935" t="s">
        <v>8530</v>
      </c>
      <c r="D866" s="922"/>
      <c r="E866" s="922">
        <v>7.504540494E9</v>
      </c>
      <c r="F866" s="924" t="s">
        <v>7288</v>
      </c>
      <c r="G866" s="924"/>
      <c r="H866" s="969" t="s">
        <v>7009</v>
      </c>
      <c r="I866" s="933"/>
      <c r="J866" s="933"/>
    </row>
    <row r="867" ht="22.5" customHeight="1">
      <c r="A867" s="1241">
        <v>865.0</v>
      </c>
      <c r="B867" s="913" t="b">
        <v>0</v>
      </c>
      <c r="C867" s="966" t="s">
        <v>8531</v>
      </c>
      <c r="D867" s="922"/>
      <c r="E867" s="922">
        <v>9.02163926021E11</v>
      </c>
      <c r="F867" s="924" t="s">
        <v>8532</v>
      </c>
      <c r="G867" s="924"/>
      <c r="H867" s="969" t="s">
        <v>7699</v>
      </c>
      <c r="I867" s="933"/>
      <c r="J867" s="933"/>
    </row>
    <row r="868" ht="22.5" customHeight="1">
      <c r="A868" s="1241">
        <v>866.0</v>
      </c>
      <c r="B868" s="913" t="b">
        <v>0</v>
      </c>
      <c r="C868" s="966" t="s">
        <v>8533</v>
      </c>
      <c r="D868" s="922"/>
      <c r="E868" s="922">
        <v>9.0532595422E11</v>
      </c>
      <c r="F868" s="924" t="s">
        <v>8534</v>
      </c>
      <c r="G868" s="924"/>
      <c r="H868" s="969" t="s">
        <v>7699</v>
      </c>
      <c r="I868" s="933"/>
      <c r="J868" s="933"/>
    </row>
    <row r="869" ht="22.5" customHeight="1">
      <c r="A869" s="1241">
        <v>867.0</v>
      </c>
      <c r="B869" s="913" t="b">
        <v>0</v>
      </c>
      <c r="C869" s="966" t="s">
        <v>8535</v>
      </c>
      <c r="D869" s="922"/>
      <c r="E869" s="922">
        <v>5.498202202E9</v>
      </c>
      <c r="F869" s="924" t="s">
        <v>8536</v>
      </c>
      <c r="G869" s="924"/>
      <c r="H869" s="969" t="s">
        <v>8537</v>
      </c>
      <c r="I869" s="933"/>
      <c r="J869" s="933"/>
    </row>
    <row r="870" ht="22.5" customHeight="1">
      <c r="A870" s="1241">
        <v>868.0</v>
      </c>
      <c r="B870" s="913" t="b">
        <v>0</v>
      </c>
      <c r="C870" s="966" t="s">
        <v>8538</v>
      </c>
      <c r="D870" s="922" t="s">
        <v>8539</v>
      </c>
      <c r="E870" s="922">
        <v>9.05334907715E11</v>
      </c>
      <c r="F870" s="924" t="s">
        <v>8540</v>
      </c>
      <c r="G870" s="924"/>
      <c r="H870" s="969" t="s">
        <v>7699</v>
      </c>
      <c r="I870" s="933"/>
      <c r="J870" s="933"/>
    </row>
    <row r="871" ht="22.5" customHeight="1">
      <c r="A871" s="1241">
        <v>869.0</v>
      </c>
      <c r="B871" s="913" t="b">
        <v>0</v>
      </c>
      <c r="C871" s="966" t="s">
        <v>8541</v>
      </c>
      <c r="D871" s="922"/>
      <c r="E871" s="922">
        <v>9.05320621634E11</v>
      </c>
      <c r="F871" s="924" t="s">
        <v>8542</v>
      </c>
      <c r="G871" s="924"/>
      <c r="H871" s="969" t="s">
        <v>7699</v>
      </c>
      <c r="I871" s="933"/>
      <c r="J871" s="933"/>
    </row>
    <row r="872" ht="22.5" customHeight="1">
      <c r="A872" s="1241">
        <v>870.0</v>
      </c>
      <c r="B872" s="913" t="b">
        <v>0</v>
      </c>
      <c r="C872" s="1001" t="s">
        <v>8543</v>
      </c>
      <c r="D872" s="922"/>
      <c r="E872" s="922">
        <v>5.306946431E9</v>
      </c>
      <c r="F872" s="924" t="s">
        <v>8544</v>
      </c>
      <c r="G872" s="924"/>
      <c r="H872" s="969" t="s">
        <v>7699</v>
      </c>
      <c r="I872" s="933"/>
      <c r="J872" s="933"/>
    </row>
    <row r="873" ht="22.5" customHeight="1">
      <c r="A873" s="1241">
        <v>871.0</v>
      </c>
      <c r="B873" s="913" t="b">
        <v>0</v>
      </c>
      <c r="C873" s="966" t="s">
        <v>7466</v>
      </c>
      <c r="D873" s="922"/>
      <c r="E873" s="922">
        <v>7.502002007E9</v>
      </c>
      <c r="F873" s="924" t="s">
        <v>8545</v>
      </c>
      <c r="G873" s="924"/>
      <c r="H873" s="969" t="s">
        <v>7009</v>
      </c>
      <c r="I873" s="933"/>
      <c r="J873" s="933"/>
    </row>
    <row r="874" ht="22.5" customHeight="1">
      <c r="A874" s="1241">
        <v>872.0</v>
      </c>
      <c r="B874" s="913" t="b">
        <v>0</v>
      </c>
      <c r="C874" s="966" t="s">
        <v>8546</v>
      </c>
      <c r="D874" s="922"/>
      <c r="E874" s="922">
        <v>7.504790867E9</v>
      </c>
      <c r="F874" s="924" t="s">
        <v>8547</v>
      </c>
      <c r="G874" s="924"/>
      <c r="H874" s="924"/>
      <c r="I874" s="933"/>
      <c r="J874" s="933"/>
    </row>
    <row r="875" ht="22.5" customHeight="1">
      <c r="A875" s="1241">
        <v>873.0</v>
      </c>
      <c r="B875" s="913" t="b">
        <v>0</v>
      </c>
      <c r="C875" s="966" t="s">
        <v>8548</v>
      </c>
      <c r="D875" s="922"/>
      <c r="E875" s="922" t="s">
        <v>8549</v>
      </c>
      <c r="F875" s="924"/>
      <c r="G875" s="924"/>
      <c r="H875" s="969" t="s">
        <v>7974</v>
      </c>
      <c r="I875" s="933"/>
      <c r="J875" s="933"/>
    </row>
    <row r="876" ht="22.5" customHeight="1">
      <c r="A876" s="1241">
        <v>874.0</v>
      </c>
      <c r="B876" s="913" t="b">
        <v>0</v>
      </c>
      <c r="C876" s="966" t="s">
        <v>8550</v>
      </c>
      <c r="D876" s="922"/>
      <c r="E876" s="922">
        <v>9.05324963879E11</v>
      </c>
      <c r="F876" s="924" t="s">
        <v>8551</v>
      </c>
      <c r="G876" s="924"/>
      <c r="H876" s="969" t="s">
        <v>7699</v>
      </c>
      <c r="I876" s="933"/>
      <c r="J876" s="933"/>
    </row>
    <row r="877" ht="22.5" customHeight="1">
      <c r="A877" s="1241">
        <v>875.0</v>
      </c>
      <c r="B877" s="913" t="b">
        <v>0</v>
      </c>
      <c r="C877" s="966" t="s">
        <v>8552</v>
      </c>
      <c r="D877" s="922"/>
      <c r="E877" s="922">
        <v>7.50380505E9</v>
      </c>
      <c r="F877" s="924" t="s">
        <v>8553</v>
      </c>
      <c r="G877" s="924"/>
      <c r="H877" s="969" t="s">
        <v>7974</v>
      </c>
      <c r="I877" s="933"/>
      <c r="J877" s="933"/>
    </row>
    <row r="878" ht="22.5" customHeight="1">
      <c r="A878" s="1241">
        <v>876.0</v>
      </c>
      <c r="B878" s="913" t="b">
        <v>0</v>
      </c>
      <c r="C878" s="966" t="s">
        <v>8554</v>
      </c>
      <c r="D878" s="922"/>
      <c r="E878" s="922">
        <v>9.05350251361E11</v>
      </c>
      <c r="F878" s="924" t="s">
        <v>8555</v>
      </c>
      <c r="G878" s="924"/>
      <c r="H878" s="969" t="s">
        <v>7699</v>
      </c>
      <c r="I878" s="933"/>
      <c r="J878" s="933"/>
    </row>
    <row r="879" ht="22.5" customHeight="1">
      <c r="A879" s="1241">
        <v>877.0</v>
      </c>
      <c r="B879" s="913" t="b">
        <v>0</v>
      </c>
      <c r="C879" s="935" t="s">
        <v>8556</v>
      </c>
      <c r="D879" s="922"/>
      <c r="E879" s="922">
        <v>7.504471301E9</v>
      </c>
      <c r="F879" s="924" t="s">
        <v>8557</v>
      </c>
      <c r="G879" s="924"/>
      <c r="H879" s="969" t="s">
        <v>7009</v>
      </c>
      <c r="I879" s="933"/>
      <c r="J879" s="933"/>
    </row>
    <row r="880" ht="22.5" customHeight="1">
      <c r="A880" s="1241">
        <v>878.0</v>
      </c>
      <c r="B880" s="913" t="b">
        <v>0</v>
      </c>
      <c r="C880" s="1254" t="s">
        <v>8558</v>
      </c>
      <c r="D880" s="922"/>
      <c r="E880" s="922" t="s">
        <v>8559</v>
      </c>
      <c r="F880" s="924" t="s">
        <v>8560</v>
      </c>
      <c r="G880" s="924"/>
      <c r="H880" s="969" t="s">
        <v>7009</v>
      </c>
      <c r="I880" s="933"/>
      <c r="J880" s="933"/>
    </row>
    <row r="881" ht="22.5" customHeight="1">
      <c r="A881" s="1241">
        <v>879.0</v>
      </c>
      <c r="B881" s="913" t="b">
        <v>0</v>
      </c>
      <c r="C881" s="966" t="s">
        <v>8561</v>
      </c>
      <c r="D881" s="922"/>
      <c r="E881" s="922" t="s">
        <v>8562</v>
      </c>
      <c r="F881" s="924" t="s">
        <v>8563</v>
      </c>
      <c r="G881" s="924"/>
      <c r="H881" s="924"/>
      <c r="I881" s="933"/>
      <c r="J881" s="933"/>
    </row>
    <row r="882" ht="22.5" customHeight="1">
      <c r="A882" s="1241">
        <v>880.0</v>
      </c>
      <c r="B882" s="913" t="b">
        <v>0</v>
      </c>
      <c r="C882" s="966" t="s">
        <v>8564</v>
      </c>
      <c r="D882" s="922"/>
      <c r="E882" s="922" t="s">
        <v>8565</v>
      </c>
      <c r="F882" s="924" t="s">
        <v>8566</v>
      </c>
      <c r="G882" s="924"/>
      <c r="H882" s="969" t="s">
        <v>8567</v>
      </c>
      <c r="I882" s="933"/>
      <c r="J882" s="933"/>
    </row>
    <row r="883" ht="22.5" customHeight="1">
      <c r="A883" s="1241">
        <v>881.0</v>
      </c>
      <c r="B883" s="913" t="b">
        <v>0</v>
      </c>
      <c r="C883" s="966" t="s">
        <v>8568</v>
      </c>
      <c r="D883" s="922"/>
      <c r="E883" s="922">
        <v>9.0543370889E11</v>
      </c>
      <c r="F883" s="924" t="s">
        <v>8569</v>
      </c>
      <c r="G883" s="924"/>
      <c r="H883" s="969" t="s">
        <v>7699</v>
      </c>
      <c r="I883" s="933"/>
      <c r="J883" s="933"/>
    </row>
    <row r="884" ht="22.5" customHeight="1">
      <c r="A884" s="1241">
        <v>882.0</v>
      </c>
      <c r="B884" s="913" t="b">
        <v>0</v>
      </c>
      <c r="C884" s="966" t="s">
        <v>8570</v>
      </c>
      <c r="D884" s="922"/>
      <c r="E884" s="922" t="s">
        <v>8571</v>
      </c>
      <c r="F884" s="924" t="s">
        <v>8572</v>
      </c>
      <c r="G884" s="924"/>
      <c r="H884" s="969" t="s">
        <v>7699</v>
      </c>
      <c r="I884" s="933"/>
      <c r="J884" s="933"/>
    </row>
    <row r="885" ht="22.5" customHeight="1">
      <c r="A885" s="1241">
        <v>883.0</v>
      </c>
      <c r="B885" s="913" t="b">
        <v>0</v>
      </c>
      <c r="C885" s="966" t="s">
        <v>8573</v>
      </c>
      <c r="D885" s="922"/>
      <c r="E885" s="922" t="s">
        <v>8574</v>
      </c>
      <c r="F885" s="924"/>
      <c r="G885" s="924"/>
      <c r="H885" s="969" t="s">
        <v>7009</v>
      </c>
      <c r="I885" s="933"/>
      <c r="J885" s="933"/>
    </row>
    <row r="886" ht="22.5" customHeight="1">
      <c r="A886" s="1241">
        <v>884.0</v>
      </c>
      <c r="B886" s="913" t="b">
        <v>0</v>
      </c>
      <c r="C886" s="966" t="s">
        <v>8575</v>
      </c>
      <c r="D886" s="922"/>
      <c r="E886" s="922">
        <v>8.657687104466E12</v>
      </c>
      <c r="F886" s="924" t="s">
        <v>8576</v>
      </c>
      <c r="G886" s="924"/>
      <c r="H886" s="969" t="s">
        <v>7888</v>
      </c>
      <c r="I886" s="933"/>
      <c r="J886" s="933"/>
    </row>
    <row r="887" ht="22.5" customHeight="1">
      <c r="A887" s="1241">
        <v>885.0</v>
      </c>
      <c r="B887" s="913" t="b">
        <v>0</v>
      </c>
      <c r="C887" s="935" t="s">
        <v>8577</v>
      </c>
      <c r="D887" s="922"/>
      <c r="E887" s="922" t="s">
        <v>8578</v>
      </c>
      <c r="F887" s="924" t="s">
        <v>8579</v>
      </c>
      <c r="G887" s="924"/>
      <c r="H887" s="969" t="s">
        <v>7749</v>
      </c>
      <c r="I887" s="933"/>
      <c r="J887" s="933"/>
    </row>
    <row r="888" ht="22.5" customHeight="1">
      <c r="A888" s="1241">
        <v>886.0</v>
      </c>
      <c r="B888" s="913" t="b">
        <v>0</v>
      </c>
      <c r="C888" s="966" t="s">
        <v>8580</v>
      </c>
      <c r="D888" s="922"/>
      <c r="E888" s="922" t="s">
        <v>8581</v>
      </c>
      <c r="F888" s="1255" t="s">
        <v>8582</v>
      </c>
      <c r="G888" s="924"/>
      <c r="H888" s="969" t="s">
        <v>7699</v>
      </c>
      <c r="I888" s="933"/>
      <c r="J888" s="933"/>
    </row>
    <row r="889" ht="22.5" customHeight="1">
      <c r="A889" s="1241">
        <v>887.0</v>
      </c>
      <c r="B889" s="913" t="b">
        <v>0</v>
      </c>
      <c r="C889" s="966" t="s">
        <v>8583</v>
      </c>
      <c r="D889" s="922"/>
      <c r="E889" s="922" t="s">
        <v>8584</v>
      </c>
      <c r="F889" s="924" t="s">
        <v>8585</v>
      </c>
      <c r="G889" s="924"/>
      <c r="H889" s="969" t="s">
        <v>7699</v>
      </c>
      <c r="I889" s="933"/>
      <c r="J889" s="933"/>
    </row>
    <row r="890" ht="22.5" customHeight="1">
      <c r="A890" s="1241">
        <v>888.0</v>
      </c>
      <c r="B890" s="913" t="b">
        <v>0</v>
      </c>
      <c r="C890" s="966" t="s">
        <v>8586</v>
      </c>
      <c r="D890" s="922"/>
      <c r="E890" s="922" t="s">
        <v>8587</v>
      </c>
      <c r="F890" s="924" t="s">
        <v>8588</v>
      </c>
      <c r="G890" s="924"/>
      <c r="H890" s="969" t="s">
        <v>7699</v>
      </c>
      <c r="I890" s="933"/>
      <c r="J890" s="933"/>
    </row>
    <row r="891" ht="22.5" customHeight="1">
      <c r="A891" s="1241">
        <v>889.0</v>
      </c>
      <c r="B891" s="913" t="b">
        <v>0</v>
      </c>
      <c r="C891" s="966" t="s">
        <v>8589</v>
      </c>
      <c r="D891" s="922"/>
      <c r="E891" s="922" t="s">
        <v>8590</v>
      </c>
      <c r="F891" s="924" t="s">
        <v>8591</v>
      </c>
      <c r="G891" s="924"/>
      <c r="H891" s="969" t="s">
        <v>7699</v>
      </c>
      <c r="I891" s="933"/>
      <c r="J891" s="933"/>
    </row>
    <row r="892" ht="22.5" customHeight="1">
      <c r="A892" s="1241">
        <v>890.0</v>
      </c>
      <c r="B892" s="913" t="b">
        <v>0</v>
      </c>
      <c r="C892" s="966" t="s">
        <v>8592</v>
      </c>
      <c r="D892" s="922"/>
      <c r="E892" s="922" t="s">
        <v>8593</v>
      </c>
      <c r="F892" s="924" t="s">
        <v>8594</v>
      </c>
      <c r="G892" s="924"/>
      <c r="H892" s="969" t="s">
        <v>7699</v>
      </c>
      <c r="I892" s="933"/>
      <c r="J892" s="933"/>
    </row>
    <row r="893" ht="22.5" customHeight="1">
      <c r="A893" s="1241">
        <v>891.0</v>
      </c>
      <c r="B893" s="913" t="b">
        <v>0</v>
      </c>
      <c r="C893" s="966" t="s">
        <v>8595</v>
      </c>
      <c r="D893" s="922"/>
      <c r="E893" s="922" t="s">
        <v>8596</v>
      </c>
      <c r="F893" s="924" t="s">
        <v>8597</v>
      </c>
      <c r="G893" s="924"/>
      <c r="H893" s="969" t="s">
        <v>7699</v>
      </c>
      <c r="I893" s="933"/>
      <c r="J893" s="933"/>
    </row>
    <row r="894" ht="22.5" customHeight="1">
      <c r="A894" s="1241">
        <v>892.0</v>
      </c>
      <c r="B894" s="913" t="b">
        <v>0</v>
      </c>
      <c r="C894" s="966" t="s">
        <v>8598</v>
      </c>
      <c r="D894" s="922"/>
      <c r="E894" s="922" t="s">
        <v>8599</v>
      </c>
      <c r="F894" s="924" t="s">
        <v>8600</v>
      </c>
      <c r="G894" s="924"/>
      <c r="H894" s="969" t="s">
        <v>7699</v>
      </c>
      <c r="I894" s="933"/>
      <c r="J894" s="933"/>
    </row>
    <row r="895" ht="22.5" customHeight="1">
      <c r="A895" s="1241">
        <v>893.0</v>
      </c>
      <c r="B895" s="913" t="b">
        <v>0</v>
      </c>
      <c r="C895" s="966" t="s">
        <v>8601</v>
      </c>
      <c r="D895" s="922" t="s">
        <v>8602</v>
      </c>
      <c r="E895" s="922" t="s">
        <v>8603</v>
      </c>
      <c r="F895" s="924" t="s">
        <v>8604</v>
      </c>
      <c r="G895" s="924"/>
      <c r="H895" s="969" t="s">
        <v>7699</v>
      </c>
      <c r="I895" s="933"/>
      <c r="J895" s="933"/>
    </row>
    <row r="896" ht="22.5" customHeight="1">
      <c r="A896" s="1241">
        <v>894.0</v>
      </c>
      <c r="B896" s="913" t="b">
        <v>0</v>
      </c>
      <c r="C896" s="966" t="s">
        <v>8605</v>
      </c>
      <c r="D896" s="922"/>
      <c r="E896" s="922" t="s">
        <v>8606</v>
      </c>
      <c r="F896" s="924" t="s">
        <v>8607</v>
      </c>
      <c r="G896" s="924"/>
      <c r="H896" s="969" t="s">
        <v>7699</v>
      </c>
      <c r="I896" s="933"/>
      <c r="J896" s="933"/>
    </row>
    <row r="897" ht="22.5" customHeight="1">
      <c r="A897" s="1241">
        <v>895.0</v>
      </c>
      <c r="B897" s="913" t="b">
        <v>0</v>
      </c>
      <c r="C897" s="966" t="s">
        <v>8608</v>
      </c>
      <c r="D897" s="922"/>
      <c r="E897" s="922" t="s">
        <v>8609</v>
      </c>
      <c r="F897" s="924" t="s">
        <v>8610</v>
      </c>
      <c r="G897" s="924"/>
      <c r="H897" s="969" t="s">
        <v>7699</v>
      </c>
      <c r="I897" s="933"/>
      <c r="J897" s="933"/>
    </row>
    <row r="898" ht="22.5" customHeight="1">
      <c r="A898" s="1241">
        <v>896.0</v>
      </c>
      <c r="B898" s="913" t="b">
        <v>0</v>
      </c>
      <c r="C898" s="966" t="s">
        <v>8611</v>
      </c>
      <c r="D898" s="922"/>
      <c r="E898" s="922" t="s">
        <v>8612</v>
      </c>
      <c r="F898" s="924" t="s">
        <v>8613</v>
      </c>
      <c r="G898" s="924"/>
      <c r="H898" s="969" t="s">
        <v>7888</v>
      </c>
      <c r="I898" s="933"/>
      <c r="J898" s="933"/>
    </row>
    <row r="899" ht="22.5" customHeight="1">
      <c r="A899" s="1241">
        <v>897.0</v>
      </c>
      <c r="B899" s="913" t="b">
        <v>0</v>
      </c>
      <c r="C899" s="966" t="s">
        <v>8614</v>
      </c>
      <c r="D899" s="922" t="s">
        <v>8615</v>
      </c>
      <c r="E899" s="922" t="s">
        <v>8616</v>
      </c>
      <c r="F899" s="924" t="s">
        <v>8617</v>
      </c>
      <c r="G899" s="924"/>
      <c r="H899" s="969" t="s">
        <v>7699</v>
      </c>
      <c r="I899" s="933"/>
      <c r="J899" s="933"/>
    </row>
    <row r="900" ht="22.5" customHeight="1">
      <c r="A900" s="1241">
        <v>898.0</v>
      </c>
      <c r="B900" s="913" t="b">
        <v>0</v>
      </c>
      <c r="C900" s="966" t="s">
        <v>8618</v>
      </c>
      <c r="D900" s="922" t="s">
        <v>8619</v>
      </c>
      <c r="E900" s="922" t="s">
        <v>8620</v>
      </c>
      <c r="F900" s="924" t="s">
        <v>8621</v>
      </c>
      <c r="G900" s="924"/>
      <c r="H900" s="976" t="s">
        <v>8567</v>
      </c>
      <c r="I900" s="933"/>
      <c r="J900" s="933"/>
    </row>
    <row r="901" ht="22.5" customHeight="1">
      <c r="A901" s="1241">
        <v>899.0</v>
      </c>
      <c r="B901" s="913" t="b">
        <v>0</v>
      </c>
      <c r="C901" s="966" t="s">
        <v>8622</v>
      </c>
      <c r="D901" s="922"/>
      <c r="E901" s="922" t="s">
        <v>8623</v>
      </c>
      <c r="F901" s="924" t="s">
        <v>8624</v>
      </c>
      <c r="G901" s="924"/>
      <c r="H901" s="977" t="s">
        <v>8567</v>
      </c>
      <c r="I901" s="933"/>
      <c r="J901" s="933"/>
    </row>
    <row r="902" ht="22.5" customHeight="1">
      <c r="A902" s="1241">
        <v>900.0</v>
      </c>
      <c r="B902" s="913" t="b">
        <v>0</v>
      </c>
      <c r="C902" s="966" t="s">
        <v>8625</v>
      </c>
      <c r="D902" s="922" t="s">
        <v>8626</v>
      </c>
      <c r="E902" s="922" t="s">
        <v>8627</v>
      </c>
      <c r="F902" s="924" t="s">
        <v>8628</v>
      </c>
      <c r="G902" s="924"/>
      <c r="H902" s="969" t="s">
        <v>8567</v>
      </c>
      <c r="I902" s="933"/>
      <c r="J902" s="933"/>
    </row>
    <row r="903" ht="22.5" customHeight="1">
      <c r="A903" s="1241">
        <v>901.0</v>
      </c>
      <c r="B903" s="913" t="b">
        <v>0</v>
      </c>
      <c r="C903" s="966" t="s">
        <v>8629</v>
      </c>
      <c r="D903" s="922"/>
      <c r="E903" s="922" t="s">
        <v>8630</v>
      </c>
      <c r="F903" s="924" t="s">
        <v>8631</v>
      </c>
      <c r="G903" s="924"/>
      <c r="H903" s="969" t="s">
        <v>7888</v>
      </c>
      <c r="I903" s="933"/>
      <c r="J903" s="933"/>
    </row>
    <row r="904" ht="22.5" customHeight="1">
      <c r="A904" s="1241">
        <v>902.0</v>
      </c>
      <c r="B904" s="913" t="b">
        <v>0</v>
      </c>
      <c r="C904" s="966" t="s">
        <v>8632</v>
      </c>
      <c r="D904" s="922" t="s">
        <v>8633</v>
      </c>
      <c r="E904" s="922" t="s">
        <v>8634</v>
      </c>
      <c r="F904" s="924" t="s">
        <v>8635</v>
      </c>
      <c r="G904" s="924"/>
      <c r="H904" s="969" t="s">
        <v>7699</v>
      </c>
      <c r="I904" s="933"/>
      <c r="J904" s="933"/>
    </row>
    <row r="905" ht="22.5" customHeight="1">
      <c r="A905" s="1241">
        <v>903.0</v>
      </c>
      <c r="B905" s="913" t="b">
        <v>0</v>
      </c>
      <c r="C905" s="966" t="s">
        <v>8636</v>
      </c>
      <c r="D905" s="922"/>
      <c r="E905" s="922" t="s">
        <v>8637</v>
      </c>
      <c r="F905" s="924" t="s">
        <v>8638</v>
      </c>
      <c r="G905" s="924"/>
      <c r="H905" s="969" t="s">
        <v>7413</v>
      </c>
      <c r="I905" s="933"/>
      <c r="J905" s="933"/>
    </row>
    <row r="906" ht="22.5" customHeight="1">
      <c r="A906" s="1241">
        <v>904.0</v>
      </c>
      <c r="B906" s="913" t="b">
        <v>0</v>
      </c>
      <c r="C906" s="966" t="s">
        <v>8639</v>
      </c>
      <c r="D906" s="922"/>
      <c r="E906" s="922">
        <v>9.190817666E11</v>
      </c>
      <c r="F906" s="924" t="s">
        <v>8640</v>
      </c>
      <c r="G906" s="924"/>
      <c r="H906" s="969" t="s">
        <v>8641</v>
      </c>
      <c r="I906" s="933"/>
      <c r="J906" s="933"/>
    </row>
    <row r="907" ht="22.5" customHeight="1">
      <c r="A907" s="1241">
        <v>905.0</v>
      </c>
      <c r="B907" s="913" t="b">
        <v>0</v>
      </c>
      <c r="C907" s="966" t="s">
        <v>8642</v>
      </c>
      <c r="D907" s="922"/>
      <c r="E907" s="922">
        <v>9.89121127232E11</v>
      </c>
      <c r="F907" s="924"/>
      <c r="G907" s="924"/>
      <c r="H907" s="969" t="s">
        <v>7983</v>
      </c>
      <c r="I907" s="933"/>
      <c r="J907" s="933"/>
    </row>
    <row r="908" ht="22.5" customHeight="1">
      <c r="A908" s="1241">
        <v>906.0</v>
      </c>
      <c r="B908" s="913" t="b">
        <v>0</v>
      </c>
      <c r="C908" s="966" t="s">
        <v>8643</v>
      </c>
      <c r="D908" s="922"/>
      <c r="E908" s="922" t="s">
        <v>8644</v>
      </c>
      <c r="F908" s="924" t="s">
        <v>8645</v>
      </c>
      <c r="G908" s="924"/>
      <c r="H908" s="969" t="s">
        <v>7413</v>
      </c>
      <c r="I908" s="933"/>
      <c r="J908" s="933"/>
    </row>
    <row r="909" ht="22.5" customHeight="1">
      <c r="A909" s="1241">
        <v>907.0</v>
      </c>
      <c r="B909" s="913" t="b">
        <v>0</v>
      </c>
      <c r="C909" s="966" t="s">
        <v>8646</v>
      </c>
      <c r="D909" s="922"/>
      <c r="E909" s="922" t="s">
        <v>8647</v>
      </c>
      <c r="F909" s="924" t="s">
        <v>8648</v>
      </c>
      <c r="G909" s="924"/>
      <c r="H909" s="969" t="s">
        <v>7983</v>
      </c>
      <c r="I909" s="933"/>
      <c r="J909" s="933"/>
    </row>
    <row r="910" ht="22.5" customHeight="1">
      <c r="A910" s="1241">
        <v>908.0</v>
      </c>
      <c r="B910" s="913" t="b">
        <v>0</v>
      </c>
      <c r="C910" s="966" t="s">
        <v>8649</v>
      </c>
      <c r="D910" s="922"/>
      <c r="E910" s="922">
        <v>9.04882131919E11</v>
      </c>
      <c r="F910" s="924" t="s">
        <v>8650</v>
      </c>
      <c r="G910" s="924"/>
      <c r="H910" s="969" t="s">
        <v>7699</v>
      </c>
      <c r="I910" s="933"/>
      <c r="J910" s="933"/>
    </row>
    <row r="911" ht="22.5" customHeight="1">
      <c r="A911" s="1241">
        <v>909.0</v>
      </c>
      <c r="B911" s="913" t="b">
        <v>0</v>
      </c>
      <c r="C911" s="966" t="s">
        <v>8651</v>
      </c>
      <c r="D911" s="922"/>
      <c r="E911" s="922" t="s">
        <v>8652</v>
      </c>
      <c r="F911" s="924" t="s">
        <v>8653</v>
      </c>
      <c r="G911" s="924"/>
      <c r="H911" s="976" t="s">
        <v>8567</v>
      </c>
      <c r="I911" s="933"/>
      <c r="J911" s="933"/>
    </row>
    <row r="912" ht="22.5" customHeight="1">
      <c r="A912" s="1241">
        <v>910.0</v>
      </c>
      <c r="B912" s="913" t="b">
        <v>0</v>
      </c>
      <c r="C912" s="966" t="s">
        <v>8654</v>
      </c>
      <c r="D912" s="922"/>
      <c r="E912" s="922" t="s">
        <v>8655</v>
      </c>
      <c r="F912" s="924" t="s">
        <v>8656</v>
      </c>
      <c r="G912" s="924"/>
      <c r="H912" s="969" t="s">
        <v>7983</v>
      </c>
      <c r="I912" s="933"/>
      <c r="J912" s="933"/>
    </row>
    <row r="913" ht="22.5" customHeight="1">
      <c r="A913" s="1241">
        <v>911.0</v>
      </c>
      <c r="B913" s="913" t="b">
        <v>0</v>
      </c>
      <c r="C913" s="966" t="s">
        <v>8657</v>
      </c>
      <c r="D913" s="922"/>
      <c r="E913" s="922" t="s">
        <v>8658</v>
      </c>
      <c r="F913" s="924" t="s">
        <v>8659</v>
      </c>
      <c r="G913" s="924"/>
      <c r="H913" s="969" t="s">
        <v>7983</v>
      </c>
      <c r="I913" s="933"/>
      <c r="J913" s="933"/>
    </row>
    <row r="914" ht="22.5" customHeight="1">
      <c r="A914" s="1241">
        <v>912.0</v>
      </c>
      <c r="B914" s="913" t="b">
        <v>0</v>
      </c>
      <c r="C914" s="966" t="s">
        <v>8660</v>
      </c>
      <c r="D914" s="922"/>
      <c r="E914" s="922">
        <v>9.89912064185E11</v>
      </c>
      <c r="F914" s="924" t="s">
        <v>8661</v>
      </c>
      <c r="G914" s="924"/>
      <c r="H914" s="969" t="s">
        <v>7983</v>
      </c>
      <c r="I914" s="933"/>
      <c r="J914" s="933"/>
    </row>
    <row r="915" ht="22.5" customHeight="1">
      <c r="A915" s="1241">
        <v>913.0</v>
      </c>
      <c r="B915" s="913" t="b">
        <v>0</v>
      </c>
      <c r="C915" s="966" t="s">
        <v>8662</v>
      </c>
      <c r="D915" s="922"/>
      <c r="E915" s="922">
        <v>9.89148446448E11</v>
      </c>
      <c r="F915" s="924" t="s">
        <v>8663</v>
      </c>
      <c r="G915" s="924"/>
      <c r="H915" s="969" t="s">
        <v>7983</v>
      </c>
      <c r="I915" s="933"/>
      <c r="J915" s="933"/>
    </row>
    <row r="916" ht="22.5" customHeight="1">
      <c r="A916" s="1241">
        <v>914.0</v>
      </c>
      <c r="B916" s="913" t="b">
        <v>0</v>
      </c>
      <c r="C916" s="966" t="s">
        <v>8664</v>
      </c>
      <c r="D916" s="922" t="s">
        <v>8665</v>
      </c>
      <c r="E916" s="922">
        <v>7.509994444E9</v>
      </c>
      <c r="F916" s="924" t="s">
        <v>8666</v>
      </c>
      <c r="G916" s="924"/>
      <c r="H916" s="969" t="s">
        <v>7575</v>
      </c>
      <c r="I916" s="933"/>
      <c r="J916" s="933"/>
    </row>
    <row r="917" ht="22.5" customHeight="1">
      <c r="A917" s="1241">
        <v>915.0</v>
      </c>
      <c r="B917" s="913" t="b">
        <v>0</v>
      </c>
      <c r="C917" s="966" t="s">
        <v>8667</v>
      </c>
      <c r="D917" s="922"/>
      <c r="E917" s="922" t="s">
        <v>8668</v>
      </c>
      <c r="F917" s="924" t="s">
        <v>8669</v>
      </c>
      <c r="G917" s="924"/>
      <c r="H917" s="969" t="s">
        <v>7983</v>
      </c>
      <c r="I917" s="933"/>
      <c r="J917" s="933"/>
    </row>
    <row r="918" ht="22.5" customHeight="1">
      <c r="A918" s="1241">
        <v>916.0</v>
      </c>
      <c r="B918" s="913" t="b">
        <v>0</v>
      </c>
      <c r="C918" s="966" t="s">
        <v>8670</v>
      </c>
      <c r="D918" s="922"/>
      <c r="E918" s="922">
        <v>8.613592587015E12</v>
      </c>
      <c r="F918" s="924" t="s">
        <v>8671</v>
      </c>
      <c r="G918" s="924"/>
      <c r="H918" s="969" t="s">
        <v>7888</v>
      </c>
      <c r="I918" s="933"/>
      <c r="J918" s="933"/>
    </row>
    <row r="919" ht="22.5" customHeight="1">
      <c r="A919" s="1241">
        <v>917.0</v>
      </c>
      <c r="B919" s="913" t="b">
        <v>0</v>
      </c>
      <c r="C919" s="966" t="s">
        <v>8672</v>
      </c>
      <c r="D919" s="922"/>
      <c r="E919" s="922">
        <v>9.05365984225E11</v>
      </c>
      <c r="F919" s="924" t="s">
        <v>8673</v>
      </c>
      <c r="G919" s="924"/>
      <c r="H919" s="969" t="s">
        <v>7699</v>
      </c>
      <c r="I919" s="933"/>
      <c r="J919" s="933"/>
    </row>
    <row r="920" ht="22.5" customHeight="1">
      <c r="A920" s="1241">
        <v>918.0</v>
      </c>
      <c r="B920" s="913" t="b">
        <v>0</v>
      </c>
      <c r="C920" s="966" t="s">
        <v>8674</v>
      </c>
      <c r="D920" s="922"/>
      <c r="E920" s="922" t="s">
        <v>8675</v>
      </c>
      <c r="F920" s="924" t="s">
        <v>8676</v>
      </c>
      <c r="G920" s="924"/>
      <c r="H920" s="969" t="s">
        <v>7699</v>
      </c>
      <c r="I920" s="933"/>
      <c r="J920" s="933"/>
    </row>
    <row r="921" ht="22.5" customHeight="1">
      <c r="A921" s="1241">
        <v>919.0</v>
      </c>
      <c r="B921" s="913" t="b">
        <v>0</v>
      </c>
      <c r="C921" s="966" t="s">
        <v>8677</v>
      </c>
      <c r="D921" s="922"/>
      <c r="E921" s="922" t="s">
        <v>8678</v>
      </c>
      <c r="F921" s="924" t="s">
        <v>8679</v>
      </c>
      <c r="G921" s="924"/>
      <c r="H921" s="969" t="s">
        <v>8680</v>
      </c>
      <c r="I921" s="933"/>
      <c r="J921" s="933"/>
    </row>
    <row r="922" ht="22.5" customHeight="1">
      <c r="A922" s="1241">
        <v>920.0</v>
      </c>
      <c r="B922" s="913" t="b">
        <v>0</v>
      </c>
      <c r="C922" s="966" t="s">
        <v>8681</v>
      </c>
      <c r="D922" s="922"/>
      <c r="E922" s="922">
        <v>7.504549553E9</v>
      </c>
      <c r="F922" s="924" t="s">
        <v>8682</v>
      </c>
      <c r="G922" s="924"/>
      <c r="H922" s="969" t="s">
        <v>8683</v>
      </c>
      <c r="I922" s="933"/>
      <c r="J922" s="933"/>
    </row>
    <row r="923" ht="22.5" customHeight="1">
      <c r="A923" s="1241">
        <v>921.0</v>
      </c>
      <c r="B923" s="913" t="b">
        <v>0</v>
      </c>
      <c r="C923" s="966" t="s">
        <v>8684</v>
      </c>
      <c r="D923" s="922"/>
      <c r="E923" s="922">
        <v>7.503515102E9</v>
      </c>
      <c r="F923" s="924" t="s">
        <v>8685</v>
      </c>
      <c r="G923" s="924"/>
      <c r="H923" s="969" t="s">
        <v>7009</v>
      </c>
      <c r="I923" s="933"/>
      <c r="J923" s="933"/>
    </row>
    <row r="924" ht="22.5" customHeight="1">
      <c r="A924" s="1241">
        <v>922.0</v>
      </c>
      <c r="B924" s="913" t="b">
        <v>0</v>
      </c>
      <c r="C924" s="966" t="s">
        <v>8686</v>
      </c>
      <c r="D924" s="922" t="s">
        <v>8687</v>
      </c>
      <c r="E924" s="922">
        <v>7.800024964E9</v>
      </c>
      <c r="F924" s="924" t="s">
        <v>8688</v>
      </c>
      <c r="G924" s="924"/>
      <c r="H924" s="969" t="s">
        <v>7552</v>
      </c>
      <c r="I924" s="933"/>
      <c r="J924" s="933"/>
    </row>
    <row r="925" ht="22.5" customHeight="1">
      <c r="A925" s="1241">
        <v>923.0</v>
      </c>
      <c r="B925" s="913" t="b">
        <v>0</v>
      </c>
      <c r="C925" s="966" t="s">
        <v>8689</v>
      </c>
      <c r="D925" s="922" t="s">
        <v>950</v>
      </c>
      <c r="E925" s="922">
        <v>7.740164949E9</v>
      </c>
      <c r="F925" s="924" t="s">
        <v>8690</v>
      </c>
      <c r="G925" s="924"/>
      <c r="H925" s="969" t="s">
        <v>7413</v>
      </c>
      <c r="I925" s="933"/>
      <c r="J925" s="933"/>
    </row>
    <row r="926" ht="22.5" customHeight="1">
      <c r="A926" s="1241">
        <v>924.0</v>
      </c>
      <c r="B926" s="913" t="b">
        <v>0</v>
      </c>
      <c r="C926" s="966" t="s">
        <v>8691</v>
      </c>
      <c r="D926" s="922"/>
      <c r="E926" s="922" t="s">
        <v>8692</v>
      </c>
      <c r="F926" s="924" t="s">
        <v>8693</v>
      </c>
      <c r="G926" s="924"/>
      <c r="H926" s="969" t="s">
        <v>7699</v>
      </c>
      <c r="I926" s="933"/>
      <c r="J926" s="933"/>
    </row>
    <row r="927" ht="22.5" customHeight="1">
      <c r="A927" s="1241">
        <v>925.0</v>
      </c>
      <c r="B927" s="913" t="b">
        <v>0</v>
      </c>
      <c r="C927" s="966" t="s">
        <v>8694</v>
      </c>
      <c r="D927" s="922"/>
      <c r="E927" s="1005" t="s">
        <v>8695</v>
      </c>
      <c r="F927" s="924" t="s">
        <v>8696</v>
      </c>
      <c r="G927" s="924"/>
      <c r="H927" s="969" t="s">
        <v>8697</v>
      </c>
      <c r="I927" s="933"/>
      <c r="J927" s="933"/>
    </row>
    <row r="928" ht="22.5" customHeight="1">
      <c r="A928" s="1241">
        <v>926.0</v>
      </c>
      <c r="B928" s="913" t="b">
        <v>0</v>
      </c>
      <c r="C928" s="966" t="s">
        <v>8698</v>
      </c>
      <c r="D928" s="922" t="s">
        <v>8699</v>
      </c>
      <c r="E928" s="922">
        <v>7.507180476E9</v>
      </c>
      <c r="F928" s="924" t="s">
        <v>8700</v>
      </c>
      <c r="G928" s="924"/>
      <c r="H928" s="969" t="s">
        <v>7009</v>
      </c>
      <c r="I928" s="933"/>
      <c r="J928" s="933"/>
    </row>
    <row r="929" ht="22.5" customHeight="1">
      <c r="A929" s="1241">
        <v>927.0</v>
      </c>
      <c r="B929" s="913" t="b">
        <v>0</v>
      </c>
      <c r="C929" s="966" t="s">
        <v>8701</v>
      </c>
      <c r="D929" s="922"/>
      <c r="E929" s="922" t="s">
        <v>8702</v>
      </c>
      <c r="F929" s="924" t="s">
        <v>8703</v>
      </c>
      <c r="G929" s="924"/>
      <c r="H929" s="924"/>
      <c r="I929" s="933"/>
      <c r="J929" s="933"/>
    </row>
    <row r="930" ht="22.5" customHeight="1">
      <c r="A930" s="1241">
        <v>928.0</v>
      </c>
      <c r="B930" s="913" t="b">
        <v>0</v>
      </c>
      <c r="C930" s="966" t="s">
        <v>8704</v>
      </c>
      <c r="D930" s="922"/>
      <c r="E930" s="922">
        <v>5.334451444E9</v>
      </c>
      <c r="F930" s="924" t="s">
        <v>8705</v>
      </c>
      <c r="G930" s="924"/>
      <c r="H930" s="969" t="s">
        <v>8706</v>
      </c>
      <c r="I930" s="933"/>
      <c r="J930" s="933"/>
    </row>
    <row r="931" ht="22.5" customHeight="1">
      <c r="A931" s="1241">
        <v>929.0</v>
      </c>
      <c r="B931" s="913" t="b">
        <v>0</v>
      </c>
      <c r="C931" s="966" t="s">
        <v>8707</v>
      </c>
      <c r="D931" s="922"/>
      <c r="E931" s="922">
        <v>9.05324730296E11</v>
      </c>
      <c r="F931" s="924" t="s">
        <v>8708</v>
      </c>
      <c r="G931" s="924"/>
      <c r="H931" s="969" t="s">
        <v>7699</v>
      </c>
      <c r="I931" s="933"/>
      <c r="J931" s="933"/>
    </row>
    <row r="932" ht="22.5" customHeight="1">
      <c r="A932" s="1241">
        <v>930.0</v>
      </c>
      <c r="B932" s="913" t="b">
        <v>0</v>
      </c>
      <c r="C932" s="966" t="s">
        <v>8709</v>
      </c>
      <c r="D932" s="922"/>
      <c r="E932" s="922" t="s">
        <v>8710</v>
      </c>
      <c r="F932" s="924"/>
      <c r="G932" s="924"/>
      <c r="H932" s="969" t="s">
        <v>7009</v>
      </c>
      <c r="I932" s="933"/>
      <c r="J932" s="933"/>
    </row>
    <row r="933" ht="22.5" customHeight="1">
      <c r="A933" s="1241">
        <v>931.0</v>
      </c>
      <c r="B933" s="913" t="b">
        <v>0</v>
      </c>
      <c r="C933" s="935" t="s">
        <v>8711</v>
      </c>
      <c r="D933" s="922"/>
      <c r="E933" s="922" t="s">
        <v>8712</v>
      </c>
      <c r="F933" s="924"/>
      <c r="G933" s="924"/>
      <c r="H933" s="969" t="s">
        <v>7176</v>
      </c>
      <c r="I933" s="933"/>
      <c r="J933" s="933"/>
    </row>
    <row r="934" ht="22.5" customHeight="1">
      <c r="A934" s="1241">
        <v>932.0</v>
      </c>
      <c r="B934" s="913" t="b">
        <v>0</v>
      </c>
      <c r="C934" s="966" t="s">
        <v>8713</v>
      </c>
      <c r="D934" s="922"/>
      <c r="E934" s="922" t="s">
        <v>8714</v>
      </c>
      <c r="F934" s="924" t="s">
        <v>8715</v>
      </c>
      <c r="G934" s="924"/>
      <c r="H934" s="969" t="s">
        <v>7983</v>
      </c>
      <c r="I934" s="933"/>
      <c r="J934" s="933"/>
    </row>
    <row r="935" ht="22.5" customHeight="1">
      <c r="A935" s="1241">
        <v>933.0</v>
      </c>
      <c r="B935" s="913" t="b">
        <v>0</v>
      </c>
      <c r="C935" s="966" t="s">
        <v>8716</v>
      </c>
      <c r="D935" s="922"/>
      <c r="E935" s="922">
        <v>7.504564858E9</v>
      </c>
      <c r="F935" s="924" t="s">
        <v>8717</v>
      </c>
      <c r="G935" s="924"/>
      <c r="H935" s="969" t="s">
        <v>7009</v>
      </c>
      <c r="I935" s="933"/>
      <c r="J935" s="933"/>
    </row>
    <row r="936" ht="22.5" customHeight="1">
      <c r="A936" s="1241">
        <v>934.0</v>
      </c>
      <c r="B936" s="913" t="b">
        <v>0</v>
      </c>
      <c r="C936" s="966" t="s">
        <v>8718</v>
      </c>
      <c r="D936" s="922"/>
      <c r="E936" s="922">
        <v>9.89134014367E11</v>
      </c>
      <c r="F936" s="924"/>
      <c r="G936" s="924"/>
      <c r="H936" s="969" t="s">
        <v>7983</v>
      </c>
      <c r="I936" s="933"/>
      <c r="J936" s="933"/>
    </row>
    <row r="937" ht="22.5" customHeight="1">
      <c r="A937" s="1241">
        <v>935.0</v>
      </c>
      <c r="B937" s="913" t="b">
        <v>0</v>
      </c>
      <c r="C937" s="966" t="s">
        <v>8719</v>
      </c>
      <c r="D937" s="922"/>
      <c r="E937" s="998" t="s">
        <v>8720</v>
      </c>
      <c r="F937" s="924"/>
      <c r="G937" s="924"/>
      <c r="H937" s="969" t="s">
        <v>7983</v>
      </c>
      <c r="I937" s="933"/>
      <c r="J937" s="933"/>
    </row>
    <row r="938" ht="22.5" customHeight="1">
      <c r="A938" s="1241">
        <v>936.0</v>
      </c>
      <c r="B938" s="913" t="b">
        <v>0</v>
      </c>
      <c r="C938" s="966" t="s">
        <v>8721</v>
      </c>
      <c r="D938" s="922"/>
      <c r="E938" s="922" t="s">
        <v>8722</v>
      </c>
      <c r="F938" s="924" t="s">
        <v>8723</v>
      </c>
      <c r="G938" s="924"/>
      <c r="H938" s="969" t="s">
        <v>7983</v>
      </c>
      <c r="I938" s="933"/>
      <c r="J938" s="933"/>
    </row>
    <row r="939" ht="22.5" customHeight="1">
      <c r="A939" s="1241">
        <v>937.0</v>
      </c>
      <c r="B939" s="913" t="b">
        <v>0</v>
      </c>
      <c r="C939" s="966" t="s">
        <v>8724</v>
      </c>
      <c r="D939" s="922"/>
      <c r="E939" s="922">
        <v>9.7143132332E10</v>
      </c>
      <c r="F939" s="924" t="s">
        <v>8725</v>
      </c>
      <c r="G939" s="924"/>
      <c r="H939" s="924"/>
      <c r="I939" s="933"/>
      <c r="J939" s="933"/>
    </row>
    <row r="940" ht="22.5" customHeight="1">
      <c r="A940" s="1241">
        <v>938.0</v>
      </c>
      <c r="B940" s="913" t="b">
        <v>0</v>
      </c>
      <c r="C940" s="966" t="s">
        <v>8726</v>
      </c>
      <c r="D940" s="922"/>
      <c r="E940" s="922" t="s">
        <v>8727</v>
      </c>
      <c r="F940" s="924" t="s">
        <v>8728</v>
      </c>
      <c r="G940" s="924"/>
      <c r="H940" s="969" t="s">
        <v>7983</v>
      </c>
      <c r="I940" s="933"/>
      <c r="J940" s="933"/>
    </row>
    <row r="941" ht="22.5" customHeight="1">
      <c r="A941" s="1241">
        <v>939.0</v>
      </c>
      <c r="B941" s="913" t="b">
        <v>0</v>
      </c>
      <c r="C941" s="966" t="s">
        <v>8729</v>
      </c>
      <c r="D941" s="922"/>
      <c r="E941" s="922">
        <v>7.822752568E9</v>
      </c>
      <c r="F941" s="924" t="s">
        <v>8730</v>
      </c>
      <c r="G941" s="924"/>
      <c r="H941" s="969" t="s">
        <v>7749</v>
      </c>
      <c r="I941" s="933"/>
      <c r="J941" s="933"/>
    </row>
    <row r="942" ht="22.5" customHeight="1">
      <c r="A942" s="1241">
        <v>940.0</v>
      </c>
      <c r="B942" s="913" t="b">
        <v>0</v>
      </c>
      <c r="C942" s="966" t="s">
        <v>8731</v>
      </c>
      <c r="D942" s="922"/>
      <c r="E942" s="922" t="s">
        <v>8732</v>
      </c>
      <c r="F942" s="924" t="s">
        <v>8733</v>
      </c>
      <c r="G942" s="924"/>
      <c r="H942" s="969" t="s">
        <v>7888</v>
      </c>
      <c r="I942" s="933"/>
      <c r="J942" s="933"/>
    </row>
    <row r="943" ht="22.5" customHeight="1">
      <c r="A943" s="1241">
        <v>941.0</v>
      </c>
      <c r="B943" s="913" t="b">
        <v>0</v>
      </c>
      <c r="C943" s="935" t="s">
        <v>8734</v>
      </c>
      <c r="D943" s="922"/>
      <c r="E943" s="922" t="s">
        <v>8735</v>
      </c>
      <c r="F943" s="924" t="s">
        <v>8736</v>
      </c>
      <c r="G943" s="924"/>
      <c r="H943" s="969" t="s">
        <v>7009</v>
      </c>
      <c r="I943" s="933"/>
      <c r="J943" s="933"/>
    </row>
    <row r="944" ht="22.5" customHeight="1">
      <c r="A944" s="1241">
        <v>942.0</v>
      </c>
      <c r="B944" s="913" t="b">
        <v>0</v>
      </c>
      <c r="C944" s="966" t="s">
        <v>8737</v>
      </c>
      <c r="D944" s="922"/>
      <c r="E944" s="922">
        <v>4442150.0</v>
      </c>
      <c r="F944" s="924" t="s">
        <v>8738</v>
      </c>
      <c r="G944" s="924"/>
      <c r="H944" s="969" t="s">
        <v>8706</v>
      </c>
      <c r="I944" s="933"/>
      <c r="J944" s="933"/>
    </row>
    <row r="945" ht="22.5" customHeight="1">
      <c r="A945" s="1241">
        <v>943.0</v>
      </c>
      <c r="B945" s="913" t="b">
        <v>0</v>
      </c>
      <c r="C945" s="966" t="s">
        <v>8739</v>
      </c>
      <c r="D945" s="922"/>
      <c r="E945" s="922" t="s">
        <v>8740</v>
      </c>
      <c r="F945" s="924" t="s">
        <v>8741</v>
      </c>
      <c r="G945" s="924"/>
      <c r="H945" s="969" t="s">
        <v>8742</v>
      </c>
      <c r="I945" s="933"/>
      <c r="J945" s="933"/>
    </row>
    <row r="946" ht="22.5" customHeight="1">
      <c r="A946" s="1241">
        <v>944.0</v>
      </c>
      <c r="B946" s="913" t="b">
        <v>0</v>
      </c>
      <c r="C946" s="966" t="s">
        <v>8743</v>
      </c>
      <c r="D946" s="922"/>
      <c r="E946" s="922" t="s">
        <v>8744</v>
      </c>
      <c r="F946" s="924" t="s">
        <v>8745</v>
      </c>
      <c r="G946" s="924"/>
      <c r="H946" s="969" t="s">
        <v>8706</v>
      </c>
      <c r="I946" s="933"/>
      <c r="J946" s="933"/>
    </row>
    <row r="947" ht="22.5" customHeight="1">
      <c r="A947" s="1241">
        <v>945.0</v>
      </c>
      <c r="B947" s="913" t="b">
        <v>0</v>
      </c>
      <c r="C947" s="966" t="s">
        <v>8746</v>
      </c>
      <c r="D947" s="922"/>
      <c r="E947" s="922" t="s">
        <v>8747</v>
      </c>
      <c r="F947" s="924" t="s">
        <v>8748</v>
      </c>
      <c r="G947" s="924"/>
      <c r="H947" s="969" t="s">
        <v>8706</v>
      </c>
      <c r="I947" s="933"/>
      <c r="J947" s="933"/>
    </row>
    <row r="948" ht="22.5" customHeight="1">
      <c r="A948" s="1241">
        <v>946.0</v>
      </c>
      <c r="B948" s="913" t="b">
        <v>0</v>
      </c>
      <c r="C948" s="966" t="s">
        <v>8749</v>
      </c>
      <c r="D948" s="922" t="s">
        <v>8750</v>
      </c>
      <c r="E948" s="922" t="s">
        <v>8751</v>
      </c>
      <c r="F948" s="924" t="s">
        <v>8752</v>
      </c>
      <c r="G948" s="924"/>
      <c r="H948" s="969" t="s">
        <v>7749</v>
      </c>
      <c r="I948" s="933"/>
      <c r="J948" s="933"/>
    </row>
    <row r="949" ht="22.5" customHeight="1">
      <c r="A949" s="1241">
        <v>947.0</v>
      </c>
      <c r="B949" s="913" t="b">
        <v>0</v>
      </c>
      <c r="C949" s="966" t="s">
        <v>8753</v>
      </c>
      <c r="D949" s="922" t="s">
        <v>8754</v>
      </c>
      <c r="E949" s="922">
        <v>9.8912043256E11</v>
      </c>
      <c r="F949" s="924" t="s">
        <v>8755</v>
      </c>
      <c r="G949" s="924"/>
      <c r="H949" s="969" t="s">
        <v>7983</v>
      </c>
      <c r="I949" s="933"/>
      <c r="J949" s="933"/>
    </row>
    <row r="950" ht="22.5" customHeight="1">
      <c r="A950" s="1241">
        <v>948.0</v>
      </c>
      <c r="B950" s="913" t="b">
        <v>0</v>
      </c>
      <c r="C950" s="966" t="s">
        <v>8756</v>
      </c>
      <c r="D950" s="922" t="s">
        <v>8757</v>
      </c>
      <c r="E950" s="922">
        <v>9.8912103601E11</v>
      </c>
      <c r="F950" s="924" t="s">
        <v>8758</v>
      </c>
      <c r="G950" s="924"/>
      <c r="H950" s="969" t="s">
        <v>7983</v>
      </c>
      <c r="I950" s="933"/>
      <c r="J950" s="933"/>
    </row>
    <row r="951" ht="22.5" customHeight="1">
      <c r="A951" s="1241">
        <v>949.0</v>
      </c>
      <c r="B951" s="913" t="b">
        <v>0</v>
      </c>
      <c r="C951" s="966" t="s">
        <v>8759</v>
      </c>
      <c r="D951" s="922"/>
      <c r="E951" s="922">
        <v>7.508025541E9</v>
      </c>
      <c r="F951" s="924" t="s">
        <v>8760</v>
      </c>
      <c r="G951" s="924"/>
      <c r="H951" s="969" t="s">
        <v>7009</v>
      </c>
      <c r="I951" s="933"/>
      <c r="J951" s="933"/>
    </row>
    <row r="952" ht="22.5" customHeight="1">
      <c r="A952" s="1241">
        <v>950.0</v>
      </c>
      <c r="B952" s="913" t="b">
        <v>0</v>
      </c>
      <c r="C952" s="1049" t="s">
        <v>8761</v>
      </c>
      <c r="D952" s="922"/>
      <c r="E952" s="1023" t="s">
        <v>8762</v>
      </c>
      <c r="F952" s="924" t="s">
        <v>8763</v>
      </c>
      <c r="G952" s="924"/>
      <c r="H952" s="969" t="s">
        <v>7699</v>
      </c>
      <c r="I952" s="933"/>
      <c r="J952" s="933"/>
    </row>
    <row r="953" ht="22.5" customHeight="1">
      <c r="A953" s="1241">
        <v>951.0</v>
      </c>
      <c r="B953" s="913" t="b">
        <v>0</v>
      </c>
      <c r="C953" s="1256" t="s">
        <v>8764</v>
      </c>
      <c r="D953" s="922"/>
      <c r="E953" s="1257">
        <v>7.800996622E9</v>
      </c>
      <c r="F953" s="1258" t="s">
        <v>2896</v>
      </c>
      <c r="G953" s="924"/>
      <c r="H953" s="969" t="s">
        <v>8765</v>
      </c>
      <c r="I953" s="933"/>
      <c r="J953" s="933"/>
    </row>
    <row r="954" ht="22.5" customHeight="1">
      <c r="A954" s="1241">
        <v>952.0</v>
      </c>
      <c r="B954" s="913" t="b">
        <v>0</v>
      </c>
      <c r="C954" s="913" t="s">
        <v>8766</v>
      </c>
      <c r="D954" s="922"/>
      <c r="E954" s="922"/>
      <c r="F954" s="924"/>
      <c r="G954" s="924"/>
      <c r="H954" s="924"/>
      <c r="I954" s="933"/>
      <c r="J954" s="933"/>
    </row>
    <row r="955" ht="22.5" customHeight="1">
      <c r="A955" s="1241">
        <v>953.0</v>
      </c>
      <c r="B955" s="913" t="b">
        <v>0</v>
      </c>
      <c r="C955" s="1240"/>
      <c r="D955" s="922"/>
      <c r="E955" s="922"/>
      <c r="F955" s="924"/>
      <c r="G955" s="924"/>
      <c r="H955" s="924"/>
      <c r="I955" s="933"/>
      <c r="J955" s="933"/>
    </row>
    <row r="956" ht="22.5" customHeight="1">
      <c r="A956" s="1241">
        <v>954.0</v>
      </c>
      <c r="B956" s="913" t="b">
        <v>0</v>
      </c>
      <c r="C956" s="1240"/>
      <c r="D956" s="922"/>
      <c r="E956" s="922"/>
      <c r="F956" s="924"/>
      <c r="G956" s="924"/>
      <c r="H956" s="924"/>
      <c r="I956" s="933"/>
      <c r="J956" s="933"/>
    </row>
    <row r="957" ht="22.5" customHeight="1">
      <c r="A957" s="1241">
        <v>955.0</v>
      </c>
      <c r="B957" s="913"/>
      <c r="C957" s="1240"/>
      <c r="D957" s="922"/>
      <c r="E957" s="922"/>
      <c r="F957" s="924"/>
      <c r="G957" s="924"/>
      <c r="H957" s="924"/>
      <c r="I957" s="933"/>
      <c r="J957" s="933"/>
    </row>
    <row r="958" ht="22.5" customHeight="1">
      <c r="A958" s="913"/>
      <c r="B958" s="913"/>
      <c r="C958" s="1240"/>
      <c r="D958" s="922"/>
      <c r="E958" s="922"/>
      <c r="F958" s="924"/>
      <c r="G958" s="924"/>
      <c r="H958" s="924"/>
      <c r="I958" s="933"/>
      <c r="J958" s="933"/>
    </row>
    <row r="959" ht="22.5" customHeight="1">
      <c r="A959" s="913"/>
      <c r="B959" s="913"/>
      <c r="C959" s="1240"/>
      <c r="D959" s="922"/>
      <c r="E959" s="922"/>
      <c r="F959" s="924"/>
      <c r="G959" s="924"/>
      <c r="H959" s="924"/>
      <c r="I959" s="933"/>
      <c r="J959" s="933"/>
    </row>
    <row r="960" ht="22.5" customHeight="1">
      <c r="A960" s="913"/>
      <c r="B960" s="913"/>
      <c r="C960" s="1240"/>
      <c r="D960" s="922"/>
      <c r="E960" s="922"/>
      <c r="F960" s="924"/>
      <c r="G960" s="924"/>
      <c r="H960" s="924"/>
      <c r="I960" s="933"/>
      <c r="J960" s="933"/>
    </row>
    <row r="961" ht="22.5" customHeight="1">
      <c r="A961" s="913"/>
      <c r="B961" s="913"/>
      <c r="C961" s="1240"/>
      <c r="D961" s="922"/>
      <c r="E961" s="922"/>
      <c r="F961" s="924"/>
      <c r="G961" s="924"/>
      <c r="H961" s="924"/>
      <c r="I961" s="933"/>
      <c r="J961" s="933"/>
    </row>
    <row r="962" ht="22.5" customHeight="1">
      <c r="A962" s="913"/>
      <c r="B962" s="913"/>
      <c r="C962" s="1240"/>
      <c r="D962" s="922"/>
      <c r="E962" s="922"/>
      <c r="F962" s="924"/>
      <c r="G962" s="924"/>
      <c r="H962" s="924"/>
      <c r="I962" s="933"/>
      <c r="J962" s="933"/>
    </row>
    <row r="963" ht="22.5" customHeight="1">
      <c r="A963" s="913"/>
      <c r="B963" s="913"/>
      <c r="C963" s="1240"/>
      <c r="D963" s="922"/>
      <c r="E963" s="922"/>
      <c r="F963" s="924"/>
      <c r="G963" s="924"/>
      <c r="H963" s="924"/>
      <c r="I963" s="933"/>
      <c r="J963" s="933"/>
    </row>
    <row r="964" ht="22.5" customHeight="1">
      <c r="A964" s="913"/>
      <c r="B964" s="913"/>
      <c r="C964" s="1240"/>
      <c r="D964" s="922"/>
      <c r="E964" s="922"/>
      <c r="F964" s="924"/>
      <c r="G964" s="924"/>
      <c r="H964" s="924"/>
      <c r="I964" s="933"/>
      <c r="J964" s="933"/>
    </row>
    <row r="965" ht="22.5" customHeight="1">
      <c r="A965" s="913"/>
      <c r="B965" s="913"/>
      <c r="C965" s="1240"/>
      <c r="D965" s="922"/>
      <c r="E965" s="922"/>
      <c r="F965" s="924"/>
      <c r="G965" s="924"/>
      <c r="H965" s="924"/>
      <c r="I965" s="933"/>
      <c r="J965" s="933"/>
    </row>
    <row r="966" ht="22.5" customHeight="1">
      <c r="A966" s="913"/>
      <c r="B966" s="913"/>
      <c r="C966" s="1240"/>
      <c r="D966" s="922"/>
      <c r="E966" s="922"/>
      <c r="F966" s="924"/>
      <c r="G966" s="924"/>
      <c r="H966" s="924"/>
      <c r="I966" s="933"/>
      <c r="J966" s="933"/>
    </row>
    <row r="967" ht="22.5" customHeight="1">
      <c r="A967" s="913"/>
      <c r="B967" s="913"/>
      <c r="C967" s="1240"/>
      <c r="D967" s="922"/>
      <c r="E967" s="922"/>
      <c r="F967" s="924"/>
      <c r="G967" s="924"/>
      <c r="H967" s="924"/>
      <c r="I967" s="933"/>
      <c r="J967" s="933"/>
    </row>
    <row r="968" ht="22.5" customHeight="1">
      <c r="A968" s="913"/>
      <c r="B968" s="913"/>
      <c r="C968" s="1240"/>
      <c r="D968" s="922"/>
      <c r="E968" s="922"/>
      <c r="F968" s="924"/>
      <c r="G968" s="924"/>
      <c r="H968" s="924"/>
      <c r="I968" s="933"/>
      <c r="J968" s="933"/>
    </row>
    <row r="969" ht="22.5" customHeight="1">
      <c r="A969" s="913"/>
      <c r="B969" s="913"/>
      <c r="C969" s="1240"/>
      <c r="D969" s="922"/>
      <c r="E969" s="922"/>
      <c r="F969" s="924"/>
      <c r="G969" s="924"/>
      <c r="H969" s="924"/>
      <c r="I969" s="933"/>
      <c r="J969" s="933"/>
    </row>
    <row r="970" ht="22.5" customHeight="1">
      <c r="A970" s="913"/>
      <c r="B970" s="913"/>
      <c r="C970" s="1240"/>
      <c r="D970" s="922"/>
      <c r="E970" s="922"/>
      <c r="F970" s="924"/>
      <c r="G970" s="924"/>
      <c r="H970" s="924"/>
      <c r="I970" s="933"/>
      <c r="J970" s="933"/>
    </row>
    <row r="971" ht="22.5" customHeight="1">
      <c r="A971" s="913"/>
      <c r="B971" s="913"/>
      <c r="C971" s="1240"/>
      <c r="D971" s="922"/>
      <c r="E971" s="922"/>
      <c r="F971" s="924"/>
      <c r="G971" s="924"/>
      <c r="H971" s="924"/>
      <c r="I971" s="933"/>
      <c r="J971" s="933"/>
    </row>
    <row r="972" ht="22.5" customHeight="1">
      <c r="A972" s="913"/>
      <c r="B972" s="913"/>
      <c r="C972" s="1240"/>
      <c r="D972" s="922"/>
      <c r="E972" s="922"/>
      <c r="F972" s="924"/>
      <c r="G972" s="924"/>
      <c r="H972" s="924"/>
      <c r="I972" s="933"/>
      <c r="J972" s="933"/>
    </row>
    <row r="973" ht="22.5" customHeight="1">
      <c r="A973" s="913"/>
      <c r="B973" s="913"/>
      <c r="C973" s="1240"/>
      <c r="D973" s="922"/>
      <c r="E973" s="922"/>
      <c r="F973" s="924"/>
      <c r="G973" s="924"/>
      <c r="H973" s="924"/>
      <c r="I973" s="933"/>
      <c r="J973" s="933"/>
    </row>
    <row r="974" ht="22.5" customHeight="1">
      <c r="A974" s="913"/>
      <c r="B974" s="913"/>
      <c r="C974" s="1240"/>
      <c r="D974" s="922"/>
      <c r="E974" s="922"/>
      <c r="F974" s="924"/>
      <c r="G974" s="924"/>
      <c r="H974" s="924"/>
      <c r="I974" s="933"/>
      <c r="J974" s="933"/>
    </row>
    <row r="975" ht="22.5" customHeight="1">
      <c r="A975" s="913"/>
      <c r="B975" s="913"/>
      <c r="C975" s="1240"/>
      <c r="D975" s="922"/>
      <c r="E975" s="922"/>
      <c r="F975" s="924"/>
      <c r="G975" s="924"/>
      <c r="H975" s="924"/>
      <c r="I975" s="933"/>
      <c r="J975" s="933"/>
    </row>
    <row r="976" ht="22.5" customHeight="1">
      <c r="A976" s="913"/>
      <c r="B976" s="913"/>
      <c r="C976" s="1240"/>
      <c r="D976" s="922"/>
      <c r="E976" s="922"/>
      <c r="F976" s="924"/>
      <c r="G976" s="924"/>
      <c r="H976" s="924"/>
      <c r="I976" s="933"/>
      <c r="J976" s="933"/>
    </row>
    <row r="977" ht="22.5" customHeight="1">
      <c r="A977" s="913"/>
      <c r="B977" s="913"/>
      <c r="C977" s="1240"/>
      <c r="D977" s="922"/>
      <c r="E977" s="922"/>
      <c r="F977" s="924"/>
      <c r="G977" s="924"/>
      <c r="H977" s="924"/>
      <c r="I977" s="933"/>
      <c r="J977" s="933"/>
    </row>
    <row r="978" ht="22.5" customHeight="1">
      <c r="A978" s="913"/>
      <c r="B978" s="913"/>
      <c r="C978" s="1240"/>
      <c r="D978" s="922"/>
      <c r="E978" s="922"/>
      <c r="F978" s="924"/>
      <c r="G978" s="924"/>
      <c r="H978" s="924"/>
      <c r="I978" s="933"/>
      <c r="J978" s="933"/>
    </row>
    <row r="979" ht="22.5" customHeight="1">
      <c r="A979" s="913"/>
      <c r="B979" s="913"/>
      <c r="C979" s="1240"/>
      <c r="D979" s="922"/>
      <c r="E979" s="922"/>
      <c r="F979" s="924"/>
      <c r="G979" s="924"/>
      <c r="H979" s="924"/>
      <c r="I979" s="933"/>
      <c r="J979" s="933"/>
    </row>
    <row r="980" ht="22.5" customHeight="1">
      <c r="A980" s="913"/>
      <c r="B980" s="913"/>
      <c r="C980" s="1240"/>
      <c r="D980" s="922"/>
      <c r="E980" s="922"/>
      <c r="F980" s="924"/>
      <c r="G980" s="924"/>
      <c r="H980" s="924"/>
      <c r="I980" s="933"/>
      <c r="J980" s="933"/>
    </row>
    <row r="981" ht="22.5" customHeight="1">
      <c r="A981" s="913"/>
      <c r="B981" s="913"/>
      <c r="C981" s="1240"/>
      <c r="D981" s="922"/>
      <c r="E981" s="922"/>
      <c r="F981" s="924"/>
      <c r="G981" s="924"/>
      <c r="H981" s="924"/>
      <c r="I981" s="933"/>
      <c r="J981" s="933"/>
    </row>
    <row r="982" ht="22.5" customHeight="1">
      <c r="A982" s="913"/>
      <c r="B982" s="913"/>
      <c r="C982" s="1240"/>
      <c r="D982" s="922"/>
      <c r="E982" s="922"/>
      <c r="F982" s="924"/>
      <c r="G982" s="924"/>
      <c r="H982" s="924"/>
      <c r="I982" s="933"/>
      <c r="J982" s="933"/>
    </row>
    <row r="983" ht="22.5" customHeight="1">
      <c r="A983" s="913"/>
      <c r="B983" s="913"/>
      <c r="C983" s="1240"/>
      <c r="D983" s="922"/>
      <c r="E983" s="922"/>
      <c r="F983" s="924"/>
      <c r="G983" s="924"/>
      <c r="H983" s="924"/>
      <c r="I983" s="933"/>
      <c r="J983" s="933"/>
    </row>
    <row r="984" ht="22.5" customHeight="1">
      <c r="A984" s="913"/>
      <c r="B984" s="913"/>
      <c r="C984" s="1240"/>
      <c r="D984" s="922"/>
      <c r="E984" s="922"/>
      <c r="F984" s="924"/>
      <c r="G984" s="924"/>
      <c r="H984" s="924"/>
      <c r="I984" s="933"/>
      <c r="J984" s="933"/>
    </row>
    <row r="985" ht="22.5" customHeight="1">
      <c r="A985" s="913"/>
      <c r="B985" s="913"/>
      <c r="C985" s="1240"/>
      <c r="D985" s="922"/>
      <c r="E985" s="922"/>
      <c r="F985" s="924"/>
      <c r="G985" s="924"/>
      <c r="H985" s="924"/>
      <c r="I985" s="933"/>
      <c r="J985" s="933"/>
    </row>
    <row r="986" ht="22.5" customHeight="1">
      <c r="A986" s="913"/>
      <c r="B986" s="913"/>
      <c r="C986" s="1240"/>
      <c r="D986" s="922"/>
      <c r="E986" s="922"/>
      <c r="F986" s="924"/>
      <c r="G986" s="924"/>
      <c r="H986" s="924"/>
      <c r="I986" s="933"/>
      <c r="J986" s="933"/>
    </row>
    <row r="987" ht="22.5" customHeight="1">
      <c r="A987" s="913"/>
      <c r="B987" s="913"/>
      <c r="C987" s="1240"/>
      <c r="D987" s="922"/>
      <c r="E987" s="922"/>
      <c r="F987" s="924"/>
      <c r="G987" s="924"/>
      <c r="H987" s="924"/>
      <c r="I987" s="933"/>
      <c r="J987" s="933"/>
    </row>
    <row r="988" ht="22.5" customHeight="1">
      <c r="A988" s="913"/>
      <c r="B988" s="913"/>
      <c r="C988" s="1240"/>
      <c r="D988" s="922"/>
      <c r="E988" s="922"/>
      <c r="F988" s="924"/>
      <c r="G988" s="924"/>
      <c r="H988" s="924"/>
      <c r="I988" s="933"/>
      <c r="J988" s="933"/>
    </row>
    <row r="989" ht="22.5" customHeight="1">
      <c r="A989" s="913"/>
      <c r="B989" s="913"/>
      <c r="C989" s="1240"/>
      <c r="D989" s="922"/>
      <c r="E989" s="922"/>
      <c r="F989" s="924"/>
      <c r="G989" s="924"/>
      <c r="H989" s="924"/>
      <c r="I989" s="933"/>
      <c r="J989" s="933"/>
    </row>
    <row r="990" ht="22.5" customHeight="1">
      <c r="A990" s="913"/>
      <c r="B990" s="913"/>
      <c r="C990" s="1240"/>
      <c r="D990" s="922"/>
      <c r="E990" s="922"/>
      <c r="F990" s="924"/>
      <c r="G990" s="924"/>
      <c r="H990" s="924"/>
      <c r="I990" s="933"/>
      <c r="J990" s="933"/>
    </row>
    <row r="991" ht="22.5" customHeight="1">
      <c r="A991" s="913"/>
      <c r="B991" s="913"/>
      <c r="C991" s="1240"/>
      <c r="D991" s="922"/>
      <c r="E991" s="922"/>
      <c r="F991" s="924"/>
      <c r="G991" s="924"/>
      <c r="H991" s="924"/>
      <c r="I991" s="933"/>
      <c r="J991" s="933"/>
    </row>
    <row r="992" ht="22.5" customHeight="1">
      <c r="A992" s="913"/>
      <c r="B992" s="913"/>
      <c r="C992" s="1240"/>
      <c r="D992" s="922"/>
      <c r="E992" s="922"/>
      <c r="F992" s="924"/>
      <c r="G992" s="924"/>
      <c r="H992" s="924"/>
      <c r="I992" s="933"/>
      <c r="J992" s="933"/>
    </row>
    <row r="993" ht="22.5" customHeight="1">
      <c r="A993" s="913"/>
      <c r="B993" s="913"/>
      <c r="C993" s="1240"/>
      <c r="D993" s="922"/>
      <c r="E993" s="922"/>
      <c r="F993" s="924"/>
      <c r="G993" s="924"/>
      <c r="H993" s="924"/>
      <c r="I993" s="933"/>
      <c r="J993" s="933"/>
    </row>
    <row r="994" ht="22.5" customHeight="1">
      <c r="A994" s="913"/>
      <c r="B994" s="913"/>
      <c r="C994" s="1240"/>
      <c r="D994" s="922"/>
      <c r="E994" s="922"/>
      <c r="F994" s="924"/>
      <c r="G994" s="924"/>
      <c r="H994" s="924"/>
      <c r="I994" s="933"/>
      <c r="J994" s="933"/>
    </row>
    <row r="995" ht="22.5" customHeight="1">
      <c r="A995" s="913"/>
      <c r="B995" s="913"/>
      <c r="C995" s="1240"/>
      <c r="D995" s="922"/>
      <c r="E995" s="922"/>
      <c r="F995" s="924"/>
      <c r="G995" s="924"/>
      <c r="H995" s="924"/>
      <c r="I995" s="933"/>
      <c r="J995" s="933"/>
    </row>
    <row r="996" ht="22.5" customHeight="1">
      <c r="A996" s="913"/>
      <c r="B996" s="913"/>
      <c r="C996" s="1240"/>
      <c r="D996" s="922"/>
      <c r="E996" s="922"/>
      <c r="F996" s="924"/>
      <c r="G996" s="924"/>
      <c r="H996" s="924"/>
      <c r="I996" s="933"/>
      <c r="J996" s="933"/>
    </row>
    <row r="997" ht="22.5" customHeight="1">
      <c r="A997" s="913"/>
      <c r="B997" s="913"/>
      <c r="C997" s="1240"/>
      <c r="D997" s="922"/>
      <c r="E997" s="922"/>
      <c r="F997" s="924"/>
      <c r="G997" s="924"/>
      <c r="H997" s="924"/>
      <c r="I997" s="933"/>
      <c r="J997" s="933"/>
    </row>
    <row r="998" ht="22.5" customHeight="1">
      <c r="A998" s="913"/>
      <c r="B998" s="913"/>
      <c r="C998" s="1240"/>
      <c r="D998" s="922"/>
      <c r="E998" s="922"/>
      <c r="F998" s="924"/>
      <c r="G998" s="924"/>
      <c r="H998" s="924"/>
      <c r="I998" s="933"/>
      <c r="J998" s="933"/>
    </row>
    <row r="999" ht="22.5" customHeight="1">
      <c r="A999" s="913"/>
      <c r="B999" s="913"/>
      <c r="C999" s="1240"/>
      <c r="D999" s="922"/>
      <c r="E999" s="922"/>
      <c r="F999" s="924"/>
      <c r="G999" s="924"/>
      <c r="H999" s="924"/>
      <c r="I999" s="933"/>
      <c r="J999" s="933"/>
    </row>
    <row r="1000" ht="22.5" customHeight="1">
      <c r="A1000" s="913"/>
      <c r="B1000" s="913"/>
      <c r="C1000" s="1240"/>
      <c r="D1000" s="922"/>
      <c r="E1000" s="922"/>
      <c r="F1000" s="924"/>
      <c r="G1000" s="924"/>
      <c r="H1000" s="924"/>
      <c r="I1000" s="933"/>
      <c r="J1000" s="933"/>
    </row>
    <row r="1001" ht="22.5" customHeight="1">
      <c r="A1001" s="913"/>
      <c r="B1001" s="913"/>
      <c r="C1001" s="1240"/>
      <c r="D1001" s="922"/>
      <c r="E1001" s="922"/>
      <c r="F1001" s="924"/>
      <c r="G1001" s="924"/>
      <c r="H1001" s="924"/>
      <c r="I1001" s="933"/>
      <c r="J1001" s="933"/>
    </row>
    <row r="1002" ht="22.5" customHeight="1">
      <c r="A1002" s="913"/>
      <c r="B1002" s="913"/>
      <c r="C1002" s="1240"/>
      <c r="D1002" s="922"/>
      <c r="E1002" s="922"/>
      <c r="F1002" s="924"/>
      <c r="G1002" s="924"/>
      <c r="H1002" s="924"/>
      <c r="I1002" s="933"/>
      <c r="J1002" s="933"/>
    </row>
    <row r="1003" ht="22.5" customHeight="1">
      <c r="A1003" s="913"/>
      <c r="B1003" s="913"/>
      <c r="C1003" s="1240"/>
      <c r="D1003" s="922"/>
      <c r="E1003" s="922"/>
      <c r="F1003" s="924"/>
      <c r="G1003" s="924"/>
      <c r="H1003" s="924"/>
      <c r="I1003" s="933"/>
      <c r="J1003" s="933"/>
    </row>
    <row r="1004" ht="22.5" customHeight="1">
      <c r="A1004" s="913"/>
      <c r="B1004" s="913"/>
      <c r="C1004" s="1240"/>
      <c r="D1004" s="922"/>
      <c r="E1004" s="922"/>
      <c r="F1004" s="924"/>
      <c r="G1004" s="924"/>
      <c r="H1004" s="924"/>
      <c r="I1004" s="933"/>
      <c r="J1004" s="933"/>
    </row>
    <row r="1005" ht="22.5" customHeight="1">
      <c r="A1005" s="913"/>
      <c r="B1005" s="913"/>
      <c r="C1005" s="1240"/>
      <c r="D1005" s="922"/>
      <c r="E1005" s="922"/>
      <c r="F1005" s="924"/>
      <c r="G1005" s="924"/>
      <c r="H1005" s="924"/>
      <c r="I1005" s="933"/>
      <c r="J1005" s="933"/>
    </row>
    <row r="1006" ht="22.5" customHeight="1">
      <c r="A1006" s="913"/>
      <c r="B1006" s="913"/>
      <c r="C1006" s="1240"/>
      <c r="D1006" s="922"/>
      <c r="E1006" s="922"/>
      <c r="F1006" s="924"/>
      <c r="G1006" s="924"/>
      <c r="H1006" s="924"/>
      <c r="I1006" s="933"/>
      <c r="J1006" s="933"/>
    </row>
    <row r="1007" ht="22.5" customHeight="1">
      <c r="A1007" s="913"/>
      <c r="B1007" s="913"/>
      <c r="C1007" s="1240"/>
      <c r="D1007" s="922"/>
      <c r="E1007" s="922"/>
      <c r="F1007" s="924"/>
      <c r="G1007" s="924"/>
      <c r="H1007" s="924"/>
      <c r="I1007" s="933"/>
      <c r="J1007" s="933"/>
    </row>
    <row r="1008" ht="22.5" customHeight="1">
      <c r="A1008" s="913"/>
      <c r="B1008" s="913"/>
      <c r="C1008" s="1240"/>
      <c r="D1008" s="922"/>
      <c r="E1008" s="922"/>
      <c r="F1008" s="924"/>
      <c r="G1008" s="924"/>
      <c r="H1008" s="924"/>
      <c r="I1008" s="933"/>
      <c r="J1008" s="933"/>
    </row>
    <row r="1009" ht="22.5" customHeight="1">
      <c r="A1009" s="913"/>
      <c r="B1009" s="913"/>
      <c r="C1009" s="1240"/>
      <c r="D1009" s="922"/>
      <c r="E1009" s="922"/>
      <c r="F1009" s="924"/>
      <c r="G1009" s="924"/>
      <c r="H1009" s="924"/>
      <c r="I1009" s="933"/>
      <c r="J1009" s="933"/>
    </row>
    <row r="1010" ht="22.5" customHeight="1">
      <c r="A1010" s="913"/>
      <c r="B1010" s="913"/>
      <c r="C1010" s="1240"/>
      <c r="D1010" s="922"/>
      <c r="E1010" s="922"/>
      <c r="F1010" s="924"/>
      <c r="G1010" s="924"/>
      <c r="H1010" s="924"/>
      <c r="I1010" s="933"/>
      <c r="J1010" s="933"/>
    </row>
    <row r="1011" ht="22.5" customHeight="1">
      <c r="A1011" s="913"/>
      <c r="B1011" s="913"/>
      <c r="C1011" s="1240"/>
      <c r="D1011" s="922"/>
      <c r="E1011" s="922"/>
      <c r="F1011" s="924"/>
      <c r="G1011" s="924"/>
      <c r="H1011" s="924"/>
      <c r="I1011" s="933"/>
      <c r="J1011" s="933"/>
    </row>
    <row r="1012" ht="22.5" customHeight="1">
      <c r="A1012" s="913"/>
      <c r="B1012" s="913"/>
      <c r="C1012" s="1240"/>
      <c r="D1012" s="922"/>
      <c r="E1012" s="922"/>
      <c r="F1012" s="924"/>
      <c r="G1012" s="924"/>
      <c r="H1012" s="924"/>
      <c r="I1012" s="933"/>
      <c r="J1012" s="933"/>
    </row>
    <row r="1013" ht="22.5" customHeight="1">
      <c r="A1013" s="913"/>
      <c r="B1013" s="913"/>
      <c r="C1013" s="1240"/>
      <c r="D1013" s="922"/>
      <c r="E1013" s="922"/>
      <c r="F1013" s="924"/>
      <c r="G1013" s="924"/>
      <c r="H1013" s="924"/>
      <c r="I1013" s="933"/>
      <c r="J1013" s="933"/>
    </row>
    <row r="1014" ht="22.5" customHeight="1">
      <c r="A1014" s="913"/>
      <c r="B1014" s="913"/>
      <c r="C1014" s="1240"/>
      <c r="D1014" s="922"/>
      <c r="E1014" s="922"/>
      <c r="F1014" s="924"/>
      <c r="G1014" s="924"/>
      <c r="H1014" s="924"/>
      <c r="I1014" s="933"/>
      <c r="J1014" s="933"/>
    </row>
    <row r="1015" ht="22.5" customHeight="1">
      <c r="A1015" s="913"/>
      <c r="B1015" s="913"/>
      <c r="C1015" s="1240"/>
      <c r="D1015" s="922"/>
      <c r="E1015" s="922"/>
      <c r="F1015" s="924"/>
      <c r="G1015" s="924"/>
      <c r="H1015" s="924"/>
      <c r="I1015" s="933"/>
      <c r="J1015" s="933"/>
    </row>
    <row r="1016" ht="22.5" customHeight="1">
      <c r="A1016" s="913"/>
      <c r="B1016" s="913"/>
      <c r="C1016" s="1240"/>
      <c r="D1016" s="922"/>
      <c r="E1016" s="922"/>
      <c r="F1016" s="924"/>
      <c r="G1016" s="924"/>
      <c r="H1016" s="924"/>
      <c r="I1016" s="933"/>
      <c r="J1016" s="933"/>
    </row>
    <row r="1017" ht="22.5" customHeight="1">
      <c r="A1017" s="913"/>
      <c r="B1017" s="913"/>
      <c r="C1017" s="1240"/>
      <c r="D1017" s="922"/>
      <c r="E1017" s="922"/>
      <c r="F1017" s="924"/>
      <c r="G1017" s="924"/>
      <c r="H1017" s="924"/>
      <c r="I1017" s="933"/>
      <c r="J1017" s="933"/>
    </row>
    <row r="1018" ht="22.5" customHeight="1">
      <c r="A1018" s="913"/>
      <c r="B1018" s="913"/>
      <c r="C1018" s="1240"/>
      <c r="D1018" s="922"/>
      <c r="E1018" s="922"/>
      <c r="F1018" s="924"/>
      <c r="G1018" s="924"/>
      <c r="H1018" s="924"/>
      <c r="I1018" s="933"/>
      <c r="J1018" s="933"/>
    </row>
    <row r="1019" ht="22.5" customHeight="1">
      <c r="A1019" s="913"/>
      <c r="B1019" s="913"/>
      <c r="C1019" s="1240"/>
      <c r="D1019" s="922"/>
      <c r="E1019" s="922"/>
      <c r="F1019" s="924"/>
      <c r="G1019" s="924"/>
      <c r="H1019" s="924"/>
      <c r="I1019" s="933"/>
      <c r="J1019" s="933"/>
    </row>
    <row r="1020" ht="22.5" customHeight="1">
      <c r="A1020" s="913"/>
      <c r="B1020" s="913"/>
      <c r="C1020" s="1240"/>
      <c r="D1020" s="922"/>
      <c r="E1020" s="922"/>
      <c r="F1020" s="924"/>
      <c r="G1020" s="924"/>
      <c r="H1020" s="924"/>
      <c r="I1020" s="933"/>
      <c r="J1020" s="933"/>
    </row>
    <row r="1021" ht="22.5" customHeight="1">
      <c r="A1021" s="913"/>
      <c r="B1021" s="913"/>
      <c r="C1021" s="1240"/>
      <c r="D1021" s="922"/>
      <c r="E1021" s="922"/>
      <c r="F1021" s="924"/>
      <c r="G1021" s="924"/>
      <c r="H1021" s="924"/>
      <c r="I1021" s="933"/>
      <c r="J1021" s="933"/>
    </row>
    <row r="1022" ht="22.5" customHeight="1">
      <c r="A1022" s="913"/>
      <c r="B1022" s="913"/>
      <c r="C1022" s="1240"/>
      <c r="D1022" s="922"/>
      <c r="E1022" s="922"/>
      <c r="F1022" s="924"/>
      <c r="G1022" s="924"/>
      <c r="H1022" s="924"/>
      <c r="I1022" s="933"/>
      <c r="J1022" s="933"/>
    </row>
    <row r="1023" ht="22.5" customHeight="1">
      <c r="A1023" s="913"/>
      <c r="B1023" s="913"/>
      <c r="C1023" s="1240"/>
      <c r="D1023" s="922"/>
      <c r="E1023" s="922"/>
      <c r="F1023" s="924"/>
      <c r="G1023" s="924"/>
      <c r="H1023" s="924"/>
      <c r="I1023" s="933"/>
      <c r="J1023" s="933"/>
    </row>
    <row r="1024" ht="22.5" customHeight="1">
      <c r="A1024" s="913"/>
      <c r="B1024" s="913"/>
      <c r="C1024" s="1240"/>
      <c r="D1024" s="922"/>
      <c r="E1024" s="922"/>
      <c r="F1024" s="924"/>
      <c r="G1024" s="924"/>
      <c r="H1024" s="924"/>
      <c r="I1024" s="933"/>
      <c r="J1024" s="933"/>
    </row>
    <row r="1025" ht="22.5" customHeight="1">
      <c r="A1025" s="913"/>
      <c r="B1025" s="913"/>
      <c r="C1025" s="1240"/>
      <c r="D1025" s="922"/>
      <c r="E1025" s="922"/>
      <c r="F1025" s="924"/>
      <c r="G1025" s="924"/>
      <c r="H1025" s="924"/>
      <c r="I1025" s="933"/>
      <c r="J1025" s="933"/>
    </row>
    <row r="1026" ht="22.5" customHeight="1">
      <c r="A1026" s="913"/>
      <c r="B1026" s="913"/>
      <c r="C1026" s="1240"/>
      <c r="D1026" s="922"/>
      <c r="E1026" s="922"/>
      <c r="F1026" s="924"/>
      <c r="G1026" s="924"/>
      <c r="H1026" s="924"/>
      <c r="I1026" s="933"/>
      <c r="J1026" s="933"/>
    </row>
    <row r="1027" ht="22.5" customHeight="1">
      <c r="A1027" s="913"/>
      <c r="B1027" s="913"/>
      <c r="C1027" s="1240"/>
      <c r="D1027" s="922"/>
      <c r="E1027" s="922"/>
      <c r="F1027" s="924"/>
      <c r="G1027" s="924"/>
      <c r="H1027" s="924"/>
      <c r="I1027" s="933"/>
      <c r="J1027" s="933"/>
    </row>
    <row r="1028" ht="22.5" customHeight="1">
      <c r="A1028" s="913"/>
      <c r="B1028" s="913"/>
      <c r="C1028" s="1240"/>
      <c r="D1028" s="922"/>
      <c r="E1028" s="922"/>
      <c r="F1028" s="924"/>
      <c r="G1028" s="924"/>
      <c r="H1028" s="924"/>
      <c r="I1028" s="933"/>
      <c r="J1028" s="933"/>
    </row>
    <row r="1029" ht="22.5" customHeight="1">
      <c r="A1029" s="913"/>
      <c r="B1029" s="913"/>
      <c r="C1029" s="1240"/>
      <c r="D1029" s="922"/>
      <c r="E1029" s="922"/>
      <c r="F1029" s="924"/>
      <c r="G1029" s="924"/>
      <c r="H1029" s="924"/>
      <c r="I1029" s="933"/>
      <c r="J1029" s="933"/>
    </row>
    <row r="1030" ht="22.5" customHeight="1">
      <c r="A1030" s="913"/>
      <c r="B1030" s="913"/>
      <c r="C1030" s="1240"/>
      <c r="D1030" s="922"/>
      <c r="E1030" s="922"/>
      <c r="F1030" s="924"/>
      <c r="G1030" s="924"/>
      <c r="H1030" s="924"/>
      <c r="I1030" s="933"/>
      <c r="J1030" s="933"/>
    </row>
    <row r="1031" ht="22.5" customHeight="1">
      <c r="A1031" s="913"/>
      <c r="B1031" s="913"/>
      <c r="C1031" s="1240"/>
      <c r="D1031" s="922"/>
      <c r="E1031" s="922"/>
      <c r="F1031" s="924"/>
      <c r="G1031" s="924"/>
      <c r="H1031" s="924"/>
      <c r="I1031" s="933"/>
      <c r="J1031" s="933"/>
    </row>
    <row r="1032" ht="22.5" customHeight="1">
      <c r="A1032" s="913"/>
      <c r="B1032" s="913"/>
      <c r="C1032" s="1240"/>
      <c r="D1032" s="922"/>
      <c r="E1032" s="922"/>
      <c r="F1032" s="924"/>
      <c r="G1032" s="924"/>
      <c r="H1032" s="924"/>
      <c r="I1032" s="933"/>
      <c r="J1032" s="933"/>
    </row>
    <row r="1033" ht="22.5" customHeight="1">
      <c r="A1033" s="913"/>
      <c r="B1033" s="913"/>
      <c r="C1033" s="1240"/>
      <c r="D1033" s="922"/>
      <c r="E1033" s="922"/>
      <c r="F1033" s="924"/>
      <c r="G1033" s="924"/>
      <c r="H1033" s="924"/>
      <c r="I1033" s="933"/>
      <c r="J1033" s="933"/>
    </row>
    <row r="1034" ht="22.5" customHeight="1">
      <c r="A1034" s="913"/>
      <c r="B1034" s="913"/>
      <c r="C1034" s="1240"/>
      <c r="D1034" s="922"/>
      <c r="E1034" s="922"/>
      <c r="F1034" s="924"/>
      <c r="G1034" s="924"/>
      <c r="H1034" s="924"/>
      <c r="I1034" s="933"/>
      <c r="J1034" s="933"/>
    </row>
    <row r="1035" ht="22.5" customHeight="1">
      <c r="A1035" s="913"/>
      <c r="B1035" s="913"/>
      <c r="C1035" s="1240"/>
      <c r="D1035" s="922"/>
      <c r="E1035" s="922"/>
      <c r="F1035" s="924"/>
      <c r="G1035" s="924"/>
      <c r="H1035" s="924"/>
      <c r="I1035" s="933"/>
      <c r="J1035" s="933"/>
    </row>
    <row r="1036" ht="22.5" customHeight="1">
      <c r="A1036" s="913"/>
      <c r="B1036" s="913"/>
      <c r="C1036" s="1240"/>
      <c r="D1036" s="922"/>
      <c r="E1036" s="922"/>
      <c r="F1036" s="924"/>
      <c r="G1036" s="924"/>
      <c r="H1036" s="924"/>
      <c r="I1036" s="933"/>
      <c r="J1036" s="933"/>
    </row>
    <row r="1037" ht="22.5" customHeight="1">
      <c r="A1037" s="913"/>
      <c r="B1037" s="913"/>
      <c r="C1037" s="1240"/>
      <c r="D1037" s="922"/>
      <c r="E1037" s="922"/>
      <c r="F1037" s="924"/>
      <c r="G1037" s="924"/>
      <c r="H1037" s="924"/>
      <c r="I1037" s="933"/>
      <c r="J1037" s="933"/>
    </row>
    <row r="1038" ht="22.5" customHeight="1">
      <c r="A1038" s="913"/>
      <c r="B1038" s="913"/>
      <c r="C1038" s="1240"/>
      <c r="D1038" s="922"/>
      <c r="E1038" s="922"/>
      <c r="F1038" s="924"/>
      <c r="G1038" s="924"/>
      <c r="H1038" s="924"/>
      <c r="I1038" s="933"/>
      <c r="J1038" s="933"/>
    </row>
    <row r="1039" ht="22.5" customHeight="1">
      <c r="A1039" s="913"/>
      <c r="B1039" s="913"/>
      <c r="C1039" s="1240"/>
      <c r="D1039" s="922"/>
      <c r="E1039" s="922"/>
      <c r="F1039" s="924"/>
      <c r="G1039" s="924"/>
      <c r="H1039" s="924"/>
      <c r="I1039" s="933"/>
      <c r="J1039" s="933"/>
    </row>
    <row r="1040" ht="22.5" customHeight="1">
      <c r="A1040" s="913"/>
      <c r="B1040" s="913"/>
      <c r="C1040" s="1240"/>
      <c r="D1040" s="922"/>
      <c r="E1040" s="922"/>
      <c r="F1040" s="924"/>
      <c r="G1040" s="924"/>
      <c r="H1040" s="924"/>
      <c r="I1040" s="933"/>
      <c r="J1040" s="933"/>
    </row>
    <row r="1041" ht="22.5" customHeight="1">
      <c r="A1041" s="913"/>
      <c r="B1041" s="913"/>
      <c r="C1041" s="1240"/>
      <c r="D1041" s="922"/>
      <c r="E1041" s="922"/>
      <c r="F1041" s="924"/>
      <c r="G1041" s="924"/>
      <c r="H1041" s="924"/>
      <c r="I1041" s="933"/>
      <c r="J1041" s="933"/>
    </row>
    <row r="1042" ht="22.5" customHeight="1">
      <c r="A1042" s="913"/>
      <c r="B1042" s="913"/>
      <c r="C1042" s="1240"/>
      <c r="D1042" s="922"/>
      <c r="E1042" s="922"/>
      <c r="F1042" s="924"/>
      <c r="G1042" s="924"/>
      <c r="H1042" s="924"/>
      <c r="I1042" s="933"/>
      <c r="J1042" s="933"/>
    </row>
    <row r="1043" ht="22.5" customHeight="1">
      <c r="A1043" s="913"/>
      <c r="B1043" s="913"/>
      <c r="C1043" s="1240"/>
      <c r="D1043" s="922"/>
      <c r="E1043" s="922"/>
      <c r="F1043" s="924"/>
      <c r="G1043" s="924"/>
      <c r="H1043" s="924"/>
      <c r="I1043" s="933"/>
      <c r="J1043" s="933"/>
    </row>
    <row r="1044" ht="22.5" customHeight="1">
      <c r="A1044" s="913"/>
      <c r="B1044" s="913"/>
      <c r="C1044" s="1240"/>
      <c r="D1044" s="922"/>
      <c r="E1044" s="922"/>
      <c r="F1044" s="924"/>
      <c r="G1044" s="924"/>
      <c r="H1044" s="924"/>
      <c r="I1044" s="933"/>
      <c r="J1044" s="933"/>
    </row>
    <row r="1045" ht="22.5" customHeight="1">
      <c r="A1045" s="913"/>
      <c r="B1045" s="913"/>
      <c r="C1045" s="1240"/>
      <c r="D1045" s="922"/>
      <c r="E1045" s="922"/>
      <c r="F1045" s="924"/>
      <c r="G1045" s="924"/>
      <c r="H1045" s="924"/>
      <c r="I1045" s="933"/>
      <c r="J1045" s="933"/>
    </row>
    <row r="1046" ht="22.5" customHeight="1">
      <c r="A1046" s="913"/>
      <c r="B1046" s="913"/>
      <c r="C1046" s="1240"/>
      <c r="D1046" s="922"/>
      <c r="E1046" s="922"/>
      <c r="F1046" s="924"/>
      <c r="G1046" s="924"/>
      <c r="H1046" s="924"/>
      <c r="I1046" s="933"/>
      <c r="J1046" s="933"/>
    </row>
    <row r="1047" ht="22.5" customHeight="1">
      <c r="A1047" s="913"/>
      <c r="B1047" s="913"/>
      <c r="C1047" s="1240"/>
      <c r="D1047" s="922"/>
      <c r="E1047" s="922"/>
      <c r="F1047" s="924"/>
      <c r="G1047" s="924"/>
      <c r="H1047" s="924"/>
      <c r="I1047" s="933"/>
      <c r="J1047" s="933"/>
    </row>
    <row r="1048" ht="22.5" customHeight="1">
      <c r="A1048" s="913"/>
      <c r="B1048" s="913"/>
      <c r="C1048" s="1240"/>
      <c r="D1048" s="922"/>
      <c r="E1048" s="922"/>
      <c r="F1048" s="924"/>
      <c r="G1048" s="924"/>
      <c r="H1048" s="924"/>
      <c r="I1048" s="933"/>
      <c r="J1048" s="933"/>
    </row>
    <row r="1049" ht="22.5" customHeight="1">
      <c r="A1049" s="913"/>
      <c r="B1049" s="913"/>
      <c r="C1049" s="1240"/>
      <c r="D1049" s="922"/>
      <c r="E1049" s="922"/>
      <c r="F1049" s="924"/>
      <c r="G1049" s="924"/>
      <c r="H1049" s="924"/>
      <c r="I1049" s="933"/>
      <c r="J1049" s="933"/>
    </row>
    <row r="1050" ht="22.5" customHeight="1">
      <c r="A1050" s="913"/>
      <c r="B1050" s="913"/>
      <c r="C1050" s="1240"/>
      <c r="D1050" s="922"/>
      <c r="E1050" s="922"/>
      <c r="F1050" s="924"/>
      <c r="G1050" s="924"/>
      <c r="H1050" s="924"/>
      <c r="I1050" s="933"/>
      <c r="J1050" s="933"/>
    </row>
  </sheetData>
  <conditionalFormatting sqref="C815:E815">
    <cfRule type="expression" dxfId="0" priority="1">
      <formula>#REF!=TRUE</formula>
    </cfRule>
  </conditionalFormatting>
  <conditionalFormatting sqref="A506:A513 B506:J506">
    <cfRule type="expression" dxfId="0" priority="2">
      <formula>$B506=TRUE</formula>
    </cfRule>
  </conditionalFormatting>
  <conditionalFormatting sqref="A459:J459">
    <cfRule type="expression" dxfId="0" priority="3">
      <formula>$B459=TRUE</formula>
    </cfRule>
  </conditionalFormatting>
  <conditionalFormatting sqref="A3:J458 A460:J505 A507:B1050 C507:E814 F507:J1050 C816:E843 C845:E1050">
    <cfRule type="expression" dxfId="0" priority="4">
      <formula>$B3=TRUE</formula>
    </cfRule>
  </conditionalFormatting>
  <hyperlinks>
    <hyperlink r:id="rId1" ref="F3"/>
    <hyperlink r:id="rId2" ref="E4"/>
    <hyperlink r:id="rId3" ref="F5"/>
    <hyperlink r:id="rId4" ref="F95"/>
    <hyperlink r:id="rId5" ref="F127"/>
    <hyperlink r:id="rId6" ref="F128"/>
    <hyperlink r:id="rId7" ref="F130"/>
    <hyperlink r:id="rId8" ref="F131"/>
    <hyperlink r:id="rId9" ref="F134"/>
    <hyperlink r:id="rId10" ref="F135"/>
    <hyperlink r:id="rId11" ref="F138"/>
    <hyperlink r:id="rId12" ref="F139"/>
    <hyperlink r:id="rId13" ref="F140"/>
    <hyperlink r:id="rId14" ref="F142"/>
    <hyperlink r:id="rId15" ref="F144"/>
    <hyperlink r:id="rId16" ref="F145"/>
    <hyperlink r:id="rId17" ref="F146"/>
    <hyperlink r:id="rId18" ref="F147"/>
    <hyperlink r:id="rId19" ref="F149"/>
    <hyperlink r:id="rId20" ref="F151"/>
    <hyperlink r:id="rId21" ref="F152"/>
    <hyperlink r:id="rId22" ref="F153"/>
    <hyperlink r:id="rId23" ref="F154"/>
    <hyperlink r:id="rId24" ref="F155"/>
    <hyperlink r:id="rId25" ref="F156"/>
    <hyperlink r:id="rId26" ref="F157"/>
    <hyperlink r:id="rId27" ref="F158"/>
    <hyperlink r:id="rId28" ref="F159"/>
    <hyperlink r:id="rId29" ref="F160"/>
    <hyperlink r:id="rId30" ref="F161"/>
    <hyperlink r:id="rId31" ref="F162"/>
    <hyperlink r:id="rId32" ref="F163"/>
    <hyperlink r:id="rId33" ref="F164"/>
    <hyperlink r:id="rId34" ref="F165"/>
    <hyperlink r:id="rId35" ref="F166"/>
    <hyperlink r:id="rId36" ref="F167"/>
    <hyperlink r:id="rId37" ref="F169"/>
    <hyperlink r:id="rId38" ref="F170"/>
    <hyperlink r:id="rId39" ref="F171"/>
    <hyperlink r:id="rId40" ref="F172"/>
    <hyperlink r:id="rId41" ref="F173"/>
    <hyperlink r:id="rId42" ref="F174"/>
    <hyperlink r:id="rId43" ref="C251"/>
    <hyperlink r:id="rId44" ref="C260"/>
    <hyperlink r:id="rId45" ref="F262"/>
    <hyperlink r:id="rId46" ref="F419"/>
    <hyperlink r:id="rId47" ref="C438"/>
    <hyperlink r:id="rId48" ref="C458"/>
    <hyperlink r:id="rId49" ref="F490"/>
    <hyperlink r:id="rId50" ref="F492"/>
    <hyperlink r:id="rId51" ref="F501"/>
    <hyperlink r:id="rId52" ref="F502"/>
    <hyperlink r:id="rId53" ref="F505"/>
    <hyperlink r:id="rId54" ref="F508"/>
    <hyperlink r:id="rId55" ref="F510"/>
    <hyperlink r:id="rId56" ref="E523"/>
    <hyperlink r:id="rId57" ref="F523"/>
    <hyperlink r:id="rId58" ref="F534"/>
    <hyperlink r:id="rId59" ref="E535"/>
    <hyperlink r:id="rId60" ref="F539"/>
    <hyperlink r:id="rId61" ref="F544"/>
    <hyperlink r:id="rId62" ref="F548"/>
    <hyperlink r:id="rId63" ref="F549"/>
    <hyperlink r:id="rId64" ref="F551"/>
    <hyperlink r:id="rId65" ref="F555"/>
    <hyperlink r:id="rId66" ref="F564"/>
    <hyperlink r:id="rId67" ref="F567"/>
    <hyperlink r:id="rId68" ref="F578"/>
    <hyperlink r:id="rId69" ref="C581"/>
    <hyperlink r:id="rId70" ref="F586"/>
    <hyperlink r:id="rId71" ref="F590"/>
    <hyperlink r:id="rId72" ref="F591"/>
    <hyperlink r:id="rId73" ref="F597"/>
    <hyperlink r:id="rId74" ref="F598"/>
    <hyperlink r:id="rId75" ref="F609"/>
    <hyperlink r:id="rId76" ref="F618"/>
    <hyperlink r:id="rId77" ref="F654"/>
    <hyperlink r:id="rId78" ref="F657"/>
    <hyperlink r:id="rId79" ref="F660"/>
    <hyperlink r:id="rId80" ref="F661"/>
    <hyperlink r:id="rId81" ref="F739"/>
    <hyperlink r:id="rId82" ref="G743"/>
    <hyperlink r:id="rId83" ref="G747"/>
    <hyperlink r:id="rId84" ref="F763"/>
    <hyperlink r:id="rId85" ref="F770"/>
    <hyperlink r:id="rId86" ref="E771"/>
    <hyperlink r:id="rId87" ref="F833"/>
    <hyperlink r:id="rId88" ref="C880"/>
    <hyperlink r:id="rId89" ref="F888"/>
  </hyperlinks>
  <drawing r:id="rId90"/>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88"/>
    <col customWidth="1" min="2" max="2" width="6.88"/>
    <col customWidth="1" min="3" max="3" width="34.0"/>
    <col customWidth="1" min="4" max="4" width="32.75"/>
    <col customWidth="1" min="5" max="5" width="21.38"/>
    <col customWidth="1" min="6" max="6" width="5.38"/>
    <col customWidth="1" min="7" max="7" width="21.38"/>
    <col customWidth="1" min="8" max="8" width="28.63"/>
  </cols>
  <sheetData>
    <row r="1" ht="57.0" customHeight="1">
      <c r="A1" s="1"/>
      <c r="B1" s="2"/>
      <c r="C1" s="2"/>
      <c r="D1" s="2"/>
      <c r="E1" s="2"/>
      <c r="F1" s="3"/>
      <c r="G1" s="3"/>
      <c r="H1" s="4"/>
    </row>
    <row r="2" ht="30.0" customHeight="1">
      <c r="A2" s="909"/>
      <c r="B2" s="909" t="s">
        <v>0</v>
      </c>
      <c r="C2" s="909" t="s">
        <v>1</v>
      </c>
      <c r="D2" s="910" t="s">
        <v>2</v>
      </c>
      <c r="E2" s="910" t="s">
        <v>3</v>
      </c>
      <c r="F2" s="910" t="s">
        <v>3002</v>
      </c>
      <c r="G2" s="910" t="s">
        <v>6371</v>
      </c>
      <c r="H2" s="910" t="s">
        <v>6</v>
      </c>
    </row>
    <row r="3" ht="26.25" customHeight="1">
      <c r="A3" s="1259">
        <v>1.0</v>
      </c>
      <c r="B3" s="913" t="b">
        <v>0</v>
      </c>
      <c r="C3" s="1260" t="s">
        <v>8767</v>
      </c>
      <c r="D3" s="1261" t="s">
        <v>2996</v>
      </c>
      <c r="E3" s="1262"/>
      <c r="F3" s="917"/>
      <c r="G3" s="918"/>
      <c r="H3" s="919"/>
    </row>
    <row r="4" ht="26.25" customHeight="1">
      <c r="A4" s="1259">
        <v>2.0</v>
      </c>
      <c r="B4" s="913" t="b">
        <v>0</v>
      </c>
      <c r="C4" s="1263" t="s">
        <v>8768</v>
      </c>
      <c r="D4" s="1264" t="s">
        <v>8769</v>
      </c>
      <c r="E4" s="1265"/>
      <c r="F4" s="917" t="b">
        <v>1</v>
      </c>
      <c r="G4" s="924"/>
      <c r="H4" s="925"/>
    </row>
    <row r="5" ht="26.25" customHeight="1">
      <c r="A5" s="1259">
        <v>3.0</v>
      </c>
      <c r="B5" s="913" t="b">
        <v>0</v>
      </c>
      <c r="C5" s="1266" t="s">
        <v>8770</v>
      </c>
      <c r="D5" s="1267" t="s">
        <v>8771</v>
      </c>
      <c r="E5" s="1268"/>
      <c r="F5" s="917" t="b">
        <v>0</v>
      </c>
      <c r="G5" s="924"/>
      <c r="H5" s="925"/>
    </row>
    <row r="6" ht="26.25" customHeight="1">
      <c r="A6" s="1259">
        <v>4.0</v>
      </c>
      <c r="B6" s="913" t="b">
        <v>0</v>
      </c>
      <c r="C6" s="1269" t="s">
        <v>8772</v>
      </c>
      <c r="D6" s="1267" t="s">
        <v>8773</v>
      </c>
      <c r="E6" s="924"/>
      <c r="F6" s="917" t="b">
        <v>1</v>
      </c>
      <c r="G6" s="924"/>
      <c r="H6" s="925"/>
    </row>
    <row r="7" ht="26.25" customHeight="1">
      <c r="A7" s="1259">
        <v>5.0</v>
      </c>
      <c r="B7" s="913" t="b">
        <v>0</v>
      </c>
      <c r="C7" s="1266" t="s">
        <v>8774</v>
      </c>
      <c r="D7" s="1267">
        <v>6776.0</v>
      </c>
      <c r="E7" s="924"/>
      <c r="F7" s="917" t="b">
        <v>0</v>
      </c>
      <c r="G7" s="924"/>
      <c r="H7" s="924"/>
    </row>
    <row r="8" ht="26.25" customHeight="1">
      <c r="A8" s="1259">
        <v>6.0</v>
      </c>
      <c r="B8" s="913" t="b">
        <v>0</v>
      </c>
      <c r="C8" s="1269" t="s">
        <v>8775</v>
      </c>
      <c r="D8" s="1267" t="s">
        <v>1196</v>
      </c>
      <c r="E8" s="924"/>
      <c r="F8" s="917" t="b">
        <v>0</v>
      </c>
      <c r="G8" s="924"/>
      <c r="H8" s="924"/>
    </row>
    <row r="9" ht="26.25" customHeight="1">
      <c r="A9" s="1259">
        <v>7.0</v>
      </c>
      <c r="B9" s="913" t="b">
        <v>0</v>
      </c>
      <c r="C9" s="1266" t="s">
        <v>8776</v>
      </c>
      <c r="D9" s="1267" t="s">
        <v>8777</v>
      </c>
      <c r="E9" s="924"/>
      <c r="F9" s="917" t="b">
        <v>1</v>
      </c>
      <c r="G9" s="924"/>
      <c r="H9" s="924"/>
    </row>
    <row r="10" ht="26.25" customHeight="1">
      <c r="A10" s="1259">
        <v>8.0</v>
      </c>
      <c r="B10" s="913" t="b">
        <v>0</v>
      </c>
      <c r="C10" s="1269" t="s">
        <v>8778</v>
      </c>
      <c r="D10" s="1267" t="s">
        <v>8779</v>
      </c>
      <c r="E10" s="924"/>
      <c r="F10" s="917" t="b">
        <v>1</v>
      </c>
      <c r="G10" s="924"/>
      <c r="H10" s="924"/>
    </row>
    <row r="11" ht="26.25" customHeight="1">
      <c r="A11" s="1259">
        <v>9.0</v>
      </c>
      <c r="B11" s="913" t="b">
        <v>0</v>
      </c>
      <c r="C11" s="1269" t="s">
        <v>1467</v>
      </c>
      <c r="D11" s="1267" t="s">
        <v>8780</v>
      </c>
      <c r="E11" s="924"/>
      <c r="F11" s="917" t="b">
        <v>1</v>
      </c>
      <c r="G11" s="924"/>
      <c r="H11" s="924"/>
    </row>
    <row r="12" ht="26.25" customHeight="1">
      <c r="A12" s="1259">
        <v>10.0</v>
      </c>
      <c r="B12" s="913" t="b">
        <v>0</v>
      </c>
      <c r="C12" s="1269" t="s">
        <v>8781</v>
      </c>
      <c r="D12" s="1270"/>
      <c r="E12" s="924"/>
      <c r="F12" s="917" t="b">
        <v>0</v>
      </c>
      <c r="G12" s="924"/>
      <c r="H12" s="924"/>
    </row>
    <row r="13" ht="26.25" customHeight="1">
      <c r="A13" s="1259">
        <v>12.0</v>
      </c>
      <c r="B13" s="913" t="b">
        <v>0</v>
      </c>
      <c r="C13" s="1269" t="s">
        <v>8782</v>
      </c>
      <c r="D13" s="1267">
        <v>7.505553733E9</v>
      </c>
      <c r="E13" s="1271"/>
      <c r="F13" s="917" t="b">
        <v>1</v>
      </c>
      <c r="G13" s="940"/>
      <c r="H13" s="941"/>
    </row>
    <row r="14" ht="26.25" customHeight="1">
      <c r="A14" s="1259">
        <v>13.0</v>
      </c>
      <c r="B14" s="913" t="b">
        <v>0</v>
      </c>
      <c r="C14" s="1272" t="s">
        <v>8783</v>
      </c>
      <c r="D14" s="1267">
        <v>7.701111164E9</v>
      </c>
      <c r="E14" s="1271"/>
      <c r="F14" s="917" t="b">
        <v>1</v>
      </c>
      <c r="G14" s="940"/>
      <c r="H14" s="943"/>
    </row>
    <row r="15" ht="26.25" customHeight="1">
      <c r="A15" s="1259">
        <v>14.0</v>
      </c>
      <c r="B15" s="913" t="b">
        <v>0</v>
      </c>
      <c r="C15" s="1269" t="s">
        <v>8784</v>
      </c>
      <c r="D15" s="1267">
        <v>7.810008888E9</v>
      </c>
      <c r="E15" s="1273"/>
      <c r="F15" s="917" t="b">
        <v>1</v>
      </c>
      <c r="G15" s="940"/>
      <c r="H15" s="943"/>
    </row>
    <row r="16" ht="26.25" customHeight="1">
      <c r="A16" s="1259">
        <v>15.0</v>
      </c>
      <c r="B16" s="913" t="b">
        <v>0</v>
      </c>
      <c r="C16" s="1266" t="s">
        <v>8785</v>
      </c>
      <c r="D16" s="1267" t="s">
        <v>8786</v>
      </c>
      <c r="E16" s="1273"/>
      <c r="F16" s="917" t="b">
        <v>0</v>
      </c>
      <c r="G16" s="940"/>
      <c r="H16" s="946"/>
    </row>
    <row r="17" ht="26.25" customHeight="1">
      <c r="A17" s="1259">
        <v>16.0</v>
      </c>
      <c r="B17" s="913" t="b">
        <v>0</v>
      </c>
      <c r="C17" s="1263" t="s">
        <v>8787</v>
      </c>
      <c r="D17" s="1267" t="s">
        <v>8788</v>
      </c>
      <c r="E17" s="1271"/>
      <c r="F17" s="917" t="b">
        <v>1</v>
      </c>
      <c r="G17" s="940"/>
      <c r="H17" s="946"/>
    </row>
    <row r="18" ht="26.25" customHeight="1">
      <c r="A18" s="1259">
        <v>17.0</v>
      </c>
      <c r="B18" s="913" t="b">
        <v>0</v>
      </c>
      <c r="C18" s="1269" t="s">
        <v>8789</v>
      </c>
      <c r="D18" s="1267" t="s">
        <v>8790</v>
      </c>
      <c r="E18" s="1271"/>
      <c r="F18" s="917" t="b">
        <v>1</v>
      </c>
      <c r="G18" s="940"/>
      <c r="H18" s="946"/>
    </row>
    <row r="19" ht="26.25" customHeight="1">
      <c r="A19" s="1259">
        <v>18.0</v>
      </c>
      <c r="B19" s="913" t="b">
        <v>0</v>
      </c>
      <c r="C19" s="1266" t="s">
        <v>8791</v>
      </c>
      <c r="D19" s="1267" t="s">
        <v>8792</v>
      </c>
      <c r="E19" s="1271"/>
      <c r="F19" s="917" t="b">
        <v>1</v>
      </c>
      <c r="G19" s="940"/>
      <c r="H19" s="943"/>
    </row>
    <row r="20" ht="26.25" customHeight="1">
      <c r="A20" s="1259">
        <v>19.0</v>
      </c>
      <c r="B20" s="913" t="b">
        <v>0</v>
      </c>
      <c r="C20" s="1269" t="s">
        <v>8793</v>
      </c>
      <c r="D20" s="1274" t="s">
        <v>8794</v>
      </c>
      <c r="E20" s="1273"/>
      <c r="F20" s="917" t="b">
        <v>0</v>
      </c>
      <c r="G20" s="940"/>
      <c r="H20" s="946"/>
    </row>
    <row r="21" ht="26.25" customHeight="1">
      <c r="A21" s="1259">
        <v>20.0</v>
      </c>
      <c r="B21" s="913" t="b">
        <v>0</v>
      </c>
      <c r="C21" s="1269" t="s">
        <v>8795</v>
      </c>
      <c r="D21" s="1274" t="s">
        <v>8796</v>
      </c>
      <c r="E21" s="1271"/>
      <c r="F21" s="917" t="b">
        <v>0</v>
      </c>
      <c r="G21" s="940"/>
      <c r="H21" s="946"/>
    </row>
    <row r="22" ht="26.25" customHeight="1">
      <c r="A22" s="1259">
        <v>21.0</v>
      </c>
      <c r="B22" s="913" t="b">
        <v>0</v>
      </c>
      <c r="C22" s="1275" t="s">
        <v>8797</v>
      </c>
      <c r="D22" s="1267" t="s">
        <v>8798</v>
      </c>
      <c r="E22" s="1271"/>
      <c r="F22" s="917" t="b">
        <v>0</v>
      </c>
      <c r="G22" s="947"/>
      <c r="H22" s="948"/>
    </row>
    <row r="23" ht="26.25" customHeight="1">
      <c r="A23" s="1259">
        <v>22.0</v>
      </c>
      <c r="B23" s="913" t="b">
        <v>0</v>
      </c>
      <c r="C23" s="1263" t="s">
        <v>8799</v>
      </c>
      <c r="D23" s="1267" t="s">
        <v>5937</v>
      </c>
      <c r="E23" s="1271"/>
      <c r="F23" s="917" t="b">
        <v>0</v>
      </c>
      <c r="G23" s="940"/>
      <c r="H23" s="946"/>
    </row>
    <row r="24" ht="26.25" customHeight="1">
      <c r="A24" s="1259">
        <v>23.0</v>
      </c>
      <c r="B24" s="913" t="b">
        <v>0</v>
      </c>
      <c r="C24" s="1263" t="s">
        <v>8800</v>
      </c>
      <c r="D24" s="1267" t="s">
        <v>8801</v>
      </c>
      <c r="E24" s="1271"/>
      <c r="F24" s="917" t="b">
        <v>0</v>
      </c>
      <c r="G24" s="940"/>
      <c r="H24" s="946"/>
    </row>
    <row r="25" ht="26.25" customHeight="1">
      <c r="A25" s="1259">
        <v>24.0</v>
      </c>
      <c r="B25" s="913" t="b">
        <v>0</v>
      </c>
      <c r="C25" s="1263" t="s">
        <v>8802</v>
      </c>
      <c r="D25" s="1276" t="s">
        <v>8803</v>
      </c>
      <c r="E25" s="1271"/>
      <c r="F25" s="917" t="b">
        <v>0</v>
      </c>
      <c r="G25" s="940"/>
      <c r="H25" s="946"/>
    </row>
    <row r="26" ht="26.25" customHeight="1">
      <c r="A26" s="1259">
        <v>25.0</v>
      </c>
      <c r="B26" s="913" t="b">
        <v>0</v>
      </c>
      <c r="C26" s="1277" t="s">
        <v>8804</v>
      </c>
      <c r="D26" s="1267" t="s">
        <v>8805</v>
      </c>
      <c r="E26" s="1271"/>
      <c r="F26" s="917" t="b">
        <v>0</v>
      </c>
      <c r="G26" s="940"/>
      <c r="H26" s="946"/>
    </row>
    <row r="27" ht="26.25" customHeight="1">
      <c r="A27" s="1259">
        <v>26.0</v>
      </c>
      <c r="B27" s="913" t="b">
        <v>0</v>
      </c>
      <c r="C27" s="1263" t="s">
        <v>8806</v>
      </c>
      <c r="D27" s="1267" t="s">
        <v>1174</v>
      </c>
      <c r="E27" s="1271"/>
      <c r="F27" s="917" t="b">
        <v>0</v>
      </c>
      <c r="G27" s="947"/>
      <c r="H27" s="948"/>
    </row>
    <row r="28" ht="26.25" customHeight="1">
      <c r="A28" s="1259">
        <v>27.0</v>
      </c>
      <c r="B28" s="913" t="b">
        <v>0</v>
      </c>
      <c r="C28" s="1277" t="s">
        <v>8807</v>
      </c>
      <c r="D28" s="1267" t="s">
        <v>8808</v>
      </c>
      <c r="E28" s="1271"/>
      <c r="F28" s="917" t="b">
        <v>0</v>
      </c>
      <c r="G28" s="940"/>
      <c r="H28" s="946"/>
    </row>
    <row r="29" ht="26.25" customHeight="1">
      <c r="A29" s="1259">
        <v>28.0</v>
      </c>
      <c r="B29" s="913" t="b">
        <v>0</v>
      </c>
      <c r="C29" s="1263" t="s">
        <v>8809</v>
      </c>
      <c r="D29" s="1267" t="s">
        <v>8810</v>
      </c>
      <c r="E29" s="1271"/>
      <c r="F29" s="917" t="b">
        <v>0</v>
      </c>
      <c r="G29" s="940"/>
      <c r="H29" s="946"/>
    </row>
    <row r="30" ht="26.25" customHeight="1">
      <c r="A30" s="1259">
        <v>29.0</v>
      </c>
      <c r="B30" s="913" t="b">
        <v>0</v>
      </c>
      <c r="C30" s="1263" t="s">
        <v>8811</v>
      </c>
      <c r="D30" s="1267" t="s">
        <v>8812</v>
      </c>
      <c r="E30" s="1278"/>
      <c r="F30" s="917" t="b">
        <v>0</v>
      </c>
      <c r="G30" s="952"/>
      <c r="H30" s="953"/>
    </row>
    <row r="31" ht="26.25" customHeight="1">
      <c r="A31" s="1259">
        <v>30.0</v>
      </c>
      <c r="B31" s="913" t="b">
        <v>0</v>
      </c>
      <c r="C31" s="1269" t="s">
        <v>8813</v>
      </c>
      <c r="D31" s="1267">
        <v>7.745451987E9</v>
      </c>
      <c r="E31" s="1278"/>
      <c r="F31" s="917" t="b">
        <v>0</v>
      </c>
      <c r="G31" s="952"/>
      <c r="H31" s="953"/>
    </row>
    <row r="32" ht="26.25" customHeight="1">
      <c r="A32" s="1259">
        <v>31.0</v>
      </c>
      <c r="B32" s="913" t="b">
        <v>0</v>
      </c>
      <c r="C32" s="1263" t="s">
        <v>8814</v>
      </c>
      <c r="D32" s="1267" t="s">
        <v>8815</v>
      </c>
      <c r="E32" s="1278"/>
      <c r="F32" s="917" t="b">
        <v>0</v>
      </c>
      <c r="G32" s="952"/>
      <c r="H32" s="953"/>
    </row>
    <row r="33" ht="26.25" customHeight="1">
      <c r="A33" s="1259">
        <v>32.0</v>
      </c>
      <c r="B33" s="913" t="b">
        <v>0</v>
      </c>
      <c r="C33" s="1266" t="s">
        <v>8816</v>
      </c>
      <c r="D33" s="1272">
        <v>7.718099099E9</v>
      </c>
      <c r="E33" s="1278"/>
      <c r="F33" s="917" t="b">
        <v>0</v>
      </c>
      <c r="G33" s="952"/>
      <c r="H33" s="953"/>
    </row>
    <row r="34" ht="26.25" customHeight="1">
      <c r="A34" s="1259">
        <v>33.0</v>
      </c>
      <c r="B34" s="913" t="b">
        <v>0</v>
      </c>
      <c r="C34" s="1274" t="s">
        <v>8817</v>
      </c>
      <c r="D34" s="1279" t="str">
        <f>+962 (6) 560 1965</f>
        <v>#ERROR!</v>
      </c>
      <c r="E34" s="1278"/>
      <c r="F34" s="917" t="b">
        <v>0</v>
      </c>
      <c r="G34" s="952"/>
      <c r="H34" s="953"/>
    </row>
    <row r="35" ht="26.25" customHeight="1">
      <c r="A35" s="1259">
        <v>34.0</v>
      </c>
      <c r="B35" s="913" t="b">
        <v>0</v>
      </c>
      <c r="C35" s="1269" t="s">
        <v>8818</v>
      </c>
      <c r="D35" s="1267" t="s">
        <v>8819</v>
      </c>
      <c r="E35" s="1278"/>
      <c r="F35" s="917" t="b">
        <v>0</v>
      </c>
      <c r="G35" s="952"/>
      <c r="H35" s="953"/>
    </row>
    <row r="36" ht="26.25" customHeight="1">
      <c r="A36" s="1259">
        <v>35.0</v>
      </c>
      <c r="B36" s="913" t="b">
        <v>0</v>
      </c>
      <c r="C36" s="1266" t="s">
        <v>8820</v>
      </c>
      <c r="D36" s="1267" t="s">
        <v>8821</v>
      </c>
      <c r="E36" s="1278"/>
      <c r="F36" s="917" t="b">
        <v>0</v>
      </c>
      <c r="G36" s="952"/>
      <c r="H36" s="953"/>
    </row>
    <row r="37" ht="26.25" customHeight="1">
      <c r="A37" s="1259">
        <v>36.0</v>
      </c>
      <c r="B37" s="913" t="b">
        <v>0</v>
      </c>
      <c r="C37" s="1272" t="s">
        <v>8822</v>
      </c>
      <c r="D37" s="1272">
        <v>7.703722223E9</v>
      </c>
      <c r="E37" s="1278"/>
      <c r="F37" s="917" t="b">
        <v>0</v>
      </c>
      <c r="G37" s="952"/>
      <c r="H37" s="953"/>
    </row>
    <row r="38" ht="26.25" customHeight="1">
      <c r="A38" s="1259">
        <v>37.0</v>
      </c>
      <c r="B38" s="913" t="b">
        <v>0</v>
      </c>
      <c r="C38" s="1272" t="s">
        <v>8823</v>
      </c>
      <c r="D38" s="1280"/>
      <c r="E38" s="1278"/>
      <c r="F38" s="917" t="b">
        <v>0</v>
      </c>
      <c r="G38" s="952"/>
      <c r="H38" s="953"/>
    </row>
    <row r="39" ht="26.25" customHeight="1">
      <c r="A39" s="1259">
        <v>38.0</v>
      </c>
      <c r="B39" s="913" t="b">
        <v>0</v>
      </c>
      <c r="C39" s="1272" t="s">
        <v>8824</v>
      </c>
      <c r="D39" s="1272">
        <v>7.847482626E9</v>
      </c>
      <c r="E39" s="1278"/>
      <c r="F39" s="917" t="b">
        <v>0</v>
      </c>
      <c r="G39" s="955"/>
      <c r="H39" s="953"/>
    </row>
    <row r="40" ht="26.25" customHeight="1">
      <c r="A40" s="1259">
        <v>39.0</v>
      </c>
      <c r="B40" s="913" t="b">
        <v>0</v>
      </c>
      <c r="C40" s="1269" t="s">
        <v>8825</v>
      </c>
      <c r="D40" s="1280"/>
      <c r="E40" s="1278"/>
      <c r="F40" s="917" t="b">
        <v>0</v>
      </c>
      <c r="G40" s="952"/>
      <c r="H40" s="956"/>
    </row>
    <row r="41" ht="26.25" customHeight="1">
      <c r="A41" s="1259">
        <v>40.0</v>
      </c>
      <c r="B41" s="913" t="b">
        <v>0</v>
      </c>
      <c r="C41" s="1281" t="s">
        <v>8826</v>
      </c>
      <c r="D41" s="1282"/>
      <c r="E41" s="1283"/>
      <c r="F41" s="917" t="b">
        <v>0</v>
      </c>
      <c r="G41" s="952"/>
      <c r="H41" s="958"/>
    </row>
    <row r="42" ht="26.25" customHeight="1">
      <c r="A42" s="1259">
        <v>41.0</v>
      </c>
      <c r="B42" s="913" t="b">
        <v>0</v>
      </c>
      <c r="C42" s="1284" t="s">
        <v>152</v>
      </c>
      <c r="D42" s="1285" t="s">
        <v>256</v>
      </c>
      <c r="E42" s="1285">
        <v>7.509111199E9</v>
      </c>
      <c r="F42" s="917" t="b">
        <v>0</v>
      </c>
      <c r="G42" s="955"/>
      <c r="H42" s="953"/>
    </row>
    <row r="43" ht="26.25" customHeight="1">
      <c r="A43" s="1259">
        <v>42.0</v>
      </c>
      <c r="B43" s="913" t="b">
        <v>0</v>
      </c>
      <c r="C43" s="1286" t="s">
        <v>171</v>
      </c>
      <c r="D43" s="1287" t="s">
        <v>8827</v>
      </c>
      <c r="E43" s="1287">
        <v>7.700999099E9</v>
      </c>
      <c r="F43" s="917" t="b">
        <v>0</v>
      </c>
      <c r="G43" s="952"/>
      <c r="H43" s="953"/>
    </row>
    <row r="44" ht="26.25" customHeight="1">
      <c r="A44" s="1259">
        <v>43.0</v>
      </c>
      <c r="B44" s="913" t="b">
        <v>0</v>
      </c>
      <c r="C44" s="1286" t="s">
        <v>265</v>
      </c>
      <c r="D44" s="1287" t="s">
        <v>266</v>
      </c>
      <c r="E44" s="1287">
        <v>7.503000073E9</v>
      </c>
      <c r="F44" s="917" t="b">
        <v>0</v>
      </c>
      <c r="G44" s="952"/>
      <c r="H44" s="953"/>
    </row>
    <row r="45" ht="26.25" customHeight="1">
      <c r="A45" s="1259">
        <v>44.0</v>
      </c>
      <c r="B45" s="913" t="b">
        <v>0</v>
      </c>
      <c r="C45" s="1286" t="s">
        <v>269</v>
      </c>
      <c r="D45" s="1287" t="s">
        <v>270</v>
      </c>
      <c r="E45" s="1287">
        <v>7.507595972E9</v>
      </c>
      <c r="F45" s="917" t="b">
        <v>0</v>
      </c>
      <c r="G45" s="952"/>
      <c r="H45" s="953"/>
    </row>
    <row r="46" ht="26.25" customHeight="1">
      <c r="A46" s="1259">
        <v>45.0</v>
      </c>
      <c r="B46" s="913" t="b">
        <v>0</v>
      </c>
      <c r="C46" s="1286" t="s">
        <v>679</v>
      </c>
      <c r="D46" s="1287" t="s">
        <v>364</v>
      </c>
      <c r="E46" s="1287">
        <v>7.507943333E9</v>
      </c>
      <c r="F46" s="917" t="b">
        <v>0</v>
      </c>
      <c r="G46" s="952"/>
      <c r="H46" s="953"/>
    </row>
    <row r="47" ht="26.25" customHeight="1">
      <c r="A47" s="1259">
        <v>46.0</v>
      </c>
      <c r="B47" s="913" t="b">
        <v>0</v>
      </c>
      <c r="C47" s="1286" t="s">
        <v>277</v>
      </c>
      <c r="D47" s="1287" t="s">
        <v>278</v>
      </c>
      <c r="E47" s="1287">
        <v>7.504454682E9</v>
      </c>
      <c r="F47" s="917" t="b">
        <v>0</v>
      </c>
      <c r="G47" s="952"/>
      <c r="H47" s="953"/>
    </row>
    <row r="48" ht="26.25" customHeight="1">
      <c r="A48" s="1259">
        <v>47.0</v>
      </c>
      <c r="B48" s="913" t="b">
        <v>0</v>
      </c>
      <c r="C48" s="1286" t="s">
        <v>681</v>
      </c>
      <c r="D48" s="1287" t="s">
        <v>682</v>
      </c>
      <c r="E48" s="1287">
        <v>7.504604269E9</v>
      </c>
      <c r="F48" s="917" t="b">
        <v>0</v>
      </c>
      <c r="G48" s="952"/>
      <c r="H48" s="953"/>
    </row>
    <row r="49" ht="22.5" hidden="1" customHeight="1">
      <c r="A49" s="1259">
        <v>48.0</v>
      </c>
      <c r="B49" s="913" t="b">
        <v>0</v>
      </c>
      <c r="C49" s="1286" t="s">
        <v>683</v>
      </c>
      <c r="D49" s="1287" t="s">
        <v>8828</v>
      </c>
      <c r="E49" s="1287" t="s">
        <v>686</v>
      </c>
      <c r="F49" s="917" t="b">
        <v>0</v>
      </c>
      <c r="G49" s="952"/>
      <c r="H49" s="953"/>
    </row>
    <row r="50" ht="22.5" customHeight="1">
      <c r="A50" s="1259">
        <v>49.0</v>
      </c>
      <c r="B50" s="913" t="b">
        <v>0</v>
      </c>
      <c r="C50" s="1286" t="s">
        <v>690</v>
      </c>
      <c r="D50" s="1287" t="s">
        <v>8829</v>
      </c>
      <c r="E50" s="1287">
        <v>7.504466888E9</v>
      </c>
      <c r="F50" s="917" t="b">
        <v>0</v>
      </c>
      <c r="G50" s="952"/>
      <c r="H50" s="953"/>
    </row>
    <row r="51" ht="22.5" customHeight="1">
      <c r="A51" s="1259">
        <v>50.0</v>
      </c>
      <c r="B51" s="913" t="b">
        <v>0</v>
      </c>
      <c r="C51" s="1288" t="s">
        <v>8830</v>
      </c>
      <c r="D51" s="1287" t="s">
        <v>8831</v>
      </c>
      <c r="E51" s="1287" t="s">
        <v>8832</v>
      </c>
      <c r="F51" s="917" t="b">
        <v>0</v>
      </c>
      <c r="G51" s="952"/>
      <c r="H51" s="958"/>
    </row>
    <row r="52" ht="22.5" customHeight="1">
      <c r="A52" s="1259">
        <v>51.0</v>
      </c>
      <c r="B52" s="913" t="b">
        <v>0</v>
      </c>
      <c r="C52" s="1286" t="s">
        <v>281</v>
      </c>
      <c r="D52" s="1287" t="s">
        <v>692</v>
      </c>
      <c r="E52" s="1287">
        <v>7.701911119E9</v>
      </c>
      <c r="F52" s="917" t="b">
        <v>0</v>
      </c>
      <c r="G52" s="955"/>
      <c r="H52" s="958"/>
    </row>
    <row r="53" ht="22.5" customHeight="1">
      <c r="A53" s="1259">
        <v>52.0</v>
      </c>
      <c r="B53" s="913" t="b">
        <v>0</v>
      </c>
      <c r="C53" s="1286" t="s">
        <v>56</v>
      </c>
      <c r="D53" s="1287" t="s">
        <v>289</v>
      </c>
      <c r="E53" s="1287">
        <v>7.701541157E9</v>
      </c>
      <c r="F53" s="917" t="b">
        <v>0</v>
      </c>
      <c r="G53" s="952"/>
      <c r="H53" s="958"/>
    </row>
    <row r="54" ht="22.5" customHeight="1">
      <c r="A54" s="1259">
        <v>53.0</v>
      </c>
      <c r="B54" s="913" t="b">
        <v>0</v>
      </c>
      <c r="C54" s="1286" t="s">
        <v>693</v>
      </c>
      <c r="D54" s="1287" t="s">
        <v>694</v>
      </c>
      <c r="E54" s="1287">
        <v>7.504841994E9</v>
      </c>
      <c r="F54" s="917" t="b">
        <v>0</v>
      </c>
      <c r="G54" s="952"/>
      <c r="H54" s="953"/>
    </row>
    <row r="55" ht="22.5" customHeight="1">
      <c r="A55" s="1259">
        <v>54.0</v>
      </c>
      <c r="B55" s="913" t="b">
        <v>0</v>
      </c>
      <c r="C55" s="1286" t="s">
        <v>695</v>
      </c>
      <c r="D55" s="1287" t="s">
        <v>8833</v>
      </c>
      <c r="E55" s="1287">
        <v>7.514908551E9</v>
      </c>
      <c r="F55" s="917" t="b">
        <v>0</v>
      </c>
      <c r="G55" s="952"/>
      <c r="H55" s="953"/>
    </row>
    <row r="56" ht="22.5" customHeight="1">
      <c r="A56" s="1259">
        <v>55.0</v>
      </c>
      <c r="B56" s="913" t="b">
        <v>0</v>
      </c>
      <c r="C56" s="1286" t="s">
        <v>698</v>
      </c>
      <c r="D56" s="1287" t="s">
        <v>699</v>
      </c>
      <c r="E56" s="1287">
        <v>7.504479012E9</v>
      </c>
      <c r="F56" s="917" t="b">
        <v>0</v>
      </c>
      <c r="G56" s="952"/>
      <c r="H56" s="953"/>
    </row>
    <row r="57" ht="22.5" customHeight="1">
      <c r="A57" s="1259">
        <v>56.0</v>
      </c>
      <c r="B57" s="913" t="b">
        <v>0</v>
      </c>
      <c r="C57" s="1286" t="s">
        <v>700</v>
      </c>
      <c r="D57" s="1287" t="s">
        <v>701</v>
      </c>
      <c r="E57" s="1287">
        <v>7.5000707E9</v>
      </c>
      <c r="F57" s="917" t="b">
        <v>0</v>
      </c>
      <c r="G57" s="952"/>
      <c r="H57" s="953"/>
    </row>
    <row r="58" ht="22.5" customHeight="1">
      <c r="A58" s="1259">
        <v>57.0</v>
      </c>
      <c r="B58" s="913" t="b">
        <v>0</v>
      </c>
      <c r="C58" s="1286" t="s">
        <v>702</v>
      </c>
      <c r="D58" s="1287" t="s">
        <v>703</v>
      </c>
      <c r="E58" s="1287">
        <v>7.508881888E9</v>
      </c>
      <c r="F58" s="917" t="b">
        <v>0</v>
      </c>
      <c r="G58" s="952"/>
      <c r="H58" s="953"/>
    </row>
    <row r="59" ht="22.5" customHeight="1">
      <c r="A59" s="1259">
        <v>58.0</v>
      </c>
      <c r="B59" s="913" t="b">
        <v>0</v>
      </c>
      <c r="C59" s="1286" t="s">
        <v>707</v>
      </c>
      <c r="D59" s="1287" t="s">
        <v>708</v>
      </c>
      <c r="E59" s="1287">
        <v>7.504477563E9</v>
      </c>
      <c r="F59" s="917" t="b">
        <v>0</v>
      </c>
      <c r="G59" s="955"/>
      <c r="H59" s="953"/>
    </row>
    <row r="60" ht="22.5" customHeight="1">
      <c r="A60" s="1259">
        <v>59.0</v>
      </c>
      <c r="B60" s="913" t="b">
        <v>0</v>
      </c>
      <c r="C60" s="1286" t="s">
        <v>29</v>
      </c>
      <c r="D60" s="1287" t="s">
        <v>710</v>
      </c>
      <c r="E60" s="1287">
        <v>7.504456819E9</v>
      </c>
      <c r="F60" s="917" t="b">
        <v>0</v>
      </c>
      <c r="G60" s="955"/>
      <c r="H60" s="953"/>
    </row>
    <row r="61" ht="22.5" customHeight="1">
      <c r="A61" s="1259">
        <v>60.0</v>
      </c>
      <c r="B61" s="913" t="b">
        <v>0</v>
      </c>
      <c r="C61" s="1286" t="s">
        <v>8834</v>
      </c>
      <c r="D61" s="1287" t="s">
        <v>379</v>
      </c>
      <c r="E61" s="1287">
        <v>7.515112533E9</v>
      </c>
      <c r="F61" s="917" t="b">
        <v>0</v>
      </c>
      <c r="G61" s="955"/>
      <c r="H61" s="953"/>
    </row>
    <row r="62" ht="22.5" customHeight="1">
      <c r="A62" s="1259">
        <v>61.0</v>
      </c>
      <c r="B62" s="913" t="b">
        <v>0</v>
      </c>
      <c r="C62" s="1286" t="s">
        <v>8835</v>
      </c>
      <c r="D62" s="1287" t="s">
        <v>8836</v>
      </c>
      <c r="E62" s="1287">
        <v>7.507957454E9</v>
      </c>
      <c r="F62" s="917" t="b">
        <v>0</v>
      </c>
      <c r="G62" s="947"/>
      <c r="H62" s="960"/>
    </row>
    <row r="63" ht="22.5" customHeight="1">
      <c r="A63" s="1259">
        <v>62.0</v>
      </c>
      <c r="B63" s="913" t="b">
        <v>0</v>
      </c>
      <c r="C63" s="1286" t="s">
        <v>716</v>
      </c>
      <c r="D63" s="1287" t="s">
        <v>718</v>
      </c>
      <c r="E63" s="1287">
        <v>7.746547734E9</v>
      </c>
      <c r="F63" s="917" t="b">
        <v>0</v>
      </c>
      <c r="G63" s="952"/>
      <c r="H63" s="953"/>
    </row>
    <row r="64" ht="22.5" customHeight="1">
      <c r="A64" s="1259">
        <v>63.0</v>
      </c>
      <c r="B64" s="913" t="b">
        <v>0</v>
      </c>
      <c r="C64" s="1286" t="s">
        <v>8837</v>
      </c>
      <c r="D64" s="1287" t="s">
        <v>8838</v>
      </c>
      <c r="E64" s="1287">
        <v>7.514014827E9</v>
      </c>
      <c r="F64" s="917" t="b">
        <v>1</v>
      </c>
      <c r="G64" s="952"/>
      <c r="H64" s="953"/>
    </row>
    <row r="65" ht="22.5" customHeight="1">
      <c r="A65" s="1259">
        <v>64.0</v>
      </c>
      <c r="B65" s="913" t="b">
        <v>0</v>
      </c>
      <c r="C65" s="1286" t="s">
        <v>726</v>
      </c>
      <c r="D65" s="1287" t="s">
        <v>8839</v>
      </c>
      <c r="E65" s="1287">
        <v>7.517777772E9</v>
      </c>
      <c r="F65" s="917" t="b">
        <v>1</v>
      </c>
      <c r="G65" s="952"/>
      <c r="H65" s="953"/>
    </row>
    <row r="66" ht="22.5" customHeight="1">
      <c r="A66" s="1259">
        <v>65.0</v>
      </c>
      <c r="B66" s="913" t="b">
        <v>0</v>
      </c>
      <c r="C66" s="1286" t="s">
        <v>8840</v>
      </c>
      <c r="D66" s="1287" t="s">
        <v>8841</v>
      </c>
      <c r="E66" s="1287">
        <v>7.514018855E9</v>
      </c>
      <c r="F66" s="917" t="b">
        <v>0</v>
      </c>
      <c r="G66" s="952"/>
      <c r="H66" s="953"/>
    </row>
    <row r="67" ht="22.5" customHeight="1">
      <c r="A67" s="1259">
        <v>66.0</v>
      </c>
      <c r="B67" s="913" t="b">
        <v>0</v>
      </c>
      <c r="C67" s="1286" t="s">
        <v>723</v>
      </c>
      <c r="D67" s="1287" t="s">
        <v>8842</v>
      </c>
      <c r="E67" s="1287">
        <v>7.506422526E9</v>
      </c>
      <c r="F67" s="917" t="b">
        <v>0</v>
      </c>
      <c r="G67" s="952"/>
      <c r="H67" s="953"/>
    </row>
    <row r="68" ht="22.5" customHeight="1">
      <c r="A68" s="1259">
        <v>67.0</v>
      </c>
      <c r="B68" s="913" t="b">
        <v>0</v>
      </c>
      <c r="C68" s="1286" t="s">
        <v>340</v>
      </c>
      <c r="D68" s="1287" t="s">
        <v>8754</v>
      </c>
      <c r="E68" s="1289" t="s">
        <v>729</v>
      </c>
      <c r="F68" s="917" t="b">
        <v>0</v>
      </c>
      <c r="G68" s="952"/>
      <c r="H68" s="953"/>
    </row>
    <row r="69" ht="22.5" customHeight="1">
      <c r="A69" s="1259">
        <v>68.0</v>
      </c>
      <c r="B69" s="913" t="b">
        <v>0</v>
      </c>
      <c r="C69" s="1286" t="s">
        <v>345</v>
      </c>
      <c r="D69" s="1287" t="s">
        <v>346</v>
      </c>
      <c r="E69" s="1287">
        <v>7.504451154E9</v>
      </c>
      <c r="F69" s="917" t="b">
        <v>0</v>
      </c>
      <c r="G69" s="952"/>
      <c r="H69" s="956"/>
    </row>
    <row r="70" ht="22.5" customHeight="1">
      <c r="A70" s="1259">
        <v>69.0</v>
      </c>
      <c r="B70" s="913" t="b">
        <v>0</v>
      </c>
      <c r="C70" s="1286" t="s">
        <v>731</v>
      </c>
      <c r="D70" s="1287" t="s">
        <v>540</v>
      </c>
      <c r="E70" s="1287">
        <v>7.70989588E9</v>
      </c>
      <c r="F70" s="917" t="b">
        <v>0</v>
      </c>
      <c r="G70" s="952"/>
      <c r="H70" s="956"/>
    </row>
    <row r="71" ht="22.5" customHeight="1">
      <c r="A71" s="1259">
        <v>70.0</v>
      </c>
      <c r="B71" s="913" t="b">
        <v>0</v>
      </c>
      <c r="C71" s="1286" t="s">
        <v>549</v>
      </c>
      <c r="D71" s="1287" t="s">
        <v>732</v>
      </c>
      <c r="E71" s="1287">
        <v>7.504510556E9</v>
      </c>
      <c r="F71" s="917" t="b">
        <v>1</v>
      </c>
      <c r="G71" s="952"/>
      <c r="H71" s="953"/>
    </row>
    <row r="72" ht="22.5" customHeight="1">
      <c r="A72" s="1259">
        <v>71.0</v>
      </c>
      <c r="B72" s="913" t="b">
        <v>0</v>
      </c>
      <c r="C72" s="1286" t="s">
        <v>8843</v>
      </c>
      <c r="D72" s="1287" t="s">
        <v>8844</v>
      </c>
      <c r="E72" s="1287">
        <v>7.504441955E9</v>
      </c>
      <c r="F72" s="917" t="b">
        <v>0</v>
      </c>
      <c r="G72" s="952"/>
      <c r="H72" s="953"/>
    </row>
    <row r="73" ht="22.5" customHeight="1">
      <c r="A73" s="1259">
        <v>72.0</v>
      </c>
      <c r="B73" s="913" t="b">
        <v>0</v>
      </c>
      <c r="C73" s="1286" t="s">
        <v>734</v>
      </c>
      <c r="D73" s="1287" t="s">
        <v>735</v>
      </c>
      <c r="E73" s="1287">
        <v>7.804329674E9</v>
      </c>
      <c r="F73" s="917" t="b">
        <v>1</v>
      </c>
      <c r="G73" s="947"/>
      <c r="H73" s="953"/>
    </row>
    <row r="74" ht="22.5" customHeight="1">
      <c r="A74" s="1259">
        <v>73.0</v>
      </c>
      <c r="B74" s="913" t="b">
        <v>0</v>
      </c>
      <c r="C74" s="1286" t="s">
        <v>736</v>
      </c>
      <c r="D74" s="1287" t="s">
        <v>694</v>
      </c>
      <c r="E74" s="1287">
        <v>7.505006622E9</v>
      </c>
      <c r="F74" s="917" t="b">
        <v>0</v>
      </c>
      <c r="G74" s="952"/>
      <c r="H74" s="953"/>
    </row>
    <row r="75" ht="22.5" customHeight="1">
      <c r="A75" s="1259">
        <v>74.0</v>
      </c>
      <c r="B75" s="913" t="b">
        <v>0</v>
      </c>
      <c r="C75" s="1286" t="s">
        <v>8845</v>
      </c>
      <c r="D75" s="1287" t="s">
        <v>8846</v>
      </c>
      <c r="E75" s="1290">
        <v>7.506243636E9</v>
      </c>
      <c r="F75" s="917" t="b">
        <v>0</v>
      </c>
      <c r="G75" s="952"/>
      <c r="H75" s="956"/>
    </row>
    <row r="76" ht="22.5" customHeight="1">
      <c r="A76" s="1259">
        <v>75.0</v>
      </c>
      <c r="B76" s="913" t="b">
        <v>0</v>
      </c>
      <c r="C76" s="1286" t="s">
        <v>8847</v>
      </c>
      <c r="D76" s="1287" t="s">
        <v>8848</v>
      </c>
      <c r="E76" s="1285">
        <v>7.503331001E9</v>
      </c>
      <c r="F76" s="917" t="b">
        <v>0</v>
      </c>
      <c r="G76" s="952"/>
      <c r="H76" s="953"/>
    </row>
    <row r="77" ht="22.5" customHeight="1">
      <c r="A77" s="1259">
        <v>76.0</v>
      </c>
      <c r="B77" s="913" t="b">
        <v>0</v>
      </c>
      <c r="C77" s="1286" t="s">
        <v>8849</v>
      </c>
      <c r="D77" s="1287" t="s">
        <v>8831</v>
      </c>
      <c r="E77" s="1291" t="s">
        <v>746</v>
      </c>
      <c r="F77" s="917" t="b">
        <v>0</v>
      </c>
      <c r="G77" s="952"/>
      <c r="H77" s="953"/>
    </row>
    <row r="78" ht="22.5" customHeight="1">
      <c r="A78" s="1259">
        <v>77.0</v>
      </c>
      <c r="B78" s="913" t="b">
        <v>0</v>
      </c>
      <c r="C78" s="1286" t="s">
        <v>8850</v>
      </c>
      <c r="D78" s="1287" t="s">
        <v>8851</v>
      </c>
      <c r="E78" s="1291">
        <v>7.502552006E9</v>
      </c>
      <c r="F78" s="917" t="b">
        <v>0</v>
      </c>
      <c r="G78" s="947"/>
      <c r="H78" s="953"/>
    </row>
    <row r="79" ht="22.5" customHeight="1">
      <c r="A79" s="1259">
        <v>78.0</v>
      </c>
      <c r="B79" s="913" t="b">
        <v>0</v>
      </c>
      <c r="C79" s="1286" t="s">
        <v>8785</v>
      </c>
      <c r="D79" s="1287" t="s">
        <v>748</v>
      </c>
      <c r="E79" s="1291">
        <v>7.501052727E9</v>
      </c>
      <c r="F79" s="917" t="b">
        <v>0</v>
      </c>
      <c r="G79" s="952"/>
      <c r="H79" s="953"/>
    </row>
    <row r="80" ht="22.5" customHeight="1">
      <c r="A80" s="1259">
        <v>79.0</v>
      </c>
      <c r="B80" s="913" t="b">
        <v>0</v>
      </c>
      <c r="C80" s="1286" t="s">
        <v>172</v>
      </c>
      <c r="D80" s="1287" t="s">
        <v>8852</v>
      </c>
      <c r="E80" s="1291" t="s">
        <v>8853</v>
      </c>
      <c r="F80" s="917" t="b">
        <v>0</v>
      </c>
      <c r="G80" s="952"/>
      <c r="H80" s="953"/>
    </row>
    <row r="81" ht="22.5" customHeight="1">
      <c r="A81" s="1259">
        <v>80.0</v>
      </c>
      <c r="B81" s="913" t="b">
        <v>0</v>
      </c>
      <c r="C81" s="1286" t="s">
        <v>239</v>
      </c>
      <c r="D81" s="1287" t="s">
        <v>8854</v>
      </c>
      <c r="E81" s="1291">
        <v>7.501297777E9</v>
      </c>
      <c r="F81" s="917" t="b">
        <v>0</v>
      </c>
      <c r="G81" s="952"/>
      <c r="H81" s="953"/>
    </row>
    <row r="82" ht="22.5" customHeight="1">
      <c r="A82" s="1259">
        <v>81.0</v>
      </c>
      <c r="B82" s="913" t="b">
        <v>0</v>
      </c>
      <c r="C82" s="1292" t="s">
        <v>617</v>
      </c>
      <c r="D82" s="1293" t="s">
        <v>618</v>
      </c>
      <c r="E82" s="1293">
        <v>7.50890321E9</v>
      </c>
      <c r="F82" s="917" t="b">
        <v>0</v>
      </c>
      <c r="G82" s="952"/>
      <c r="H82" s="953"/>
    </row>
    <row r="83" ht="22.5" customHeight="1">
      <c r="A83" s="1259">
        <v>82.0</v>
      </c>
      <c r="B83" s="913" t="b">
        <v>0</v>
      </c>
      <c r="C83" s="1288" t="s">
        <v>758</v>
      </c>
      <c r="D83" s="1293" t="s">
        <v>8754</v>
      </c>
      <c r="E83" s="1291">
        <v>7.701656399E9</v>
      </c>
      <c r="F83" s="917" t="b">
        <v>0</v>
      </c>
      <c r="G83" s="947"/>
      <c r="H83" s="953"/>
    </row>
    <row r="84" ht="22.5" customHeight="1">
      <c r="A84" s="1259">
        <v>83.0</v>
      </c>
      <c r="B84" s="913" t="b">
        <v>0</v>
      </c>
      <c r="C84" s="1288" t="s">
        <v>8855</v>
      </c>
      <c r="D84" s="1293" t="s">
        <v>8856</v>
      </c>
      <c r="E84" s="1291">
        <v>7.504040446E9</v>
      </c>
      <c r="F84" s="917" t="b">
        <v>0</v>
      </c>
      <c r="G84" s="952"/>
      <c r="H84" s="953"/>
    </row>
    <row r="85" ht="22.5" customHeight="1">
      <c r="A85" s="1259">
        <v>84.0</v>
      </c>
      <c r="B85" s="913" t="b">
        <v>0</v>
      </c>
      <c r="C85" s="1288" t="s">
        <v>765</v>
      </c>
      <c r="D85" s="1287" t="s">
        <v>8857</v>
      </c>
      <c r="E85" s="1291">
        <v>7.504458189E9</v>
      </c>
      <c r="F85" s="917" t="b">
        <v>0</v>
      </c>
      <c r="G85" s="952"/>
      <c r="H85" s="953"/>
    </row>
    <row r="86" ht="22.5" customHeight="1">
      <c r="A86" s="1259">
        <v>85.0</v>
      </c>
      <c r="B86" s="913" t="b">
        <v>0</v>
      </c>
      <c r="C86" s="1288" t="s">
        <v>8858</v>
      </c>
      <c r="D86" s="1287" t="s">
        <v>8859</v>
      </c>
      <c r="E86" s="1287">
        <v>7.707682726E9</v>
      </c>
      <c r="F86" s="917" t="b">
        <v>0</v>
      </c>
      <c r="G86" s="952"/>
      <c r="H86" s="953"/>
    </row>
    <row r="87" ht="22.5" customHeight="1">
      <c r="A87" s="1259">
        <v>86.0</v>
      </c>
      <c r="B87" s="913" t="b">
        <v>0</v>
      </c>
      <c r="C87" s="1286" t="s">
        <v>8860</v>
      </c>
      <c r="D87" s="1287" t="s">
        <v>8861</v>
      </c>
      <c r="E87" s="1287">
        <v>7.709031E9</v>
      </c>
      <c r="F87" s="917" t="b">
        <v>0</v>
      </c>
      <c r="G87" s="952"/>
      <c r="H87" s="953"/>
    </row>
    <row r="88" ht="22.5" customHeight="1">
      <c r="A88" s="1259">
        <v>87.0</v>
      </c>
      <c r="B88" s="913" t="b">
        <v>0</v>
      </c>
      <c r="C88" s="1286" t="s">
        <v>8862</v>
      </c>
      <c r="D88" s="1287" t="s">
        <v>8863</v>
      </c>
      <c r="E88" s="1287">
        <v>7.901379999E9</v>
      </c>
      <c r="F88" s="917" t="b">
        <v>0</v>
      </c>
      <c r="G88" s="952"/>
      <c r="H88" s="953"/>
    </row>
    <row r="89" ht="22.5" customHeight="1">
      <c r="A89" s="1259">
        <v>88.0</v>
      </c>
      <c r="B89" s="913" t="b">
        <v>0</v>
      </c>
      <c r="C89" s="1286" t="s">
        <v>8864</v>
      </c>
      <c r="D89" s="1287" t="s">
        <v>8861</v>
      </c>
      <c r="E89" s="1287">
        <v>7.709031E9</v>
      </c>
      <c r="F89" s="917" t="b">
        <v>0</v>
      </c>
      <c r="G89" s="952"/>
      <c r="H89" s="953"/>
    </row>
    <row r="90" ht="22.5" customHeight="1">
      <c r="A90" s="1259">
        <v>89.0</v>
      </c>
      <c r="B90" s="913" t="b">
        <v>0</v>
      </c>
      <c r="C90" s="1288" t="s">
        <v>162</v>
      </c>
      <c r="D90" s="1293" t="s">
        <v>8865</v>
      </c>
      <c r="E90" s="1293">
        <v>7.50700002E9</v>
      </c>
      <c r="F90" s="917" t="b">
        <v>0</v>
      </c>
      <c r="G90" s="952"/>
      <c r="H90" s="953"/>
    </row>
    <row r="91" ht="22.5" customHeight="1">
      <c r="A91" s="1259">
        <v>90.0</v>
      </c>
      <c r="B91" s="913" t="b">
        <v>0</v>
      </c>
      <c r="C91" s="1292" t="s">
        <v>8866</v>
      </c>
      <c r="D91" s="1293" t="s">
        <v>8867</v>
      </c>
      <c r="E91" s="1293">
        <v>7.70142123E9</v>
      </c>
      <c r="F91" s="917" t="b">
        <v>0</v>
      </c>
      <c r="G91" s="952"/>
      <c r="H91" s="953"/>
    </row>
    <row r="92" ht="22.5" customHeight="1">
      <c r="A92" s="1259">
        <v>91.0</v>
      </c>
      <c r="B92" s="913" t="b">
        <v>0</v>
      </c>
      <c r="C92" s="1292" t="s">
        <v>8868</v>
      </c>
      <c r="D92" s="1293" t="s">
        <v>780</v>
      </c>
      <c r="E92" s="1293" t="s">
        <v>8869</v>
      </c>
      <c r="F92" s="917" t="b">
        <v>0</v>
      </c>
      <c r="G92" s="952"/>
      <c r="H92" s="953"/>
    </row>
    <row r="93" ht="22.5" customHeight="1">
      <c r="A93" s="1259">
        <v>92.0</v>
      </c>
      <c r="B93" s="913" t="b">
        <v>0</v>
      </c>
      <c r="C93" s="1292" t="s">
        <v>782</v>
      </c>
      <c r="D93" s="1293" t="s">
        <v>8870</v>
      </c>
      <c r="E93" s="1293">
        <v>7.505242323E9</v>
      </c>
      <c r="F93" s="917" t="b">
        <v>0</v>
      </c>
      <c r="G93" s="952"/>
      <c r="H93" s="953"/>
    </row>
    <row r="94" ht="22.5" customHeight="1">
      <c r="A94" s="1259">
        <v>93.0</v>
      </c>
      <c r="B94" s="913" t="b">
        <v>0</v>
      </c>
      <c r="C94" s="1286" t="s">
        <v>8871</v>
      </c>
      <c r="D94" s="1287" t="s">
        <v>8831</v>
      </c>
      <c r="E94" s="1287">
        <v>7.514243203E9</v>
      </c>
      <c r="F94" s="917" t="b">
        <v>0</v>
      </c>
      <c r="G94" s="952"/>
      <c r="H94" s="953"/>
    </row>
    <row r="95" ht="22.5" customHeight="1">
      <c r="A95" s="1259">
        <v>94.0</v>
      </c>
      <c r="B95" s="913" t="b">
        <v>0</v>
      </c>
      <c r="C95" s="1286" t="s">
        <v>8872</v>
      </c>
      <c r="D95" s="1287" t="s">
        <v>8873</v>
      </c>
      <c r="E95" s="1287" t="s">
        <v>8874</v>
      </c>
      <c r="F95" s="917" t="b">
        <v>0</v>
      </c>
      <c r="G95" s="962"/>
      <c r="H95" s="953"/>
    </row>
    <row r="96" ht="22.5" customHeight="1">
      <c r="A96" s="1259">
        <v>95.0</v>
      </c>
      <c r="B96" s="913" t="b">
        <v>0</v>
      </c>
      <c r="C96" s="1294" t="s">
        <v>785</v>
      </c>
      <c r="D96" s="1286" t="s">
        <v>8875</v>
      </c>
      <c r="E96" s="1287">
        <v>7.701523416E9</v>
      </c>
      <c r="F96" s="917" t="b">
        <v>0</v>
      </c>
      <c r="G96" s="952"/>
      <c r="H96" s="953"/>
    </row>
    <row r="97" ht="22.5" customHeight="1">
      <c r="A97" s="1259">
        <v>96.0</v>
      </c>
      <c r="B97" s="913" t="b">
        <v>0</v>
      </c>
      <c r="C97" s="1292" t="s">
        <v>789</v>
      </c>
      <c r="D97" s="1286" t="s">
        <v>8876</v>
      </c>
      <c r="E97" s="1287">
        <v>7.504455144E9</v>
      </c>
      <c r="F97" s="917" t="b">
        <v>0</v>
      </c>
      <c r="G97" s="952"/>
      <c r="H97" s="953"/>
    </row>
    <row r="98" ht="22.5" customHeight="1">
      <c r="A98" s="1259">
        <v>97.0</v>
      </c>
      <c r="B98" s="913" t="b">
        <v>0</v>
      </c>
      <c r="C98" s="1292" t="s">
        <v>793</v>
      </c>
      <c r="D98" s="1286" t="s">
        <v>658</v>
      </c>
      <c r="E98" s="1289">
        <v>7.501817171E9</v>
      </c>
      <c r="F98" s="917" t="b">
        <v>0</v>
      </c>
      <c r="G98" s="952"/>
      <c r="H98" s="953"/>
    </row>
    <row r="99" ht="22.5" customHeight="1">
      <c r="A99" s="1259">
        <v>98.0</v>
      </c>
      <c r="B99" s="913" t="b">
        <v>0</v>
      </c>
      <c r="C99" s="1292" t="s">
        <v>8877</v>
      </c>
      <c r="D99" s="1286" t="s">
        <v>8878</v>
      </c>
      <c r="E99" s="1287" t="s">
        <v>8879</v>
      </c>
      <c r="F99" s="917" t="b">
        <v>0</v>
      </c>
      <c r="G99" s="952"/>
      <c r="H99" s="956"/>
    </row>
    <row r="100" ht="22.5" customHeight="1">
      <c r="A100" s="1259">
        <v>99.0</v>
      </c>
      <c r="B100" s="913" t="b">
        <v>0</v>
      </c>
      <c r="C100" s="1292" t="s">
        <v>799</v>
      </c>
      <c r="D100" s="1286" t="s">
        <v>801</v>
      </c>
      <c r="E100" s="1289">
        <v>7.508377648E9</v>
      </c>
      <c r="F100" s="917" t="b">
        <v>0</v>
      </c>
      <c r="G100" s="952"/>
      <c r="H100" s="953"/>
    </row>
    <row r="101" ht="22.5" customHeight="1">
      <c r="A101" s="1259">
        <v>100.0</v>
      </c>
      <c r="B101" s="913" t="b">
        <v>0</v>
      </c>
      <c r="C101" s="1292" t="s">
        <v>803</v>
      </c>
      <c r="D101" s="1286" t="s">
        <v>8880</v>
      </c>
      <c r="E101" s="1289" t="s">
        <v>8881</v>
      </c>
      <c r="F101" s="917" t="b">
        <v>0</v>
      </c>
      <c r="G101" s="952"/>
      <c r="H101" s="953"/>
    </row>
    <row r="102" ht="22.5" customHeight="1">
      <c r="A102" s="1259">
        <v>101.0</v>
      </c>
      <c r="B102" s="913" t="b">
        <v>0</v>
      </c>
      <c r="C102" s="1284" t="s">
        <v>805</v>
      </c>
      <c r="D102" s="1287" t="s">
        <v>8882</v>
      </c>
      <c r="E102" s="1287">
        <v>7.504459266E9</v>
      </c>
      <c r="F102" s="917" t="b">
        <v>0</v>
      </c>
      <c r="G102" s="952"/>
      <c r="H102" s="953"/>
    </row>
    <row r="103" ht="22.5" customHeight="1">
      <c r="A103" s="1259">
        <v>102.0</v>
      </c>
      <c r="B103" s="913" t="b">
        <v>0</v>
      </c>
      <c r="C103" s="1286" t="s">
        <v>8883</v>
      </c>
      <c r="D103" s="1287" t="s">
        <v>8884</v>
      </c>
      <c r="E103" s="1287" t="s">
        <v>8885</v>
      </c>
      <c r="F103" s="917" t="b">
        <v>0</v>
      </c>
      <c r="G103" s="952"/>
      <c r="H103" s="953"/>
    </row>
    <row r="104" ht="22.5" customHeight="1">
      <c r="A104" s="1259">
        <v>103.0</v>
      </c>
      <c r="B104" s="913" t="b">
        <v>0</v>
      </c>
      <c r="C104" s="1286" t="s">
        <v>8886</v>
      </c>
      <c r="D104" s="1287" t="s">
        <v>8887</v>
      </c>
      <c r="E104" s="1287">
        <v>7.505553733E9</v>
      </c>
      <c r="F104" s="917" t="b">
        <v>0</v>
      </c>
      <c r="G104" s="952"/>
      <c r="H104" s="953"/>
    </row>
    <row r="105" ht="22.5" customHeight="1">
      <c r="A105" s="1259">
        <v>104.0</v>
      </c>
      <c r="B105" s="913" t="b">
        <v>0</v>
      </c>
      <c r="C105" s="1286" t="s">
        <v>8888</v>
      </c>
      <c r="D105" s="1287" t="s">
        <v>8889</v>
      </c>
      <c r="E105" s="1287">
        <v>7.501143355E9</v>
      </c>
      <c r="F105" s="917" t="b">
        <v>0</v>
      </c>
      <c r="G105" s="952"/>
      <c r="H105" s="953"/>
    </row>
    <row r="106" ht="22.5" customHeight="1">
      <c r="A106" s="1259">
        <v>105.0</v>
      </c>
      <c r="B106" s="913" t="b">
        <v>0</v>
      </c>
      <c r="C106" s="1286" t="s">
        <v>8890</v>
      </c>
      <c r="D106" s="1295"/>
      <c r="E106" s="1287">
        <v>7.503403933E9</v>
      </c>
      <c r="F106" s="917" t="b">
        <v>0</v>
      </c>
      <c r="G106" s="952"/>
      <c r="H106" s="953"/>
    </row>
    <row r="107" ht="22.5" customHeight="1">
      <c r="A107" s="1259">
        <v>106.0</v>
      </c>
      <c r="B107" s="913" t="b">
        <v>0</v>
      </c>
      <c r="C107" s="1286" t="s">
        <v>8891</v>
      </c>
      <c r="D107" s="1287" t="s">
        <v>8892</v>
      </c>
      <c r="E107" s="1287">
        <v>7.504451545E9</v>
      </c>
      <c r="F107" s="917" t="b">
        <v>0</v>
      </c>
      <c r="G107" s="952"/>
      <c r="H107" s="956"/>
    </row>
    <row r="108" ht="22.5" customHeight="1">
      <c r="A108" s="1259">
        <v>107.0</v>
      </c>
      <c r="B108" s="913" t="b">
        <v>0</v>
      </c>
      <c r="C108" s="1286" t="s">
        <v>8893</v>
      </c>
      <c r="D108" s="1287" t="s">
        <v>8894</v>
      </c>
      <c r="E108" s="1287">
        <v>7.50401929E9</v>
      </c>
      <c r="F108" s="917" t="b">
        <v>1</v>
      </c>
      <c r="G108" s="952"/>
      <c r="H108" s="953"/>
    </row>
    <row r="109" ht="22.5" customHeight="1">
      <c r="A109" s="1259">
        <v>108.0</v>
      </c>
      <c r="B109" s="913" t="b">
        <v>0</v>
      </c>
      <c r="C109" s="1286" t="s">
        <v>8895</v>
      </c>
      <c r="D109" s="1287" t="s">
        <v>718</v>
      </c>
      <c r="E109" s="1287">
        <v>7.746547734E9</v>
      </c>
      <c r="F109" s="917" t="b">
        <v>0</v>
      </c>
      <c r="G109" s="952"/>
      <c r="H109" s="953"/>
    </row>
    <row r="110" ht="22.5" customHeight="1">
      <c r="A110" s="1259">
        <v>109.0</v>
      </c>
      <c r="B110" s="913" t="b">
        <v>0</v>
      </c>
      <c r="C110" s="1286" t="s">
        <v>8896</v>
      </c>
      <c r="D110" s="1287" t="s">
        <v>694</v>
      </c>
      <c r="E110" s="1287">
        <v>7.744480444E9</v>
      </c>
      <c r="F110" s="917" t="b">
        <v>0</v>
      </c>
      <c r="G110" s="952"/>
      <c r="H110" s="953"/>
    </row>
    <row r="111" ht="22.5" customHeight="1">
      <c r="A111" s="1259">
        <v>110.0</v>
      </c>
      <c r="B111" s="913" t="b">
        <v>0</v>
      </c>
      <c r="C111" s="1296" t="s">
        <v>8897</v>
      </c>
      <c r="D111" s="1297"/>
      <c r="E111" s="1283"/>
      <c r="F111" s="917" t="b">
        <v>0</v>
      </c>
      <c r="G111" s="952"/>
      <c r="H111" s="953"/>
    </row>
    <row r="112" ht="22.5" customHeight="1">
      <c r="A112" s="1259">
        <v>111.0</v>
      </c>
      <c r="B112" s="913" t="b">
        <v>0</v>
      </c>
      <c r="C112" s="1298" t="s">
        <v>8888</v>
      </c>
      <c r="D112" s="1299" t="s">
        <v>8898</v>
      </c>
      <c r="E112" s="1278"/>
      <c r="F112" s="917" t="b">
        <v>0</v>
      </c>
      <c r="G112" s="952"/>
      <c r="H112" s="956"/>
    </row>
    <row r="113" ht="22.5" customHeight="1">
      <c r="A113" s="1259">
        <v>112.0</v>
      </c>
      <c r="B113" s="913" t="b">
        <v>0</v>
      </c>
      <c r="C113" s="1300" t="s">
        <v>8899</v>
      </c>
      <c r="D113" s="1301">
        <v>7.50199531E9</v>
      </c>
      <c r="E113" s="1278"/>
      <c r="F113" s="917" t="b">
        <v>0</v>
      </c>
      <c r="G113" s="952"/>
      <c r="H113" s="956"/>
    </row>
    <row r="114" ht="22.5" customHeight="1">
      <c r="A114" s="1259">
        <v>113.0</v>
      </c>
      <c r="B114" s="913" t="b">
        <v>0</v>
      </c>
      <c r="C114" s="1300" t="s">
        <v>8900</v>
      </c>
      <c r="D114" s="1302">
        <v>7.731973737E9</v>
      </c>
      <c r="E114" s="1278"/>
      <c r="F114" s="917" t="b">
        <v>0</v>
      </c>
      <c r="G114" s="952"/>
      <c r="H114" s="953"/>
    </row>
    <row r="115" ht="22.5" customHeight="1">
      <c r="A115" s="1259">
        <v>114.0</v>
      </c>
      <c r="B115" s="913" t="b">
        <v>0</v>
      </c>
      <c r="C115" s="1303" t="s">
        <v>8901</v>
      </c>
      <c r="D115" s="1304" t="s">
        <v>8902</v>
      </c>
      <c r="E115" s="1278"/>
      <c r="F115" s="917" t="b">
        <v>0</v>
      </c>
      <c r="G115" s="952"/>
      <c r="H115" s="953"/>
    </row>
    <row r="116" ht="22.5" customHeight="1">
      <c r="A116" s="1259">
        <v>115.0</v>
      </c>
      <c r="B116" s="913" t="b">
        <v>0</v>
      </c>
      <c r="C116" s="1300" t="s">
        <v>8903</v>
      </c>
      <c r="D116" s="1304" t="s">
        <v>8904</v>
      </c>
      <c r="E116" s="1278"/>
      <c r="F116" s="917" t="b">
        <v>0</v>
      </c>
      <c r="G116" s="952"/>
      <c r="H116" s="953"/>
    </row>
    <row r="117" ht="22.5" customHeight="1">
      <c r="A117" s="1259">
        <v>116.0</v>
      </c>
      <c r="B117" s="913" t="b">
        <v>0</v>
      </c>
      <c r="C117" s="1300" t="s">
        <v>8905</v>
      </c>
      <c r="D117" s="1304" t="s">
        <v>8906</v>
      </c>
      <c r="E117" s="1278"/>
      <c r="F117" s="917" t="b">
        <v>0</v>
      </c>
      <c r="G117" s="952"/>
      <c r="H117" s="953"/>
    </row>
    <row r="118" ht="22.5" customHeight="1">
      <c r="A118" s="1259">
        <v>117.0</v>
      </c>
      <c r="B118" s="913" t="b">
        <v>0</v>
      </c>
      <c r="C118" s="1300" t="s">
        <v>8907</v>
      </c>
      <c r="D118" s="1305" t="s">
        <v>8908</v>
      </c>
      <c r="E118" s="1278"/>
      <c r="F118" s="917" t="b">
        <v>0</v>
      </c>
      <c r="G118" s="952"/>
      <c r="H118" s="953"/>
    </row>
    <row r="119" ht="22.5" customHeight="1">
      <c r="A119" s="1259">
        <v>118.0</v>
      </c>
      <c r="B119" s="913" t="b">
        <v>0</v>
      </c>
      <c r="C119" s="1306" t="s">
        <v>8909</v>
      </c>
      <c r="D119" s="1307"/>
      <c r="E119" s="1278"/>
      <c r="F119" s="917" t="b">
        <v>0</v>
      </c>
      <c r="G119" s="952"/>
      <c r="H119" s="953"/>
    </row>
    <row r="120" ht="22.5" customHeight="1">
      <c r="A120" s="1259">
        <v>119.0</v>
      </c>
      <c r="B120" s="913" t="b">
        <v>0</v>
      </c>
      <c r="C120" s="1308" t="s">
        <v>8910</v>
      </c>
      <c r="D120" s="1304" t="s">
        <v>8911</v>
      </c>
      <c r="E120" s="1278"/>
      <c r="F120" s="917" t="b">
        <v>0</v>
      </c>
      <c r="G120" s="947"/>
      <c r="H120" s="953"/>
    </row>
    <row r="121" ht="22.5" customHeight="1">
      <c r="A121" s="1259">
        <v>120.0</v>
      </c>
      <c r="B121" s="913" t="b">
        <v>0</v>
      </c>
      <c r="C121" s="1300" t="s">
        <v>8912</v>
      </c>
      <c r="D121" s="1304" t="s">
        <v>8913</v>
      </c>
      <c r="E121" s="1278"/>
      <c r="F121" s="917" t="b">
        <v>0</v>
      </c>
      <c r="G121" s="952"/>
      <c r="H121" s="953"/>
    </row>
    <row r="122" ht="22.5" customHeight="1">
      <c r="A122" s="1259">
        <v>121.0</v>
      </c>
      <c r="B122" s="913" t="b">
        <v>0</v>
      </c>
      <c r="C122" s="1300" t="s">
        <v>8914</v>
      </c>
      <c r="D122" s="1304" t="s">
        <v>8915</v>
      </c>
      <c r="E122" s="1278"/>
      <c r="F122" s="917" t="b">
        <v>0</v>
      </c>
      <c r="G122" s="952"/>
      <c r="H122" s="953"/>
    </row>
    <row r="123" ht="22.5" customHeight="1">
      <c r="A123" s="1259">
        <v>122.0</v>
      </c>
      <c r="B123" s="913" t="b">
        <v>0</v>
      </c>
      <c r="C123" s="1300" t="s">
        <v>56</v>
      </c>
      <c r="D123" s="1309">
        <v>7.701541157E9</v>
      </c>
      <c r="E123" s="1278"/>
      <c r="F123" s="917" t="b">
        <v>0</v>
      </c>
      <c r="G123" s="952"/>
      <c r="H123" s="953"/>
    </row>
    <row r="124" ht="22.5" customHeight="1">
      <c r="A124" s="1259">
        <v>123.0</v>
      </c>
      <c r="B124" s="913" t="b">
        <v>0</v>
      </c>
      <c r="C124" s="1310" t="s">
        <v>582</v>
      </c>
      <c r="D124" s="1309">
        <v>7.702223999E9</v>
      </c>
      <c r="E124" s="1278"/>
      <c r="F124" s="917" t="b">
        <v>0</v>
      </c>
      <c r="G124" s="952"/>
      <c r="H124" s="953"/>
    </row>
    <row r="125" ht="22.5" customHeight="1">
      <c r="A125" s="1259">
        <v>124.0</v>
      </c>
      <c r="B125" s="913" t="b">
        <v>0</v>
      </c>
      <c r="C125" s="1286" t="s">
        <v>8916</v>
      </c>
      <c r="D125" s="1311" t="s">
        <v>8917</v>
      </c>
      <c r="E125" s="952"/>
      <c r="F125" s="917" t="b">
        <v>0</v>
      </c>
      <c r="G125" s="947"/>
      <c r="H125" s="953"/>
    </row>
    <row r="126" ht="22.5" customHeight="1">
      <c r="A126" s="1259">
        <v>125.0</v>
      </c>
      <c r="B126" s="913" t="b">
        <v>0</v>
      </c>
      <c r="C126" s="1286" t="s">
        <v>683</v>
      </c>
      <c r="D126" s="1287">
        <v>7.701541144E9</v>
      </c>
      <c r="E126" s="952"/>
      <c r="F126" s="917" t="b">
        <v>0</v>
      </c>
      <c r="G126" s="947"/>
      <c r="H126" s="953"/>
    </row>
    <row r="127" ht="22.5" customHeight="1">
      <c r="A127" s="1259">
        <v>126.0</v>
      </c>
      <c r="B127" s="913" t="b">
        <v>0</v>
      </c>
      <c r="C127" s="1312" t="s">
        <v>8918</v>
      </c>
      <c r="D127" s="1313" t="s">
        <v>8919</v>
      </c>
      <c r="E127" s="952"/>
      <c r="F127" s="917" t="b">
        <v>0</v>
      </c>
      <c r="G127" s="964"/>
      <c r="H127" s="953"/>
    </row>
    <row r="128" ht="22.5" customHeight="1">
      <c r="A128" s="1259">
        <v>127.0</v>
      </c>
      <c r="B128" s="913" t="b">
        <v>0</v>
      </c>
      <c r="C128" s="1312" t="s">
        <v>8920</v>
      </c>
      <c r="D128" s="1287" t="s">
        <v>8921</v>
      </c>
      <c r="E128" s="952"/>
      <c r="F128" s="917" t="b">
        <v>0</v>
      </c>
      <c r="G128" s="964"/>
      <c r="H128" s="953"/>
    </row>
    <row r="129" ht="22.5" customHeight="1">
      <c r="A129" s="1259">
        <v>128.0</v>
      </c>
      <c r="B129" s="913" t="b">
        <v>0</v>
      </c>
      <c r="C129" s="1314" t="s">
        <v>8922</v>
      </c>
      <c r="D129" s="1315"/>
      <c r="E129" s="952"/>
      <c r="F129" s="917" t="b">
        <v>0</v>
      </c>
      <c r="G129" s="947"/>
      <c r="H129" s="953"/>
    </row>
    <row r="130" ht="22.5" customHeight="1">
      <c r="A130" s="1259">
        <v>129.0</v>
      </c>
      <c r="B130" s="913" t="b">
        <v>0</v>
      </c>
      <c r="C130" s="1316" t="s">
        <v>8923</v>
      </c>
      <c r="D130" s="1284">
        <v>7.701988686E9</v>
      </c>
      <c r="E130" s="952"/>
      <c r="F130" s="917" t="b">
        <v>0</v>
      </c>
      <c r="G130" s="964"/>
      <c r="H130" s="953"/>
    </row>
    <row r="131" ht="22.5" customHeight="1">
      <c r="A131" s="1259">
        <v>130.0</v>
      </c>
      <c r="B131" s="913" t="b">
        <v>0</v>
      </c>
      <c r="C131" s="1314" t="s">
        <v>8924</v>
      </c>
      <c r="D131" s="1317" t="s">
        <v>8925</v>
      </c>
      <c r="E131" s="952"/>
      <c r="F131" s="917" t="b">
        <v>0</v>
      </c>
      <c r="G131" s="964"/>
      <c r="H131" s="953"/>
    </row>
    <row r="132" ht="22.5" customHeight="1">
      <c r="A132" s="1259">
        <v>131.0</v>
      </c>
      <c r="B132" s="913" t="b">
        <v>0</v>
      </c>
      <c r="C132" s="1318" t="s">
        <v>8926</v>
      </c>
      <c r="D132" s="1317" t="s">
        <v>8927</v>
      </c>
      <c r="E132" s="952"/>
      <c r="F132" s="917" t="b">
        <v>0</v>
      </c>
      <c r="G132" s="947"/>
      <c r="H132" s="953"/>
    </row>
    <row r="133" ht="22.5" customHeight="1">
      <c r="A133" s="1259">
        <v>132.0</v>
      </c>
      <c r="B133" s="913" t="b">
        <v>0</v>
      </c>
      <c r="C133" s="1319" t="s">
        <v>8928</v>
      </c>
      <c r="D133" s="1320"/>
      <c r="E133" s="1297"/>
      <c r="F133" s="917" t="b">
        <v>0</v>
      </c>
      <c r="G133" s="947"/>
      <c r="H133" s="953"/>
    </row>
    <row r="134" ht="22.5" customHeight="1">
      <c r="A134" s="1259">
        <v>133.0</v>
      </c>
      <c r="B134" s="913" t="b">
        <v>0</v>
      </c>
      <c r="C134" s="1321" t="s">
        <v>1</v>
      </c>
      <c r="D134" s="1321" t="s">
        <v>3172</v>
      </c>
      <c r="E134" s="1321" t="s">
        <v>2996</v>
      </c>
      <c r="F134" s="917" t="b">
        <v>0</v>
      </c>
      <c r="G134" s="964"/>
      <c r="H134" s="953"/>
    </row>
    <row r="135" ht="22.5" customHeight="1">
      <c r="A135" s="1259">
        <v>134.0</v>
      </c>
      <c r="B135" s="913" t="b">
        <v>0</v>
      </c>
      <c r="C135" s="1298" t="s">
        <v>152</v>
      </c>
      <c r="D135" s="1322" t="s">
        <v>8929</v>
      </c>
      <c r="E135" s="1322">
        <v>7.509111199E9</v>
      </c>
      <c r="F135" s="917" t="b">
        <v>0</v>
      </c>
      <c r="G135" s="964"/>
      <c r="H135" s="953"/>
    </row>
    <row r="136" ht="22.5" customHeight="1">
      <c r="A136" s="1259">
        <v>135.0</v>
      </c>
      <c r="B136" s="913" t="b">
        <v>0</v>
      </c>
      <c r="C136" s="1300" t="s">
        <v>8930</v>
      </c>
      <c r="D136" s="1302" t="s">
        <v>8931</v>
      </c>
      <c r="E136" s="1302">
        <v>7.50468291E9</v>
      </c>
      <c r="F136" s="917" t="b">
        <v>0</v>
      </c>
      <c r="G136" s="947"/>
      <c r="H136" s="953"/>
    </row>
    <row r="137" ht="22.5" customHeight="1">
      <c r="A137" s="1259">
        <v>136.0</v>
      </c>
      <c r="B137" s="913" t="b">
        <v>0</v>
      </c>
      <c r="C137" s="1300" t="s">
        <v>8932</v>
      </c>
      <c r="D137" s="1309" t="s">
        <v>8933</v>
      </c>
      <c r="E137" s="1309">
        <v>7.504490856E9</v>
      </c>
      <c r="F137" s="917" t="b">
        <v>0</v>
      </c>
      <c r="G137" s="947"/>
      <c r="H137" s="953"/>
    </row>
    <row r="138" ht="22.5" customHeight="1">
      <c r="A138" s="1259">
        <v>137.0</v>
      </c>
      <c r="B138" s="913" t="b">
        <v>0</v>
      </c>
      <c r="C138" s="1300" t="s">
        <v>8934</v>
      </c>
      <c r="D138" s="1309" t="s">
        <v>274</v>
      </c>
      <c r="E138" s="1309">
        <v>7.50741E9</v>
      </c>
      <c r="F138" s="917" t="b">
        <v>0</v>
      </c>
      <c r="G138" s="964"/>
      <c r="H138" s="953"/>
    </row>
    <row r="139" ht="22.5" customHeight="1">
      <c r="A139" s="1259">
        <v>138.0</v>
      </c>
      <c r="B139" s="913" t="b">
        <v>0</v>
      </c>
      <c r="C139" s="1300" t="s">
        <v>8935</v>
      </c>
      <c r="D139" s="1309" t="s">
        <v>278</v>
      </c>
      <c r="E139" s="1309">
        <v>7.504454682E9</v>
      </c>
      <c r="F139" s="917" t="b">
        <v>0</v>
      </c>
      <c r="G139" s="964"/>
      <c r="H139" s="953"/>
    </row>
    <row r="140" ht="22.5" customHeight="1">
      <c r="A140" s="1259">
        <v>139.0</v>
      </c>
      <c r="B140" s="913" t="b">
        <v>0</v>
      </c>
      <c r="C140" s="1300" t="s">
        <v>265</v>
      </c>
      <c r="D140" s="1309" t="s">
        <v>266</v>
      </c>
      <c r="E140" s="1309">
        <v>7.503000073E9</v>
      </c>
      <c r="F140" s="917" t="b">
        <v>0</v>
      </c>
      <c r="G140" s="964"/>
      <c r="H140" s="953"/>
    </row>
    <row r="141" ht="22.5" customHeight="1">
      <c r="A141" s="1259">
        <v>140.0</v>
      </c>
      <c r="B141" s="913" t="b">
        <v>0</v>
      </c>
      <c r="C141" s="1300" t="s">
        <v>269</v>
      </c>
      <c r="D141" s="1309" t="s">
        <v>270</v>
      </c>
      <c r="E141" s="1309">
        <v>7.507595972E9</v>
      </c>
      <c r="F141" s="917" t="b">
        <v>0</v>
      </c>
      <c r="G141" s="947"/>
      <c r="H141" s="953"/>
    </row>
    <row r="142" ht="22.5" customHeight="1">
      <c r="A142" s="1259">
        <v>141.0</v>
      </c>
      <c r="B142" s="913" t="b">
        <v>0</v>
      </c>
      <c r="C142" s="1300" t="s">
        <v>8936</v>
      </c>
      <c r="D142" s="1302" t="s">
        <v>8937</v>
      </c>
      <c r="E142" s="1302">
        <v>7.501000211E9</v>
      </c>
      <c r="F142" s="917" t="b">
        <v>0</v>
      </c>
      <c r="G142" s="964"/>
      <c r="H142" s="953"/>
    </row>
    <row r="143" ht="22.5" customHeight="1">
      <c r="A143" s="1259">
        <v>142.0</v>
      </c>
      <c r="B143" s="913" t="b">
        <v>0</v>
      </c>
      <c r="C143" s="1300" t="s">
        <v>8938</v>
      </c>
      <c r="D143" s="1309" t="s">
        <v>309</v>
      </c>
      <c r="E143" s="1309">
        <v>7.504454447E9</v>
      </c>
      <c r="F143" s="917" t="b">
        <v>0</v>
      </c>
      <c r="G143" s="947"/>
      <c r="H143" s="953"/>
    </row>
    <row r="144" ht="22.5" customHeight="1">
      <c r="A144" s="1259">
        <v>143.0</v>
      </c>
      <c r="B144" s="913" t="b">
        <v>0</v>
      </c>
      <c r="C144" s="1300" t="s">
        <v>8939</v>
      </c>
      <c r="D144" s="1302" t="s">
        <v>694</v>
      </c>
      <c r="E144" s="1302">
        <v>7.504638884E9</v>
      </c>
      <c r="F144" s="917" t="b">
        <v>0</v>
      </c>
      <c r="G144" s="964"/>
      <c r="H144" s="953"/>
    </row>
    <row r="145" ht="22.5" customHeight="1">
      <c r="A145" s="1259">
        <v>144.0</v>
      </c>
      <c r="B145" s="913" t="b">
        <v>0</v>
      </c>
      <c r="C145" s="1300" t="s">
        <v>285</v>
      </c>
      <c r="D145" s="1309" t="s">
        <v>286</v>
      </c>
      <c r="E145" s="1309">
        <v>7.50451494E9</v>
      </c>
      <c r="F145" s="917" t="b">
        <v>0</v>
      </c>
      <c r="G145" s="964"/>
      <c r="H145" s="953"/>
    </row>
    <row r="146" ht="22.5" customHeight="1">
      <c r="A146" s="1259">
        <v>145.0</v>
      </c>
      <c r="B146" s="913" t="b">
        <v>0</v>
      </c>
      <c r="C146" s="1300" t="s">
        <v>312</v>
      </c>
      <c r="D146" s="1309" t="s">
        <v>313</v>
      </c>
      <c r="E146" s="1309">
        <v>7.504451919E9</v>
      </c>
      <c r="F146" s="917" t="b">
        <v>0</v>
      </c>
      <c r="G146" s="964"/>
      <c r="H146" s="953"/>
    </row>
    <row r="147" ht="22.5" customHeight="1">
      <c r="A147" s="1259">
        <v>146.0</v>
      </c>
      <c r="B147" s="913" t="b">
        <v>0</v>
      </c>
      <c r="C147" s="1310" t="s">
        <v>8940</v>
      </c>
      <c r="D147" s="1309" t="s">
        <v>8941</v>
      </c>
      <c r="E147" s="1309">
        <v>7.504457303E9</v>
      </c>
      <c r="F147" s="917" t="b">
        <v>0</v>
      </c>
      <c r="G147" s="964"/>
      <c r="H147" s="953"/>
    </row>
    <row r="148" ht="22.5" customHeight="1">
      <c r="A148" s="1259">
        <v>147.0</v>
      </c>
      <c r="B148" s="913" t="b">
        <v>0</v>
      </c>
      <c r="C148" s="1300" t="s">
        <v>56</v>
      </c>
      <c r="D148" s="1309" t="s">
        <v>289</v>
      </c>
      <c r="E148" s="1309">
        <v>7.701541157E9</v>
      </c>
      <c r="F148" s="917" t="b">
        <v>0</v>
      </c>
      <c r="G148" s="947"/>
      <c r="H148" s="953"/>
    </row>
    <row r="149" ht="22.5" customHeight="1">
      <c r="A149" s="1259">
        <v>148.0</v>
      </c>
      <c r="B149" s="913" t="b">
        <v>0</v>
      </c>
      <c r="C149" s="1300" t="s">
        <v>8942</v>
      </c>
      <c r="D149" s="1302" t="s">
        <v>8943</v>
      </c>
      <c r="E149" s="1302">
        <v>7.504457752E9</v>
      </c>
      <c r="F149" s="917" t="b">
        <v>0</v>
      </c>
      <c r="G149" s="964"/>
      <c r="H149" s="953"/>
    </row>
    <row r="150" ht="22.5" customHeight="1">
      <c r="A150" s="1259">
        <v>149.0</v>
      </c>
      <c r="B150" s="913" t="b">
        <v>0</v>
      </c>
      <c r="C150" s="1300" t="s">
        <v>8944</v>
      </c>
      <c r="D150" s="1302" t="s">
        <v>8945</v>
      </c>
      <c r="E150" s="1302">
        <v>7.514451009E9</v>
      </c>
      <c r="F150" s="917" t="b">
        <v>0</v>
      </c>
      <c r="G150" s="947"/>
      <c r="H150" s="953"/>
    </row>
    <row r="151" ht="22.5" customHeight="1">
      <c r="A151" s="1259">
        <v>150.0</v>
      </c>
      <c r="B151" s="913" t="b">
        <v>0</v>
      </c>
      <c r="C151" s="1300" t="s">
        <v>83</v>
      </c>
      <c r="D151" s="1302" t="s">
        <v>8946</v>
      </c>
      <c r="E151" s="1302" t="s">
        <v>8947</v>
      </c>
      <c r="F151" s="917" t="b">
        <v>0</v>
      </c>
      <c r="G151" s="964"/>
      <c r="H151" s="953"/>
    </row>
    <row r="152" ht="22.5" customHeight="1">
      <c r="A152" s="1259">
        <v>151.0</v>
      </c>
      <c r="B152" s="913" t="b">
        <v>0</v>
      </c>
      <c r="C152" s="1300" t="s">
        <v>8948</v>
      </c>
      <c r="D152" s="1302" t="s">
        <v>900</v>
      </c>
      <c r="E152" s="1302">
        <v>7.50600007E9</v>
      </c>
      <c r="F152" s="917" t="b">
        <v>0</v>
      </c>
      <c r="G152" s="964"/>
      <c r="H152" s="953"/>
    </row>
    <row r="153" ht="22.5" customHeight="1">
      <c r="A153" s="1259">
        <v>152.0</v>
      </c>
      <c r="B153" s="913" t="b">
        <v>0</v>
      </c>
      <c r="C153" s="1300" t="s">
        <v>114</v>
      </c>
      <c r="D153" s="1302" t="s">
        <v>869</v>
      </c>
      <c r="E153" s="1302">
        <v>7.508884388E9</v>
      </c>
      <c r="F153" s="917" t="b">
        <v>0</v>
      </c>
      <c r="G153" s="964"/>
      <c r="H153" s="953"/>
    </row>
    <row r="154" ht="22.5" customHeight="1">
      <c r="A154" s="1259">
        <v>153.0</v>
      </c>
      <c r="B154" s="913" t="b">
        <v>0</v>
      </c>
      <c r="C154" s="1323" t="s">
        <v>8949</v>
      </c>
      <c r="D154" s="1302" t="s">
        <v>8950</v>
      </c>
      <c r="E154" s="1302">
        <v>7.504453522E9</v>
      </c>
      <c r="F154" s="917" t="b">
        <v>0</v>
      </c>
      <c r="G154" s="964"/>
      <c r="H154" s="953"/>
    </row>
    <row r="155" ht="22.5" customHeight="1">
      <c r="A155" s="1259">
        <v>154.0</v>
      </c>
      <c r="B155" s="913" t="b">
        <v>0</v>
      </c>
      <c r="C155" s="1300" t="s">
        <v>8951</v>
      </c>
      <c r="D155" s="1302" t="s">
        <v>8754</v>
      </c>
      <c r="E155" s="1302">
        <v>7.504457773E9</v>
      </c>
      <c r="F155" s="917" t="b">
        <v>0</v>
      </c>
      <c r="G155" s="964"/>
      <c r="H155" s="953"/>
    </row>
    <row r="156" ht="22.5" customHeight="1">
      <c r="A156" s="1259">
        <v>155.0</v>
      </c>
      <c r="B156" s="913" t="b">
        <v>0</v>
      </c>
      <c r="C156" s="1300" t="s">
        <v>8952</v>
      </c>
      <c r="D156" s="1324"/>
      <c r="E156" s="1302">
        <v>7.510004444E9</v>
      </c>
      <c r="F156" s="917" t="b">
        <v>0</v>
      </c>
      <c r="G156" s="964"/>
      <c r="H156" s="953"/>
    </row>
    <row r="157" ht="22.5" customHeight="1">
      <c r="A157" s="1259">
        <v>156.0</v>
      </c>
      <c r="B157" s="913" t="b">
        <v>0</v>
      </c>
      <c r="C157" s="1300" t="s">
        <v>171</v>
      </c>
      <c r="D157" s="1302" t="s">
        <v>360</v>
      </c>
      <c r="E157" s="1302">
        <v>7.504490054E9</v>
      </c>
      <c r="F157" s="917" t="b">
        <v>0</v>
      </c>
      <c r="G157" s="964"/>
      <c r="H157" s="953"/>
    </row>
    <row r="158" ht="22.5" customHeight="1">
      <c r="A158" s="1259">
        <v>157.0</v>
      </c>
      <c r="B158" s="913" t="b">
        <v>0</v>
      </c>
      <c r="C158" s="1300" t="s">
        <v>8953</v>
      </c>
      <c r="D158" s="1302" t="s">
        <v>694</v>
      </c>
      <c r="E158" s="1302">
        <v>7.50445155E9</v>
      </c>
      <c r="F158" s="917" t="b">
        <v>0</v>
      </c>
      <c r="G158" s="964"/>
      <c r="H158" s="953"/>
    </row>
    <row r="159" ht="22.5" customHeight="1">
      <c r="A159" s="1259">
        <v>158.0</v>
      </c>
      <c r="B159" s="913" t="b">
        <v>0</v>
      </c>
      <c r="C159" s="1300" t="s">
        <v>8954</v>
      </c>
      <c r="D159" s="1302" t="s">
        <v>8955</v>
      </c>
      <c r="E159" s="1302">
        <v>7.50445079E9</v>
      </c>
      <c r="F159" s="917" t="b">
        <v>0</v>
      </c>
      <c r="G159" s="964"/>
      <c r="H159" s="953"/>
    </row>
    <row r="160" ht="22.5" customHeight="1">
      <c r="A160" s="1259">
        <v>159.0</v>
      </c>
      <c r="B160" s="913" t="b">
        <v>0</v>
      </c>
      <c r="C160" s="1323" t="s">
        <v>8956</v>
      </c>
      <c r="D160" s="1302" t="s">
        <v>8957</v>
      </c>
      <c r="E160" s="1302">
        <v>7.504299991E9</v>
      </c>
      <c r="F160" s="917" t="b">
        <v>0</v>
      </c>
      <c r="G160" s="964"/>
      <c r="H160" s="953"/>
    </row>
    <row r="161" ht="22.5" customHeight="1">
      <c r="A161" s="1259">
        <v>160.0</v>
      </c>
      <c r="B161" s="913" t="b">
        <v>0</v>
      </c>
      <c r="C161" s="1323" t="s">
        <v>8958</v>
      </c>
      <c r="D161" s="1302" t="s">
        <v>8959</v>
      </c>
      <c r="E161" s="1304">
        <v>7.504468482E9</v>
      </c>
      <c r="F161" s="917" t="b">
        <v>0</v>
      </c>
      <c r="G161" s="964"/>
      <c r="H161" s="953"/>
    </row>
    <row r="162" ht="22.5" customHeight="1">
      <c r="A162" s="1259">
        <v>161.0</v>
      </c>
      <c r="B162" s="913" t="b">
        <v>0</v>
      </c>
      <c r="C162" s="1300" t="s">
        <v>8960</v>
      </c>
      <c r="D162" s="1302" t="s">
        <v>8961</v>
      </c>
      <c r="E162" s="1302">
        <v>7.50371707E9</v>
      </c>
      <c r="F162" s="917" t="b">
        <v>0</v>
      </c>
      <c r="G162" s="964"/>
      <c r="H162" s="953"/>
    </row>
    <row r="163" ht="22.5" customHeight="1">
      <c r="A163" s="1259">
        <v>162.0</v>
      </c>
      <c r="B163" s="913" t="b">
        <v>0</v>
      </c>
      <c r="C163" s="1323" t="s">
        <v>8962</v>
      </c>
      <c r="D163" s="1302" t="s">
        <v>849</v>
      </c>
      <c r="E163" s="1325">
        <v>7.505515555E9</v>
      </c>
      <c r="F163" s="917" t="b">
        <v>0</v>
      </c>
      <c r="G163" s="964"/>
      <c r="H163" s="953"/>
    </row>
    <row r="164" ht="22.5" customHeight="1">
      <c r="A164" s="1259">
        <v>163.0</v>
      </c>
      <c r="B164" s="913" t="b">
        <v>0</v>
      </c>
      <c r="C164" s="1326" t="s">
        <v>8963</v>
      </c>
      <c r="D164" s="1302" t="s">
        <v>694</v>
      </c>
      <c r="E164" s="1304" t="s">
        <v>8964</v>
      </c>
      <c r="F164" s="917" t="b">
        <v>0</v>
      </c>
      <c r="G164" s="964"/>
      <c r="H164" s="953"/>
    </row>
    <row r="165" ht="22.5" customHeight="1">
      <c r="A165" s="1259">
        <v>164.0</v>
      </c>
      <c r="B165" s="913" t="b">
        <v>0</v>
      </c>
      <c r="C165" s="1323" t="s">
        <v>8965</v>
      </c>
      <c r="D165" s="1302" t="s">
        <v>8966</v>
      </c>
      <c r="E165" s="1304">
        <v>7.504452642E9</v>
      </c>
      <c r="F165" s="917" t="b">
        <v>0</v>
      </c>
      <c r="G165" s="964"/>
      <c r="H165" s="953"/>
    </row>
    <row r="166" ht="22.5" customHeight="1">
      <c r="A166" s="1259">
        <v>165.0</v>
      </c>
      <c r="B166" s="913" t="b">
        <v>0</v>
      </c>
      <c r="C166" s="1323" t="s">
        <v>8967</v>
      </c>
      <c r="D166" s="1302" t="s">
        <v>8968</v>
      </c>
      <c r="E166" s="1304">
        <v>7.504454334E9</v>
      </c>
      <c r="F166" s="917" t="b">
        <v>0</v>
      </c>
      <c r="G166" s="964"/>
      <c r="H166" s="953"/>
    </row>
    <row r="167" ht="22.5" customHeight="1">
      <c r="A167" s="1259">
        <v>166.0</v>
      </c>
      <c r="B167" s="913" t="b">
        <v>0</v>
      </c>
      <c r="C167" s="1323" t="s">
        <v>8969</v>
      </c>
      <c r="D167" s="1302" t="s">
        <v>8970</v>
      </c>
      <c r="E167" s="1302" t="s">
        <v>8971</v>
      </c>
      <c r="F167" s="917" t="b">
        <v>0</v>
      </c>
      <c r="G167" s="964"/>
      <c r="H167" s="953"/>
    </row>
    <row r="168" ht="22.5" customHeight="1">
      <c r="A168" s="1259">
        <v>167.0</v>
      </c>
      <c r="B168" s="913" t="b">
        <v>0</v>
      </c>
      <c r="C168" s="1323" t="s">
        <v>8972</v>
      </c>
      <c r="D168" s="1324"/>
      <c r="E168" s="1302" t="s">
        <v>8973</v>
      </c>
      <c r="F168" s="917" t="b">
        <v>0</v>
      </c>
      <c r="G168" s="947"/>
      <c r="H168" s="953"/>
    </row>
    <row r="169" ht="22.5" customHeight="1">
      <c r="A169" s="1259">
        <v>168.0</v>
      </c>
      <c r="B169" s="913" t="b">
        <v>0</v>
      </c>
      <c r="C169" s="1310" t="s">
        <v>582</v>
      </c>
      <c r="D169" s="1309" t="s">
        <v>583</v>
      </c>
      <c r="E169" s="1309">
        <v>7.702223999E9</v>
      </c>
      <c r="F169" s="917" t="b">
        <v>0</v>
      </c>
      <c r="G169" s="964"/>
      <c r="H169" s="953"/>
    </row>
    <row r="170" ht="22.5" customHeight="1">
      <c r="A170" s="1259">
        <v>169.0</v>
      </c>
      <c r="B170" s="913" t="b">
        <v>0</v>
      </c>
      <c r="C170" s="1310" t="s">
        <v>492</v>
      </c>
      <c r="D170" s="1309" t="s">
        <v>493</v>
      </c>
      <c r="E170" s="1327" t="s">
        <v>8974</v>
      </c>
      <c r="F170" s="917" t="b">
        <v>0</v>
      </c>
      <c r="G170" s="964"/>
      <c r="H170" s="953"/>
    </row>
    <row r="171" ht="22.5" customHeight="1">
      <c r="A171" s="1259">
        <v>170.0</v>
      </c>
      <c r="B171" s="913" t="b">
        <v>0</v>
      </c>
      <c r="C171" s="1300" t="s">
        <v>2033</v>
      </c>
      <c r="D171" s="1324"/>
      <c r="E171" s="1302">
        <v>7.508611111E9</v>
      </c>
      <c r="F171" s="917" t="b">
        <v>0</v>
      </c>
      <c r="G171" s="964"/>
      <c r="H171" s="953"/>
    </row>
    <row r="172" ht="22.5" customHeight="1">
      <c r="A172" s="1259">
        <v>171.0</v>
      </c>
      <c r="B172" s="913" t="b">
        <v>0</v>
      </c>
      <c r="C172" s="1300" t="s">
        <v>8975</v>
      </c>
      <c r="D172" s="1302" t="s">
        <v>701</v>
      </c>
      <c r="E172" s="1328">
        <v>7.5000707E9</v>
      </c>
      <c r="F172" s="917" t="b">
        <v>0</v>
      </c>
      <c r="G172" s="964"/>
      <c r="H172" s="953"/>
    </row>
    <row r="173" ht="22.5" customHeight="1">
      <c r="A173" s="1259">
        <v>172.0</v>
      </c>
      <c r="B173" s="913" t="b">
        <v>0</v>
      </c>
      <c r="C173" s="1323" t="s">
        <v>8976</v>
      </c>
      <c r="D173" s="1324"/>
      <c r="E173" s="1304">
        <v>7.502619999E9</v>
      </c>
      <c r="F173" s="917" t="b">
        <v>0</v>
      </c>
      <c r="G173" s="964"/>
      <c r="H173" s="953"/>
    </row>
    <row r="174" ht="22.5" customHeight="1">
      <c r="A174" s="1259">
        <v>173.0</v>
      </c>
      <c r="B174" s="913" t="b">
        <v>0</v>
      </c>
      <c r="C174" s="1323" t="s">
        <v>8977</v>
      </c>
      <c r="D174" s="1302" t="s">
        <v>8978</v>
      </c>
      <c r="E174" s="1304">
        <v>7.509990003E9</v>
      </c>
      <c r="F174" s="917" t="b">
        <v>0</v>
      </c>
      <c r="G174" s="964"/>
      <c r="H174" s="953"/>
    </row>
    <row r="175" ht="22.5" customHeight="1">
      <c r="A175" s="1259">
        <v>174.0</v>
      </c>
      <c r="B175" s="913" t="b">
        <v>0</v>
      </c>
      <c r="C175" s="1323" t="s">
        <v>8979</v>
      </c>
      <c r="D175" s="1302" t="s">
        <v>694</v>
      </c>
      <c r="E175" s="1302">
        <v>7.504451128E9</v>
      </c>
      <c r="F175" s="917" t="b">
        <v>0</v>
      </c>
      <c r="G175" s="924"/>
      <c r="H175" s="1329"/>
    </row>
    <row r="176" ht="22.5" customHeight="1">
      <c r="A176" s="1259">
        <v>175.0</v>
      </c>
      <c r="B176" s="913" t="b">
        <v>0</v>
      </c>
      <c r="C176" s="1323" t="s">
        <v>8980</v>
      </c>
      <c r="D176" s="1324"/>
      <c r="E176" s="1304">
        <v>7.505588008E9</v>
      </c>
      <c r="F176" s="917" t="b">
        <v>0</v>
      </c>
      <c r="G176" s="924"/>
      <c r="H176" s="1329"/>
    </row>
    <row r="177" ht="22.5" customHeight="1">
      <c r="A177" s="1259">
        <v>176.0</v>
      </c>
      <c r="B177" s="913" t="b">
        <v>0</v>
      </c>
      <c r="C177" s="1323" t="s">
        <v>8981</v>
      </c>
      <c r="D177" s="1302" t="s">
        <v>8982</v>
      </c>
      <c r="E177" s="1304">
        <v>7.514458665E9</v>
      </c>
      <c r="F177" s="917" t="b">
        <v>0</v>
      </c>
      <c r="G177" s="924"/>
      <c r="H177" s="1329"/>
    </row>
    <row r="178" ht="22.5" customHeight="1">
      <c r="A178" s="1259">
        <v>177.0</v>
      </c>
      <c r="B178" s="913" t="b">
        <v>0</v>
      </c>
      <c r="C178" s="1323" t="s">
        <v>8983</v>
      </c>
      <c r="D178" s="1324"/>
      <c r="E178" s="1304">
        <v>7.506600007E9</v>
      </c>
      <c r="F178" s="924"/>
      <c r="G178" s="924"/>
      <c r="H178" s="1329"/>
    </row>
    <row r="179" ht="22.5" customHeight="1">
      <c r="A179" s="1259">
        <v>178.0</v>
      </c>
      <c r="B179" s="913" t="b">
        <v>0</v>
      </c>
      <c r="C179" s="1323" t="s">
        <v>8984</v>
      </c>
      <c r="D179" s="1324"/>
      <c r="E179" s="1304" t="s">
        <v>8985</v>
      </c>
      <c r="F179" s="924"/>
      <c r="G179" s="924"/>
      <c r="H179" s="1329"/>
    </row>
    <row r="180" ht="22.5" customHeight="1">
      <c r="A180" s="1259">
        <v>179.0</v>
      </c>
      <c r="B180" s="913" t="b">
        <v>0</v>
      </c>
      <c r="C180" s="1300" t="s">
        <v>8986</v>
      </c>
      <c r="D180" s="1302" t="s">
        <v>8987</v>
      </c>
      <c r="E180" s="1302">
        <v>7.50445232E9</v>
      </c>
      <c r="F180" s="924"/>
      <c r="G180" s="924"/>
      <c r="H180" s="1329"/>
    </row>
    <row r="181" ht="22.5" customHeight="1">
      <c r="A181" s="1259">
        <v>180.0</v>
      </c>
      <c r="B181" s="913" t="b">
        <v>0</v>
      </c>
      <c r="C181" s="1308" t="s">
        <v>8988</v>
      </c>
      <c r="D181" s="1324"/>
      <c r="E181" s="1330" t="s">
        <v>8989</v>
      </c>
      <c r="F181" s="924"/>
      <c r="G181" s="924"/>
      <c r="H181" s="1329"/>
    </row>
    <row r="182" ht="22.5" customHeight="1">
      <c r="A182" s="1259">
        <v>181.0</v>
      </c>
      <c r="B182" s="913" t="b">
        <v>0</v>
      </c>
      <c r="C182" s="1323" t="s">
        <v>8990</v>
      </c>
      <c r="D182" s="1302" t="s">
        <v>699</v>
      </c>
      <c r="E182" s="1324"/>
      <c r="F182" s="924"/>
      <c r="G182" s="924"/>
      <c r="H182" s="1329"/>
    </row>
    <row r="183" ht="22.5" customHeight="1">
      <c r="A183" s="1259">
        <v>182.0</v>
      </c>
      <c r="B183" s="913" t="b">
        <v>0</v>
      </c>
      <c r="C183" s="1323" t="s">
        <v>324</v>
      </c>
      <c r="D183" s="1302" t="s">
        <v>8991</v>
      </c>
      <c r="E183" s="1302">
        <v>7.507983E9</v>
      </c>
      <c r="F183" s="924"/>
      <c r="G183" s="924"/>
      <c r="H183" s="1329"/>
    </row>
    <row r="184" ht="22.5" customHeight="1">
      <c r="A184" s="1259">
        <v>183.0</v>
      </c>
      <c r="B184" s="913" t="b">
        <v>0</v>
      </c>
      <c r="C184" s="1323" t="s">
        <v>8840</v>
      </c>
      <c r="D184" s="1324"/>
      <c r="E184" s="1304" t="s">
        <v>8992</v>
      </c>
      <c r="F184" s="924"/>
      <c r="G184" s="924"/>
      <c r="H184" s="1329"/>
    </row>
    <row r="185" ht="22.5" customHeight="1">
      <c r="A185" s="1259">
        <v>184.0</v>
      </c>
      <c r="B185" s="913" t="b">
        <v>0</v>
      </c>
      <c r="C185" s="1323" t="s">
        <v>2772</v>
      </c>
      <c r="D185" s="1324"/>
      <c r="E185" s="1324"/>
      <c r="F185" s="924"/>
      <c r="G185" s="924"/>
      <c r="H185" s="1329"/>
    </row>
    <row r="186" ht="22.5" customHeight="1">
      <c r="A186" s="1259">
        <v>185.0</v>
      </c>
      <c r="B186" s="913" t="b">
        <v>0</v>
      </c>
      <c r="C186" s="1323" t="s">
        <v>8993</v>
      </c>
      <c r="D186" s="1324"/>
      <c r="E186" s="1302">
        <v>7.501404499E9</v>
      </c>
      <c r="F186" s="924"/>
      <c r="G186" s="924"/>
      <c r="H186" s="1329"/>
    </row>
    <row r="187" ht="22.5" customHeight="1">
      <c r="A187" s="1259">
        <v>186.0</v>
      </c>
      <c r="B187" s="913" t="b">
        <v>0</v>
      </c>
      <c r="C187" s="1323" t="s">
        <v>8994</v>
      </c>
      <c r="D187" s="1324"/>
      <c r="E187" s="1302" t="s">
        <v>8995</v>
      </c>
      <c r="F187" s="924"/>
      <c r="G187" s="924"/>
      <c r="H187" s="1329"/>
    </row>
    <row r="188" ht="22.5" customHeight="1">
      <c r="A188" s="1259">
        <v>187.0</v>
      </c>
      <c r="B188" s="913" t="b">
        <v>0</v>
      </c>
      <c r="C188" s="1323" t="s">
        <v>8996</v>
      </c>
      <c r="D188" s="1302" t="s">
        <v>8997</v>
      </c>
      <c r="E188" s="1302">
        <v>7.504458224E9</v>
      </c>
      <c r="F188" s="924"/>
      <c r="G188" s="924"/>
      <c r="H188" s="1329"/>
    </row>
    <row r="189" ht="22.5" customHeight="1">
      <c r="A189" s="1259">
        <v>188.0</v>
      </c>
      <c r="B189" s="913" t="b">
        <v>0</v>
      </c>
      <c r="C189" s="1300" t="s">
        <v>8998</v>
      </c>
      <c r="D189" s="1302" t="s">
        <v>8999</v>
      </c>
      <c r="E189" s="1302">
        <v>7.504457557E9</v>
      </c>
      <c r="F189" s="924"/>
      <c r="G189" s="924"/>
      <c r="H189" s="1329"/>
    </row>
    <row r="190" ht="22.5" customHeight="1">
      <c r="A190" s="1259">
        <v>189.0</v>
      </c>
      <c r="B190" s="913" t="b">
        <v>0</v>
      </c>
      <c r="C190" s="1300" t="s">
        <v>9000</v>
      </c>
      <c r="D190" s="1302" t="s">
        <v>9001</v>
      </c>
      <c r="E190" s="1302" t="s">
        <v>9002</v>
      </c>
      <c r="F190" s="924"/>
      <c r="G190" s="924"/>
      <c r="H190" s="1329"/>
    </row>
    <row r="191" ht="22.5" customHeight="1">
      <c r="A191" s="1259">
        <v>190.0</v>
      </c>
      <c r="B191" s="913" t="b">
        <v>0</v>
      </c>
      <c r="C191" s="1323" t="s">
        <v>9003</v>
      </c>
      <c r="D191" s="1324"/>
      <c r="E191" s="1304" t="s">
        <v>9004</v>
      </c>
      <c r="F191" s="924"/>
      <c r="G191" s="924"/>
      <c r="H191" s="933"/>
    </row>
    <row r="192" ht="22.5" customHeight="1">
      <c r="A192" s="1259">
        <v>191.0</v>
      </c>
      <c r="B192" s="913" t="b">
        <v>0</v>
      </c>
      <c r="C192" s="1323" t="s">
        <v>9005</v>
      </c>
      <c r="D192" s="1302" t="s">
        <v>9006</v>
      </c>
      <c r="E192" s="1302">
        <v>7.50175101E9</v>
      </c>
      <c r="F192" s="924"/>
      <c r="G192" s="924"/>
      <c r="H192" s="933"/>
    </row>
    <row r="193" ht="22.5" customHeight="1">
      <c r="A193" s="1259">
        <v>192.0</v>
      </c>
      <c r="B193" s="913" t="b">
        <v>0</v>
      </c>
      <c r="C193" s="1323" t="s">
        <v>9007</v>
      </c>
      <c r="D193" s="1324"/>
      <c r="E193" s="1324"/>
      <c r="F193" s="924"/>
      <c r="G193" s="924"/>
      <c r="H193" s="933"/>
    </row>
    <row r="194" ht="22.5" customHeight="1">
      <c r="A194" s="1259">
        <v>193.0</v>
      </c>
      <c r="B194" s="913" t="b">
        <v>0</v>
      </c>
      <c r="C194" s="1323" t="s">
        <v>9008</v>
      </c>
      <c r="D194" s="1324"/>
      <c r="E194" s="1324"/>
      <c r="F194" s="924"/>
      <c r="G194" s="924"/>
      <c r="H194" s="933"/>
    </row>
    <row r="195" ht="22.5" customHeight="1">
      <c r="A195" s="1259">
        <v>194.0</v>
      </c>
      <c r="B195" s="913" t="b">
        <v>0</v>
      </c>
      <c r="C195" s="1323" t="s">
        <v>9009</v>
      </c>
      <c r="D195" s="1324"/>
      <c r="E195" s="1304">
        <v>7.509873232E9</v>
      </c>
      <c r="F195" s="924"/>
      <c r="G195" s="924"/>
      <c r="H195" s="933"/>
    </row>
    <row r="196" ht="22.5" customHeight="1">
      <c r="A196" s="1259">
        <v>195.0</v>
      </c>
      <c r="B196" s="913" t="b">
        <v>0</v>
      </c>
      <c r="C196" s="1323" t="s">
        <v>9010</v>
      </c>
      <c r="D196" s="1324"/>
      <c r="E196" s="1304">
        <v>7.505670009E9</v>
      </c>
      <c r="F196" s="924"/>
      <c r="G196" s="924"/>
      <c r="H196" s="933"/>
    </row>
    <row r="197" ht="22.5" customHeight="1">
      <c r="A197" s="1259">
        <v>196.0</v>
      </c>
      <c r="B197" s="913" t="b">
        <v>0</v>
      </c>
      <c r="C197" s="1323" t="s">
        <v>9011</v>
      </c>
      <c r="D197" s="1302" t="s">
        <v>9012</v>
      </c>
      <c r="E197" s="1304">
        <v>7.506660665E9</v>
      </c>
      <c r="F197" s="924"/>
      <c r="G197" s="924"/>
      <c r="H197" s="933"/>
    </row>
    <row r="198" ht="22.5" customHeight="1">
      <c r="A198" s="912">
        <v>197.0</v>
      </c>
      <c r="B198" s="913" t="b">
        <v>0</v>
      </c>
      <c r="C198" s="1238" t="s">
        <v>9013</v>
      </c>
      <c r="D198" s="924"/>
      <c r="E198" s="924">
        <v>6339.0</v>
      </c>
      <c r="F198" s="924" t="s">
        <v>9014</v>
      </c>
      <c r="G198" s="924"/>
      <c r="H198" s="975" t="s">
        <v>9015</v>
      </c>
    </row>
    <row r="199" ht="22.5" customHeight="1">
      <c r="A199" s="912">
        <v>198.0</v>
      </c>
      <c r="B199" s="913" t="b">
        <v>0</v>
      </c>
      <c r="C199" s="1238" t="s">
        <v>9016</v>
      </c>
      <c r="D199" s="969" t="s">
        <v>9017</v>
      </c>
      <c r="E199" s="924">
        <v>7.815922224E9</v>
      </c>
      <c r="F199" s="924" t="s">
        <v>9018</v>
      </c>
      <c r="G199" s="969" t="s">
        <v>9019</v>
      </c>
      <c r="H199" s="933"/>
    </row>
    <row r="200" ht="22.5" customHeight="1">
      <c r="A200" s="912">
        <v>199.0</v>
      </c>
      <c r="B200" s="913" t="b">
        <v>0</v>
      </c>
      <c r="C200" s="913" t="s">
        <v>9020</v>
      </c>
      <c r="D200" s="969" t="s">
        <v>7679</v>
      </c>
      <c r="E200" s="924">
        <v>7.505515555E9</v>
      </c>
      <c r="F200" s="924" t="s">
        <v>9021</v>
      </c>
      <c r="G200" s="969" t="s">
        <v>9022</v>
      </c>
      <c r="H200" s="933"/>
    </row>
    <row r="201" ht="22.5" customHeight="1">
      <c r="A201" s="912">
        <v>200.0</v>
      </c>
      <c r="B201" s="913" t="b">
        <v>0</v>
      </c>
      <c r="C201" s="1238" t="s">
        <v>9023</v>
      </c>
      <c r="D201" s="924"/>
      <c r="E201" s="924">
        <v>7.744480444E9</v>
      </c>
      <c r="F201" s="924" t="s">
        <v>9024</v>
      </c>
      <c r="G201" s="969" t="s">
        <v>7749</v>
      </c>
      <c r="H201" s="933"/>
    </row>
    <row r="202" ht="22.5" customHeight="1">
      <c r="A202" s="937">
        <v>201.0</v>
      </c>
      <c r="B202" s="913" t="b">
        <v>0</v>
      </c>
      <c r="C202" s="913" t="s">
        <v>9025</v>
      </c>
      <c r="D202" s="924"/>
      <c r="E202" s="1331" t="s">
        <v>9026</v>
      </c>
      <c r="F202" s="924"/>
      <c r="G202" s="924"/>
      <c r="H202" s="933"/>
    </row>
    <row r="203" ht="22.5" customHeight="1">
      <c r="A203" s="1259">
        <v>202.0</v>
      </c>
      <c r="B203" s="913" t="b">
        <v>0</v>
      </c>
      <c r="C203" s="913"/>
      <c r="D203" s="924"/>
      <c r="E203" s="1332"/>
      <c r="F203" s="924"/>
      <c r="G203" s="924"/>
      <c r="H203" s="933"/>
    </row>
    <row r="204" ht="22.5" customHeight="1">
      <c r="A204" s="1259">
        <v>203.0</v>
      </c>
      <c r="B204" s="913" t="b">
        <v>0</v>
      </c>
      <c r="C204" s="1240"/>
      <c r="D204" s="924"/>
      <c r="E204" s="924"/>
      <c r="F204" s="924"/>
      <c r="G204" s="924"/>
      <c r="H204" s="933"/>
    </row>
    <row r="205" ht="22.5" customHeight="1">
      <c r="A205" s="1259">
        <v>204.0</v>
      </c>
      <c r="B205" s="913" t="b">
        <v>0</v>
      </c>
      <c r="C205" s="1240"/>
      <c r="D205" s="924"/>
      <c r="E205" s="924"/>
      <c r="F205" s="924"/>
      <c r="G205" s="924"/>
      <c r="H205" s="933"/>
    </row>
    <row r="206" ht="22.5" customHeight="1">
      <c r="A206" s="1259">
        <v>205.0</v>
      </c>
      <c r="B206" s="913" t="b">
        <v>0</v>
      </c>
      <c r="C206" s="1240"/>
      <c r="D206" s="924"/>
      <c r="E206" s="924"/>
      <c r="F206" s="924"/>
      <c r="G206" s="924"/>
      <c r="H206" s="933"/>
    </row>
    <row r="207" ht="22.5" customHeight="1">
      <c r="A207" s="1259">
        <v>206.0</v>
      </c>
      <c r="B207" s="913" t="b">
        <v>0</v>
      </c>
      <c r="C207" s="1240"/>
      <c r="D207" s="924"/>
      <c r="E207" s="924"/>
      <c r="F207" s="924"/>
      <c r="G207" s="924"/>
      <c r="H207" s="933"/>
    </row>
    <row r="208" ht="22.5" customHeight="1">
      <c r="A208" s="1259">
        <v>207.0</v>
      </c>
      <c r="B208" s="913" t="b">
        <v>0</v>
      </c>
      <c r="C208" s="1240"/>
      <c r="D208" s="924"/>
      <c r="E208" s="924"/>
      <c r="F208" s="924"/>
      <c r="G208" s="924"/>
      <c r="H208" s="933"/>
    </row>
    <row r="209" ht="22.5" customHeight="1">
      <c r="A209" s="1259">
        <v>208.0</v>
      </c>
      <c r="B209" s="913" t="b">
        <v>0</v>
      </c>
      <c r="C209" s="1240"/>
      <c r="D209" s="924"/>
      <c r="E209" s="924"/>
      <c r="F209" s="924"/>
      <c r="G209" s="924"/>
      <c r="H209" s="933"/>
    </row>
    <row r="210" ht="22.5" customHeight="1">
      <c r="A210" s="1259">
        <v>209.0</v>
      </c>
      <c r="B210" s="913" t="b">
        <v>0</v>
      </c>
      <c r="C210" s="1240"/>
      <c r="D210" s="924"/>
      <c r="E210" s="924"/>
      <c r="F210" s="924"/>
      <c r="G210" s="924"/>
      <c r="H210" s="933"/>
    </row>
    <row r="211" ht="22.5" customHeight="1">
      <c r="A211" s="1259">
        <v>210.0</v>
      </c>
      <c r="B211" s="913" t="b">
        <v>0</v>
      </c>
      <c r="C211" s="1240"/>
      <c r="D211" s="924"/>
      <c r="E211" s="924"/>
      <c r="F211" s="924"/>
      <c r="G211" s="924"/>
      <c r="H211" s="933"/>
    </row>
    <row r="212" ht="22.5" customHeight="1">
      <c r="A212" s="1259">
        <v>211.0</v>
      </c>
      <c r="B212" s="913" t="b">
        <v>0</v>
      </c>
      <c r="C212" s="1240"/>
      <c r="D212" s="924"/>
      <c r="E212" s="924"/>
      <c r="F212" s="924"/>
      <c r="G212" s="924"/>
      <c r="H212" s="933"/>
    </row>
    <row r="213" ht="22.5" customHeight="1">
      <c r="A213" s="1259">
        <v>212.0</v>
      </c>
      <c r="B213" s="913" t="b">
        <v>0</v>
      </c>
      <c r="C213" s="1240"/>
      <c r="D213" s="924"/>
      <c r="E213" s="924"/>
      <c r="F213" s="924"/>
      <c r="G213" s="924"/>
      <c r="H213" s="933"/>
    </row>
    <row r="214" ht="22.5" customHeight="1">
      <c r="A214" s="1259">
        <v>213.0</v>
      </c>
      <c r="B214" s="913" t="b">
        <v>0</v>
      </c>
      <c r="C214" s="1240"/>
      <c r="D214" s="924"/>
      <c r="E214" s="924"/>
      <c r="F214" s="924"/>
      <c r="G214" s="924"/>
      <c r="H214" s="933"/>
    </row>
    <row r="215" ht="22.5" customHeight="1">
      <c r="A215" s="1259">
        <v>214.0</v>
      </c>
      <c r="B215" s="913" t="b">
        <v>0</v>
      </c>
      <c r="C215" s="1240"/>
      <c r="D215" s="924"/>
      <c r="E215" s="924"/>
      <c r="F215" s="924"/>
      <c r="G215" s="924"/>
      <c r="H215" s="933"/>
    </row>
    <row r="216" ht="22.5" customHeight="1">
      <c r="A216" s="1259">
        <v>215.0</v>
      </c>
      <c r="B216" s="913" t="b">
        <v>0</v>
      </c>
      <c r="C216" s="1240"/>
      <c r="D216" s="924"/>
      <c r="E216" s="924"/>
      <c r="F216" s="924"/>
      <c r="G216" s="924"/>
      <c r="H216" s="933"/>
    </row>
    <row r="217" ht="22.5" customHeight="1">
      <c r="A217" s="1259">
        <v>216.0</v>
      </c>
      <c r="B217" s="913" t="b">
        <v>0</v>
      </c>
      <c r="C217" s="1240"/>
      <c r="D217" s="924"/>
      <c r="E217" s="924"/>
      <c r="F217" s="924"/>
      <c r="G217" s="924"/>
      <c r="H217" s="933"/>
    </row>
    <row r="218" ht="22.5" customHeight="1">
      <c r="A218" s="1259">
        <v>217.0</v>
      </c>
      <c r="B218" s="913" t="b">
        <v>0</v>
      </c>
      <c r="C218" s="1240"/>
      <c r="D218" s="924"/>
      <c r="E218" s="924"/>
      <c r="F218" s="924"/>
      <c r="G218" s="924"/>
      <c r="H218" s="933"/>
    </row>
    <row r="219" ht="22.5" customHeight="1">
      <c r="A219" s="1259">
        <v>218.0</v>
      </c>
      <c r="B219" s="913" t="b">
        <v>0</v>
      </c>
      <c r="C219" s="1240"/>
      <c r="D219" s="924"/>
      <c r="E219" s="924"/>
      <c r="F219" s="924"/>
      <c r="G219" s="924"/>
      <c r="H219" s="933"/>
    </row>
    <row r="220" ht="22.5" customHeight="1">
      <c r="A220" s="1259">
        <v>219.0</v>
      </c>
      <c r="B220" s="913" t="b">
        <v>0</v>
      </c>
      <c r="C220" s="1240"/>
      <c r="D220" s="924"/>
      <c r="E220" s="924"/>
      <c r="F220" s="924"/>
      <c r="G220" s="924"/>
      <c r="H220" s="933"/>
    </row>
    <row r="221" ht="22.5" customHeight="1">
      <c r="A221" s="1259">
        <v>220.0</v>
      </c>
      <c r="B221" s="913" t="b">
        <v>0</v>
      </c>
      <c r="C221" s="1240"/>
      <c r="D221" s="924"/>
      <c r="E221" s="924"/>
      <c r="F221" s="924"/>
      <c r="G221" s="924"/>
      <c r="H221" s="933"/>
    </row>
    <row r="222" ht="22.5" customHeight="1">
      <c r="A222" s="1259">
        <v>221.0</v>
      </c>
      <c r="B222" s="913" t="b">
        <v>0</v>
      </c>
      <c r="C222" s="1240"/>
      <c r="D222" s="924"/>
      <c r="E222" s="924"/>
      <c r="F222" s="924"/>
      <c r="G222" s="924"/>
      <c r="H222" s="933"/>
    </row>
    <row r="223" ht="22.5" customHeight="1">
      <c r="A223" s="1259">
        <v>222.0</v>
      </c>
      <c r="B223" s="913" t="b">
        <v>0</v>
      </c>
      <c r="C223" s="1240"/>
      <c r="D223" s="924"/>
      <c r="E223" s="924"/>
      <c r="F223" s="924"/>
      <c r="G223" s="924"/>
      <c r="H223" s="924"/>
    </row>
    <row r="224" ht="22.5" customHeight="1">
      <c r="A224" s="1259">
        <v>223.0</v>
      </c>
      <c r="B224" s="913" t="b">
        <v>0</v>
      </c>
      <c r="C224" s="1240"/>
      <c r="D224" s="924"/>
      <c r="E224" s="924"/>
      <c r="F224" s="924"/>
      <c r="G224" s="924"/>
      <c r="H224" s="924"/>
    </row>
    <row r="225" ht="22.5" customHeight="1">
      <c r="A225" s="1259">
        <v>224.0</v>
      </c>
      <c r="B225" s="913" t="b">
        <v>0</v>
      </c>
      <c r="C225" s="1240"/>
      <c r="D225" s="924"/>
      <c r="E225" s="924"/>
      <c r="F225" s="924"/>
      <c r="G225" s="924"/>
      <c r="H225" s="924"/>
    </row>
    <row r="226" ht="22.5" customHeight="1">
      <c r="A226" s="1259">
        <v>225.0</v>
      </c>
      <c r="B226" s="913" t="b">
        <v>0</v>
      </c>
      <c r="C226" s="1240"/>
      <c r="D226" s="924"/>
      <c r="E226" s="924"/>
      <c r="F226" s="924"/>
      <c r="G226" s="924"/>
      <c r="H226" s="924"/>
    </row>
    <row r="227" ht="22.5" customHeight="1">
      <c r="A227" s="1259">
        <v>226.0</v>
      </c>
      <c r="B227" s="913" t="b">
        <v>0</v>
      </c>
      <c r="C227" s="1240"/>
      <c r="D227" s="924"/>
      <c r="E227" s="924"/>
      <c r="F227" s="924"/>
      <c r="G227" s="924"/>
      <c r="H227" s="924"/>
    </row>
    <row r="228" ht="22.5" customHeight="1">
      <c r="A228" s="1259">
        <v>227.0</v>
      </c>
      <c r="B228" s="913" t="b">
        <v>0</v>
      </c>
      <c r="C228" s="1240"/>
      <c r="D228" s="924"/>
      <c r="E228" s="924"/>
      <c r="F228" s="924"/>
      <c r="G228" s="924"/>
      <c r="H228" s="924"/>
    </row>
    <row r="229" ht="22.5" customHeight="1">
      <c r="A229" s="1259">
        <v>228.0</v>
      </c>
      <c r="B229" s="913" t="b">
        <v>0</v>
      </c>
      <c r="C229" s="1240"/>
      <c r="D229" s="924"/>
      <c r="E229" s="924"/>
      <c r="F229" s="924"/>
      <c r="G229" s="924"/>
      <c r="H229" s="924"/>
    </row>
    <row r="230" ht="22.5" customHeight="1">
      <c r="A230" s="1259">
        <v>229.0</v>
      </c>
      <c r="B230" s="913" t="b">
        <v>0</v>
      </c>
      <c r="C230" s="1240"/>
      <c r="D230" s="924"/>
      <c r="E230" s="924"/>
      <c r="F230" s="924"/>
      <c r="G230" s="924"/>
      <c r="H230" s="924"/>
    </row>
    <row r="231" ht="22.5" customHeight="1">
      <c r="A231" s="1259">
        <v>230.0</v>
      </c>
      <c r="B231" s="913" t="b">
        <v>0</v>
      </c>
      <c r="C231" s="1240"/>
      <c r="D231" s="924"/>
      <c r="E231" s="924"/>
      <c r="F231" s="924"/>
      <c r="G231" s="924"/>
      <c r="H231" s="924"/>
    </row>
    <row r="232" ht="22.5" customHeight="1">
      <c r="A232" s="1259">
        <v>231.0</v>
      </c>
      <c r="B232" s="913" t="b">
        <v>0</v>
      </c>
      <c r="C232" s="1240"/>
      <c r="D232" s="924"/>
      <c r="E232" s="924"/>
      <c r="F232" s="924"/>
      <c r="G232" s="924"/>
      <c r="H232" s="924"/>
    </row>
    <row r="233" ht="22.5" customHeight="1">
      <c r="A233" s="1259">
        <v>232.0</v>
      </c>
      <c r="B233" s="913" t="b">
        <v>0</v>
      </c>
      <c r="C233" s="1240"/>
      <c r="D233" s="924"/>
      <c r="E233" s="924"/>
      <c r="F233" s="924"/>
      <c r="G233" s="924"/>
      <c r="H233" s="924"/>
    </row>
    <row r="234" ht="22.5" customHeight="1">
      <c r="A234" s="1259">
        <v>233.0</v>
      </c>
      <c r="B234" s="913" t="b">
        <v>0</v>
      </c>
      <c r="C234" s="1240"/>
      <c r="D234" s="924"/>
      <c r="E234" s="924"/>
      <c r="F234" s="924"/>
      <c r="G234" s="924"/>
      <c r="H234" s="924"/>
    </row>
    <row r="235" ht="22.5" customHeight="1">
      <c r="A235" s="1259">
        <v>234.0</v>
      </c>
      <c r="B235" s="913" t="b">
        <v>0</v>
      </c>
      <c r="C235" s="1240"/>
      <c r="D235" s="924"/>
      <c r="E235" s="924"/>
      <c r="F235" s="924"/>
      <c r="G235" s="924"/>
      <c r="H235" s="924"/>
    </row>
    <row r="236" ht="22.5" customHeight="1">
      <c r="A236" s="1259">
        <v>235.0</v>
      </c>
      <c r="B236" s="913" t="b">
        <v>0</v>
      </c>
      <c r="C236" s="1240"/>
      <c r="D236" s="924"/>
      <c r="E236" s="924"/>
      <c r="F236" s="924"/>
      <c r="G236" s="924"/>
      <c r="H236" s="924"/>
    </row>
    <row r="237" ht="22.5" customHeight="1">
      <c r="A237" s="1259">
        <v>236.0</v>
      </c>
      <c r="B237" s="913" t="b">
        <v>0</v>
      </c>
      <c r="C237" s="1240"/>
      <c r="D237" s="924"/>
      <c r="E237" s="924"/>
      <c r="F237" s="924"/>
      <c r="G237" s="924"/>
      <c r="H237" s="924"/>
    </row>
    <row r="238" ht="22.5" customHeight="1">
      <c r="A238" s="1259">
        <v>237.0</v>
      </c>
      <c r="B238" s="913" t="b">
        <v>0</v>
      </c>
      <c r="C238" s="1240"/>
      <c r="D238" s="924"/>
      <c r="E238" s="924"/>
      <c r="F238" s="924"/>
      <c r="G238" s="924"/>
      <c r="H238" s="924"/>
    </row>
    <row r="239" ht="22.5" customHeight="1">
      <c r="A239" s="1259">
        <v>238.0</v>
      </c>
      <c r="B239" s="913" t="b">
        <v>0</v>
      </c>
      <c r="C239" s="1240"/>
      <c r="D239" s="924"/>
      <c r="E239" s="924"/>
      <c r="F239" s="924"/>
      <c r="G239" s="924"/>
      <c r="H239" s="924"/>
    </row>
    <row r="240" ht="22.5" customHeight="1">
      <c r="A240" s="1259">
        <v>239.0</v>
      </c>
      <c r="B240" s="913" t="b">
        <v>0</v>
      </c>
      <c r="C240" s="1240"/>
      <c r="D240" s="924"/>
      <c r="E240" s="924"/>
      <c r="F240" s="924"/>
      <c r="G240" s="924"/>
      <c r="H240" s="924"/>
    </row>
    <row r="241" ht="22.5" customHeight="1">
      <c r="A241" s="1259">
        <v>240.0</v>
      </c>
      <c r="B241" s="913" t="b">
        <v>0</v>
      </c>
      <c r="C241" s="1240"/>
      <c r="D241" s="924"/>
      <c r="E241" s="924"/>
      <c r="F241" s="924"/>
      <c r="G241" s="924"/>
      <c r="H241" s="924"/>
    </row>
    <row r="242" ht="22.5" customHeight="1">
      <c r="A242" s="1259">
        <v>241.0</v>
      </c>
      <c r="B242" s="913" t="b">
        <v>0</v>
      </c>
      <c r="C242" s="1240"/>
      <c r="D242" s="924"/>
      <c r="E242" s="924"/>
      <c r="F242" s="924"/>
      <c r="G242" s="924"/>
      <c r="H242" s="924"/>
    </row>
    <row r="243" ht="22.5" customHeight="1">
      <c r="A243" s="1259">
        <v>242.0</v>
      </c>
      <c r="B243" s="913" t="b">
        <v>0</v>
      </c>
      <c r="C243" s="1240"/>
      <c r="D243" s="924"/>
      <c r="E243" s="924"/>
      <c r="F243" s="924"/>
      <c r="G243" s="924"/>
      <c r="H243" s="924"/>
    </row>
    <row r="244" ht="22.5" customHeight="1">
      <c r="A244" s="1259">
        <v>243.0</v>
      </c>
      <c r="B244" s="913" t="b">
        <v>0</v>
      </c>
      <c r="C244" s="1240"/>
      <c r="D244" s="924"/>
      <c r="E244" s="924"/>
      <c r="F244" s="924"/>
      <c r="G244" s="924"/>
      <c r="H244" s="924"/>
    </row>
    <row r="245" ht="22.5" customHeight="1">
      <c r="A245" s="1259">
        <v>244.0</v>
      </c>
      <c r="B245" s="913" t="b">
        <v>0</v>
      </c>
      <c r="C245" s="1240"/>
      <c r="D245" s="924"/>
      <c r="E245" s="924"/>
      <c r="F245" s="924"/>
      <c r="G245" s="924"/>
      <c r="H245" s="924"/>
    </row>
    <row r="246" ht="22.5" customHeight="1">
      <c r="A246" s="1259">
        <v>245.0</v>
      </c>
      <c r="B246" s="913" t="b">
        <v>0</v>
      </c>
      <c r="C246" s="1240"/>
      <c r="D246" s="924"/>
      <c r="E246" s="924"/>
      <c r="F246" s="924"/>
      <c r="G246" s="924"/>
      <c r="H246" s="924"/>
    </row>
    <row r="247" ht="22.5" customHeight="1">
      <c r="A247" s="1259">
        <v>246.0</v>
      </c>
      <c r="B247" s="913" t="b">
        <v>0</v>
      </c>
      <c r="C247" s="1240"/>
      <c r="D247" s="924"/>
      <c r="E247" s="924"/>
      <c r="F247" s="924"/>
      <c r="G247" s="924"/>
      <c r="H247" s="924"/>
    </row>
    <row r="248" ht="22.5" customHeight="1">
      <c r="A248" s="1259">
        <v>247.0</v>
      </c>
      <c r="B248" s="913" t="b">
        <v>0</v>
      </c>
      <c r="C248" s="1240"/>
      <c r="D248" s="924"/>
      <c r="E248" s="924"/>
      <c r="F248" s="924"/>
      <c r="G248" s="924"/>
      <c r="H248" s="924"/>
    </row>
    <row r="249" ht="22.5" customHeight="1">
      <c r="A249" s="1259">
        <v>248.0</v>
      </c>
      <c r="B249" s="913" t="b">
        <v>0</v>
      </c>
      <c r="C249" s="1240"/>
      <c r="D249" s="924"/>
      <c r="E249" s="924"/>
      <c r="F249" s="924"/>
      <c r="G249" s="924"/>
      <c r="H249" s="924"/>
    </row>
    <row r="250" ht="22.5" customHeight="1">
      <c r="A250" s="1259">
        <v>249.0</v>
      </c>
      <c r="B250" s="913" t="b">
        <v>0</v>
      </c>
      <c r="C250" s="1240"/>
      <c r="D250" s="924"/>
      <c r="E250" s="924"/>
      <c r="F250" s="924"/>
      <c r="G250" s="924"/>
      <c r="H250" s="924"/>
    </row>
    <row r="251" ht="22.5" customHeight="1">
      <c r="A251" s="1259">
        <v>250.0</v>
      </c>
      <c r="B251" s="913" t="b">
        <v>0</v>
      </c>
      <c r="C251" s="1240"/>
      <c r="D251" s="924"/>
      <c r="E251" s="924"/>
      <c r="F251" s="924"/>
      <c r="G251" s="924"/>
      <c r="H251" s="924"/>
    </row>
    <row r="252" ht="22.5" customHeight="1">
      <c r="A252" s="1259">
        <v>251.0</v>
      </c>
      <c r="B252" s="913" t="b">
        <v>0</v>
      </c>
      <c r="C252" s="1240"/>
      <c r="D252" s="924"/>
      <c r="E252" s="924"/>
      <c r="F252" s="924"/>
      <c r="G252" s="924"/>
      <c r="H252" s="924"/>
    </row>
    <row r="253" ht="22.5" customHeight="1">
      <c r="A253" s="1259">
        <v>252.0</v>
      </c>
      <c r="B253" s="913" t="b">
        <v>0</v>
      </c>
      <c r="C253" s="1240"/>
      <c r="D253" s="924"/>
      <c r="E253" s="924"/>
      <c r="F253" s="924"/>
      <c r="G253" s="924"/>
      <c r="H253" s="924"/>
    </row>
    <row r="254" ht="22.5" customHeight="1">
      <c r="A254" s="1259">
        <v>253.0</v>
      </c>
      <c r="B254" s="913" t="b">
        <v>0</v>
      </c>
      <c r="C254" s="1240"/>
      <c r="D254" s="924"/>
      <c r="E254" s="924"/>
      <c r="F254" s="924"/>
      <c r="G254" s="924"/>
      <c r="H254" s="924"/>
    </row>
    <row r="255" ht="22.5" customHeight="1">
      <c r="A255" s="1259">
        <v>254.0</v>
      </c>
      <c r="B255" s="913" t="b">
        <v>0</v>
      </c>
      <c r="C255" s="1240"/>
      <c r="D255" s="924"/>
      <c r="E255" s="924"/>
      <c r="F255" s="924"/>
      <c r="G255" s="924"/>
      <c r="H255" s="924"/>
    </row>
    <row r="256" ht="22.5" customHeight="1">
      <c r="A256" s="1259">
        <v>255.0</v>
      </c>
      <c r="B256" s="913" t="b">
        <v>0</v>
      </c>
      <c r="C256" s="1240"/>
      <c r="D256" s="924"/>
      <c r="E256" s="924"/>
      <c r="F256" s="924"/>
      <c r="G256" s="924"/>
      <c r="H256" s="924"/>
    </row>
    <row r="257" ht="22.5" customHeight="1">
      <c r="A257" s="1259">
        <v>256.0</v>
      </c>
      <c r="B257" s="913" t="b">
        <v>0</v>
      </c>
      <c r="C257" s="1240"/>
      <c r="D257" s="924"/>
      <c r="E257" s="924"/>
      <c r="F257" s="924"/>
      <c r="G257" s="924"/>
      <c r="H257" s="924"/>
    </row>
    <row r="258" ht="22.5" customHeight="1">
      <c r="A258" s="1259">
        <v>257.0</v>
      </c>
      <c r="B258" s="913" t="b">
        <v>0</v>
      </c>
      <c r="C258" s="1240"/>
      <c r="D258" s="924"/>
      <c r="E258" s="924"/>
      <c r="F258" s="924"/>
      <c r="G258" s="924"/>
      <c r="H258" s="924"/>
    </row>
    <row r="259" ht="22.5" customHeight="1">
      <c r="A259" s="1259">
        <v>258.0</v>
      </c>
      <c r="B259" s="913" t="b">
        <v>0</v>
      </c>
      <c r="C259" s="1240"/>
      <c r="D259" s="924"/>
      <c r="E259" s="924"/>
      <c r="F259" s="924"/>
      <c r="G259" s="924"/>
      <c r="H259" s="924"/>
    </row>
    <row r="260" ht="22.5" customHeight="1">
      <c r="A260" s="1259">
        <v>259.0</v>
      </c>
      <c r="B260" s="913" t="b">
        <v>0</v>
      </c>
      <c r="C260" s="1240"/>
      <c r="D260" s="924"/>
      <c r="E260" s="924"/>
      <c r="F260" s="924"/>
      <c r="G260" s="924"/>
      <c r="H260" s="924"/>
    </row>
    <row r="261" ht="22.5" customHeight="1">
      <c r="A261" s="1259">
        <v>260.0</v>
      </c>
      <c r="B261" s="913" t="b">
        <v>0</v>
      </c>
      <c r="C261" s="1240"/>
      <c r="D261" s="924"/>
      <c r="E261" s="924"/>
      <c r="F261" s="924"/>
      <c r="G261" s="924"/>
      <c r="H261" s="924"/>
    </row>
    <row r="262" ht="22.5" customHeight="1">
      <c r="A262" s="1259">
        <v>261.0</v>
      </c>
      <c r="B262" s="913" t="b">
        <v>0</v>
      </c>
      <c r="C262" s="1240"/>
      <c r="D262" s="924"/>
      <c r="E262" s="924"/>
      <c r="F262" s="924"/>
      <c r="G262" s="924"/>
      <c r="H262" s="924"/>
    </row>
    <row r="263" ht="22.5" customHeight="1">
      <c r="A263" s="1259">
        <v>262.0</v>
      </c>
      <c r="B263" s="913" t="b">
        <v>0</v>
      </c>
      <c r="C263" s="1240"/>
      <c r="D263" s="924"/>
      <c r="E263" s="924"/>
      <c r="F263" s="924"/>
      <c r="G263" s="924"/>
      <c r="H263" s="924"/>
    </row>
    <row r="264" ht="22.5" customHeight="1">
      <c r="A264" s="1259">
        <v>263.0</v>
      </c>
      <c r="B264" s="913" t="b">
        <v>0</v>
      </c>
      <c r="C264" s="1240"/>
      <c r="D264" s="924"/>
      <c r="E264" s="924"/>
      <c r="F264" s="924"/>
      <c r="G264" s="924"/>
      <c r="H264" s="924"/>
    </row>
    <row r="265" ht="22.5" customHeight="1">
      <c r="A265" s="1259">
        <v>264.0</v>
      </c>
      <c r="B265" s="913" t="b">
        <v>0</v>
      </c>
      <c r="C265" s="1240"/>
      <c r="D265" s="924"/>
      <c r="E265" s="924"/>
      <c r="F265" s="924"/>
      <c r="G265" s="924"/>
      <c r="H265" s="924"/>
    </row>
    <row r="266" ht="22.5" customHeight="1">
      <c r="A266" s="1259">
        <v>265.0</v>
      </c>
      <c r="B266" s="913" t="b">
        <v>0</v>
      </c>
      <c r="C266" s="1240"/>
      <c r="D266" s="924"/>
      <c r="E266" s="924"/>
      <c r="F266" s="924"/>
      <c r="G266" s="924"/>
      <c r="H266" s="924"/>
    </row>
    <row r="267" ht="22.5" customHeight="1">
      <c r="A267" s="1259">
        <v>266.0</v>
      </c>
      <c r="B267" s="913" t="b">
        <v>0</v>
      </c>
      <c r="C267" s="1240"/>
      <c r="D267" s="924"/>
      <c r="E267" s="924"/>
      <c r="F267" s="924"/>
      <c r="G267" s="924"/>
      <c r="H267" s="924"/>
    </row>
    <row r="268" ht="22.5" customHeight="1">
      <c r="A268" s="1259">
        <v>267.0</v>
      </c>
      <c r="B268" s="913" t="b">
        <v>0</v>
      </c>
      <c r="C268" s="1240"/>
      <c r="D268" s="924"/>
      <c r="E268" s="924"/>
      <c r="F268" s="924"/>
      <c r="G268" s="924"/>
      <c r="H268" s="924"/>
    </row>
    <row r="269" ht="22.5" customHeight="1">
      <c r="A269" s="1259">
        <v>268.0</v>
      </c>
      <c r="B269" s="913" t="b">
        <v>0</v>
      </c>
      <c r="C269" s="1240"/>
      <c r="D269" s="924"/>
      <c r="E269" s="924"/>
      <c r="F269" s="924"/>
      <c r="G269" s="924"/>
      <c r="H269" s="924"/>
    </row>
    <row r="270" ht="22.5" customHeight="1">
      <c r="A270" s="1259">
        <v>269.0</v>
      </c>
      <c r="B270" s="913" t="b">
        <v>0</v>
      </c>
      <c r="C270" s="1240"/>
      <c r="D270" s="924"/>
      <c r="E270" s="924"/>
      <c r="F270" s="924"/>
      <c r="G270" s="924"/>
      <c r="H270" s="924"/>
    </row>
    <row r="271" ht="22.5" customHeight="1">
      <c r="A271" s="1259">
        <v>270.0</v>
      </c>
      <c r="B271" s="913" t="b">
        <v>0</v>
      </c>
      <c r="C271" s="1240"/>
      <c r="D271" s="924"/>
      <c r="E271" s="924"/>
      <c r="F271" s="924"/>
      <c r="G271" s="924"/>
      <c r="H271" s="924"/>
    </row>
    <row r="272" ht="22.5" customHeight="1">
      <c r="A272" s="1259">
        <v>271.0</v>
      </c>
      <c r="B272" s="913" t="b">
        <v>0</v>
      </c>
      <c r="C272" s="1240"/>
      <c r="D272" s="924"/>
      <c r="E272" s="924"/>
      <c r="F272" s="924"/>
      <c r="G272" s="924"/>
      <c r="H272" s="924"/>
    </row>
    <row r="273" ht="22.5" customHeight="1">
      <c r="A273" s="1259">
        <v>272.0</v>
      </c>
      <c r="B273" s="913" t="b">
        <v>0</v>
      </c>
      <c r="C273" s="1240"/>
      <c r="D273" s="924"/>
      <c r="E273" s="924"/>
      <c r="F273" s="924"/>
      <c r="G273" s="924"/>
      <c r="H273" s="924"/>
    </row>
    <row r="274" ht="22.5" customHeight="1">
      <c r="A274" s="1259">
        <v>273.0</v>
      </c>
      <c r="B274" s="913" t="b">
        <v>0</v>
      </c>
      <c r="C274" s="1240"/>
      <c r="D274" s="924"/>
      <c r="E274" s="924"/>
      <c r="F274" s="924"/>
      <c r="G274" s="924"/>
      <c r="H274" s="924"/>
    </row>
    <row r="275" ht="22.5" customHeight="1">
      <c r="A275" s="1259">
        <v>274.0</v>
      </c>
      <c r="B275" s="913" t="b">
        <v>0</v>
      </c>
      <c r="C275" s="1240"/>
      <c r="D275" s="924"/>
      <c r="E275" s="924"/>
      <c r="F275" s="924"/>
      <c r="G275" s="924"/>
      <c r="H275" s="924"/>
    </row>
    <row r="276" ht="22.5" customHeight="1">
      <c r="A276" s="1259">
        <v>275.0</v>
      </c>
      <c r="B276" s="913" t="b">
        <v>0</v>
      </c>
      <c r="C276" s="1240"/>
      <c r="D276" s="924"/>
      <c r="E276" s="924"/>
      <c r="F276" s="924"/>
      <c r="G276" s="924"/>
      <c r="H276" s="924"/>
    </row>
    <row r="277" ht="22.5" customHeight="1">
      <c r="A277" s="1259">
        <v>276.0</v>
      </c>
      <c r="B277" s="913" t="b">
        <v>0</v>
      </c>
      <c r="C277" s="1240"/>
      <c r="D277" s="924"/>
      <c r="E277" s="924"/>
      <c r="F277" s="924"/>
      <c r="G277" s="924"/>
      <c r="H277" s="924"/>
    </row>
    <row r="278" ht="22.5" customHeight="1">
      <c r="A278" s="1259">
        <v>277.0</v>
      </c>
      <c r="B278" s="913" t="b">
        <v>0</v>
      </c>
      <c r="C278" s="1240"/>
      <c r="D278" s="924"/>
      <c r="E278" s="924"/>
      <c r="F278" s="924"/>
      <c r="G278" s="924"/>
      <c r="H278" s="924"/>
    </row>
    <row r="279" ht="22.5" customHeight="1">
      <c r="A279" s="1259">
        <v>278.0</v>
      </c>
      <c r="B279" s="913" t="b">
        <v>0</v>
      </c>
      <c r="C279" s="1240"/>
      <c r="D279" s="924"/>
      <c r="E279" s="924"/>
      <c r="F279" s="924"/>
      <c r="G279" s="924"/>
      <c r="H279" s="924"/>
    </row>
    <row r="280" ht="22.5" customHeight="1">
      <c r="A280" s="1259">
        <v>279.0</v>
      </c>
      <c r="B280" s="913" t="b">
        <v>0</v>
      </c>
      <c r="C280" s="1240"/>
      <c r="D280" s="924"/>
      <c r="E280" s="924"/>
      <c r="F280" s="924"/>
      <c r="G280" s="924"/>
      <c r="H280" s="924"/>
    </row>
    <row r="281" ht="22.5" customHeight="1">
      <c r="A281" s="1259">
        <v>280.0</v>
      </c>
      <c r="B281" s="913" t="b">
        <v>0</v>
      </c>
      <c r="C281" s="1240"/>
      <c r="D281" s="924"/>
      <c r="E281" s="924"/>
      <c r="F281" s="924"/>
      <c r="G281" s="924"/>
      <c r="H281" s="924"/>
    </row>
    <row r="282" ht="22.5" customHeight="1">
      <c r="A282" s="1259">
        <v>281.0</v>
      </c>
      <c r="B282" s="913" t="b">
        <v>0</v>
      </c>
      <c r="C282" s="1240"/>
      <c r="D282" s="924"/>
      <c r="E282" s="924"/>
      <c r="F282" s="924"/>
      <c r="G282" s="924"/>
      <c r="H282" s="924"/>
    </row>
    <row r="283" ht="22.5" customHeight="1">
      <c r="A283" s="1259">
        <v>282.0</v>
      </c>
      <c r="B283" s="913" t="b">
        <v>0</v>
      </c>
      <c r="C283" s="1240"/>
      <c r="D283" s="924"/>
      <c r="E283" s="924"/>
      <c r="F283" s="924"/>
      <c r="G283" s="924"/>
      <c r="H283" s="924"/>
    </row>
    <row r="284" ht="22.5" customHeight="1">
      <c r="A284" s="1259">
        <v>283.0</v>
      </c>
      <c r="B284" s="913" t="b">
        <v>0</v>
      </c>
      <c r="C284" s="1240"/>
      <c r="D284" s="924"/>
      <c r="E284" s="924"/>
      <c r="F284" s="924"/>
      <c r="G284" s="924"/>
      <c r="H284" s="924"/>
    </row>
    <row r="285" ht="22.5" customHeight="1">
      <c r="A285" s="1259">
        <v>284.0</v>
      </c>
      <c r="B285" s="913" t="b">
        <v>0</v>
      </c>
      <c r="C285" s="1240"/>
      <c r="D285" s="924"/>
      <c r="E285" s="924"/>
      <c r="F285" s="924"/>
      <c r="G285" s="924"/>
      <c r="H285" s="924"/>
    </row>
    <row r="286" ht="22.5" customHeight="1">
      <c r="A286" s="1259">
        <v>285.0</v>
      </c>
      <c r="B286" s="913" t="b">
        <v>0</v>
      </c>
      <c r="C286" s="1240"/>
      <c r="D286" s="924"/>
      <c r="E286" s="924"/>
      <c r="F286" s="924"/>
      <c r="G286" s="924"/>
      <c r="H286" s="924"/>
    </row>
    <row r="287" ht="22.5" customHeight="1">
      <c r="A287" s="1259">
        <v>286.0</v>
      </c>
      <c r="B287" s="913" t="b">
        <v>0</v>
      </c>
      <c r="C287" s="1240"/>
      <c r="D287" s="924"/>
      <c r="E287" s="924"/>
      <c r="F287" s="924"/>
      <c r="G287" s="924"/>
      <c r="H287" s="924"/>
    </row>
    <row r="288" ht="22.5" customHeight="1">
      <c r="A288" s="1259">
        <v>287.0</v>
      </c>
      <c r="B288" s="913" t="b">
        <v>0</v>
      </c>
      <c r="C288" s="1240"/>
      <c r="D288" s="924"/>
      <c r="E288" s="924"/>
      <c r="F288" s="924"/>
      <c r="G288" s="924"/>
      <c r="H288" s="924"/>
    </row>
    <row r="289" ht="22.5" customHeight="1">
      <c r="A289" s="1259">
        <v>288.0</v>
      </c>
      <c r="B289" s="913" t="b">
        <v>0</v>
      </c>
      <c r="C289" s="1240"/>
      <c r="D289" s="924"/>
      <c r="E289" s="924"/>
      <c r="F289" s="924"/>
      <c r="G289" s="924"/>
      <c r="H289" s="924"/>
    </row>
    <row r="290" ht="22.5" customHeight="1">
      <c r="A290" s="1259">
        <v>289.0</v>
      </c>
      <c r="B290" s="913" t="b">
        <v>0</v>
      </c>
      <c r="C290" s="1240"/>
      <c r="D290" s="924"/>
      <c r="E290" s="924"/>
      <c r="F290" s="924"/>
      <c r="G290" s="924"/>
      <c r="H290" s="924"/>
    </row>
    <row r="291" ht="22.5" customHeight="1">
      <c r="A291" s="1259">
        <v>290.0</v>
      </c>
      <c r="B291" s="913" t="b">
        <v>0</v>
      </c>
      <c r="C291" s="1240"/>
      <c r="D291" s="924"/>
      <c r="E291" s="924"/>
      <c r="F291" s="924"/>
      <c r="G291" s="924"/>
      <c r="H291" s="924"/>
    </row>
    <row r="292" ht="22.5" customHeight="1">
      <c r="A292" s="1259">
        <v>291.0</v>
      </c>
      <c r="B292" s="913" t="b">
        <v>0</v>
      </c>
      <c r="C292" s="1240"/>
      <c r="D292" s="924"/>
      <c r="E292" s="924"/>
      <c r="F292" s="924"/>
      <c r="G292" s="924"/>
      <c r="H292" s="924"/>
    </row>
    <row r="293" ht="22.5" customHeight="1">
      <c r="A293" s="1259">
        <v>292.0</v>
      </c>
      <c r="B293" s="913" t="b">
        <v>0</v>
      </c>
      <c r="C293" s="1240"/>
      <c r="D293" s="924"/>
      <c r="E293" s="924"/>
      <c r="F293" s="924"/>
      <c r="G293" s="924"/>
      <c r="H293" s="924"/>
    </row>
    <row r="294" ht="22.5" customHeight="1">
      <c r="A294" s="1259">
        <v>293.0</v>
      </c>
      <c r="B294" s="913" t="b">
        <v>0</v>
      </c>
      <c r="C294" s="1240"/>
      <c r="D294" s="924"/>
      <c r="E294" s="924"/>
      <c r="F294" s="924"/>
      <c r="G294" s="924"/>
      <c r="H294" s="924"/>
    </row>
    <row r="295" ht="22.5" customHeight="1">
      <c r="A295" s="1259">
        <v>294.0</v>
      </c>
      <c r="B295" s="913" t="b">
        <v>0</v>
      </c>
      <c r="C295" s="1240"/>
      <c r="D295" s="924"/>
      <c r="E295" s="924"/>
      <c r="F295" s="924"/>
      <c r="G295" s="924"/>
      <c r="H295" s="924"/>
    </row>
    <row r="296" ht="22.5" customHeight="1">
      <c r="A296" s="1259">
        <v>295.0</v>
      </c>
      <c r="B296" s="913" t="b">
        <v>0</v>
      </c>
      <c r="C296" s="1240"/>
      <c r="D296" s="924"/>
      <c r="E296" s="924"/>
      <c r="F296" s="924"/>
      <c r="G296" s="924"/>
      <c r="H296" s="924"/>
    </row>
    <row r="297" ht="22.5" customHeight="1">
      <c r="A297" s="1259">
        <v>296.0</v>
      </c>
      <c r="B297" s="913" t="b">
        <v>0</v>
      </c>
      <c r="C297" s="1240"/>
      <c r="D297" s="924"/>
      <c r="E297" s="924"/>
      <c r="F297" s="924"/>
      <c r="G297" s="924"/>
      <c r="H297" s="924"/>
    </row>
    <row r="298" ht="22.5" customHeight="1">
      <c r="A298" s="1259">
        <v>297.0</v>
      </c>
      <c r="B298" s="913" t="b">
        <v>0</v>
      </c>
      <c r="C298" s="1240"/>
      <c r="D298" s="924"/>
      <c r="E298" s="924"/>
      <c r="F298" s="924"/>
      <c r="G298" s="924"/>
      <c r="H298" s="924"/>
    </row>
    <row r="299" ht="22.5" customHeight="1">
      <c r="A299" s="1259">
        <v>298.0</v>
      </c>
      <c r="B299" s="913" t="b">
        <v>0</v>
      </c>
      <c r="C299" s="1240"/>
      <c r="D299" s="924"/>
      <c r="E299" s="924"/>
      <c r="F299" s="924"/>
      <c r="G299" s="924"/>
      <c r="H299" s="924"/>
    </row>
    <row r="300" ht="22.5" customHeight="1">
      <c r="A300" s="1259">
        <v>299.0</v>
      </c>
      <c r="B300" s="913" t="b">
        <v>0</v>
      </c>
      <c r="C300" s="1240"/>
      <c r="D300" s="924"/>
      <c r="E300" s="924"/>
      <c r="F300" s="924"/>
      <c r="G300" s="924"/>
      <c r="H300" s="924"/>
    </row>
    <row r="301" ht="22.5" customHeight="1">
      <c r="A301" s="1259">
        <v>300.0</v>
      </c>
      <c r="B301" s="913" t="b">
        <v>0</v>
      </c>
      <c r="C301" s="1240"/>
      <c r="D301" s="924"/>
      <c r="E301" s="924"/>
      <c r="F301" s="924"/>
      <c r="G301" s="924"/>
      <c r="H301" s="924"/>
    </row>
    <row r="302" ht="22.5" customHeight="1">
      <c r="A302" s="1259">
        <v>301.0</v>
      </c>
      <c r="B302" s="913" t="b">
        <v>0</v>
      </c>
      <c r="C302" s="1240"/>
      <c r="D302" s="924"/>
      <c r="E302" s="924"/>
      <c r="F302" s="924"/>
      <c r="G302" s="924"/>
      <c r="H302" s="924"/>
    </row>
    <row r="303" ht="22.5" customHeight="1">
      <c r="A303" s="1259">
        <v>302.0</v>
      </c>
      <c r="B303" s="913" t="b">
        <v>0</v>
      </c>
      <c r="C303" s="1240"/>
      <c r="D303" s="924"/>
      <c r="E303" s="924"/>
      <c r="F303" s="924"/>
      <c r="G303" s="924"/>
      <c r="H303" s="924"/>
    </row>
    <row r="304" ht="22.5" customHeight="1">
      <c r="A304" s="1259">
        <v>303.0</v>
      </c>
      <c r="B304" s="913" t="b">
        <v>0</v>
      </c>
      <c r="C304" s="1240"/>
      <c r="D304" s="924"/>
      <c r="E304" s="924"/>
      <c r="F304" s="924"/>
      <c r="G304" s="924"/>
      <c r="H304" s="924"/>
    </row>
    <row r="305" ht="22.5" customHeight="1">
      <c r="A305" s="1259">
        <v>304.0</v>
      </c>
      <c r="B305" s="913" t="b">
        <v>0</v>
      </c>
      <c r="C305" s="1240"/>
      <c r="D305" s="924"/>
      <c r="E305" s="924"/>
      <c r="F305" s="924"/>
      <c r="G305" s="924"/>
      <c r="H305" s="924"/>
    </row>
    <row r="306" ht="22.5" customHeight="1">
      <c r="A306" s="1259">
        <v>305.0</v>
      </c>
      <c r="B306" s="913" t="b">
        <v>0</v>
      </c>
      <c r="C306" s="1240"/>
      <c r="D306" s="924"/>
      <c r="E306" s="924"/>
      <c r="F306" s="924"/>
      <c r="G306" s="924"/>
      <c r="H306" s="924"/>
    </row>
    <row r="307" ht="22.5" customHeight="1">
      <c r="A307" s="1259">
        <v>306.0</v>
      </c>
      <c r="B307" s="913" t="b">
        <v>0</v>
      </c>
      <c r="C307" s="1240"/>
      <c r="D307" s="924"/>
      <c r="E307" s="924"/>
      <c r="F307" s="924"/>
      <c r="G307" s="924"/>
      <c r="H307" s="924"/>
    </row>
    <row r="308" ht="22.5" customHeight="1">
      <c r="A308" s="1259">
        <v>307.0</v>
      </c>
      <c r="B308" s="913" t="b">
        <v>0</v>
      </c>
      <c r="C308" s="1240"/>
      <c r="D308" s="924"/>
      <c r="E308" s="924"/>
      <c r="F308" s="924"/>
      <c r="G308" s="924"/>
      <c r="H308" s="924"/>
    </row>
    <row r="309" ht="22.5" customHeight="1">
      <c r="A309" s="1259">
        <v>308.0</v>
      </c>
      <c r="B309" s="913" t="b">
        <v>0</v>
      </c>
      <c r="C309" s="1240"/>
      <c r="D309" s="924"/>
      <c r="E309" s="924"/>
      <c r="F309" s="924"/>
      <c r="G309" s="924"/>
      <c r="H309" s="924"/>
    </row>
    <row r="310" ht="22.5" customHeight="1">
      <c r="A310" s="1259">
        <v>309.0</v>
      </c>
      <c r="B310" s="913" t="b">
        <v>0</v>
      </c>
      <c r="C310" s="1240"/>
      <c r="D310" s="924"/>
      <c r="E310" s="924"/>
      <c r="F310" s="924"/>
      <c r="G310" s="924"/>
      <c r="H310" s="924"/>
    </row>
    <row r="311" ht="22.5" customHeight="1">
      <c r="A311" s="1259">
        <v>310.0</v>
      </c>
      <c r="B311" s="913"/>
      <c r="C311" s="1240"/>
      <c r="D311" s="924"/>
      <c r="E311" s="924"/>
      <c r="F311" s="924"/>
      <c r="G311" s="924"/>
      <c r="H311" s="924"/>
    </row>
    <row r="312" ht="22.5" customHeight="1">
      <c r="A312" s="1259">
        <v>311.0</v>
      </c>
      <c r="B312" s="913"/>
      <c r="C312" s="1240"/>
      <c r="D312" s="924"/>
      <c r="E312" s="924"/>
      <c r="F312" s="924"/>
      <c r="G312" s="924"/>
      <c r="H312" s="924"/>
    </row>
    <row r="313" ht="22.5" customHeight="1">
      <c r="A313" s="1259">
        <v>312.0</v>
      </c>
      <c r="B313" s="913"/>
      <c r="C313" s="1240"/>
      <c r="D313" s="924"/>
      <c r="E313" s="924"/>
      <c r="F313" s="924"/>
      <c r="G313" s="924"/>
      <c r="H313" s="924"/>
    </row>
    <row r="314" ht="22.5" customHeight="1">
      <c r="A314" s="1259">
        <v>313.0</v>
      </c>
      <c r="B314" s="913"/>
      <c r="C314" s="1240"/>
      <c r="D314" s="924"/>
      <c r="E314" s="924"/>
      <c r="F314" s="924"/>
      <c r="G314" s="924"/>
      <c r="H314" s="924"/>
    </row>
    <row r="315" ht="22.5" customHeight="1">
      <c r="A315" s="1259">
        <v>314.0</v>
      </c>
      <c r="B315" s="913"/>
      <c r="C315" s="1240"/>
      <c r="D315" s="924"/>
      <c r="E315" s="924"/>
      <c r="F315" s="924"/>
      <c r="G315" s="924"/>
      <c r="H315" s="924"/>
    </row>
    <row r="316" ht="22.5" customHeight="1">
      <c r="A316" s="1259">
        <v>315.0</v>
      </c>
      <c r="B316" s="913"/>
      <c r="C316" s="1240"/>
      <c r="D316" s="924"/>
      <c r="E316" s="924"/>
      <c r="F316" s="924"/>
      <c r="G316" s="924"/>
      <c r="H316" s="924"/>
    </row>
    <row r="317" ht="22.5" customHeight="1">
      <c r="A317" s="1259">
        <v>316.0</v>
      </c>
      <c r="B317" s="913"/>
      <c r="C317" s="1240"/>
      <c r="D317" s="924"/>
      <c r="E317" s="924"/>
      <c r="F317" s="924"/>
      <c r="G317" s="924"/>
      <c r="H317" s="924"/>
    </row>
    <row r="318" ht="22.5" customHeight="1">
      <c r="A318" s="1259">
        <v>317.0</v>
      </c>
      <c r="B318" s="913"/>
      <c r="C318" s="1240"/>
      <c r="D318" s="924"/>
      <c r="E318" s="924"/>
      <c r="F318" s="924"/>
      <c r="G318" s="924"/>
      <c r="H318" s="924"/>
    </row>
    <row r="319" ht="22.5" customHeight="1">
      <c r="A319" s="1259">
        <v>318.0</v>
      </c>
      <c r="B319" s="913"/>
      <c r="C319" s="1240"/>
      <c r="D319" s="924"/>
      <c r="E319" s="924"/>
      <c r="F319" s="924"/>
      <c r="G319" s="924"/>
      <c r="H319" s="924"/>
    </row>
    <row r="320" ht="22.5" customHeight="1">
      <c r="A320" s="1259">
        <v>319.0</v>
      </c>
      <c r="B320" s="913"/>
      <c r="C320" s="1240"/>
      <c r="D320" s="924"/>
      <c r="E320" s="924"/>
      <c r="F320" s="924"/>
      <c r="G320" s="924"/>
      <c r="H320" s="924"/>
    </row>
    <row r="321" ht="22.5" customHeight="1">
      <c r="A321" s="1259">
        <v>320.0</v>
      </c>
      <c r="B321" s="913"/>
      <c r="C321" s="1240"/>
      <c r="D321" s="924"/>
      <c r="E321" s="924"/>
      <c r="F321" s="924"/>
      <c r="G321" s="924"/>
      <c r="H321" s="924"/>
    </row>
    <row r="322" ht="22.5" customHeight="1">
      <c r="A322" s="1259">
        <v>321.0</v>
      </c>
      <c r="B322" s="913"/>
      <c r="C322" s="1240"/>
      <c r="D322" s="924"/>
      <c r="E322" s="924"/>
      <c r="F322" s="924"/>
      <c r="G322" s="924"/>
      <c r="H322" s="924"/>
    </row>
    <row r="323" ht="22.5" customHeight="1">
      <c r="A323" s="1259">
        <v>322.0</v>
      </c>
      <c r="B323" s="913"/>
      <c r="C323" s="1240"/>
      <c r="D323" s="924"/>
      <c r="E323" s="924"/>
      <c r="F323" s="924"/>
      <c r="G323" s="924"/>
      <c r="H323" s="924"/>
    </row>
    <row r="324" ht="22.5" customHeight="1">
      <c r="A324" s="1259">
        <v>323.0</v>
      </c>
      <c r="B324" s="913"/>
      <c r="C324" s="1240"/>
      <c r="D324" s="924"/>
      <c r="E324" s="924"/>
      <c r="F324" s="924"/>
      <c r="G324" s="924"/>
      <c r="H324" s="924"/>
    </row>
    <row r="325" ht="22.5" customHeight="1">
      <c r="A325" s="1259">
        <v>324.0</v>
      </c>
      <c r="B325" s="913"/>
      <c r="C325" s="1240"/>
      <c r="D325" s="924"/>
      <c r="E325" s="924"/>
      <c r="F325" s="924"/>
      <c r="G325" s="924"/>
      <c r="H325" s="924"/>
    </row>
    <row r="326" ht="22.5" customHeight="1">
      <c r="A326" s="1259">
        <v>325.0</v>
      </c>
      <c r="B326" s="913"/>
      <c r="C326" s="1240"/>
      <c r="D326" s="924"/>
      <c r="E326" s="924"/>
      <c r="F326" s="924"/>
      <c r="G326" s="924"/>
      <c r="H326" s="924"/>
    </row>
    <row r="327" ht="22.5" customHeight="1">
      <c r="A327" s="1259">
        <v>326.0</v>
      </c>
      <c r="B327" s="913"/>
      <c r="C327" s="1240"/>
      <c r="D327" s="924"/>
      <c r="E327" s="924"/>
      <c r="F327" s="924"/>
      <c r="G327" s="924"/>
      <c r="H327" s="924"/>
    </row>
    <row r="328" ht="22.5" customHeight="1">
      <c r="A328" s="1259">
        <v>327.0</v>
      </c>
      <c r="B328" s="913"/>
      <c r="C328" s="1240"/>
      <c r="D328" s="924"/>
      <c r="E328" s="924"/>
      <c r="F328" s="924"/>
      <c r="G328" s="924"/>
      <c r="H328" s="924"/>
    </row>
    <row r="329" ht="22.5" customHeight="1">
      <c r="A329" s="1259">
        <v>328.0</v>
      </c>
      <c r="B329" s="913"/>
      <c r="C329" s="1240"/>
      <c r="D329" s="924"/>
      <c r="E329" s="924"/>
      <c r="F329" s="924"/>
      <c r="G329" s="924"/>
      <c r="H329" s="924"/>
    </row>
    <row r="330" ht="22.5" customHeight="1">
      <c r="A330" s="1259">
        <v>329.0</v>
      </c>
      <c r="B330" s="913"/>
      <c r="C330" s="1240"/>
      <c r="D330" s="924"/>
      <c r="E330" s="924"/>
      <c r="F330" s="924"/>
      <c r="G330" s="924"/>
      <c r="H330" s="924"/>
    </row>
    <row r="331" ht="22.5" customHeight="1">
      <c r="A331" s="1259">
        <v>330.0</v>
      </c>
      <c r="B331" s="913"/>
      <c r="C331" s="1240"/>
      <c r="D331" s="924"/>
      <c r="E331" s="924"/>
      <c r="F331" s="924"/>
      <c r="G331" s="924"/>
      <c r="H331" s="924"/>
    </row>
    <row r="332" ht="22.5" customHeight="1">
      <c r="A332" s="1259">
        <v>331.0</v>
      </c>
      <c r="B332" s="913"/>
      <c r="C332" s="1240"/>
      <c r="D332" s="924"/>
      <c r="E332" s="924"/>
      <c r="F332" s="924"/>
      <c r="G332" s="924"/>
      <c r="H332" s="924"/>
    </row>
    <row r="333" ht="22.5" customHeight="1">
      <c r="A333" s="1259">
        <v>332.0</v>
      </c>
      <c r="B333" s="913"/>
      <c r="C333" s="1240"/>
      <c r="D333" s="924"/>
      <c r="E333" s="924"/>
      <c r="F333" s="924"/>
      <c r="G333" s="924"/>
      <c r="H333" s="924"/>
    </row>
    <row r="334" ht="22.5" customHeight="1">
      <c r="A334" s="1259">
        <v>333.0</v>
      </c>
      <c r="B334" s="913"/>
      <c r="C334" s="1240"/>
      <c r="D334" s="924"/>
      <c r="E334" s="924"/>
      <c r="F334" s="924"/>
      <c r="G334" s="924"/>
      <c r="H334" s="924"/>
    </row>
    <row r="335" ht="22.5" customHeight="1">
      <c r="A335" s="1259">
        <v>334.0</v>
      </c>
      <c r="B335" s="913"/>
      <c r="C335" s="1240"/>
      <c r="D335" s="924"/>
      <c r="E335" s="924"/>
      <c r="F335" s="924"/>
      <c r="G335" s="924"/>
      <c r="H335" s="924"/>
    </row>
    <row r="336" ht="22.5" customHeight="1">
      <c r="A336" s="1259">
        <v>335.0</v>
      </c>
      <c r="B336" s="913"/>
      <c r="C336" s="1240"/>
      <c r="D336" s="924"/>
      <c r="E336" s="924"/>
      <c r="F336" s="924"/>
      <c r="G336" s="924"/>
      <c r="H336" s="924"/>
    </row>
    <row r="337" ht="22.5" customHeight="1">
      <c r="A337" s="1259">
        <v>336.0</v>
      </c>
      <c r="B337" s="913"/>
      <c r="C337" s="1240"/>
      <c r="D337" s="924"/>
      <c r="E337" s="924"/>
      <c r="F337" s="924"/>
      <c r="G337" s="924"/>
      <c r="H337" s="924"/>
    </row>
    <row r="338" ht="22.5" customHeight="1">
      <c r="A338" s="1259">
        <v>337.0</v>
      </c>
      <c r="B338" s="913"/>
      <c r="C338" s="1240"/>
      <c r="D338" s="924"/>
      <c r="E338" s="924"/>
      <c r="F338" s="924"/>
      <c r="G338" s="924"/>
      <c r="H338" s="924"/>
    </row>
    <row r="339" ht="22.5" customHeight="1">
      <c r="A339" s="1259">
        <v>338.0</v>
      </c>
      <c r="B339" s="913"/>
      <c r="C339" s="1240"/>
      <c r="D339" s="924"/>
      <c r="E339" s="924"/>
      <c r="F339" s="924"/>
      <c r="G339" s="924"/>
      <c r="H339" s="924"/>
    </row>
    <row r="340" ht="22.5" customHeight="1">
      <c r="A340" s="1259">
        <v>339.0</v>
      </c>
      <c r="B340" s="913"/>
      <c r="C340" s="1240"/>
      <c r="D340" s="924"/>
      <c r="E340" s="924"/>
      <c r="F340" s="924"/>
      <c r="G340" s="924"/>
      <c r="H340" s="924"/>
    </row>
    <row r="341" ht="22.5" customHeight="1">
      <c r="A341" s="1259">
        <v>340.0</v>
      </c>
      <c r="B341" s="913"/>
      <c r="C341" s="1240"/>
      <c r="D341" s="924"/>
      <c r="E341" s="924"/>
      <c r="F341" s="924"/>
      <c r="G341" s="924"/>
      <c r="H341" s="924"/>
    </row>
    <row r="342" ht="22.5" customHeight="1">
      <c r="A342" s="1259">
        <v>341.0</v>
      </c>
      <c r="B342" s="913"/>
      <c r="C342" s="1240"/>
      <c r="D342" s="924"/>
      <c r="E342" s="924"/>
      <c r="F342" s="924"/>
      <c r="G342" s="924"/>
      <c r="H342" s="924"/>
    </row>
    <row r="343" ht="22.5" customHeight="1">
      <c r="A343" s="1259">
        <v>342.0</v>
      </c>
      <c r="B343" s="913"/>
      <c r="C343" s="1240"/>
      <c r="D343" s="924"/>
      <c r="E343" s="924"/>
      <c r="F343" s="924"/>
      <c r="G343" s="924"/>
      <c r="H343" s="924"/>
    </row>
    <row r="344" ht="22.5" customHeight="1">
      <c r="A344" s="1259">
        <v>343.0</v>
      </c>
      <c r="B344" s="913"/>
      <c r="C344" s="1240"/>
      <c r="D344" s="924"/>
      <c r="E344" s="924"/>
      <c r="F344" s="924"/>
      <c r="G344" s="924"/>
      <c r="H344" s="924"/>
    </row>
    <row r="345" ht="22.5" customHeight="1">
      <c r="A345" s="1259">
        <v>344.0</v>
      </c>
      <c r="B345" s="913"/>
      <c r="C345" s="1240"/>
      <c r="D345" s="924"/>
      <c r="E345" s="924"/>
      <c r="F345" s="924"/>
      <c r="G345" s="924"/>
      <c r="H345" s="924"/>
    </row>
    <row r="346" ht="22.5" customHeight="1">
      <c r="A346" s="1259">
        <v>345.0</v>
      </c>
      <c r="B346" s="913"/>
      <c r="C346" s="1240"/>
      <c r="D346" s="924"/>
      <c r="E346" s="924"/>
      <c r="F346" s="924"/>
      <c r="G346" s="924"/>
      <c r="H346" s="924"/>
    </row>
    <row r="347" ht="22.5" customHeight="1">
      <c r="A347" s="1259">
        <v>346.0</v>
      </c>
      <c r="B347" s="913"/>
      <c r="C347" s="1240"/>
      <c r="D347" s="924"/>
      <c r="E347" s="924"/>
      <c r="F347" s="924"/>
      <c r="G347" s="924"/>
      <c r="H347" s="924"/>
    </row>
    <row r="348" ht="22.5" customHeight="1">
      <c r="A348" s="1259">
        <v>347.0</v>
      </c>
      <c r="B348" s="913"/>
      <c r="C348" s="1240"/>
      <c r="D348" s="924"/>
      <c r="E348" s="924"/>
      <c r="F348" s="924"/>
      <c r="G348" s="924"/>
      <c r="H348" s="924"/>
    </row>
    <row r="349" ht="22.5" customHeight="1">
      <c r="A349" s="1259">
        <v>348.0</v>
      </c>
      <c r="B349" s="913"/>
      <c r="C349" s="1240"/>
      <c r="D349" s="924"/>
      <c r="E349" s="924"/>
      <c r="F349" s="924"/>
      <c r="G349" s="924"/>
      <c r="H349" s="924"/>
    </row>
    <row r="350" ht="22.5" customHeight="1">
      <c r="A350" s="1259">
        <v>349.0</v>
      </c>
      <c r="B350" s="913"/>
      <c r="C350" s="1240"/>
      <c r="D350" s="924"/>
      <c r="E350" s="924"/>
      <c r="F350" s="924"/>
      <c r="G350" s="924"/>
      <c r="H350" s="924"/>
    </row>
    <row r="351" ht="22.5" customHeight="1">
      <c r="A351" s="1259">
        <v>350.0</v>
      </c>
      <c r="B351" s="913"/>
      <c r="C351" s="1240"/>
      <c r="D351" s="924"/>
      <c r="E351" s="924"/>
      <c r="F351" s="924"/>
      <c r="G351" s="924"/>
      <c r="H351" s="924"/>
    </row>
    <row r="352" ht="22.5" customHeight="1">
      <c r="A352" s="1259">
        <v>351.0</v>
      </c>
      <c r="B352" s="913"/>
      <c r="C352" s="1240"/>
      <c r="D352" s="924"/>
      <c r="E352" s="924"/>
      <c r="F352" s="924"/>
      <c r="G352" s="924"/>
      <c r="H352" s="924"/>
    </row>
    <row r="353" ht="22.5" customHeight="1">
      <c r="A353" s="1259">
        <v>352.0</v>
      </c>
      <c r="B353" s="913"/>
      <c r="C353" s="1240"/>
      <c r="D353" s="924"/>
      <c r="E353" s="924"/>
      <c r="F353" s="924"/>
      <c r="G353" s="924"/>
      <c r="H353" s="924"/>
    </row>
    <row r="354" ht="22.5" customHeight="1">
      <c r="A354" s="1259">
        <v>353.0</v>
      </c>
      <c r="B354" s="913"/>
      <c r="C354" s="1240"/>
      <c r="D354" s="924"/>
      <c r="E354" s="924"/>
      <c r="F354" s="924"/>
      <c r="G354" s="924"/>
      <c r="H354" s="924"/>
    </row>
    <row r="355" ht="22.5" customHeight="1">
      <c r="A355" s="1259">
        <v>354.0</v>
      </c>
      <c r="B355" s="913"/>
      <c r="C355" s="1240"/>
      <c r="D355" s="924"/>
      <c r="E355" s="924"/>
      <c r="F355" s="924"/>
      <c r="G355" s="924"/>
      <c r="H355" s="924"/>
    </row>
    <row r="356" ht="22.5" customHeight="1">
      <c r="A356" s="1259">
        <v>355.0</v>
      </c>
      <c r="B356" s="913"/>
      <c r="C356" s="1240"/>
      <c r="D356" s="924"/>
      <c r="E356" s="924"/>
      <c r="F356" s="924"/>
      <c r="G356" s="924"/>
      <c r="H356" s="924"/>
    </row>
    <row r="357" ht="22.5" customHeight="1">
      <c r="A357" s="1259">
        <v>356.0</v>
      </c>
      <c r="B357" s="913"/>
      <c r="C357" s="1240"/>
      <c r="D357" s="924"/>
      <c r="E357" s="924"/>
      <c r="F357" s="924"/>
      <c r="G357" s="924"/>
      <c r="H357" s="924"/>
    </row>
    <row r="358" ht="22.5" customHeight="1">
      <c r="A358" s="1259">
        <v>357.0</v>
      </c>
      <c r="B358" s="913"/>
      <c r="C358" s="1240"/>
      <c r="D358" s="924"/>
      <c r="E358" s="924"/>
      <c r="F358" s="924"/>
      <c r="G358" s="924"/>
      <c r="H358" s="924"/>
    </row>
    <row r="359" ht="22.5" customHeight="1">
      <c r="A359" s="1259">
        <v>358.0</v>
      </c>
      <c r="B359" s="913"/>
      <c r="C359" s="1240"/>
      <c r="D359" s="924"/>
      <c r="E359" s="924"/>
      <c r="F359" s="924"/>
      <c r="G359" s="924"/>
      <c r="H359" s="924"/>
    </row>
    <row r="360" ht="22.5" customHeight="1">
      <c r="A360" s="1259">
        <v>359.0</v>
      </c>
      <c r="B360" s="913"/>
      <c r="C360" s="1240"/>
      <c r="D360" s="924"/>
      <c r="E360" s="924"/>
      <c r="F360" s="924"/>
      <c r="G360" s="924"/>
      <c r="H360" s="924"/>
    </row>
    <row r="361" ht="22.5" customHeight="1">
      <c r="A361" s="1259">
        <v>360.0</v>
      </c>
      <c r="B361" s="913"/>
      <c r="C361" s="1240"/>
      <c r="D361" s="924"/>
      <c r="E361" s="924"/>
      <c r="F361" s="924"/>
      <c r="G361" s="924"/>
      <c r="H361" s="924"/>
    </row>
    <row r="362" ht="22.5" customHeight="1">
      <c r="A362" s="1259">
        <v>361.0</v>
      </c>
      <c r="B362" s="913"/>
      <c r="C362" s="1240"/>
      <c r="D362" s="924"/>
      <c r="E362" s="924"/>
      <c r="F362" s="924"/>
      <c r="G362" s="924"/>
      <c r="H362" s="924"/>
    </row>
    <row r="363" ht="22.5" customHeight="1">
      <c r="A363" s="1259">
        <v>362.0</v>
      </c>
      <c r="B363" s="913"/>
      <c r="C363" s="1240"/>
      <c r="D363" s="924"/>
      <c r="E363" s="924"/>
      <c r="F363" s="924"/>
      <c r="G363" s="924"/>
      <c r="H363" s="924"/>
    </row>
    <row r="364" ht="22.5" customHeight="1">
      <c r="A364" s="1259">
        <v>363.0</v>
      </c>
      <c r="B364" s="913"/>
      <c r="C364" s="1240"/>
      <c r="D364" s="924"/>
      <c r="E364" s="924"/>
      <c r="F364" s="924"/>
      <c r="G364" s="924"/>
      <c r="H364" s="924"/>
    </row>
    <row r="365" ht="22.5" customHeight="1">
      <c r="A365" s="1259">
        <v>364.0</v>
      </c>
      <c r="B365" s="913"/>
      <c r="C365" s="1240"/>
      <c r="D365" s="924"/>
      <c r="E365" s="924"/>
      <c r="F365" s="924"/>
      <c r="G365" s="924"/>
      <c r="H365" s="924"/>
    </row>
    <row r="366" ht="22.5" customHeight="1">
      <c r="A366" s="1259">
        <v>365.0</v>
      </c>
      <c r="B366" s="913"/>
      <c r="C366" s="1240"/>
      <c r="D366" s="924"/>
      <c r="E366" s="924"/>
      <c r="F366" s="924"/>
      <c r="G366" s="924"/>
      <c r="H366" s="924"/>
    </row>
    <row r="367" ht="22.5" customHeight="1">
      <c r="A367" s="1259">
        <v>366.0</v>
      </c>
      <c r="B367" s="913"/>
      <c r="C367" s="1240"/>
      <c r="D367" s="924"/>
      <c r="E367" s="924"/>
      <c r="F367" s="924"/>
      <c r="G367" s="924"/>
      <c r="H367" s="924"/>
    </row>
    <row r="368" ht="22.5" customHeight="1">
      <c r="A368" s="1259">
        <v>367.0</v>
      </c>
      <c r="B368" s="913"/>
      <c r="C368" s="1240"/>
      <c r="D368" s="924"/>
      <c r="E368" s="924"/>
      <c r="F368" s="924"/>
      <c r="G368" s="924"/>
      <c r="H368" s="924"/>
    </row>
    <row r="369" ht="22.5" customHeight="1">
      <c r="A369" s="1259">
        <v>368.0</v>
      </c>
      <c r="B369" s="913"/>
      <c r="C369" s="1240"/>
      <c r="D369" s="924"/>
      <c r="E369" s="924"/>
      <c r="F369" s="924"/>
      <c r="G369" s="924"/>
      <c r="H369" s="924"/>
    </row>
    <row r="370" ht="22.5" customHeight="1">
      <c r="A370" s="1259">
        <v>369.0</v>
      </c>
      <c r="B370" s="913"/>
      <c r="C370" s="1240"/>
      <c r="D370" s="924"/>
      <c r="E370" s="924"/>
      <c r="F370" s="924"/>
      <c r="G370" s="924"/>
      <c r="H370" s="924"/>
    </row>
    <row r="371" ht="22.5" customHeight="1">
      <c r="A371" s="1259">
        <v>370.0</v>
      </c>
      <c r="B371" s="913"/>
      <c r="C371" s="1240"/>
      <c r="D371" s="924"/>
      <c r="E371" s="924"/>
      <c r="F371" s="924"/>
      <c r="G371" s="924"/>
      <c r="H371" s="924"/>
    </row>
    <row r="372" ht="22.5" customHeight="1">
      <c r="A372" s="1259">
        <v>371.0</v>
      </c>
      <c r="B372" s="913"/>
      <c r="C372" s="1240"/>
      <c r="D372" s="924"/>
      <c r="E372" s="924"/>
      <c r="F372" s="924"/>
      <c r="G372" s="924"/>
      <c r="H372" s="924"/>
    </row>
    <row r="373" ht="22.5" customHeight="1">
      <c r="A373" s="1259">
        <v>372.0</v>
      </c>
      <c r="B373" s="913"/>
      <c r="C373" s="1240"/>
      <c r="D373" s="924"/>
      <c r="E373" s="924"/>
      <c r="F373" s="924"/>
      <c r="G373" s="924"/>
      <c r="H373" s="924"/>
    </row>
    <row r="374" ht="22.5" customHeight="1">
      <c r="A374" s="1259">
        <v>373.0</v>
      </c>
      <c r="B374" s="913"/>
      <c r="C374" s="1240"/>
      <c r="D374" s="924"/>
      <c r="E374" s="924"/>
      <c r="F374" s="924"/>
      <c r="G374" s="924"/>
      <c r="H374" s="924"/>
    </row>
    <row r="375" ht="22.5" customHeight="1">
      <c r="A375" s="1259">
        <v>374.0</v>
      </c>
      <c r="B375" s="913"/>
      <c r="C375" s="1240"/>
      <c r="D375" s="924"/>
      <c r="E375" s="924"/>
      <c r="F375" s="924"/>
      <c r="G375" s="924"/>
      <c r="H375" s="924"/>
    </row>
    <row r="376" ht="22.5" customHeight="1">
      <c r="A376" s="1259">
        <v>375.0</v>
      </c>
      <c r="B376" s="913"/>
      <c r="C376" s="1240"/>
      <c r="D376" s="924"/>
      <c r="E376" s="924"/>
      <c r="F376" s="924"/>
      <c r="G376" s="924"/>
      <c r="H376" s="924"/>
    </row>
    <row r="377" ht="22.5" customHeight="1">
      <c r="A377" s="1259">
        <v>376.0</v>
      </c>
      <c r="B377" s="913"/>
      <c r="C377" s="1240"/>
      <c r="D377" s="924"/>
      <c r="E377" s="924"/>
      <c r="F377" s="924"/>
      <c r="G377" s="924"/>
      <c r="H377" s="924"/>
    </row>
    <row r="378" ht="22.5" customHeight="1">
      <c r="A378" s="1259">
        <v>377.0</v>
      </c>
      <c r="B378" s="913"/>
      <c r="C378" s="1240"/>
      <c r="D378" s="924"/>
      <c r="E378" s="924"/>
      <c r="F378" s="924"/>
      <c r="G378" s="924"/>
      <c r="H378" s="924"/>
    </row>
    <row r="379" ht="22.5" customHeight="1">
      <c r="A379" s="1259">
        <v>378.0</v>
      </c>
      <c r="B379" s="913"/>
      <c r="C379" s="1240"/>
      <c r="D379" s="924"/>
      <c r="E379" s="924"/>
      <c r="F379" s="924"/>
      <c r="G379" s="924"/>
      <c r="H379" s="924"/>
    </row>
    <row r="380" ht="22.5" customHeight="1">
      <c r="A380" s="1259">
        <v>379.0</v>
      </c>
      <c r="B380" s="913"/>
      <c r="C380" s="1240"/>
      <c r="D380" s="924"/>
      <c r="E380" s="924"/>
      <c r="F380" s="924"/>
      <c r="G380" s="924"/>
      <c r="H380" s="924"/>
    </row>
    <row r="381" ht="22.5" customHeight="1">
      <c r="A381" s="1259">
        <v>380.0</v>
      </c>
      <c r="B381" s="913"/>
      <c r="C381" s="1240"/>
      <c r="D381" s="924"/>
      <c r="E381" s="924"/>
      <c r="F381" s="924"/>
      <c r="G381" s="924"/>
      <c r="H381" s="924"/>
    </row>
    <row r="382" ht="22.5" customHeight="1">
      <c r="A382" s="1259">
        <v>381.0</v>
      </c>
      <c r="B382" s="913"/>
      <c r="C382" s="1240"/>
      <c r="D382" s="924"/>
      <c r="E382" s="924"/>
      <c r="F382" s="924"/>
      <c r="G382" s="924"/>
      <c r="H382" s="924"/>
    </row>
    <row r="383" ht="22.5" customHeight="1">
      <c r="A383" s="1259">
        <v>382.0</v>
      </c>
      <c r="B383" s="913"/>
      <c r="C383" s="1240"/>
      <c r="D383" s="924"/>
      <c r="E383" s="924"/>
      <c r="F383" s="924"/>
      <c r="G383" s="924"/>
      <c r="H383" s="924"/>
    </row>
    <row r="384" ht="22.5" customHeight="1">
      <c r="A384" s="1259">
        <v>383.0</v>
      </c>
      <c r="B384" s="913"/>
      <c r="C384" s="1240"/>
      <c r="D384" s="924"/>
      <c r="E384" s="924"/>
      <c r="F384" s="924"/>
      <c r="G384" s="924"/>
      <c r="H384" s="924"/>
    </row>
    <row r="385" ht="22.5" customHeight="1">
      <c r="A385" s="1259">
        <v>384.0</v>
      </c>
      <c r="B385" s="913"/>
      <c r="C385" s="1240"/>
      <c r="D385" s="924"/>
      <c r="E385" s="924"/>
      <c r="F385" s="924"/>
      <c r="G385" s="924"/>
      <c r="H385" s="924"/>
    </row>
    <row r="386" ht="22.5" customHeight="1">
      <c r="A386" s="1259">
        <v>385.0</v>
      </c>
      <c r="B386" s="913"/>
      <c r="C386" s="1240"/>
      <c r="D386" s="924"/>
      <c r="E386" s="924"/>
      <c r="F386" s="924"/>
      <c r="G386" s="924"/>
      <c r="H386" s="924"/>
    </row>
    <row r="387" ht="22.5" customHeight="1">
      <c r="A387" s="1259">
        <v>386.0</v>
      </c>
      <c r="B387" s="913"/>
      <c r="C387" s="1240"/>
      <c r="D387" s="924"/>
      <c r="E387" s="924"/>
      <c r="F387" s="924"/>
      <c r="G387" s="924"/>
      <c r="H387" s="924"/>
    </row>
    <row r="388" ht="22.5" customHeight="1">
      <c r="A388" s="1259">
        <v>387.0</v>
      </c>
      <c r="B388" s="913"/>
      <c r="C388" s="1240"/>
      <c r="D388" s="924"/>
      <c r="E388" s="924"/>
      <c r="F388" s="924"/>
      <c r="G388" s="924"/>
      <c r="H388" s="924"/>
    </row>
    <row r="389" ht="22.5" customHeight="1">
      <c r="A389" s="1259">
        <v>388.0</v>
      </c>
      <c r="B389" s="913"/>
      <c r="C389" s="1240"/>
      <c r="D389" s="924"/>
      <c r="E389" s="924"/>
      <c r="F389" s="924"/>
      <c r="G389" s="924"/>
      <c r="H389" s="924"/>
    </row>
    <row r="390" ht="22.5" customHeight="1">
      <c r="A390" s="1259">
        <v>389.0</v>
      </c>
      <c r="B390" s="913"/>
      <c r="C390" s="1240"/>
      <c r="D390" s="924"/>
      <c r="E390" s="924"/>
      <c r="F390" s="924"/>
      <c r="G390" s="924"/>
      <c r="H390" s="924"/>
    </row>
    <row r="391" ht="22.5" customHeight="1">
      <c r="A391" s="1259">
        <v>390.0</v>
      </c>
      <c r="B391" s="913"/>
      <c r="C391" s="1240"/>
      <c r="D391" s="924"/>
      <c r="E391" s="924"/>
      <c r="F391" s="924"/>
      <c r="G391" s="924"/>
      <c r="H391" s="924"/>
    </row>
    <row r="392" ht="22.5" customHeight="1">
      <c r="A392" s="1259">
        <v>391.0</v>
      </c>
      <c r="B392" s="913"/>
      <c r="C392" s="1240"/>
      <c r="D392" s="924"/>
      <c r="E392" s="924"/>
      <c r="F392" s="924"/>
      <c r="G392" s="924"/>
      <c r="H392" s="924"/>
    </row>
    <row r="393" ht="22.5" customHeight="1">
      <c r="A393" s="1259">
        <v>392.0</v>
      </c>
      <c r="B393" s="913"/>
      <c r="C393" s="1240"/>
      <c r="D393" s="924"/>
      <c r="E393" s="924"/>
      <c r="F393" s="924"/>
      <c r="G393" s="924"/>
      <c r="H393" s="924"/>
    </row>
    <row r="394" ht="22.5" customHeight="1">
      <c r="A394" s="1259">
        <v>393.0</v>
      </c>
      <c r="B394" s="913"/>
      <c r="C394" s="1240"/>
      <c r="D394" s="924"/>
      <c r="E394" s="924"/>
      <c r="F394" s="924"/>
      <c r="G394" s="924"/>
      <c r="H394" s="924"/>
    </row>
    <row r="395" ht="22.5" customHeight="1">
      <c r="A395" s="1259">
        <v>394.0</v>
      </c>
      <c r="B395" s="913"/>
      <c r="C395" s="1240"/>
      <c r="D395" s="924"/>
      <c r="E395" s="924"/>
      <c r="F395" s="924"/>
      <c r="G395" s="924"/>
      <c r="H395" s="924"/>
    </row>
    <row r="396" ht="22.5" customHeight="1">
      <c r="A396" s="1259">
        <v>395.0</v>
      </c>
      <c r="B396" s="913"/>
      <c r="C396" s="1240"/>
      <c r="D396" s="924"/>
      <c r="E396" s="924"/>
      <c r="F396" s="924"/>
      <c r="G396" s="924"/>
      <c r="H396" s="924"/>
    </row>
    <row r="397" ht="22.5" customHeight="1">
      <c r="A397" s="1259">
        <v>396.0</v>
      </c>
      <c r="B397" s="913"/>
      <c r="C397" s="1240"/>
      <c r="D397" s="924"/>
      <c r="E397" s="924"/>
      <c r="F397" s="924"/>
      <c r="G397" s="924"/>
      <c r="H397" s="924"/>
    </row>
    <row r="398" ht="22.5" customHeight="1">
      <c r="A398" s="1259">
        <v>397.0</v>
      </c>
      <c r="B398" s="913"/>
      <c r="C398" s="1240"/>
      <c r="D398" s="924"/>
      <c r="E398" s="924"/>
      <c r="F398" s="924"/>
      <c r="G398" s="924"/>
      <c r="H398" s="924"/>
    </row>
    <row r="399" ht="22.5" customHeight="1">
      <c r="A399" s="1259">
        <v>398.0</v>
      </c>
      <c r="B399" s="913"/>
      <c r="C399" s="1240"/>
      <c r="D399" s="924"/>
      <c r="E399" s="924"/>
      <c r="F399" s="924"/>
      <c r="G399" s="924"/>
      <c r="H399" s="924"/>
    </row>
    <row r="400" ht="22.5" customHeight="1">
      <c r="A400" s="1259">
        <v>399.0</v>
      </c>
      <c r="B400" s="913"/>
      <c r="C400" s="1240"/>
      <c r="D400" s="924"/>
      <c r="E400" s="924"/>
      <c r="F400" s="924"/>
      <c r="G400" s="924"/>
      <c r="H400" s="924"/>
    </row>
    <row r="401" ht="22.5" customHeight="1">
      <c r="A401" s="1259">
        <v>400.0</v>
      </c>
      <c r="B401" s="913"/>
      <c r="C401" s="1240"/>
      <c r="D401" s="924"/>
      <c r="E401" s="924"/>
      <c r="F401" s="924"/>
      <c r="G401" s="924"/>
      <c r="H401" s="924"/>
    </row>
    <row r="402" ht="22.5" customHeight="1">
      <c r="A402" s="1259">
        <v>401.0</v>
      </c>
      <c r="B402" s="913"/>
      <c r="C402" s="1240"/>
      <c r="D402" s="924"/>
      <c r="E402" s="924"/>
      <c r="F402" s="924"/>
      <c r="G402" s="924"/>
      <c r="H402" s="924"/>
    </row>
    <row r="403" ht="22.5" customHeight="1">
      <c r="A403" s="1259">
        <v>402.0</v>
      </c>
      <c r="B403" s="913"/>
      <c r="C403" s="1240"/>
      <c r="D403" s="924"/>
      <c r="E403" s="924"/>
      <c r="F403" s="924"/>
      <c r="G403" s="924"/>
      <c r="H403" s="924"/>
    </row>
    <row r="404" ht="22.5" customHeight="1">
      <c r="A404" s="1259">
        <v>403.0</v>
      </c>
      <c r="B404" s="913"/>
      <c r="C404" s="1240"/>
      <c r="D404" s="924"/>
      <c r="E404" s="924"/>
      <c r="F404" s="924"/>
      <c r="G404" s="924"/>
      <c r="H404" s="924"/>
    </row>
    <row r="405" ht="22.5" customHeight="1">
      <c r="A405" s="1259">
        <v>404.0</v>
      </c>
      <c r="B405" s="913"/>
      <c r="C405" s="1240"/>
      <c r="D405" s="924"/>
      <c r="E405" s="924"/>
      <c r="F405" s="924"/>
      <c r="G405" s="924"/>
      <c r="H405" s="924"/>
    </row>
    <row r="406" ht="22.5" customHeight="1">
      <c r="A406" s="1259">
        <v>405.0</v>
      </c>
      <c r="B406" s="913"/>
      <c r="C406" s="1240"/>
      <c r="D406" s="924"/>
      <c r="E406" s="924"/>
      <c r="F406" s="924"/>
      <c r="G406" s="924"/>
      <c r="H406" s="924"/>
    </row>
    <row r="407" ht="22.5" customHeight="1">
      <c r="A407" s="1259">
        <v>406.0</v>
      </c>
      <c r="B407" s="913"/>
      <c r="C407" s="1240"/>
      <c r="D407" s="924"/>
      <c r="E407" s="924"/>
      <c r="F407" s="924"/>
      <c r="G407" s="924"/>
      <c r="H407" s="924"/>
    </row>
    <row r="408" ht="22.5" customHeight="1">
      <c r="A408" s="1259">
        <v>407.0</v>
      </c>
      <c r="B408" s="913"/>
      <c r="C408" s="1240"/>
      <c r="D408" s="924"/>
      <c r="E408" s="924"/>
      <c r="F408" s="924"/>
      <c r="G408" s="924"/>
      <c r="H408" s="924"/>
    </row>
    <row r="409" ht="22.5" customHeight="1">
      <c r="A409" s="1259">
        <v>408.0</v>
      </c>
      <c r="B409" s="913"/>
      <c r="C409" s="1240"/>
      <c r="D409" s="924"/>
      <c r="E409" s="924"/>
      <c r="F409" s="924"/>
      <c r="G409" s="924"/>
      <c r="H409" s="924"/>
    </row>
    <row r="410" ht="22.5" customHeight="1">
      <c r="A410" s="1259">
        <v>409.0</v>
      </c>
      <c r="B410" s="913"/>
      <c r="C410" s="1240"/>
      <c r="D410" s="924"/>
      <c r="E410" s="924"/>
      <c r="F410" s="924"/>
      <c r="G410" s="924"/>
      <c r="H410" s="924"/>
    </row>
    <row r="411" ht="22.5" customHeight="1">
      <c r="A411" s="1259">
        <v>410.0</v>
      </c>
      <c r="B411" s="913"/>
      <c r="C411" s="1240"/>
      <c r="D411" s="924"/>
      <c r="E411" s="924"/>
      <c r="F411" s="924"/>
      <c r="G411" s="924"/>
      <c r="H411" s="924"/>
    </row>
    <row r="412" ht="22.5" customHeight="1">
      <c r="A412" s="1259">
        <v>411.0</v>
      </c>
      <c r="B412" s="913"/>
      <c r="C412" s="1240"/>
      <c r="D412" s="924"/>
      <c r="E412" s="924"/>
      <c r="F412" s="924"/>
      <c r="G412" s="924"/>
      <c r="H412" s="924"/>
    </row>
    <row r="413" ht="22.5" customHeight="1">
      <c r="A413" s="1259">
        <v>412.0</v>
      </c>
      <c r="B413" s="913"/>
      <c r="C413" s="1240"/>
      <c r="D413" s="924"/>
      <c r="E413" s="924"/>
      <c r="F413" s="924"/>
      <c r="G413" s="924"/>
      <c r="H413" s="924"/>
    </row>
    <row r="414" ht="22.5" customHeight="1">
      <c r="A414" s="1259">
        <v>413.0</v>
      </c>
      <c r="B414" s="913"/>
      <c r="C414" s="1240"/>
      <c r="D414" s="924"/>
      <c r="E414" s="924"/>
      <c r="F414" s="924"/>
      <c r="G414" s="924"/>
      <c r="H414" s="924"/>
    </row>
    <row r="415" ht="22.5" customHeight="1">
      <c r="A415" s="1259">
        <v>414.0</v>
      </c>
      <c r="B415" s="913"/>
      <c r="C415" s="1240"/>
      <c r="D415" s="924"/>
      <c r="E415" s="924"/>
      <c r="F415" s="924"/>
      <c r="G415" s="924"/>
      <c r="H415" s="924"/>
    </row>
    <row r="416" ht="22.5" customHeight="1">
      <c r="A416" s="1259">
        <v>415.0</v>
      </c>
      <c r="B416" s="913"/>
      <c r="C416" s="1240"/>
      <c r="D416" s="924"/>
      <c r="E416" s="924"/>
      <c r="F416" s="924"/>
      <c r="G416" s="924"/>
      <c r="H416" s="924"/>
    </row>
    <row r="417" ht="22.5" customHeight="1">
      <c r="A417" s="1259">
        <v>416.0</v>
      </c>
      <c r="B417" s="913"/>
      <c r="C417" s="1240"/>
      <c r="D417" s="924"/>
      <c r="E417" s="924"/>
      <c r="F417" s="924"/>
      <c r="G417" s="924"/>
      <c r="H417" s="924"/>
    </row>
    <row r="418" ht="22.5" customHeight="1">
      <c r="A418" s="1259">
        <v>417.0</v>
      </c>
      <c r="B418" s="913"/>
      <c r="C418" s="1240"/>
      <c r="D418" s="924"/>
      <c r="E418" s="924"/>
      <c r="F418" s="924"/>
      <c r="G418" s="924"/>
      <c r="H418" s="924"/>
    </row>
    <row r="419" ht="22.5" customHeight="1">
      <c r="A419" s="1259">
        <v>418.0</v>
      </c>
      <c r="B419" s="913"/>
      <c r="C419" s="1240"/>
      <c r="D419" s="924"/>
      <c r="E419" s="924"/>
      <c r="F419" s="924"/>
      <c r="G419" s="924"/>
      <c r="H419" s="924"/>
    </row>
    <row r="420" ht="22.5" customHeight="1">
      <c r="A420" s="1259">
        <v>419.0</v>
      </c>
      <c r="B420" s="913"/>
      <c r="C420" s="1240"/>
      <c r="D420" s="924"/>
      <c r="E420" s="924"/>
      <c r="F420" s="924"/>
      <c r="G420" s="924"/>
      <c r="H420" s="924"/>
    </row>
    <row r="421" ht="22.5" customHeight="1">
      <c r="A421" s="1259">
        <v>420.0</v>
      </c>
      <c r="B421" s="913"/>
      <c r="C421" s="1240"/>
      <c r="D421" s="924"/>
      <c r="E421" s="924"/>
      <c r="F421" s="924"/>
      <c r="G421" s="924"/>
      <c r="H421" s="924"/>
    </row>
    <row r="422" ht="22.5" customHeight="1">
      <c r="A422" s="1259">
        <v>421.0</v>
      </c>
      <c r="B422" s="913"/>
      <c r="C422" s="1240"/>
      <c r="D422" s="924"/>
      <c r="E422" s="924"/>
      <c r="F422" s="924"/>
      <c r="G422" s="924"/>
      <c r="H422" s="924"/>
    </row>
    <row r="423" ht="22.5" customHeight="1">
      <c r="A423" s="1259">
        <v>422.0</v>
      </c>
      <c r="B423" s="913"/>
      <c r="C423" s="1240"/>
      <c r="D423" s="924"/>
      <c r="E423" s="924"/>
      <c r="F423" s="924"/>
      <c r="G423" s="924"/>
      <c r="H423" s="924"/>
    </row>
    <row r="424" ht="22.5" customHeight="1">
      <c r="A424" s="1259">
        <v>423.0</v>
      </c>
      <c r="B424" s="913"/>
      <c r="C424" s="1240"/>
      <c r="D424" s="924"/>
      <c r="E424" s="924"/>
      <c r="F424" s="924"/>
      <c r="G424" s="924"/>
      <c r="H424" s="924"/>
    </row>
    <row r="425" ht="22.5" customHeight="1">
      <c r="A425" s="1259">
        <v>424.0</v>
      </c>
      <c r="B425" s="913"/>
      <c r="C425" s="1240"/>
      <c r="D425" s="924"/>
      <c r="E425" s="924"/>
      <c r="F425" s="924"/>
      <c r="G425" s="924"/>
      <c r="H425" s="924"/>
    </row>
    <row r="426" ht="22.5" customHeight="1">
      <c r="A426" s="1259">
        <v>425.0</v>
      </c>
      <c r="B426" s="913"/>
      <c r="C426" s="1240"/>
      <c r="D426" s="924"/>
      <c r="E426" s="924"/>
      <c r="F426" s="924"/>
      <c r="G426" s="924"/>
      <c r="H426" s="924"/>
    </row>
    <row r="427" ht="22.5" customHeight="1">
      <c r="A427" s="1259">
        <v>426.0</v>
      </c>
      <c r="B427" s="913"/>
      <c r="C427" s="1240"/>
      <c r="D427" s="924"/>
      <c r="E427" s="924"/>
      <c r="F427" s="924"/>
      <c r="G427" s="924"/>
      <c r="H427" s="924"/>
    </row>
    <row r="428" ht="22.5" customHeight="1">
      <c r="A428" s="1259">
        <v>427.0</v>
      </c>
      <c r="B428" s="913"/>
      <c r="C428" s="1240"/>
      <c r="D428" s="924"/>
      <c r="E428" s="924"/>
      <c r="F428" s="924"/>
      <c r="G428" s="924"/>
      <c r="H428" s="924"/>
    </row>
    <row r="429" ht="22.5" customHeight="1">
      <c r="A429" s="1259">
        <v>428.0</v>
      </c>
      <c r="B429" s="913"/>
      <c r="C429" s="1240"/>
      <c r="D429" s="924"/>
      <c r="E429" s="924"/>
      <c r="F429" s="924"/>
      <c r="G429" s="924"/>
      <c r="H429" s="924"/>
    </row>
    <row r="430" ht="22.5" customHeight="1">
      <c r="A430" s="1259">
        <v>429.0</v>
      </c>
      <c r="B430" s="913"/>
      <c r="C430" s="1240"/>
      <c r="D430" s="924"/>
      <c r="E430" s="924"/>
      <c r="F430" s="924"/>
      <c r="G430" s="924"/>
      <c r="H430" s="924"/>
    </row>
    <row r="431" ht="22.5" customHeight="1">
      <c r="A431" s="1259">
        <v>430.0</v>
      </c>
      <c r="B431" s="913"/>
      <c r="C431" s="1240"/>
      <c r="D431" s="924"/>
      <c r="E431" s="924"/>
      <c r="F431" s="924"/>
      <c r="G431" s="924"/>
      <c r="H431" s="924"/>
    </row>
    <row r="432" ht="22.5" customHeight="1">
      <c r="A432" s="1259">
        <v>431.0</v>
      </c>
      <c r="B432" s="913"/>
      <c r="C432" s="1240"/>
      <c r="D432" s="924"/>
      <c r="E432" s="924"/>
      <c r="F432" s="924"/>
      <c r="G432" s="924"/>
      <c r="H432" s="924"/>
    </row>
    <row r="433" ht="22.5" customHeight="1">
      <c r="A433" s="1259">
        <v>432.0</v>
      </c>
      <c r="B433" s="913"/>
      <c r="C433" s="1240"/>
      <c r="D433" s="924"/>
      <c r="E433" s="924"/>
      <c r="F433" s="924"/>
      <c r="G433" s="924"/>
      <c r="H433" s="924"/>
    </row>
    <row r="434" ht="22.5" customHeight="1">
      <c r="A434" s="1259">
        <v>433.0</v>
      </c>
      <c r="B434" s="913"/>
      <c r="C434" s="1240"/>
      <c r="D434" s="924"/>
      <c r="E434" s="924"/>
      <c r="F434" s="924"/>
      <c r="G434" s="924"/>
      <c r="H434" s="924"/>
    </row>
    <row r="435" ht="22.5" customHeight="1">
      <c r="A435" s="1259">
        <v>434.0</v>
      </c>
      <c r="B435" s="913"/>
      <c r="C435" s="1240"/>
      <c r="D435" s="924"/>
      <c r="E435" s="924"/>
      <c r="F435" s="924"/>
      <c r="G435" s="924"/>
      <c r="H435" s="924"/>
    </row>
    <row r="436" ht="22.5" customHeight="1">
      <c r="A436" s="1259">
        <v>435.0</v>
      </c>
      <c r="B436" s="913"/>
      <c r="C436" s="1240"/>
      <c r="D436" s="924"/>
      <c r="E436" s="924"/>
      <c r="F436" s="924"/>
      <c r="G436" s="924"/>
      <c r="H436" s="924"/>
    </row>
    <row r="437" ht="22.5" customHeight="1">
      <c r="A437" s="1259">
        <v>436.0</v>
      </c>
      <c r="B437" s="913"/>
      <c r="C437" s="1240"/>
      <c r="D437" s="924"/>
      <c r="E437" s="924"/>
      <c r="F437" s="924"/>
      <c r="G437" s="924"/>
      <c r="H437" s="924"/>
    </row>
    <row r="438" ht="22.5" customHeight="1">
      <c r="A438" s="1259">
        <v>437.0</v>
      </c>
      <c r="B438" s="913"/>
      <c r="C438" s="1240"/>
      <c r="D438" s="924"/>
      <c r="E438" s="924"/>
      <c r="F438" s="924"/>
      <c r="G438" s="924"/>
      <c r="H438" s="924"/>
    </row>
    <row r="439" ht="22.5" customHeight="1">
      <c r="A439" s="1259">
        <v>438.0</v>
      </c>
      <c r="B439" s="913"/>
      <c r="C439" s="1240"/>
      <c r="D439" s="924"/>
      <c r="E439" s="924"/>
      <c r="F439" s="924"/>
      <c r="G439" s="924"/>
      <c r="H439" s="924"/>
    </row>
    <row r="440" ht="22.5" customHeight="1">
      <c r="A440" s="1259">
        <v>439.0</v>
      </c>
      <c r="B440" s="913"/>
      <c r="C440" s="1240"/>
      <c r="D440" s="924"/>
      <c r="E440" s="924"/>
      <c r="F440" s="924"/>
      <c r="G440" s="924"/>
      <c r="H440" s="924"/>
    </row>
    <row r="441" ht="22.5" customHeight="1">
      <c r="A441" s="1259">
        <v>440.0</v>
      </c>
      <c r="B441" s="913"/>
      <c r="C441" s="1240"/>
      <c r="D441" s="924"/>
      <c r="E441" s="924"/>
      <c r="F441" s="924"/>
      <c r="G441" s="924"/>
      <c r="H441" s="924"/>
    </row>
    <row r="442" ht="22.5" customHeight="1">
      <c r="A442" s="1259">
        <v>441.0</v>
      </c>
      <c r="B442" s="913"/>
      <c r="C442" s="1240"/>
      <c r="D442" s="924"/>
      <c r="E442" s="924"/>
      <c r="F442" s="924"/>
      <c r="G442" s="924"/>
      <c r="H442" s="924"/>
    </row>
    <row r="443" ht="22.5" customHeight="1">
      <c r="A443" s="1259">
        <v>442.0</v>
      </c>
      <c r="B443" s="913"/>
      <c r="C443" s="1240"/>
      <c r="D443" s="924"/>
      <c r="E443" s="924"/>
      <c r="F443" s="924"/>
      <c r="G443" s="924"/>
      <c r="H443" s="924"/>
    </row>
    <row r="444" ht="22.5" customHeight="1">
      <c r="A444" s="1259">
        <v>443.0</v>
      </c>
      <c r="B444" s="913"/>
      <c r="C444" s="1240"/>
      <c r="D444" s="924"/>
      <c r="E444" s="924"/>
      <c r="F444" s="924"/>
      <c r="G444" s="924"/>
      <c r="H444" s="924"/>
    </row>
    <row r="445" ht="22.5" customHeight="1">
      <c r="A445" s="1259">
        <v>444.0</v>
      </c>
      <c r="B445" s="913"/>
      <c r="C445" s="1240"/>
      <c r="D445" s="924"/>
      <c r="E445" s="924"/>
      <c r="F445" s="924"/>
      <c r="G445" s="924"/>
      <c r="H445" s="924"/>
    </row>
    <row r="446" ht="22.5" customHeight="1">
      <c r="A446" s="1259">
        <v>445.0</v>
      </c>
      <c r="B446" s="913"/>
      <c r="C446" s="1240"/>
      <c r="D446" s="924"/>
      <c r="E446" s="924"/>
      <c r="F446" s="924"/>
      <c r="G446" s="924"/>
      <c r="H446" s="924"/>
    </row>
    <row r="447" ht="22.5" customHeight="1">
      <c r="A447" s="1259">
        <v>446.0</v>
      </c>
      <c r="B447" s="913"/>
      <c r="C447" s="1240"/>
      <c r="D447" s="924"/>
      <c r="E447" s="924"/>
      <c r="F447" s="924"/>
      <c r="G447" s="924"/>
      <c r="H447" s="924"/>
    </row>
    <row r="448" ht="22.5" customHeight="1">
      <c r="A448" s="1259">
        <v>447.0</v>
      </c>
      <c r="B448" s="913"/>
      <c r="C448" s="1240"/>
      <c r="D448" s="924"/>
      <c r="E448" s="924"/>
      <c r="F448" s="924"/>
      <c r="G448" s="924"/>
      <c r="H448" s="924"/>
    </row>
    <row r="449" ht="22.5" customHeight="1">
      <c r="A449" s="1259">
        <v>448.0</v>
      </c>
      <c r="B449" s="913"/>
      <c r="C449" s="1240"/>
      <c r="D449" s="924"/>
      <c r="E449" s="924"/>
      <c r="F449" s="924"/>
      <c r="G449" s="924"/>
      <c r="H449" s="924"/>
    </row>
    <row r="450" ht="22.5" customHeight="1">
      <c r="A450" s="1259">
        <v>449.0</v>
      </c>
      <c r="B450" s="913"/>
      <c r="C450" s="1240"/>
      <c r="D450" s="924"/>
      <c r="E450" s="924"/>
      <c r="F450" s="924"/>
      <c r="G450" s="924"/>
      <c r="H450" s="924"/>
    </row>
    <row r="451" ht="22.5" customHeight="1">
      <c r="A451" s="1259">
        <v>450.0</v>
      </c>
      <c r="B451" s="913"/>
      <c r="C451" s="1240"/>
      <c r="D451" s="924"/>
      <c r="E451" s="924"/>
      <c r="F451" s="924"/>
      <c r="G451" s="924"/>
      <c r="H451" s="924"/>
    </row>
    <row r="452" ht="22.5" customHeight="1">
      <c r="A452" s="1259">
        <v>451.0</v>
      </c>
      <c r="B452" s="913"/>
      <c r="C452" s="1240"/>
      <c r="D452" s="924"/>
      <c r="E452" s="924"/>
      <c r="F452" s="924"/>
      <c r="G452" s="924"/>
      <c r="H452" s="924"/>
    </row>
    <row r="453" ht="22.5" customHeight="1">
      <c r="A453" s="1259">
        <v>452.0</v>
      </c>
      <c r="B453" s="913"/>
      <c r="C453" s="1240"/>
      <c r="D453" s="924"/>
      <c r="E453" s="924"/>
      <c r="F453" s="924"/>
      <c r="G453" s="924"/>
      <c r="H453" s="924"/>
    </row>
    <row r="454" ht="22.5" customHeight="1">
      <c r="A454" s="1259">
        <v>453.0</v>
      </c>
      <c r="B454" s="913"/>
      <c r="C454" s="1240"/>
      <c r="D454" s="924"/>
      <c r="E454" s="924"/>
      <c r="F454" s="924"/>
      <c r="G454" s="924"/>
      <c r="H454" s="924"/>
    </row>
    <row r="455" ht="22.5" customHeight="1">
      <c r="A455" s="1259">
        <v>454.0</v>
      </c>
      <c r="B455" s="913"/>
      <c r="C455" s="1240"/>
      <c r="D455" s="924"/>
      <c r="E455" s="924"/>
      <c r="F455" s="924"/>
      <c r="G455" s="924"/>
      <c r="H455" s="924"/>
    </row>
    <row r="456" ht="22.5" customHeight="1">
      <c r="A456" s="1259">
        <v>455.0</v>
      </c>
      <c r="B456" s="913"/>
      <c r="C456" s="1240"/>
      <c r="D456" s="924"/>
      <c r="E456" s="924"/>
      <c r="F456" s="924"/>
      <c r="G456" s="924"/>
      <c r="H456" s="924"/>
    </row>
    <row r="457" ht="22.5" customHeight="1">
      <c r="A457" s="1259">
        <v>456.0</v>
      </c>
      <c r="B457" s="913"/>
      <c r="C457" s="1240"/>
      <c r="D457" s="924"/>
      <c r="E457" s="924"/>
      <c r="F457" s="924"/>
      <c r="G457" s="924"/>
      <c r="H457" s="924"/>
    </row>
    <row r="458" ht="22.5" customHeight="1">
      <c r="A458" s="1259">
        <v>457.0</v>
      </c>
      <c r="B458" s="913"/>
      <c r="C458" s="1240"/>
      <c r="D458" s="924"/>
      <c r="E458" s="924"/>
      <c r="F458" s="924"/>
      <c r="G458" s="924"/>
      <c r="H458" s="924"/>
    </row>
    <row r="459" ht="22.5" customHeight="1">
      <c r="A459" s="1259">
        <v>458.0</v>
      </c>
      <c r="B459" s="913"/>
      <c r="C459" s="1240"/>
      <c r="D459" s="924"/>
      <c r="E459" s="924"/>
      <c r="F459" s="924"/>
      <c r="G459" s="924"/>
      <c r="H459" s="924"/>
    </row>
    <row r="460" ht="22.5" customHeight="1">
      <c r="A460" s="1259">
        <v>459.0</v>
      </c>
      <c r="B460" s="913"/>
      <c r="C460" s="1240"/>
      <c r="D460" s="924"/>
      <c r="E460" s="924"/>
      <c r="F460" s="924"/>
      <c r="G460" s="924"/>
      <c r="H460" s="924"/>
    </row>
    <row r="461" ht="22.5" customHeight="1">
      <c r="A461" s="1259">
        <v>460.0</v>
      </c>
      <c r="B461" s="913"/>
      <c r="C461" s="1240"/>
      <c r="D461" s="924"/>
      <c r="E461" s="924"/>
      <c r="F461" s="924"/>
      <c r="G461" s="924"/>
      <c r="H461" s="924"/>
    </row>
    <row r="462" ht="22.5" customHeight="1">
      <c r="A462" s="1259">
        <v>461.0</v>
      </c>
      <c r="B462" s="913"/>
      <c r="C462" s="1240"/>
      <c r="D462" s="924"/>
      <c r="E462" s="924"/>
      <c r="F462" s="924"/>
      <c r="G462" s="924"/>
      <c r="H462" s="924"/>
    </row>
    <row r="463" ht="22.5" customHeight="1">
      <c r="A463" s="1259">
        <v>462.0</v>
      </c>
      <c r="B463" s="913"/>
      <c r="C463" s="1240"/>
      <c r="D463" s="924"/>
      <c r="E463" s="924"/>
      <c r="F463" s="924"/>
      <c r="G463" s="924"/>
      <c r="H463" s="924"/>
    </row>
    <row r="464" ht="22.5" customHeight="1">
      <c r="A464" s="1259">
        <v>463.0</v>
      </c>
      <c r="B464" s="913"/>
      <c r="C464" s="1240"/>
      <c r="D464" s="924"/>
      <c r="E464" s="924"/>
      <c r="F464" s="924"/>
      <c r="G464" s="924"/>
      <c r="H464" s="924"/>
    </row>
    <row r="465" ht="22.5" customHeight="1">
      <c r="A465" s="1259">
        <v>464.0</v>
      </c>
      <c r="B465" s="913"/>
      <c r="C465" s="1240"/>
      <c r="D465" s="924"/>
      <c r="E465" s="924"/>
      <c r="F465" s="924"/>
      <c r="G465" s="924"/>
      <c r="H465" s="924"/>
    </row>
    <row r="466" ht="22.5" customHeight="1">
      <c r="A466" s="1259">
        <v>465.0</v>
      </c>
      <c r="B466" s="913"/>
      <c r="C466" s="1240"/>
      <c r="D466" s="924"/>
      <c r="E466" s="924"/>
      <c r="F466" s="924"/>
      <c r="G466" s="924"/>
      <c r="H466" s="924"/>
    </row>
    <row r="467" ht="22.5" customHeight="1">
      <c r="A467" s="1259">
        <v>466.0</v>
      </c>
      <c r="B467" s="913"/>
      <c r="C467" s="1240"/>
      <c r="D467" s="924"/>
      <c r="E467" s="924"/>
      <c r="F467" s="924"/>
      <c r="G467" s="924"/>
      <c r="H467" s="924"/>
    </row>
    <row r="468" ht="22.5" customHeight="1">
      <c r="A468" s="1259">
        <v>467.0</v>
      </c>
      <c r="B468" s="913"/>
      <c r="C468" s="1240"/>
      <c r="D468" s="924"/>
      <c r="E468" s="924"/>
      <c r="F468" s="924"/>
      <c r="G468" s="924"/>
      <c r="H468" s="924"/>
    </row>
    <row r="469" ht="22.5" customHeight="1">
      <c r="A469" s="1259">
        <v>468.0</v>
      </c>
      <c r="B469" s="913"/>
      <c r="C469" s="1240"/>
      <c r="D469" s="924"/>
      <c r="E469" s="924"/>
      <c r="F469" s="924"/>
      <c r="G469" s="924"/>
      <c r="H469" s="924"/>
    </row>
    <row r="470" ht="22.5" customHeight="1">
      <c r="A470" s="1259">
        <v>469.0</v>
      </c>
      <c r="B470" s="913"/>
      <c r="C470" s="1240"/>
      <c r="D470" s="924"/>
      <c r="E470" s="924"/>
      <c r="F470" s="924"/>
      <c r="G470" s="924"/>
      <c r="H470" s="924"/>
    </row>
    <row r="471" ht="22.5" customHeight="1">
      <c r="A471" s="1259">
        <v>470.0</v>
      </c>
      <c r="B471" s="913"/>
      <c r="C471" s="1240"/>
      <c r="D471" s="924"/>
      <c r="E471" s="924"/>
      <c r="F471" s="924"/>
      <c r="G471" s="924"/>
      <c r="H471" s="924"/>
    </row>
    <row r="472" ht="22.5" customHeight="1">
      <c r="A472" s="1259">
        <v>471.0</v>
      </c>
      <c r="B472" s="913"/>
      <c r="C472" s="1240"/>
      <c r="D472" s="924"/>
      <c r="E472" s="924"/>
      <c r="F472" s="924"/>
      <c r="G472" s="924"/>
      <c r="H472" s="924"/>
    </row>
    <row r="473" ht="22.5" customHeight="1">
      <c r="A473" s="1259">
        <v>472.0</v>
      </c>
      <c r="B473" s="913"/>
      <c r="C473" s="1240"/>
      <c r="D473" s="924"/>
      <c r="E473" s="924"/>
      <c r="F473" s="924"/>
      <c r="G473" s="924"/>
      <c r="H473" s="924"/>
    </row>
    <row r="474" ht="22.5" customHeight="1">
      <c r="A474" s="1259">
        <v>473.0</v>
      </c>
      <c r="B474" s="913"/>
      <c r="C474" s="1240"/>
      <c r="D474" s="924"/>
      <c r="E474" s="924"/>
      <c r="F474" s="924"/>
      <c r="G474" s="924"/>
      <c r="H474" s="924"/>
    </row>
    <row r="475" ht="22.5" customHeight="1">
      <c r="A475" s="1259">
        <v>474.0</v>
      </c>
      <c r="B475" s="913"/>
      <c r="C475" s="1240"/>
      <c r="D475" s="924"/>
      <c r="E475" s="924"/>
      <c r="F475" s="924"/>
      <c r="G475" s="924"/>
      <c r="H475" s="924"/>
    </row>
    <row r="476" ht="22.5" customHeight="1">
      <c r="A476" s="1259">
        <v>475.0</v>
      </c>
      <c r="B476" s="913"/>
      <c r="C476" s="1240"/>
      <c r="D476" s="924"/>
      <c r="E476" s="924"/>
      <c r="F476" s="924"/>
      <c r="G476" s="924"/>
      <c r="H476" s="924"/>
    </row>
    <row r="477" ht="22.5" customHeight="1">
      <c r="A477" s="1259">
        <v>476.0</v>
      </c>
      <c r="B477" s="913"/>
      <c r="C477" s="1240"/>
      <c r="D477" s="924"/>
      <c r="E477" s="924"/>
      <c r="F477" s="924"/>
      <c r="G477" s="924"/>
      <c r="H477" s="924"/>
    </row>
    <row r="478" ht="22.5" customHeight="1">
      <c r="A478" s="1259">
        <v>477.0</v>
      </c>
      <c r="B478" s="913"/>
      <c r="C478" s="1240"/>
      <c r="D478" s="924"/>
      <c r="E478" s="924"/>
      <c r="F478" s="924"/>
      <c r="G478" s="924"/>
      <c r="H478" s="924"/>
    </row>
    <row r="479" ht="22.5" customHeight="1">
      <c r="A479" s="1259">
        <v>478.0</v>
      </c>
      <c r="B479" s="913"/>
      <c r="C479" s="1240"/>
      <c r="D479" s="924"/>
      <c r="E479" s="924"/>
      <c r="F479" s="924"/>
      <c r="G479" s="924"/>
      <c r="H479" s="924"/>
    </row>
    <row r="480" ht="22.5" customHeight="1">
      <c r="A480" s="1259">
        <v>479.0</v>
      </c>
      <c r="B480" s="913"/>
      <c r="C480" s="1240"/>
      <c r="D480" s="924"/>
      <c r="E480" s="924"/>
      <c r="F480" s="924"/>
      <c r="G480" s="924"/>
      <c r="H480" s="924"/>
    </row>
    <row r="481" ht="22.5" customHeight="1">
      <c r="A481" s="1259">
        <v>480.0</v>
      </c>
      <c r="B481" s="913"/>
      <c r="C481" s="1240"/>
      <c r="D481" s="924"/>
      <c r="E481" s="924"/>
      <c r="F481" s="924"/>
      <c r="G481" s="924"/>
      <c r="H481" s="924"/>
    </row>
    <row r="482" ht="22.5" customHeight="1">
      <c r="A482" s="1259">
        <v>481.0</v>
      </c>
      <c r="B482" s="913"/>
      <c r="C482" s="1240"/>
      <c r="D482" s="924"/>
      <c r="E482" s="924"/>
      <c r="F482" s="924"/>
      <c r="G482" s="924"/>
      <c r="H482" s="924"/>
    </row>
    <row r="483" ht="22.5" customHeight="1">
      <c r="A483" s="1259">
        <v>482.0</v>
      </c>
      <c r="B483" s="913"/>
      <c r="C483" s="1240"/>
      <c r="D483" s="924"/>
      <c r="E483" s="924"/>
      <c r="F483" s="924"/>
      <c r="G483" s="924"/>
      <c r="H483" s="924"/>
    </row>
    <row r="484" ht="22.5" customHeight="1">
      <c r="A484" s="1259">
        <v>483.0</v>
      </c>
      <c r="B484" s="913"/>
      <c r="C484" s="1240"/>
      <c r="D484" s="924"/>
      <c r="E484" s="924"/>
      <c r="F484" s="924"/>
      <c r="G484" s="924"/>
      <c r="H484" s="924"/>
    </row>
    <row r="485" ht="22.5" customHeight="1">
      <c r="A485" s="1259">
        <v>484.0</v>
      </c>
      <c r="B485" s="913"/>
      <c r="C485" s="1240"/>
      <c r="D485" s="924"/>
      <c r="E485" s="924"/>
      <c r="F485" s="924"/>
      <c r="G485" s="924"/>
      <c r="H485" s="924"/>
    </row>
    <row r="486" ht="22.5" customHeight="1">
      <c r="A486" s="1259">
        <v>485.0</v>
      </c>
      <c r="B486" s="913"/>
      <c r="C486" s="1240"/>
      <c r="D486" s="924"/>
      <c r="E486" s="924"/>
      <c r="F486" s="924"/>
      <c r="G486" s="924"/>
      <c r="H486" s="924"/>
    </row>
    <row r="487" ht="22.5" customHeight="1">
      <c r="A487" s="1259">
        <v>486.0</v>
      </c>
      <c r="B487" s="913"/>
      <c r="C487" s="1240"/>
      <c r="D487" s="924"/>
      <c r="E487" s="924"/>
      <c r="F487" s="924"/>
      <c r="G487" s="924"/>
      <c r="H487" s="924"/>
    </row>
    <row r="488" ht="22.5" customHeight="1">
      <c r="A488" s="1259">
        <v>487.0</v>
      </c>
      <c r="B488" s="913"/>
      <c r="C488" s="1240"/>
      <c r="D488" s="924"/>
      <c r="E488" s="924"/>
      <c r="F488" s="924"/>
      <c r="G488" s="924"/>
      <c r="H488" s="924"/>
    </row>
    <row r="489" ht="22.5" customHeight="1">
      <c r="A489" s="1259">
        <v>488.0</v>
      </c>
      <c r="B489" s="913"/>
      <c r="C489" s="1240"/>
      <c r="D489" s="924"/>
      <c r="E489" s="924"/>
      <c r="F489" s="924"/>
      <c r="G489" s="924"/>
      <c r="H489" s="924"/>
    </row>
    <row r="490" ht="22.5" customHeight="1">
      <c r="A490" s="1259">
        <v>489.0</v>
      </c>
      <c r="B490" s="913"/>
      <c r="C490" s="1240"/>
      <c r="D490" s="924"/>
      <c r="E490" s="924"/>
      <c r="F490" s="924"/>
      <c r="G490" s="924"/>
      <c r="H490" s="924"/>
    </row>
    <row r="491" ht="22.5" customHeight="1">
      <c r="A491" s="1259">
        <v>490.0</v>
      </c>
      <c r="B491" s="913"/>
      <c r="C491" s="1240"/>
      <c r="D491" s="924"/>
      <c r="E491" s="924"/>
      <c r="F491" s="924"/>
      <c r="G491" s="924"/>
      <c r="H491" s="924"/>
    </row>
    <row r="492" ht="22.5" customHeight="1">
      <c r="A492" s="1259">
        <v>491.0</v>
      </c>
      <c r="B492" s="913"/>
      <c r="C492" s="1240"/>
      <c r="D492" s="924"/>
      <c r="E492" s="924"/>
      <c r="F492" s="924"/>
      <c r="G492" s="924"/>
      <c r="H492" s="924"/>
    </row>
    <row r="493" ht="22.5" customHeight="1">
      <c r="A493" s="1259">
        <v>492.0</v>
      </c>
      <c r="B493" s="913"/>
      <c r="C493" s="1240"/>
      <c r="D493" s="924"/>
      <c r="E493" s="924"/>
      <c r="F493" s="924"/>
      <c r="G493" s="924"/>
      <c r="H493" s="924"/>
    </row>
    <row r="494" ht="22.5" customHeight="1">
      <c r="A494" s="1259">
        <v>493.0</v>
      </c>
      <c r="B494" s="913"/>
      <c r="C494" s="1240"/>
      <c r="D494" s="924"/>
      <c r="E494" s="924"/>
      <c r="F494" s="924"/>
      <c r="G494" s="924"/>
      <c r="H494" s="924"/>
    </row>
    <row r="495" ht="22.5" customHeight="1">
      <c r="A495" s="1259">
        <v>494.0</v>
      </c>
      <c r="B495" s="913"/>
      <c r="C495" s="1240"/>
      <c r="D495" s="924"/>
      <c r="E495" s="924"/>
      <c r="F495" s="924"/>
      <c r="G495" s="924"/>
      <c r="H495" s="924"/>
    </row>
    <row r="496" ht="22.5" customHeight="1">
      <c r="A496" s="1259">
        <v>495.0</v>
      </c>
      <c r="B496" s="913"/>
      <c r="C496" s="1240"/>
      <c r="D496" s="924"/>
      <c r="E496" s="924"/>
      <c r="F496" s="924"/>
      <c r="G496" s="924"/>
      <c r="H496" s="924"/>
    </row>
    <row r="497" ht="22.5" customHeight="1">
      <c r="A497" s="1259">
        <v>496.0</v>
      </c>
      <c r="B497" s="913"/>
      <c r="C497" s="1240"/>
      <c r="D497" s="924"/>
      <c r="E497" s="924"/>
      <c r="F497" s="924"/>
      <c r="G497" s="924"/>
      <c r="H497" s="924"/>
    </row>
    <row r="498" ht="22.5" customHeight="1">
      <c r="A498" s="1259">
        <v>497.0</v>
      </c>
      <c r="B498" s="913"/>
      <c r="C498" s="1240"/>
      <c r="D498" s="924"/>
      <c r="E498" s="924"/>
      <c r="F498" s="924"/>
      <c r="G498" s="924"/>
      <c r="H498" s="924"/>
    </row>
    <row r="499" ht="22.5" customHeight="1">
      <c r="A499" s="1259">
        <v>498.0</v>
      </c>
      <c r="B499" s="913"/>
      <c r="C499" s="1240"/>
      <c r="D499" s="924"/>
      <c r="E499" s="924"/>
      <c r="F499" s="924"/>
      <c r="G499" s="924"/>
      <c r="H499" s="924"/>
    </row>
    <row r="500" ht="22.5" customHeight="1">
      <c r="A500" s="1259">
        <v>499.0</v>
      </c>
      <c r="B500" s="913"/>
      <c r="C500" s="1240"/>
      <c r="D500" s="924"/>
      <c r="E500" s="924"/>
      <c r="F500" s="924"/>
      <c r="G500" s="924"/>
      <c r="H500" s="924"/>
    </row>
    <row r="501" ht="22.5" customHeight="1">
      <c r="A501" s="1259">
        <v>500.0</v>
      </c>
      <c r="B501" s="913"/>
      <c r="C501" s="1240"/>
      <c r="D501" s="924"/>
      <c r="E501" s="924"/>
      <c r="F501" s="924"/>
      <c r="G501" s="924"/>
      <c r="H501" s="924"/>
    </row>
    <row r="502" ht="22.5" customHeight="1">
      <c r="A502" s="1259">
        <v>501.0</v>
      </c>
      <c r="B502" s="913"/>
      <c r="C502" s="1240"/>
      <c r="D502" s="924"/>
      <c r="E502" s="924"/>
      <c r="F502" s="924"/>
      <c r="G502" s="924"/>
      <c r="H502" s="924"/>
    </row>
    <row r="503" ht="22.5" customHeight="1">
      <c r="A503" s="1259">
        <v>502.0</v>
      </c>
      <c r="B503" s="913"/>
      <c r="C503" s="1240"/>
      <c r="D503" s="924"/>
      <c r="E503" s="924"/>
      <c r="F503" s="924"/>
      <c r="G503" s="924"/>
      <c r="H503" s="924"/>
    </row>
    <row r="504" ht="22.5" customHeight="1">
      <c r="A504" s="1259">
        <v>503.0</v>
      </c>
      <c r="B504" s="913"/>
      <c r="C504" s="1240"/>
      <c r="D504" s="924"/>
      <c r="E504" s="924"/>
      <c r="F504" s="924"/>
      <c r="G504" s="924"/>
      <c r="H504" s="924"/>
    </row>
    <row r="505" ht="22.5" customHeight="1">
      <c r="A505" s="1259">
        <v>504.0</v>
      </c>
      <c r="B505" s="913"/>
      <c r="C505" s="1240"/>
      <c r="D505" s="924"/>
      <c r="E505" s="924"/>
      <c r="F505" s="924"/>
      <c r="G505" s="924"/>
      <c r="H505" s="924"/>
    </row>
    <row r="506" ht="22.5" customHeight="1">
      <c r="A506" s="1259">
        <v>505.0</v>
      </c>
      <c r="B506" s="913"/>
      <c r="C506" s="1240"/>
      <c r="D506" s="924"/>
      <c r="E506" s="924"/>
      <c r="F506" s="924"/>
      <c r="G506" s="924"/>
      <c r="H506" s="924"/>
    </row>
    <row r="507" ht="22.5" customHeight="1">
      <c r="A507" s="1259">
        <v>506.0</v>
      </c>
      <c r="B507" s="913"/>
      <c r="C507" s="1240"/>
      <c r="D507" s="924"/>
      <c r="E507" s="924"/>
      <c r="F507" s="924"/>
      <c r="G507" s="924"/>
      <c r="H507" s="924"/>
    </row>
    <row r="508" ht="22.5" customHeight="1">
      <c r="A508" s="1259">
        <v>507.0</v>
      </c>
      <c r="B508" s="913"/>
      <c r="C508" s="1240"/>
      <c r="D508" s="924"/>
      <c r="E508" s="924"/>
      <c r="F508" s="924"/>
      <c r="G508" s="924"/>
      <c r="H508" s="924"/>
    </row>
    <row r="509" ht="22.5" customHeight="1">
      <c r="A509" s="1259">
        <v>508.0</v>
      </c>
      <c r="B509" s="913"/>
      <c r="C509" s="1240"/>
      <c r="D509" s="924"/>
      <c r="E509" s="924"/>
      <c r="F509" s="924"/>
      <c r="G509" s="924"/>
      <c r="H509" s="924"/>
    </row>
    <row r="510" ht="22.5" customHeight="1">
      <c r="A510" s="1259">
        <v>509.0</v>
      </c>
      <c r="B510" s="913"/>
      <c r="C510" s="1240"/>
      <c r="D510" s="924"/>
      <c r="E510" s="924"/>
      <c r="F510" s="924"/>
      <c r="G510" s="924"/>
      <c r="H510" s="924"/>
    </row>
    <row r="511" ht="22.5" customHeight="1">
      <c r="A511" s="1259">
        <v>510.0</v>
      </c>
      <c r="B511" s="913"/>
      <c r="C511" s="1240"/>
      <c r="D511" s="924"/>
      <c r="E511" s="924"/>
      <c r="F511" s="924"/>
      <c r="G511" s="924"/>
      <c r="H511" s="924"/>
    </row>
    <row r="512" ht="22.5" customHeight="1">
      <c r="A512" s="1259">
        <v>511.0</v>
      </c>
      <c r="B512" s="913"/>
      <c r="C512" s="1240"/>
      <c r="D512" s="924"/>
      <c r="E512" s="924"/>
      <c r="F512" s="924"/>
      <c r="G512" s="924"/>
      <c r="H512" s="924"/>
    </row>
    <row r="513" ht="22.5" customHeight="1">
      <c r="A513" s="1259">
        <v>512.0</v>
      </c>
      <c r="B513" s="913"/>
      <c r="C513" s="1240"/>
      <c r="D513" s="924"/>
      <c r="E513" s="924"/>
      <c r="F513" s="924"/>
      <c r="G513" s="924"/>
      <c r="H513" s="924"/>
    </row>
    <row r="514" ht="22.5" customHeight="1">
      <c r="A514" s="1259">
        <v>513.0</v>
      </c>
      <c r="B514" s="913"/>
      <c r="C514" s="1240"/>
      <c r="D514" s="924"/>
      <c r="E514" s="924"/>
      <c r="F514" s="924"/>
      <c r="G514" s="924"/>
      <c r="H514" s="924"/>
    </row>
    <row r="515" ht="22.5" customHeight="1">
      <c r="A515" s="1259">
        <v>514.0</v>
      </c>
      <c r="B515" s="913"/>
      <c r="C515" s="1240"/>
      <c r="D515" s="924"/>
      <c r="E515" s="924"/>
      <c r="F515" s="924"/>
      <c r="G515" s="924"/>
      <c r="H515" s="924"/>
    </row>
    <row r="516" ht="22.5" customHeight="1">
      <c r="A516" s="1259">
        <v>515.0</v>
      </c>
      <c r="B516" s="913"/>
      <c r="C516" s="1240"/>
      <c r="D516" s="924"/>
      <c r="E516" s="924"/>
      <c r="F516" s="924"/>
      <c r="G516" s="924"/>
      <c r="H516" s="924"/>
    </row>
    <row r="517" ht="22.5" customHeight="1">
      <c r="A517" s="1259">
        <v>516.0</v>
      </c>
      <c r="B517" s="913"/>
      <c r="C517" s="1240"/>
      <c r="D517" s="924"/>
      <c r="E517" s="924"/>
      <c r="F517" s="924"/>
      <c r="G517" s="924"/>
      <c r="H517" s="924"/>
    </row>
    <row r="518" ht="22.5" customHeight="1">
      <c r="A518" s="1259">
        <v>517.0</v>
      </c>
      <c r="B518" s="913"/>
      <c r="C518" s="1240"/>
      <c r="D518" s="924"/>
      <c r="E518" s="924"/>
      <c r="F518" s="924"/>
      <c r="G518" s="924"/>
      <c r="H518" s="924"/>
    </row>
    <row r="519" ht="22.5" customHeight="1">
      <c r="A519" s="1259">
        <v>518.0</v>
      </c>
      <c r="B519" s="913"/>
      <c r="C519" s="1240"/>
      <c r="D519" s="924"/>
      <c r="E519" s="924"/>
      <c r="F519" s="924"/>
      <c r="G519" s="924"/>
      <c r="H519" s="924"/>
    </row>
    <row r="520" ht="22.5" customHeight="1">
      <c r="A520" s="1259">
        <v>519.0</v>
      </c>
      <c r="B520" s="913"/>
      <c r="C520" s="1240"/>
      <c r="D520" s="924"/>
      <c r="E520" s="924"/>
      <c r="F520" s="924"/>
      <c r="G520" s="924"/>
      <c r="H520" s="924"/>
    </row>
    <row r="521" ht="22.5" customHeight="1">
      <c r="A521" s="1259">
        <v>520.0</v>
      </c>
      <c r="B521" s="913"/>
      <c r="C521" s="1240"/>
      <c r="D521" s="924"/>
      <c r="E521" s="924"/>
      <c r="F521" s="924"/>
      <c r="G521" s="924"/>
      <c r="H521" s="924"/>
    </row>
    <row r="522" ht="22.5" customHeight="1">
      <c r="A522" s="1259">
        <v>521.0</v>
      </c>
      <c r="B522" s="913"/>
      <c r="C522" s="1240"/>
      <c r="D522" s="924"/>
      <c r="E522" s="924"/>
      <c r="F522" s="924"/>
      <c r="G522" s="924"/>
      <c r="H522" s="924"/>
    </row>
    <row r="523" ht="22.5" customHeight="1">
      <c r="A523" s="1259">
        <v>522.0</v>
      </c>
      <c r="B523" s="913"/>
      <c r="C523" s="1240"/>
      <c r="D523" s="924"/>
      <c r="E523" s="924"/>
      <c r="F523" s="924"/>
      <c r="G523" s="924"/>
      <c r="H523" s="924"/>
    </row>
    <row r="524" ht="22.5" customHeight="1">
      <c r="A524" s="1259">
        <v>523.0</v>
      </c>
      <c r="B524" s="913"/>
      <c r="C524" s="1240"/>
      <c r="D524" s="924"/>
      <c r="E524" s="924"/>
      <c r="F524" s="924"/>
      <c r="G524" s="924"/>
      <c r="H524" s="924"/>
    </row>
    <row r="525" ht="22.5" customHeight="1">
      <c r="A525" s="1259">
        <v>524.0</v>
      </c>
      <c r="B525" s="913"/>
      <c r="C525" s="1240"/>
      <c r="D525" s="924"/>
      <c r="E525" s="924"/>
      <c r="F525" s="924"/>
      <c r="G525" s="924"/>
      <c r="H525" s="924"/>
    </row>
    <row r="526" ht="22.5" customHeight="1">
      <c r="A526" s="1259">
        <v>525.0</v>
      </c>
      <c r="B526" s="913"/>
      <c r="C526" s="1240"/>
      <c r="D526" s="924"/>
      <c r="E526" s="924"/>
      <c r="F526" s="924"/>
      <c r="G526" s="924"/>
      <c r="H526" s="924"/>
    </row>
    <row r="527" ht="22.5" customHeight="1">
      <c r="A527" s="1259">
        <v>526.0</v>
      </c>
      <c r="B527" s="913"/>
      <c r="C527" s="1240"/>
      <c r="D527" s="924"/>
      <c r="E527" s="924"/>
      <c r="F527" s="924"/>
      <c r="G527" s="924"/>
      <c r="H527" s="924"/>
    </row>
    <row r="528" ht="22.5" customHeight="1">
      <c r="A528" s="1259">
        <v>527.0</v>
      </c>
      <c r="B528" s="913"/>
      <c r="C528" s="1240"/>
      <c r="D528" s="924"/>
      <c r="E528" s="924"/>
      <c r="F528" s="924"/>
      <c r="G528" s="924"/>
      <c r="H528" s="924"/>
    </row>
    <row r="529" ht="22.5" customHeight="1">
      <c r="A529" s="1259">
        <v>528.0</v>
      </c>
      <c r="B529" s="913"/>
      <c r="C529" s="1240"/>
      <c r="D529" s="924"/>
      <c r="E529" s="924"/>
      <c r="F529" s="924"/>
      <c r="G529" s="924"/>
      <c r="H529" s="924"/>
    </row>
    <row r="530" ht="22.5" customHeight="1">
      <c r="A530" s="1259">
        <v>529.0</v>
      </c>
      <c r="B530" s="913"/>
      <c r="C530" s="1240"/>
      <c r="D530" s="924"/>
      <c r="E530" s="924"/>
      <c r="F530" s="924"/>
      <c r="G530" s="924"/>
      <c r="H530" s="924"/>
    </row>
    <row r="531" ht="22.5" customHeight="1">
      <c r="A531" s="1259">
        <v>530.0</v>
      </c>
      <c r="B531" s="913"/>
      <c r="C531" s="1240"/>
      <c r="D531" s="924"/>
      <c r="E531" s="924"/>
      <c r="F531" s="924"/>
      <c r="G531" s="924"/>
      <c r="H531" s="924"/>
    </row>
    <row r="532" ht="22.5" customHeight="1">
      <c r="A532" s="1259">
        <v>531.0</v>
      </c>
      <c r="B532" s="913"/>
      <c r="C532" s="1240"/>
      <c r="D532" s="924"/>
      <c r="E532" s="924"/>
      <c r="F532" s="924"/>
      <c r="G532" s="924"/>
      <c r="H532" s="924"/>
    </row>
    <row r="533" ht="22.5" customHeight="1">
      <c r="A533" s="1259">
        <v>532.0</v>
      </c>
      <c r="B533" s="913"/>
      <c r="C533" s="1240"/>
      <c r="D533" s="924"/>
      <c r="E533" s="924"/>
      <c r="F533" s="924"/>
      <c r="G533" s="924"/>
      <c r="H533" s="924"/>
    </row>
    <row r="534" ht="22.5" customHeight="1">
      <c r="A534" s="1259">
        <v>533.0</v>
      </c>
      <c r="B534" s="913"/>
      <c r="C534" s="1240"/>
      <c r="D534" s="924"/>
      <c r="E534" s="924"/>
      <c r="F534" s="924"/>
      <c r="G534" s="924"/>
      <c r="H534" s="924"/>
    </row>
    <row r="535" ht="22.5" customHeight="1">
      <c r="A535" s="1259">
        <v>534.0</v>
      </c>
      <c r="B535" s="913"/>
      <c r="C535" s="1240"/>
      <c r="D535" s="924"/>
      <c r="E535" s="924"/>
      <c r="F535" s="924"/>
      <c r="G535" s="924"/>
      <c r="H535" s="924"/>
    </row>
    <row r="536" ht="22.5" customHeight="1">
      <c r="A536" s="1259">
        <v>535.0</v>
      </c>
      <c r="B536" s="913"/>
      <c r="C536" s="1240"/>
      <c r="D536" s="924"/>
      <c r="E536" s="924"/>
      <c r="F536" s="924"/>
      <c r="G536" s="924"/>
      <c r="H536" s="924"/>
    </row>
    <row r="537" ht="22.5" customHeight="1">
      <c r="A537" s="1259">
        <v>536.0</v>
      </c>
      <c r="B537" s="913"/>
      <c r="C537" s="1240"/>
      <c r="D537" s="924"/>
      <c r="E537" s="924"/>
      <c r="F537" s="924"/>
      <c r="G537" s="924"/>
      <c r="H537" s="924"/>
    </row>
    <row r="538" ht="22.5" customHeight="1">
      <c r="A538" s="1259">
        <v>537.0</v>
      </c>
      <c r="B538" s="913"/>
      <c r="C538" s="1240"/>
      <c r="D538" s="924"/>
      <c r="E538" s="924"/>
      <c r="F538" s="924"/>
      <c r="G538" s="924"/>
      <c r="H538" s="924"/>
    </row>
    <row r="539" ht="22.5" customHeight="1">
      <c r="A539" s="1259">
        <v>538.0</v>
      </c>
      <c r="B539" s="913"/>
      <c r="C539" s="1240"/>
      <c r="D539" s="924"/>
      <c r="E539" s="924"/>
      <c r="F539" s="924"/>
      <c r="G539" s="924"/>
      <c r="H539" s="924"/>
    </row>
    <row r="540" ht="22.5" customHeight="1">
      <c r="A540" s="1259">
        <v>539.0</v>
      </c>
      <c r="B540" s="913"/>
      <c r="C540" s="1240"/>
      <c r="D540" s="924"/>
      <c r="E540" s="924"/>
      <c r="F540" s="924"/>
      <c r="G540" s="924"/>
      <c r="H540" s="924"/>
    </row>
    <row r="541" ht="22.5" customHeight="1">
      <c r="A541" s="1259">
        <v>540.0</v>
      </c>
      <c r="B541" s="913"/>
      <c r="C541" s="1240"/>
      <c r="D541" s="924"/>
      <c r="E541" s="924"/>
      <c r="F541" s="924"/>
      <c r="G541" s="924"/>
      <c r="H541" s="924"/>
    </row>
    <row r="542" ht="22.5" customHeight="1">
      <c r="A542" s="1259">
        <v>541.0</v>
      </c>
      <c r="B542" s="913"/>
      <c r="C542" s="1240"/>
      <c r="D542" s="924"/>
      <c r="E542" s="924"/>
      <c r="F542" s="924"/>
      <c r="G542" s="924"/>
      <c r="H542" s="924"/>
    </row>
    <row r="543" ht="22.5" customHeight="1">
      <c r="A543" s="1259">
        <v>542.0</v>
      </c>
      <c r="B543" s="913"/>
      <c r="C543" s="1240"/>
      <c r="D543" s="924"/>
      <c r="E543" s="924"/>
      <c r="F543" s="924"/>
      <c r="G543" s="924"/>
      <c r="H543" s="924"/>
    </row>
    <row r="544" ht="22.5" customHeight="1">
      <c r="A544" s="1259">
        <v>543.0</v>
      </c>
      <c r="B544" s="913"/>
      <c r="C544" s="1240"/>
      <c r="D544" s="924"/>
      <c r="E544" s="924"/>
      <c r="F544" s="924"/>
      <c r="G544" s="924"/>
      <c r="H544" s="924"/>
    </row>
    <row r="545" ht="22.5" customHeight="1">
      <c r="A545" s="1259">
        <v>544.0</v>
      </c>
      <c r="B545" s="913"/>
      <c r="C545" s="1240"/>
      <c r="D545" s="924"/>
      <c r="E545" s="924"/>
      <c r="F545" s="924"/>
      <c r="G545" s="924"/>
      <c r="H545" s="924"/>
    </row>
    <row r="546" ht="22.5" customHeight="1">
      <c r="A546" s="1259">
        <v>545.0</v>
      </c>
      <c r="B546" s="913"/>
      <c r="C546" s="1240"/>
      <c r="D546" s="924"/>
      <c r="E546" s="924"/>
      <c r="F546" s="924"/>
      <c r="G546" s="924"/>
      <c r="H546" s="924"/>
    </row>
    <row r="547" ht="22.5" customHeight="1">
      <c r="A547" s="1259">
        <v>546.0</v>
      </c>
      <c r="B547" s="913"/>
      <c r="C547" s="1240"/>
      <c r="D547" s="924"/>
      <c r="E547" s="924"/>
      <c r="F547" s="924"/>
      <c r="G547" s="924"/>
      <c r="H547" s="924"/>
    </row>
    <row r="548" ht="22.5" customHeight="1">
      <c r="A548" s="1259">
        <v>547.0</v>
      </c>
      <c r="B548" s="913"/>
      <c r="C548" s="1240"/>
      <c r="D548" s="924"/>
      <c r="E548" s="924"/>
      <c r="F548" s="924"/>
      <c r="G548" s="924"/>
      <c r="H548" s="924"/>
    </row>
    <row r="549" ht="22.5" customHeight="1">
      <c r="A549" s="1259">
        <v>548.0</v>
      </c>
      <c r="B549" s="913"/>
      <c r="C549" s="1240"/>
      <c r="D549" s="924"/>
      <c r="E549" s="924"/>
      <c r="F549" s="924"/>
      <c r="G549" s="924"/>
      <c r="H549" s="924"/>
    </row>
    <row r="550" ht="22.5" customHeight="1">
      <c r="A550" s="1259">
        <v>549.0</v>
      </c>
      <c r="B550" s="913"/>
      <c r="C550" s="1240"/>
      <c r="D550" s="924"/>
      <c r="E550" s="924"/>
      <c r="F550" s="924"/>
      <c r="G550" s="924"/>
      <c r="H550" s="924"/>
    </row>
    <row r="551" ht="22.5" customHeight="1">
      <c r="A551" s="1259">
        <v>550.0</v>
      </c>
      <c r="B551" s="913"/>
      <c r="C551" s="1240"/>
      <c r="D551" s="924"/>
      <c r="E551" s="924"/>
      <c r="F551" s="924"/>
      <c r="G551" s="924"/>
      <c r="H551" s="924"/>
    </row>
    <row r="552" ht="22.5" customHeight="1">
      <c r="A552" s="1259">
        <v>551.0</v>
      </c>
      <c r="B552" s="913"/>
      <c r="C552" s="1240"/>
      <c r="D552" s="924"/>
      <c r="E552" s="924"/>
      <c r="F552" s="924"/>
      <c r="G552" s="924"/>
      <c r="H552" s="924"/>
    </row>
    <row r="553" ht="22.5" customHeight="1">
      <c r="A553" s="1259">
        <v>552.0</v>
      </c>
      <c r="B553" s="913"/>
      <c r="C553" s="1240"/>
      <c r="D553" s="924"/>
      <c r="E553" s="924"/>
      <c r="F553" s="924"/>
      <c r="G553" s="924"/>
      <c r="H553" s="924"/>
    </row>
    <row r="554" ht="22.5" customHeight="1">
      <c r="A554" s="1259">
        <v>553.0</v>
      </c>
      <c r="B554" s="913"/>
      <c r="C554" s="1240"/>
      <c r="D554" s="924"/>
      <c r="E554" s="924"/>
      <c r="F554" s="924"/>
      <c r="G554" s="924"/>
      <c r="H554" s="924"/>
    </row>
    <row r="555" ht="22.5" customHeight="1">
      <c r="A555" s="1259">
        <v>554.0</v>
      </c>
      <c r="B555" s="913"/>
      <c r="C555" s="1240"/>
      <c r="D555" s="924"/>
      <c r="E555" s="924"/>
      <c r="F555" s="924"/>
      <c r="G555" s="924"/>
      <c r="H555" s="924"/>
    </row>
    <row r="556" ht="22.5" customHeight="1">
      <c r="A556" s="1259">
        <v>555.0</v>
      </c>
      <c r="B556" s="913"/>
      <c r="C556" s="1240"/>
      <c r="D556" s="924"/>
      <c r="E556" s="924"/>
      <c r="F556" s="924"/>
      <c r="G556" s="924"/>
      <c r="H556" s="924"/>
    </row>
    <row r="557" ht="22.5" customHeight="1">
      <c r="A557" s="1259">
        <v>556.0</v>
      </c>
      <c r="B557" s="913"/>
      <c r="C557" s="1240"/>
      <c r="D557" s="924"/>
      <c r="E557" s="924"/>
      <c r="F557" s="924"/>
      <c r="G557" s="924"/>
      <c r="H557" s="924"/>
    </row>
    <row r="558" ht="22.5" customHeight="1">
      <c r="A558" s="1259">
        <v>557.0</v>
      </c>
      <c r="B558" s="913"/>
      <c r="C558" s="1240"/>
      <c r="D558" s="924"/>
      <c r="E558" s="924"/>
      <c r="F558" s="924"/>
      <c r="G558" s="924"/>
      <c r="H558" s="924"/>
    </row>
    <row r="559" ht="22.5" customHeight="1">
      <c r="A559" s="1259">
        <v>558.0</v>
      </c>
      <c r="B559" s="913"/>
      <c r="C559" s="1240"/>
      <c r="D559" s="924"/>
      <c r="E559" s="924"/>
      <c r="F559" s="924"/>
      <c r="G559" s="924"/>
      <c r="H559" s="924"/>
    </row>
    <row r="560" ht="22.5" customHeight="1">
      <c r="A560" s="1259">
        <v>559.0</v>
      </c>
      <c r="B560" s="913"/>
      <c r="C560" s="1240"/>
      <c r="D560" s="924"/>
      <c r="E560" s="924"/>
      <c r="F560" s="924"/>
      <c r="G560" s="924"/>
      <c r="H560" s="924"/>
    </row>
    <row r="561" ht="22.5" customHeight="1">
      <c r="A561" s="1259">
        <v>560.0</v>
      </c>
      <c r="B561" s="913"/>
      <c r="C561" s="1240"/>
      <c r="D561" s="924"/>
      <c r="E561" s="924"/>
      <c r="F561" s="924"/>
      <c r="G561" s="924"/>
      <c r="H561" s="924"/>
    </row>
    <row r="562" ht="22.5" customHeight="1">
      <c r="A562" s="1259">
        <v>561.0</v>
      </c>
      <c r="B562" s="913"/>
      <c r="C562" s="1240"/>
      <c r="D562" s="924"/>
      <c r="E562" s="924"/>
      <c r="F562" s="924"/>
      <c r="G562" s="924"/>
      <c r="H562" s="924"/>
    </row>
    <row r="563" ht="22.5" customHeight="1">
      <c r="A563" s="1259">
        <v>562.0</v>
      </c>
      <c r="B563" s="913"/>
      <c r="C563" s="1240"/>
      <c r="D563" s="924"/>
      <c r="E563" s="924"/>
      <c r="F563" s="924"/>
      <c r="G563" s="924"/>
      <c r="H563" s="924"/>
    </row>
    <row r="564" ht="22.5" customHeight="1">
      <c r="A564" s="1259">
        <v>563.0</v>
      </c>
      <c r="B564" s="913"/>
      <c r="C564" s="1240"/>
      <c r="D564" s="924"/>
      <c r="E564" s="924"/>
      <c r="F564" s="924"/>
      <c r="G564" s="924"/>
      <c r="H564" s="924"/>
    </row>
    <row r="565" ht="22.5" customHeight="1">
      <c r="A565" s="1259">
        <v>564.0</v>
      </c>
      <c r="B565" s="913"/>
      <c r="C565" s="1240"/>
      <c r="D565" s="924"/>
      <c r="E565" s="924"/>
      <c r="F565" s="924"/>
      <c r="G565" s="924"/>
      <c r="H565" s="924"/>
    </row>
    <row r="566" ht="22.5" customHeight="1">
      <c r="A566" s="1259">
        <v>565.0</v>
      </c>
      <c r="B566" s="913"/>
      <c r="C566" s="1240"/>
      <c r="D566" s="924"/>
      <c r="E566" s="924"/>
      <c r="F566" s="924"/>
      <c r="G566" s="924"/>
      <c r="H566" s="924"/>
    </row>
    <row r="567" ht="22.5" customHeight="1">
      <c r="A567" s="1259">
        <v>566.0</v>
      </c>
      <c r="B567" s="913"/>
      <c r="C567" s="1240"/>
      <c r="D567" s="924"/>
      <c r="E567" s="924"/>
      <c r="F567" s="924"/>
      <c r="G567" s="924"/>
      <c r="H567" s="924"/>
    </row>
    <row r="568" ht="22.5" customHeight="1">
      <c r="A568" s="1259">
        <v>567.0</v>
      </c>
      <c r="B568" s="913"/>
      <c r="C568" s="1240"/>
      <c r="D568" s="924"/>
      <c r="E568" s="924"/>
      <c r="F568" s="924"/>
      <c r="G568" s="924"/>
      <c r="H568" s="924"/>
    </row>
    <row r="569" ht="22.5" customHeight="1">
      <c r="A569" s="1259">
        <v>568.0</v>
      </c>
      <c r="B569" s="913"/>
      <c r="C569" s="1240"/>
      <c r="D569" s="924"/>
      <c r="E569" s="924"/>
      <c r="F569" s="924"/>
      <c r="G569" s="924"/>
      <c r="H569" s="924"/>
    </row>
    <row r="570" ht="22.5" customHeight="1">
      <c r="A570" s="1259">
        <v>569.0</v>
      </c>
      <c r="B570" s="913"/>
      <c r="C570" s="1240"/>
      <c r="D570" s="924"/>
      <c r="E570" s="924"/>
      <c r="F570" s="924"/>
      <c r="G570" s="924"/>
      <c r="H570" s="924"/>
    </row>
    <row r="571" ht="22.5" customHeight="1">
      <c r="A571" s="1259">
        <v>570.0</v>
      </c>
      <c r="B571" s="913"/>
      <c r="C571" s="1240"/>
      <c r="D571" s="924"/>
      <c r="E571" s="924"/>
      <c r="F571" s="924"/>
      <c r="G571" s="924"/>
      <c r="H571" s="924"/>
    </row>
    <row r="572" ht="22.5" customHeight="1">
      <c r="A572" s="1259">
        <v>571.0</v>
      </c>
      <c r="B572" s="913"/>
      <c r="C572" s="1240"/>
      <c r="D572" s="924"/>
      <c r="E572" s="924"/>
      <c r="F572" s="924"/>
      <c r="G572" s="924"/>
      <c r="H572" s="924"/>
    </row>
    <row r="573" ht="22.5" customHeight="1">
      <c r="A573" s="1259">
        <v>572.0</v>
      </c>
      <c r="B573" s="913"/>
      <c r="C573" s="1240"/>
      <c r="D573" s="924"/>
      <c r="E573" s="924"/>
      <c r="F573" s="924"/>
      <c r="G573" s="924"/>
      <c r="H573" s="924"/>
    </row>
    <row r="574" ht="22.5" customHeight="1">
      <c r="A574" s="1259">
        <v>573.0</v>
      </c>
      <c r="B574" s="913"/>
      <c r="C574" s="1240"/>
      <c r="D574" s="924"/>
      <c r="E574" s="924"/>
      <c r="F574" s="924"/>
      <c r="G574" s="924"/>
      <c r="H574" s="924"/>
    </row>
    <row r="575" ht="22.5" customHeight="1">
      <c r="A575" s="1259">
        <v>574.0</v>
      </c>
      <c r="B575" s="913"/>
      <c r="C575" s="1240"/>
      <c r="D575" s="924"/>
      <c r="E575" s="924"/>
      <c r="F575" s="924"/>
      <c r="G575" s="924"/>
      <c r="H575" s="924"/>
    </row>
    <row r="576" ht="22.5" customHeight="1">
      <c r="A576" s="1259">
        <v>575.0</v>
      </c>
      <c r="B576" s="913"/>
      <c r="C576" s="1240"/>
      <c r="D576" s="924"/>
      <c r="E576" s="924"/>
      <c r="F576" s="924"/>
      <c r="G576" s="924"/>
      <c r="H576" s="924"/>
    </row>
    <row r="577" ht="22.5" customHeight="1">
      <c r="A577" s="1259">
        <v>576.0</v>
      </c>
      <c r="B577" s="913"/>
      <c r="C577" s="1240"/>
      <c r="D577" s="924"/>
      <c r="E577" s="924"/>
      <c r="F577" s="924"/>
      <c r="G577" s="924"/>
      <c r="H577" s="924"/>
    </row>
    <row r="578" ht="22.5" customHeight="1">
      <c r="A578" s="1259">
        <v>577.0</v>
      </c>
      <c r="B578" s="913"/>
      <c r="C578" s="1240"/>
      <c r="D578" s="924"/>
      <c r="E578" s="924"/>
      <c r="F578" s="924"/>
      <c r="G578" s="924"/>
      <c r="H578" s="924"/>
    </row>
    <row r="579" ht="22.5" customHeight="1">
      <c r="A579" s="1259">
        <v>578.0</v>
      </c>
      <c r="B579" s="913"/>
      <c r="C579" s="1240"/>
      <c r="D579" s="924"/>
      <c r="E579" s="924"/>
      <c r="F579" s="924"/>
      <c r="G579" s="924"/>
      <c r="H579" s="924"/>
    </row>
    <row r="580" ht="22.5" customHeight="1">
      <c r="A580" s="1259">
        <v>579.0</v>
      </c>
      <c r="B580" s="913"/>
      <c r="C580" s="1240"/>
      <c r="D580" s="924"/>
      <c r="E580" s="924"/>
      <c r="F580" s="924"/>
      <c r="G580" s="924"/>
      <c r="H580" s="924"/>
    </row>
    <row r="581" ht="22.5" customHeight="1">
      <c r="A581" s="1259">
        <v>580.0</v>
      </c>
      <c r="B581" s="913"/>
      <c r="C581" s="1240"/>
      <c r="D581" s="924"/>
      <c r="E581" s="924"/>
      <c r="F581" s="924"/>
      <c r="G581" s="924"/>
      <c r="H581" s="924"/>
    </row>
    <row r="582" ht="22.5" customHeight="1">
      <c r="A582" s="1259">
        <v>581.0</v>
      </c>
      <c r="B582" s="913"/>
      <c r="C582" s="1240"/>
      <c r="D582" s="924"/>
      <c r="E582" s="924"/>
      <c r="F582" s="924"/>
      <c r="G582" s="924"/>
      <c r="H582" s="924"/>
    </row>
    <row r="583" ht="22.5" customHeight="1">
      <c r="A583" s="1259">
        <v>582.0</v>
      </c>
      <c r="B583" s="913"/>
      <c r="C583" s="1240"/>
      <c r="D583" s="924"/>
      <c r="E583" s="924"/>
      <c r="F583" s="924"/>
      <c r="G583" s="924"/>
      <c r="H583" s="924"/>
    </row>
    <row r="584" ht="22.5" customHeight="1">
      <c r="A584" s="1259">
        <v>583.0</v>
      </c>
      <c r="B584" s="913"/>
      <c r="C584" s="1240"/>
      <c r="D584" s="924"/>
      <c r="E584" s="924"/>
      <c r="F584" s="924"/>
      <c r="G584" s="924"/>
      <c r="H584" s="924"/>
    </row>
    <row r="585" ht="22.5" customHeight="1">
      <c r="A585" s="1259">
        <v>584.0</v>
      </c>
      <c r="B585" s="913"/>
      <c r="C585" s="1240"/>
      <c r="D585" s="924"/>
      <c r="E585" s="924"/>
      <c r="F585" s="924"/>
      <c r="G585" s="924"/>
      <c r="H585" s="924"/>
    </row>
    <row r="586" ht="22.5" customHeight="1">
      <c r="A586" s="1259">
        <v>585.0</v>
      </c>
      <c r="B586" s="913"/>
      <c r="C586" s="1240"/>
      <c r="D586" s="924"/>
      <c r="E586" s="924"/>
      <c r="F586" s="924"/>
      <c r="G586" s="924"/>
      <c r="H586" s="924"/>
    </row>
    <row r="587" ht="22.5" customHeight="1">
      <c r="A587" s="1259">
        <v>586.0</v>
      </c>
      <c r="B587" s="913"/>
      <c r="C587" s="1240"/>
      <c r="D587" s="924"/>
      <c r="E587" s="924"/>
      <c r="F587" s="924"/>
      <c r="G587" s="924"/>
      <c r="H587" s="924"/>
    </row>
    <row r="588" ht="22.5" customHeight="1">
      <c r="A588" s="1259">
        <v>587.0</v>
      </c>
      <c r="B588" s="913"/>
      <c r="C588" s="1240"/>
      <c r="D588" s="924"/>
      <c r="E588" s="924"/>
      <c r="F588" s="924"/>
      <c r="G588" s="924"/>
      <c r="H588" s="924"/>
    </row>
    <row r="589" ht="22.5" customHeight="1">
      <c r="A589" s="1259">
        <v>588.0</v>
      </c>
      <c r="B589" s="913"/>
      <c r="C589" s="1240"/>
      <c r="D589" s="924"/>
      <c r="E589" s="924"/>
      <c r="F589" s="924"/>
      <c r="G589" s="924"/>
      <c r="H589" s="924"/>
    </row>
    <row r="590" ht="22.5" customHeight="1">
      <c r="A590" s="1259">
        <v>589.0</v>
      </c>
      <c r="B590" s="913"/>
      <c r="C590" s="1240"/>
      <c r="D590" s="924"/>
      <c r="E590" s="924"/>
      <c r="F590" s="924"/>
      <c r="G590" s="924"/>
      <c r="H590" s="924"/>
    </row>
    <row r="591" ht="22.5" customHeight="1">
      <c r="A591" s="1259">
        <v>590.0</v>
      </c>
      <c r="B591" s="913"/>
      <c r="C591" s="1240"/>
      <c r="D591" s="924"/>
      <c r="E591" s="924"/>
      <c r="F591" s="924"/>
      <c r="G591" s="924"/>
      <c r="H591" s="924"/>
    </row>
    <row r="592" ht="22.5" customHeight="1">
      <c r="A592" s="1259">
        <v>591.0</v>
      </c>
      <c r="B592" s="913"/>
      <c r="C592" s="1240"/>
      <c r="D592" s="924"/>
      <c r="E592" s="924"/>
      <c r="F592" s="924"/>
      <c r="G592" s="924"/>
      <c r="H592" s="924"/>
    </row>
    <row r="593" ht="22.5" customHeight="1">
      <c r="A593" s="1259">
        <v>592.0</v>
      </c>
      <c r="B593" s="913"/>
      <c r="C593" s="1240"/>
      <c r="D593" s="924"/>
      <c r="E593" s="924"/>
      <c r="F593" s="924"/>
      <c r="G593" s="924"/>
      <c r="H593" s="924"/>
    </row>
    <row r="594" ht="22.5" customHeight="1">
      <c r="A594" s="1259">
        <v>593.0</v>
      </c>
      <c r="B594" s="913"/>
      <c r="C594" s="1240"/>
      <c r="D594" s="924"/>
      <c r="E594" s="924"/>
      <c r="F594" s="924"/>
      <c r="G594" s="924"/>
      <c r="H594" s="924"/>
    </row>
    <row r="595" ht="22.5" customHeight="1">
      <c r="A595" s="1259">
        <v>594.0</v>
      </c>
      <c r="B595" s="913"/>
      <c r="C595" s="1240"/>
      <c r="D595" s="924"/>
      <c r="E595" s="924"/>
      <c r="F595" s="924"/>
      <c r="G595" s="924"/>
      <c r="H595" s="924"/>
    </row>
    <row r="596" ht="22.5" customHeight="1">
      <c r="A596" s="1259">
        <v>595.0</v>
      </c>
      <c r="B596" s="913"/>
      <c r="C596" s="1240"/>
      <c r="D596" s="924"/>
      <c r="E596" s="924"/>
      <c r="F596" s="924"/>
      <c r="G596" s="924"/>
      <c r="H596" s="924"/>
    </row>
    <row r="597" ht="22.5" customHeight="1">
      <c r="A597" s="1259">
        <v>596.0</v>
      </c>
      <c r="B597" s="913"/>
      <c r="C597" s="1240"/>
      <c r="D597" s="924"/>
      <c r="E597" s="924"/>
      <c r="F597" s="924"/>
      <c r="G597" s="924"/>
      <c r="H597" s="924"/>
    </row>
    <row r="598" ht="22.5" customHeight="1">
      <c r="A598" s="1259">
        <v>597.0</v>
      </c>
      <c r="B598" s="913"/>
      <c r="C598" s="1240"/>
      <c r="D598" s="924"/>
      <c r="E598" s="924"/>
      <c r="F598" s="924"/>
      <c r="G598" s="924"/>
      <c r="H598" s="924"/>
    </row>
    <row r="599" ht="22.5" customHeight="1">
      <c r="A599" s="1259">
        <v>598.0</v>
      </c>
      <c r="B599" s="913"/>
      <c r="C599" s="1240"/>
      <c r="D599" s="924"/>
      <c r="E599" s="924"/>
      <c r="F599" s="924"/>
      <c r="G599" s="924"/>
      <c r="H599" s="924"/>
    </row>
    <row r="600" ht="22.5" customHeight="1">
      <c r="A600" s="1259">
        <v>599.0</v>
      </c>
      <c r="B600" s="913"/>
      <c r="C600" s="1240"/>
      <c r="D600" s="924"/>
      <c r="E600" s="924"/>
      <c r="F600" s="924"/>
      <c r="G600" s="924"/>
      <c r="H600" s="924"/>
    </row>
    <row r="601" ht="22.5" customHeight="1">
      <c r="A601" s="1259">
        <v>600.0</v>
      </c>
      <c r="B601" s="913"/>
      <c r="C601" s="1240"/>
      <c r="D601" s="924"/>
      <c r="E601" s="924"/>
      <c r="F601" s="924"/>
      <c r="G601" s="924"/>
      <c r="H601" s="924"/>
    </row>
    <row r="602" ht="22.5" customHeight="1">
      <c r="A602" s="1259">
        <v>601.0</v>
      </c>
      <c r="B602" s="913"/>
      <c r="C602" s="1240"/>
      <c r="D602" s="924"/>
      <c r="E602" s="924"/>
      <c r="F602" s="924"/>
      <c r="G602" s="924"/>
      <c r="H602" s="924"/>
    </row>
    <row r="603" ht="22.5" customHeight="1">
      <c r="A603" s="1259">
        <v>602.0</v>
      </c>
      <c r="B603" s="913"/>
      <c r="C603" s="1240"/>
      <c r="D603" s="924"/>
      <c r="E603" s="924"/>
      <c r="F603" s="924"/>
      <c r="G603" s="924"/>
      <c r="H603" s="924"/>
    </row>
    <row r="604" ht="22.5" customHeight="1">
      <c r="A604" s="1259">
        <v>603.0</v>
      </c>
      <c r="B604" s="913"/>
      <c r="C604" s="1240"/>
      <c r="D604" s="924"/>
      <c r="E604" s="924"/>
      <c r="F604" s="924"/>
      <c r="G604" s="924"/>
      <c r="H604" s="924"/>
    </row>
    <row r="605" ht="22.5" customHeight="1">
      <c r="A605" s="1259">
        <v>604.0</v>
      </c>
      <c r="B605" s="913"/>
      <c r="C605" s="1240"/>
      <c r="D605" s="924"/>
      <c r="E605" s="924"/>
      <c r="F605" s="924"/>
      <c r="G605" s="924"/>
      <c r="H605" s="924"/>
    </row>
    <row r="606" ht="22.5" customHeight="1">
      <c r="A606" s="1259">
        <v>605.0</v>
      </c>
      <c r="B606" s="913"/>
      <c r="C606" s="1240"/>
      <c r="D606" s="924"/>
      <c r="E606" s="924"/>
      <c r="F606" s="924"/>
      <c r="G606" s="924"/>
      <c r="H606" s="924"/>
    </row>
    <row r="607" ht="22.5" customHeight="1">
      <c r="A607" s="8"/>
      <c r="B607" s="8"/>
      <c r="C607" s="16"/>
      <c r="D607" s="14"/>
      <c r="E607" s="14"/>
      <c r="F607" s="14"/>
      <c r="G607" s="14"/>
      <c r="H607" s="14"/>
    </row>
    <row r="608" ht="22.5" customHeight="1">
      <c r="A608" s="8"/>
      <c r="B608" s="8"/>
      <c r="C608" s="16"/>
      <c r="D608" s="14"/>
      <c r="E608" s="14"/>
      <c r="F608" s="14"/>
      <c r="G608" s="14"/>
      <c r="H608" s="14"/>
    </row>
    <row r="609" ht="22.5" customHeight="1">
      <c r="A609" s="8"/>
      <c r="B609" s="8"/>
      <c r="C609" s="16"/>
      <c r="D609" s="14"/>
      <c r="E609" s="14"/>
      <c r="F609" s="14"/>
      <c r="G609" s="14"/>
      <c r="H609" s="14"/>
    </row>
    <row r="610" ht="22.5" customHeight="1">
      <c r="A610" s="8"/>
      <c r="B610" s="8"/>
      <c r="C610" s="16"/>
      <c r="D610" s="14"/>
      <c r="E610" s="14"/>
      <c r="F610" s="14"/>
      <c r="G610" s="14"/>
      <c r="H610" s="14"/>
    </row>
    <row r="611" ht="22.5" customHeight="1">
      <c r="A611" s="8"/>
      <c r="B611" s="8"/>
      <c r="C611" s="16"/>
      <c r="D611" s="14"/>
      <c r="E611" s="14"/>
      <c r="F611" s="14"/>
      <c r="G611" s="14"/>
      <c r="H611" s="14"/>
    </row>
    <row r="612" ht="22.5" customHeight="1">
      <c r="A612" s="8"/>
      <c r="B612" s="8"/>
      <c r="C612" s="16"/>
      <c r="D612" s="14"/>
      <c r="E612" s="14"/>
      <c r="F612" s="14"/>
      <c r="G612" s="14"/>
      <c r="H612" s="14"/>
    </row>
    <row r="613" ht="22.5" customHeight="1">
      <c r="A613" s="8"/>
      <c r="B613" s="8"/>
      <c r="C613" s="16"/>
      <c r="D613" s="14"/>
      <c r="E613" s="14"/>
      <c r="F613" s="14"/>
      <c r="G613" s="14"/>
      <c r="H613" s="14"/>
    </row>
    <row r="614" ht="22.5" customHeight="1">
      <c r="A614" s="8"/>
      <c r="B614" s="8"/>
      <c r="C614" s="16"/>
      <c r="D614" s="14"/>
      <c r="E614" s="14"/>
      <c r="F614" s="14"/>
      <c r="G614" s="14"/>
      <c r="H614" s="14"/>
    </row>
    <row r="615" ht="22.5" customHeight="1">
      <c r="A615" s="8"/>
      <c r="B615" s="8"/>
      <c r="C615" s="16"/>
      <c r="D615" s="14"/>
      <c r="E615" s="14"/>
      <c r="F615" s="14"/>
      <c r="G615" s="14"/>
      <c r="H615" s="14"/>
    </row>
    <row r="616" ht="22.5" customHeight="1">
      <c r="A616" s="8"/>
      <c r="B616" s="8"/>
      <c r="C616" s="16"/>
      <c r="D616" s="14"/>
      <c r="E616" s="14"/>
      <c r="F616" s="14"/>
      <c r="G616" s="14"/>
      <c r="H616" s="14"/>
    </row>
    <row r="617" ht="22.5" customHeight="1">
      <c r="A617" s="8"/>
      <c r="B617" s="8"/>
      <c r="C617" s="16"/>
      <c r="D617" s="14"/>
      <c r="E617" s="14"/>
      <c r="F617" s="14"/>
      <c r="G617" s="14"/>
      <c r="H617" s="14"/>
    </row>
    <row r="618" ht="22.5" customHeight="1">
      <c r="A618" s="8"/>
      <c r="B618" s="8"/>
      <c r="C618" s="16"/>
      <c r="D618" s="14"/>
      <c r="E618" s="14"/>
      <c r="F618" s="14"/>
      <c r="G618" s="14"/>
      <c r="H618" s="14"/>
    </row>
    <row r="619" ht="22.5" customHeight="1">
      <c r="A619" s="8"/>
      <c r="B619" s="8"/>
      <c r="C619" s="16"/>
      <c r="D619" s="14"/>
      <c r="E619" s="14"/>
      <c r="F619" s="14"/>
      <c r="G619" s="14"/>
      <c r="H619" s="14"/>
    </row>
    <row r="620" ht="22.5" customHeight="1">
      <c r="A620" s="8"/>
      <c r="B620" s="8"/>
      <c r="C620" s="16"/>
      <c r="D620" s="14"/>
      <c r="E620" s="14"/>
      <c r="F620" s="14"/>
      <c r="G620" s="14"/>
      <c r="H620" s="14"/>
    </row>
    <row r="621" ht="22.5" customHeight="1">
      <c r="A621" s="8"/>
      <c r="B621" s="8"/>
      <c r="C621" s="16"/>
      <c r="D621" s="14"/>
      <c r="E621" s="14"/>
      <c r="F621" s="14"/>
      <c r="G621" s="14"/>
      <c r="H621" s="14"/>
    </row>
    <row r="622" ht="22.5" customHeight="1">
      <c r="A622" s="8"/>
      <c r="B622" s="8"/>
      <c r="C622" s="16"/>
      <c r="D622" s="14"/>
      <c r="E622" s="14"/>
      <c r="F622" s="14"/>
      <c r="G622" s="14"/>
      <c r="H622" s="14"/>
    </row>
    <row r="623" ht="22.5" customHeight="1">
      <c r="A623" s="8"/>
      <c r="B623" s="8"/>
      <c r="C623" s="16"/>
      <c r="D623" s="14"/>
      <c r="E623" s="14"/>
      <c r="F623" s="14"/>
      <c r="G623" s="14"/>
      <c r="H623" s="14"/>
    </row>
    <row r="624" ht="22.5" customHeight="1">
      <c r="A624" s="8"/>
      <c r="B624" s="8"/>
      <c r="C624" s="16"/>
      <c r="D624" s="14"/>
      <c r="E624" s="14"/>
      <c r="F624" s="14"/>
      <c r="G624" s="14"/>
      <c r="H624" s="14"/>
    </row>
    <row r="625" ht="22.5" customHeight="1">
      <c r="A625" s="8"/>
      <c r="B625" s="8"/>
      <c r="C625" s="16"/>
      <c r="D625" s="14"/>
      <c r="E625" s="14"/>
      <c r="F625" s="14"/>
      <c r="G625" s="14"/>
      <c r="H625" s="14"/>
    </row>
    <row r="626" ht="22.5" customHeight="1">
      <c r="A626" s="8"/>
      <c r="B626" s="8"/>
      <c r="C626" s="16"/>
      <c r="D626" s="14"/>
      <c r="E626" s="14"/>
      <c r="F626" s="14"/>
      <c r="G626" s="14"/>
      <c r="H626" s="14"/>
    </row>
    <row r="627" ht="22.5" customHeight="1">
      <c r="A627" s="8"/>
      <c r="B627" s="8"/>
      <c r="C627" s="16"/>
      <c r="D627" s="14"/>
      <c r="E627" s="14"/>
      <c r="F627" s="14"/>
      <c r="G627" s="14"/>
      <c r="H627" s="14"/>
    </row>
    <row r="628" ht="22.5" customHeight="1">
      <c r="A628" s="8"/>
      <c r="B628" s="8"/>
      <c r="C628" s="16"/>
      <c r="D628" s="14"/>
      <c r="E628" s="14"/>
      <c r="F628" s="14"/>
      <c r="G628" s="14"/>
      <c r="H628" s="14"/>
    </row>
    <row r="629" ht="22.5" customHeight="1">
      <c r="A629" s="8"/>
      <c r="B629" s="8"/>
      <c r="C629" s="16"/>
      <c r="D629" s="14"/>
      <c r="E629" s="14"/>
      <c r="F629" s="14"/>
      <c r="G629" s="14"/>
      <c r="H629" s="14"/>
    </row>
    <row r="630" ht="22.5" customHeight="1">
      <c r="A630" s="8"/>
      <c r="B630" s="8"/>
      <c r="C630" s="16"/>
      <c r="D630" s="14"/>
      <c r="E630" s="14"/>
      <c r="F630" s="14"/>
      <c r="G630" s="14"/>
      <c r="H630" s="14"/>
    </row>
    <row r="631" ht="22.5" customHeight="1">
      <c r="A631" s="8"/>
      <c r="B631" s="8"/>
      <c r="C631" s="16"/>
      <c r="D631" s="14"/>
      <c r="E631" s="14"/>
      <c r="F631" s="14"/>
      <c r="G631" s="14"/>
      <c r="H631" s="14"/>
    </row>
    <row r="632" ht="22.5" customHeight="1">
      <c r="A632" s="8"/>
      <c r="B632" s="8"/>
      <c r="C632" s="16"/>
      <c r="D632" s="14"/>
      <c r="E632" s="14"/>
      <c r="F632" s="14"/>
      <c r="G632" s="14"/>
      <c r="H632" s="14"/>
    </row>
    <row r="633" ht="22.5" customHeight="1">
      <c r="A633" s="8"/>
      <c r="B633" s="8"/>
      <c r="C633" s="16"/>
      <c r="D633" s="14"/>
      <c r="E633" s="14"/>
      <c r="F633" s="14"/>
      <c r="G633" s="14"/>
      <c r="H633" s="14"/>
    </row>
    <row r="634" ht="22.5" customHeight="1">
      <c r="A634" s="8"/>
      <c r="B634" s="8"/>
      <c r="C634" s="16"/>
      <c r="D634" s="14"/>
      <c r="E634" s="14"/>
      <c r="F634" s="14"/>
      <c r="G634" s="14"/>
      <c r="H634" s="14"/>
    </row>
    <row r="635" ht="22.5" customHeight="1">
      <c r="A635" s="8"/>
      <c r="B635" s="8"/>
      <c r="C635" s="16"/>
      <c r="D635" s="14"/>
      <c r="E635" s="14"/>
      <c r="F635" s="14"/>
      <c r="G635" s="14"/>
      <c r="H635" s="14"/>
    </row>
    <row r="636" ht="22.5" customHeight="1">
      <c r="A636" s="8"/>
      <c r="B636" s="8"/>
      <c r="C636" s="16"/>
      <c r="D636" s="14"/>
      <c r="E636" s="14"/>
      <c r="F636" s="14"/>
      <c r="G636" s="14"/>
      <c r="H636" s="14"/>
    </row>
    <row r="637" ht="22.5" customHeight="1">
      <c r="A637" s="8"/>
      <c r="B637" s="8"/>
      <c r="C637" s="16"/>
      <c r="D637" s="14"/>
      <c r="E637" s="14"/>
      <c r="F637" s="14"/>
      <c r="G637" s="14"/>
      <c r="H637" s="14"/>
    </row>
    <row r="638" ht="22.5" customHeight="1">
      <c r="A638" s="8"/>
      <c r="B638" s="8"/>
      <c r="C638" s="16"/>
      <c r="D638" s="14"/>
      <c r="E638" s="14"/>
      <c r="F638" s="14"/>
      <c r="G638" s="14"/>
      <c r="H638" s="14"/>
    </row>
    <row r="639" ht="22.5" customHeight="1">
      <c r="A639" s="8"/>
      <c r="B639" s="8"/>
      <c r="C639" s="16"/>
      <c r="D639" s="14"/>
      <c r="E639" s="14"/>
      <c r="F639" s="14"/>
      <c r="G639" s="14"/>
      <c r="H639" s="14"/>
    </row>
    <row r="640" ht="22.5" customHeight="1">
      <c r="A640" s="8"/>
      <c r="B640" s="8"/>
      <c r="C640" s="16"/>
      <c r="D640" s="14"/>
      <c r="E640" s="14"/>
      <c r="F640" s="14"/>
      <c r="G640" s="14"/>
      <c r="H640" s="14"/>
    </row>
    <row r="641" ht="22.5" customHeight="1">
      <c r="A641" s="8"/>
      <c r="B641" s="8"/>
      <c r="C641" s="16"/>
      <c r="D641" s="14"/>
      <c r="E641" s="14"/>
      <c r="F641" s="14"/>
      <c r="G641" s="14"/>
      <c r="H641" s="14"/>
    </row>
    <row r="642" ht="22.5" customHeight="1">
      <c r="A642" s="8"/>
      <c r="B642" s="8"/>
      <c r="C642" s="16"/>
      <c r="D642" s="14"/>
      <c r="E642" s="14"/>
      <c r="F642" s="14"/>
      <c r="G642" s="14"/>
      <c r="H642" s="14"/>
    </row>
    <row r="643" ht="22.5" customHeight="1">
      <c r="A643" s="8"/>
      <c r="B643" s="8"/>
      <c r="C643" s="16"/>
      <c r="D643" s="14"/>
      <c r="E643" s="14"/>
      <c r="F643" s="14"/>
      <c r="G643" s="14"/>
      <c r="H643" s="14"/>
    </row>
    <row r="644" ht="22.5" customHeight="1">
      <c r="A644" s="8"/>
      <c r="B644" s="8"/>
      <c r="C644" s="16"/>
      <c r="D644" s="14"/>
      <c r="E644" s="14"/>
      <c r="F644" s="14"/>
      <c r="G644" s="14"/>
      <c r="H644" s="14"/>
    </row>
    <row r="645" ht="22.5" customHeight="1">
      <c r="A645" s="8"/>
      <c r="B645" s="8"/>
      <c r="C645" s="16"/>
      <c r="D645" s="14"/>
      <c r="E645" s="14"/>
      <c r="F645" s="14"/>
      <c r="G645" s="14"/>
      <c r="H645" s="14"/>
    </row>
    <row r="646" ht="22.5" customHeight="1">
      <c r="A646" s="8"/>
      <c r="B646" s="8"/>
      <c r="C646" s="16"/>
      <c r="D646" s="14"/>
      <c r="E646" s="14"/>
      <c r="F646" s="14"/>
      <c r="G646" s="14"/>
      <c r="H646" s="14"/>
    </row>
    <row r="647" ht="22.5" customHeight="1">
      <c r="A647" s="8"/>
      <c r="B647" s="8"/>
      <c r="C647" s="16"/>
      <c r="D647" s="14"/>
      <c r="E647" s="14"/>
      <c r="F647" s="14"/>
      <c r="G647" s="14"/>
      <c r="H647" s="14"/>
    </row>
    <row r="648" ht="22.5" customHeight="1">
      <c r="A648" s="8"/>
      <c r="B648" s="8"/>
      <c r="C648" s="16"/>
      <c r="D648" s="14"/>
      <c r="E648" s="14"/>
      <c r="F648" s="14"/>
      <c r="G648" s="14"/>
      <c r="H648" s="14"/>
    </row>
    <row r="649" ht="22.5" customHeight="1">
      <c r="A649" s="8"/>
      <c r="B649" s="8"/>
      <c r="C649" s="16"/>
      <c r="D649" s="14"/>
      <c r="E649" s="14"/>
      <c r="F649" s="14"/>
      <c r="G649" s="14"/>
      <c r="H649" s="14"/>
    </row>
    <row r="650" ht="22.5" customHeight="1">
      <c r="A650" s="8"/>
      <c r="B650" s="8"/>
      <c r="C650" s="16"/>
      <c r="D650" s="14"/>
      <c r="E650" s="14"/>
      <c r="F650" s="14"/>
      <c r="G650" s="14"/>
      <c r="H650" s="14"/>
    </row>
    <row r="651" ht="22.5" customHeight="1">
      <c r="A651" s="8"/>
      <c r="B651" s="8"/>
      <c r="C651" s="16"/>
      <c r="D651" s="14"/>
      <c r="E651" s="14"/>
      <c r="F651" s="14"/>
      <c r="G651" s="14"/>
      <c r="H651" s="14"/>
    </row>
    <row r="652" ht="22.5" customHeight="1">
      <c r="A652" s="8"/>
      <c r="B652" s="8"/>
      <c r="C652" s="16"/>
      <c r="D652" s="14"/>
      <c r="E652" s="14"/>
      <c r="F652" s="14"/>
      <c r="G652" s="14"/>
      <c r="H652" s="14"/>
    </row>
    <row r="653" ht="22.5" customHeight="1">
      <c r="A653" s="8"/>
      <c r="B653" s="8"/>
      <c r="C653" s="16"/>
      <c r="D653" s="14"/>
      <c r="E653" s="14"/>
      <c r="F653" s="14"/>
      <c r="G653" s="14"/>
      <c r="H653" s="14"/>
    </row>
    <row r="654" ht="22.5" customHeight="1">
      <c r="A654" s="8"/>
      <c r="B654" s="8"/>
      <c r="C654" s="16"/>
      <c r="D654" s="14"/>
      <c r="E654" s="14"/>
      <c r="F654" s="14"/>
      <c r="G654" s="14"/>
      <c r="H654" s="14"/>
    </row>
    <row r="655" ht="22.5" customHeight="1">
      <c r="A655" s="8"/>
      <c r="B655" s="8"/>
      <c r="C655" s="16"/>
      <c r="D655" s="14"/>
      <c r="E655" s="14"/>
      <c r="F655" s="14"/>
      <c r="G655" s="14"/>
      <c r="H655" s="14"/>
    </row>
    <row r="656" ht="22.5" customHeight="1">
      <c r="A656" s="8"/>
      <c r="B656" s="8"/>
      <c r="C656" s="16"/>
      <c r="D656" s="14"/>
      <c r="E656" s="14"/>
      <c r="F656" s="14"/>
      <c r="G656" s="14"/>
      <c r="H656" s="14"/>
    </row>
    <row r="657" ht="22.5" customHeight="1">
      <c r="A657" s="8"/>
      <c r="B657" s="8"/>
      <c r="C657" s="16"/>
      <c r="D657" s="14"/>
      <c r="E657" s="14"/>
      <c r="F657" s="14"/>
      <c r="G657" s="14"/>
      <c r="H657" s="14"/>
    </row>
    <row r="658" ht="22.5" customHeight="1">
      <c r="A658" s="8"/>
      <c r="B658" s="8"/>
      <c r="C658" s="16"/>
      <c r="D658" s="14"/>
      <c r="E658" s="14"/>
      <c r="F658" s="14"/>
      <c r="G658" s="14"/>
      <c r="H658" s="14"/>
    </row>
    <row r="659" ht="22.5" customHeight="1">
      <c r="A659" s="8"/>
      <c r="B659" s="8"/>
      <c r="C659" s="16"/>
      <c r="D659" s="14"/>
      <c r="E659" s="14"/>
      <c r="F659" s="14"/>
      <c r="G659" s="14"/>
      <c r="H659" s="14"/>
    </row>
    <row r="660" ht="22.5" customHeight="1">
      <c r="A660" s="8"/>
      <c r="B660" s="8"/>
      <c r="C660" s="16"/>
      <c r="D660" s="14"/>
      <c r="E660" s="14"/>
      <c r="F660" s="14"/>
      <c r="G660" s="14"/>
      <c r="H660" s="14"/>
    </row>
    <row r="661" ht="22.5" customHeight="1">
      <c r="A661" s="8"/>
      <c r="B661" s="8"/>
      <c r="C661" s="16"/>
      <c r="D661" s="14"/>
      <c r="E661" s="14"/>
      <c r="F661" s="14"/>
      <c r="G661" s="14"/>
      <c r="H661" s="14"/>
    </row>
    <row r="662" ht="22.5" customHeight="1">
      <c r="A662" s="8"/>
      <c r="B662" s="8"/>
      <c r="C662" s="16"/>
      <c r="D662" s="14"/>
      <c r="E662" s="14"/>
      <c r="F662" s="14"/>
      <c r="G662" s="14"/>
      <c r="H662" s="14"/>
    </row>
    <row r="663" ht="22.5" customHeight="1">
      <c r="A663" s="8"/>
      <c r="B663" s="8"/>
      <c r="C663" s="16"/>
      <c r="D663" s="14"/>
      <c r="E663" s="14"/>
      <c r="F663" s="14"/>
      <c r="G663" s="14"/>
      <c r="H663" s="14"/>
    </row>
    <row r="664" ht="22.5" customHeight="1">
      <c r="A664" s="8"/>
      <c r="B664" s="8"/>
      <c r="C664" s="16"/>
      <c r="D664" s="14"/>
      <c r="E664" s="14"/>
      <c r="F664" s="14"/>
      <c r="G664" s="14"/>
      <c r="H664" s="14"/>
    </row>
    <row r="665" ht="22.5" customHeight="1">
      <c r="A665" s="8"/>
      <c r="B665" s="8"/>
      <c r="C665" s="16"/>
      <c r="D665" s="14"/>
      <c r="E665" s="14"/>
      <c r="F665" s="14"/>
      <c r="G665" s="14"/>
      <c r="H665" s="14"/>
    </row>
    <row r="666" ht="22.5" customHeight="1">
      <c r="A666" s="8"/>
      <c r="B666" s="8"/>
      <c r="C666" s="16"/>
      <c r="D666" s="14"/>
      <c r="E666" s="14"/>
      <c r="F666" s="14"/>
      <c r="G666" s="14"/>
      <c r="H666" s="14"/>
    </row>
    <row r="667" ht="22.5" customHeight="1">
      <c r="A667" s="8"/>
      <c r="B667" s="8"/>
      <c r="C667" s="16"/>
      <c r="D667" s="14"/>
      <c r="E667" s="14"/>
      <c r="F667" s="14"/>
      <c r="G667" s="14"/>
      <c r="H667" s="14"/>
    </row>
    <row r="668" ht="22.5" customHeight="1">
      <c r="A668" s="8"/>
      <c r="B668" s="8"/>
      <c r="C668" s="16"/>
      <c r="D668" s="14"/>
      <c r="E668" s="14"/>
      <c r="F668" s="14"/>
      <c r="G668" s="14"/>
      <c r="H668" s="14"/>
    </row>
    <row r="669" ht="22.5" customHeight="1">
      <c r="A669" s="8"/>
      <c r="B669" s="8"/>
      <c r="C669" s="16"/>
      <c r="D669" s="14"/>
      <c r="E669" s="14"/>
      <c r="F669" s="14"/>
      <c r="G669" s="14"/>
      <c r="H669" s="14"/>
    </row>
    <row r="670" ht="22.5" customHeight="1">
      <c r="A670" s="8"/>
      <c r="B670" s="8"/>
      <c r="C670" s="16"/>
      <c r="D670" s="14"/>
      <c r="E670" s="14"/>
      <c r="F670" s="14"/>
      <c r="G670" s="14"/>
      <c r="H670" s="14"/>
    </row>
    <row r="671" ht="22.5" customHeight="1">
      <c r="A671" s="8"/>
      <c r="B671" s="8"/>
      <c r="C671" s="16"/>
      <c r="D671" s="14"/>
      <c r="E671" s="14"/>
      <c r="F671" s="14"/>
      <c r="G671" s="14"/>
      <c r="H671" s="14"/>
    </row>
    <row r="672" ht="22.5" customHeight="1">
      <c r="A672" s="8"/>
      <c r="B672" s="8"/>
      <c r="C672" s="16"/>
      <c r="D672" s="14"/>
      <c r="E672" s="14"/>
      <c r="F672" s="14"/>
      <c r="G672" s="14"/>
      <c r="H672" s="14"/>
    </row>
    <row r="673" ht="22.5" customHeight="1">
      <c r="A673" s="8"/>
      <c r="B673" s="8"/>
      <c r="C673" s="16"/>
      <c r="D673" s="14"/>
      <c r="E673" s="14"/>
      <c r="F673" s="14"/>
      <c r="G673" s="14"/>
      <c r="H673" s="14"/>
    </row>
    <row r="674" ht="22.5" customHeight="1">
      <c r="A674" s="8"/>
      <c r="B674" s="8"/>
      <c r="C674" s="16"/>
      <c r="D674" s="14"/>
      <c r="E674" s="14"/>
      <c r="F674" s="14"/>
      <c r="G674" s="14"/>
      <c r="H674" s="14"/>
    </row>
    <row r="675" ht="22.5" customHeight="1">
      <c r="A675" s="8"/>
      <c r="B675" s="8"/>
      <c r="C675" s="16"/>
      <c r="D675" s="14"/>
      <c r="E675" s="14"/>
      <c r="F675" s="14"/>
      <c r="G675" s="14"/>
      <c r="H675" s="14"/>
    </row>
    <row r="676" ht="22.5" customHeight="1">
      <c r="A676" s="8"/>
      <c r="B676" s="8"/>
      <c r="C676" s="16"/>
      <c r="D676" s="14"/>
      <c r="E676" s="14"/>
      <c r="F676" s="14"/>
      <c r="G676" s="14"/>
      <c r="H676" s="14"/>
    </row>
    <row r="677" ht="22.5" customHeight="1">
      <c r="A677" s="8"/>
      <c r="B677" s="8"/>
      <c r="C677" s="16"/>
      <c r="D677" s="14"/>
      <c r="E677" s="14"/>
      <c r="F677" s="14"/>
      <c r="G677" s="14"/>
      <c r="H677" s="14"/>
    </row>
    <row r="678" ht="22.5" customHeight="1">
      <c r="A678" s="8"/>
      <c r="B678" s="8"/>
      <c r="C678" s="16"/>
      <c r="D678" s="14"/>
      <c r="E678" s="14"/>
      <c r="F678" s="14"/>
      <c r="G678" s="14"/>
      <c r="H678" s="14"/>
    </row>
    <row r="679" ht="22.5" customHeight="1">
      <c r="A679" s="8"/>
      <c r="B679" s="8"/>
      <c r="C679" s="16"/>
      <c r="D679" s="14"/>
      <c r="E679" s="14"/>
      <c r="F679" s="14"/>
      <c r="G679" s="14"/>
      <c r="H679" s="14"/>
    </row>
    <row r="680" ht="22.5" customHeight="1">
      <c r="A680" s="8"/>
      <c r="B680" s="8"/>
      <c r="C680" s="16"/>
      <c r="D680" s="14"/>
      <c r="E680" s="14"/>
      <c r="F680" s="14"/>
      <c r="G680" s="14"/>
      <c r="H680" s="14"/>
    </row>
    <row r="681" ht="22.5" customHeight="1">
      <c r="A681" s="8"/>
      <c r="B681" s="8"/>
      <c r="C681" s="16"/>
      <c r="D681" s="14"/>
      <c r="E681" s="14"/>
      <c r="F681" s="14"/>
      <c r="G681" s="14"/>
      <c r="H681" s="14"/>
    </row>
    <row r="682" ht="22.5" customHeight="1">
      <c r="A682" s="8"/>
      <c r="B682" s="8"/>
      <c r="C682" s="16"/>
      <c r="D682" s="14"/>
      <c r="E682" s="14"/>
      <c r="F682" s="14"/>
      <c r="G682" s="14"/>
      <c r="H682" s="14"/>
    </row>
    <row r="683" ht="22.5" customHeight="1">
      <c r="A683" s="8"/>
      <c r="B683" s="8"/>
      <c r="C683" s="16"/>
      <c r="D683" s="14"/>
      <c r="E683" s="14"/>
      <c r="F683" s="14"/>
      <c r="G683" s="14"/>
      <c r="H683" s="14"/>
    </row>
    <row r="684" ht="22.5" customHeight="1">
      <c r="A684" s="8"/>
      <c r="B684" s="8"/>
      <c r="C684" s="16"/>
      <c r="D684" s="14"/>
      <c r="E684" s="14"/>
      <c r="F684" s="14"/>
      <c r="G684" s="14"/>
      <c r="H684" s="14"/>
    </row>
    <row r="685" ht="22.5" customHeight="1">
      <c r="A685" s="8"/>
      <c r="B685" s="8"/>
      <c r="C685" s="16"/>
      <c r="D685" s="14"/>
      <c r="E685" s="14"/>
      <c r="F685" s="14"/>
      <c r="G685" s="14"/>
      <c r="H685" s="14"/>
    </row>
    <row r="686" ht="22.5" customHeight="1">
      <c r="A686" s="8"/>
      <c r="B686" s="8"/>
      <c r="C686" s="16"/>
      <c r="D686" s="14"/>
      <c r="E686" s="14"/>
      <c r="F686" s="14"/>
      <c r="G686" s="14"/>
      <c r="H686" s="14"/>
    </row>
    <row r="687" ht="22.5" customHeight="1">
      <c r="A687" s="8"/>
      <c r="B687" s="8"/>
      <c r="C687" s="16"/>
      <c r="D687" s="14"/>
      <c r="E687" s="14"/>
      <c r="F687" s="14"/>
      <c r="G687" s="14"/>
      <c r="H687" s="14"/>
    </row>
    <row r="688" ht="22.5" customHeight="1">
      <c r="A688" s="8"/>
      <c r="B688" s="8"/>
      <c r="C688" s="16"/>
      <c r="D688" s="14"/>
      <c r="E688" s="14"/>
      <c r="F688" s="14"/>
      <c r="G688" s="14"/>
      <c r="H688" s="14"/>
    </row>
    <row r="689" ht="22.5" customHeight="1">
      <c r="A689" s="8"/>
      <c r="B689" s="8"/>
      <c r="C689" s="16"/>
      <c r="D689" s="14"/>
      <c r="E689" s="14"/>
      <c r="F689" s="14"/>
      <c r="G689" s="14"/>
      <c r="H689" s="14"/>
    </row>
    <row r="690" ht="22.5" customHeight="1">
      <c r="A690" s="8"/>
      <c r="B690" s="8"/>
      <c r="C690" s="16"/>
      <c r="D690" s="14"/>
      <c r="E690" s="14"/>
      <c r="F690" s="14"/>
      <c r="G690" s="14"/>
      <c r="H690" s="14"/>
    </row>
    <row r="691" ht="22.5" customHeight="1">
      <c r="A691" s="8"/>
      <c r="B691" s="8"/>
      <c r="C691" s="16"/>
      <c r="D691" s="14"/>
      <c r="E691" s="14"/>
      <c r="F691" s="14"/>
      <c r="G691" s="14"/>
      <c r="H691" s="14"/>
    </row>
    <row r="692" ht="22.5" customHeight="1">
      <c r="A692" s="8"/>
      <c r="B692" s="8"/>
      <c r="C692" s="16"/>
      <c r="D692" s="14"/>
      <c r="E692" s="14"/>
      <c r="F692" s="14"/>
      <c r="G692" s="14"/>
      <c r="H692" s="14"/>
    </row>
    <row r="693" ht="22.5" customHeight="1">
      <c r="A693" s="8"/>
      <c r="B693" s="8"/>
      <c r="C693" s="16"/>
      <c r="D693" s="14"/>
      <c r="E693" s="14"/>
      <c r="F693" s="14"/>
      <c r="G693" s="14"/>
      <c r="H693" s="14"/>
    </row>
    <row r="694" ht="22.5" customHeight="1">
      <c r="A694" s="8"/>
      <c r="B694" s="8"/>
      <c r="C694" s="16"/>
      <c r="D694" s="14"/>
      <c r="E694" s="14"/>
      <c r="F694" s="14"/>
      <c r="G694" s="14"/>
      <c r="H694" s="14"/>
    </row>
    <row r="695" ht="22.5" customHeight="1">
      <c r="A695" s="8"/>
      <c r="B695" s="8"/>
      <c r="C695" s="16"/>
      <c r="D695" s="14"/>
      <c r="E695" s="14"/>
      <c r="F695" s="14"/>
      <c r="G695" s="14"/>
      <c r="H695" s="14"/>
    </row>
    <row r="696" ht="22.5" customHeight="1">
      <c r="A696" s="8"/>
      <c r="B696" s="8"/>
      <c r="C696" s="16"/>
      <c r="D696" s="14"/>
      <c r="E696" s="14"/>
      <c r="F696" s="14"/>
      <c r="G696" s="14"/>
      <c r="H696" s="14"/>
    </row>
    <row r="697" ht="22.5" customHeight="1">
      <c r="A697" s="8"/>
      <c r="B697" s="8"/>
      <c r="C697" s="16"/>
      <c r="D697" s="14"/>
      <c r="E697" s="14"/>
      <c r="F697" s="14"/>
      <c r="G697" s="14"/>
      <c r="H697" s="14"/>
    </row>
    <row r="698" ht="22.5" customHeight="1">
      <c r="A698" s="8"/>
      <c r="B698" s="8"/>
      <c r="C698" s="16"/>
      <c r="D698" s="14"/>
      <c r="E698" s="14"/>
      <c r="F698" s="14"/>
      <c r="G698" s="14"/>
      <c r="H698" s="14"/>
    </row>
    <row r="699" ht="22.5" customHeight="1">
      <c r="A699" s="8"/>
      <c r="B699" s="8"/>
      <c r="C699" s="16"/>
      <c r="D699" s="14"/>
      <c r="E699" s="14"/>
      <c r="F699" s="14"/>
      <c r="G699" s="14"/>
      <c r="H699" s="14"/>
    </row>
    <row r="700" ht="22.5" customHeight="1">
      <c r="A700" s="8"/>
      <c r="B700" s="8"/>
      <c r="C700" s="16"/>
      <c r="D700" s="14"/>
      <c r="E700" s="14"/>
      <c r="F700" s="14"/>
      <c r="G700" s="14"/>
      <c r="H700" s="14"/>
    </row>
    <row r="701" ht="22.5" customHeight="1">
      <c r="A701" s="8"/>
      <c r="B701" s="8"/>
      <c r="C701" s="16"/>
      <c r="D701" s="14"/>
      <c r="E701" s="14"/>
      <c r="F701" s="14"/>
      <c r="G701" s="14"/>
      <c r="H701" s="14"/>
    </row>
    <row r="702" ht="22.5" customHeight="1">
      <c r="A702" s="8"/>
      <c r="B702" s="8"/>
      <c r="C702" s="16"/>
      <c r="D702" s="14"/>
      <c r="E702" s="14"/>
      <c r="F702" s="14"/>
      <c r="G702" s="14"/>
      <c r="H702" s="14"/>
    </row>
    <row r="703" ht="22.5" customHeight="1">
      <c r="A703" s="8"/>
      <c r="B703" s="8"/>
      <c r="C703" s="16"/>
      <c r="D703" s="14"/>
      <c r="E703" s="14"/>
      <c r="F703" s="14"/>
      <c r="G703" s="14"/>
      <c r="H703" s="14"/>
    </row>
    <row r="704" ht="22.5" customHeight="1">
      <c r="A704" s="8"/>
      <c r="B704" s="8"/>
      <c r="C704" s="16"/>
      <c r="D704" s="14"/>
      <c r="E704" s="14"/>
      <c r="F704" s="14"/>
      <c r="G704" s="14"/>
      <c r="H704" s="14"/>
    </row>
    <row r="705" ht="22.5" customHeight="1">
      <c r="A705" s="8"/>
      <c r="B705" s="8"/>
      <c r="C705" s="16"/>
      <c r="D705" s="14"/>
      <c r="E705" s="14"/>
      <c r="F705" s="14"/>
      <c r="G705" s="14"/>
      <c r="H705" s="14"/>
    </row>
    <row r="706" ht="22.5" customHeight="1">
      <c r="A706" s="8"/>
      <c r="B706" s="8"/>
      <c r="C706" s="16"/>
      <c r="D706" s="14"/>
      <c r="E706" s="14"/>
      <c r="F706" s="14"/>
      <c r="G706" s="14"/>
      <c r="H706" s="14"/>
    </row>
    <row r="707" ht="22.5" customHeight="1">
      <c r="A707" s="8"/>
      <c r="B707" s="8"/>
      <c r="C707" s="16"/>
      <c r="D707" s="14"/>
      <c r="E707" s="14"/>
      <c r="F707" s="14"/>
      <c r="G707" s="14"/>
      <c r="H707" s="14"/>
    </row>
    <row r="708" ht="22.5" customHeight="1">
      <c r="A708" s="8"/>
      <c r="B708" s="8"/>
      <c r="C708" s="16"/>
      <c r="D708" s="14"/>
      <c r="E708" s="14"/>
      <c r="F708" s="14"/>
      <c r="G708" s="14"/>
      <c r="H708" s="14"/>
    </row>
    <row r="709" ht="22.5" customHeight="1">
      <c r="A709" s="8"/>
      <c r="B709" s="8"/>
      <c r="C709" s="16"/>
      <c r="D709" s="14"/>
      <c r="E709" s="14"/>
      <c r="F709" s="14"/>
      <c r="G709" s="14"/>
      <c r="H709" s="14"/>
    </row>
    <row r="710" ht="22.5" customHeight="1">
      <c r="A710" s="8"/>
      <c r="B710" s="8"/>
      <c r="C710" s="16"/>
      <c r="D710" s="14"/>
      <c r="E710" s="14"/>
      <c r="F710" s="14"/>
      <c r="G710" s="14"/>
      <c r="H710" s="14"/>
    </row>
    <row r="711" ht="22.5" customHeight="1">
      <c r="A711" s="8"/>
      <c r="B711" s="8"/>
      <c r="C711" s="16"/>
      <c r="D711" s="14"/>
      <c r="E711" s="14"/>
      <c r="F711" s="14"/>
      <c r="G711" s="14"/>
      <c r="H711" s="14"/>
    </row>
    <row r="712" ht="22.5" customHeight="1">
      <c r="A712" s="8"/>
      <c r="B712" s="8"/>
      <c r="C712" s="16"/>
      <c r="D712" s="14"/>
      <c r="E712" s="14"/>
      <c r="F712" s="14"/>
      <c r="G712" s="14"/>
      <c r="H712" s="14"/>
    </row>
    <row r="713" ht="22.5" customHeight="1">
      <c r="A713" s="8"/>
      <c r="B713" s="8"/>
      <c r="C713" s="16"/>
      <c r="D713" s="14"/>
      <c r="E713" s="14"/>
      <c r="F713" s="14"/>
      <c r="G713" s="14"/>
      <c r="H713" s="14"/>
    </row>
    <row r="714" ht="22.5" customHeight="1">
      <c r="A714" s="8"/>
      <c r="B714" s="8"/>
      <c r="C714" s="16"/>
      <c r="D714" s="14"/>
      <c r="E714" s="14"/>
      <c r="F714" s="14"/>
      <c r="G714" s="14"/>
      <c r="H714" s="14"/>
    </row>
    <row r="715" ht="22.5" customHeight="1">
      <c r="A715" s="8"/>
      <c r="B715" s="8"/>
      <c r="C715" s="16"/>
      <c r="D715" s="14"/>
      <c r="E715" s="14"/>
      <c r="F715" s="14"/>
      <c r="G715" s="14"/>
      <c r="H715" s="14"/>
    </row>
    <row r="716" ht="22.5" customHeight="1">
      <c r="A716" s="8"/>
      <c r="B716" s="8"/>
      <c r="C716" s="16"/>
      <c r="D716" s="14"/>
      <c r="E716" s="14"/>
      <c r="F716" s="14"/>
      <c r="G716" s="14"/>
      <c r="H716" s="14"/>
    </row>
    <row r="717" ht="22.5" customHeight="1">
      <c r="A717" s="8"/>
      <c r="B717" s="8"/>
      <c r="C717" s="16"/>
      <c r="D717" s="14"/>
      <c r="E717" s="14"/>
      <c r="F717" s="14"/>
      <c r="G717" s="14"/>
      <c r="H717" s="14"/>
    </row>
    <row r="718" ht="22.5" customHeight="1">
      <c r="A718" s="8"/>
      <c r="B718" s="8"/>
      <c r="C718" s="16"/>
      <c r="D718" s="14"/>
      <c r="E718" s="14"/>
      <c r="F718" s="14"/>
      <c r="G718" s="14"/>
      <c r="H718" s="14"/>
    </row>
    <row r="719" ht="22.5" customHeight="1">
      <c r="A719" s="8"/>
      <c r="B719" s="8"/>
      <c r="C719" s="16"/>
      <c r="D719" s="14"/>
      <c r="E719" s="14"/>
      <c r="F719" s="14"/>
      <c r="G719" s="14"/>
      <c r="H719" s="14"/>
    </row>
    <row r="720" ht="22.5" customHeight="1">
      <c r="A720" s="8"/>
      <c r="B720" s="8"/>
      <c r="C720" s="16"/>
      <c r="D720" s="14"/>
      <c r="E720" s="14"/>
      <c r="F720" s="14"/>
      <c r="G720" s="14"/>
      <c r="H720" s="14"/>
    </row>
    <row r="721" ht="22.5" customHeight="1">
      <c r="A721" s="8"/>
      <c r="B721" s="8"/>
      <c r="C721" s="16"/>
      <c r="D721" s="14"/>
      <c r="E721" s="14"/>
      <c r="F721" s="14"/>
      <c r="G721" s="14"/>
      <c r="H721" s="14"/>
    </row>
    <row r="722" ht="22.5" customHeight="1">
      <c r="A722" s="8"/>
      <c r="B722" s="8"/>
      <c r="C722" s="16"/>
      <c r="D722" s="14"/>
      <c r="E722" s="14"/>
      <c r="F722" s="14"/>
      <c r="G722" s="14"/>
      <c r="H722" s="14"/>
    </row>
    <row r="723" ht="22.5" customHeight="1">
      <c r="A723" s="8"/>
      <c r="B723" s="8"/>
      <c r="C723" s="16"/>
      <c r="D723" s="14"/>
      <c r="E723" s="14"/>
      <c r="F723" s="14"/>
      <c r="G723" s="14"/>
      <c r="H723" s="14"/>
    </row>
    <row r="724" ht="22.5" customHeight="1">
      <c r="A724" s="8"/>
      <c r="B724" s="8"/>
      <c r="C724" s="16"/>
      <c r="D724" s="14"/>
      <c r="E724" s="14"/>
      <c r="F724" s="14"/>
      <c r="G724" s="14"/>
      <c r="H724" s="14"/>
    </row>
    <row r="725" ht="22.5" customHeight="1">
      <c r="A725" s="8"/>
      <c r="B725" s="8"/>
      <c r="C725" s="16"/>
      <c r="D725" s="14"/>
      <c r="E725" s="14"/>
      <c r="F725" s="14"/>
      <c r="G725" s="14"/>
      <c r="H725" s="14"/>
    </row>
    <row r="726" ht="22.5" customHeight="1">
      <c r="A726" s="8"/>
      <c r="B726" s="8"/>
      <c r="C726" s="16"/>
      <c r="D726" s="14"/>
      <c r="E726" s="14"/>
      <c r="F726" s="14"/>
      <c r="G726" s="14"/>
      <c r="H726" s="14"/>
    </row>
    <row r="727" ht="22.5" customHeight="1">
      <c r="A727" s="8"/>
      <c r="B727" s="8"/>
      <c r="C727" s="16"/>
      <c r="D727" s="14"/>
      <c r="E727" s="14"/>
      <c r="F727" s="14"/>
      <c r="G727" s="14"/>
      <c r="H727" s="14"/>
    </row>
    <row r="728" ht="22.5" customHeight="1">
      <c r="A728" s="8"/>
      <c r="B728" s="8"/>
      <c r="C728" s="16"/>
      <c r="D728" s="14"/>
      <c r="E728" s="14"/>
      <c r="F728" s="14"/>
      <c r="G728" s="14"/>
      <c r="H728" s="14"/>
    </row>
    <row r="729" ht="22.5" customHeight="1">
      <c r="A729" s="8"/>
      <c r="B729" s="8"/>
      <c r="C729" s="16"/>
      <c r="D729" s="14"/>
      <c r="E729" s="14"/>
      <c r="F729" s="14"/>
      <c r="G729" s="14"/>
      <c r="H729" s="14"/>
    </row>
    <row r="730" ht="22.5" customHeight="1">
      <c r="A730" s="8"/>
      <c r="B730" s="8"/>
      <c r="C730" s="16"/>
      <c r="D730" s="14"/>
      <c r="E730" s="14"/>
      <c r="F730" s="14"/>
      <c r="G730" s="14"/>
      <c r="H730" s="14"/>
    </row>
    <row r="731" ht="22.5" customHeight="1">
      <c r="A731" s="8"/>
      <c r="B731" s="8"/>
      <c r="C731" s="16"/>
      <c r="D731" s="14"/>
      <c r="E731" s="14"/>
      <c r="F731" s="14"/>
      <c r="G731" s="14"/>
      <c r="H731" s="14"/>
    </row>
    <row r="732" ht="22.5" customHeight="1">
      <c r="A732" s="8"/>
      <c r="B732" s="8"/>
      <c r="C732" s="16"/>
      <c r="D732" s="14"/>
      <c r="E732" s="14"/>
      <c r="F732" s="14"/>
      <c r="G732" s="14"/>
      <c r="H732" s="14"/>
    </row>
    <row r="733" ht="22.5" customHeight="1">
      <c r="A733" s="8"/>
      <c r="B733" s="8"/>
      <c r="C733" s="16"/>
      <c r="D733" s="14"/>
      <c r="E733" s="14"/>
      <c r="F733" s="14"/>
      <c r="G733" s="14"/>
      <c r="H733" s="14"/>
    </row>
    <row r="734" ht="22.5" customHeight="1">
      <c r="A734" s="8"/>
      <c r="B734" s="8"/>
      <c r="C734" s="16"/>
      <c r="D734" s="14"/>
      <c r="E734" s="14"/>
      <c r="F734" s="14"/>
      <c r="G734" s="14"/>
      <c r="H734" s="14"/>
    </row>
    <row r="735" ht="22.5" customHeight="1">
      <c r="A735" s="8"/>
      <c r="B735" s="8"/>
      <c r="C735" s="16"/>
      <c r="D735" s="14"/>
      <c r="E735" s="14"/>
      <c r="F735" s="14"/>
      <c r="G735" s="14"/>
      <c r="H735" s="14"/>
    </row>
    <row r="736" ht="22.5" customHeight="1">
      <c r="A736" s="8"/>
      <c r="B736" s="8"/>
      <c r="C736" s="16"/>
      <c r="D736" s="14"/>
      <c r="E736" s="14"/>
      <c r="F736" s="14"/>
      <c r="G736" s="14"/>
      <c r="H736" s="14"/>
    </row>
    <row r="737" ht="22.5" customHeight="1">
      <c r="A737" s="8"/>
      <c r="B737" s="8"/>
      <c r="C737" s="16"/>
      <c r="D737" s="14"/>
      <c r="E737" s="14"/>
      <c r="F737" s="14"/>
      <c r="G737" s="14"/>
      <c r="H737" s="14"/>
    </row>
    <row r="738" ht="22.5" customHeight="1">
      <c r="A738" s="8"/>
      <c r="B738" s="8"/>
      <c r="C738" s="16"/>
      <c r="D738" s="14"/>
      <c r="E738" s="14"/>
      <c r="F738" s="14"/>
      <c r="G738" s="14"/>
      <c r="H738" s="14"/>
    </row>
    <row r="739" ht="22.5" customHeight="1">
      <c r="A739" s="8"/>
      <c r="B739" s="8"/>
      <c r="C739" s="16"/>
      <c r="D739" s="14"/>
      <c r="E739" s="14"/>
      <c r="F739" s="14"/>
      <c r="G739" s="14"/>
      <c r="H739" s="14"/>
    </row>
    <row r="740" ht="22.5" customHeight="1">
      <c r="A740" s="8"/>
      <c r="B740" s="8"/>
      <c r="C740" s="16"/>
      <c r="D740" s="14"/>
      <c r="E740" s="14"/>
      <c r="F740" s="14"/>
      <c r="G740" s="14"/>
      <c r="H740" s="14"/>
    </row>
    <row r="741" ht="22.5" customHeight="1">
      <c r="A741" s="8"/>
      <c r="B741" s="8"/>
      <c r="C741" s="16"/>
      <c r="D741" s="14"/>
      <c r="E741" s="14"/>
      <c r="F741" s="14"/>
      <c r="G741" s="14"/>
      <c r="H741" s="14"/>
    </row>
    <row r="742" ht="22.5" customHeight="1">
      <c r="A742" s="8"/>
      <c r="B742" s="8"/>
      <c r="C742" s="16"/>
      <c r="D742" s="14"/>
      <c r="E742" s="14"/>
      <c r="F742" s="14"/>
      <c r="G742" s="14"/>
      <c r="H742" s="14"/>
    </row>
    <row r="743" ht="22.5" customHeight="1">
      <c r="A743" s="8"/>
      <c r="B743" s="8"/>
      <c r="C743" s="16"/>
      <c r="D743" s="14"/>
      <c r="E743" s="14"/>
      <c r="F743" s="14"/>
      <c r="G743" s="14"/>
      <c r="H743" s="14"/>
    </row>
    <row r="744" ht="22.5" customHeight="1">
      <c r="A744" s="8"/>
      <c r="B744" s="8"/>
      <c r="C744" s="16"/>
      <c r="D744" s="14"/>
      <c r="E744" s="14"/>
      <c r="F744" s="14"/>
      <c r="G744" s="14"/>
      <c r="H744" s="14"/>
    </row>
    <row r="745" ht="22.5" customHeight="1">
      <c r="A745" s="8"/>
      <c r="B745" s="8"/>
      <c r="C745" s="16"/>
      <c r="D745" s="14"/>
      <c r="E745" s="14"/>
      <c r="F745" s="14"/>
      <c r="G745" s="14"/>
      <c r="H745" s="14"/>
    </row>
    <row r="746" ht="22.5" customHeight="1">
      <c r="A746" s="8"/>
      <c r="B746" s="8"/>
      <c r="C746" s="16"/>
      <c r="D746" s="14"/>
      <c r="E746" s="14"/>
      <c r="F746" s="14"/>
      <c r="G746" s="14"/>
      <c r="H746" s="14"/>
    </row>
    <row r="747" ht="22.5" customHeight="1">
      <c r="A747" s="8"/>
      <c r="B747" s="8"/>
      <c r="C747" s="16"/>
      <c r="D747" s="14"/>
      <c r="E747" s="14"/>
      <c r="F747" s="14"/>
      <c r="G747" s="14"/>
      <c r="H747" s="14"/>
    </row>
    <row r="748" ht="22.5" customHeight="1">
      <c r="A748" s="8"/>
      <c r="B748" s="8"/>
      <c r="C748" s="16"/>
      <c r="D748" s="14"/>
      <c r="E748" s="14"/>
      <c r="F748" s="14"/>
      <c r="G748" s="14"/>
      <c r="H748" s="14"/>
    </row>
    <row r="749" ht="22.5" customHeight="1">
      <c r="A749" s="8"/>
      <c r="B749" s="8"/>
      <c r="C749" s="16"/>
      <c r="D749" s="14"/>
      <c r="E749" s="14"/>
      <c r="F749" s="14"/>
      <c r="G749" s="14"/>
      <c r="H749" s="14"/>
    </row>
    <row r="750" ht="22.5" customHeight="1">
      <c r="A750" s="8"/>
      <c r="B750" s="8"/>
      <c r="C750" s="16"/>
      <c r="D750" s="14"/>
      <c r="E750" s="14"/>
      <c r="F750" s="14"/>
      <c r="G750" s="14"/>
      <c r="H750" s="14"/>
    </row>
    <row r="751" ht="22.5" customHeight="1">
      <c r="A751" s="8"/>
      <c r="B751" s="8"/>
      <c r="C751" s="16"/>
      <c r="D751" s="14"/>
      <c r="E751" s="14"/>
      <c r="F751" s="14"/>
      <c r="G751" s="14"/>
      <c r="H751" s="14"/>
    </row>
    <row r="752" ht="22.5" customHeight="1">
      <c r="A752" s="8"/>
      <c r="B752" s="8"/>
      <c r="C752" s="16"/>
      <c r="D752" s="14"/>
      <c r="E752" s="14"/>
      <c r="F752" s="14"/>
      <c r="G752" s="14"/>
      <c r="H752" s="14"/>
    </row>
    <row r="753" ht="22.5" customHeight="1">
      <c r="A753" s="8"/>
      <c r="B753" s="8"/>
      <c r="C753" s="16"/>
      <c r="D753" s="14"/>
      <c r="E753" s="14"/>
      <c r="F753" s="14"/>
      <c r="G753" s="14"/>
      <c r="H753" s="14"/>
    </row>
    <row r="754" ht="22.5" customHeight="1">
      <c r="A754" s="8"/>
      <c r="B754" s="8"/>
      <c r="C754" s="16"/>
      <c r="D754" s="14"/>
      <c r="E754" s="14"/>
      <c r="F754" s="14"/>
      <c r="G754" s="14"/>
      <c r="H754" s="14"/>
    </row>
    <row r="755" ht="22.5" customHeight="1">
      <c r="A755" s="8"/>
      <c r="B755" s="8"/>
      <c r="C755" s="16"/>
      <c r="D755" s="14"/>
      <c r="E755" s="14"/>
      <c r="F755" s="14"/>
      <c r="G755" s="14"/>
      <c r="H755" s="14"/>
    </row>
    <row r="756" ht="22.5" customHeight="1">
      <c r="A756" s="8"/>
      <c r="B756" s="8"/>
      <c r="C756" s="16"/>
      <c r="D756" s="14"/>
      <c r="E756" s="14"/>
      <c r="F756" s="14"/>
      <c r="G756" s="14"/>
      <c r="H756" s="14"/>
    </row>
    <row r="757" ht="22.5" customHeight="1">
      <c r="A757" s="8"/>
      <c r="B757" s="8"/>
      <c r="C757" s="16"/>
      <c r="D757" s="14"/>
      <c r="E757" s="14"/>
      <c r="F757" s="14"/>
      <c r="G757" s="14"/>
      <c r="H757" s="14"/>
    </row>
    <row r="758" ht="22.5" customHeight="1">
      <c r="A758" s="8"/>
      <c r="B758" s="8"/>
      <c r="C758" s="16"/>
      <c r="D758" s="14"/>
      <c r="E758" s="14"/>
      <c r="F758" s="14"/>
      <c r="G758" s="14"/>
      <c r="H758" s="14"/>
    </row>
    <row r="759" ht="22.5" customHeight="1">
      <c r="A759" s="8"/>
      <c r="B759" s="8"/>
      <c r="C759" s="16"/>
      <c r="D759" s="14"/>
      <c r="E759" s="14"/>
      <c r="F759" s="14"/>
      <c r="G759" s="14"/>
      <c r="H759" s="14"/>
    </row>
    <row r="760" ht="22.5" customHeight="1">
      <c r="A760" s="8"/>
      <c r="B760" s="8"/>
      <c r="C760" s="16"/>
      <c r="D760" s="14"/>
      <c r="E760" s="14"/>
      <c r="F760" s="14"/>
      <c r="G760" s="14"/>
      <c r="H760" s="14"/>
    </row>
    <row r="761" ht="22.5" customHeight="1">
      <c r="A761" s="8"/>
      <c r="B761" s="8"/>
      <c r="C761" s="16"/>
      <c r="D761" s="14"/>
      <c r="E761" s="14"/>
      <c r="F761" s="14"/>
      <c r="G761" s="14"/>
      <c r="H761" s="14"/>
    </row>
    <row r="762" ht="22.5" customHeight="1">
      <c r="A762" s="8"/>
      <c r="B762" s="8"/>
      <c r="C762" s="16"/>
      <c r="D762" s="14"/>
      <c r="E762" s="14"/>
      <c r="F762" s="14"/>
      <c r="G762" s="14"/>
      <c r="H762" s="14"/>
    </row>
    <row r="763" ht="22.5" customHeight="1">
      <c r="A763" s="8"/>
      <c r="B763" s="8"/>
      <c r="C763" s="16"/>
      <c r="D763" s="14"/>
      <c r="E763" s="14"/>
      <c r="F763" s="14"/>
      <c r="G763" s="14"/>
      <c r="H763" s="14"/>
    </row>
    <row r="764" ht="22.5" customHeight="1">
      <c r="A764" s="8"/>
      <c r="B764" s="8"/>
      <c r="C764" s="16"/>
      <c r="D764" s="14"/>
      <c r="E764" s="14"/>
      <c r="F764" s="14"/>
      <c r="G764" s="14"/>
      <c r="H764" s="14"/>
    </row>
    <row r="765" ht="22.5" customHeight="1">
      <c r="A765" s="8"/>
      <c r="B765" s="8"/>
      <c r="C765" s="16"/>
      <c r="D765" s="14"/>
      <c r="E765" s="14"/>
      <c r="F765" s="14"/>
      <c r="G765" s="14"/>
      <c r="H765" s="14"/>
    </row>
    <row r="766" ht="22.5" customHeight="1">
      <c r="A766" s="8"/>
      <c r="B766" s="8"/>
      <c r="C766" s="16"/>
      <c r="D766" s="14"/>
      <c r="E766" s="14"/>
      <c r="F766" s="14"/>
      <c r="G766" s="14"/>
      <c r="H766" s="14"/>
    </row>
    <row r="767" ht="22.5" customHeight="1">
      <c r="A767" s="8"/>
      <c r="B767" s="8"/>
      <c r="C767" s="16"/>
      <c r="D767" s="14"/>
      <c r="E767" s="14"/>
      <c r="F767" s="14"/>
      <c r="G767" s="14"/>
      <c r="H767" s="14"/>
    </row>
    <row r="768" ht="22.5" customHeight="1">
      <c r="A768" s="8"/>
      <c r="B768" s="8"/>
      <c r="C768" s="16"/>
      <c r="D768" s="14"/>
      <c r="E768" s="14"/>
      <c r="F768" s="14"/>
      <c r="G768" s="14"/>
      <c r="H768" s="14"/>
    </row>
    <row r="769" ht="22.5" customHeight="1">
      <c r="A769" s="8"/>
      <c r="B769" s="8"/>
      <c r="C769" s="16"/>
      <c r="D769" s="14"/>
      <c r="E769" s="14"/>
      <c r="F769" s="14"/>
      <c r="G769" s="14"/>
      <c r="H769" s="14"/>
    </row>
    <row r="770" ht="22.5" customHeight="1">
      <c r="A770" s="8"/>
      <c r="B770" s="8"/>
      <c r="C770" s="16"/>
      <c r="D770" s="14"/>
      <c r="E770" s="14"/>
      <c r="F770" s="14"/>
      <c r="G770" s="14"/>
      <c r="H770" s="14"/>
    </row>
    <row r="771" ht="22.5" customHeight="1">
      <c r="A771" s="8"/>
      <c r="B771" s="8"/>
      <c r="C771" s="16"/>
      <c r="D771" s="14"/>
      <c r="E771" s="14"/>
      <c r="F771" s="14"/>
      <c r="G771" s="14"/>
      <c r="H771" s="14"/>
    </row>
    <row r="772" ht="22.5" customHeight="1">
      <c r="A772" s="8"/>
      <c r="B772" s="8"/>
      <c r="C772" s="16"/>
      <c r="D772" s="14"/>
      <c r="E772" s="14"/>
      <c r="F772" s="14"/>
      <c r="G772" s="14"/>
      <c r="H772" s="14"/>
    </row>
    <row r="773" ht="22.5" customHeight="1">
      <c r="A773" s="8"/>
      <c r="B773" s="8"/>
      <c r="C773" s="16"/>
      <c r="D773" s="14"/>
      <c r="E773" s="14"/>
      <c r="F773" s="14"/>
      <c r="G773" s="14"/>
      <c r="H773" s="14"/>
    </row>
    <row r="774" ht="22.5" customHeight="1">
      <c r="A774" s="8"/>
      <c r="B774" s="8"/>
      <c r="C774" s="16"/>
      <c r="D774" s="14"/>
      <c r="E774" s="14"/>
      <c r="F774" s="14"/>
      <c r="G774" s="14"/>
      <c r="H774" s="14"/>
    </row>
    <row r="775" ht="22.5" customHeight="1">
      <c r="A775" s="8"/>
      <c r="B775" s="8"/>
      <c r="C775" s="16"/>
      <c r="D775" s="14"/>
      <c r="E775" s="14"/>
      <c r="F775" s="14"/>
      <c r="G775" s="14"/>
      <c r="H775" s="14"/>
    </row>
    <row r="776" ht="22.5" customHeight="1">
      <c r="A776" s="8"/>
      <c r="B776" s="8"/>
      <c r="C776" s="16"/>
      <c r="D776" s="14"/>
      <c r="E776" s="14"/>
      <c r="F776" s="14"/>
      <c r="G776" s="14"/>
      <c r="H776" s="14"/>
    </row>
    <row r="777" ht="22.5" customHeight="1">
      <c r="A777" s="8"/>
      <c r="B777" s="8"/>
      <c r="C777" s="16"/>
      <c r="D777" s="14"/>
      <c r="E777" s="14"/>
      <c r="F777" s="14"/>
      <c r="G777" s="14"/>
      <c r="H777" s="14"/>
    </row>
    <row r="778" ht="22.5" customHeight="1">
      <c r="A778" s="8"/>
      <c r="B778" s="8"/>
      <c r="C778" s="16"/>
      <c r="D778" s="14"/>
      <c r="E778" s="14"/>
      <c r="F778" s="14"/>
      <c r="G778" s="14"/>
      <c r="H778" s="14"/>
    </row>
    <row r="779" ht="22.5" customHeight="1">
      <c r="A779" s="8"/>
      <c r="B779" s="8"/>
      <c r="C779" s="16"/>
      <c r="D779" s="14"/>
      <c r="E779" s="14"/>
      <c r="F779" s="14"/>
      <c r="G779" s="14"/>
      <c r="H779" s="14"/>
    </row>
    <row r="780" ht="22.5" customHeight="1">
      <c r="A780" s="8"/>
      <c r="B780" s="8"/>
      <c r="C780" s="16"/>
      <c r="D780" s="14"/>
      <c r="E780" s="14"/>
      <c r="F780" s="14"/>
      <c r="G780" s="14"/>
      <c r="H780" s="14"/>
    </row>
    <row r="781" ht="22.5" customHeight="1">
      <c r="A781" s="8"/>
      <c r="B781" s="8"/>
      <c r="C781" s="16"/>
      <c r="D781" s="14"/>
      <c r="E781" s="14"/>
      <c r="F781" s="14"/>
      <c r="G781" s="14"/>
      <c r="H781" s="14"/>
    </row>
    <row r="782" ht="22.5" customHeight="1">
      <c r="A782" s="8"/>
      <c r="B782" s="8"/>
      <c r="C782" s="16"/>
      <c r="D782" s="14"/>
      <c r="E782" s="14"/>
      <c r="F782" s="14"/>
      <c r="G782" s="14"/>
      <c r="H782" s="14"/>
    </row>
    <row r="783" ht="22.5" customHeight="1">
      <c r="A783" s="8"/>
      <c r="B783" s="8"/>
      <c r="C783" s="16"/>
      <c r="D783" s="14"/>
      <c r="E783" s="14"/>
      <c r="F783" s="14"/>
      <c r="G783" s="14"/>
      <c r="H783" s="14"/>
    </row>
    <row r="784" ht="22.5" customHeight="1">
      <c r="A784" s="8"/>
      <c r="B784" s="8"/>
      <c r="C784" s="16"/>
      <c r="D784" s="14"/>
      <c r="E784" s="14"/>
      <c r="F784" s="14"/>
      <c r="G784" s="14"/>
      <c r="H784" s="14"/>
    </row>
    <row r="785" ht="22.5" customHeight="1">
      <c r="A785" s="8"/>
      <c r="B785" s="8"/>
      <c r="C785" s="16"/>
      <c r="D785" s="14"/>
      <c r="E785" s="14"/>
      <c r="F785" s="14"/>
      <c r="G785" s="14"/>
      <c r="H785" s="14"/>
    </row>
    <row r="786" ht="22.5" customHeight="1">
      <c r="A786" s="8"/>
      <c r="B786" s="8"/>
      <c r="C786" s="16"/>
      <c r="D786" s="14"/>
      <c r="E786" s="14"/>
      <c r="F786" s="14"/>
      <c r="G786" s="14"/>
      <c r="H786" s="14"/>
    </row>
    <row r="787" ht="22.5" customHeight="1">
      <c r="A787" s="8"/>
      <c r="B787" s="8"/>
      <c r="C787" s="16"/>
      <c r="D787" s="14"/>
      <c r="E787" s="14"/>
      <c r="F787" s="14"/>
      <c r="G787" s="14"/>
      <c r="H787" s="14"/>
    </row>
    <row r="788" ht="22.5" customHeight="1">
      <c r="A788" s="8"/>
      <c r="B788" s="8"/>
      <c r="C788" s="16"/>
      <c r="D788" s="14"/>
      <c r="E788" s="14"/>
      <c r="F788" s="14"/>
      <c r="G788" s="14"/>
      <c r="H788" s="14"/>
    </row>
    <row r="789" ht="22.5" customHeight="1">
      <c r="A789" s="8"/>
      <c r="B789" s="8"/>
      <c r="C789" s="16"/>
      <c r="D789" s="14"/>
      <c r="E789" s="14"/>
      <c r="F789" s="14"/>
      <c r="G789" s="14"/>
      <c r="H789" s="14"/>
    </row>
    <row r="790" ht="22.5" customHeight="1">
      <c r="A790" s="8"/>
      <c r="B790" s="8"/>
      <c r="C790" s="16"/>
      <c r="D790" s="14"/>
      <c r="E790" s="14"/>
      <c r="F790" s="14"/>
      <c r="G790" s="14"/>
      <c r="H790" s="14"/>
    </row>
    <row r="791" ht="22.5" customHeight="1">
      <c r="A791" s="8"/>
      <c r="B791" s="8"/>
      <c r="C791" s="16"/>
      <c r="D791" s="14"/>
      <c r="E791" s="14"/>
      <c r="F791" s="14"/>
      <c r="G791" s="14"/>
      <c r="H791" s="14"/>
    </row>
    <row r="792" ht="22.5" customHeight="1">
      <c r="A792" s="8"/>
      <c r="B792" s="8"/>
      <c r="C792" s="16"/>
      <c r="D792" s="14"/>
      <c r="E792" s="14"/>
      <c r="F792" s="14"/>
      <c r="G792" s="14"/>
      <c r="H792" s="14"/>
    </row>
    <row r="793" ht="22.5" customHeight="1">
      <c r="A793" s="8"/>
      <c r="B793" s="8"/>
      <c r="C793" s="16"/>
      <c r="D793" s="14"/>
      <c r="E793" s="14"/>
      <c r="F793" s="14"/>
      <c r="G793" s="14"/>
      <c r="H793" s="14"/>
    </row>
    <row r="794" ht="22.5" customHeight="1">
      <c r="A794" s="8"/>
      <c r="B794" s="8"/>
      <c r="C794" s="16"/>
      <c r="D794" s="14"/>
      <c r="E794" s="14"/>
      <c r="F794" s="14"/>
      <c r="G794" s="14"/>
      <c r="H794" s="14"/>
    </row>
    <row r="795" ht="22.5" customHeight="1">
      <c r="A795" s="8"/>
      <c r="B795" s="8"/>
      <c r="C795" s="16"/>
      <c r="D795" s="14"/>
      <c r="E795" s="14"/>
      <c r="F795" s="14"/>
      <c r="G795" s="14"/>
      <c r="H795" s="14"/>
    </row>
    <row r="796" ht="22.5" customHeight="1">
      <c r="A796" s="8"/>
      <c r="B796" s="8"/>
      <c r="C796" s="16"/>
      <c r="D796" s="14"/>
      <c r="E796" s="14"/>
      <c r="F796" s="14"/>
      <c r="G796" s="14"/>
      <c r="H796" s="14"/>
    </row>
    <row r="797" ht="22.5" customHeight="1">
      <c r="A797" s="8"/>
      <c r="B797" s="8"/>
      <c r="C797" s="16"/>
      <c r="D797" s="14"/>
      <c r="E797" s="14"/>
      <c r="F797" s="14"/>
      <c r="G797" s="14"/>
      <c r="H797" s="14"/>
    </row>
    <row r="798" ht="22.5" customHeight="1">
      <c r="A798" s="8"/>
      <c r="B798" s="8"/>
      <c r="C798" s="16"/>
      <c r="D798" s="14"/>
      <c r="E798" s="14"/>
      <c r="F798" s="14"/>
      <c r="G798" s="14"/>
      <c r="H798" s="14"/>
    </row>
    <row r="799" ht="22.5" customHeight="1">
      <c r="A799" s="8"/>
      <c r="B799" s="8"/>
      <c r="C799" s="16"/>
      <c r="D799" s="14"/>
      <c r="E799" s="14"/>
      <c r="F799" s="14"/>
      <c r="G799" s="14"/>
      <c r="H799" s="14"/>
    </row>
    <row r="800" ht="22.5" customHeight="1">
      <c r="A800" s="8"/>
      <c r="B800" s="8"/>
      <c r="C800" s="16"/>
      <c r="D800" s="14"/>
      <c r="E800" s="14"/>
      <c r="F800" s="14"/>
      <c r="G800" s="14"/>
      <c r="H800" s="14"/>
    </row>
    <row r="801" ht="22.5" customHeight="1">
      <c r="A801" s="8"/>
      <c r="B801" s="8"/>
      <c r="C801" s="16"/>
      <c r="D801" s="14"/>
      <c r="E801" s="14"/>
      <c r="F801" s="14"/>
      <c r="G801" s="14"/>
      <c r="H801" s="14"/>
    </row>
    <row r="802" ht="22.5" customHeight="1">
      <c r="A802" s="8"/>
      <c r="B802" s="8"/>
      <c r="C802" s="16"/>
      <c r="D802" s="14"/>
      <c r="E802" s="14"/>
      <c r="F802" s="14"/>
      <c r="G802" s="14"/>
      <c r="H802" s="14"/>
    </row>
    <row r="803" ht="22.5" customHeight="1">
      <c r="A803" s="8"/>
      <c r="B803" s="8"/>
      <c r="C803" s="16"/>
      <c r="D803" s="14"/>
      <c r="E803" s="14"/>
      <c r="F803" s="14"/>
      <c r="G803" s="14"/>
      <c r="H803" s="14"/>
    </row>
    <row r="804" ht="22.5" customHeight="1">
      <c r="A804" s="8"/>
      <c r="B804" s="8"/>
      <c r="C804" s="16"/>
      <c r="D804" s="14"/>
      <c r="E804" s="14"/>
      <c r="F804" s="14"/>
      <c r="G804" s="14"/>
      <c r="H804" s="14"/>
    </row>
    <row r="805" ht="22.5" customHeight="1">
      <c r="A805" s="8"/>
      <c r="B805" s="8"/>
      <c r="C805" s="16"/>
      <c r="D805" s="14"/>
      <c r="E805" s="14"/>
      <c r="F805" s="14"/>
      <c r="G805" s="14"/>
      <c r="H805" s="14"/>
    </row>
    <row r="806" ht="22.5" customHeight="1">
      <c r="A806" s="8"/>
      <c r="B806" s="8"/>
      <c r="C806" s="16"/>
      <c r="D806" s="14"/>
      <c r="E806" s="14"/>
      <c r="F806" s="14"/>
      <c r="G806" s="14"/>
      <c r="H806" s="14"/>
    </row>
    <row r="807" ht="22.5" customHeight="1">
      <c r="A807" s="8"/>
      <c r="B807" s="8"/>
      <c r="C807" s="16"/>
      <c r="D807" s="14"/>
      <c r="E807" s="14"/>
      <c r="F807" s="14"/>
      <c r="G807" s="14"/>
      <c r="H807" s="14"/>
    </row>
    <row r="808" ht="22.5" customHeight="1">
      <c r="A808" s="8"/>
      <c r="B808" s="8"/>
      <c r="C808" s="16"/>
      <c r="D808" s="14"/>
      <c r="E808" s="14"/>
      <c r="F808" s="14"/>
      <c r="G808" s="14"/>
      <c r="H808" s="14"/>
    </row>
    <row r="809" ht="22.5" customHeight="1">
      <c r="A809" s="8"/>
      <c r="B809" s="8"/>
      <c r="C809" s="16"/>
      <c r="D809" s="14"/>
      <c r="E809" s="14"/>
      <c r="F809" s="14"/>
      <c r="G809" s="14"/>
      <c r="H809" s="14"/>
    </row>
    <row r="810" ht="22.5" customHeight="1">
      <c r="A810" s="8"/>
      <c r="B810" s="8"/>
      <c r="C810" s="16"/>
      <c r="D810" s="14"/>
      <c r="E810" s="14"/>
      <c r="F810" s="14"/>
      <c r="G810" s="14"/>
      <c r="H810" s="14"/>
    </row>
    <row r="811" ht="22.5" customHeight="1">
      <c r="A811" s="8"/>
      <c r="B811" s="8"/>
      <c r="C811" s="16"/>
      <c r="D811" s="14"/>
      <c r="E811" s="14"/>
      <c r="F811" s="14"/>
      <c r="G811" s="14"/>
      <c r="H811" s="14"/>
    </row>
    <row r="812" ht="22.5" customHeight="1">
      <c r="A812" s="8"/>
      <c r="B812" s="8"/>
      <c r="C812" s="16"/>
      <c r="D812" s="14"/>
      <c r="E812" s="14"/>
      <c r="F812" s="14"/>
      <c r="G812" s="14"/>
      <c r="H812" s="14"/>
    </row>
    <row r="813" ht="22.5" customHeight="1">
      <c r="A813" s="8"/>
      <c r="B813" s="8"/>
      <c r="C813" s="16"/>
      <c r="D813" s="14"/>
      <c r="E813" s="14"/>
      <c r="F813" s="14"/>
      <c r="G813" s="14"/>
      <c r="H813" s="14"/>
    </row>
    <row r="814" ht="22.5" customHeight="1">
      <c r="A814" s="8"/>
      <c r="B814" s="8"/>
      <c r="C814" s="16"/>
      <c r="D814" s="14"/>
      <c r="E814" s="14"/>
      <c r="F814" s="14"/>
      <c r="G814" s="14"/>
      <c r="H814" s="14"/>
    </row>
    <row r="815" ht="22.5" customHeight="1">
      <c r="A815" s="8"/>
      <c r="B815" s="8"/>
      <c r="C815" s="16"/>
      <c r="D815" s="14"/>
      <c r="E815" s="14"/>
      <c r="F815" s="14"/>
      <c r="G815" s="14"/>
      <c r="H815" s="14"/>
    </row>
    <row r="816" ht="22.5" customHeight="1">
      <c r="A816" s="8"/>
      <c r="B816" s="8"/>
      <c r="C816" s="16"/>
      <c r="D816" s="14"/>
      <c r="E816" s="14"/>
      <c r="F816" s="14"/>
      <c r="G816" s="14"/>
      <c r="H816" s="14"/>
    </row>
    <row r="817" ht="22.5" customHeight="1">
      <c r="A817" s="8"/>
      <c r="B817" s="8"/>
      <c r="C817" s="16"/>
      <c r="D817" s="14"/>
      <c r="E817" s="14"/>
      <c r="F817" s="14"/>
      <c r="G817" s="14"/>
      <c r="H817" s="14"/>
    </row>
    <row r="818" ht="22.5" customHeight="1">
      <c r="A818" s="8"/>
      <c r="B818" s="8"/>
      <c r="C818" s="16"/>
      <c r="D818" s="14"/>
      <c r="E818" s="14"/>
      <c r="F818" s="14"/>
      <c r="G818" s="14"/>
      <c r="H818" s="14"/>
    </row>
    <row r="819" ht="22.5" customHeight="1">
      <c r="A819" s="8"/>
      <c r="B819" s="8"/>
      <c r="C819" s="16"/>
      <c r="D819" s="14"/>
      <c r="E819" s="14"/>
      <c r="F819" s="14"/>
      <c r="G819" s="14"/>
      <c r="H819" s="14"/>
    </row>
    <row r="820" ht="22.5" customHeight="1">
      <c r="A820" s="8"/>
      <c r="B820" s="8"/>
      <c r="C820" s="16"/>
      <c r="D820" s="14"/>
      <c r="E820" s="14"/>
      <c r="F820" s="14"/>
      <c r="G820" s="14"/>
      <c r="H820" s="14"/>
    </row>
    <row r="821" ht="22.5" customHeight="1">
      <c r="A821" s="8"/>
      <c r="B821" s="8"/>
      <c r="C821" s="16"/>
      <c r="D821" s="14"/>
      <c r="E821" s="14"/>
      <c r="F821" s="14"/>
      <c r="G821" s="14"/>
      <c r="H821" s="14"/>
    </row>
    <row r="822" ht="22.5" customHeight="1">
      <c r="A822" s="8"/>
      <c r="B822" s="8"/>
      <c r="C822" s="16"/>
      <c r="D822" s="14"/>
      <c r="E822" s="14"/>
      <c r="F822" s="14"/>
      <c r="G822" s="14"/>
      <c r="H822" s="14"/>
    </row>
    <row r="823" ht="22.5" customHeight="1">
      <c r="A823" s="8"/>
      <c r="B823" s="8"/>
      <c r="C823" s="16"/>
      <c r="D823" s="14"/>
      <c r="E823" s="14"/>
      <c r="F823" s="14"/>
      <c r="G823" s="14"/>
      <c r="H823" s="14"/>
    </row>
    <row r="824" ht="22.5" customHeight="1">
      <c r="A824" s="8"/>
      <c r="B824" s="8"/>
      <c r="C824" s="16"/>
      <c r="D824" s="14"/>
      <c r="E824" s="14"/>
      <c r="F824" s="14"/>
      <c r="G824" s="14"/>
      <c r="H824" s="14"/>
    </row>
    <row r="825" ht="22.5" customHeight="1">
      <c r="A825" s="8"/>
      <c r="B825" s="8"/>
      <c r="C825" s="16"/>
      <c r="D825" s="14"/>
      <c r="E825" s="14"/>
      <c r="F825" s="14"/>
      <c r="G825" s="14"/>
      <c r="H825" s="14"/>
    </row>
    <row r="826" ht="22.5" customHeight="1">
      <c r="A826" s="8"/>
      <c r="B826" s="8"/>
      <c r="C826" s="16"/>
      <c r="D826" s="14"/>
      <c r="E826" s="14"/>
      <c r="F826" s="14"/>
      <c r="G826" s="14"/>
      <c r="H826" s="14"/>
    </row>
    <row r="827" ht="22.5" customHeight="1">
      <c r="A827" s="8"/>
      <c r="B827" s="8"/>
      <c r="C827" s="16"/>
      <c r="D827" s="14"/>
      <c r="E827" s="14"/>
      <c r="F827" s="14"/>
      <c r="G827" s="14"/>
      <c r="H827" s="14"/>
    </row>
    <row r="828" ht="22.5" customHeight="1">
      <c r="A828" s="8"/>
      <c r="B828" s="8"/>
      <c r="C828" s="16"/>
      <c r="D828" s="14"/>
      <c r="E828" s="14"/>
      <c r="F828" s="14"/>
      <c r="G828" s="14"/>
      <c r="H828" s="14"/>
    </row>
    <row r="829" ht="22.5" customHeight="1">
      <c r="A829" s="8"/>
      <c r="B829" s="8"/>
      <c r="C829" s="16"/>
      <c r="D829" s="14"/>
      <c r="E829" s="14"/>
      <c r="F829" s="14"/>
      <c r="G829" s="14"/>
      <c r="H829" s="14"/>
    </row>
    <row r="830" ht="22.5" customHeight="1">
      <c r="A830" s="8"/>
      <c r="B830" s="8"/>
      <c r="C830" s="16"/>
      <c r="D830" s="14"/>
      <c r="E830" s="14"/>
      <c r="F830" s="14"/>
      <c r="G830" s="14"/>
      <c r="H830" s="14"/>
    </row>
    <row r="831" ht="22.5" customHeight="1">
      <c r="A831" s="8"/>
      <c r="B831" s="8"/>
      <c r="C831" s="16"/>
      <c r="D831" s="14"/>
      <c r="E831" s="14"/>
      <c r="F831" s="14"/>
      <c r="G831" s="14"/>
      <c r="H831" s="14"/>
    </row>
    <row r="832" ht="22.5" customHeight="1">
      <c r="A832" s="8"/>
      <c r="B832" s="8"/>
      <c r="C832" s="16"/>
      <c r="D832" s="14"/>
      <c r="E832" s="14"/>
      <c r="F832" s="14"/>
      <c r="G832" s="14"/>
      <c r="H832" s="14"/>
    </row>
    <row r="833" ht="22.5" customHeight="1">
      <c r="A833" s="8"/>
      <c r="B833" s="8"/>
      <c r="C833" s="16"/>
      <c r="D833" s="14"/>
      <c r="E833" s="14"/>
      <c r="F833" s="14"/>
      <c r="G833" s="14"/>
      <c r="H833" s="14"/>
    </row>
    <row r="834" ht="22.5" customHeight="1">
      <c r="A834" s="8"/>
      <c r="B834" s="8"/>
      <c r="C834" s="16"/>
      <c r="D834" s="14"/>
      <c r="E834" s="14"/>
      <c r="F834" s="14"/>
      <c r="G834" s="14"/>
      <c r="H834" s="14"/>
    </row>
    <row r="835" ht="22.5" customHeight="1">
      <c r="A835" s="8"/>
      <c r="B835" s="8"/>
      <c r="C835" s="16"/>
      <c r="D835" s="14"/>
      <c r="E835" s="14"/>
      <c r="F835" s="14"/>
      <c r="G835" s="14"/>
      <c r="H835" s="14"/>
    </row>
    <row r="836" ht="22.5" customHeight="1">
      <c r="A836" s="8"/>
      <c r="B836" s="8"/>
      <c r="C836" s="16"/>
      <c r="D836" s="14"/>
      <c r="E836" s="14"/>
      <c r="F836" s="14"/>
      <c r="G836" s="14"/>
      <c r="H836" s="14"/>
    </row>
    <row r="837" ht="22.5" customHeight="1">
      <c r="A837" s="8"/>
      <c r="B837" s="8"/>
      <c r="C837" s="16"/>
      <c r="D837" s="14"/>
      <c r="E837" s="14"/>
      <c r="F837" s="14"/>
      <c r="G837" s="14"/>
      <c r="H837" s="14"/>
    </row>
    <row r="838" ht="22.5" customHeight="1">
      <c r="A838" s="8"/>
      <c r="B838" s="8"/>
      <c r="C838" s="16"/>
      <c r="D838" s="14"/>
      <c r="E838" s="14"/>
      <c r="F838" s="14"/>
      <c r="G838" s="14"/>
      <c r="H838" s="14"/>
    </row>
    <row r="839" ht="22.5" customHeight="1">
      <c r="A839" s="8"/>
      <c r="B839" s="8"/>
      <c r="C839" s="16"/>
      <c r="D839" s="14"/>
      <c r="E839" s="14"/>
      <c r="F839" s="14"/>
      <c r="G839" s="14"/>
      <c r="H839" s="14"/>
    </row>
    <row r="840" ht="22.5" customHeight="1">
      <c r="A840" s="8"/>
      <c r="B840" s="8"/>
      <c r="C840" s="16"/>
      <c r="D840" s="14"/>
      <c r="E840" s="14"/>
      <c r="F840" s="14"/>
      <c r="G840" s="14"/>
      <c r="H840" s="14"/>
    </row>
    <row r="841" ht="22.5" customHeight="1">
      <c r="A841" s="8"/>
      <c r="B841" s="8"/>
      <c r="C841" s="16"/>
      <c r="D841" s="14"/>
      <c r="E841" s="14"/>
      <c r="F841" s="14"/>
      <c r="G841" s="14"/>
      <c r="H841" s="14"/>
    </row>
    <row r="842" ht="22.5" customHeight="1">
      <c r="A842" s="8"/>
      <c r="B842" s="8"/>
      <c r="C842" s="16"/>
      <c r="D842" s="14"/>
      <c r="E842" s="14"/>
      <c r="F842" s="14"/>
      <c r="G842" s="14"/>
      <c r="H842" s="14"/>
    </row>
    <row r="843" ht="22.5" customHeight="1">
      <c r="A843" s="8"/>
      <c r="B843" s="8"/>
      <c r="C843" s="16"/>
      <c r="D843" s="14"/>
      <c r="E843" s="14"/>
      <c r="F843" s="14"/>
      <c r="G843" s="14"/>
      <c r="H843" s="14"/>
    </row>
    <row r="844" ht="22.5" customHeight="1">
      <c r="A844" s="8"/>
      <c r="B844" s="8"/>
      <c r="C844" s="16"/>
      <c r="D844" s="14"/>
      <c r="E844" s="14"/>
      <c r="F844" s="14"/>
      <c r="G844" s="14"/>
      <c r="H844" s="14"/>
    </row>
    <row r="845" ht="22.5" customHeight="1">
      <c r="A845" s="8"/>
      <c r="B845" s="8"/>
      <c r="C845" s="16"/>
      <c r="D845" s="14"/>
      <c r="E845" s="14"/>
      <c r="F845" s="14"/>
      <c r="G845" s="14"/>
      <c r="H845" s="14"/>
    </row>
    <row r="846" ht="22.5" customHeight="1">
      <c r="A846" s="8"/>
      <c r="B846" s="8"/>
      <c r="C846" s="16"/>
      <c r="D846" s="14"/>
      <c r="E846" s="14"/>
      <c r="F846" s="14"/>
      <c r="G846" s="14"/>
      <c r="H846" s="14"/>
    </row>
    <row r="847" ht="22.5" customHeight="1">
      <c r="A847" s="8"/>
      <c r="B847" s="8"/>
      <c r="C847" s="16"/>
      <c r="D847" s="14"/>
      <c r="E847" s="14"/>
      <c r="F847" s="14"/>
      <c r="G847" s="14"/>
      <c r="H847" s="14"/>
    </row>
    <row r="848" ht="22.5" customHeight="1">
      <c r="A848" s="8"/>
      <c r="B848" s="8"/>
      <c r="C848" s="16"/>
      <c r="D848" s="14"/>
      <c r="E848" s="14"/>
      <c r="F848" s="14"/>
      <c r="G848" s="14"/>
      <c r="H848" s="14"/>
    </row>
    <row r="849" ht="22.5" customHeight="1">
      <c r="A849" s="8"/>
      <c r="B849" s="8"/>
      <c r="C849" s="16"/>
      <c r="D849" s="14"/>
      <c r="E849" s="14"/>
      <c r="F849" s="14"/>
      <c r="G849" s="14"/>
      <c r="H849" s="14"/>
    </row>
    <row r="850" ht="22.5" customHeight="1">
      <c r="A850" s="8"/>
      <c r="B850" s="8"/>
      <c r="C850" s="16"/>
      <c r="D850" s="14"/>
      <c r="E850" s="14"/>
      <c r="F850" s="14"/>
      <c r="G850" s="14"/>
      <c r="H850" s="14"/>
    </row>
    <row r="851" ht="22.5" customHeight="1">
      <c r="A851" s="8"/>
      <c r="B851" s="8"/>
      <c r="C851" s="16"/>
      <c r="D851" s="14"/>
      <c r="E851" s="14"/>
      <c r="F851" s="14"/>
      <c r="G851" s="14"/>
      <c r="H851" s="14"/>
    </row>
    <row r="852" ht="22.5" customHeight="1">
      <c r="A852" s="8"/>
      <c r="B852" s="8"/>
      <c r="C852" s="16"/>
      <c r="D852" s="14"/>
      <c r="E852" s="14"/>
      <c r="F852" s="14"/>
      <c r="G852" s="14"/>
      <c r="H852" s="14"/>
    </row>
    <row r="853" ht="22.5" customHeight="1">
      <c r="A853" s="8"/>
      <c r="B853" s="8"/>
      <c r="C853" s="16"/>
      <c r="D853" s="14"/>
      <c r="E853" s="14"/>
      <c r="F853" s="14"/>
      <c r="G853" s="14"/>
      <c r="H853" s="14"/>
    </row>
    <row r="854" ht="22.5" customHeight="1">
      <c r="A854" s="8"/>
      <c r="B854" s="8"/>
      <c r="C854" s="16"/>
      <c r="D854" s="14"/>
      <c r="E854" s="14"/>
      <c r="F854" s="14"/>
      <c r="G854" s="14"/>
      <c r="H854" s="14"/>
    </row>
    <row r="855" ht="22.5" customHeight="1">
      <c r="A855" s="8"/>
      <c r="B855" s="8"/>
      <c r="C855" s="16"/>
      <c r="D855" s="14"/>
      <c r="E855" s="14"/>
      <c r="F855" s="14"/>
      <c r="G855" s="14"/>
      <c r="H855" s="14"/>
    </row>
    <row r="856" ht="22.5" customHeight="1">
      <c r="A856" s="8"/>
      <c r="B856" s="8"/>
      <c r="C856" s="16"/>
      <c r="D856" s="14"/>
      <c r="E856" s="14"/>
      <c r="F856" s="14"/>
      <c r="G856" s="14"/>
      <c r="H856" s="14"/>
    </row>
    <row r="857" ht="22.5" customHeight="1">
      <c r="A857" s="8"/>
      <c r="B857" s="8"/>
      <c r="C857" s="16"/>
      <c r="D857" s="14"/>
      <c r="E857" s="14"/>
      <c r="F857" s="14"/>
      <c r="G857" s="14"/>
      <c r="H857" s="14"/>
    </row>
    <row r="858" ht="22.5" customHeight="1">
      <c r="A858" s="8"/>
      <c r="B858" s="8"/>
      <c r="C858" s="16"/>
      <c r="D858" s="14"/>
      <c r="E858" s="14"/>
      <c r="F858" s="14"/>
      <c r="G858" s="14"/>
      <c r="H858" s="14"/>
    </row>
    <row r="859" ht="22.5" customHeight="1">
      <c r="A859" s="8"/>
      <c r="B859" s="8"/>
      <c r="C859" s="16"/>
      <c r="D859" s="14"/>
      <c r="E859" s="14"/>
      <c r="F859" s="14"/>
      <c r="G859" s="14"/>
      <c r="H859" s="14"/>
    </row>
    <row r="860" ht="22.5" customHeight="1">
      <c r="A860" s="8"/>
      <c r="B860" s="8"/>
      <c r="C860" s="16"/>
      <c r="D860" s="14"/>
      <c r="E860" s="14"/>
      <c r="F860" s="14"/>
      <c r="G860" s="14"/>
      <c r="H860" s="14"/>
    </row>
    <row r="861" ht="22.5" customHeight="1">
      <c r="A861" s="8"/>
      <c r="B861" s="8"/>
      <c r="C861" s="16"/>
      <c r="D861" s="14"/>
      <c r="E861" s="14"/>
      <c r="F861" s="14"/>
      <c r="G861" s="14"/>
      <c r="H861" s="14"/>
    </row>
    <row r="862" ht="22.5" customHeight="1">
      <c r="A862" s="8"/>
      <c r="B862" s="8"/>
      <c r="C862" s="16"/>
      <c r="D862" s="14"/>
      <c r="E862" s="14"/>
      <c r="F862" s="14"/>
      <c r="G862" s="14"/>
      <c r="H862" s="14"/>
    </row>
    <row r="863" ht="22.5" customHeight="1">
      <c r="A863" s="8"/>
      <c r="B863" s="8"/>
      <c r="C863" s="16"/>
      <c r="D863" s="14"/>
      <c r="E863" s="14"/>
      <c r="F863" s="14"/>
      <c r="G863" s="14"/>
      <c r="H863" s="14"/>
    </row>
    <row r="864" ht="22.5" customHeight="1">
      <c r="A864" s="8"/>
      <c r="B864" s="8"/>
      <c r="C864" s="16"/>
      <c r="D864" s="14"/>
      <c r="E864" s="14"/>
      <c r="F864" s="14"/>
      <c r="G864" s="14"/>
      <c r="H864" s="14"/>
    </row>
    <row r="865" ht="22.5" customHeight="1">
      <c r="A865" s="8"/>
      <c r="B865" s="8"/>
      <c r="C865" s="16"/>
      <c r="D865" s="14"/>
      <c r="E865" s="14"/>
      <c r="F865" s="14"/>
      <c r="G865" s="14"/>
      <c r="H865" s="14"/>
    </row>
    <row r="866" ht="22.5" customHeight="1">
      <c r="A866" s="8"/>
      <c r="B866" s="8"/>
      <c r="C866" s="16"/>
      <c r="D866" s="14"/>
      <c r="E866" s="14"/>
      <c r="F866" s="14"/>
      <c r="G866" s="14"/>
      <c r="H866" s="14"/>
    </row>
    <row r="867" ht="22.5" customHeight="1">
      <c r="A867" s="8"/>
      <c r="B867" s="8"/>
      <c r="C867" s="16"/>
      <c r="D867" s="14"/>
      <c r="E867" s="14"/>
      <c r="F867" s="14"/>
      <c r="G867" s="14"/>
      <c r="H867" s="14"/>
    </row>
    <row r="868" ht="22.5" customHeight="1">
      <c r="A868" s="8"/>
      <c r="B868" s="8"/>
      <c r="C868" s="16"/>
      <c r="D868" s="14"/>
      <c r="E868" s="14"/>
      <c r="F868" s="14"/>
      <c r="G868" s="14"/>
      <c r="H868" s="14"/>
    </row>
    <row r="869" ht="22.5" customHeight="1">
      <c r="A869" s="8"/>
      <c r="B869" s="8"/>
      <c r="C869" s="16"/>
      <c r="D869" s="14"/>
      <c r="E869" s="14"/>
      <c r="F869" s="14"/>
      <c r="G869" s="14"/>
      <c r="H869" s="14"/>
    </row>
    <row r="870" ht="22.5" customHeight="1">
      <c r="A870" s="8"/>
      <c r="B870" s="8"/>
      <c r="C870" s="16"/>
      <c r="D870" s="14"/>
      <c r="E870" s="14"/>
      <c r="F870" s="14"/>
      <c r="G870" s="14"/>
      <c r="H870" s="14"/>
    </row>
    <row r="871" ht="22.5" customHeight="1">
      <c r="A871" s="8"/>
      <c r="B871" s="8"/>
      <c r="C871" s="16"/>
      <c r="D871" s="14"/>
      <c r="E871" s="14"/>
      <c r="F871" s="14"/>
      <c r="G871" s="14"/>
      <c r="H871" s="14"/>
    </row>
    <row r="872" ht="22.5" customHeight="1">
      <c r="A872" s="8"/>
      <c r="B872" s="8"/>
      <c r="C872" s="16"/>
      <c r="D872" s="14"/>
      <c r="E872" s="14"/>
      <c r="F872" s="14"/>
      <c r="G872" s="14"/>
      <c r="H872" s="14"/>
    </row>
    <row r="873" ht="22.5" customHeight="1">
      <c r="A873" s="8"/>
      <c r="B873" s="8"/>
      <c r="C873" s="16"/>
      <c r="D873" s="14"/>
      <c r="E873" s="14"/>
      <c r="F873" s="14"/>
      <c r="G873" s="14"/>
      <c r="H873" s="14"/>
    </row>
    <row r="874" ht="22.5" customHeight="1">
      <c r="A874" s="8"/>
      <c r="B874" s="8"/>
      <c r="C874" s="16"/>
      <c r="D874" s="14"/>
      <c r="E874" s="14"/>
      <c r="F874" s="14"/>
      <c r="G874" s="14"/>
      <c r="H874" s="14"/>
    </row>
    <row r="875" ht="22.5" customHeight="1">
      <c r="A875" s="8"/>
      <c r="B875" s="8"/>
      <c r="C875" s="16"/>
      <c r="D875" s="14"/>
      <c r="E875" s="14"/>
      <c r="F875" s="14"/>
      <c r="G875" s="14"/>
      <c r="H875" s="14"/>
    </row>
    <row r="876" ht="22.5" customHeight="1">
      <c r="A876" s="8"/>
      <c r="B876" s="8"/>
      <c r="C876" s="16"/>
      <c r="D876" s="14"/>
      <c r="E876" s="14"/>
      <c r="F876" s="14"/>
      <c r="G876" s="14"/>
      <c r="H876" s="14"/>
    </row>
    <row r="877" ht="22.5" customHeight="1">
      <c r="A877" s="8"/>
      <c r="B877" s="8"/>
      <c r="C877" s="16"/>
      <c r="D877" s="14"/>
      <c r="E877" s="14"/>
      <c r="F877" s="14"/>
      <c r="G877" s="14"/>
      <c r="H877" s="14"/>
    </row>
    <row r="878" ht="22.5" customHeight="1">
      <c r="A878" s="8"/>
      <c r="B878" s="8"/>
      <c r="C878" s="16"/>
      <c r="D878" s="14"/>
      <c r="E878" s="14"/>
      <c r="F878" s="14"/>
      <c r="G878" s="14"/>
      <c r="H878" s="14"/>
    </row>
    <row r="879" ht="22.5" customHeight="1">
      <c r="A879" s="8"/>
      <c r="B879" s="8"/>
      <c r="C879" s="16"/>
      <c r="D879" s="14"/>
      <c r="E879" s="14"/>
      <c r="F879" s="14"/>
      <c r="G879" s="14"/>
      <c r="H879" s="14"/>
    </row>
    <row r="880" ht="22.5" customHeight="1">
      <c r="A880" s="8"/>
      <c r="B880" s="8"/>
      <c r="C880" s="16"/>
      <c r="D880" s="14"/>
      <c r="E880" s="14"/>
      <c r="F880" s="14"/>
      <c r="G880" s="14"/>
      <c r="H880" s="14"/>
    </row>
    <row r="881" ht="22.5" customHeight="1">
      <c r="A881" s="8"/>
      <c r="B881" s="8"/>
      <c r="C881" s="16"/>
      <c r="D881" s="14"/>
      <c r="E881" s="14"/>
      <c r="F881" s="14"/>
      <c r="G881" s="14"/>
      <c r="H881" s="14"/>
    </row>
    <row r="882" ht="22.5" customHeight="1">
      <c r="A882" s="8"/>
      <c r="B882" s="8"/>
      <c r="C882" s="16"/>
      <c r="D882" s="14"/>
      <c r="E882" s="14"/>
      <c r="F882" s="14"/>
      <c r="G882" s="14"/>
      <c r="H882" s="14"/>
    </row>
    <row r="883" ht="22.5" customHeight="1">
      <c r="A883" s="8"/>
      <c r="B883" s="8"/>
      <c r="C883" s="16"/>
      <c r="D883" s="14"/>
      <c r="E883" s="14"/>
      <c r="F883" s="14"/>
      <c r="G883" s="14"/>
      <c r="H883" s="14"/>
    </row>
    <row r="884" ht="22.5" customHeight="1">
      <c r="A884" s="8"/>
      <c r="B884" s="8"/>
      <c r="C884" s="16"/>
      <c r="D884" s="14"/>
      <c r="E884" s="14"/>
      <c r="F884" s="14"/>
      <c r="G884" s="14"/>
      <c r="H884" s="14"/>
    </row>
    <row r="885" ht="22.5" customHeight="1">
      <c r="A885" s="8"/>
      <c r="B885" s="8"/>
      <c r="C885" s="16"/>
      <c r="D885" s="14"/>
      <c r="E885" s="14"/>
      <c r="F885" s="14"/>
      <c r="G885" s="14"/>
      <c r="H885" s="14"/>
    </row>
    <row r="886" ht="22.5" customHeight="1">
      <c r="A886" s="8"/>
      <c r="B886" s="8"/>
      <c r="C886" s="16"/>
      <c r="D886" s="14"/>
      <c r="E886" s="14"/>
      <c r="F886" s="14"/>
      <c r="G886" s="14"/>
      <c r="H886" s="14"/>
    </row>
    <row r="887" ht="22.5" customHeight="1">
      <c r="A887" s="8"/>
      <c r="B887" s="8"/>
      <c r="C887" s="16"/>
      <c r="D887" s="14"/>
      <c r="E887" s="14"/>
      <c r="F887" s="14"/>
      <c r="G887" s="14"/>
      <c r="H887" s="14"/>
    </row>
    <row r="888" ht="22.5" customHeight="1">
      <c r="A888" s="8"/>
      <c r="B888" s="8"/>
      <c r="C888" s="16"/>
      <c r="D888" s="14"/>
      <c r="E888" s="14"/>
      <c r="F888" s="14"/>
      <c r="G888" s="14"/>
      <c r="H888" s="14"/>
    </row>
    <row r="889" ht="22.5" customHeight="1">
      <c r="A889" s="8"/>
      <c r="B889" s="8"/>
      <c r="C889" s="16"/>
      <c r="D889" s="14"/>
      <c r="E889" s="14"/>
      <c r="F889" s="14"/>
      <c r="G889" s="14"/>
      <c r="H889" s="14"/>
    </row>
    <row r="890" ht="22.5" customHeight="1">
      <c r="A890" s="8"/>
      <c r="B890" s="8"/>
      <c r="C890" s="16"/>
      <c r="D890" s="14"/>
      <c r="E890" s="14"/>
      <c r="F890" s="14"/>
      <c r="G890" s="14"/>
      <c r="H890" s="14"/>
    </row>
    <row r="891" ht="22.5" customHeight="1">
      <c r="A891" s="8"/>
      <c r="B891" s="8"/>
      <c r="C891" s="16"/>
      <c r="D891" s="14"/>
      <c r="E891" s="14"/>
      <c r="F891" s="14"/>
      <c r="G891" s="14"/>
      <c r="H891" s="14"/>
    </row>
    <row r="892" ht="22.5" customHeight="1">
      <c r="A892" s="8"/>
      <c r="B892" s="8"/>
      <c r="C892" s="16"/>
      <c r="D892" s="14"/>
      <c r="E892" s="14"/>
      <c r="F892" s="14"/>
      <c r="G892" s="14"/>
      <c r="H892" s="14"/>
    </row>
    <row r="893" ht="22.5" customHeight="1">
      <c r="A893" s="8"/>
      <c r="B893" s="8"/>
      <c r="C893" s="16"/>
      <c r="D893" s="14"/>
      <c r="E893" s="14"/>
      <c r="F893" s="14"/>
      <c r="G893" s="14"/>
      <c r="H893" s="14"/>
    </row>
    <row r="894" ht="22.5" customHeight="1">
      <c r="A894" s="8"/>
      <c r="B894" s="8"/>
      <c r="C894" s="16"/>
      <c r="D894" s="14"/>
      <c r="E894" s="14"/>
      <c r="F894" s="14"/>
      <c r="G894" s="14"/>
      <c r="H894" s="14"/>
    </row>
    <row r="895" ht="22.5" customHeight="1">
      <c r="A895" s="8"/>
      <c r="B895" s="8"/>
      <c r="C895" s="16"/>
      <c r="D895" s="14"/>
      <c r="E895" s="14"/>
      <c r="F895" s="14"/>
      <c r="G895" s="14"/>
      <c r="H895" s="14"/>
    </row>
    <row r="896" ht="22.5" customHeight="1">
      <c r="A896" s="8"/>
      <c r="B896" s="8"/>
      <c r="C896" s="16"/>
      <c r="D896" s="14"/>
      <c r="E896" s="14"/>
      <c r="F896" s="14"/>
      <c r="G896" s="14"/>
      <c r="H896" s="14"/>
    </row>
    <row r="897" ht="22.5" customHeight="1">
      <c r="A897" s="8"/>
      <c r="B897" s="8"/>
      <c r="C897" s="16"/>
      <c r="D897" s="14"/>
      <c r="E897" s="14"/>
      <c r="F897" s="14"/>
      <c r="G897" s="14"/>
      <c r="H897" s="14"/>
    </row>
    <row r="898" ht="22.5" customHeight="1">
      <c r="A898" s="8"/>
      <c r="B898" s="8"/>
      <c r="C898" s="16"/>
      <c r="D898" s="14"/>
      <c r="E898" s="14"/>
      <c r="F898" s="14"/>
      <c r="G898" s="14"/>
      <c r="H898" s="14"/>
    </row>
    <row r="899" ht="22.5" customHeight="1">
      <c r="A899" s="8"/>
      <c r="B899" s="8"/>
      <c r="C899" s="16"/>
      <c r="D899" s="14"/>
      <c r="E899" s="14"/>
      <c r="F899" s="14"/>
      <c r="G899" s="14"/>
      <c r="H899" s="14"/>
    </row>
    <row r="900" ht="22.5" customHeight="1">
      <c r="A900" s="8"/>
      <c r="B900" s="8"/>
      <c r="C900" s="16"/>
      <c r="D900" s="14"/>
      <c r="E900" s="14"/>
      <c r="F900" s="14"/>
      <c r="G900" s="14"/>
      <c r="H900" s="14"/>
    </row>
    <row r="901" ht="22.5" customHeight="1">
      <c r="A901" s="8"/>
      <c r="B901" s="8"/>
      <c r="C901" s="16"/>
      <c r="D901" s="14"/>
      <c r="E901" s="14"/>
      <c r="F901" s="14"/>
      <c r="G901" s="14"/>
      <c r="H901" s="14"/>
    </row>
    <row r="902" ht="22.5" customHeight="1">
      <c r="A902" s="8"/>
      <c r="B902" s="8"/>
      <c r="C902" s="16"/>
      <c r="D902" s="14"/>
      <c r="E902" s="14"/>
      <c r="F902" s="14"/>
      <c r="G902" s="14"/>
      <c r="H902" s="14"/>
    </row>
    <row r="903" ht="22.5" customHeight="1">
      <c r="A903" s="8"/>
      <c r="B903" s="8"/>
      <c r="C903" s="16"/>
      <c r="D903" s="14"/>
      <c r="E903" s="14"/>
      <c r="F903" s="14"/>
      <c r="G903" s="14"/>
      <c r="H903" s="14"/>
    </row>
    <row r="904" ht="22.5" customHeight="1">
      <c r="A904" s="8"/>
      <c r="B904" s="8"/>
      <c r="C904" s="16"/>
      <c r="D904" s="14"/>
      <c r="E904" s="14"/>
      <c r="F904" s="14"/>
      <c r="G904" s="14"/>
      <c r="H904" s="14"/>
    </row>
    <row r="905" ht="22.5" customHeight="1">
      <c r="A905" s="8"/>
      <c r="B905" s="8"/>
      <c r="C905" s="16"/>
      <c r="D905" s="14"/>
      <c r="E905" s="14"/>
      <c r="F905" s="14"/>
      <c r="G905" s="14"/>
      <c r="H905" s="14"/>
    </row>
    <row r="906" ht="22.5" customHeight="1">
      <c r="A906" s="8"/>
      <c r="B906" s="8"/>
      <c r="C906" s="16"/>
      <c r="D906" s="14"/>
      <c r="E906" s="14"/>
      <c r="F906" s="14"/>
      <c r="G906" s="14"/>
      <c r="H906" s="14"/>
    </row>
    <row r="907" ht="22.5" customHeight="1">
      <c r="A907" s="8"/>
      <c r="B907" s="8"/>
      <c r="C907" s="16"/>
      <c r="D907" s="14"/>
      <c r="E907" s="14"/>
      <c r="F907" s="14"/>
      <c r="G907" s="14"/>
      <c r="H907" s="14"/>
    </row>
    <row r="908" ht="22.5" customHeight="1">
      <c r="A908" s="8"/>
      <c r="B908" s="8"/>
      <c r="C908" s="16"/>
      <c r="D908" s="14"/>
      <c r="E908" s="14"/>
      <c r="F908" s="14"/>
      <c r="G908" s="14"/>
      <c r="H908" s="14"/>
    </row>
    <row r="909" ht="22.5" customHeight="1">
      <c r="A909" s="8"/>
      <c r="B909" s="8"/>
      <c r="C909" s="16"/>
      <c r="D909" s="14"/>
      <c r="E909" s="14"/>
      <c r="F909" s="14"/>
      <c r="G909" s="14"/>
      <c r="H909" s="14"/>
    </row>
    <row r="910" ht="22.5" customHeight="1">
      <c r="A910" s="8"/>
      <c r="B910" s="8"/>
      <c r="C910" s="16"/>
      <c r="D910" s="14"/>
      <c r="E910" s="14"/>
      <c r="F910" s="14"/>
      <c r="G910" s="14"/>
      <c r="H910" s="14"/>
    </row>
    <row r="911" ht="22.5" customHeight="1">
      <c r="A911" s="8"/>
      <c r="B911" s="8"/>
      <c r="C911" s="16"/>
      <c r="D911" s="14"/>
      <c r="E911" s="14"/>
      <c r="F911" s="14"/>
      <c r="G911" s="14"/>
      <c r="H911" s="14"/>
    </row>
    <row r="912" ht="22.5" customHeight="1">
      <c r="A912" s="8"/>
      <c r="B912" s="8"/>
      <c r="C912" s="16"/>
      <c r="D912" s="14"/>
      <c r="E912" s="14"/>
      <c r="F912" s="14"/>
      <c r="G912" s="14"/>
      <c r="H912" s="14"/>
    </row>
    <row r="913" ht="22.5" customHeight="1">
      <c r="A913" s="8"/>
      <c r="B913" s="8"/>
      <c r="C913" s="16"/>
      <c r="D913" s="14"/>
      <c r="E913" s="14"/>
      <c r="F913" s="14"/>
      <c r="G913" s="14"/>
      <c r="H913" s="14"/>
    </row>
    <row r="914" ht="22.5" customHeight="1">
      <c r="A914" s="8"/>
      <c r="B914" s="8"/>
      <c r="C914" s="16"/>
      <c r="D914" s="14"/>
      <c r="E914" s="14"/>
      <c r="F914" s="14"/>
      <c r="G914" s="14"/>
      <c r="H914" s="14"/>
    </row>
    <row r="915" ht="22.5" customHeight="1">
      <c r="A915" s="8"/>
      <c r="B915" s="8"/>
      <c r="C915" s="16"/>
      <c r="D915" s="14"/>
      <c r="E915" s="14"/>
      <c r="F915" s="14"/>
      <c r="G915" s="14"/>
      <c r="H915" s="14"/>
    </row>
    <row r="916" ht="22.5" customHeight="1">
      <c r="A916" s="8"/>
      <c r="B916" s="8"/>
      <c r="C916" s="16"/>
      <c r="D916" s="14"/>
      <c r="E916" s="14"/>
      <c r="F916" s="14"/>
      <c r="G916" s="14"/>
      <c r="H916" s="14"/>
    </row>
    <row r="917" ht="22.5" customHeight="1">
      <c r="A917" s="8"/>
      <c r="B917" s="8"/>
      <c r="C917" s="16"/>
      <c r="D917" s="14"/>
      <c r="E917" s="14"/>
      <c r="F917" s="14"/>
      <c r="G917" s="14"/>
      <c r="H917" s="14"/>
    </row>
    <row r="918" ht="22.5" customHeight="1">
      <c r="A918" s="8"/>
      <c r="B918" s="8"/>
      <c r="C918" s="16"/>
      <c r="D918" s="14"/>
      <c r="E918" s="14"/>
      <c r="F918" s="14"/>
      <c r="G918" s="14"/>
      <c r="H918" s="14"/>
    </row>
    <row r="919" ht="22.5" customHeight="1">
      <c r="A919" s="8"/>
      <c r="B919" s="8"/>
      <c r="C919" s="16"/>
      <c r="D919" s="14"/>
      <c r="E919" s="14"/>
      <c r="F919" s="14"/>
      <c r="G919" s="14"/>
      <c r="H919" s="14"/>
    </row>
    <row r="920" ht="22.5" customHeight="1">
      <c r="A920" s="8"/>
      <c r="B920" s="8"/>
      <c r="C920" s="16"/>
      <c r="D920" s="14"/>
      <c r="E920" s="14"/>
      <c r="F920" s="14"/>
      <c r="G920" s="14"/>
      <c r="H920" s="14"/>
    </row>
    <row r="921" ht="22.5" customHeight="1">
      <c r="A921" s="8"/>
      <c r="B921" s="8"/>
      <c r="C921" s="16"/>
      <c r="D921" s="14"/>
      <c r="E921" s="14"/>
      <c r="F921" s="14"/>
      <c r="G921" s="14"/>
      <c r="H921" s="14"/>
    </row>
    <row r="922" ht="22.5" customHeight="1">
      <c r="A922" s="8"/>
      <c r="B922" s="8"/>
      <c r="C922" s="16"/>
      <c r="D922" s="14"/>
      <c r="E922" s="14"/>
      <c r="F922" s="14"/>
      <c r="G922" s="14"/>
      <c r="H922" s="14"/>
    </row>
    <row r="923" ht="22.5" customHeight="1">
      <c r="A923" s="8"/>
      <c r="B923" s="8"/>
      <c r="C923" s="16"/>
      <c r="D923" s="14"/>
      <c r="E923" s="14"/>
      <c r="F923" s="14"/>
      <c r="G923" s="14"/>
      <c r="H923" s="14"/>
    </row>
    <row r="924" ht="22.5" customHeight="1">
      <c r="A924" s="8"/>
      <c r="B924" s="8"/>
      <c r="C924" s="16"/>
      <c r="D924" s="14"/>
      <c r="E924" s="14"/>
      <c r="F924" s="14"/>
      <c r="G924" s="14"/>
      <c r="H924" s="14"/>
    </row>
    <row r="925" ht="22.5" customHeight="1">
      <c r="A925" s="8"/>
      <c r="B925" s="8"/>
      <c r="C925" s="16"/>
      <c r="D925" s="14"/>
      <c r="E925" s="14"/>
      <c r="F925" s="14"/>
      <c r="G925" s="14"/>
      <c r="H925" s="14"/>
    </row>
    <row r="926" ht="22.5" customHeight="1">
      <c r="A926" s="8"/>
      <c r="B926" s="8"/>
      <c r="C926" s="16"/>
      <c r="D926" s="14"/>
      <c r="E926" s="14"/>
      <c r="F926" s="14"/>
      <c r="G926" s="14"/>
      <c r="H926" s="14"/>
    </row>
    <row r="927" ht="22.5" customHeight="1">
      <c r="A927" s="8"/>
      <c r="B927" s="8"/>
      <c r="C927" s="16"/>
      <c r="D927" s="14"/>
      <c r="E927" s="14"/>
      <c r="F927" s="14"/>
      <c r="G927" s="14"/>
      <c r="H927" s="14"/>
    </row>
    <row r="928" ht="22.5" customHeight="1">
      <c r="A928" s="8"/>
      <c r="B928" s="8"/>
      <c r="C928" s="16"/>
      <c r="D928" s="14"/>
      <c r="E928" s="14"/>
      <c r="F928" s="14"/>
      <c r="G928" s="14"/>
      <c r="H928" s="14"/>
    </row>
    <row r="929" ht="22.5" customHeight="1">
      <c r="A929" s="8"/>
      <c r="B929" s="8"/>
      <c r="C929" s="16"/>
      <c r="D929" s="14"/>
      <c r="E929" s="14"/>
      <c r="F929" s="14"/>
      <c r="G929" s="14"/>
      <c r="H929" s="14"/>
    </row>
    <row r="930" ht="22.5" customHeight="1">
      <c r="A930" s="8"/>
      <c r="B930" s="8"/>
      <c r="C930" s="16"/>
      <c r="D930" s="14"/>
      <c r="E930" s="14"/>
      <c r="F930" s="14"/>
      <c r="G930" s="14"/>
      <c r="H930" s="14"/>
    </row>
    <row r="931" ht="22.5" customHeight="1">
      <c r="A931" s="8"/>
      <c r="B931" s="8"/>
      <c r="C931" s="16"/>
      <c r="D931" s="14"/>
      <c r="E931" s="14"/>
      <c r="F931" s="14"/>
      <c r="G931" s="14"/>
      <c r="H931" s="14"/>
    </row>
    <row r="932" ht="22.5" customHeight="1">
      <c r="A932" s="8"/>
      <c r="B932" s="8"/>
      <c r="C932" s="16"/>
      <c r="D932" s="14"/>
      <c r="E932" s="14"/>
      <c r="F932" s="14"/>
      <c r="G932" s="14"/>
      <c r="H932" s="14"/>
    </row>
    <row r="933" ht="22.5" customHeight="1">
      <c r="A933" s="8"/>
      <c r="B933" s="8"/>
      <c r="C933" s="16"/>
      <c r="D933" s="14"/>
      <c r="E933" s="14"/>
      <c r="F933" s="14"/>
      <c r="G933" s="14"/>
      <c r="H933" s="14"/>
    </row>
    <row r="934" ht="22.5" customHeight="1">
      <c r="A934" s="8"/>
      <c r="B934" s="8"/>
      <c r="C934" s="16"/>
      <c r="D934" s="14"/>
      <c r="E934" s="14"/>
      <c r="F934" s="14"/>
      <c r="G934" s="14"/>
      <c r="H934" s="14"/>
    </row>
    <row r="935" ht="22.5" customHeight="1">
      <c r="A935" s="8"/>
      <c r="B935" s="8"/>
      <c r="C935" s="16"/>
      <c r="D935" s="14"/>
      <c r="E935" s="14"/>
      <c r="F935" s="14"/>
      <c r="G935" s="14"/>
      <c r="H935" s="14"/>
    </row>
    <row r="936" ht="22.5" customHeight="1">
      <c r="A936" s="8"/>
      <c r="B936" s="8"/>
      <c r="C936" s="16"/>
      <c r="D936" s="14"/>
      <c r="E936" s="14"/>
      <c r="F936" s="14"/>
      <c r="G936" s="14"/>
      <c r="H936" s="14"/>
    </row>
    <row r="937" ht="22.5" customHeight="1">
      <c r="A937" s="8"/>
      <c r="B937" s="8"/>
      <c r="C937" s="16"/>
      <c r="D937" s="14"/>
      <c r="E937" s="14"/>
      <c r="F937" s="14"/>
      <c r="G937" s="14"/>
      <c r="H937" s="14"/>
    </row>
    <row r="938" ht="22.5" customHeight="1">
      <c r="A938" s="8"/>
      <c r="B938" s="8"/>
      <c r="C938" s="16"/>
      <c r="D938" s="14"/>
      <c r="E938" s="14"/>
      <c r="F938" s="14"/>
      <c r="G938" s="14"/>
      <c r="H938" s="14"/>
    </row>
    <row r="939" ht="22.5" customHeight="1">
      <c r="A939" s="8"/>
      <c r="B939" s="8"/>
      <c r="C939" s="16"/>
      <c r="D939" s="14"/>
      <c r="E939" s="14"/>
      <c r="F939" s="14"/>
      <c r="G939" s="14"/>
      <c r="H939" s="14"/>
    </row>
    <row r="940" ht="22.5" customHeight="1">
      <c r="A940" s="8"/>
      <c r="B940" s="8"/>
      <c r="C940" s="16"/>
      <c r="D940" s="14"/>
      <c r="E940" s="14"/>
      <c r="F940" s="14"/>
      <c r="G940" s="14"/>
      <c r="H940" s="14"/>
    </row>
    <row r="941" ht="22.5" customHeight="1">
      <c r="A941" s="8"/>
      <c r="B941" s="8"/>
      <c r="C941" s="16"/>
      <c r="D941" s="14"/>
      <c r="E941" s="14"/>
      <c r="F941" s="14"/>
      <c r="G941" s="14"/>
      <c r="H941" s="14"/>
    </row>
    <row r="942" ht="22.5" customHeight="1">
      <c r="A942" s="8"/>
      <c r="B942" s="8"/>
      <c r="C942" s="16"/>
      <c r="D942" s="14"/>
      <c r="E942" s="14"/>
      <c r="F942" s="14"/>
      <c r="G942" s="14"/>
      <c r="H942" s="14"/>
    </row>
    <row r="943" ht="22.5" customHeight="1">
      <c r="A943" s="8"/>
      <c r="B943" s="8"/>
      <c r="C943" s="16"/>
      <c r="D943" s="14"/>
      <c r="E943" s="14"/>
      <c r="F943" s="14"/>
      <c r="G943" s="14"/>
      <c r="H943" s="14"/>
    </row>
    <row r="944" ht="22.5" customHeight="1">
      <c r="A944" s="8"/>
      <c r="B944" s="8"/>
      <c r="C944" s="16"/>
      <c r="D944" s="14"/>
      <c r="E944" s="14"/>
      <c r="F944" s="14"/>
      <c r="G944" s="14"/>
      <c r="H944" s="14"/>
    </row>
    <row r="945" ht="22.5" customHeight="1">
      <c r="A945" s="8"/>
      <c r="B945" s="8"/>
      <c r="C945" s="16"/>
      <c r="D945" s="14"/>
      <c r="E945" s="14"/>
      <c r="F945" s="14"/>
      <c r="G945" s="14"/>
      <c r="H945" s="14"/>
    </row>
    <row r="946" ht="22.5" customHeight="1">
      <c r="A946" s="8"/>
      <c r="B946" s="8"/>
      <c r="C946" s="16"/>
      <c r="D946" s="14"/>
      <c r="E946" s="14"/>
      <c r="F946" s="14"/>
      <c r="G946" s="14"/>
      <c r="H946" s="14"/>
    </row>
    <row r="947" ht="22.5" customHeight="1">
      <c r="A947" s="8"/>
      <c r="B947" s="8"/>
      <c r="C947" s="16"/>
      <c r="D947" s="14"/>
      <c r="E947" s="14"/>
      <c r="F947" s="14"/>
      <c r="G947" s="14"/>
      <c r="H947" s="14"/>
    </row>
    <row r="948" ht="22.5" customHeight="1">
      <c r="A948" s="8"/>
      <c r="B948" s="8"/>
      <c r="C948" s="16"/>
      <c r="D948" s="14"/>
      <c r="E948" s="14"/>
      <c r="F948" s="14"/>
      <c r="G948" s="14"/>
      <c r="H948" s="14"/>
    </row>
    <row r="949" ht="22.5" customHeight="1">
      <c r="A949" s="8"/>
      <c r="B949" s="8"/>
      <c r="C949" s="16"/>
      <c r="D949" s="14"/>
      <c r="E949" s="14"/>
      <c r="F949" s="14"/>
      <c r="G949" s="14"/>
      <c r="H949" s="14"/>
    </row>
    <row r="950" ht="22.5" customHeight="1">
      <c r="A950" s="8"/>
      <c r="B950" s="8"/>
      <c r="C950" s="16"/>
      <c r="D950" s="14"/>
      <c r="E950" s="14"/>
      <c r="F950" s="14"/>
      <c r="G950" s="14"/>
      <c r="H950" s="14"/>
    </row>
    <row r="951" ht="22.5" customHeight="1">
      <c r="A951" s="8"/>
      <c r="B951" s="8"/>
      <c r="C951" s="16"/>
      <c r="D951" s="14"/>
      <c r="E951" s="14"/>
      <c r="F951" s="14"/>
      <c r="G951" s="14"/>
      <c r="H951" s="14"/>
    </row>
    <row r="952" ht="22.5" customHeight="1">
      <c r="A952" s="8"/>
      <c r="B952" s="8"/>
      <c r="C952" s="16"/>
      <c r="D952" s="14"/>
      <c r="E952" s="14"/>
      <c r="F952" s="14"/>
      <c r="G952" s="14"/>
      <c r="H952" s="14"/>
    </row>
    <row r="953" ht="22.5" customHeight="1">
      <c r="A953" s="8"/>
      <c r="B953" s="8"/>
      <c r="C953" s="16"/>
      <c r="D953" s="14"/>
      <c r="E953" s="14"/>
      <c r="F953" s="14"/>
      <c r="G953" s="14"/>
      <c r="H953" s="14"/>
    </row>
    <row r="954" ht="22.5" customHeight="1">
      <c r="A954" s="8"/>
      <c r="B954" s="8"/>
      <c r="C954" s="16"/>
      <c r="D954" s="14"/>
      <c r="E954" s="14"/>
      <c r="F954" s="14"/>
      <c r="G954" s="14"/>
      <c r="H954" s="14"/>
    </row>
    <row r="955" ht="22.5" customHeight="1">
      <c r="A955" s="8"/>
      <c r="B955" s="8"/>
      <c r="C955" s="16"/>
      <c r="D955" s="14"/>
      <c r="E955" s="14"/>
      <c r="F955" s="14"/>
      <c r="G955" s="14"/>
      <c r="H955" s="14"/>
    </row>
    <row r="956" ht="22.5" customHeight="1">
      <c r="A956" s="8"/>
      <c r="B956" s="8"/>
      <c r="C956" s="16"/>
      <c r="D956" s="14"/>
      <c r="E956" s="14"/>
      <c r="F956" s="14"/>
      <c r="G956" s="14"/>
      <c r="H956" s="14"/>
    </row>
    <row r="957" ht="22.5" customHeight="1">
      <c r="A957" s="8"/>
      <c r="B957" s="8"/>
      <c r="C957" s="16"/>
      <c r="D957" s="14"/>
      <c r="E957" s="14"/>
      <c r="F957" s="14"/>
      <c r="G957" s="14"/>
      <c r="H957" s="14"/>
    </row>
    <row r="958" ht="22.5" customHeight="1">
      <c r="A958" s="8"/>
      <c r="B958" s="8"/>
      <c r="C958" s="16"/>
      <c r="D958" s="14"/>
      <c r="E958" s="14"/>
      <c r="F958" s="14"/>
      <c r="G958" s="14"/>
      <c r="H958" s="14"/>
    </row>
    <row r="959" ht="22.5" customHeight="1">
      <c r="A959" s="8"/>
      <c r="B959" s="8"/>
      <c r="C959" s="16"/>
      <c r="D959" s="14"/>
      <c r="E959" s="14"/>
      <c r="F959" s="14"/>
      <c r="G959" s="14"/>
      <c r="H959" s="14"/>
    </row>
    <row r="960" ht="22.5" customHeight="1">
      <c r="A960" s="8"/>
      <c r="B960" s="8"/>
      <c r="C960" s="16"/>
      <c r="D960" s="14"/>
      <c r="E960" s="14"/>
      <c r="F960" s="14"/>
      <c r="G960" s="14"/>
      <c r="H960" s="14"/>
    </row>
    <row r="961" ht="22.5" customHeight="1">
      <c r="A961" s="8"/>
      <c r="B961" s="8"/>
      <c r="C961" s="16"/>
      <c r="D961" s="14"/>
      <c r="E961" s="14"/>
      <c r="F961" s="14"/>
      <c r="G961" s="14"/>
      <c r="H961" s="14"/>
    </row>
    <row r="962" ht="22.5" customHeight="1">
      <c r="A962" s="8"/>
      <c r="B962" s="8"/>
      <c r="C962" s="16"/>
      <c r="D962" s="14"/>
      <c r="E962" s="14"/>
      <c r="F962" s="14"/>
      <c r="G962" s="14"/>
      <c r="H962" s="14"/>
    </row>
    <row r="963" ht="22.5" customHeight="1">
      <c r="A963" s="8"/>
      <c r="B963" s="8"/>
      <c r="C963" s="16"/>
      <c r="D963" s="14"/>
      <c r="E963" s="14"/>
      <c r="F963" s="14"/>
      <c r="G963" s="14"/>
      <c r="H963" s="14"/>
    </row>
    <row r="964" ht="22.5" customHeight="1">
      <c r="A964" s="8"/>
      <c r="B964" s="8"/>
      <c r="C964" s="16"/>
      <c r="D964" s="14"/>
      <c r="E964" s="14"/>
      <c r="F964" s="14"/>
      <c r="G964" s="14"/>
      <c r="H964" s="14"/>
    </row>
    <row r="965" ht="22.5" customHeight="1">
      <c r="A965" s="8"/>
      <c r="B965" s="8"/>
      <c r="C965" s="16"/>
      <c r="D965" s="14"/>
      <c r="E965" s="14"/>
      <c r="F965" s="14"/>
      <c r="G965" s="14"/>
      <c r="H965" s="14"/>
    </row>
    <row r="966" ht="22.5" customHeight="1">
      <c r="A966" s="8"/>
      <c r="B966" s="8"/>
      <c r="C966" s="16"/>
      <c r="D966" s="14"/>
      <c r="E966" s="14"/>
      <c r="F966" s="14"/>
      <c r="G966" s="14"/>
      <c r="H966" s="14"/>
    </row>
    <row r="967" ht="22.5" customHeight="1">
      <c r="A967" s="8"/>
      <c r="B967" s="8"/>
      <c r="C967" s="16"/>
      <c r="D967" s="14"/>
      <c r="E967" s="14"/>
      <c r="F967" s="14"/>
      <c r="G967" s="14"/>
      <c r="H967" s="14"/>
    </row>
    <row r="968" ht="22.5" customHeight="1">
      <c r="A968" s="8"/>
      <c r="B968" s="8"/>
      <c r="C968" s="16"/>
      <c r="D968" s="14"/>
      <c r="E968" s="14"/>
      <c r="F968" s="14"/>
      <c r="G968" s="14"/>
      <c r="H968" s="14"/>
    </row>
    <row r="969" ht="22.5" customHeight="1">
      <c r="A969" s="8"/>
      <c r="B969" s="8"/>
      <c r="C969" s="16"/>
      <c r="D969" s="14"/>
      <c r="E969" s="14"/>
      <c r="F969" s="14"/>
      <c r="G969" s="14"/>
      <c r="H969" s="14"/>
    </row>
    <row r="970" ht="22.5" customHeight="1">
      <c r="A970" s="8"/>
      <c r="B970" s="8"/>
      <c r="C970" s="16"/>
      <c r="D970" s="14"/>
      <c r="E970" s="14"/>
      <c r="F970" s="14"/>
      <c r="G970" s="14"/>
      <c r="H970" s="14"/>
    </row>
    <row r="971" ht="22.5" customHeight="1">
      <c r="A971" s="8"/>
      <c r="B971" s="8"/>
      <c r="C971" s="16"/>
      <c r="D971" s="14"/>
      <c r="E971" s="14"/>
      <c r="F971" s="14"/>
      <c r="G971" s="14"/>
      <c r="H971" s="14"/>
    </row>
    <row r="972" ht="22.5" customHeight="1">
      <c r="A972" s="8"/>
      <c r="B972" s="8"/>
      <c r="C972" s="16"/>
      <c r="D972" s="14"/>
      <c r="E972" s="14"/>
      <c r="F972" s="14"/>
      <c r="G972" s="14"/>
      <c r="H972" s="14"/>
    </row>
    <row r="973" ht="22.5" customHeight="1">
      <c r="A973" s="8"/>
      <c r="B973" s="8"/>
      <c r="C973" s="16"/>
      <c r="D973" s="14"/>
      <c r="E973" s="14"/>
      <c r="F973" s="14"/>
      <c r="G973" s="14"/>
      <c r="H973" s="14"/>
    </row>
    <row r="974" ht="22.5" customHeight="1">
      <c r="A974" s="8"/>
      <c r="B974" s="8"/>
      <c r="C974" s="16"/>
      <c r="D974" s="14"/>
      <c r="E974" s="14"/>
      <c r="F974" s="14"/>
      <c r="G974" s="14"/>
      <c r="H974" s="14"/>
    </row>
    <row r="975" ht="22.5" customHeight="1">
      <c r="A975" s="8"/>
      <c r="B975" s="8"/>
      <c r="C975" s="16"/>
      <c r="D975" s="14"/>
      <c r="E975" s="14"/>
      <c r="F975" s="14"/>
      <c r="G975" s="14"/>
      <c r="H975" s="14"/>
    </row>
    <row r="976" ht="22.5" customHeight="1">
      <c r="A976" s="8"/>
      <c r="B976" s="8"/>
      <c r="C976" s="16"/>
      <c r="D976" s="14"/>
      <c r="E976" s="14"/>
      <c r="F976" s="14"/>
      <c r="G976" s="14"/>
      <c r="H976" s="14"/>
    </row>
    <row r="977" ht="22.5" customHeight="1">
      <c r="A977" s="8"/>
      <c r="B977" s="8"/>
      <c r="C977" s="16"/>
      <c r="D977" s="14"/>
      <c r="E977" s="14"/>
      <c r="F977" s="14"/>
      <c r="G977" s="14"/>
      <c r="H977" s="14"/>
    </row>
    <row r="978" ht="22.5" customHeight="1">
      <c r="A978" s="8"/>
      <c r="B978" s="8"/>
      <c r="C978" s="16"/>
      <c r="D978" s="14"/>
      <c r="E978" s="14"/>
      <c r="F978" s="14"/>
      <c r="G978" s="14"/>
      <c r="H978" s="14"/>
    </row>
    <row r="979" ht="22.5" customHeight="1">
      <c r="A979" s="8"/>
      <c r="B979" s="8"/>
      <c r="C979" s="16"/>
      <c r="D979" s="14"/>
      <c r="E979" s="14"/>
      <c r="F979" s="14"/>
      <c r="G979" s="14"/>
      <c r="H979" s="14"/>
    </row>
    <row r="980" ht="22.5" customHeight="1">
      <c r="A980" s="8"/>
      <c r="B980" s="8"/>
      <c r="C980" s="16"/>
      <c r="D980" s="14"/>
      <c r="E980" s="14"/>
      <c r="F980" s="14"/>
      <c r="G980" s="14"/>
      <c r="H980" s="14"/>
    </row>
    <row r="981" ht="22.5" customHeight="1">
      <c r="A981" s="8"/>
      <c r="B981" s="8"/>
      <c r="C981" s="16"/>
      <c r="D981" s="14"/>
      <c r="E981" s="14"/>
      <c r="F981" s="14"/>
      <c r="G981" s="14"/>
      <c r="H981" s="14"/>
    </row>
    <row r="982" ht="22.5" customHeight="1">
      <c r="A982" s="8"/>
      <c r="B982" s="8"/>
      <c r="C982" s="16"/>
      <c r="D982" s="14"/>
      <c r="E982" s="14"/>
      <c r="F982" s="14"/>
      <c r="G982" s="14"/>
      <c r="H982" s="14"/>
    </row>
    <row r="983" ht="22.5" customHeight="1">
      <c r="A983" s="8"/>
      <c r="B983" s="8"/>
      <c r="C983" s="16"/>
      <c r="D983" s="14"/>
      <c r="E983" s="14"/>
      <c r="F983" s="14"/>
      <c r="G983" s="14"/>
      <c r="H983" s="14"/>
    </row>
    <row r="984" ht="22.5" customHeight="1">
      <c r="A984" s="8"/>
      <c r="B984" s="8"/>
      <c r="C984" s="16"/>
      <c r="D984" s="14"/>
      <c r="E984" s="14"/>
      <c r="F984" s="14"/>
      <c r="G984" s="14"/>
      <c r="H984" s="14"/>
    </row>
    <row r="985" ht="22.5" customHeight="1">
      <c r="A985" s="8"/>
      <c r="B985" s="8"/>
      <c r="C985" s="16"/>
      <c r="D985" s="14"/>
      <c r="E985" s="14"/>
      <c r="F985" s="14"/>
      <c r="G985" s="14"/>
      <c r="H985" s="14"/>
    </row>
    <row r="986" ht="22.5" customHeight="1">
      <c r="A986" s="8"/>
      <c r="B986" s="8"/>
      <c r="C986" s="16"/>
      <c r="D986" s="14"/>
      <c r="E986" s="14"/>
      <c r="F986" s="14"/>
      <c r="G986" s="14"/>
      <c r="H986" s="14"/>
    </row>
    <row r="987" ht="22.5" customHeight="1">
      <c r="A987" s="8"/>
      <c r="B987" s="8"/>
      <c r="C987" s="16"/>
      <c r="D987" s="14"/>
      <c r="E987" s="14"/>
      <c r="F987" s="14"/>
      <c r="G987" s="14"/>
      <c r="H987" s="14"/>
    </row>
    <row r="988" ht="22.5" customHeight="1">
      <c r="A988" s="8"/>
      <c r="B988" s="8"/>
      <c r="C988" s="16"/>
      <c r="D988" s="14"/>
      <c r="E988" s="14"/>
      <c r="F988" s="14"/>
      <c r="G988" s="14"/>
      <c r="H988" s="14"/>
    </row>
    <row r="989" ht="22.5" customHeight="1">
      <c r="A989" s="8"/>
      <c r="B989" s="8"/>
      <c r="C989" s="16"/>
      <c r="D989" s="14"/>
      <c r="E989" s="14"/>
      <c r="F989" s="14"/>
      <c r="G989" s="14"/>
      <c r="H989" s="14"/>
    </row>
    <row r="990" ht="22.5" customHeight="1">
      <c r="A990" s="8"/>
      <c r="B990" s="8"/>
      <c r="C990" s="16"/>
      <c r="D990" s="14"/>
      <c r="E990" s="14"/>
      <c r="F990" s="14"/>
      <c r="G990" s="14"/>
      <c r="H990" s="14"/>
    </row>
    <row r="991" ht="22.5" customHeight="1">
      <c r="A991" s="8"/>
      <c r="B991" s="8"/>
      <c r="C991" s="16"/>
      <c r="D991" s="14"/>
      <c r="E991" s="14"/>
      <c r="F991" s="14"/>
      <c r="G991" s="14"/>
      <c r="H991" s="14"/>
    </row>
    <row r="992" ht="22.5" customHeight="1">
      <c r="A992" s="8"/>
      <c r="B992" s="8"/>
      <c r="C992" s="16"/>
      <c r="D992" s="14"/>
      <c r="E992" s="14"/>
      <c r="F992" s="14"/>
      <c r="G992" s="14"/>
      <c r="H992" s="14"/>
    </row>
    <row r="993" ht="22.5" customHeight="1">
      <c r="A993" s="8"/>
      <c r="B993" s="8"/>
      <c r="C993" s="16"/>
      <c r="D993" s="14"/>
      <c r="E993" s="14"/>
      <c r="F993" s="14"/>
      <c r="G993" s="14"/>
      <c r="H993" s="14"/>
    </row>
    <row r="994" ht="22.5" customHeight="1">
      <c r="A994" s="8"/>
      <c r="B994" s="8"/>
      <c r="C994" s="16"/>
      <c r="D994" s="14"/>
      <c r="E994" s="14"/>
      <c r="F994" s="14"/>
      <c r="G994" s="14"/>
      <c r="H994" s="14"/>
    </row>
    <row r="995" ht="22.5" customHeight="1">
      <c r="A995" s="8"/>
      <c r="B995" s="8"/>
      <c r="C995" s="16"/>
      <c r="D995" s="14"/>
      <c r="E995" s="14"/>
      <c r="F995" s="14"/>
      <c r="G995" s="14"/>
      <c r="H995" s="14"/>
    </row>
    <row r="996" ht="22.5" customHeight="1">
      <c r="A996" s="8"/>
      <c r="B996" s="8"/>
      <c r="C996" s="16"/>
      <c r="D996" s="14"/>
      <c r="E996" s="14"/>
      <c r="F996" s="14"/>
      <c r="G996" s="14"/>
      <c r="H996" s="14"/>
    </row>
    <row r="997" ht="22.5" customHeight="1">
      <c r="A997" s="8"/>
      <c r="B997" s="8"/>
      <c r="C997" s="16"/>
      <c r="D997" s="14"/>
      <c r="E997" s="14"/>
      <c r="F997" s="14"/>
      <c r="G997" s="14"/>
      <c r="H997" s="14"/>
    </row>
    <row r="998" ht="22.5" customHeight="1">
      <c r="A998" s="8"/>
      <c r="B998" s="8"/>
      <c r="C998" s="16"/>
      <c r="D998" s="14"/>
      <c r="E998" s="14"/>
      <c r="F998" s="14"/>
      <c r="G998" s="14"/>
      <c r="H998" s="14"/>
    </row>
    <row r="999" ht="22.5" customHeight="1">
      <c r="A999" s="8"/>
      <c r="B999" s="8"/>
      <c r="C999" s="16"/>
      <c r="D999" s="14"/>
      <c r="E999" s="14"/>
      <c r="F999" s="14"/>
      <c r="G999" s="14"/>
      <c r="H999" s="14"/>
    </row>
    <row r="1000" ht="22.5" customHeight="1">
      <c r="A1000" s="8"/>
      <c r="B1000" s="8"/>
      <c r="C1000" s="16"/>
      <c r="D1000" s="14"/>
      <c r="E1000" s="14"/>
      <c r="F1000" s="14"/>
      <c r="G1000" s="14"/>
      <c r="H1000" s="14"/>
    </row>
    <row r="1001" ht="22.5" customHeight="1">
      <c r="A1001" s="8"/>
      <c r="B1001" s="8"/>
      <c r="C1001" s="16"/>
      <c r="D1001" s="14"/>
      <c r="E1001" s="14"/>
      <c r="F1001" s="14"/>
      <c r="G1001" s="14"/>
      <c r="H1001" s="14"/>
    </row>
    <row r="1002" ht="22.5" customHeight="1">
      <c r="A1002" s="8"/>
      <c r="B1002" s="8"/>
      <c r="C1002" s="16"/>
      <c r="D1002" s="14"/>
      <c r="E1002" s="14"/>
      <c r="F1002" s="14"/>
      <c r="G1002" s="14"/>
      <c r="H1002" s="14"/>
    </row>
    <row r="1003" ht="22.5" customHeight="1">
      <c r="A1003" s="8"/>
      <c r="B1003" s="8"/>
      <c r="C1003" s="16"/>
      <c r="D1003" s="14"/>
      <c r="E1003" s="14"/>
      <c r="F1003" s="14"/>
      <c r="G1003" s="14"/>
      <c r="H1003" s="14"/>
    </row>
    <row r="1004" ht="22.5" customHeight="1">
      <c r="A1004" s="8"/>
      <c r="B1004" s="8"/>
      <c r="C1004" s="16"/>
      <c r="D1004" s="14"/>
      <c r="E1004" s="14"/>
      <c r="F1004" s="14"/>
      <c r="G1004" s="14"/>
      <c r="H1004" s="14"/>
    </row>
    <row r="1005" ht="22.5" customHeight="1">
      <c r="A1005" s="8"/>
      <c r="B1005" s="8"/>
      <c r="C1005" s="16"/>
      <c r="D1005" s="14"/>
      <c r="E1005" s="14"/>
      <c r="F1005" s="14"/>
      <c r="G1005" s="14"/>
      <c r="H1005" s="14"/>
    </row>
    <row r="1006" ht="22.5" customHeight="1">
      <c r="A1006" s="8"/>
      <c r="B1006" s="8"/>
      <c r="C1006" s="16"/>
      <c r="D1006" s="14"/>
      <c r="E1006" s="14"/>
      <c r="F1006" s="14"/>
      <c r="G1006" s="14"/>
      <c r="H1006" s="14"/>
    </row>
    <row r="1007" ht="22.5" customHeight="1">
      <c r="A1007" s="8"/>
      <c r="B1007" s="8"/>
      <c r="C1007" s="16"/>
      <c r="D1007" s="14"/>
      <c r="E1007" s="14"/>
      <c r="F1007" s="14"/>
      <c r="G1007" s="14"/>
      <c r="H1007" s="14"/>
    </row>
    <row r="1008" ht="22.5" customHeight="1">
      <c r="A1008" s="8"/>
      <c r="B1008" s="8"/>
      <c r="C1008" s="16"/>
      <c r="D1008" s="14"/>
      <c r="E1008" s="14"/>
      <c r="F1008" s="14"/>
      <c r="G1008" s="14"/>
      <c r="H1008" s="14"/>
    </row>
    <row r="1009" ht="22.5" customHeight="1">
      <c r="A1009" s="8"/>
      <c r="B1009" s="8"/>
      <c r="C1009" s="16"/>
      <c r="D1009" s="14"/>
      <c r="E1009" s="14"/>
      <c r="F1009" s="14"/>
      <c r="G1009" s="14"/>
      <c r="H1009" s="14"/>
    </row>
    <row r="1010" ht="22.5" customHeight="1">
      <c r="A1010" s="8"/>
      <c r="B1010" s="8"/>
      <c r="C1010" s="16"/>
      <c r="D1010" s="14"/>
      <c r="E1010" s="14"/>
      <c r="F1010" s="14"/>
      <c r="G1010" s="14"/>
      <c r="H1010" s="14"/>
    </row>
    <row r="1011" ht="22.5" customHeight="1">
      <c r="A1011" s="8"/>
      <c r="B1011" s="8"/>
      <c r="C1011" s="16"/>
      <c r="D1011" s="14"/>
      <c r="E1011" s="14"/>
      <c r="F1011" s="14"/>
      <c r="G1011" s="14"/>
      <c r="H1011" s="14"/>
    </row>
    <row r="1012" ht="22.5" customHeight="1">
      <c r="A1012" s="8"/>
      <c r="B1012" s="8"/>
      <c r="C1012" s="16"/>
      <c r="D1012" s="14"/>
      <c r="E1012" s="14"/>
      <c r="F1012" s="14"/>
      <c r="G1012" s="14"/>
      <c r="H1012" s="14"/>
    </row>
    <row r="1013" ht="22.5" customHeight="1">
      <c r="A1013" s="8"/>
      <c r="B1013" s="8"/>
      <c r="C1013" s="16"/>
      <c r="D1013" s="14"/>
      <c r="E1013" s="14"/>
      <c r="F1013" s="14"/>
      <c r="G1013" s="14"/>
      <c r="H1013" s="14"/>
    </row>
    <row r="1014" ht="22.5" customHeight="1">
      <c r="A1014" s="8"/>
      <c r="B1014" s="8"/>
      <c r="C1014" s="16"/>
      <c r="D1014" s="14"/>
      <c r="E1014" s="14"/>
      <c r="F1014" s="14"/>
      <c r="G1014" s="14"/>
      <c r="H1014" s="14"/>
    </row>
    <row r="1015" ht="22.5" customHeight="1">
      <c r="A1015" s="8"/>
      <c r="B1015" s="8"/>
      <c r="C1015" s="16"/>
      <c r="D1015" s="14"/>
      <c r="E1015" s="14"/>
      <c r="F1015" s="14"/>
      <c r="G1015" s="14"/>
      <c r="H1015" s="14"/>
    </row>
    <row r="1016" ht="22.5" customHeight="1">
      <c r="A1016" s="8"/>
      <c r="B1016" s="8"/>
      <c r="C1016" s="16"/>
      <c r="D1016" s="14"/>
      <c r="E1016" s="14"/>
      <c r="F1016" s="14"/>
      <c r="G1016" s="14"/>
      <c r="H1016" s="14"/>
    </row>
    <row r="1017" ht="22.5" customHeight="1">
      <c r="A1017" s="8"/>
      <c r="B1017" s="8"/>
      <c r="C1017" s="16"/>
      <c r="D1017" s="14"/>
      <c r="E1017" s="14"/>
      <c r="F1017" s="14"/>
      <c r="G1017" s="14"/>
      <c r="H1017" s="14"/>
    </row>
    <row r="1018" ht="22.5" customHeight="1">
      <c r="A1018" s="8"/>
      <c r="B1018" s="8"/>
      <c r="C1018" s="16"/>
      <c r="D1018" s="14"/>
      <c r="E1018" s="14"/>
      <c r="F1018" s="14"/>
      <c r="G1018" s="14"/>
      <c r="H1018" s="14"/>
    </row>
    <row r="1019" ht="22.5" customHeight="1">
      <c r="A1019" s="8"/>
      <c r="B1019" s="8"/>
      <c r="C1019" s="16"/>
      <c r="D1019" s="14"/>
      <c r="E1019" s="14"/>
      <c r="F1019" s="14"/>
      <c r="G1019" s="14"/>
      <c r="H1019" s="14"/>
    </row>
    <row r="1020" ht="22.5" customHeight="1">
      <c r="A1020" s="8"/>
      <c r="B1020" s="8"/>
      <c r="C1020" s="16"/>
      <c r="D1020" s="14"/>
      <c r="E1020" s="14"/>
      <c r="F1020" s="14"/>
      <c r="G1020" s="14"/>
      <c r="H1020" s="14"/>
    </row>
    <row r="1021" ht="22.5" customHeight="1">
      <c r="A1021" s="8"/>
      <c r="B1021" s="8"/>
      <c r="C1021" s="16"/>
      <c r="D1021" s="14"/>
      <c r="E1021" s="14"/>
      <c r="F1021" s="14"/>
      <c r="G1021" s="14"/>
      <c r="H1021" s="14"/>
    </row>
    <row r="1022" ht="22.5" customHeight="1">
      <c r="A1022" s="8"/>
      <c r="B1022" s="8"/>
      <c r="C1022" s="16"/>
      <c r="D1022" s="14"/>
      <c r="E1022" s="14"/>
      <c r="F1022" s="14"/>
      <c r="G1022" s="14"/>
      <c r="H1022" s="14"/>
    </row>
    <row r="1023" ht="22.5" customHeight="1">
      <c r="A1023" s="8"/>
      <c r="B1023" s="8"/>
      <c r="C1023" s="16"/>
      <c r="D1023" s="14"/>
      <c r="E1023" s="14"/>
      <c r="F1023" s="14"/>
      <c r="G1023" s="14"/>
      <c r="H1023" s="14"/>
    </row>
    <row r="1024" ht="22.5" customHeight="1">
      <c r="A1024" s="8"/>
      <c r="B1024" s="8"/>
      <c r="C1024" s="16"/>
      <c r="D1024" s="14"/>
      <c r="E1024" s="14"/>
      <c r="F1024" s="14"/>
      <c r="G1024" s="14"/>
      <c r="H1024" s="14"/>
    </row>
    <row r="1025" ht="22.5" customHeight="1">
      <c r="A1025" s="8"/>
      <c r="B1025" s="8"/>
      <c r="C1025" s="16"/>
      <c r="D1025" s="14"/>
      <c r="E1025" s="14"/>
      <c r="F1025" s="14"/>
      <c r="G1025" s="14"/>
      <c r="H1025" s="14"/>
    </row>
    <row r="1026" ht="22.5" customHeight="1">
      <c r="A1026" s="8"/>
      <c r="B1026" s="8"/>
      <c r="C1026" s="16"/>
      <c r="D1026" s="14"/>
      <c r="E1026" s="14"/>
      <c r="F1026" s="14"/>
      <c r="G1026" s="14"/>
      <c r="H1026" s="14"/>
    </row>
    <row r="1027" ht="22.5" customHeight="1">
      <c r="A1027" s="8"/>
      <c r="B1027" s="8"/>
      <c r="C1027" s="16"/>
      <c r="D1027" s="14"/>
      <c r="E1027" s="14"/>
      <c r="F1027" s="14"/>
      <c r="G1027" s="14"/>
      <c r="H1027" s="14"/>
    </row>
    <row r="1028" ht="22.5" customHeight="1">
      <c r="A1028" s="8"/>
      <c r="B1028" s="8"/>
      <c r="C1028" s="16"/>
      <c r="D1028" s="14"/>
      <c r="E1028" s="14"/>
      <c r="F1028" s="14"/>
      <c r="G1028" s="14"/>
      <c r="H1028" s="14"/>
    </row>
    <row r="1029" ht="22.5" customHeight="1">
      <c r="A1029" s="8"/>
      <c r="B1029" s="8"/>
      <c r="C1029" s="16"/>
      <c r="D1029" s="14"/>
      <c r="E1029" s="14"/>
      <c r="F1029" s="14"/>
      <c r="G1029" s="14"/>
      <c r="H1029" s="14"/>
    </row>
    <row r="1030" ht="22.5" customHeight="1">
      <c r="A1030" s="8"/>
      <c r="B1030" s="8"/>
      <c r="C1030" s="16"/>
      <c r="D1030" s="14"/>
      <c r="E1030" s="14"/>
      <c r="F1030" s="14"/>
      <c r="G1030" s="14"/>
      <c r="H1030" s="14"/>
    </row>
    <row r="1031" ht="22.5" customHeight="1">
      <c r="A1031" s="8"/>
      <c r="B1031" s="8"/>
      <c r="C1031" s="16"/>
      <c r="D1031" s="14"/>
      <c r="E1031" s="14"/>
      <c r="F1031" s="14"/>
      <c r="G1031" s="14"/>
      <c r="H1031" s="14"/>
    </row>
    <row r="1032" ht="22.5" customHeight="1">
      <c r="A1032" s="8"/>
      <c r="B1032" s="8"/>
      <c r="C1032" s="16"/>
      <c r="D1032" s="14"/>
      <c r="E1032" s="14"/>
      <c r="F1032" s="14"/>
      <c r="G1032" s="14"/>
      <c r="H1032" s="14"/>
    </row>
    <row r="1033" ht="22.5" customHeight="1">
      <c r="A1033" s="8"/>
      <c r="B1033" s="8"/>
      <c r="C1033" s="16"/>
      <c r="D1033" s="14"/>
      <c r="E1033" s="14"/>
      <c r="F1033" s="14"/>
      <c r="G1033" s="14"/>
      <c r="H1033" s="14"/>
    </row>
    <row r="1034" ht="22.5" customHeight="1">
      <c r="A1034" s="8"/>
      <c r="B1034" s="8"/>
      <c r="C1034" s="16"/>
      <c r="D1034" s="14"/>
      <c r="E1034" s="14"/>
      <c r="F1034" s="14"/>
      <c r="G1034" s="14"/>
      <c r="H1034" s="14"/>
    </row>
    <row r="1035" ht="22.5" customHeight="1">
      <c r="A1035" s="8"/>
      <c r="B1035" s="8"/>
      <c r="C1035" s="16"/>
      <c r="D1035" s="14"/>
      <c r="E1035" s="14"/>
      <c r="F1035" s="14"/>
      <c r="G1035" s="14"/>
      <c r="H1035" s="14"/>
    </row>
    <row r="1036" ht="22.5" customHeight="1">
      <c r="A1036" s="8"/>
      <c r="B1036" s="8"/>
      <c r="C1036" s="16"/>
      <c r="D1036" s="14"/>
      <c r="E1036" s="14"/>
      <c r="F1036" s="14"/>
      <c r="G1036" s="14"/>
      <c r="H1036" s="14"/>
    </row>
    <row r="1037" ht="22.5" customHeight="1">
      <c r="A1037" s="8"/>
      <c r="B1037" s="8"/>
      <c r="C1037" s="16"/>
      <c r="D1037" s="14"/>
      <c r="E1037" s="14"/>
      <c r="F1037" s="14"/>
      <c r="G1037" s="14"/>
      <c r="H1037" s="14"/>
    </row>
    <row r="1038" ht="22.5" customHeight="1">
      <c r="A1038" s="8"/>
      <c r="B1038" s="8"/>
      <c r="C1038" s="16"/>
      <c r="D1038" s="14"/>
      <c r="E1038" s="14"/>
      <c r="F1038" s="14"/>
      <c r="G1038" s="14"/>
      <c r="H1038" s="14"/>
    </row>
    <row r="1039" ht="22.5" customHeight="1">
      <c r="A1039" s="8"/>
      <c r="B1039" s="8"/>
      <c r="C1039" s="16"/>
      <c r="D1039" s="14"/>
      <c r="E1039" s="14"/>
      <c r="F1039" s="14"/>
      <c r="G1039" s="14"/>
      <c r="H1039" s="14"/>
    </row>
    <row r="1040" ht="22.5" customHeight="1">
      <c r="A1040" s="8"/>
      <c r="B1040" s="8"/>
      <c r="C1040" s="16"/>
      <c r="D1040" s="14"/>
      <c r="E1040" s="14"/>
      <c r="F1040" s="14"/>
      <c r="G1040" s="14"/>
      <c r="H1040" s="14"/>
    </row>
    <row r="1041" ht="22.5" customHeight="1">
      <c r="A1041" s="8"/>
      <c r="B1041" s="8"/>
      <c r="C1041" s="16"/>
      <c r="D1041" s="14"/>
      <c r="E1041" s="14"/>
      <c r="F1041" s="14"/>
      <c r="G1041" s="14"/>
      <c r="H1041" s="14"/>
    </row>
    <row r="1042" ht="22.5" customHeight="1">
      <c r="A1042" s="8"/>
      <c r="B1042" s="8"/>
      <c r="C1042" s="16"/>
      <c r="D1042" s="14"/>
      <c r="E1042" s="14"/>
      <c r="F1042" s="14"/>
      <c r="G1042" s="14"/>
      <c r="H1042" s="14"/>
    </row>
    <row r="1043" ht="22.5" customHeight="1">
      <c r="A1043" s="8"/>
      <c r="B1043" s="8"/>
      <c r="C1043" s="16"/>
      <c r="D1043" s="14"/>
      <c r="E1043" s="14"/>
      <c r="F1043" s="14"/>
      <c r="G1043" s="14"/>
      <c r="H1043" s="14"/>
    </row>
    <row r="1044" ht="22.5" customHeight="1">
      <c r="A1044" s="8"/>
      <c r="B1044" s="8"/>
      <c r="C1044" s="16"/>
      <c r="D1044" s="14"/>
      <c r="E1044" s="14"/>
      <c r="F1044" s="14"/>
      <c r="G1044" s="14"/>
      <c r="H1044" s="14"/>
    </row>
    <row r="1045" ht="22.5" customHeight="1">
      <c r="A1045" s="8"/>
      <c r="B1045" s="8"/>
      <c r="C1045" s="16"/>
      <c r="D1045" s="14"/>
      <c r="E1045" s="14"/>
      <c r="F1045" s="14"/>
      <c r="G1045" s="14"/>
      <c r="H1045" s="14"/>
    </row>
    <row r="1046" ht="22.5" customHeight="1">
      <c r="A1046" s="8"/>
      <c r="B1046" s="8"/>
      <c r="C1046" s="16"/>
      <c r="D1046" s="14"/>
      <c r="E1046" s="14"/>
      <c r="F1046" s="14"/>
      <c r="G1046" s="14"/>
      <c r="H1046" s="14"/>
    </row>
    <row r="1047" ht="22.5" customHeight="1">
      <c r="A1047" s="8"/>
      <c r="B1047" s="8"/>
      <c r="C1047" s="16"/>
      <c r="D1047" s="14"/>
      <c r="E1047" s="14"/>
      <c r="F1047" s="14"/>
      <c r="G1047" s="14"/>
      <c r="H1047" s="14"/>
    </row>
    <row r="1048" ht="22.5" customHeight="1">
      <c r="A1048" s="8"/>
      <c r="B1048" s="8"/>
      <c r="C1048" s="16"/>
      <c r="D1048" s="14"/>
      <c r="E1048" s="14"/>
      <c r="F1048" s="14"/>
      <c r="G1048" s="14"/>
      <c r="H1048" s="14"/>
    </row>
    <row r="1049" ht="22.5" customHeight="1">
      <c r="A1049" s="8"/>
      <c r="B1049" s="8"/>
      <c r="C1049" s="16"/>
      <c r="D1049" s="14"/>
      <c r="E1049" s="14"/>
      <c r="F1049" s="14"/>
      <c r="G1049" s="14"/>
      <c r="H1049" s="14"/>
    </row>
  </sheetData>
  <conditionalFormatting sqref="A3:H1049">
    <cfRule type="expression" dxfId="0" priority="1">
      <formula>$B3=TRUE</formula>
    </cfRule>
  </conditionalFormatting>
  <hyperlinks>
    <hyperlink r:id="rId1" ref="C5"/>
    <hyperlink r:id="rId2" ref="C6"/>
    <hyperlink r:id="rId3" ref="C7"/>
    <hyperlink r:id="rId4" ref="C8"/>
    <hyperlink r:id="rId5" ref="C9"/>
    <hyperlink r:id="rId6" ref="C10"/>
    <hyperlink r:id="rId7" ref="C11"/>
    <hyperlink r:id="rId8" ref="C12"/>
    <hyperlink r:id="rId9" ref="C13"/>
    <hyperlink r:id="rId10" ref="C15"/>
    <hyperlink r:id="rId11" ref="C16"/>
    <hyperlink r:id="rId12" ref="C18"/>
    <hyperlink r:id="rId13" ref="C19"/>
    <hyperlink r:id="rId14" ref="C20"/>
    <hyperlink r:id="rId15" ref="D20"/>
    <hyperlink r:id="rId16" ref="C21"/>
    <hyperlink r:id="rId17" ref="D21"/>
    <hyperlink r:id="rId18" ref="C31"/>
    <hyperlink r:id="rId19" ref="C33"/>
    <hyperlink r:id="rId20" ref="C34"/>
    <hyperlink r:id="rId21" ref="C35"/>
    <hyperlink r:id="rId22" ref="C36"/>
    <hyperlink r:id="rId23" ref="C40"/>
    <hyperlink r:id="rId24" ref="C120"/>
    <hyperlink r:id="rId25" ref="C132"/>
    <hyperlink r:id="rId26" ref="C164"/>
    <hyperlink r:id="rId27" ref="C181"/>
  </hyperlinks>
  <drawing r:id="rId28"/>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21.38"/>
    <col customWidth="1" min="3" max="3" width="26.38"/>
    <col customWidth="1" min="4" max="4" width="20.0"/>
    <col customWidth="1" min="5" max="5" width="20.25"/>
  </cols>
  <sheetData>
    <row r="1" ht="33.0" customHeight="1">
      <c r="A1" s="1333" t="s">
        <v>9027</v>
      </c>
    </row>
    <row r="2" ht="23.25" customHeight="1">
      <c r="A2" s="1334" t="s">
        <v>1</v>
      </c>
      <c r="B2" s="1334" t="s">
        <v>9028</v>
      </c>
      <c r="C2" s="1334" t="s">
        <v>9029</v>
      </c>
      <c r="D2" s="1334" t="s">
        <v>2730</v>
      </c>
      <c r="E2" s="1334" t="s">
        <v>3804</v>
      </c>
    </row>
    <row r="3">
      <c r="A3" s="1335" t="s">
        <v>9030</v>
      </c>
      <c r="B3" s="1335" t="s">
        <v>9031</v>
      </c>
      <c r="C3" s="1336" t="s">
        <v>9032</v>
      </c>
      <c r="D3" s="1336" t="s">
        <v>9033</v>
      </c>
      <c r="E3" s="1335" t="s">
        <v>9034</v>
      </c>
    </row>
    <row r="4">
      <c r="A4" s="1335" t="s">
        <v>9035</v>
      </c>
      <c r="B4" s="1335" t="s">
        <v>9036</v>
      </c>
      <c r="C4" s="1336" t="s">
        <v>9037</v>
      </c>
      <c r="D4" s="1336" t="s">
        <v>9038</v>
      </c>
      <c r="E4" s="1335" t="s">
        <v>9039</v>
      </c>
    </row>
    <row r="5">
      <c r="A5" s="1335" t="s">
        <v>9040</v>
      </c>
      <c r="B5" s="1335" t="s">
        <v>9041</v>
      </c>
      <c r="C5" s="1336" t="s">
        <v>9042</v>
      </c>
      <c r="D5" s="1336" t="s">
        <v>9043</v>
      </c>
      <c r="E5" s="1335" t="s">
        <v>9034</v>
      </c>
    </row>
    <row r="6">
      <c r="A6" s="1335" t="s">
        <v>9044</v>
      </c>
      <c r="B6" s="1335" t="s">
        <v>9045</v>
      </c>
      <c r="C6" s="1336" t="s">
        <v>9046</v>
      </c>
      <c r="D6" s="1336" t="s">
        <v>9047</v>
      </c>
      <c r="E6" s="1335" t="s">
        <v>9034</v>
      </c>
    </row>
    <row r="7">
      <c r="A7" s="1335" t="s">
        <v>9048</v>
      </c>
      <c r="B7" s="1335" t="s">
        <v>9049</v>
      </c>
      <c r="C7" s="1336" t="s">
        <v>9050</v>
      </c>
      <c r="D7" s="1336" t="s">
        <v>9051</v>
      </c>
      <c r="E7" s="1335" t="s">
        <v>9034</v>
      </c>
    </row>
    <row r="8">
      <c r="A8" s="1335" t="s">
        <v>5081</v>
      </c>
      <c r="B8" s="1335" t="s">
        <v>9052</v>
      </c>
      <c r="C8" s="1336" t="s">
        <v>9053</v>
      </c>
      <c r="D8" s="1336" t="s">
        <v>9054</v>
      </c>
      <c r="E8" s="1335" t="s">
        <v>9034</v>
      </c>
    </row>
    <row r="9">
      <c r="A9" s="1335" t="s">
        <v>9055</v>
      </c>
      <c r="B9" s="1335" t="s">
        <v>9056</v>
      </c>
      <c r="C9" s="1336" t="s">
        <v>9057</v>
      </c>
      <c r="D9" s="1336" t="s">
        <v>9058</v>
      </c>
      <c r="E9" s="1335" t="s">
        <v>9034</v>
      </c>
    </row>
    <row r="10">
      <c r="A10" s="1335" t="s">
        <v>9059</v>
      </c>
      <c r="B10" s="1335" t="s">
        <v>9060</v>
      </c>
      <c r="C10" s="1336" t="s">
        <v>9061</v>
      </c>
      <c r="D10" s="1336" t="s">
        <v>9062</v>
      </c>
      <c r="E10" s="1335" t="s">
        <v>9063</v>
      </c>
    </row>
    <row r="11">
      <c r="A11" s="1335" t="s">
        <v>9064</v>
      </c>
      <c r="B11" s="1335" t="s">
        <v>9065</v>
      </c>
      <c r="C11" s="1336" t="s">
        <v>9066</v>
      </c>
      <c r="D11" s="1336" t="s">
        <v>9067</v>
      </c>
      <c r="E11" s="1335" t="s">
        <v>9034</v>
      </c>
    </row>
    <row r="12">
      <c r="A12" s="1335" t="s">
        <v>9068</v>
      </c>
      <c r="B12" s="1335" t="s">
        <v>9069</v>
      </c>
      <c r="C12" s="1336" t="s">
        <v>9070</v>
      </c>
      <c r="D12" s="1336" t="s">
        <v>9071</v>
      </c>
      <c r="E12" s="1335" t="s">
        <v>9034</v>
      </c>
    </row>
    <row r="13">
      <c r="A13" s="1335" t="s">
        <v>5083</v>
      </c>
      <c r="B13" s="1335" t="s">
        <v>9072</v>
      </c>
      <c r="C13" s="1336" t="s">
        <v>9073</v>
      </c>
      <c r="D13" s="1336" t="s">
        <v>9074</v>
      </c>
      <c r="E13" s="1335" t="s">
        <v>9034</v>
      </c>
    </row>
    <row r="14">
      <c r="A14" s="1335" t="s">
        <v>9075</v>
      </c>
      <c r="B14" s="1335" t="s">
        <v>9076</v>
      </c>
      <c r="C14" s="1336" t="s">
        <v>9077</v>
      </c>
      <c r="D14" s="1336" t="s">
        <v>9078</v>
      </c>
      <c r="E14" s="1335" t="s">
        <v>9063</v>
      </c>
    </row>
    <row r="15">
      <c r="A15" s="1335" t="s">
        <v>9079</v>
      </c>
      <c r="B15" s="1335" t="s">
        <v>9080</v>
      </c>
      <c r="C15" s="1336" t="s">
        <v>9081</v>
      </c>
      <c r="D15" s="1336" t="s">
        <v>9082</v>
      </c>
      <c r="E15" s="1335" t="s">
        <v>9034</v>
      </c>
    </row>
    <row r="16">
      <c r="A16" s="1335" t="s">
        <v>9083</v>
      </c>
      <c r="B16" s="1335" t="s">
        <v>9084</v>
      </c>
      <c r="C16" s="1336" t="s">
        <v>9085</v>
      </c>
      <c r="D16" s="1336" t="s">
        <v>9086</v>
      </c>
      <c r="E16" s="1335" t="s">
        <v>9034</v>
      </c>
    </row>
    <row r="17">
      <c r="A17" s="1335" t="s">
        <v>9087</v>
      </c>
      <c r="B17" s="1335" t="s">
        <v>9088</v>
      </c>
      <c r="C17" s="1336" t="s">
        <v>9089</v>
      </c>
      <c r="D17" s="1336" t="s">
        <v>9090</v>
      </c>
      <c r="E17" s="1335" t="s">
        <v>9034</v>
      </c>
    </row>
    <row r="18">
      <c r="A18" s="1335" t="s">
        <v>9091</v>
      </c>
      <c r="B18" s="1335" t="s">
        <v>2766</v>
      </c>
      <c r="C18" s="1336" t="s">
        <v>9092</v>
      </c>
      <c r="D18" s="1336" t="s">
        <v>9093</v>
      </c>
      <c r="E18" s="1335" t="s">
        <v>9039</v>
      </c>
    </row>
    <row r="19">
      <c r="A19" s="1335" t="s">
        <v>9094</v>
      </c>
      <c r="B19" s="1335" t="s">
        <v>2766</v>
      </c>
      <c r="C19" s="1336" t="s">
        <v>9095</v>
      </c>
      <c r="D19" s="1336" t="s">
        <v>9096</v>
      </c>
      <c r="E19" s="1335" t="s">
        <v>9034</v>
      </c>
    </row>
    <row r="20">
      <c r="A20" s="1335" t="s">
        <v>9097</v>
      </c>
      <c r="B20" s="1335" t="s">
        <v>9098</v>
      </c>
      <c r="C20" s="1336" t="s">
        <v>9099</v>
      </c>
      <c r="D20" s="1336" t="s">
        <v>9100</v>
      </c>
      <c r="E20" s="1335" t="s">
        <v>9034</v>
      </c>
    </row>
    <row r="21">
      <c r="A21" s="1335" t="s">
        <v>9101</v>
      </c>
      <c r="B21" s="1335" t="s">
        <v>9102</v>
      </c>
      <c r="C21" s="1336" t="s">
        <v>9103</v>
      </c>
      <c r="D21" s="1336" t="s">
        <v>9104</v>
      </c>
      <c r="E21" s="1335" t="s">
        <v>9034</v>
      </c>
    </row>
    <row r="22">
      <c r="A22" s="1335" t="s">
        <v>9105</v>
      </c>
      <c r="B22" s="1335" t="s">
        <v>9106</v>
      </c>
      <c r="C22" s="1336" t="s">
        <v>9107</v>
      </c>
      <c r="D22" s="1336" t="s">
        <v>9108</v>
      </c>
      <c r="E22" s="1335" t="s">
        <v>9034</v>
      </c>
    </row>
    <row r="23">
      <c r="A23" s="1335" t="s">
        <v>9109</v>
      </c>
      <c r="B23" s="1335" t="s">
        <v>9110</v>
      </c>
      <c r="C23" s="1336" t="s">
        <v>9111</v>
      </c>
      <c r="D23" s="1336" t="s">
        <v>9112</v>
      </c>
      <c r="E23" s="1335" t="s">
        <v>9034</v>
      </c>
    </row>
    <row r="24">
      <c r="A24" s="1335" t="s">
        <v>9113</v>
      </c>
      <c r="B24" s="1335" t="s">
        <v>9114</v>
      </c>
      <c r="C24" s="1336" t="s">
        <v>9115</v>
      </c>
      <c r="D24" s="1336" t="s">
        <v>9116</v>
      </c>
      <c r="E24" s="1335" t="s">
        <v>9039</v>
      </c>
    </row>
    <row r="25">
      <c r="A25" s="1335" t="s">
        <v>9117</v>
      </c>
      <c r="B25" s="1335" t="s">
        <v>9118</v>
      </c>
      <c r="C25" s="1336" t="s">
        <v>9119</v>
      </c>
      <c r="D25" s="1336" t="s">
        <v>9120</v>
      </c>
      <c r="E25" s="1335" t="s">
        <v>9034</v>
      </c>
    </row>
    <row r="26">
      <c r="A26" s="1335" t="s">
        <v>9121</v>
      </c>
      <c r="B26" s="1335" t="s">
        <v>9122</v>
      </c>
      <c r="C26" s="1336" t="s">
        <v>9123</v>
      </c>
      <c r="D26" s="1336" t="s">
        <v>9124</v>
      </c>
      <c r="E26" s="1335" t="s">
        <v>9034</v>
      </c>
    </row>
    <row r="27">
      <c r="A27" s="1335" t="s">
        <v>9125</v>
      </c>
      <c r="B27" s="1335" t="s">
        <v>9122</v>
      </c>
      <c r="C27" s="1336" t="s">
        <v>9126</v>
      </c>
      <c r="D27" s="1336" t="s">
        <v>9127</v>
      </c>
      <c r="E27" s="1335" t="s">
        <v>9034</v>
      </c>
    </row>
    <row r="28">
      <c r="A28" s="1335" t="s">
        <v>9128</v>
      </c>
      <c r="B28" s="1335" t="s">
        <v>9129</v>
      </c>
      <c r="C28" s="1336" t="s">
        <v>9130</v>
      </c>
      <c r="D28" s="1336" t="s">
        <v>9131</v>
      </c>
      <c r="E28" s="1335" t="s">
        <v>9034</v>
      </c>
    </row>
    <row r="29">
      <c r="A29" s="1335" t="s">
        <v>9132</v>
      </c>
      <c r="B29" s="1335" t="s">
        <v>9133</v>
      </c>
      <c r="C29" s="1336" t="s">
        <v>9134</v>
      </c>
      <c r="D29" s="1336" t="s">
        <v>9135</v>
      </c>
      <c r="E29" s="1335" t="s">
        <v>9034</v>
      </c>
    </row>
    <row r="30">
      <c r="A30" s="1335" t="s">
        <v>9136</v>
      </c>
      <c r="B30" s="1335" t="s">
        <v>9137</v>
      </c>
      <c r="C30" s="1336" t="s">
        <v>9138</v>
      </c>
      <c r="D30" s="1336" t="s">
        <v>9139</v>
      </c>
      <c r="E30" s="1335" t="s">
        <v>9034</v>
      </c>
    </row>
    <row r="31">
      <c r="A31" s="1335" t="s">
        <v>9140</v>
      </c>
      <c r="B31" s="1335" t="s">
        <v>9141</v>
      </c>
      <c r="C31" s="1336" t="s">
        <v>9142</v>
      </c>
      <c r="D31" s="1336" t="s">
        <v>9143</v>
      </c>
      <c r="E31" s="1335" t="s">
        <v>9034</v>
      </c>
    </row>
    <row r="32">
      <c r="A32" s="1335" t="s">
        <v>9144</v>
      </c>
      <c r="B32" s="1335" t="s">
        <v>9110</v>
      </c>
      <c r="C32" s="1336" t="s">
        <v>9145</v>
      </c>
      <c r="D32" s="1336" t="s">
        <v>9146</v>
      </c>
      <c r="E32" s="1335" t="s">
        <v>9034</v>
      </c>
    </row>
    <row r="33">
      <c r="A33" s="1335" t="s">
        <v>9147</v>
      </c>
      <c r="B33" s="1335" t="s">
        <v>9148</v>
      </c>
      <c r="C33" s="1336" t="s">
        <v>9149</v>
      </c>
      <c r="D33" s="1336" t="s">
        <v>9150</v>
      </c>
      <c r="E33" s="1335" t="s">
        <v>9039</v>
      </c>
    </row>
    <row r="34">
      <c r="A34" s="1335" t="s">
        <v>9151</v>
      </c>
      <c r="B34" s="1335" t="s">
        <v>9152</v>
      </c>
      <c r="C34" s="1336" t="s">
        <v>9153</v>
      </c>
      <c r="D34" s="1336" t="s">
        <v>9154</v>
      </c>
      <c r="E34" s="1335" t="s">
        <v>9039</v>
      </c>
    </row>
    <row r="35">
      <c r="A35" s="1335" t="s">
        <v>9155</v>
      </c>
      <c r="B35" s="1335" t="s">
        <v>9156</v>
      </c>
      <c r="C35" s="1336" t="s">
        <v>9157</v>
      </c>
      <c r="D35" s="1336" t="s">
        <v>9158</v>
      </c>
      <c r="E35" s="1335" t="s">
        <v>9039</v>
      </c>
    </row>
    <row r="36">
      <c r="A36" s="1335" t="s">
        <v>9159</v>
      </c>
      <c r="B36" s="1335" t="s">
        <v>9160</v>
      </c>
      <c r="C36" s="1336" t="s">
        <v>9161</v>
      </c>
      <c r="D36" s="1336" t="s">
        <v>9162</v>
      </c>
      <c r="E36" s="1335" t="s">
        <v>9039</v>
      </c>
    </row>
    <row r="37">
      <c r="A37" s="1335" t="s">
        <v>9163</v>
      </c>
      <c r="B37" s="1335" t="s">
        <v>9164</v>
      </c>
      <c r="C37" s="1336" t="s">
        <v>9165</v>
      </c>
      <c r="D37" s="1336" t="s">
        <v>9166</v>
      </c>
      <c r="E37" s="1335" t="s">
        <v>9039</v>
      </c>
    </row>
    <row r="38">
      <c r="A38" s="1335" t="s">
        <v>9167</v>
      </c>
      <c r="B38" s="1335" t="s">
        <v>9168</v>
      </c>
      <c r="C38" s="1336" t="s">
        <v>9169</v>
      </c>
      <c r="D38" s="1336" t="s">
        <v>9170</v>
      </c>
      <c r="E38" s="1335" t="s">
        <v>9034</v>
      </c>
    </row>
    <row r="39">
      <c r="A39" s="1335" t="s">
        <v>9171</v>
      </c>
      <c r="B39" s="1335" t="s">
        <v>9172</v>
      </c>
      <c r="C39" s="1336" t="s">
        <v>9173</v>
      </c>
      <c r="D39" s="1336" t="s">
        <v>9174</v>
      </c>
      <c r="E39" s="1335" t="s">
        <v>9034</v>
      </c>
    </row>
    <row r="40">
      <c r="A40" s="1335" t="s">
        <v>9175</v>
      </c>
      <c r="B40" s="1335" t="s">
        <v>9176</v>
      </c>
      <c r="C40" s="1336" t="s">
        <v>9177</v>
      </c>
      <c r="D40" s="1336" t="s">
        <v>9178</v>
      </c>
      <c r="E40" s="1335" t="s">
        <v>9034</v>
      </c>
    </row>
    <row r="41">
      <c r="A41" s="1335" t="s">
        <v>9179</v>
      </c>
      <c r="B41" s="1335" t="s">
        <v>9180</v>
      </c>
      <c r="C41" s="1336" t="s">
        <v>9181</v>
      </c>
      <c r="D41" s="1336" t="s">
        <v>9182</v>
      </c>
      <c r="E41" s="1335" t="s">
        <v>9034</v>
      </c>
    </row>
  </sheetData>
  <mergeCells count="1">
    <mergeCell ref="A1:Z1"/>
  </mergeCells>
  <hyperlinks>
    <hyperlink r:id="rId1" ref="C3"/>
    <hyperlink r:id="rId2" ref="D3"/>
    <hyperlink r:id="rId3" ref="C4"/>
    <hyperlink r:id="rId4" ref="D4"/>
    <hyperlink r:id="rId5" ref="C5"/>
    <hyperlink r:id="rId6" ref="D5"/>
    <hyperlink r:id="rId7" ref="C6"/>
    <hyperlink r:id="rId8" ref="D6"/>
    <hyperlink r:id="rId9" ref="C7"/>
    <hyperlink r:id="rId10" ref="D7"/>
    <hyperlink r:id="rId11" ref="C8"/>
    <hyperlink r:id="rId12" ref="D8"/>
    <hyperlink r:id="rId13" ref="C9"/>
    <hyperlink r:id="rId14" ref="D9"/>
    <hyperlink r:id="rId15" ref="C10"/>
    <hyperlink r:id="rId16" ref="D10"/>
    <hyperlink r:id="rId17" ref="C11"/>
    <hyperlink r:id="rId18" ref="D11"/>
    <hyperlink r:id="rId19" ref="C12"/>
    <hyperlink r:id="rId20" ref="D12"/>
    <hyperlink r:id="rId21" ref="C13"/>
    <hyperlink r:id="rId22" ref="D13"/>
    <hyperlink r:id="rId23" ref="C14"/>
    <hyperlink r:id="rId24" ref="D14"/>
    <hyperlink r:id="rId25" ref="C15"/>
    <hyperlink r:id="rId26" ref="D15"/>
    <hyperlink r:id="rId27" ref="C16"/>
    <hyperlink r:id="rId28" ref="D16"/>
    <hyperlink r:id="rId29" ref="C17"/>
    <hyperlink r:id="rId30" ref="D17"/>
    <hyperlink r:id="rId31" ref="C18"/>
    <hyperlink r:id="rId32" ref="D18"/>
    <hyperlink r:id="rId33" ref="C19"/>
    <hyperlink r:id="rId34" ref="D19"/>
    <hyperlink r:id="rId35" ref="C20"/>
    <hyperlink r:id="rId36" ref="D20"/>
    <hyperlink r:id="rId37" ref="C21"/>
    <hyperlink r:id="rId38" ref="D21"/>
    <hyperlink r:id="rId39" ref="C22"/>
    <hyperlink r:id="rId40" ref="D22"/>
    <hyperlink r:id="rId41" ref="C23"/>
    <hyperlink r:id="rId42" ref="D23"/>
    <hyperlink r:id="rId43" ref="C24"/>
    <hyperlink r:id="rId44" ref="D24"/>
    <hyperlink r:id="rId45" ref="C25"/>
    <hyperlink r:id="rId46" ref="D25"/>
    <hyperlink r:id="rId47" ref="C26"/>
    <hyperlink r:id="rId48" ref="D26"/>
    <hyperlink r:id="rId49" ref="C27"/>
    <hyperlink r:id="rId50" ref="D27"/>
    <hyperlink r:id="rId51" ref="C28"/>
    <hyperlink r:id="rId52" ref="D28"/>
    <hyperlink r:id="rId53" ref="C29"/>
    <hyperlink r:id="rId54" ref="D29"/>
    <hyperlink r:id="rId55" ref="C30"/>
    <hyperlink r:id="rId56" ref="D30"/>
    <hyperlink r:id="rId57" ref="C31"/>
    <hyperlink r:id="rId58" ref="D31"/>
    <hyperlink r:id="rId59" ref="C32"/>
    <hyperlink r:id="rId60" ref="D32"/>
    <hyperlink r:id="rId61" ref="C33"/>
    <hyperlink r:id="rId62" ref="D33"/>
    <hyperlink r:id="rId63" ref="C34"/>
    <hyperlink r:id="rId64" ref="D34"/>
    <hyperlink r:id="rId65" ref="C35"/>
    <hyperlink r:id="rId66" ref="D35"/>
    <hyperlink r:id="rId67" ref="C36"/>
    <hyperlink r:id="rId68" ref="D36"/>
    <hyperlink r:id="rId69" ref="C37"/>
    <hyperlink r:id="rId70" ref="D37"/>
    <hyperlink r:id="rId71" ref="C38"/>
    <hyperlink r:id="rId72" ref="D38"/>
    <hyperlink r:id="rId73" ref="C39"/>
    <hyperlink r:id="rId74" ref="D39"/>
    <hyperlink r:id="rId75" ref="C40"/>
    <hyperlink r:id="rId76" ref="D40"/>
    <hyperlink r:id="rId77" ref="C41"/>
    <hyperlink r:id="rId78" ref="D41"/>
  </hyperlinks>
  <drawing r:id="rId7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7.0"/>
    <col customWidth="1" min="2" max="2" width="6.88"/>
    <col customWidth="1" min="3" max="3" width="49.75"/>
    <col customWidth="1" min="4" max="4" width="35.88"/>
    <col customWidth="1" min="5" max="5" width="21.38"/>
    <col customWidth="1" min="6" max="6" width="12.38"/>
    <col customWidth="1" min="7" max="7" width="21.38"/>
    <col customWidth="1" min="8" max="8" width="99.63"/>
  </cols>
  <sheetData>
    <row r="1" ht="57.0" customHeight="1">
      <c r="A1" s="164" t="s">
        <v>9183</v>
      </c>
      <c r="B1" s="53"/>
      <c r="C1" s="53"/>
      <c r="D1" s="53"/>
      <c r="E1" s="202"/>
      <c r="F1" s="3"/>
      <c r="G1" s="3"/>
      <c r="H1" s="4"/>
    </row>
    <row r="2" ht="37.5" customHeight="1">
      <c r="A2" s="5"/>
      <c r="B2" s="5" t="s">
        <v>0</v>
      </c>
      <c r="C2" s="5" t="s">
        <v>1</v>
      </c>
      <c r="D2" s="6" t="s">
        <v>2</v>
      </c>
      <c r="E2" s="6" t="s">
        <v>3</v>
      </c>
      <c r="F2" s="6" t="s">
        <v>9184</v>
      </c>
      <c r="G2" s="6" t="s">
        <v>5</v>
      </c>
      <c r="H2" s="6" t="s">
        <v>6</v>
      </c>
    </row>
    <row r="3" ht="26.25" customHeight="1">
      <c r="A3" s="7">
        <v>1.0</v>
      </c>
      <c r="B3" s="8" t="b">
        <v>0</v>
      </c>
      <c r="C3" s="135" t="s">
        <v>9185</v>
      </c>
      <c r="D3" s="135"/>
      <c r="E3" s="135">
        <v>7.70360808E9</v>
      </c>
      <c r="F3" s="14" t="b">
        <v>0</v>
      </c>
      <c r="G3" s="14"/>
      <c r="H3" s="14"/>
    </row>
    <row r="4" ht="26.25" customHeight="1">
      <c r="A4" s="7">
        <v>2.0</v>
      </c>
      <c r="B4" s="8" t="b">
        <v>0</v>
      </c>
      <c r="C4" s="135" t="s">
        <v>8469</v>
      </c>
      <c r="D4" s="135"/>
      <c r="E4" s="135">
        <v>7.509274444E9</v>
      </c>
      <c r="F4" s="14" t="b">
        <v>0</v>
      </c>
      <c r="G4" s="14"/>
      <c r="H4" s="14"/>
    </row>
    <row r="5" ht="26.25" customHeight="1">
      <c r="A5" s="7">
        <v>3.0</v>
      </c>
      <c r="B5" s="8" t="b">
        <v>0</v>
      </c>
      <c r="C5" s="135" t="s">
        <v>1998</v>
      </c>
      <c r="D5" s="135"/>
      <c r="E5" s="135">
        <v>7.504550357E9</v>
      </c>
      <c r="F5" s="14" t="b">
        <v>0</v>
      </c>
      <c r="G5" s="14"/>
      <c r="H5" s="14"/>
    </row>
    <row r="6" ht="26.25" customHeight="1">
      <c r="A6" s="7">
        <v>4.0</v>
      </c>
      <c r="B6" s="8" t="b">
        <v>0</v>
      </c>
      <c r="C6" s="1337" t="s">
        <v>9186</v>
      </c>
      <c r="D6" s="135"/>
      <c r="E6" s="135">
        <v>7.711399599E9</v>
      </c>
      <c r="F6" s="14" t="b">
        <v>1</v>
      </c>
      <c r="G6" s="14"/>
      <c r="H6" s="14"/>
    </row>
    <row r="7" ht="26.25" customHeight="1">
      <c r="A7" s="7">
        <v>5.0</v>
      </c>
      <c r="B7" s="8" t="b">
        <v>0</v>
      </c>
      <c r="C7" s="135" t="s">
        <v>9187</v>
      </c>
      <c r="D7" s="135"/>
      <c r="E7" s="135">
        <v>7.508887001E9</v>
      </c>
      <c r="F7" s="14" t="b">
        <v>0</v>
      </c>
      <c r="G7" s="14"/>
      <c r="H7" s="14"/>
    </row>
    <row r="8" ht="26.25" customHeight="1">
      <c r="A8" s="7">
        <v>6.0</v>
      </c>
      <c r="B8" s="8" t="b">
        <v>0</v>
      </c>
      <c r="C8" s="135" t="s">
        <v>9188</v>
      </c>
      <c r="D8" s="135"/>
      <c r="E8" s="135">
        <v>7.51723295E9</v>
      </c>
      <c r="F8" s="14" t="b">
        <v>0</v>
      </c>
      <c r="G8" s="14"/>
      <c r="H8" s="14"/>
    </row>
    <row r="9" ht="26.25" customHeight="1">
      <c r="A9" s="7">
        <v>7.0</v>
      </c>
      <c r="B9" s="8" t="b">
        <v>0</v>
      </c>
      <c r="C9" s="135" t="s">
        <v>9189</v>
      </c>
      <c r="D9" s="135"/>
      <c r="E9" s="135">
        <v>7.514497005E9</v>
      </c>
      <c r="F9" s="14" t="b">
        <v>0</v>
      </c>
      <c r="G9" s="14"/>
      <c r="H9" s="14"/>
    </row>
    <row r="10" ht="26.25" customHeight="1">
      <c r="A10" s="7">
        <v>8.0</v>
      </c>
      <c r="B10" s="8" t="b">
        <v>0</v>
      </c>
      <c r="C10" s="135" t="s">
        <v>4726</v>
      </c>
      <c r="D10" s="135"/>
      <c r="E10" s="135">
        <v>7.508882288E9</v>
      </c>
      <c r="F10" s="14" t="b">
        <v>0</v>
      </c>
      <c r="G10" s="14"/>
      <c r="H10" s="14"/>
    </row>
    <row r="11" ht="26.25" customHeight="1">
      <c r="A11" s="7">
        <v>9.0</v>
      </c>
      <c r="B11" s="8" t="b">
        <v>0</v>
      </c>
      <c r="C11" s="1337" t="s">
        <v>9190</v>
      </c>
      <c r="D11" s="135"/>
      <c r="E11" s="135">
        <v>7.713322737E9</v>
      </c>
      <c r="F11" s="14" t="b">
        <v>0</v>
      </c>
      <c r="G11" s="14"/>
      <c r="H11" s="14"/>
    </row>
    <row r="12" ht="26.25" customHeight="1">
      <c r="A12" s="7">
        <v>10.0</v>
      </c>
      <c r="B12" s="8" t="b">
        <v>0</v>
      </c>
      <c r="C12" s="135" t="s">
        <v>9191</v>
      </c>
      <c r="D12" s="135"/>
      <c r="E12" s="135">
        <v>7.50323098E9</v>
      </c>
      <c r="F12" s="14" t="b">
        <v>0</v>
      </c>
      <c r="G12" s="14"/>
      <c r="H12" s="14"/>
    </row>
    <row r="13" ht="26.25" customHeight="1">
      <c r="A13" s="7">
        <v>11.0</v>
      </c>
      <c r="B13" s="8" t="b">
        <v>0</v>
      </c>
      <c r="C13" s="135" t="s">
        <v>9192</v>
      </c>
      <c r="D13" s="135"/>
      <c r="E13" s="135">
        <v>7.51859003E9</v>
      </c>
      <c r="F13" s="14" t="b">
        <v>0</v>
      </c>
      <c r="G13" s="14"/>
      <c r="H13" s="14"/>
    </row>
    <row r="14" ht="26.25" customHeight="1">
      <c r="A14" s="7">
        <v>12.0</v>
      </c>
      <c r="B14" s="8" t="b">
        <v>0</v>
      </c>
      <c r="C14" s="135" t="s">
        <v>9193</v>
      </c>
      <c r="D14" s="1338"/>
      <c r="E14" s="1338"/>
      <c r="F14" s="14" t="b">
        <v>0</v>
      </c>
      <c r="G14" s="14"/>
      <c r="H14" s="14"/>
    </row>
    <row r="15" ht="26.25" customHeight="1">
      <c r="A15" s="7">
        <v>13.0</v>
      </c>
      <c r="B15" s="8" t="b">
        <v>0</v>
      </c>
      <c r="C15" s="135" t="s">
        <v>9194</v>
      </c>
      <c r="D15" s="135"/>
      <c r="E15" s="135">
        <v>7.518980217E9</v>
      </c>
      <c r="F15" s="14" t="b">
        <v>0</v>
      </c>
      <c r="G15" s="14"/>
      <c r="H15" s="14"/>
    </row>
    <row r="16" ht="26.25" customHeight="1">
      <c r="A16" s="7">
        <v>14.0</v>
      </c>
      <c r="B16" s="8" t="b">
        <v>0</v>
      </c>
      <c r="C16" s="135" t="s">
        <v>9195</v>
      </c>
      <c r="D16" s="135"/>
      <c r="E16" s="135">
        <v>6.6255001E8</v>
      </c>
      <c r="F16" s="14" t="b">
        <v>0</v>
      </c>
      <c r="G16" s="14"/>
      <c r="H16" s="14"/>
    </row>
    <row r="17" ht="26.25" customHeight="1">
      <c r="A17" s="7">
        <v>15.0</v>
      </c>
      <c r="B17" s="8" t="b">
        <v>0</v>
      </c>
      <c r="C17" s="135" t="s">
        <v>9196</v>
      </c>
      <c r="D17" s="135"/>
      <c r="E17" s="135">
        <v>7.715795926E9</v>
      </c>
      <c r="F17" s="14" t="b">
        <v>0</v>
      </c>
      <c r="G17" s="14"/>
      <c r="H17" s="14"/>
    </row>
    <row r="18" ht="26.25" customHeight="1">
      <c r="A18" s="7">
        <v>16.0</v>
      </c>
      <c r="B18" s="8" t="b">
        <v>0</v>
      </c>
      <c r="C18" s="135" t="s">
        <v>9197</v>
      </c>
      <c r="D18" s="135"/>
      <c r="E18" s="135">
        <v>7.901361618E9</v>
      </c>
      <c r="F18" s="14" t="b">
        <v>0</v>
      </c>
      <c r="G18" s="14"/>
      <c r="H18" s="14"/>
    </row>
    <row r="19" ht="26.25" customHeight="1">
      <c r="A19" s="7">
        <v>17.0</v>
      </c>
      <c r="B19" s="8" t="b">
        <v>0</v>
      </c>
      <c r="C19" s="135" t="s">
        <v>9198</v>
      </c>
      <c r="D19" s="1338"/>
      <c r="E19" s="1338"/>
      <c r="F19" s="14" t="b">
        <v>0</v>
      </c>
      <c r="G19" s="14"/>
      <c r="H19" s="14"/>
    </row>
    <row r="20" ht="26.25" customHeight="1">
      <c r="A20" s="7">
        <v>18.0</v>
      </c>
      <c r="B20" s="8" t="b">
        <v>0</v>
      </c>
      <c r="C20" s="1339" t="s">
        <v>9199</v>
      </c>
      <c r="D20" s="135"/>
      <c r="E20" s="135">
        <v>7.83304364E9</v>
      </c>
      <c r="F20" s="14" t="b">
        <v>0</v>
      </c>
      <c r="G20" s="14"/>
      <c r="H20" s="14"/>
    </row>
    <row r="21" ht="26.25" customHeight="1">
      <c r="A21" s="7">
        <v>19.0</v>
      </c>
      <c r="B21" s="8" t="b">
        <v>0</v>
      </c>
      <c r="C21" s="135" t="s">
        <v>9200</v>
      </c>
      <c r="D21" s="135"/>
      <c r="E21" s="135">
        <v>7.504460565E9</v>
      </c>
      <c r="F21" s="14" t="b">
        <v>0</v>
      </c>
      <c r="G21" s="14"/>
      <c r="H21" s="14"/>
    </row>
    <row r="22" ht="26.25" customHeight="1">
      <c r="A22" s="7">
        <v>20.0</v>
      </c>
      <c r="B22" s="8" t="b">
        <v>0</v>
      </c>
      <c r="C22" s="135" t="s">
        <v>9201</v>
      </c>
      <c r="D22" s="135"/>
      <c r="E22" s="135">
        <v>7.501458004E9</v>
      </c>
      <c r="F22" s="14" t="b">
        <v>1</v>
      </c>
      <c r="G22" s="14"/>
      <c r="H22" s="14"/>
    </row>
    <row r="23" ht="26.25" customHeight="1">
      <c r="A23" s="7">
        <v>21.0</v>
      </c>
      <c r="B23" s="8" t="b">
        <v>0</v>
      </c>
      <c r="C23" s="135" t="s">
        <v>9202</v>
      </c>
      <c r="D23" s="135"/>
      <c r="E23" s="135">
        <v>7.514607878E9</v>
      </c>
      <c r="F23" s="14" t="b">
        <v>1</v>
      </c>
      <c r="G23" s="14"/>
      <c r="H23" s="14"/>
    </row>
    <row r="24" ht="26.25" customHeight="1">
      <c r="A24" s="7">
        <v>22.0</v>
      </c>
      <c r="B24" s="8" t="b">
        <v>0</v>
      </c>
      <c r="C24" s="135" t="s">
        <v>2010</v>
      </c>
      <c r="D24" s="135"/>
      <c r="E24" s="135">
        <v>7.511434787E9</v>
      </c>
      <c r="F24" s="14" t="b">
        <v>1</v>
      </c>
      <c r="G24" s="14"/>
      <c r="H24" s="14"/>
    </row>
    <row r="25" ht="26.25" customHeight="1">
      <c r="A25" s="7">
        <v>23.0</v>
      </c>
      <c r="B25" s="8" t="b">
        <v>0</v>
      </c>
      <c r="C25" s="135" t="s">
        <v>9203</v>
      </c>
      <c r="D25" s="135"/>
      <c r="E25" s="135">
        <v>7.506225858E9</v>
      </c>
      <c r="F25" s="14" t="b">
        <v>1</v>
      </c>
      <c r="G25" s="14"/>
      <c r="H25" s="14"/>
    </row>
    <row r="26" ht="26.25" customHeight="1">
      <c r="A26" s="7">
        <v>24.0</v>
      </c>
      <c r="B26" s="8" t="b">
        <v>0</v>
      </c>
      <c r="C26" s="135" t="s">
        <v>9204</v>
      </c>
      <c r="D26" s="135"/>
      <c r="E26" s="135">
        <v>7.502132288E9</v>
      </c>
      <c r="F26" s="14" t="b">
        <v>1</v>
      </c>
      <c r="G26" s="14"/>
      <c r="H26" s="14"/>
    </row>
    <row r="27" ht="26.25" customHeight="1">
      <c r="A27" s="7">
        <v>25.0</v>
      </c>
      <c r="B27" s="8" t="b">
        <v>0</v>
      </c>
      <c r="C27" s="135" t="s">
        <v>9205</v>
      </c>
      <c r="D27" s="135"/>
      <c r="E27" s="135">
        <v>7.507236129E9</v>
      </c>
      <c r="F27" s="14" t="b">
        <v>1</v>
      </c>
      <c r="G27" s="14"/>
      <c r="H27" s="14"/>
    </row>
    <row r="28" ht="26.25" customHeight="1">
      <c r="A28" s="7">
        <v>26.0</v>
      </c>
      <c r="B28" s="8" t="b">
        <v>0</v>
      </c>
      <c r="C28" s="135" t="s">
        <v>9206</v>
      </c>
      <c r="D28" s="135"/>
      <c r="E28" s="135">
        <v>7.903362198E9</v>
      </c>
      <c r="F28" s="14" t="b">
        <v>0</v>
      </c>
      <c r="G28" s="14"/>
      <c r="H28" s="14"/>
    </row>
    <row r="29" ht="26.25" customHeight="1">
      <c r="A29" s="7">
        <v>27.0</v>
      </c>
      <c r="B29" s="8" t="b">
        <v>0</v>
      </c>
      <c r="C29" s="135" t="s">
        <v>9207</v>
      </c>
      <c r="D29" s="135"/>
      <c r="E29" s="135">
        <v>7.508616173E9</v>
      </c>
      <c r="F29" s="14" t="b">
        <v>0</v>
      </c>
      <c r="G29" s="14"/>
      <c r="H29" s="14"/>
    </row>
    <row r="30" ht="26.25" customHeight="1">
      <c r="A30" s="7">
        <v>28.0</v>
      </c>
      <c r="B30" s="8" t="b">
        <v>0</v>
      </c>
      <c r="C30" s="135" t="s">
        <v>9208</v>
      </c>
      <c r="D30" s="135"/>
      <c r="E30" s="135">
        <v>7.501511216E9</v>
      </c>
      <c r="F30" s="14" t="b">
        <v>1</v>
      </c>
      <c r="G30" s="14"/>
      <c r="H30" s="14"/>
    </row>
    <row r="31" ht="26.25" customHeight="1">
      <c r="A31" s="7">
        <v>29.0</v>
      </c>
      <c r="B31" s="8" t="b">
        <v>0</v>
      </c>
      <c r="C31" s="135" t="s">
        <v>9209</v>
      </c>
      <c r="D31" s="1338"/>
      <c r="E31" s="1338"/>
      <c r="F31" s="14" t="b">
        <v>0</v>
      </c>
      <c r="G31" s="14"/>
      <c r="H31" s="14"/>
    </row>
    <row r="32" ht="26.25" customHeight="1">
      <c r="A32" s="7">
        <v>30.0</v>
      </c>
      <c r="B32" s="8" t="b">
        <v>0</v>
      </c>
      <c r="C32" s="135" t="s">
        <v>2007</v>
      </c>
      <c r="D32" s="135"/>
      <c r="E32" s="135">
        <v>7.50301103E9</v>
      </c>
      <c r="F32" s="14" t="b">
        <v>0</v>
      </c>
      <c r="G32" s="14"/>
      <c r="H32" s="14"/>
    </row>
    <row r="33" ht="26.25" customHeight="1">
      <c r="A33" s="7">
        <v>31.0</v>
      </c>
      <c r="B33" s="8" t="b">
        <v>0</v>
      </c>
      <c r="C33" s="1339" t="s">
        <v>9210</v>
      </c>
      <c r="D33" s="135"/>
      <c r="E33" s="135">
        <v>7.50310211E9</v>
      </c>
      <c r="F33" s="14" t="b">
        <v>0</v>
      </c>
      <c r="G33" s="14"/>
      <c r="H33" s="14"/>
    </row>
    <row r="34" ht="26.25" customHeight="1">
      <c r="A34" s="7">
        <v>32.0</v>
      </c>
      <c r="B34" s="8" t="b">
        <v>0</v>
      </c>
      <c r="C34" s="135" t="s">
        <v>9211</v>
      </c>
      <c r="D34" s="135"/>
      <c r="E34" s="135">
        <v>7.502095E9</v>
      </c>
      <c r="F34" s="14" t="b">
        <v>0</v>
      </c>
      <c r="G34" s="14"/>
      <c r="H34" s="14"/>
    </row>
    <row r="35" ht="26.25" customHeight="1">
      <c r="A35" s="7">
        <v>33.0</v>
      </c>
      <c r="B35" s="8" t="b">
        <v>0</v>
      </c>
      <c r="C35" s="135" t="s">
        <v>9212</v>
      </c>
      <c r="D35" s="135"/>
      <c r="E35" s="135">
        <v>7.701558417E9</v>
      </c>
      <c r="F35" s="14" t="b">
        <v>0</v>
      </c>
      <c r="G35" s="14"/>
      <c r="H35" s="14"/>
    </row>
    <row r="36" ht="26.25" customHeight="1">
      <c r="A36" s="7">
        <v>34.0</v>
      </c>
      <c r="B36" s="8" t="b">
        <v>0</v>
      </c>
      <c r="C36" s="135" t="s">
        <v>9213</v>
      </c>
      <c r="D36" s="135"/>
      <c r="E36" s="135">
        <v>9.07504459794E11</v>
      </c>
      <c r="F36" s="14" t="b">
        <v>0</v>
      </c>
      <c r="G36" s="14"/>
      <c r="H36" s="14"/>
    </row>
    <row r="37" ht="26.25" customHeight="1">
      <c r="A37" s="7">
        <v>35.0</v>
      </c>
      <c r="B37" s="8" t="b">
        <v>0</v>
      </c>
      <c r="C37" s="135" t="s">
        <v>9214</v>
      </c>
      <c r="D37" s="135"/>
      <c r="E37" s="135">
        <v>7.504457204E9</v>
      </c>
      <c r="F37" s="14" t="b">
        <v>0</v>
      </c>
      <c r="G37" s="14"/>
      <c r="H37" s="14"/>
    </row>
    <row r="38" ht="26.25" customHeight="1">
      <c r="A38" s="7">
        <v>36.0</v>
      </c>
      <c r="B38" s="8" t="b">
        <v>0</v>
      </c>
      <c r="C38" s="135" t="s">
        <v>9215</v>
      </c>
      <c r="D38" s="135"/>
      <c r="E38" s="135">
        <v>7.5072718E9</v>
      </c>
      <c r="F38" s="14" t="b">
        <v>0</v>
      </c>
      <c r="G38" s="14"/>
      <c r="H38" s="14"/>
    </row>
    <row r="39" ht="26.25" customHeight="1">
      <c r="A39" s="7">
        <v>37.0</v>
      </c>
      <c r="B39" s="8" t="b">
        <v>0</v>
      </c>
      <c r="C39" s="135" t="s">
        <v>9216</v>
      </c>
      <c r="D39" s="135"/>
      <c r="E39" s="135">
        <v>7.703266667E9</v>
      </c>
      <c r="F39" s="14" t="b">
        <v>0</v>
      </c>
      <c r="G39" s="14"/>
      <c r="H39" s="14"/>
    </row>
    <row r="40" ht="26.25" customHeight="1">
      <c r="A40" s="7">
        <v>38.0</v>
      </c>
      <c r="B40" s="8" t="b">
        <v>0</v>
      </c>
      <c r="C40" s="135" t="s">
        <v>9217</v>
      </c>
      <c r="D40" s="1338"/>
      <c r="E40" s="1338"/>
      <c r="F40" s="14" t="b">
        <v>0</v>
      </c>
      <c r="G40" s="14"/>
      <c r="H40" s="14"/>
    </row>
    <row r="41" ht="26.25" customHeight="1">
      <c r="A41" s="7">
        <v>39.0</v>
      </c>
      <c r="B41" s="8" t="b">
        <v>0</v>
      </c>
      <c r="C41" s="135" t="s">
        <v>9218</v>
      </c>
      <c r="D41" s="135"/>
      <c r="E41" s="135">
        <v>7.901328906E9</v>
      </c>
      <c r="F41" s="14" t="b">
        <v>0</v>
      </c>
      <c r="G41" s="14"/>
      <c r="H41" s="14"/>
    </row>
    <row r="42" ht="26.25" customHeight="1">
      <c r="A42" s="7">
        <v>40.0</v>
      </c>
      <c r="B42" s="8" t="b">
        <v>0</v>
      </c>
      <c r="C42" s="135" t="s">
        <v>9219</v>
      </c>
      <c r="D42" s="1338"/>
      <c r="E42" s="1338"/>
      <c r="F42" s="14" t="b">
        <v>0</v>
      </c>
      <c r="G42" s="14"/>
      <c r="H42" s="14"/>
    </row>
    <row r="43" ht="26.25" customHeight="1">
      <c r="A43" s="7">
        <v>41.0</v>
      </c>
      <c r="B43" s="8" t="b">
        <v>0</v>
      </c>
      <c r="C43" s="135" t="s">
        <v>9220</v>
      </c>
      <c r="D43" s="135"/>
      <c r="E43" s="135">
        <v>7.702722099E9</v>
      </c>
      <c r="F43" s="14" t="b">
        <v>0</v>
      </c>
      <c r="G43" s="14"/>
      <c r="H43" s="14"/>
    </row>
    <row r="44" ht="26.25" customHeight="1">
      <c r="A44" s="7">
        <v>42.0</v>
      </c>
      <c r="B44" s="8" t="b">
        <v>0</v>
      </c>
      <c r="C44" s="135" t="s">
        <v>9221</v>
      </c>
      <c r="D44" s="135"/>
      <c r="E44" s="135">
        <v>7.504345333E9</v>
      </c>
      <c r="F44" s="14" t="b">
        <v>0</v>
      </c>
      <c r="G44" s="14"/>
      <c r="H44" s="14"/>
    </row>
    <row r="45" ht="26.25" customHeight="1">
      <c r="A45" s="7">
        <v>43.0</v>
      </c>
      <c r="B45" s="8" t="b">
        <v>0</v>
      </c>
      <c r="C45" s="135" t="s">
        <v>9222</v>
      </c>
      <c r="D45" s="135"/>
      <c r="E45" s="135">
        <v>7.502207262E9</v>
      </c>
      <c r="F45" s="14" t="b">
        <v>0</v>
      </c>
      <c r="G45" s="14"/>
      <c r="H45" s="14"/>
    </row>
    <row r="46" ht="26.25" customHeight="1">
      <c r="A46" s="7">
        <v>44.0</v>
      </c>
      <c r="B46" s="8" t="b">
        <v>0</v>
      </c>
      <c r="C46" s="1337" t="s">
        <v>9223</v>
      </c>
      <c r="D46" s="135"/>
      <c r="E46" s="135">
        <v>7.70606066E9</v>
      </c>
      <c r="F46" s="14" t="b">
        <v>0</v>
      </c>
      <c r="G46" s="14"/>
      <c r="H46" s="14"/>
    </row>
    <row r="47" ht="26.25" customHeight="1">
      <c r="A47" s="7">
        <v>45.0</v>
      </c>
      <c r="B47" s="8" t="b">
        <v>0</v>
      </c>
      <c r="C47" s="135" t="s">
        <v>7559</v>
      </c>
      <c r="D47" s="135"/>
      <c r="E47" s="135">
        <v>7.702216005E9</v>
      </c>
      <c r="F47" s="14" t="b">
        <v>0</v>
      </c>
      <c r="G47" s="14"/>
      <c r="H47" s="14"/>
    </row>
    <row r="48">
      <c r="A48" s="7">
        <v>46.0</v>
      </c>
      <c r="B48" s="8" t="b">
        <v>0</v>
      </c>
      <c r="C48" s="135" t="s">
        <v>9224</v>
      </c>
      <c r="D48" s="135"/>
      <c r="E48" s="135">
        <v>7.504865893E9</v>
      </c>
      <c r="F48" s="14" t="b">
        <v>0</v>
      </c>
      <c r="G48" s="14"/>
      <c r="H48" s="14"/>
    </row>
    <row r="49" ht="22.5" customHeight="1">
      <c r="A49" s="7">
        <v>47.0</v>
      </c>
      <c r="B49" s="8" t="b">
        <v>0</v>
      </c>
      <c r="C49" s="135" t="s">
        <v>9225</v>
      </c>
      <c r="D49" s="135"/>
      <c r="E49" s="135">
        <v>7.504679724E9</v>
      </c>
      <c r="F49" s="14" t="b">
        <v>0</v>
      </c>
      <c r="G49" s="14"/>
      <c r="H49" s="14"/>
    </row>
    <row r="50" ht="22.5" customHeight="1">
      <c r="A50" s="7">
        <v>48.0</v>
      </c>
      <c r="B50" s="8" t="b">
        <v>0</v>
      </c>
      <c r="C50" s="1339" t="s">
        <v>9226</v>
      </c>
      <c r="D50" s="135"/>
      <c r="E50" s="135">
        <v>7.712222602E9</v>
      </c>
      <c r="F50" s="14" t="b">
        <v>0</v>
      </c>
      <c r="G50" s="14"/>
      <c r="H50" s="14"/>
    </row>
    <row r="51" ht="22.5" customHeight="1">
      <c r="A51" s="7">
        <v>49.0</v>
      </c>
      <c r="B51" s="8" t="b">
        <v>0</v>
      </c>
      <c r="C51" s="1339" t="s">
        <v>9227</v>
      </c>
      <c r="D51" s="135"/>
      <c r="E51" s="135">
        <v>7.702559E9</v>
      </c>
      <c r="F51" s="14" t="b">
        <v>0</v>
      </c>
      <c r="G51" s="14"/>
      <c r="H51" s="14"/>
    </row>
    <row r="52" ht="22.5" customHeight="1">
      <c r="A52" s="7">
        <v>50.0</v>
      </c>
      <c r="B52" s="8" t="b">
        <v>0</v>
      </c>
      <c r="C52" s="135" t="s">
        <v>4053</v>
      </c>
      <c r="D52" s="1338"/>
      <c r="E52" s="1338"/>
      <c r="F52" s="14" t="b">
        <v>0</v>
      </c>
      <c r="G52" s="14"/>
      <c r="H52" s="14"/>
    </row>
    <row r="53" ht="22.5" customHeight="1">
      <c r="A53" s="7">
        <v>51.0</v>
      </c>
      <c r="B53" s="8" t="b">
        <v>0</v>
      </c>
      <c r="C53" s="135" t="s">
        <v>9228</v>
      </c>
      <c r="D53" s="135"/>
      <c r="E53" s="135">
        <v>7.718971133E9</v>
      </c>
      <c r="F53" s="14" t="b">
        <v>0</v>
      </c>
      <c r="G53" s="14"/>
      <c r="H53" s="14"/>
    </row>
    <row r="54" ht="22.5" customHeight="1">
      <c r="A54" s="7">
        <v>52.0</v>
      </c>
      <c r="B54" s="8" t="b">
        <v>0</v>
      </c>
      <c r="C54" s="135" t="s">
        <v>9229</v>
      </c>
      <c r="D54" s="1338"/>
      <c r="E54" s="1338"/>
      <c r="F54" s="14" t="b">
        <v>0</v>
      </c>
      <c r="G54" s="14"/>
      <c r="H54" s="14"/>
    </row>
    <row r="55" ht="22.5" customHeight="1">
      <c r="A55" s="7">
        <v>53.0</v>
      </c>
      <c r="B55" s="8" t="b">
        <v>0</v>
      </c>
      <c r="C55" s="135" t="s">
        <v>2037</v>
      </c>
      <c r="D55" s="135"/>
      <c r="E55" s="135">
        <v>7.70644404E9</v>
      </c>
      <c r="F55" s="14" t="b">
        <v>0</v>
      </c>
      <c r="G55" s="14"/>
      <c r="H55" s="14"/>
    </row>
    <row r="56" ht="22.5" customHeight="1">
      <c r="A56" s="7">
        <v>54.0</v>
      </c>
      <c r="B56" s="8" t="b">
        <v>0</v>
      </c>
      <c r="C56" s="135" t="s">
        <v>9230</v>
      </c>
      <c r="D56" s="135"/>
      <c r="E56" s="135">
        <v>7.708068064E9</v>
      </c>
      <c r="F56" s="14" t="b">
        <v>0</v>
      </c>
      <c r="G56" s="14"/>
      <c r="H56" s="14"/>
    </row>
    <row r="57" ht="22.5" customHeight="1">
      <c r="A57" s="7">
        <v>55.0</v>
      </c>
      <c r="B57" s="8" t="b">
        <v>0</v>
      </c>
      <c r="C57" s="135" t="s">
        <v>1993</v>
      </c>
      <c r="D57" s="1338"/>
      <c r="E57" s="1338"/>
      <c r="F57" s="14" t="b">
        <v>0</v>
      </c>
      <c r="G57" s="14"/>
      <c r="H57" s="14"/>
    </row>
    <row r="58" ht="22.5" customHeight="1">
      <c r="A58" s="7">
        <v>56.0</v>
      </c>
      <c r="B58" s="8" t="b">
        <v>0</v>
      </c>
      <c r="C58" s="135" t="s">
        <v>4053</v>
      </c>
      <c r="D58" s="135"/>
      <c r="E58" s="135">
        <v>7.709008064E9</v>
      </c>
      <c r="F58" s="14" t="b">
        <v>0</v>
      </c>
      <c r="G58" s="14"/>
      <c r="H58" s="14"/>
    </row>
    <row r="59" ht="22.5" customHeight="1">
      <c r="A59" s="7">
        <v>57.0</v>
      </c>
      <c r="B59" s="8" t="b">
        <v>0</v>
      </c>
      <c r="C59" s="135" t="s">
        <v>9231</v>
      </c>
      <c r="D59" s="1338"/>
      <c r="E59" s="1338"/>
      <c r="F59" s="14" t="b">
        <v>0</v>
      </c>
      <c r="G59" s="14"/>
      <c r="H59" s="14"/>
    </row>
    <row r="60" ht="22.5" customHeight="1">
      <c r="A60" s="7">
        <v>58.0</v>
      </c>
      <c r="B60" s="8" t="b">
        <v>0</v>
      </c>
      <c r="C60" s="135" t="s">
        <v>9232</v>
      </c>
      <c r="D60" s="135"/>
      <c r="E60" s="135">
        <v>7.714777E9</v>
      </c>
      <c r="F60" s="14" t="b">
        <v>0</v>
      </c>
      <c r="G60" s="14"/>
      <c r="H60" s="14"/>
    </row>
    <row r="61" ht="22.5" customHeight="1">
      <c r="A61" s="7">
        <v>59.0</v>
      </c>
      <c r="B61" s="8" t="b">
        <v>0</v>
      </c>
      <c r="C61" s="1337" t="s">
        <v>9233</v>
      </c>
      <c r="D61" s="135"/>
      <c r="E61" s="135">
        <v>7.722299929E9</v>
      </c>
      <c r="F61" s="14" t="b">
        <v>0</v>
      </c>
      <c r="G61" s="14"/>
      <c r="H61" s="14"/>
    </row>
    <row r="62" ht="22.5" customHeight="1">
      <c r="A62" s="7">
        <v>60.0</v>
      </c>
      <c r="B62" s="8" t="b">
        <v>0</v>
      </c>
      <c r="C62" s="1337" t="s">
        <v>9234</v>
      </c>
      <c r="D62" s="135"/>
      <c r="E62" s="135">
        <v>7.730370705E9</v>
      </c>
      <c r="F62" s="14" t="b">
        <v>0</v>
      </c>
      <c r="G62" s="14"/>
      <c r="H62" s="14"/>
    </row>
    <row r="63" ht="22.5" customHeight="1">
      <c r="A63" s="7">
        <v>61.0</v>
      </c>
      <c r="B63" s="8" t="b">
        <v>0</v>
      </c>
      <c r="C63" s="135" t="s">
        <v>9235</v>
      </c>
      <c r="D63" s="135"/>
      <c r="E63" s="135">
        <v>7.713331777E9</v>
      </c>
      <c r="F63" s="14" t="b">
        <v>0</v>
      </c>
      <c r="G63" s="14"/>
      <c r="H63" s="14"/>
    </row>
    <row r="64" ht="22.5" customHeight="1">
      <c r="A64" s="7">
        <v>62.0</v>
      </c>
      <c r="B64" s="8" t="b">
        <v>0</v>
      </c>
      <c r="C64" s="135" t="s">
        <v>9236</v>
      </c>
      <c r="D64" s="135"/>
      <c r="E64" s="135" t="s">
        <v>9237</v>
      </c>
      <c r="F64" s="14" t="b">
        <v>0</v>
      </c>
      <c r="G64" s="14"/>
      <c r="H64" s="14"/>
    </row>
    <row r="65" ht="22.5" customHeight="1">
      <c r="A65" s="7">
        <v>63.0</v>
      </c>
      <c r="B65" s="8" t="b">
        <v>0</v>
      </c>
      <c r="C65" s="135" t="s">
        <v>4726</v>
      </c>
      <c r="D65" s="135"/>
      <c r="E65" s="135" t="s">
        <v>9238</v>
      </c>
      <c r="F65" s="14" t="b">
        <v>0</v>
      </c>
      <c r="G65" s="14"/>
      <c r="H65" s="14"/>
    </row>
    <row r="66" ht="22.5" customHeight="1">
      <c r="A66" s="7">
        <v>64.0</v>
      </c>
      <c r="B66" s="8" t="b">
        <v>0</v>
      </c>
      <c r="C66" s="135" t="s">
        <v>4206</v>
      </c>
      <c r="D66" s="135"/>
      <c r="E66" s="135" t="s">
        <v>9239</v>
      </c>
      <c r="F66" s="14" t="b">
        <v>1</v>
      </c>
      <c r="G66" s="14"/>
      <c r="H66" s="14"/>
    </row>
    <row r="67" ht="22.5" customHeight="1">
      <c r="A67" s="7">
        <v>65.0</v>
      </c>
      <c r="B67" s="8" t="b">
        <v>0</v>
      </c>
      <c r="C67" s="135" t="s">
        <v>9240</v>
      </c>
      <c r="D67" s="135"/>
      <c r="E67" s="135" t="s">
        <v>9241</v>
      </c>
      <c r="F67" s="14" t="b">
        <v>0</v>
      </c>
      <c r="G67" s="14"/>
      <c r="H67" s="14"/>
    </row>
    <row r="68" ht="22.5" customHeight="1">
      <c r="A68" s="7">
        <v>66.0</v>
      </c>
      <c r="B68" s="8" t="b">
        <v>0</v>
      </c>
      <c r="C68" s="135" t="s">
        <v>9242</v>
      </c>
      <c r="D68" s="135"/>
      <c r="E68" s="135" t="s">
        <v>9243</v>
      </c>
      <c r="F68" s="14" t="b">
        <v>0</v>
      </c>
      <c r="G68" s="14"/>
      <c r="H68" s="14"/>
    </row>
    <row r="69" ht="22.5" customHeight="1">
      <c r="A69" s="7">
        <v>67.0</v>
      </c>
      <c r="B69" s="8" t="b">
        <v>0</v>
      </c>
      <c r="C69" s="135" t="s">
        <v>8469</v>
      </c>
      <c r="D69" s="135"/>
      <c r="E69" s="135" t="s">
        <v>9244</v>
      </c>
      <c r="F69" s="14" t="b">
        <v>0</v>
      </c>
      <c r="G69" s="14"/>
      <c r="H69" s="14"/>
    </row>
    <row r="70" ht="22.5" customHeight="1">
      <c r="A70" s="7">
        <v>68.0</v>
      </c>
      <c r="B70" s="8" t="b">
        <v>0</v>
      </c>
      <c r="C70" s="135" t="s">
        <v>9245</v>
      </c>
      <c r="D70" s="135"/>
      <c r="E70" s="135" t="s">
        <v>9246</v>
      </c>
      <c r="F70" s="14" t="b">
        <v>1</v>
      </c>
      <c r="G70" s="14"/>
      <c r="H70" s="14"/>
    </row>
    <row r="71" ht="22.5" customHeight="1">
      <c r="A71" s="7">
        <v>69.0</v>
      </c>
      <c r="B71" s="8" t="b">
        <v>0</v>
      </c>
      <c r="C71" s="135" t="s">
        <v>1998</v>
      </c>
      <c r="D71" s="135"/>
      <c r="E71" s="135" t="s">
        <v>9247</v>
      </c>
      <c r="F71" s="14" t="b">
        <v>1</v>
      </c>
      <c r="G71" s="14"/>
      <c r="H71" s="14"/>
    </row>
    <row r="72" ht="22.5" customHeight="1">
      <c r="A72" s="7">
        <v>70.0</v>
      </c>
      <c r="B72" s="8" t="b">
        <v>0</v>
      </c>
      <c r="C72" s="135" t="s">
        <v>9248</v>
      </c>
      <c r="D72" s="135"/>
      <c r="E72" s="135" t="s">
        <v>9249</v>
      </c>
      <c r="F72" s="14" t="b">
        <v>0</v>
      </c>
      <c r="G72" s="14"/>
      <c r="H72" s="14"/>
    </row>
    <row r="73" ht="22.5" customHeight="1">
      <c r="A73" s="7">
        <v>71.0</v>
      </c>
      <c r="B73" s="8" t="b">
        <v>0</v>
      </c>
      <c r="C73" s="135" t="s">
        <v>9250</v>
      </c>
      <c r="D73" s="135"/>
      <c r="E73" s="135" t="s">
        <v>9251</v>
      </c>
      <c r="F73" s="14" t="b">
        <v>0</v>
      </c>
      <c r="G73" s="14"/>
      <c r="H73" s="14"/>
    </row>
    <row r="74" ht="22.5" customHeight="1">
      <c r="A74" s="7">
        <v>72.0</v>
      </c>
      <c r="B74" s="8" t="b">
        <v>0</v>
      </c>
      <c r="C74" s="135" t="s">
        <v>9252</v>
      </c>
      <c r="D74" s="135"/>
      <c r="E74" s="135" t="s">
        <v>9253</v>
      </c>
      <c r="F74" s="14" t="b">
        <v>0</v>
      </c>
      <c r="G74" s="14"/>
      <c r="H74" s="14"/>
    </row>
    <row r="75" ht="22.5" customHeight="1">
      <c r="A75" s="7">
        <v>73.0</v>
      </c>
      <c r="B75" s="8" t="b">
        <v>0</v>
      </c>
      <c r="C75" s="135" t="s">
        <v>9254</v>
      </c>
      <c r="D75" s="135"/>
      <c r="E75" s="135" t="s">
        <v>9255</v>
      </c>
      <c r="F75" s="14" t="b">
        <v>0</v>
      </c>
      <c r="G75" s="14"/>
      <c r="H75" s="14"/>
    </row>
    <row r="76" ht="22.5" customHeight="1">
      <c r="A76" s="7">
        <v>74.0</v>
      </c>
      <c r="B76" s="8" t="b">
        <v>0</v>
      </c>
      <c r="C76" s="135" t="s">
        <v>9256</v>
      </c>
      <c r="D76" s="135"/>
      <c r="E76" s="135" t="s">
        <v>9257</v>
      </c>
      <c r="F76" s="14" t="b">
        <v>0</v>
      </c>
      <c r="G76" s="14"/>
      <c r="H76" s="14"/>
    </row>
    <row r="77" ht="22.5" customHeight="1">
      <c r="A77" s="7">
        <v>75.0</v>
      </c>
      <c r="B77" s="8" t="b">
        <v>0</v>
      </c>
      <c r="C77" s="135" t="s">
        <v>9258</v>
      </c>
      <c r="D77" s="135"/>
      <c r="E77" s="135" t="s">
        <v>9259</v>
      </c>
      <c r="F77" s="14" t="b">
        <v>0</v>
      </c>
      <c r="G77" s="14"/>
      <c r="H77" s="14"/>
    </row>
    <row r="78" ht="22.5" customHeight="1">
      <c r="A78" s="7">
        <v>76.0</v>
      </c>
      <c r="B78" s="8" t="b">
        <v>0</v>
      </c>
      <c r="C78" s="135" t="s">
        <v>9260</v>
      </c>
      <c r="D78" s="135"/>
      <c r="E78" s="135" t="s">
        <v>9261</v>
      </c>
      <c r="F78" s="14" t="b">
        <v>0</v>
      </c>
      <c r="G78" s="14"/>
      <c r="H78" s="14"/>
    </row>
    <row r="79" ht="22.5" customHeight="1">
      <c r="A79" s="7">
        <v>77.0</v>
      </c>
      <c r="B79" s="8" t="b">
        <v>0</v>
      </c>
      <c r="C79" s="135" t="s">
        <v>9262</v>
      </c>
      <c r="D79" s="135"/>
      <c r="E79" s="135" t="s">
        <v>9263</v>
      </c>
      <c r="F79" s="14" t="b">
        <v>0</v>
      </c>
      <c r="G79" s="14"/>
      <c r="H79" s="14"/>
    </row>
    <row r="80" ht="22.5" customHeight="1">
      <c r="A80" s="7">
        <v>78.0</v>
      </c>
      <c r="B80" s="8" t="b">
        <v>0</v>
      </c>
      <c r="C80" s="135" t="s">
        <v>9264</v>
      </c>
      <c r="D80" s="135"/>
      <c r="E80" s="135" t="s">
        <v>9265</v>
      </c>
      <c r="F80" s="14" t="b">
        <v>0</v>
      </c>
      <c r="G80" s="14"/>
      <c r="H80" s="14"/>
    </row>
    <row r="81" ht="22.5" customHeight="1">
      <c r="A81" s="7">
        <v>79.0</v>
      </c>
      <c r="B81" s="8" t="b">
        <v>0</v>
      </c>
      <c r="C81" s="135" t="s">
        <v>9266</v>
      </c>
      <c r="D81" s="135"/>
      <c r="E81" s="135" t="s">
        <v>9267</v>
      </c>
      <c r="F81" s="14" t="b">
        <v>0</v>
      </c>
      <c r="G81" s="14"/>
      <c r="H81" s="14"/>
    </row>
    <row r="82" ht="22.5" customHeight="1">
      <c r="A82" s="7">
        <v>80.0</v>
      </c>
      <c r="B82" s="8" t="b">
        <v>0</v>
      </c>
      <c r="C82" s="135" t="s">
        <v>9268</v>
      </c>
      <c r="D82" s="135"/>
      <c r="E82" s="135" t="s">
        <v>9269</v>
      </c>
      <c r="F82" s="14" t="b">
        <v>0</v>
      </c>
      <c r="G82" s="14"/>
      <c r="H82" s="14"/>
    </row>
    <row r="83" ht="22.5" customHeight="1">
      <c r="A83" s="7">
        <v>81.0</v>
      </c>
      <c r="B83" s="8" t="b">
        <v>0</v>
      </c>
      <c r="C83" s="135" t="s">
        <v>9270</v>
      </c>
      <c r="D83" s="135"/>
      <c r="E83" s="135" t="s">
        <v>9271</v>
      </c>
      <c r="F83" s="14" t="b">
        <v>0</v>
      </c>
      <c r="G83" s="14"/>
      <c r="H83" s="14"/>
    </row>
    <row r="84" ht="22.5" customHeight="1">
      <c r="A84" s="1340">
        <v>82.0</v>
      </c>
      <c r="B84" s="8" t="b">
        <v>0</v>
      </c>
      <c r="C84" s="966" t="s">
        <v>9272</v>
      </c>
      <c r="D84" s="14" t="s">
        <v>9273</v>
      </c>
      <c r="E84" s="924">
        <v>7.504487852E9</v>
      </c>
      <c r="F84" s="14" t="b">
        <v>0</v>
      </c>
      <c r="G84" s="14"/>
      <c r="H84" s="969" t="s">
        <v>7009</v>
      </c>
    </row>
    <row r="85" ht="22.5" customHeight="1">
      <c r="A85" s="7">
        <v>83.0</v>
      </c>
      <c r="B85" s="8" t="b">
        <v>0</v>
      </c>
      <c r="C85" s="1341" t="s">
        <v>9274</v>
      </c>
      <c r="D85" s="12"/>
      <c r="E85" s="1342">
        <v>7.850000508E9</v>
      </c>
      <c r="F85" s="12" t="s">
        <v>9275</v>
      </c>
      <c r="G85" s="14"/>
      <c r="H85" s="14"/>
    </row>
    <row r="86" ht="22.5" customHeight="1">
      <c r="A86" s="7">
        <v>84.0</v>
      </c>
      <c r="B86" s="8" t="b">
        <v>0</v>
      </c>
      <c r="C86" s="1343" t="s">
        <v>9276</v>
      </c>
      <c r="D86" s="1344" t="s">
        <v>9277</v>
      </c>
      <c r="E86" s="1345">
        <v>7.703644068E9</v>
      </c>
      <c r="F86" s="1346" t="s">
        <v>9278</v>
      </c>
      <c r="G86" s="14"/>
      <c r="H86" s="14"/>
    </row>
    <row r="87" ht="22.5" customHeight="1">
      <c r="A87" s="7">
        <v>85.0</v>
      </c>
      <c r="B87" s="8" t="b">
        <v>0</v>
      </c>
      <c r="C87" s="1347" t="s">
        <v>9279</v>
      </c>
      <c r="D87" s="1348" t="s">
        <v>6403</v>
      </c>
      <c r="E87" s="1349">
        <v>7.504040446E9</v>
      </c>
      <c r="F87" s="1348" t="s">
        <v>9280</v>
      </c>
      <c r="G87" s="14"/>
      <c r="H87" s="14"/>
    </row>
    <row r="88" ht="22.5" customHeight="1">
      <c r="A88" s="7">
        <v>86.0</v>
      </c>
      <c r="B88" s="8" t="b">
        <v>0</v>
      </c>
      <c r="C88" s="1347" t="s">
        <v>9281</v>
      </c>
      <c r="D88" s="1348" t="s">
        <v>6403</v>
      </c>
      <c r="E88" s="1350" t="s">
        <v>9282</v>
      </c>
      <c r="F88" s="1348" t="s">
        <v>9283</v>
      </c>
      <c r="G88" s="14"/>
      <c r="H88" s="14"/>
    </row>
    <row r="89" ht="22.5" customHeight="1">
      <c r="A89" s="7">
        <v>87.0</v>
      </c>
      <c r="B89" s="8" t="b">
        <v>0</v>
      </c>
      <c r="C89" s="1347" t="s">
        <v>9284</v>
      </c>
      <c r="D89" s="1348" t="s">
        <v>2545</v>
      </c>
      <c r="E89" s="1349">
        <v>7.702396556E9</v>
      </c>
      <c r="F89" s="1348" t="s">
        <v>9285</v>
      </c>
      <c r="G89" s="14"/>
      <c r="H89" s="14"/>
    </row>
    <row r="90" ht="22.5" customHeight="1">
      <c r="A90" s="7">
        <v>88.0</v>
      </c>
      <c r="B90" s="8" t="b">
        <v>0</v>
      </c>
      <c r="C90" s="1347" t="s">
        <v>9286</v>
      </c>
      <c r="D90" s="1348" t="s">
        <v>2524</v>
      </c>
      <c r="E90" s="1349">
        <v>7.507881678E9</v>
      </c>
      <c r="F90" s="1348" t="s">
        <v>9287</v>
      </c>
      <c r="G90" s="14"/>
      <c r="H90" s="14"/>
    </row>
    <row r="91" ht="22.5" customHeight="1">
      <c r="A91" s="7">
        <v>89.0</v>
      </c>
      <c r="B91" s="8" t="b">
        <v>0</v>
      </c>
      <c r="C91" s="1347" t="s">
        <v>223</v>
      </c>
      <c r="D91" s="1348" t="s">
        <v>2524</v>
      </c>
      <c r="E91" s="1349">
        <v>7.504510403E9</v>
      </c>
      <c r="F91" s="1348" t="s">
        <v>9288</v>
      </c>
      <c r="G91" s="14"/>
      <c r="H91" s="14"/>
    </row>
    <row r="92" ht="22.5" customHeight="1">
      <c r="A92" s="7">
        <v>90.0</v>
      </c>
      <c r="B92" s="8" t="b">
        <v>0</v>
      </c>
      <c r="C92" s="1351" t="s">
        <v>9289</v>
      </c>
      <c r="D92" s="1352" t="s">
        <v>2524</v>
      </c>
      <c r="E92" s="1353">
        <v>7.506986535E9</v>
      </c>
      <c r="F92" s="1352" t="s">
        <v>9290</v>
      </c>
      <c r="G92" s="14"/>
      <c r="H92" s="14"/>
    </row>
    <row r="93" ht="22.5" customHeight="1">
      <c r="A93" s="7">
        <v>91.0</v>
      </c>
      <c r="B93" s="8" t="b">
        <v>0</v>
      </c>
      <c r="C93" s="1351" t="s">
        <v>9291</v>
      </c>
      <c r="D93" s="1352" t="s">
        <v>2524</v>
      </c>
      <c r="E93" s="1353">
        <v>7.508782121E9</v>
      </c>
      <c r="F93" s="1352" t="s">
        <v>9292</v>
      </c>
      <c r="G93" s="14"/>
      <c r="H93" s="14"/>
    </row>
    <row r="94" ht="22.5" customHeight="1">
      <c r="A94" s="7">
        <v>92.0</v>
      </c>
      <c r="B94" s="8" t="b">
        <v>0</v>
      </c>
      <c r="C94" s="1351" t="s">
        <v>9293</v>
      </c>
      <c r="D94" s="1352" t="s">
        <v>9294</v>
      </c>
      <c r="E94" s="1353">
        <v>7.701506586E9</v>
      </c>
      <c r="F94" s="1352" t="s">
        <v>9295</v>
      </c>
      <c r="G94" s="14"/>
      <c r="H94" s="14"/>
    </row>
    <row r="95" ht="22.5" customHeight="1">
      <c r="A95" s="7">
        <v>93.0</v>
      </c>
      <c r="B95" s="8" t="b">
        <v>0</v>
      </c>
      <c r="C95" s="1351" t="s">
        <v>9296</v>
      </c>
      <c r="D95" s="1352" t="s">
        <v>9297</v>
      </c>
      <c r="E95" s="1353">
        <v>7.70191798E9</v>
      </c>
      <c r="F95" s="1352" t="s">
        <v>9298</v>
      </c>
      <c r="G95" s="14"/>
      <c r="H95" s="14"/>
    </row>
    <row r="96" ht="22.5" customHeight="1">
      <c r="A96" s="7">
        <v>94.0</v>
      </c>
      <c r="B96" s="8" t="b">
        <v>0</v>
      </c>
      <c r="C96" s="1351" t="s">
        <v>9299</v>
      </c>
      <c r="D96" s="1352" t="s">
        <v>2545</v>
      </c>
      <c r="E96" s="1353">
        <v>7.50160186E9</v>
      </c>
      <c r="F96" s="1352" t="s">
        <v>9300</v>
      </c>
      <c r="G96" s="14"/>
      <c r="H96" s="14"/>
    </row>
    <row r="97" ht="22.5" customHeight="1">
      <c r="A97" s="7">
        <v>95.0</v>
      </c>
      <c r="B97" s="8" t="b">
        <v>0</v>
      </c>
      <c r="C97" s="1351" t="s">
        <v>9301</v>
      </c>
      <c r="D97" s="1352" t="s">
        <v>9302</v>
      </c>
      <c r="E97" s="1353">
        <v>7.5096003E9</v>
      </c>
      <c r="F97" s="1352" t="s">
        <v>9303</v>
      </c>
      <c r="G97" s="14"/>
      <c r="H97" s="14"/>
    </row>
    <row r="98" ht="22.5" customHeight="1">
      <c r="A98" s="7">
        <v>96.0</v>
      </c>
      <c r="B98" s="8" t="b">
        <v>0</v>
      </c>
      <c r="C98" s="1351" t="s">
        <v>9304</v>
      </c>
      <c r="D98" s="1352" t="s">
        <v>6496</v>
      </c>
      <c r="E98" s="1353">
        <v>7.504468207E9</v>
      </c>
      <c r="F98" s="1354" t="s">
        <v>6480</v>
      </c>
      <c r="G98" s="14"/>
      <c r="H98" s="14"/>
    </row>
    <row r="99" ht="22.5" customHeight="1">
      <c r="A99" s="7">
        <v>97.0</v>
      </c>
      <c r="B99" s="8" t="b">
        <v>0</v>
      </c>
      <c r="C99" s="1351" t="s">
        <v>9305</v>
      </c>
      <c r="D99" s="1352" t="s">
        <v>2545</v>
      </c>
      <c r="E99" s="1353">
        <v>7.504641932E9</v>
      </c>
      <c r="F99" s="1352" t="s">
        <v>9306</v>
      </c>
      <c r="G99" s="14"/>
      <c r="H99" s="14"/>
    </row>
    <row r="100" ht="22.5" customHeight="1">
      <c r="A100" s="7">
        <v>98.0</v>
      </c>
      <c r="B100" s="8" t="b">
        <v>0</v>
      </c>
      <c r="C100" s="1351" t="s">
        <v>9307</v>
      </c>
      <c r="D100" s="1352" t="s">
        <v>2545</v>
      </c>
      <c r="E100" s="1353">
        <v>7.504451234E9</v>
      </c>
      <c r="F100" s="1352" t="s">
        <v>9308</v>
      </c>
      <c r="G100" s="14"/>
      <c r="H100" s="14"/>
    </row>
    <row r="101" ht="22.5" customHeight="1">
      <c r="A101" s="7">
        <v>99.0</v>
      </c>
      <c r="B101" s="8" t="b">
        <v>0</v>
      </c>
      <c r="C101" s="1351" t="s">
        <v>9309</v>
      </c>
      <c r="D101" s="1352" t="s">
        <v>2545</v>
      </c>
      <c r="E101" s="1353">
        <v>7.70502018E9</v>
      </c>
      <c r="F101" s="1352" t="s">
        <v>9310</v>
      </c>
      <c r="G101" s="14"/>
      <c r="H101" s="14"/>
    </row>
    <row r="102" ht="22.5" customHeight="1">
      <c r="A102" s="7">
        <v>100.0</v>
      </c>
      <c r="B102" s="8" t="b">
        <v>0</v>
      </c>
      <c r="C102" s="1351" t="s">
        <v>9311</v>
      </c>
      <c r="D102" s="1352" t="s">
        <v>9312</v>
      </c>
      <c r="E102" s="1353">
        <v>7.504478595E9</v>
      </c>
      <c r="F102" s="1352" t="s">
        <v>9313</v>
      </c>
      <c r="G102" s="14"/>
      <c r="H102" s="14"/>
    </row>
    <row r="103" ht="22.5" customHeight="1">
      <c r="A103" s="7">
        <v>101.0</v>
      </c>
      <c r="B103" s="8" t="b">
        <v>0</v>
      </c>
      <c r="C103" s="1351" t="s">
        <v>9314</v>
      </c>
      <c r="D103" s="1352" t="s">
        <v>6678</v>
      </c>
      <c r="E103" s="1353">
        <v>7.504569139E9</v>
      </c>
      <c r="F103" s="1352" t="s">
        <v>2625</v>
      </c>
      <c r="G103" s="14"/>
      <c r="H103" s="14"/>
    </row>
    <row r="104" ht="22.5" customHeight="1">
      <c r="A104" s="7">
        <v>102.0</v>
      </c>
      <c r="B104" s="8" t="b">
        <v>0</v>
      </c>
      <c r="C104" s="1351" t="s">
        <v>9315</v>
      </c>
      <c r="D104" s="1352" t="s">
        <v>2545</v>
      </c>
      <c r="E104" s="1353">
        <v>7.504451872E9</v>
      </c>
      <c r="F104" s="1352" t="s">
        <v>9316</v>
      </c>
      <c r="G104" s="14"/>
      <c r="H104" s="14"/>
    </row>
    <row r="105" ht="22.5" customHeight="1">
      <c r="A105" s="7">
        <v>103.0</v>
      </c>
      <c r="B105" s="8" t="b">
        <v>0</v>
      </c>
      <c r="C105" s="1351" t="s">
        <v>9317</v>
      </c>
      <c r="D105" s="1352" t="s">
        <v>2524</v>
      </c>
      <c r="E105" s="1353">
        <v>7.500779E9</v>
      </c>
      <c r="F105" s="1355"/>
      <c r="G105" s="14"/>
      <c r="H105" s="14"/>
    </row>
    <row r="106" ht="22.5" customHeight="1">
      <c r="A106" s="7">
        <v>104.0</v>
      </c>
      <c r="B106" s="8" t="b">
        <v>0</v>
      </c>
      <c r="C106" s="1351" t="s">
        <v>9318</v>
      </c>
      <c r="D106" s="1352" t="s">
        <v>6496</v>
      </c>
      <c r="E106" s="1356">
        <v>9.05424E11</v>
      </c>
      <c r="F106" s="1352" t="s">
        <v>9319</v>
      </c>
      <c r="G106" s="14"/>
      <c r="H106" s="14"/>
    </row>
    <row r="107" ht="22.5" customHeight="1">
      <c r="A107" s="7">
        <v>105.0</v>
      </c>
      <c r="B107" s="8" t="b">
        <v>0</v>
      </c>
      <c r="C107" s="1351" t="s">
        <v>9320</v>
      </c>
      <c r="D107" s="1352" t="s">
        <v>2524</v>
      </c>
      <c r="E107" s="1353">
        <v>7.504288767E9</v>
      </c>
      <c r="F107" s="1352" t="s">
        <v>9321</v>
      </c>
      <c r="G107" s="14"/>
      <c r="H107" s="14"/>
    </row>
    <row r="108" ht="22.5" customHeight="1">
      <c r="A108" s="7">
        <v>106.0</v>
      </c>
      <c r="B108" s="8" t="b">
        <v>0</v>
      </c>
      <c r="C108" s="1351" t="s">
        <v>9322</v>
      </c>
      <c r="D108" s="1352" t="s">
        <v>2524</v>
      </c>
      <c r="E108" s="1353">
        <v>7.504560236E9</v>
      </c>
      <c r="F108" s="1352" t="s">
        <v>9323</v>
      </c>
      <c r="G108" s="14"/>
      <c r="H108" s="14"/>
    </row>
    <row r="109" ht="22.5" customHeight="1">
      <c r="A109" s="7">
        <v>107.0</v>
      </c>
      <c r="B109" s="8" t="b">
        <v>0</v>
      </c>
      <c r="C109" s="1351" t="s">
        <v>9324</v>
      </c>
      <c r="D109" s="1352" t="s">
        <v>9325</v>
      </c>
      <c r="E109" s="1353">
        <v>7.509929223E9</v>
      </c>
      <c r="F109" s="1352" t="s">
        <v>9326</v>
      </c>
      <c r="G109" s="14"/>
      <c r="H109" s="14"/>
    </row>
    <row r="110" ht="22.5" customHeight="1">
      <c r="A110" s="7">
        <v>108.0</v>
      </c>
      <c r="B110" s="8" t="b">
        <v>0</v>
      </c>
      <c r="C110" s="1351" t="s">
        <v>9327</v>
      </c>
      <c r="D110" s="1352" t="s">
        <v>2545</v>
      </c>
      <c r="E110" s="1353">
        <v>7.717364887E9</v>
      </c>
      <c r="F110" s="1352" t="s">
        <v>9328</v>
      </c>
      <c r="G110" s="14"/>
      <c r="H110" s="14"/>
    </row>
    <row r="111" ht="22.5" customHeight="1">
      <c r="A111" s="7">
        <v>109.0</v>
      </c>
      <c r="B111" s="8" t="b">
        <v>0</v>
      </c>
      <c r="C111" s="1351" t="s">
        <v>9329</v>
      </c>
      <c r="D111" s="1352" t="s">
        <v>2545</v>
      </c>
      <c r="E111" s="1353">
        <v>7.501530306E9</v>
      </c>
      <c r="F111" s="1352" t="s">
        <v>9330</v>
      </c>
      <c r="G111" s="14"/>
      <c r="H111" s="14"/>
    </row>
    <row r="112" ht="22.5" customHeight="1">
      <c r="A112" s="7">
        <v>110.0</v>
      </c>
      <c r="B112" s="8" t="b">
        <v>0</v>
      </c>
      <c r="C112" s="1351" t="s">
        <v>9331</v>
      </c>
      <c r="D112" s="1352" t="s">
        <v>2545</v>
      </c>
      <c r="E112" s="1353">
        <v>7.506256565E9</v>
      </c>
      <c r="F112" s="1352" t="s">
        <v>9332</v>
      </c>
      <c r="G112" s="14"/>
      <c r="H112" s="14"/>
    </row>
    <row r="113" ht="22.5" customHeight="1">
      <c r="A113" s="7">
        <v>111.0</v>
      </c>
      <c r="B113" s="8" t="b">
        <v>0</v>
      </c>
      <c r="C113" s="1351" t="s">
        <v>9333</v>
      </c>
      <c r="D113" s="1352" t="s">
        <v>2545</v>
      </c>
      <c r="E113" s="1353">
        <v>7.504673973E9</v>
      </c>
      <c r="F113" s="1352" t="s">
        <v>4761</v>
      </c>
      <c r="G113" s="14"/>
      <c r="H113" s="14"/>
    </row>
    <row r="114" ht="22.5" customHeight="1">
      <c r="A114" s="7">
        <v>112.0</v>
      </c>
      <c r="B114" s="8" t="b">
        <v>0</v>
      </c>
      <c r="C114" s="1351" t="s">
        <v>9334</v>
      </c>
      <c r="D114" s="1352" t="s">
        <v>2545</v>
      </c>
      <c r="E114" s="1353">
        <v>7.503331001E9</v>
      </c>
      <c r="F114" s="1352" t="s">
        <v>294</v>
      </c>
      <c r="G114" s="14"/>
      <c r="H114" s="14"/>
    </row>
    <row r="115" ht="22.5" customHeight="1">
      <c r="A115" s="7">
        <v>113.0</v>
      </c>
      <c r="B115" s="8" t="b">
        <v>0</v>
      </c>
      <c r="C115" s="1351" t="s">
        <v>9335</v>
      </c>
      <c r="D115" s="1352" t="s">
        <v>2524</v>
      </c>
      <c r="E115" s="1353">
        <v>7.504554276E9</v>
      </c>
      <c r="F115" s="1352" t="s">
        <v>3179</v>
      </c>
      <c r="G115" s="14"/>
      <c r="H115" s="14"/>
    </row>
    <row r="116" ht="22.5" customHeight="1">
      <c r="A116" s="7">
        <v>114.0</v>
      </c>
      <c r="B116" s="8" t="b">
        <v>0</v>
      </c>
      <c r="C116" s="1351" t="s">
        <v>9336</v>
      </c>
      <c r="D116" s="1352" t="s">
        <v>6527</v>
      </c>
      <c r="E116" s="1353">
        <v>7.507072284E9</v>
      </c>
      <c r="F116" s="1352" t="s">
        <v>3466</v>
      </c>
      <c r="G116" s="14"/>
      <c r="H116" s="14"/>
    </row>
    <row r="117" ht="22.5" customHeight="1">
      <c r="A117" s="7">
        <v>115.0</v>
      </c>
      <c r="B117" s="8" t="b">
        <v>0</v>
      </c>
      <c r="C117" s="1351" t="s">
        <v>9337</v>
      </c>
      <c r="D117" s="1352" t="s">
        <v>2524</v>
      </c>
      <c r="E117" s="1353">
        <v>7.504257497E9</v>
      </c>
      <c r="F117" s="1352" t="s">
        <v>9338</v>
      </c>
      <c r="G117" s="14"/>
      <c r="H117" s="14"/>
    </row>
    <row r="118" ht="22.5" customHeight="1">
      <c r="A118" s="7">
        <v>116.0</v>
      </c>
      <c r="B118" s="8" t="b">
        <v>0</v>
      </c>
      <c r="C118" s="1351" t="s">
        <v>9339</v>
      </c>
      <c r="D118" s="1352" t="s">
        <v>2524</v>
      </c>
      <c r="E118" s="1353">
        <v>7.510788594E9</v>
      </c>
      <c r="F118" s="1352" t="s">
        <v>9340</v>
      </c>
      <c r="G118" s="14"/>
      <c r="H118" s="14"/>
    </row>
    <row r="119" ht="22.5" customHeight="1">
      <c r="A119" s="7">
        <v>117.0</v>
      </c>
      <c r="B119" s="8" t="b">
        <v>0</v>
      </c>
      <c r="C119" s="1351" t="s">
        <v>9341</v>
      </c>
      <c r="D119" s="1352" t="s">
        <v>2524</v>
      </c>
      <c r="E119" s="1353">
        <v>7.501571237E9</v>
      </c>
      <c r="F119" s="1355"/>
      <c r="G119" s="14"/>
      <c r="H119" s="14"/>
    </row>
    <row r="120" ht="22.5" customHeight="1">
      <c r="A120" s="7">
        <v>118.0</v>
      </c>
      <c r="B120" s="8" t="b">
        <v>0</v>
      </c>
      <c r="C120" s="1351" t="s">
        <v>9342</v>
      </c>
      <c r="D120" s="1352" t="s">
        <v>2545</v>
      </c>
      <c r="E120" s="1353">
        <v>7.50221505E9</v>
      </c>
      <c r="F120" s="1352" t="s">
        <v>9343</v>
      </c>
      <c r="G120" s="14"/>
      <c r="H120" s="14"/>
    </row>
    <row r="121" ht="22.5" customHeight="1">
      <c r="A121" s="7">
        <v>119.0</v>
      </c>
      <c r="B121" s="8" t="b">
        <v>0</v>
      </c>
      <c r="C121" s="1351" t="s">
        <v>9344</v>
      </c>
      <c r="D121" s="1352" t="s">
        <v>2524</v>
      </c>
      <c r="E121" s="1353">
        <v>7.501820111E9</v>
      </c>
      <c r="F121" s="1352" t="s">
        <v>9345</v>
      </c>
      <c r="G121" s="14"/>
      <c r="H121" s="14"/>
    </row>
    <row r="122" ht="22.5" customHeight="1">
      <c r="A122" s="7">
        <v>120.0</v>
      </c>
      <c r="B122" s="8" t="b">
        <v>0</v>
      </c>
      <c r="C122" s="1351" t="s">
        <v>9346</v>
      </c>
      <c r="D122" s="1352" t="s">
        <v>6567</v>
      </c>
      <c r="E122" s="1353">
        <v>7.725060428E9</v>
      </c>
      <c r="F122" s="1352" t="s">
        <v>9347</v>
      </c>
      <c r="G122" s="14"/>
      <c r="H122" s="14"/>
    </row>
    <row r="123" ht="22.5" customHeight="1">
      <c r="A123" s="7">
        <v>121.0</v>
      </c>
      <c r="B123" s="8" t="b">
        <v>0</v>
      </c>
      <c r="C123" s="1351" t="s">
        <v>9348</v>
      </c>
      <c r="D123" s="1352" t="s">
        <v>4053</v>
      </c>
      <c r="E123" s="1355"/>
      <c r="F123" s="1352" t="s">
        <v>9349</v>
      </c>
      <c r="G123" s="14"/>
      <c r="H123" s="14"/>
    </row>
    <row r="124" ht="22.5" customHeight="1">
      <c r="A124" s="7">
        <v>122.0</v>
      </c>
      <c r="B124" s="8" t="b">
        <v>0</v>
      </c>
      <c r="C124" s="1351" t="s">
        <v>9350</v>
      </c>
      <c r="D124" s="1352" t="s">
        <v>2545</v>
      </c>
      <c r="E124" s="1353">
        <v>7.504155559E9</v>
      </c>
      <c r="F124" s="1352" t="s">
        <v>9351</v>
      </c>
      <c r="G124" s="14"/>
      <c r="H124" s="14"/>
    </row>
    <row r="125" ht="22.5" customHeight="1">
      <c r="A125" s="7">
        <v>123.0</v>
      </c>
      <c r="B125" s="8" t="b">
        <v>0</v>
      </c>
      <c r="C125" s="1351" t="s">
        <v>9352</v>
      </c>
      <c r="D125" s="1352" t="s">
        <v>6567</v>
      </c>
      <c r="E125" s="1353">
        <v>7.70158433E9</v>
      </c>
      <c r="F125" s="1352" t="s">
        <v>9353</v>
      </c>
      <c r="G125" s="14"/>
      <c r="H125" s="14"/>
    </row>
    <row r="126" ht="22.5" customHeight="1">
      <c r="A126" s="7">
        <v>124.0</v>
      </c>
      <c r="B126" s="8" t="b">
        <v>0</v>
      </c>
      <c r="C126" s="1357" t="s">
        <v>9354</v>
      </c>
      <c r="D126" s="1358" t="s">
        <v>9355</v>
      </c>
      <c r="E126" s="1358" t="s">
        <v>9356</v>
      </c>
      <c r="F126" s="1359" t="s">
        <v>9357</v>
      </c>
      <c r="G126" s="14"/>
      <c r="H126" s="14"/>
    </row>
    <row r="127" ht="22.5" customHeight="1">
      <c r="A127" s="7">
        <v>125.0</v>
      </c>
      <c r="B127" s="8" t="b">
        <v>0</v>
      </c>
      <c r="C127" s="1357" t="s">
        <v>9358</v>
      </c>
      <c r="D127" s="1355"/>
      <c r="E127" s="1358" t="s">
        <v>9359</v>
      </c>
      <c r="F127" s="1359" t="s">
        <v>9360</v>
      </c>
      <c r="G127" s="14"/>
      <c r="H127" s="14"/>
    </row>
    <row r="128" ht="22.5" customHeight="1">
      <c r="A128" s="7">
        <v>126.0</v>
      </c>
      <c r="B128" s="8" t="b">
        <v>0</v>
      </c>
      <c r="C128" s="1357" t="s">
        <v>9361</v>
      </c>
      <c r="D128" s="1358" t="s">
        <v>9362</v>
      </c>
      <c r="E128" s="1358" t="s">
        <v>9363</v>
      </c>
      <c r="F128" s="1359" t="s">
        <v>9364</v>
      </c>
      <c r="G128" s="14"/>
      <c r="H128" s="14"/>
    </row>
    <row r="129" ht="22.5" customHeight="1">
      <c r="A129" s="7">
        <v>127.0</v>
      </c>
      <c r="B129" s="8" t="b">
        <v>0</v>
      </c>
      <c r="C129" s="1357" t="s">
        <v>9365</v>
      </c>
      <c r="D129" s="1358" t="s">
        <v>9366</v>
      </c>
      <c r="E129" s="1358" t="s">
        <v>9367</v>
      </c>
      <c r="F129" s="1359" t="s">
        <v>9368</v>
      </c>
      <c r="G129" s="14"/>
      <c r="H129" s="14"/>
    </row>
    <row r="130" ht="22.5" customHeight="1">
      <c r="A130" s="7">
        <v>128.0</v>
      </c>
      <c r="B130" s="8" t="b">
        <v>0</v>
      </c>
      <c r="C130" s="1357" t="s">
        <v>9369</v>
      </c>
      <c r="D130" s="1358" t="s">
        <v>9370</v>
      </c>
      <c r="E130" s="1358" t="s">
        <v>9371</v>
      </c>
      <c r="F130" s="1359" t="s">
        <v>9372</v>
      </c>
      <c r="G130" s="14"/>
      <c r="H130" s="14"/>
    </row>
    <row r="131" ht="22.5" customHeight="1">
      <c r="A131" s="7">
        <v>129.0</v>
      </c>
      <c r="B131" s="8" t="b">
        <v>0</v>
      </c>
      <c r="C131" s="1357" t="s">
        <v>9373</v>
      </c>
      <c r="D131" s="1358" t="s">
        <v>9374</v>
      </c>
      <c r="E131" s="1358" t="s">
        <v>9375</v>
      </c>
      <c r="F131" s="1359" t="s">
        <v>9376</v>
      </c>
      <c r="G131" s="14"/>
      <c r="H131" s="14"/>
    </row>
    <row r="132" ht="22.5" customHeight="1">
      <c r="A132" s="7">
        <v>130.0</v>
      </c>
      <c r="B132" s="8" t="b">
        <v>0</v>
      </c>
      <c r="C132" s="1357" t="s">
        <v>9377</v>
      </c>
      <c r="D132" s="1355"/>
      <c r="E132" s="1358" t="s">
        <v>9378</v>
      </c>
      <c r="F132" s="1359" t="s">
        <v>9379</v>
      </c>
      <c r="G132" s="14"/>
      <c r="H132" s="14"/>
    </row>
    <row r="133" ht="22.5" customHeight="1">
      <c r="A133" s="7">
        <v>131.0</v>
      </c>
      <c r="B133" s="8" t="b">
        <v>0</v>
      </c>
      <c r="C133" s="1357" t="s">
        <v>9380</v>
      </c>
      <c r="D133" s="1355"/>
      <c r="E133" s="1358" t="s">
        <v>9381</v>
      </c>
      <c r="F133" s="1359" t="s">
        <v>9382</v>
      </c>
      <c r="G133" s="14"/>
      <c r="H133" s="14"/>
    </row>
    <row r="134" ht="22.5" customHeight="1">
      <c r="A134" s="7">
        <v>132.0</v>
      </c>
      <c r="B134" s="8" t="b">
        <v>0</v>
      </c>
      <c r="C134" s="1357" t="s">
        <v>9383</v>
      </c>
      <c r="D134" s="1358" t="s">
        <v>9384</v>
      </c>
      <c r="E134" s="1358" t="s">
        <v>9385</v>
      </c>
      <c r="F134" s="1355"/>
      <c r="G134" s="14"/>
      <c r="H134" s="14"/>
    </row>
    <row r="135" ht="22.5" customHeight="1">
      <c r="A135" s="7">
        <v>133.0</v>
      </c>
      <c r="B135" s="8" t="b">
        <v>0</v>
      </c>
      <c r="C135" s="1357" t="s">
        <v>9386</v>
      </c>
      <c r="D135" s="1355"/>
      <c r="E135" s="1358" t="s">
        <v>9387</v>
      </c>
      <c r="F135" s="1355"/>
      <c r="G135" s="14"/>
      <c r="H135" s="14"/>
    </row>
    <row r="136" ht="22.5" customHeight="1">
      <c r="A136" s="7">
        <v>134.0</v>
      </c>
      <c r="B136" s="8" t="b">
        <v>0</v>
      </c>
      <c r="C136" s="1357" t="s">
        <v>9388</v>
      </c>
      <c r="D136" s="1355"/>
      <c r="E136" s="1358" t="s">
        <v>9389</v>
      </c>
      <c r="F136" s="1359" t="s">
        <v>9390</v>
      </c>
      <c r="G136" s="14"/>
      <c r="H136" s="14"/>
    </row>
    <row r="137" ht="22.5" customHeight="1">
      <c r="A137" s="7">
        <v>135.0</v>
      </c>
      <c r="B137" s="8" t="b">
        <v>0</v>
      </c>
      <c r="C137" s="1357" t="s">
        <v>9391</v>
      </c>
      <c r="D137" s="1358" t="s">
        <v>9392</v>
      </c>
      <c r="E137" s="1358" t="s">
        <v>9393</v>
      </c>
      <c r="F137" s="1359" t="s">
        <v>9394</v>
      </c>
      <c r="G137" s="14"/>
      <c r="H137" s="14"/>
    </row>
    <row r="138" ht="22.5" customHeight="1">
      <c r="A138" s="7">
        <v>136.0</v>
      </c>
      <c r="B138" s="8" t="b">
        <v>0</v>
      </c>
      <c r="C138" s="1357" t="s">
        <v>9395</v>
      </c>
      <c r="D138" s="1358" t="s">
        <v>9396</v>
      </c>
      <c r="E138" s="1358" t="s">
        <v>9397</v>
      </c>
      <c r="F138" s="1355"/>
      <c r="G138" s="14"/>
      <c r="H138" s="14"/>
    </row>
    <row r="139" ht="22.5" customHeight="1">
      <c r="A139" s="7">
        <v>137.0</v>
      </c>
      <c r="B139" s="8" t="b">
        <v>0</v>
      </c>
      <c r="C139" s="1357" t="s">
        <v>9398</v>
      </c>
      <c r="D139" s="1355"/>
      <c r="E139" s="1358" t="s">
        <v>9399</v>
      </c>
      <c r="F139" s="1359" t="s">
        <v>9400</v>
      </c>
      <c r="G139" s="14"/>
      <c r="H139" s="14"/>
    </row>
    <row r="140" ht="22.5" customHeight="1">
      <c r="A140" s="7">
        <v>138.0</v>
      </c>
      <c r="B140" s="8" t="b">
        <v>0</v>
      </c>
      <c r="C140" s="1357" t="s">
        <v>9401</v>
      </c>
      <c r="D140" s="1358" t="s">
        <v>9402</v>
      </c>
      <c r="E140" s="1358" t="s">
        <v>9403</v>
      </c>
      <c r="F140" s="1359" t="s">
        <v>9404</v>
      </c>
      <c r="G140" s="14"/>
      <c r="H140" s="14"/>
    </row>
    <row r="141" ht="22.5" customHeight="1">
      <c r="A141" s="7">
        <v>139.0</v>
      </c>
      <c r="B141" s="8" t="b">
        <v>0</v>
      </c>
      <c r="C141" s="1357" t="s">
        <v>9405</v>
      </c>
      <c r="D141" s="1355"/>
      <c r="E141" s="1358" t="s">
        <v>9406</v>
      </c>
      <c r="F141" s="1355"/>
      <c r="G141" s="14"/>
      <c r="H141" s="14"/>
    </row>
    <row r="142" ht="22.5" customHeight="1">
      <c r="A142" s="7">
        <v>140.0</v>
      </c>
      <c r="B142" s="8" t="b">
        <v>0</v>
      </c>
      <c r="C142" s="950" t="s">
        <v>9407</v>
      </c>
      <c r="D142" s="952" t="s">
        <v>9408</v>
      </c>
      <c r="E142" s="952" t="s">
        <v>9409</v>
      </c>
      <c r="F142" s="964" t="s">
        <v>9410</v>
      </c>
      <c r="G142" s="14"/>
      <c r="H142" s="14"/>
    </row>
    <row r="143" ht="22.5" customHeight="1">
      <c r="A143" s="7">
        <v>141.0</v>
      </c>
      <c r="B143" s="8" t="b">
        <v>0</v>
      </c>
      <c r="C143" s="1360"/>
      <c r="D143" s="952" t="s">
        <v>9411</v>
      </c>
      <c r="E143" s="952" t="s">
        <v>9412</v>
      </c>
      <c r="F143" s="964" t="s">
        <v>9413</v>
      </c>
      <c r="G143" s="14"/>
      <c r="H143" s="14"/>
    </row>
    <row r="144" ht="22.5" customHeight="1">
      <c r="A144" s="7">
        <v>142.0</v>
      </c>
      <c r="B144" s="8" t="b">
        <v>0</v>
      </c>
      <c r="C144" s="950" t="s">
        <v>9414</v>
      </c>
      <c r="D144" s="947"/>
      <c r="E144" s="952" t="s">
        <v>9415</v>
      </c>
      <c r="F144" s="964" t="s">
        <v>9416</v>
      </c>
      <c r="G144" s="14"/>
      <c r="H144" s="14"/>
    </row>
    <row r="145" ht="22.5" customHeight="1">
      <c r="A145" s="7">
        <v>143.0</v>
      </c>
      <c r="B145" s="8" t="b">
        <v>0</v>
      </c>
      <c r="C145" s="950" t="s">
        <v>9417</v>
      </c>
      <c r="D145" s="952" t="s">
        <v>9418</v>
      </c>
      <c r="E145" s="952" t="s">
        <v>9419</v>
      </c>
      <c r="F145" s="964" t="s">
        <v>9420</v>
      </c>
      <c r="G145" s="14"/>
      <c r="H145" s="14"/>
    </row>
    <row r="146" ht="22.5" customHeight="1">
      <c r="A146" s="7">
        <v>144.0</v>
      </c>
      <c r="B146" s="8" t="b">
        <v>0</v>
      </c>
      <c r="C146" s="950" t="s">
        <v>9421</v>
      </c>
      <c r="D146" s="947"/>
      <c r="E146" s="952" t="s">
        <v>9422</v>
      </c>
      <c r="F146" s="964" t="s">
        <v>9423</v>
      </c>
      <c r="G146" s="14"/>
      <c r="H146" s="14"/>
    </row>
    <row r="147" ht="22.5" customHeight="1">
      <c r="A147" s="7">
        <v>145.0</v>
      </c>
      <c r="B147" s="8" t="b">
        <v>0</v>
      </c>
      <c r="C147" s="950" t="s">
        <v>9424</v>
      </c>
      <c r="D147" s="952" t="s">
        <v>9425</v>
      </c>
      <c r="E147" s="952" t="s">
        <v>9426</v>
      </c>
      <c r="F147" s="964" t="s">
        <v>9427</v>
      </c>
      <c r="G147" s="14"/>
      <c r="H147" s="14"/>
    </row>
    <row r="148" ht="22.5" customHeight="1">
      <c r="A148" s="7">
        <v>146.0</v>
      </c>
      <c r="B148" s="8" t="b">
        <v>0</v>
      </c>
      <c r="C148" s="950" t="s">
        <v>9428</v>
      </c>
      <c r="D148" s="952" t="s">
        <v>9429</v>
      </c>
      <c r="E148" s="952" t="s">
        <v>9430</v>
      </c>
      <c r="F148" s="964" t="s">
        <v>9431</v>
      </c>
      <c r="G148" s="14"/>
      <c r="H148" s="14"/>
    </row>
    <row r="149" ht="22.5" customHeight="1">
      <c r="A149" s="7">
        <v>147.0</v>
      </c>
      <c r="B149" s="8" t="b">
        <v>0</v>
      </c>
      <c r="C149" s="950" t="s">
        <v>9432</v>
      </c>
      <c r="D149" s="952" t="s">
        <v>9433</v>
      </c>
      <c r="E149" s="952" t="s">
        <v>9434</v>
      </c>
      <c r="F149" s="964" t="s">
        <v>9435</v>
      </c>
      <c r="G149" s="14"/>
      <c r="H149" s="14"/>
    </row>
    <row r="150" ht="22.5" customHeight="1">
      <c r="A150" s="7">
        <v>148.0</v>
      </c>
      <c r="B150" s="8" t="b">
        <v>0</v>
      </c>
      <c r="C150" s="950" t="s">
        <v>9436</v>
      </c>
      <c r="D150" s="952" t="s">
        <v>9437</v>
      </c>
      <c r="E150" s="952" t="s">
        <v>9438</v>
      </c>
      <c r="F150" s="947"/>
      <c r="G150" s="14"/>
      <c r="H150" s="14"/>
    </row>
    <row r="151" ht="22.5" customHeight="1">
      <c r="A151" s="7">
        <v>149.0</v>
      </c>
      <c r="B151" s="8" t="b">
        <v>0</v>
      </c>
      <c r="C151" s="950" t="s">
        <v>9439</v>
      </c>
      <c r="D151" s="952" t="s">
        <v>9440</v>
      </c>
      <c r="E151" s="952" t="s">
        <v>9441</v>
      </c>
      <c r="F151" s="964" t="s">
        <v>9442</v>
      </c>
      <c r="G151" s="14"/>
      <c r="H151" s="14"/>
    </row>
    <row r="152" ht="22.5" customHeight="1">
      <c r="A152" s="7">
        <v>150.0</v>
      </c>
      <c r="B152" s="8" t="b">
        <v>0</v>
      </c>
      <c r="C152" s="950" t="s">
        <v>9443</v>
      </c>
      <c r="D152" s="952" t="s">
        <v>9444</v>
      </c>
      <c r="E152" s="952" t="s">
        <v>9445</v>
      </c>
      <c r="F152" s="964" t="s">
        <v>9446</v>
      </c>
      <c r="G152" s="14"/>
      <c r="H152" s="14"/>
    </row>
    <row r="153" ht="22.5" customHeight="1">
      <c r="A153" s="7">
        <v>151.0</v>
      </c>
      <c r="B153" s="8" t="b">
        <v>0</v>
      </c>
      <c r="C153" s="950" t="s">
        <v>9447</v>
      </c>
      <c r="D153" s="947"/>
      <c r="E153" s="952" t="s">
        <v>9448</v>
      </c>
      <c r="F153" s="964" t="s">
        <v>9449</v>
      </c>
      <c r="G153" s="14"/>
      <c r="H153" s="14"/>
    </row>
    <row r="154" ht="22.5" customHeight="1">
      <c r="A154" s="7">
        <v>152.0</v>
      </c>
      <c r="B154" s="8" t="b">
        <v>0</v>
      </c>
      <c r="C154" s="950" t="s">
        <v>9450</v>
      </c>
      <c r="D154" s="952" t="s">
        <v>9451</v>
      </c>
      <c r="E154" s="952" t="s">
        <v>9452</v>
      </c>
      <c r="F154" s="964" t="s">
        <v>361</v>
      </c>
      <c r="G154" s="14"/>
      <c r="H154" s="14"/>
    </row>
    <row r="155" ht="22.5" customHeight="1">
      <c r="A155" s="7">
        <v>153.0</v>
      </c>
      <c r="B155" s="8" t="b">
        <v>0</v>
      </c>
      <c r="C155" s="950" t="s">
        <v>9453</v>
      </c>
      <c r="D155" s="952" t="s">
        <v>9454</v>
      </c>
      <c r="E155" s="952" t="s">
        <v>9455</v>
      </c>
      <c r="F155" s="964" t="s">
        <v>9456</v>
      </c>
      <c r="G155" s="14"/>
      <c r="H155" s="14"/>
    </row>
    <row r="156" ht="22.5" customHeight="1">
      <c r="A156" s="7">
        <v>154.0</v>
      </c>
      <c r="B156" s="8" t="b">
        <v>0</v>
      </c>
      <c r="C156" s="950" t="s">
        <v>9457</v>
      </c>
      <c r="D156" s="947"/>
      <c r="E156" s="952" t="s">
        <v>9458</v>
      </c>
      <c r="F156" s="964" t="s">
        <v>9459</v>
      </c>
      <c r="G156" s="14"/>
      <c r="H156" s="14"/>
    </row>
    <row r="157" ht="22.5" customHeight="1">
      <c r="A157" s="7">
        <v>155.0</v>
      </c>
      <c r="B157" s="8" t="b">
        <v>0</v>
      </c>
      <c r="C157" s="966" t="s">
        <v>9460</v>
      </c>
      <c r="D157" s="14"/>
      <c r="E157" s="924">
        <v>7.50919E9</v>
      </c>
      <c r="F157" s="924" t="s">
        <v>9461</v>
      </c>
      <c r="G157" s="14"/>
      <c r="H157" s="14"/>
    </row>
    <row r="158" ht="22.5" customHeight="1">
      <c r="A158" s="7">
        <v>156.0</v>
      </c>
      <c r="B158" s="8" t="b">
        <v>0</v>
      </c>
      <c r="C158" s="966" t="s">
        <v>9462</v>
      </c>
      <c r="D158" s="14"/>
      <c r="E158" s="924">
        <v>7.50300717E9</v>
      </c>
      <c r="F158" s="14"/>
      <c r="G158" s="14"/>
      <c r="H158" s="14"/>
    </row>
    <row r="159" ht="22.5" customHeight="1">
      <c r="A159" s="7">
        <v>157.0</v>
      </c>
      <c r="B159" s="8" t="b">
        <v>0</v>
      </c>
      <c r="C159" s="966" t="s">
        <v>9463</v>
      </c>
      <c r="D159" s="14"/>
      <c r="E159" s="924">
        <v>9.802126767001E12</v>
      </c>
      <c r="F159" s="924" t="s">
        <v>9464</v>
      </c>
      <c r="G159" s="14"/>
      <c r="H159" s="14"/>
    </row>
    <row r="160" ht="22.5" customHeight="1">
      <c r="A160" s="7">
        <v>158.0</v>
      </c>
      <c r="B160" s="8" t="b">
        <v>0</v>
      </c>
      <c r="C160" s="966" t="s">
        <v>9465</v>
      </c>
      <c r="D160" s="14"/>
      <c r="E160" s="924">
        <v>7.504559671E9</v>
      </c>
      <c r="F160" s="924" t="s">
        <v>1995</v>
      </c>
      <c r="G160" s="14"/>
      <c r="H160" s="14"/>
    </row>
    <row r="161" ht="22.5" customHeight="1">
      <c r="A161" s="7">
        <v>159.0</v>
      </c>
      <c r="B161" s="8" t="b">
        <v>0</v>
      </c>
      <c r="C161" s="966" t="s">
        <v>9466</v>
      </c>
      <c r="D161" s="14"/>
      <c r="E161" s="924">
        <v>7.501773498E9</v>
      </c>
      <c r="F161" s="924" t="s">
        <v>9467</v>
      </c>
      <c r="G161" s="14"/>
      <c r="H161" s="14"/>
    </row>
    <row r="162" ht="22.5" customHeight="1">
      <c r="A162" s="7">
        <v>160.0</v>
      </c>
      <c r="B162" s="8" t="b">
        <v>0</v>
      </c>
      <c r="C162" s="966" t="s">
        <v>9468</v>
      </c>
      <c r="D162" s="14"/>
      <c r="E162" s="924">
        <v>7.504451234E9</v>
      </c>
      <c r="F162" s="924" t="s">
        <v>9469</v>
      </c>
      <c r="G162" s="14"/>
      <c r="H162" s="14"/>
    </row>
    <row r="163" ht="22.5" customHeight="1">
      <c r="A163" s="7">
        <v>161.0</v>
      </c>
      <c r="B163" s="8" t="b">
        <v>0</v>
      </c>
      <c r="C163" s="935" t="s">
        <v>9470</v>
      </c>
      <c r="D163" s="969" t="s">
        <v>9471</v>
      </c>
      <c r="E163" s="924">
        <v>7.504460414E9</v>
      </c>
      <c r="F163" s="924" t="s">
        <v>9472</v>
      </c>
      <c r="G163" s="14"/>
      <c r="H163" s="14"/>
    </row>
    <row r="164" ht="22.5" customHeight="1">
      <c r="A164" s="7">
        <v>162.0</v>
      </c>
      <c r="B164" s="8" t="b">
        <v>0</v>
      </c>
      <c r="C164" s="913" t="s">
        <v>9473</v>
      </c>
      <c r="D164" s="924" t="s">
        <v>9474</v>
      </c>
      <c r="E164" s="924">
        <v>7.504739988E9</v>
      </c>
      <c r="F164" s="924" t="s">
        <v>9475</v>
      </c>
      <c r="G164" s="14"/>
      <c r="H164" s="14"/>
    </row>
    <row r="165" ht="22.5" customHeight="1">
      <c r="A165" s="7">
        <v>163.0</v>
      </c>
      <c r="B165" s="8" t="b">
        <v>0</v>
      </c>
      <c r="C165" s="1238" t="s">
        <v>9476</v>
      </c>
      <c r="D165" s="14"/>
      <c r="E165" s="924">
        <v>7.730203033E9</v>
      </c>
      <c r="F165" s="14"/>
      <c r="G165" s="14"/>
      <c r="H165" s="14"/>
    </row>
    <row r="166" ht="22.5" customHeight="1">
      <c r="A166" s="7">
        <v>164.0</v>
      </c>
      <c r="B166" s="8" t="b">
        <v>0</v>
      </c>
      <c r="C166" s="16"/>
      <c r="D166" s="14"/>
      <c r="E166" s="14"/>
      <c r="F166" s="14"/>
      <c r="G166" s="14"/>
      <c r="H166" s="14"/>
    </row>
    <row r="167" ht="22.5" customHeight="1">
      <c r="A167" s="7">
        <v>165.0</v>
      </c>
      <c r="B167" s="8" t="b">
        <v>0</v>
      </c>
      <c r="C167" s="16"/>
      <c r="D167" s="14"/>
      <c r="E167" s="14"/>
      <c r="F167" s="14"/>
      <c r="G167" s="14"/>
      <c r="H167" s="14"/>
    </row>
    <row r="168" ht="22.5" customHeight="1">
      <c r="A168" s="7">
        <v>166.0</v>
      </c>
      <c r="B168" s="8" t="b">
        <v>0</v>
      </c>
      <c r="C168" s="16"/>
      <c r="D168" s="14"/>
      <c r="E168" s="14"/>
      <c r="F168" s="14"/>
      <c r="G168" s="14"/>
      <c r="H168" s="14"/>
    </row>
    <row r="169" ht="22.5" customHeight="1">
      <c r="A169" s="7">
        <v>167.0</v>
      </c>
      <c r="B169" s="8" t="b">
        <v>0</v>
      </c>
      <c r="C169" s="16"/>
      <c r="D169" s="14"/>
      <c r="E169" s="14"/>
      <c r="F169" s="14"/>
      <c r="G169" s="14"/>
      <c r="H169" s="14"/>
    </row>
    <row r="170" ht="22.5" customHeight="1">
      <c r="A170" s="7">
        <v>168.0</v>
      </c>
      <c r="B170" s="8" t="b">
        <v>0</v>
      </c>
      <c r="C170" s="16"/>
      <c r="D170" s="14"/>
      <c r="E170" s="14"/>
      <c r="F170" s="14"/>
      <c r="G170" s="14"/>
      <c r="H170" s="14"/>
    </row>
    <row r="171" ht="22.5" customHeight="1">
      <c r="A171" s="7">
        <v>169.0</v>
      </c>
      <c r="B171" s="8" t="b">
        <v>0</v>
      </c>
      <c r="C171" s="16"/>
      <c r="D171" s="14"/>
      <c r="E171" s="14"/>
      <c r="F171" s="14"/>
      <c r="G171" s="14"/>
      <c r="H171" s="14"/>
    </row>
    <row r="172" ht="22.5" customHeight="1">
      <c r="A172" s="7">
        <v>170.0</v>
      </c>
      <c r="B172" s="8" t="b">
        <v>0</v>
      </c>
      <c r="C172" s="16"/>
      <c r="D172" s="14"/>
      <c r="E172" s="14"/>
      <c r="F172" s="14"/>
      <c r="G172" s="14"/>
      <c r="H172" s="14"/>
    </row>
    <row r="173" ht="22.5" customHeight="1">
      <c r="A173" s="7">
        <v>171.0</v>
      </c>
      <c r="B173" s="8" t="b">
        <v>0</v>
      </c>
      <c r="C173" s="16"/>
      <c r="D173" s="14"/>
      <c r="E173" s="14"/>
      <c r="F173" s="14"/>
      <c r="G173" s="14"/>
      <c r="H173" s="14"/>
    </row>
    <row r="174" ht="22.5" customHeight="1">
      <c r="A174" s="7">
        <v>172.0</v>
      </c>
      <c r="B174" s="8" t="b">
        <v>0</v>
      </c>
      <c r="C174" s="16"/>
      <c r="D174" s="14"/>
      <c r="E174" s="14"/>
      <c r="F174" s="14"/>
      <c r="G174" s="14"/>
      <c r="H174" s="14"/>
    </row>
    <row r="175" ht="22.5" customHeight="1">
      <c r="A175" s="7">
        <v>173.0</v>
      </c>
      <c r="B175" s="8" t="b">
        <v>0</v>
      </c>
      <c r="C175" s="16"/>
      <c r="D175" s="14"/>
      <c r="E175" s="14"/>
      <c r="F175" s="14"/>
      <c r="G175" s="14"/>
      <c r="H175" s="14"/>
    </row>
    <row r="176" ht="22.5" customHeight="1">
      <c r="A176" s="7">
        <v>174.0</v>
      </c>
      <c r="B176" s="8" t="b">
        <v>0</v>
      </c>
      <c r="C176" s="16"/>
      <c r="D176" s="14"/>
      <c r="E176" s="14"/>
      <c r="F176" s="14"/>
      <c r="G176" s="14"/>
      <c r="H176" s="14"/>
    </row>
    <row r="177" ht="22.5" customHeight="1">
      <c r="A177" s="7">
        <v>175.0</v>
      </c>
      <c r="B177" s="8" t="b">
        <v>0</v>
      </c>
      <c r="C177" s="16"/>
      <c r="D177" s="14"/>
      <c r="E177" s="14"/>
      <c r="F177" s="14"/>
      <c r="G177" s="14"/>
      <c r="H177" s="14"/>
    </row>
    <row r="178" ht="22.5" customHeight="1">
      <c r="A178" s="7">
        <v>176.0</v>
      </c>
      <c r="B178" s="8" t="b">
        <v>0</v>
      </c>
      <c r="C178" s="16"/>
      <c r="D178" s="14"/>
      <c r="E178" s="14"/>
      <c r="F178" s="14"/>
      <c r="G178" s="14"/>
      <c r="H178" s="14"/>
    </row>
    <row r="179" ht="22.5" customHeight="1">
      <c r="A179" s="7">
        <v>177.0</v>
      </c>
      <c r="B179" s="8" t="b">
        <v>0</v>
      </c>
      <c r="C179" s="16"/>
      <c r="D179" s="14"/>
      <c r="E179" s="14"/>
      <c r="F179" s="14"/>
      <c r="G179" s="14"/>
      <c r="H179" s="14"/>
    </row>
    <row r="180" ht="22.5" customHeight="1">
      <c r="A180" s="7">
        <v>178.0</v>
      </c>
      <c r="B180" s="8" t="b">
        <v>0</v>
      </c>
      <c r="C180" s="16"/>
      <c r="D180" s="14"/>
      <c r="E180" s="14"/>
      <c r="F180" s="14"/>
      <c r="G180" s="14"/>
      <c r="H180" s="14"/>
    </row>
    <row r="181" ht="22.5" customHeight="1">
      <c r="A181" s="7">
        <v>179.0</v>
      </c>
      <c r="B181" s="8" t="b">
        <v>0</v>
      </c>
      <c r="C181" s="16"/>
      <c r="D181" s="14"/>
      <c r="E181" s="14"/>
      <c r="F181" s="14"/>
      <c r="G181" s="14"/>
      <c r="H181" s="14"/>
    </row>
    <row r="182" ht="22.5" customHeight="1">
      <c r="A182" s="7">
        <v>180.0</v>
      </c>
      <c r="B182" s="8" t="b">
        <v>0</v>
      </c>
      <c r="C182" s="16"/>
      <c r="D182" s="14"/>
      <c r="E182" s="14"/>
      <c r="F182" s="14"/>
      <c r="G182" s="14"/>
      <c r="H182" s="14"/>
    </row>
    <row r="183" ht="22.5" customHeight="1">
      <c r="A183" s="7">
        <v>181.0</v>
      </c>
      <c r="B183" s="8" t="b">
        <v>0</v>
      </c>
      <c r="C183" s="16"/>
      <c r="D183" s="14"/>
      <c r="E183" s="14"/>
      <c r="F183" s="14"/>
      <c r="G183" s="14"/>
      <c r="H183" s="14"/>
    </row>
    <row r="184" ht="22.5" customHeight="1">
      <c r="A184" s="7">
        <v>182.0</v>
      </c>
      <c r="B184" s="8" t="b">
        <v>0</v>
      </c>
      <c r="C184" s="16"/>
      <c r="D184" s="14"/>
      <c r="E184" s="14"/>
      <c r="F184" s="14"/>
      <c r="G184" s="14"/>
      <c r="H184" s="14"/>
    </row>
    <row r="185" ht="22.5" customHeight="1">
      <c r="A185" s="7">
        <v>183.0</v>
      </c>
      <c r="B185" s="8" t="b">
        <v>0</v>
      </c>
      <c r="C185" s="16"/>
      <c r="D185" s="14"/>
      <c r="E185" s="14"/>
      <c r="F185" s="14"/>
      <c r="G185" s="14"/>
      <c r="H185" s="14"/>
    </row>
    <row r="186" ht="22.5" customHeight="1">
      <c r="A186" s="7">
        <v>184.0</v>
      </c>
      <c r="B186" s="8" t="b">
        <v>0</v>
      </c>
      <c r="C186" s="16"/>
      <c r="D186" s="14"/>
      <c r="E186" s="14"/>
      <c r="F186" s="14"/>
      <c r="G186" s="14"/>
      <c r="H186" s="14"/>
    </row>
    <row r="187" ht="22.5" customHeight="1">
      <c r="A187" s="7">
        <v>185.0</v>
      </c>
      <c r="B187" s="8" t="b">
        <v>0</v>
      </c>
      <c r="C187" s="16"/>
      <c r="D187" s="14"/>
      <c r="E187" s="14"/>
      <c r="F187" s="14"/>
      <c r="G187" s="14"/>
      <c r="H187" s="14"/>
    </row>
    <row r="188" ht="22.5" customHeight="1">
      <c r="A188" s="7">
        <v>186.0</v>
      </c>
      <c r="B188" s="8" t="b">
        <v>0</v>
      </c>
      <c r="C188" s="16"/>
      <c r="D188" s="14"/>
      <c r="E188" s="14"/>
      <c r="F188" s="14"/>
      <c r="G188" s="14"/>
      <c r="H188" s="14"/>
    </row>
    <row r="189" ht="22.5" customHeight="1">
      <c r="A189" s="7">
        <v>187.0</v>
      </c>
      <c r="B189" s="8" t="b">
        <v>0</v>
      </c>
      <c r="C189" s="16"/>
      <c r="D189" s="14"/>
      <c r="E189" s="14"/>
      <c r="F189" s="14"/>
      <c r="G189" s="14"/>
      <c r="H189" s="14"/>
    </row>
    <row r="190" ht="22.5" customHeight="1">
      <c r="A190" s="7">
        <v>188.0</v>
      </c>
      <c r="B190" s="8" t="b">
        <v>0</v>
      </c>
      <c r="C190" s="16"/>
      <c r="D190" s="14"/>
      <c r="E190" s="14"/>
      <c r="F190" s="14"/>
      <c r="G190" s="14"/>
      <c r="H190" s="14"/>
    </row>
    <row r="191" ht="22.5" customHeight="1">
      <c r="A191" s="7">
        <v>189.0</v>
      </c>
      <c r="B191" s="8" t="b">
        <v>0</v>
      </c>
      <c r="C191" s="16"/>
      <c r="D191" s="14"/>
      <c r="E191" s="14"/>
      <c r="F191" s="14"/>
      <c r="G191" s="14"/>
      <c r="H191" s="14"/>
    </row>
    <row r="192" ht="22.5" customHeight="1">
      <c r="A192" s="7">
        <v>190.0</v>
      </c>
      <c r="B192" s="8" t="b">
        <v>0</v>
      </c>
      <c r="C192" s="16"/>
      <c r="D192" s="14"/>
      <c r="E192" s="14"/>
      <c r="F192" s="14"/>
      <c r="G192" s="14"/>
      <c r="H192" s="14"/>
    </row>
    <row r="193" ht="22.5" customHeight="1">
      <c r="A193" s="7">
        <v>191.0</v>
      </c>
      <c r="B193" s="8" t="b">
        <v>0</v>
      </c>
      <c r="C193" s="16"/>
      <c r="D193" s="14"/>
      <c r="E193" s="14"/>
      <c r="F193" s="14"/>
      <c r="G193" s="14"/>
      <c r="H193" s="14"/>
    </row>
    <row r="194" ht="22.5" customHeight="1">
      <c r="A194" s="7">
        <v>192.0</v>
      </c>
      <c r="B194" s="8" t="b">
        <v>0</v>
      </c>
      <c r="C194" s="16"/>
      <c r="D194" s="14"/>
      <c r="E194" s="14"/>
      <c r="F194" s="14"/>
      <c r="G194" s="14"/>
      <c r="H194" s="14"/>
    </row>
    <row r="195" ht="22.5" customHeight="1">
      <c r="A195" s="7">
        <v>193.0</v>
      </c>
      <c r="B195" s="8" t="b">
        <v>0</v>
      </c>
      <c r="C195" s="16"/>
      <c r="D195" s="14"/>
      <c r="E195" s="14"/>
      <c r="F195" s="14"/>
      <c r="G195" s="14"/>
      <c r="H195" s="14"/>
    </row>
    <row r="196" ht="22.5" customHeight="1">
      <c r="A196" s="7">
        <v>194.0</v>
      </c>
      <c r="B196" s="8" t="b">
        <v>0</v>
      </c>
      <c r="C196" s="16"/>
      <c r="D196" s="14"/>
      <c r="E196" s="14"/>
      <c r="F196" s="14"/>
      <c r="G196" s="14"/>
      <c r="H196" s="14"/>
    </row>
    <row r="197" ht="22.5" customHeight="1">
      <c r="A197" s="7">
        <v>195.0</v>
      </c>
      <c r="B197" s="8" t="b">
        <v>0</v>
      </c>
      <c r="C197" s="16"/>
      <c r="D197" s="14"/>
      <c r="E197" s="14"/>
      <c r="F197" s="14"/>
      <c r="G197" s="14"/>
      <c r="H197" s="14"/>
    </row>
    <row r="198" ht="22.5" customHeight="1">
      <c r="A198" s="7">
        <v>196.0</v>
      </c>
      <c r="B198" s="8" t="b">
        <v>0</v>
      </c>
      <c r="C198" s="16"/>
      <c r="D198" s="14"/>
      <c r="E198" s="14"/>
      <c r="F198" s="14"/>
      <c r="G198" s="14"/>
      <c r="H198" s="14"/>
    </row>
    <row r="199" ht="22.5" customHeight="1">
      <c r="A199" s="7">
        <v>197.0</v>
      </c>
      <c r="B199" s="8" t="b">
        <v>0</v>
      </c>
      <c r="C199" s="16"/>
      <c r="D199" s="14"/>
      <c r="E199" s="14"/>
      <c r="F199" s="14"/>
      <c r="G199" s="14"/>
      <c r="H199" s="14"/>
    </row>
    <row r="200" ht="22.5" customHeight="1">
      <c r="A200" s="7">
        <v>198.0</v>
      </c>
      <c r="B200" s="8" t="b">
        <v>0</v>
      </c>
      <c r="C200" s="16"/>
      <c r="D200" s="14"/>
      <c r="E200" s="14"/>
      <c r="F200" s="14"/>
      <c r="G200" s="14"/>
      <c r="H200" s="14"/>
    </row>
    <row r="201" ht="22.5" customHeight="1">
      <c r="A201" s="7">
        <v>199.0</v>
      </c>
      <c r="B201" s="8" t="b">
        <v>0</v>
      </c>
      <c r="C201" s="16"/>
      <c r="D201" s="14"/>
      <c r="E201" s="14"/>
      <c r="F201" s="14"/>
      <c r="G201" s="14"/>
      <c r="H201" s="14"/>
    </row>
    <row r="202" ht="22.5" customHeight="1">
      <c r="A202" s="7">
        <v>200.0</v>
      </c>
      <c r="B202" s="8" t="b">
        <v>0</v>
      </c>
      <c r="C202" s="16"/>
      <c r="D202" s="14"/>
      <c r="E202" s="14"/>
      <c r="F202" s="14"/>
      <c r="G202" s="14"/>
      <c r="H202" s="14"/>
    </row>
    <row r="203" ht="22.5" customHeight="1">
      <c r="A203" s="7">
        <v>201.0</v>
      </c>
      <c r="B203" s="8" t="b">
        <v>0</v>
      </c>
      <c r="C203" s="16"/>
      <c r="D203" s="14"/>
      <c r="E203" s="14"/>
      <c r="F203" s="14"/>
      <c r="G203" s="14"/>
      <c r="H203" s="14"/>
    </row>
    <row r="204" ht="22.5" customHeight="1">
      <c r="A204" s="7">
        <v>202.0</v>
      </c>
      <c r="B204" s="8" t="b">
        <v>0</v>
      </c>
      <c r="C204" s="16"/>
      <c r="D204" s="14"/>
      <c r="E204" s="14"/>
      <c r="F204" s="14"/>
      <c r="G204" s="14"/>
      <c r="H204" s="14"/>
    </row>
    <row r="205" ht="22.5" customHeight="1">
      <c r="A205" s="7">
        <v>203.0</v>
      </c>
      <c r="B205" s="8" t="b">
        <v>0</v>
      </c>
      <c r="C205" s="16"/>
      <c r="D205" s="14"/>
      <c r="E205" s="14"/>
      <c r="F205" s="14"/>
      <c r="G205" s="14"/>
      <c r="H205" s="14"/>
    </row>
    <row r="206" ht="22.5" customHeight="1">
      <c r="A206" s="7">
        <v>204.0</v>
      </c>
      <c r="B206" s="8" t="b">
        <v>0</v>
      </c>
      <c r="C206" s="16"/>
      <c r="D206" s="14"/>
      <c r="E206" s="14"/>
      <c r="F206" s="14"/>
      <c r="G206" s="14"/>
      <c r="H206" s="14"/>
    </row>
    <row r="207" ht="22.5" customHeight="1">
      <c r="A207" s="7">
        <v>205.0</v>
      </c>
      <c r="B207" s="8" t="b">
        <v>0</v>
      </c>
      <c r="C207" s="16"/>
      <c r="D207" s="14"/>
      <c r="E207" s="14"/>
      <c r="F207" s="14"/>
      <c r="G207" s="14"/>
      <c r="H207" s="14"/>
    </row>
    <row r="208" ht="22.5" customHeight="1">
      <c r="A208" s="7">
        <v>206.0</v>
      </c>
      <c r="B208" s="8" t="b">
        <v>0</v>
      </c>
      <c r="C208" s="16"/>
      <c r="D208" s="14"/>
      <c r="E208" s="14"/>
      <c r="F208" s="14"/>
      <c r="G208" s="14"/>
      <c r="H208" s="14"/>
    </row>
    <row r="209" ht="22.5" customHeight="1">
      <c r="A209" s="7">
        <v>207.0</v>
      </c>
      <c r="B209" s="8" t="b">
        <v>0</v>
      </c>
      <c r="C209" s="16"/>
      <c r="D209" s="14"/>
      <c r="E209" s="14"/>
      <c r="F209" s="14"/>
      <c r="G209" s="14"/>
      <c r="H209" s="14"/>
    </row>
    <row r="210" ht="22.5" customHeight="1">
      <c r="A210" s="7">
        <v>208.0</v>
      </c>
      <c r="B210" s="8" t="b">
        <v>0</v>
      </c>
      <c r="C210" s="16"/>
      <c r="D210" s="14"/>
      <c r="E210" s="14"/>
      <c r="F210" s="14"/>
      <c r="G210" s="14"/>
      <c r="H210" s="14"/>
    </row>
    <row r="211" ht="22.5" customHeight="1">
      <c r="A211" s="7">
        <v>209.0</v>
      </c>
      <c r="B211" s="8" t="b">
        <v>0</v>
      </c>
      <c r="C211" s="16"/>
      <c r="D211" s="14"/>
      <c r="E211" s="14"/>
      <c r="F211" s="14"/>
      <c r="G211" s="14"/>
      <c r="H211" s="14"/>
    </row>
    <row r="212" ht="22.5" customHeight="1">
      <c r="A212" s="7">
        <v>210.0</v>
      </c>
      <c r="B212" s="8" t="b">
        <v>0</v>
      </c>
      <c r="C212" s="16"/>
      <c r="D212" s="14"/>
      <c r="E212" s="14"/>
      <c r="F212" s="14"/>
      <c r="G212" s="14"/>
      <c r="H212" s="14"/>
    </row>
    <row r="213" ht="22.5" customHeight="1">
      <c r="A213" s="7">
        <v>211.0</v>
      </c>
      <c r="B213" s="8" t="b">
        <v>0</v>
      </c>
      <c r="C213" s="16"/>
      <c r="D213" s="14"/>
      <c r="E213" s="14"/>
      <c r="F213" s="14"/>
      <c r="G213" s="14"/>
      <c r="H213" s="14"/>
    </row>
    <row r="214" ht="22.5" customHeight="1">
      <c r="A214" s="7">
        <v>212.0</v>
      </c>
      <c r="B214" s="8" t="b">
        <v>0</v>
      </c>
      <c r="C214" s="16"/>
      <c r="D214" s="14"/>
      <c r="E214" s="14"/>
      <c r="F214" s="14"/>
      <c r="G214" s="14"/>
      <c r="H214" s="14"/>
    </row>
    <row r="215" ht="22.5" customHeight="1">
      <c r="A215" s="7">
        <v>213.0</v>
      </c>
      <c r="B215" s="8" t="b">
        <v>0</v>
      </c>
      <c r="C215" s="16"/>
      <c r="D215" s="14"/>
      <c r="E215" s="14"/>
      <c r="F215" s="14"/>
      <c r="G215" s="14"/>
      <c r="H215" s="14"/>
    </row>
    <row r="216" ht="22.5" customHeight="1">
      <c r="A216" s="7">
        <v>214.0</v>
      </c>
      <c r="B216" s="8" t="b">
        <v>0</v>
      </c>
      <c r="C216" s="16"/>
      <c r="D216" s="14"/>
      <c r="E216" s="14"/>
      <c r="F216" s="14"/>
      <c r="G216" s="14"/>
      <c r="H216" s="14"/>
    </row>
    <row r="217" ht="22.5" customHeight="1">
      <c r="A217" s="7">
        <v>215.0</v>
      </c>
      <c r="B217" s="8" t="b">
        <v>0</v>
      </c>
      <c r="C217" s="16"/>
      <c r="D217" s="14"/>
      <c r="E217" s="14"/>
      <c r="F217" s="14"/>
      <c r="G217" s="14"/>
      <c r="H217" s="14"/>
    </row>
    <row r="218" ht="22.5" customHeight="1">
      <c r="A218" s="7">
        <v>216.0</v>
      </c>
      <c r="B218" s="8" t="b">
        <v>0</v>
      </c>
      <c r="C218" s="16"/>
      <c r="D218" s="14"/>
      <c r="E218" s="14"/>
      <c r="F218" s="14"/>
      <c r="G218" s="14"/>
      <c r="H218" s="14"/>
    </row>
    <row r="219" ht="22.5" customHeight="1">
      <c r="A219" s="7">
        <v>217.0</v>
      </c>
      <c r="B219" s="8" t="b">
        <v>0</v>
      </c>
      <c r="C219" s="16"/>
      <c r="D219" s="14"/>
      <c r="E219" s="14"/>
      <c r="F219" s="14"/>
      <c r="G219" s="14"/>
      <c r="H219" s="14"/>
    </row>
    <row r="220" ht="22.5" customHeight="1">
      <c r="A220" s="7">
        <v>218.0</v>
      </c>
      <c r="B220" s="8" t="b">
        <v>0</v>
      </c>
      <c r="C220" s="16"/>
      <c r="D220" s="14"/>
      <c r="E220" s="14"/>
      <c r="F220" s="14"/>
      <c r="G220" s="14"/>
      <c r="H220" s="14"/>
    </row>
    <row r="221" ht="22.5" customHeight="1">
      <c r="A221" s="7">
        <v>219.0</v>
      </c>
      <c r="B221" s="8" t="b">
        <v>0</v>
      </c>
      <c r="C221" s="16"/>
      <c r="D221" s="14"/>
      <c r="E221" s="14"/>
      <c r="F221" s="14"/>
      <c r="G221" s="14"/>
      <c r="H221" s="14"/>
    </row>
    <row r="222" ht="22.5" customHeight="1">
      <c r="A222" s="7">
        <v>220.0</v>
      </c>
      <c r="B222" s="8" t="b">
        <v>0</v>
      </c>
      <c r="C222" s="16"/>
      <c r="D222" s="14"/>
      <c r="E222" s="14"/>
      <c r="F222" s="14"/>
      <c r="G222" s="14"/>
      <c r="H222" s="14"/>
    </row>
    <row r="223" ht="22.5" customHeight="1">
      <c r="A223" s="7">
        <v>221.0</v>
      </c>
      <c r="B223" s="8" t="b">
        <v>0</v>
      </c>
      <c r="C223" s="16"/>
      <c r="D223" s="14"/>
      <c r="E223" s="14"/>
      <c r="F223" s="14"/>
      <c r="G223" s="14"/>
      <c r="H223" s="14"/>
    </row>
    <row r="224" ht="22.5" customHeight="1">
      <c r="A224" s="7">
        <v>222.0</v>
      </c>
      <c r="B224" s="8" t="b">
        <v>0</v>
      </c>
      <c r="C224" s="16"/>
      <c r="D224" s="14"/>
      <c r="E224" s="14"/>
      <c r="F224" s="14"/>
      <c r="G224" s="14"/>
      <c r="H224" s="14"/>
    </row>
    <row r="225" ht="22.5" customHeight="1">
      <c r="A225" s="7">
        <v>223.0</v>
      </c>
      <c r="B225" s="8" t="b">
        <v>0</v>
      </c>
      <c r="C225" s="16"/>
      <c r="D225" s="14"/>
      <c r="E225" s="14"/>
      <c r="F225" s="14"/>
      <c r="G225" s="14"/>
      <c r="H225" s="14"/>
    </row>
    <row r="226" ht="22.5" customHeight="1">
      <c r="A226" s="7">
        <v>224.0</v>
      </c>
      <c r="B226" s="8" t="b">
        <v>0</v>
      </c>
      <c r="C226" s="16"/>
      <c r="D226" s="14"/>
      <c r="E226" s="14"/>
      <c r="F226" s="14"/>
      <c r="G226" s="14"/>
      <c r="H226" s="14"/>
    </row>
    <row r="227" ht="22.5" customHeight="1">
      <c r="A227" s="7">
        <v>225.0</v>
      </c>
      <c r="B227" s="8" t="b">
        <v>0</v>
      </c>
      <c r="C227" s="16"/>
      <c r="D227" s="14"/>
      <c r="E227" s="14"/>
      <c r="F227" s="14"/>
      <c r="G227" s="14"/>
      <c r="H227" s="14"/>
    </row>
    <row r="228" ht="22.5" customHeight="1">
      <c r="A228" s="7">
        <v>226.0</v>
      </c>
      <c r="B228" s="8" t="b">
        <v>0</v>
      </c>
      <c r="C228" s="16"/>
      <c r="D228" s="14"/>
      <c r="E228" s="14"/>
      <c r="F228" s="14"/>
      <c r="G228" s="14"/>
      <c r="H228" s="14"/>
    </row>
    <row r="229" ht="22.5" customHeight="1">
      <c r="A229" s="7">
        <v>227.0</v>
      </c>
      <c r="B229" s="8" t="b">
        <v>0</v>
      </c>
      <c r="C229" s="16"/>
      <c r="D229" s="14"/>
      <c r="E229" s="14"/>
      <c r="F229" s="14"/>
      <c r="G229" s="14"/>
      <c r="H229" s="14"/>
    </row>
    <row r="230" ht="22.5" customHeight="1">
      <c r="A230" s="7">
        <v>228.0</v>
      </c>
      <c r="B230" s="8" t="b">
        <v>0</v>
      </c>
      <c r="C230" s="16"/>
      <c r="D230" s="14"/>
      <c r="E230" s="14"/>
      <c r="F230" s="14"/>
      <c r="G230" s="14"/>
      <c r="H230" s="14"/>
    </row>
    <row r="231" ht="22.5" customHeight="1">
      <c r="A231" s="7">
        <v>229.0</v>
      </c>
      <c r="B231" s="8" t="b">
        <v>0</v>
      </c>
      <c r="C231" s="16"/>
      <c r="D231" s="14"/>
      <c r="E231" s="14"/>
      <c r="F231" s="14"/>
      <c r="G231" s="14"/>
      <c r="H231" s="14"/>
    </row>
    <row r="232" ht="22.5" customHeight="1">
      <c r="A232" s="7">
        <v>230.0</v>
      </c>
      <c r="B232" s="8" t="b">
        <v>0</v>
      </c>
      <c r="C232" s="16"/>
      <c r="D232" s="14"/>
      <c r="E232" s="14"/>
      <c r="F232" s="14"/>
      <c r="G232" s="14"/>
      <c r="H232" s="14"/>
    </row>
    <row r="233" ht="22.5" customHeight="1">
      <c r="A233" s="7">
        <v>231.0</v>
      </c>
      <c r="B233" s="8" t="b">
        <v>0</v>
      </c>
      <c r="C233" s="16"/>
      <c r="D233" s="14"/>
      <c r="E233" s="14"/>
      <c r="F233" s="14"/>
      <c r="G233" s="14"/>
      <c r="H233" s="14"/>
    </row>
    <row r="234" ht="22.5" customHeight="1">
      <c r="A234" s="7">
        <v>232.0</v>
      </c>
      <c r="B234" s="8" t="b">
        <v>0</v>
      </c>
      <c r="C234" s="16"/>
      <c r="D234" s="14"/>
      <c r="E234" s="14"/>
      <c r="F234" s="14"/>
      <c r="G234" s="14"/>
      <c r="H234" s="14"/>
    </row>
    <row r="235" ht="22.5" customHeight="1">
      <c r="A235" s="7">
        <v>233.0</v>
      </c>
      <c r="B235" s="8" t="b">
        <v>0</v>
      </c>
      <c r="C235" s="16"/>
      <c r="D235" s="14"/>
      <c r="E235" s="14"/>
      <c r="F235" s="14"/>
      <c r="G235" s="14"/>
      <c r="H235" s="14"/>
    </row>
    <row r="236" ht="22.5" customHeight="1">
      <c r="A236" s="7">
        <v>234.0</v>
      </c>
      <c r="B236" s="8" t="b">
        <v>0</v>
      </c>
      <c r="C236" s="16"/>
      <c r="D236" s="14"/>
      <c r="E236" s="14"/>
      <c r="F236" s="14"/>
      <c r="G236" s="14"/>
      <c r="H236" s="14"/>
    </row>
    <row r="237" ht="22.5" customHeight="1">
      <c r="A237" s="7">
        <v>235.0</v>
      </c>
      <c r="B237" s="8" t="b">
        <v>0</v>
      </c>
      <c r="C237" s="16"/>
      <c r="D237" s="14"/>
      <c r="E237" s="14"/>
      <c r="F237" s="14"/>
      <c r="G237" s="14"/>
      <c r="H237" s="14"/>
    </row>
    <row r="238" ht="22.5" customHeight="1">
      <c r="A238" s="7">
        <v>236.0</v>
      </c>
      <c r="B238" s="8" t="b">
        <v>0</v>
      </c>
      <c r="C238" s="16"/>
      <c r="D238" s="14"/>
      <c r="E238" s="14"/>
      <c r="F238" s="14"/>
      <c r="G238" s="14"/>
      <c r="H238" s="14"/>
    </row>
    <row r="239" ht="22.5" customHeight="1">
      <c r="A239" s="7">
        <v>237.0</v>
      </c>
      <c r="B239" s="8" t="b">
        <v>0</v>
      </c>
      <c r="C239" s="16"/>
      <c r="D239" s="14"/>
      <c r="E239" s="14"/>
      <c r="F239" s="14"/>
      <c r="G239" s="14"/>
      <c r="H239" s="14"/>
    </row>
    <row r="240" ht="22.5" customHeight="1">
      <c r="A240" s="7">
        <v>238.0</v>
      </c>
      <c r="B240" s="8" t="b">
        <v>0</v>
      </c>
      <c r="C240" s="16"/>
      <c r="D240" s="14"/>
      <c r="E240" s="14"/>
      <c r="F240" s="14"/>
      <c r="G240" s="14"/>
      <c r="H240" s="14"/>
    </row>
    <row r="241" ht="22.5" customHeight="1">
      <c r="A241" s="7">
        <v>239.0</v>
      </c>
      <c r="B241" s="8" t="b">
        <v>0</v>
      </c>
      <c r="C241" s="16"/>
      <c r="D241" s="14"/>
      <c r="E241" s="14"/>
      <c r="F241" s="14"/>
      <c r="G241" s="14"/>
      <c r="H241" s="14"/>
    </row>
    <row r="242" ht="22.5" customHeight="1">
      <c r="A242" s="7">
        <v>240.0</v>
      </c>
      <c r="B242" s="8" t="b">
        <v>0</v>
      </c>
      <c r="C242" s="16"/>
      <c r="D242" s="14"/>
      <c r="E242" s="14"/>
      <c r="F242" s="14"/>
      <c r="G242" s="14"/>
      <c r="H242" s="14"/>
    </row>
    <row r="243" ht="22.5" customHeight="1">
      <c r="A243" s="7">
        <v>241.0</v>
      </c>
      <c r="B243" s="8" t="b">
        <v>0</v>
      </c>
      <c r="C243" s="16"/>
      <c r="D243" s="14"/>
      <c r="E243" s="14"/>
      <c r="F243" s="14"/>
      <c r="G243" s="14"/>
      <c r="H243" s="14"/>
    </row>
    <row r="244" ht="22.5" customHeight="1">
      <c r="A244" s="7">
        <v>242.0</v>
      </c>
      <c r="B244" s="8" t="b">
        <v>0</v>
      </c>
      <c r="C244" s="16"/>
      <c r="D244" s="14"/>
      <c r="E244" s="14"/>
      <c r="F244" s="14"/>
      <c r="G244" s="14"/>
      <c r="H244" s="14"/>
    </row>
    <row r="245" ht="22.5" customHeight="1">
      <c r="A245" s="7">
        <v>243.0</v>
      </c>
      <c r="B245" s="8" t="b">
        <v>0</v>
      </c>
      <c r="C245" s="16"/>
      <c r="D245" s="14"/>
      <c r="E245" s="14"/>
      <c r="F245" s="14"/>
      <c r="G245" s="14"/>
      <c r="H245" s="14"/>
    </row>
    <row r="246" ht="22.5" customHeight="1">
      <c r="A246" s="7">
        <v>244.0</v>
      </c>
      <c r="B246" s="8" t="b">
        <v>0</v>
      </c>
      <c r="C246" s="16"/>
      <c r="D246" s="14"/>
      <c r="E246" s="14"/>
      <c r="F246" s="14"/>
      <c r="G246" s="14"/>
      <c r="H246" s="14"/>
    </row>
    <row r="247" ht="22.5" customHeight="1">
      <c r="A247" s="7">
        <v>245.0</v>
      </c>
      <c r="B247" s="8" t="b">
        <v>0</v>
      </c>
      <c r="C247" s="16"/>
      <c r="D247" s="14"/>
      <c r="E247" s="14"/>
      <c r="F247" s="14"/>
      <c r="G247" s="14"/>
      <c r="H247" s="14"/>
    </row>
    <row r="248" ht="22.5" customHeight="1">
      <c r="A248" s="7">
        <v>246.0</v>
      </c>
      <c r="B248" s="8" t="b">
        <v>0</v>
      </c>
      <c r="C248" s="16"/>
      <c r="D248" s="14"/>
      <c r="E248" s="14"/>
      <c r="F248" s="14"/>
      <c r="G248" s="14"/>
      <c r="H248" s="14"/>
    </row>
    <row r="249" ht="22.5" customHeight="1">
      <c r="A249" s="7">
        <v>247.0</v>
      </c>
      <c r="B249" s="8" t="b">
        <v>0</v>
      </c>
      <c r="C249" s="16"/>
      <c r="D249" s="14"/>
      <c r="E249" s="14"/>
      <c r="F249" s="14"/>
      <c r="G249" s="14"/>
      <c r="H249" s="14"/>
    </row>
    <row r="250" ht="22.5" customHeight="1">
      <c r="A250" s="7">
        <v>248.0</v>
      </c>
      <c r="B250" s="8" t="b">
        <v>0</v>
      </c>
      <c r="C250" s="16"/>
      <c r="D250" s="14"/>
      <c r="E250" s="14"/>
      <c r="F250" s="14"/>
      <c r="G250" s="14"/>
      <c r="H250" s="14"/>
    </row>
    <row r="251" ht="22.5" customHeight="1">
      <c r="A251" s="7">
        <v>249.0</v>
      </c>
      <c r="B251" s="8" t="b">
        <v>0</v>
      </c>
      <c r="C251" s="16"/>
      <c r="D251" s="14"/>
      <c r="E251" s="14"/>
      <c r="F251" s="14"/>
      <c r="G251" s="14"/>
      <c r="H251" s="14"/>
    </row>
    <row r="252" ht="22.5" customHeight="1">
      <c r="A252" s="7">
        <v>250.0</v>
      </c>
      <c r="B252" s="8" t="b">
        <v>0</v>
      </c>
      <c r="C252" s="16"/>
      <c r="D252" s="14"/>
      <c r="E252" s="14"/>
      <c r="F252" s="14"/>
      <c r="G252" s="14"/>
      <c r="H252" s="14"/>
    </row>
    <row r="253" ht="22.5" customHeight="1">
      <c r="A253" s="7">
        <v>251.0</v>
      </c>
      <c r="B253" s="8" t="b">
        <v>0</v>
      </c>
      <c r="C253" s="16"/>
      <c r="D253" s="14"/>
      <c r="E253" s="14"/>
      <c r="F253" s="14"/>
      <c r="G253" s="14"/>
      <c r="H253" s="14"/>
    </row>
    <row r="254" ht="22.5" customHeight="1">
      <c r="A254" s="7">
        <v>252.0</v>
      </c>
      <c r="B254" s="8" t="b">
        <v>0</v>
      </c>
      <c r="C254" s="16"/>
      <c r="D254" s="14"/>
      <c r="E254" s="14"/>
      <c r="F254" s="14"/>
      <c r="G254" s="14"/>
      <c r="H254" s="14"/>
    </row>
    <row r="255" ht="22.5" customHeight="1">
      <c r="A255" s="7">
        <v>253.0</v>
      </c>
      <c r="B255" s="8" t="b">
        <v>0</v>
      </c>
      <c r="C255" s="16"/>
      <c r="D255" s="14"/>
      <c r="E255" s="14"/>
      <c r="F255" s="14"/>
      <c r="G255" s="14"/>
      <c r="H255" s="14"/>
    </row>
    <row r="256" ht="22.5" customHeight="1">
      <c r="A256" s="7">
        <v>254.0</v>
      </c>
      <c r="B256" s="8" t="b">
        <v>0</v>
      </c>
      <c r="C256" s="16"/>
      <c r="D256" s="14"/>
      <c r="E256" s="14"/>
      <c r="F256" s="14"/>
      <c r="G256" s="14"/>
      <c r="H256" s="14"/>
    </row>
    <row r="257" ht="22.5" customHeight="1">
      <c r="A257" s="7">
        <v>255.0</v>
      </c>
      <c r="B257" s="8" t="b">
        <v>0</v>
      </c>
      <c r="C257" s="16"/>
      <c r="D257" s="14"/>
      <c r="E257" s="14"/>
      <c r="F257" s="14"/>
      <c r="G257" s="14"/>
      <c r="H257" s="14"/>
    </row>
    <row r="258" ht="22.5" customHeight="1">
      <c r="A258" s="7">
        <v>256.0</v>
      </c>
      <c r="B258" s="8" t="b">
        <v>0</v>
      </c>
      <c r="C258" s="16"/>
      <c r="D258" s="14"/>
      <c r="E258" s="14"/>
      <c r="F258" s="14"/>
      <c r="G258" s="14"/>
      <c r="H258" s="14"/>
    </row>
    <row r="259" ht="22.5" customHeight="1">
      <c r="A259" s="7">
        <v>257.0</v>
      </c>
      <c r="B259" s="8" t="b">
        <v>0</v>
      </c>
      <c r="C259" s="16"/>
      <c r="D259" s="14"/>
      <c r="E259" s="14"/>
      <c r="F259" s="14"/>
      <c r="G259" s="14"/>
      <c r="H259" s="14"/>
    </row>
    <row r="260" ht="22.5" customHeight="1">
      <c r="A260" s="7">
        <v>258.0</v>
      </c>
      <c r="B260" s="8" t="b">
        <v>0</v>
      </c>
      <c r="C260" s="16"/>
      <c r="D260" s="14"/>
      <c r="E260" s="14"/>
      <c r="F260" s="14"/>
      <c r="G260" s="14"/>
      <c r="H260" s="14"/>
    </row>
    <row r="261" ht="22.5" customHeight="1">
      <c r="A261" s="7">
        <v>259.0</v>
      </c>
      <c r="B261" s="8" t="b">
        <v>0</v>
      </c>
      <c r="C261" s="16"/>
      <c r="D261" s="14"/>
      <c r="E261" s="14"/>
      <c r="F261" s="14"/>
      <c r="G261" s="14"/>
      <c r="H261" s="14"/>
    </row>
    <row r="262" ht="22.5" customHeight="1">
      <c r="A262" s="7">
        <v>260.0</v>
      </c>
      <c r="B262" s="8" t="b">
        <v>0</v>
      </c>
      <c r="C262" s="16"/>
      <c r="D262" s="14"/>
      <c r="E262" s="14"/>
      <c r="F262" s="14"/>
      <c r="G262" s="14"/>
      <c r="H262" s="14"/>
    </row>
    <row r="263" ht="22.5" customHeight="1">
      <c r="A263" s="7">
        <v>261.0</v>
      </c>
      <c r="B263" s="8" t="b">
        <v>0</v>
      </c>
      <c r="C263" s="16"/>
      <c r="D263" s="14"/>
      <c r="E263" s="14"/>
      <c r="F263" s="14"/>
      <c r="G263" s="14"/>
      <c r="H263" s="14"/>
    </row>
    <row r="264" ht="22.5" customHeight="1">
      <c r="A264" s="7">
        <v>262.0</v>
      </c>
      <c r="B264" s="8" t="b">
        <v>0</v>
      </c>
      <c r="C264" s="16"/>
      <c r="D264" s="14"/>
      <c r="E264" s="14"/>
      <c r="F264" s="14"/>
      <c r="G264" s="14"/>
      <c r="H264" s="14"/>
    </row>
    <row r="265" ht="22.5" customHeight="1">
      <c r="A265" s="7">
        <v>263.0</v>
      </c>
      <c r="B265" s="8" t="b">
        <v>0</v>
      </c>
      <c r="C265" s="16"/>
      <c r="D265" s="14"/>
      <c r="E265" s="14"/>
      <c r="F265" s="14"/>
      <c r="G265" s="14"/>
      <c r="H265" s="14"/>
    </row>
    <row r="266" ht="22.5" customHeight="1">
      <c r="A266" s="7">
        <v>264.0</v>
      </c>
      <c r="B266" s="8" t="b">
        <v>0</v>
      </c>
      <c r="C266" s="16"/>
      <c r="D266" s="14"/>
      <c r="E266" s="14"/>
      <c r="F266" s="14"/>
      <c r="G266" s="14"/>
      <c r="H266" s="14"/>
    </row>
    <row r="267" ht="22.5" customHeight="1">
      <c r="A267" s="7">
        <v>265.0</v>
      </c>
      <c r="B267" s="8" t="b">
        <v>0</v>
      </c>
      <c r="C267" s="16"/>
      <c r="D267" s="14"/>
      <c r="E267" s="14"/>
      <c r="F267" s="14"/>
      <c r="G267" s="14"/>
      <c r="H267" s="14"/>
    </row>
    <row r="268" ht="22.5" customHeight="1">
      <c r="A268" s="7">
        <v>266.0</v>
      </c>
      <c r="B268" s="8" t="b">
        <v>0</v>
      </c>
      <c r="C268" s="16"/>
      <c r="D268" s="14"/>
      <c r="E268" s="14"/>
      <c r="F268" s="14"/>
      <c r="G268" s="14"/>
      <c r="H268" s="14"/>
    </row>
    <row r="269" ht="22.5" customHeight="1">
      <c r="A269" s="7">
        <v>267.0</v>
      </c>
      <c r="B269" s="8" t="b">
        <v>0</v>
      </c>
      <c r="C269" s="16"/>
      <c r="D269" s="14"/>
      <c r="E269" s="14"/>
      <c r="F269" s="14"/>
      <c r="G269" s="14"/>
      <c r="H269" s="14"/>
    </row>
    <row r="270" ht="22.5" customHeight="1">
      <c r="A270" s="7">
        <v>268.0</v>
      </c>
      <c r="B270" s="8" t="b">
        <v>0</v>
      </c>
      <c r="C270" s="16"/>
      <c r="D270" s="14"/>
      <c r="E270" s="14"/>
      <c r="F270" s="14"/>
      <c r="G270" s="14"/>
      <c r="H270" s="14"/>
    </row>
    <row r="271" ht="22.5" customHeight="1">
      <c r="A271" s="7">
        <v>269.0</v>
      </c>
      <c r="B271" s="8" t="b">
        <v>0</v>
      </c>
      <c r="C271" s="16"/>
      <c r="D271" s="14"/>
      <c r="E271" s="14"/>
      <c r="F271" s="14"/>
      <c r="G271" s="14"/>
      <c r="H271" s="14"/>
    </row>
    <row r="272" ht="22.5" customHeight="1">
      <c r="A272" s="7">
        <v>270.0</v>
      </c>
      <c r="B272" s="8" t="b">
        <v>0</v>
      </c>
      <c r="C272" s="16"/>
      <c r="D272" s="14"/>
      <c r="E272" s="14"/>
      <c r="F272" s="14"/>
      <c r="G272" s="14"/>
      <c r="H272" s="14"/>
    </row>
    <row r="273" ht="22.5" customHeight="1">
      <c r="A273" s="7">
        <v>271.0</v>
      </c>
      <c r="B273" s="8" t="b">
        <v>0</v>
      </c>
      <c r="C273" s="16"/>
      <c r="D273" s="14"/>
      <c r="E273" s="14"/>
      <c r="F273" s="14"/>
      <c r="G273" s="14"/>
      <c r="H273" s="14"/>
    </row>
    <row r="274" ht="22.5" customHeight="1">
      <c r="A274" s="7">
        <v>272.0</v>
      </c>
      <c r="B274" s="8" t="b">
        <v>0</v>
      </c>
      <c r="C274" s="16"/>
      <c r="D274" s="14"/>
      <c r="E274" s="14"/>
      <c r="F274" s="14"/>
      <c r="G274" s="14"/>
      <c r="H274" s="14"/>
    </row>
    <row r="275" ht="22.5" customHeight="1">
      <c r="A275" s="7">
        <v>273.0</v>
      </c>
      <c r="B275" s="8" t="b">
        <v>0</v>
      </c>
      <c r="C275" s="16"/>
      <c r="D275" s="14"/>
      <c r="E275" s="14"/>
      <c r="F275" s="14"/>
      <c r="G275" s="14"/>
      <c r="H275" s="14"/>
    </row>
    <row r="276" ht="22.5" customHeight="1">
      <c r="A276" s="7">
        <v>274.0</v>
      </c>
      <c r="B276" s="8" t="b">
        <v>0</v>
      </c>
      <c r="C276" s="16"/>
      <c r="D276" s="14"/>
      <c r="E276" s="14"/>
      <c r="F276" s="14"/>
      <c r="G276" s="14"/>
      <c r="H276" s="14"/>
    </row>
    <row r="277" ht="22.5" customHeight="1">
      <c r="A277" s="7">
        <v>275.0</v>
      </c>
      <c r="B277" s="8" t="b">
        <v>0</v>
      </c>
      <c r="C277" s="16"/>
      <c r="D277" s="14"/>
      <c r="E277" s="14"/>
      <c r="F277" s="14"/>
      <c r="G277" s="14"/>
      <c r="H277" s="14"/>
    </row>
    <row r="278" ht="22.5" customHeight="1">
      <c r="A278" s="7">
        <v>276.0</v>
      </c>
      <c r="B278" s="8" t="b">
        <v>0</v>
      </c>
      <c r="C278" s="16"/>
      <c r="D278" s="14"/>
      <c r="E278" s="14"/>
      <c r="F278" s="14"/>
      <c r="G278" s="14"/>
      <c r="H278" s="14"/>
    </row>
    <row r="279" ht="22.5" customHeight="1">
      <c r="A279" s="7">
        <v>277.0</v>
      </c>
      <c r="B279" s="8" t="b">
        <v>0</v>
      </c>
      <c r="C279" s="16"/>
      <c r="D279" s="14"/>
      <c r="E279" s="14"/>
      <c r="F279" s="14"/>
      <c r="G279" s="14"/>
      <c r="H279" s="14"/>
    </row>
    <row r="280" ht="22.5" customHeight="1">
      <c r="A280" s="7">
        <v>278.0</v>
      </c>
      <c r="B280" s="8" t="b">
        <v>0</v>
      </c>
      <c r="C280" s="16"/>
      <c r="D280" s="14"/>
      <c r="E280" s="14"/>
      <c r="F280" s="14"/>
      <c r="G280" s="14"/>
      <c r="H280" s="14"/>
    </row>
    <row r="281" ht="22.5" customHeight="1">
      <c r="A281" s="7">
        <v>279.0</v>
      </c>
      <c r="B281" s="8" t="b">
        <v>0</v>
      </c>
      <c r="C281" s="16"/>
      <c r="D281" s="14"/>
      <c r="E281" s="14"/>
      <c r="F281" s="14"/>
      <c r="G281" s="14"/>
      <c r="H281" s="14"/>
    </row>
    <row r="282" ht="22.5" customHeight="1">
      <c r="A282" s="7">
        <v>280.0</v>
      </c>
      <c r="B282" s="8" t="b">
        <v>0</v>
      </c>
      <c r="C282" s="16"/>
      <c r="D282" s="14"/>
      <c r="E282" s="14"/>
      <c r="F282" s="14"/>
      <c r="G282" s="14"/>
      <c r="H282" s="14"/>
    </row>
    <row r="283" ht="22.5" customHeight="1">
      <c r="A283" s="7">
        <v>281.0</v>
      </c>
      <c r="B283" s="8" t="b">
        <v>0</v>
      </c>
      <c r="C283" s="16"/>
      <c r="D283" s="14"/>
      <c r="E283" s="14"/>
      <c r="F283" s="14"/>
      <c r="G283" s="14"/>
      <c r="H283" s="14"/>
    </row>
    <row r="284" ht="22.5" customHeight="1">
      <c r="A284" s="7">
        <v>282.0</v>
      </c>
      <c r="B284" s="8" t="b">
        <v>0</v>
      </c>
      <c r="C284" s="16"/>
      <c r="D284" s="14"/>
      <c r="E284" s="14"/>
      <c r="F284" s="14"/>
      <c r="G284" s="14"/>
      <c r="H284" s="14"/>
    </row>
    <row r="285" ht="22.5" customHeight="1">
      <c r="A285" s="7">
        <v>283.0</v>
      </c>
      <c r="B285" s="8" t="b">
        <v>0</v>
      </c>
      <c r="C285" s="16"/>
      <c r="D285" s="14"/>
      <c r="E285" s="14"/>
      <c r="F285" s="14"/>
      <c r="G285" s="14"/>
      <c r="H285" s="14"/>
    </row>
    <row r="286" ht="22.5" customHeight="1">
      <c r="A286" s="7">
        <v>284.0</v>
      </c>
      <c r="B286" s="8" t="b">
        <v>0</v>
      </c>
      <c r="C286" s="16"/>
      <c r="D286" s="14"/>
      <c r="E286" s="14"/>
      <c r="F286" s="14"/>
      <c r="G286" s="14"/>
      <c r="H286" s="14"/>
    </row>
    <row r="287" ht="22.5" customHeight="1">
      <c r="A287" s="7">
        <v>285.0</v>
      </c>
      <c r="B287" s="8" t="b">
        <v>0</v>
      </c>
      <c r="C287" s="16"/>
      <c r="D287" s="14"/>
      <c r="E287" s="14"/>
      <c r="F287" s="14"/>
      <c r="G287" s="14"/>
      <c r="H287" s="14"/>
    </row>
    <row r="288" ht="22.5" customHeight="1">
      <c r="A288" s="7">
        <v>286.0</v>
      </c>
      <c r="B288" s="8" t="b">
        <v>0</v>
      </c>
      <c r="C288" s="16"/>
      <c r="D288" s="14"/>
      <c r="E288" s="14"/>
      <c r="F288" s="14"/>
      <c r="G288" s="14"/>
      <c r="H288" s="14"/>
    </row>
    <row r="289" ht="22.5" customHeight="1">
      <c r="A289" s="7">
        <v>287.0</v>
      </c>
      <c r="B289" s="8" t="b">
        <v>0</v>
      </c>
      <c r="C289" s="16"/>
      <c r="D289" s="14"/>
      <c r="E289" s="14"/>
      <c r="F289" s="14"/>
      <c r="G289" s="14"/>
      <c r="H289" s="14"/>
    </row>
    <row r="290" ht="22.5" customHeight="1">
      <c r="A290" s="7">
        <v>288.0</v>
      </c>
      <c r="B290" s="8" t="b">
        <v>0</v>
      </c>
      <c r="C290" s="16"/>
      <c r="D290" s="14"/>
      <c r="E290" s="14"/>
      <c r="F290" s="14"/>
      <c r="G290" s="14"/>
      <c r="H290" s="14"/>
    </row>
    <row r="291" ht="22.5" customHeight="1">
      <c r="A291" s="7">
        <v>289.0</v>
      </c>
      <c r="B291" s="8" t="b">
        <v>0</v>
      </c>
      <c r="C291" s="16"/>
      <c r="D291" s="14"/>
      <c r="E291" s="14"/>
      <c r="F291" s="14"/>
      <c r="G291" s="14"/>
      <c r="H291" s="14"/>
    </row>
    <row r="292" ht="22.5" customHeight="1">
      <c r="A292" s="7">
        <v>290.0</v>
      </c>
      <c r="B292" s="8" t="b">
        <v>0</v>
      </c>
      <c r="C292" s="16"/>
      <c r="D292" s="14"/>
      <c r="E292" s="14"/>
      <c r="F292" s="14"/>
      <c r="G292" s="14"/>
      <c r="H292" s="14"/>
    </row>
    <row r="293" ht="22.5" customHeight="1">
      <c r="A293" s="7">
        <v>291.0</v>
      </c>
      <c r="B293" s="8" t="b">
        <v>0</v>
      </c>
      <c r="C293" s="16"/>
      <c r="D293" s="14"/>
      <c r="E293" s="14"/>
      <c r="F293" s="14"/>
      <c r="G293" s="14"/>
      <c r="H293" s="14"/>
    </row>
    <row r="294" ht="22.5" customHeight="1">
      <c r="A294" s="7">
        <v>292.0</v>
      </c>
      <c r="B294" s="8" t="b">
        <v>0</v>
      </c>
      <c r="C294" s="16"/>
      <c r="D294" s="14"/>
      <c r="E294" s="14"/>
      <c r="F294" s="14"/>
      <c r="G294" s="14"/>
      <c r="H294" s="14"/>
    </row>
    <row r="295" ht="22.5" customHeight="1">
      <c r="A295" s="7">
        <v>293.0</v>
      </c>
      <c r="B295" s="8" t="b">
        <v>0</v>
      </c>
      <c r="C295" s="16"/>
      <c r="D295" s="14"/>
      <c r="E295" s="14"/>
      <c r="F295" s="14"/>
      <c r="G295" s="14"/>
      <c r="H295" s="14"/>
    </row>
    <row r="296" ht="22.5" customHeight="1">
      <c r="A296" s="7">
        <v>294.0</v>
      </c>
      <c r="B296" s="8" t="b">
        <v>0</v>
      </c>
      <c r="C296" s="16"/>
      <c r="D296" s="14"/>
      <c r="E296" s="14"/>
      <c r="F296" s="14"/>
      <c r="G296" s="14"/>
      <c r="H296" s="14"/>
    </row>
    <row r="297" ht="22.5" customHeight="1">
      <c r="A297" s="7">
        <v>295.0</v>
      </c>
      <c r="B297" s="8" t="b">
        <v>0</v>
      </c>
      <c r="C297" s="16"/>
      <c r="D297" s="14"/>
      <c r="E297" s="14"/>
      <c r="F297" s="14"/>
      <c r="G297" s="14"/>
      <c r="H297" s="14"/>
    </row>
    <row r="298" ht="22.5" customHeight="1">
      <c r="A298" s="7">
        <v>296.0</v>
      </c>
      <c r="B298" s="8" t="b">
        <v>0</v>
      </c>
      <c r="C298" s="16"/>
      <c r="D298" s="14"/>
      <c r="E298" s="14"/>
      <c r="F298" s="14"/>
      <c r="G298" s="14"/>
      <c r="H298" s="14"/>
    </row>
    <row r="299" ht="22.5" customHeight="1">
      <c r="A299" s="7">
        <v>297.0</v>
      </c>
      <c r="B299" s="8" t="b">
        <v>0</v>
      </c>
      <c r="C299" s="16"/>
      <c r="D299" s="14"/>
      <c r="E299" s="14"/>
      <c r="F299" s="14"/>
      <c r="G299" s="14"/>
      <c r="H299" s="14"/>
    </row>
    <row r="300" ht="22.5" customHeight="1">
      <c r="A300" s="7">
        <v>298.0</v>
      </c>
      <c r="B300" s="8" t="b">
        <v>0</v>
      </c>
      <c r="C300" s="16"/>
      <c r="D300" s="14"/>
      <c r="E300" s="14"/>
      <c r="F300" s="14"/>
      <c r="G300" s="14"/>
      <c r="H300" s="14"/>
    </row>
    <row r="301" ht="22.5" customHeight="1">
      <c r="A301" s="7">
        <v>299.0</v>
      </c>
      <c r="B301" s="8" t="b">
        <v>0</v>
      </c>
      <c r="C301" s="16"/>
      <c r="D301" s="14"/>
      <c r="E301" s="14"/>
      <c r="F301" s="14"/>
      <c r="G301" s="14"/>
      <c r="H301" s="14"/>
    </row>
    <row r="302" ht="22.5" customHeight="1">
      <c r="A302" s="7">
        <v>300.0</v>
      </c>
      <c r="B302" s="8" t="b">
        <v>0</v>
      </c>
      <c r="C302" s="16"/>
      <c r="D302" s="14"/>
      <c r="E302" s="14"/>
      <c r="F302" s="14"/>
      <c r="G302" s="14"/>
      <c r="H302" s="14"/>
    </row>
    <row r="303" ht="22.5" customHeight="1">
      <c r="A303" s="7">
        <v>301.0</v>
      </c>
      <c r="B303" s="8" t="b">
        <v>0</v>
      </c>
      <c r="C303" s="16"/>
      <c r="D303" s="14"/>
      <c r="E303" s="14"/>
      <c r="F303" s="14"/>
      <c r="G303" s="14"/>
      <c r="H303" s="14"/>
    </row>
    <row r="304" ht="22.5" customHeight="1">
      <c r="A304" s="7">
        <v>302.0</v>
      </c>
      <c r="B304" s="8" t="b">
        <v>0</v>
      </c>
      <c r="C304" s="16"/>
      <c r="D304" s="14"/>
      <c r="E304" s="14"/>
      <c r="F304" s="14"/>
      <c r="G304" s="14"/>
      <c r="H304" s="14"/>
    </row>
    <row r="305" ht="22.5" customHeight="1">
      <c r="A305" s="7">
        <v>303.0</v>
      </c>
      <c r="B305" s="8" t="b">
        <v>0</v>
      </c>
      <c r="C305" s="16"/>
      <c r="D305" s="14"/>
      <c r="E305" s="14"/>
      <c r="F305" s="14"/>
      <c r="G305" s="14"/>
      <c r="H305" s="14"/>
    </row>
    <row r="306" ht="22.5" customHeight="1">
      <c r="A306" s="7">
        <v>304.0</v>
      </c>
      <c r="B306" s="8" t="b">
        <v>0</v>
      </c>
      <c r="C306" s="16"/>
      <c r="D306" s="14"/>
      <c r="E306" s="14"/>
      <c r="F306" s="14"/>
      <c r="G306" s="14"/>
      <c r="H306" s="14"/>
    </row>
    <row r="307" ht="22.5" customHeight="1">
      <c r="A307" s="7">
        <v>305.0</v>
      </c>
      <c r="B307" s="8" t="b">
        <v>0</v>
      </c>
      <c r="C307" s="16"/>
      <c r="D307" s="14"/>
      <c r="E307" s="14"/>
      <c r="F307" s="14"/>
      <c r="G307" s="14"/>
      <c r="H307" s="14"/>
    </row>
    <row r="308" ht="22.5" customHeight="1">
      <c r="A308" s="7">
        <v>306.0</v>
      </c>
      <c r="B308" s="8" t="b">
        <v>0</v>
      </c>
      <c r="C308" s="16"/>
      <c r="D308" s="14"/>
      <c r="E308" s="14"/>
      <c r="F308" s="14"/>
      <c r="G308" s="14"/>
      <c r="H308" s="14"/>
    </row>
    <row r="309" ht="22.5" customHeight="1">
      <c r="A309" s="7">
        <v>307.0</v>
      </c>
      <c r="B309" s="8" t="b">
        <v>0</v>
      </c>
      <c r="C309" s="16"/>
      <c r="D309" s="14"/>
      <c r="E309" s="14"/>
      <c r="F309" s="14"/>
      <c r="G309" s="14"/>
      <c r="H309" s="14"/>
    </row>
    <row r="310" ht="22.5" customHeight="1">
      <c r="A310" s="7">
        <v>308.0</v>
      </c>
      <c r="B310" s="8" t="b">
        <v>0</v>
      </c>
      <c r="C310" s="16"/>
      <c r="D310" s="14"/>
      <c r="E310" s="14"/>
      <c r="F310" s="14"/>
      <c r="G310" s="14"/>
      <c r="H310" s="14"/>
    </row>
    <row r="311" ht="22.5" customHeight="1">
      <c r="A311" s="7">
        <v>309.0</v>
      </c>
      <c r="B311" s="8"/>
      <c r="C311" s="16"/>
      <c r="D311" s="14"/>
      <c r="E311" s="14"/>
      <c r="F311" s="14"/>
      <c r="G311" s="14"/>
      <c r="H311" s="14"/>
    </row>
    <row r="312" ht="22.5" customHeight="1">
      <c r="A312" s="7">
        <v>310.0</v>
      </c>
      <c r="B312" s="8"/>
      <c r="C312" s="16"/>
      <c r="D312" s="14"/>
      <c r="E312" s="14"/>
      <c r="F312" s="14"/>
      <c r="G312" s="14"/>
      <c r="H312" s="14"/>
    </row>
    <row r="313" ht="22.5" customHeight="1">
      <c r="A313" s="7">
        <v>311.0</v>
      </c>
      <c r="B313" s="8"/>
      <c r="C313" s="16"/>
      <c r="D313" s="14"/>
      <c r="E313" s="14"/>
      <c r="F313" s="14"/>
      <c r="G313" s="14"/>
      <c r="H313" s="14"/>
    </row>
    <row r="314" ht="22.5" customHeight="1">
      <c r="A314" s="7">
        <v>312.0</v>
      </c>
      <c r="B314" s="8"/>
      <c r="C314" s="16"/>
      <c r="D314" s="14"/>
      <c r="E314" s="14"/>
      <c r="F314" s="14"/>
      <c r="G314" s="14"/>
      <c r="H314" s="14"/>
    </row>
    <row r="315" ht="22.5" customHeight="1">
      <c r="A315" s="7">
        <v>313.0</v>
      </c>
      <c r="B315" s="8"/>
      <c r="C315" s="16"/>
      <c r="D315" s="14"/>
      <c r="E315" s="14"/>
      <c r="F315" s="14"/>
      <c r="G315" s="14"/>
      <c r="H315" s="14"/>
    </row>
    <row r="316" ht="22.5" customHeight="1">
      <c r="A316" s="7">
        <v>314.0</v>
      </c>
      <c r="B316" s="8"/>
      <c r="C316" s="16"/>
      <c r="D316" s="14"/>
      <c r="E316" s="14"/>
      <c r="F316" s="14"/>
      <c r="G316" s="14"/>
      <c r="H316" s="14"/>
    </row>
    <row r="317" ht="22.5" customHeight="1">
      <c r="A317" s="7">
        <v>315.0</v>
      </c>
      <c r="B317" s="8"/>
      <c r="C317" s="16"/>
      <c r="D317" s="14"/>
      <c r="E317" s="14"/>
      <c r="F317" s="14"/>
      <c r="G317" s="14"/>
      <c r="H317" s="14"/>
    </row>
    <row r="318" ht="22.5" customHeight="1">
      <c r="A318" s="7">
        <v>316.0</v>
      </c>
      <c r="B318" s="8"/>
      <c r="C318" s="16"/>
      <c r="D318" s="14"/>
      <c r="E318" s="14"/>
      <c r="F318" s="14"/>
      <c r="G318" s="14"/>
      <c r="H318" s="14"/>
    </row>
    <row r="319" ht="22.5" customHeight="1">
      <c r="A319" s="7">
        <v>317.0</v>
      </c>
      <c r="B319" s="8"/>
      <c r="C319" s="16"/>
      <c r="D319" s="14"/>
      <c r="E319" s="14"/>
      <c r="F319" s="14"/>
      <c r="G319" s="14"/>
      <c r="H319" s="14"/>
    </row>
    <row r="320" ht="22.5" customHeight="1">
      <c r="A320" s="7">
        <v>318.0</v>
      </c>
      <c r="B320" s="8"/>
      <c r="C320" s="16"/>
      <c r="D320" s="14"/>
      <c r="E320" s="14"/>
      <c r="F320" s="14"/>
      <c r="G320" s="14"/>
      <c r="H320" s="14"/>
    </row>
    <row r="321" ht="22.5" customHeight="1">
      <c r="A321" s="7">
        <v>319.0</v>
      </c>
      <c r="B321" s="8"/>
      <c r="C321" s="16"/>
      <c r="D321" s="14"/>
      <c r="E321" s="14"/>
      <c r="F321" s="14"/>
      <c r="G321" s="14"/>
      <c r="H321" s="14"/>
    </row>
    <row r="322" ht="22.5" customHeight="1">
      <c r="A322" s="7">
        <v>320.0</v>
      </c>
      <c r="B322" s="8"/>
      <c r="C322" s="16"/>
      <c r="D322" s="14"/>
      <c r="E322" s="14"/>
      <c r="F322" s="14"/>
      <c r="G322" s="14"/>
      <c r="H322" s="14"/>
    </row>
    <row r="323" ht="22.5" customHeight="1">
      <c r="A323" s="7">
        <v>321.0</v>
      </c>
      <c r="B323" s="8"/>
      <c r="C323" s="16"/>
      <c r="D323" s="14"/>
      <c r="E323" s="14"/>
      <c r="F323" s="14"/>
      <c r="G323" s="14"/>
      <c r="H323" s="14"/>
    </row>
    <row r="324" ht="22.5" customHeight="1">
      <c r="A324" s="7">
        <v>322.0</v>
      </c>
      <c r="B324" s="8"/>
      <c r="C324" s="16"/>
      <c r="D324" s="14"/>
      <c r="E324" s="14"/>
      <c r="F324" s="14"/>
      <c r="G324" s="14"/>
      <c r="H324" s="14"/>
    </row>
    <row r="325" ht="22.5" customHeight="1">
      <c r="A325" s="7">
        <v>323.0</v>
      </c>
      <c r="B325" s="8"/>
      <c r="C325" s="16"/>
      <c r="D325" s="14"/>
      <c r="E325" s="14"/>
      <c r="F325" s="14"/>
      <c r="G325" s="14"/>
      <c r="H325" s="14"/>
    </row>
    <row r="326" ht="22.5" customHeight="1">
      <c r="A326" s="7">
        <v>324.0</v>
      </c>
      <c r="B326" s="8"/>
      <c r="C326" s="16"/>
      <c r="D326" s="14"/>
      <c r="E326" s="14"/>
      <c r="F326" s="14"/>
      <c r="G326" s="14"/>
      <c r="H326" s="14"/>
    </row>
    <row r="327" ht="22.5" customHeight="1">
      <c r="A327" s="7">
        <v>325.0</v>
      </c>
      <c r="B327" s="8"/>
      <c r="C327" s="16"/>
      <c r="D327" s="14"/>
      <c r="E327" s="14"/>
      <c r="F327" s="14"/>
      <c r="G327" s="14"/>
      <c r="H327" s="14"/>
    </row>
    <row r="328" ht="22.5" customHeight="1">
      <c r="A328" s="7">
        <v>326.0</v>
      </c>
      <c r="B328" s="8"/>
      <c r="C328" s="16"/>
      <c r="D328" s="14"/>
      <c r="E328" s="14"/>
      <c r="F328" s="14"/>
      <c r="G328" s="14"/>
      <c r="H328" s="14"/>
    </row>
    <row r="329" ht="22.5" customHeight="1">
      <c r="A329" s="7">
        <v>327.0</v>
      </c>
      <c r="B329" s="8"/>
      <c r="C329" s="16"/>
      <c r="D329" s="14"/>
      <c r="E329" s="14"/>
      <c r="F329" s="14"/>
      <c r="G329" s="14"/>
      <c r="H329" s="14"/>
    </row>
    <row r="330" ht="22.5" customHeight="1">
      <c r="A330" s="7">
        <v>328.0</v>
      </c>
      <c r="B330" s="8"/>
      <c r="C330" s="16"/>
      <c r="D330" s="14"/>
      <c r="E330" s="14"/>
      <c r="F330" s="14"/>
      <c r="G330" s="14"/>
      <c r="H330" s="14"/>
    </row>
    <row r="331" ht="22.5" customHeight="1">
      <c r="A331" s="7">
        <v>329.0</v>
      </c>
      <c r="B331" s="8"/>
      <c r="C331" s="16"/>
      <c r="D331" s="14"/>
      <c r="E331" s="14"/>
      <c r="F331" s="14"/>
      <c r="G331" s="14"/>
      <c r="H331" s="14"/>
    </row>
    <row r="332" ht="22.5" customHeight="1">
      <c r="A332" s="7">
        <v>330.0</v>
      </c>
      <c r="B332" s="8"/>
      <c r="C332" s="16"/>
      <c r="D332" s="14"/>
      <c r="E332" s="14"/>
      <c r="F332" s="14"/>
      <c r="G332" s="14"/>
      <c r="H332" s="14"/>
    </row>
    <row r="333" ht="22.5" customHeight="1">
      <c r="A333" s="7">
        <v>331.0</v>
      </c>
      <c r="B333" s="8"/>
      <c r="C333" s="16"/>
      <c r="D333" s="14"/>
      <c r="E333" s="14"/>
      <c r="F333" s="14"/>
      <c r="G333" s="14"/>
      <c r="H333" s="14"/>
    </row>
    <row r="334" ht="22.5" customHeight="1">
      <c r="A334" s="7">
        <v>332.0</v>
      </c>
      <c r="B334" s="8"/>
      <c r="C334" s="16"/>
      <c r="D334" s="14"/>
      <c r="E334" s="14"/>
      <c r="F334" s="14"/>
      <c r="G334" s="14"/>
      <c r="H334" s="14"/>
    </row>
    <row r="335" ht="22.5" customHeight="1">
      <c r="A335" s="7">
        <v>333.0</v>
      </c>
      <c r="B335" s="8"/>
      <c r="C335" s="16"/>
      <c r="D335" s="14"/>
      <c r="E335" s="14"/>
      <c r="F335" s="14"/>
      <c r="G335" s="14"/>
      <c r="H335" s="14"/>
    </row>
    <row r="336" ht="22.5" customHeight="1">
      <c r="A336" s="7">
        <v>334.0</v>
      </c>
      <c r="B336" s="8"/>
      <c r="C336" s="16"/>
      <c r="D336" s="14"/>
      <c r="E336" s="14"/>
      <c r="F336" s="14"/>
      <c r="G336" s="14"/>
      <c r="H336" s="14"/>
    </row>
    <row r="337" ht="22.5" customHeight="1">
      <c r="A337" s="7">
        <v>335.0</v>
      </c>
      <c r="B337" s="8"/>
      <c r="C337" s="16"/>
      <c r="D337" s="14"/>
      <c r="E337" s="14"/>
      <c r="F337" s="14"/>
      <c r="G337" s="14"/>
      <c r="H337" s="14"/>
    </row>
    <row r="338" ht="22.5" customHeight="1">
      <c r="A338" s="7">
        <v>336.0</v>
      </c>
      <c r="B338" s="8"/>
      <c r="C338" s="16"/>
      <c r="D338" s="14"/>
      <c r="E338" s="14"/>
      <c r="F338" s="14"/>
      <c r="G338" s="14"/>
      <c r="H338" s="14"/>
    </row>
    <row r="339" ht="22.5" customHeight="1">
      <c r="A339" s="7">
        <v>337.0</v>
      </c>
      <c r="B339" s="8"/>
      <c r="C339" s="16"/>
      <c r="D339" s="14"/>
      <c r="E339" s="14"/>
      <c r="F339" s="14"/>
      <c r="G339" s="14"/>
      <c r="H339" s="14"/>
    </row>
    <row r="340" ht="22.5" customHeight="1">
      <c r="A340" s="7">
        <v>338.0</v>
      </c>
      <c r="B340" s="8"/>
      <c r="C340" s="16"/>
      <c r="D340" s="14"/>
      <c r="E340" s="14"/>
      <c r="F340" s="14"/>
      <c r="G340" s="14"/>
      <c r="H340" s="14"/>
    </row>
    <row r="341" ht="22.5" customHeight="1">
      <c r="A341" s="7">
        <v>339.0</v>
      </c>
      <c r="B341" s="8"/>
      <c r="C341" s="16"/>
      <c r="D341" s="14"/>
      <c r="E341" s="14"/>
      <c r="F341" s="14"/>
      <c r="G341" s="14"/>
      <c r="H341" s="14"/>
    </row>
    <row r="342" ht="22.5" customHeight="1">
      <c r="A342" s="7">
        <v>340.0</v>
      </c>
      <c r="B342" s="8"/>
      <c r="C342" s="16"/>
      <c r="D342" s="14"/>
      <c r="E342" s="14"/>
      <c r="F342" s="14"/>
      <c r="G342" s="14"/>
      <c r="H342" s="14"/>
    </row>
    <row r="343" ht="22.5" customHeight="1">
      <c r="A343" s="7">
        <v>341.0</v>
      </c>
      <c r="B343" s="8"/>
      <c r="C343" s="16"/>
      <c r="D343" s="14"/>
      <c r="E343" s="14"/>
      <c r="F343" s="14"/>
      <c r="G343" s="14"/>
      <c r="H343" s="14"/>
    </row>
    <row r="344" ht="22.5" customHeight="1">
      <c r="A344" s="7">
        <v>342.0</v>
      </c>
      <c r="B344" s="8"/>
      <c r="C344" s="16"/>
      <c r="D344" s="14"/>
      <c r="E344" s="14"/>
      <c r="F344" s="14"/>
      <c r="G344" s="14"/>
      <c r="H344" s="14"/>
    </row>
    <row r="345" ht="22.5" customHeight="1">
      <c r="A345" s="7">
        <v>343.0</v>
      </c>
      <c r="B345" s="8"/>
      <c r="C345" s="16"/>
      <c r="D345" s="14"/>
      <c r="E345" s="14"/>
      <c r="F345" s="14"/>
      <c r="G345" s="14"/>
      <c r="H345" s="14"/>
    </row>
    <row r="346" ht="22.5" customHeight="1">
      <c r="A346" s="7">
        <v>344.0</v>
      </c>
      <c r="B346" s="8"/>
      <c r="C346" s="16"/>
      <c r="D346" s="14"/>
      <c r="E346" s="14"/>
      <c r="F346" s="14"/>
      <c r="G346" s="14"/>
      <c r="H346" s="14"/>
    </row>
    <row r="347" ht="22.5" customHeight="1">
      <c r="A347" s="7">
        <v>345.0</v>
      </c>
      <c r="B347" s="8"/>
      <c r="C347" s="16"/>
      <c r="D347" s="14"/>
      <c r="E347" s="14"/>
      <c r="F347" s="14"/>
      <c r="G347" s="14"/>
      <c r="H347" s="14"/>
    </row>
    <row r="348" ht="22.5" customHeight="1">
      <c r="A348" s="7">
        <v>346.0</v>
      </c>
      <c r="B348" s="8"/>
      <c r="C348" s="16"/>
      <c r="D348" s="14"/>
      <c r="E348" s="14"/>
      <c r="F348" s="14"/>
      <c r="G348" s="14"/>
      <c r="H348" s="14"/>
    </row>
    <row r="349" ht="22.5" customHeight="1">
      <c r="A349" s="7">
        <v>347.0</v>
      </c>
      <c r="B349" s="8"/>
      <c r="C349" s="16"/>
      <c r="D349" s="14"/>
      <c r="E349" s="14"/>
      <c r="F349" s="14"/>
      <c r="G349" s="14"/>
      <c r="H349" s="14"/>
    </row>
    <row r="350" ht="22.5" customHeight="1">
      <c r="A350" s="7">
        <v>348.0</v>
      </c>
      <c r="B350" s="8"/>
      <c r="C350" s="16"/>
      <c r="D350" s="14"/>
      <c r="E350" s="14"/>
      <c r="F350" s="14"/>
      <c r="G350" s="14"/>
      <c r="H350" s="14"/>
    </row>
    <row r="351" ht="22.5" customHeight="1">
      <c r="A351" s="7">
        <v>349.0</v>
      </c>
      <c r="B351" s="8"/>
      <c r="C351" s="16"/>
      <c r="D351" s="14"/>
      <c r="E351" s="14"/>
      <c r="F351" s="14"/>
      <c r="G351" s="14"/>
      <c r="H351" s="14"/>
    </row>
    <row r="352" ht="22.5" customHeight="1">
      <c r="A352" s="7">
        <v>350.0</v>
      </c>
      <c r="B352" s="8"/>
      <c r="C352" s="16"/>
      <c r="D352" s="14"/>
      <c r="E352" s="14"/>
      <c r="F352" s="14"/>
      <c r="G352" s="14"/>
      <c r="H352" s="14"/>
    </row>
    <row r="353" ht="22.5" customHeight="1">
      <c r="A353" s="7">
        <v>351.0</v>
      </c>
      <c r="B353" s="8"/>
      <c r="C353" s="16"/>
      <c r="D353" s="14"/>
      <c r="E353" s="14"/>
      <c r="F353" s="14"/>
      <c r="G353" s="14"/>
      <c r="H353" s="14"/>
    </row>
    <row r="354" ht="22.5" customHeight="1">
      <c r="A354" s="7">
        <v>352.0</v>
      </c>
      <c r="B354" s="8"/>
      <c r="C354" s="16"/>
      <c r="D354" s="14"/>
      <c r="E354" s="14"/>
      <c r="F354" s="14"/>
      <c r="G354" s="14"/>
      <c r="H354" s="14"/>
    </row>
    <row r="355" ht="22.5" customHeight="1">
      <c r="A355" s="7">
        <v>353.0</v>
      </c>
      <c r="B355" s="8"/>
      <c r="C355" s="16"/>
      <c r="D355" s="14"/>
      <c r="E355" s="14"/>
      <c r="F355" s="14"/>
      <c r="G355" s="14"/>
      <c r="H355" s="14"/>
    </row>
    <row r="356" ht="22.5" customHeight="1">
      <c r="A356" s="7">
        <v>354.0</v>
      </c>
      <c r="B356" s="8"/>
      <c r="C356" s="16"/>
      <c r="D356" s="14"/>
      <c r="E356" s="14"/>
      <c r="F356" s="14"/>
      <c r="G356" s="14"/>
      <c r="H356" s="14"/>
    </row>
    <row r="357" ht="22.5" customHeight="1">
      <c r="A357" s="7">
        <v>355.0</v>
      </c>
      <c r="B357" s="8"/>
      <c r="C357" s="16"/>
      <c r="D357" s="14"/>
      <c r="E357" s="14"/>
      <c r="F357" s="14"/>
      <c r="G357" s="14"/>
      <c r="H357" s="14"/>
    </row>
    <row r="358" ht="22.5" customHeight="1">
      <c r="A358" s="7">
        <v>356.0</v>
      </c>
      <c r="B358" s="8"/>
      <c r="C358" s="16"/>
      <c r="D358" s="14"/>
      <c r="E358" s="14"/>
      <c r="F358" s="14"/>
      <c r="G358" s="14"/>
      <c r="H358" s="14"/>
    </row>
    <row r="359" ht="22.5" customHeight="1">
      <c r="A359" s="7">
        <v>357.0</v>
      </c>
      <c r="B359" s="8"/>
      <c r="C359" s="16"/>
      <c r="D359" s="14"/>
      <c r="E359" s="14"/>
      <c r="F359" s="14"/>
      <c r="G359" s="14"/>
      <c r="H359" s="14"/>
    </row>
    <row r="360" ht="22.5" customHeight="1">
      <c r="A360" s="7">
        <v>358.0</v>
      </c>
      <c r="B360" s="8"/>
      <c r="C360" s="16"/>
      <c r="D360" s="14"/>
      <c r="E360" s="14"/>
      <c r="F360" s="14"/>
      <c r="G360" s="14"/>
      <c r="H360" s="14"/>
    </row>
    <row r="361" ht="22.5" customHeight="1">
      <c r="A361" s="7">
        <v>359.0</v>
      </c>
      <c r="B361" s="8"/>
      <c r="C361" s="16"/>
      <c r="D361" s="14"/>
      <c r="E361" s="14"/>
      <c r="F361" s="14"/>
      <c r="G361" s="14"/>
      <c r="H361" s="14"/>
    </row>
    <row r="362" ht="22.5" customHeight="1">
      <c r="A362" s="7">
        <v>360.0</v>
      </c>
      <c r="B362" s="8"/>
      <c r="C362" s="16"/>
      <c r="D362" s="14"/>
      <c r="E362" s="14"/>
      <c r="F362" s="14"/>
      <c r="G362" s="14"/>
      <c r="H362" s="14"/>
    </row>
    <row r="363" ht="22.5" customHeight="1">
      <c r="A363" s="7">
        <v>361.0</v>
      </c>
      <c r="B363" s="8"/>
      <c r="C363" s="16"/>
      <c r="D363" s="14"/>
      <c r="E363" s="14"/>
      <c r="F363" s="14"/>
      <c r="G363" s="14"/>
      <c r="H363" s="14"/>
    </row>
    <row r="364" ht="22.5" customHeight="1">
      <c r="A364" s="7">
        <v>362.0</v>
      </c>
      <c r="B364" s="8"/>
      <c r="C364" s="16"/>
      <c r="D364" s="14"/>
      <c r="E364" s="14"/>
      <c r="F364" s="14"/>
      <c r="G364" s="14"/>
      <c r="H364" s="14"/>
    </row>
    <row r="365" ht="22.5" customHeight="1">
      <c r="A365" s="7">
        <v>363.0</v>
      </c>
      <c r="B365" s="8"/>
      <c r="C365" s="16"/>
      <c r="D365" s="14"/>
      <c r="E365" s="14"/>
      <c r="F365" s="14"/>
      <c r="G365" s="14"/>
      <c r="H365" s="14"/>
    </row>
    <row r="366" ht="22.5" customHeight="1">
      <c r="A366" s="7">
        <v>364.0</v>
      </c>
      <c r="B366" s="8"/>
      <c r="C366" s="16"/>
      <c r="D366" s="14"/>
      <c r="E366" s="14"/>
      <c r="F366" s="14"/>
      <c r="G366" s="14"/>
      <c r="H366" s="14"/>
    </row>
    <row r="367" ht="22.5" customHeight="1">
      <c r="A367" s="7">
        <v>365.0</v>
      </c>
      <c r="B367" s="8"/>
      <c r="C367" s="16"/>
      <c r="D367" s="14"/>
      <c r="E367" s="14"/>
      <c r="F367" s="14"/>
      <c r="G367" s="14"/>
      <c r="H367" s="14"/>
    </row>
    <row r="368" ht="22.5" customHeight="1">
      <c r="A368" s="7">
        <v>366.0</v>
      </c>
      <c r="B368" s="8"/>
      <c r="C368" s="16"/>
      <c r="D368" s="14"/>
      <c r="E368" s="14"/>
      <c r="F368" s="14"/>
      <c r="G368" s="14"/>
      <c r="H368" s="14"/>
    </row>
    <row r="369" ht="22.5" customHeight="1">
      <c r="A369" s="7">
        <v>367.0</v>
      </c>
      <c r="B369" s="8"/>
      <c r="C369" s="16"/>
      <c r="D369" s="14"/>
      <c r="E369" s="14"/>
      <c r="F369" s="14"/>
      <c r="G369" s="14"/>
      <c r="H369" s="14"/>
    </row>
    <row r="370" ht="22.5" customHeight="1">
      <c r="A370" s="7">
        <v>368.0</v>
      </c>
      <c r="B370" s="8"/>
      <c r="C370" s="16"/>
      <c r="D370" s="14"/>
      <c r="E370" s="14"/>
      <c r="F370" s="14"/>
      <c r="G370" s="14"/>
      <c r="H370" s="14"/>
    </row>
    <row r="371" ht="22.5" customHeight="1">
      <c r="A371" s="7">
        <v>369.0</v>
      </c>
      <c r="B371" s="8"/>
      <c r="C371" s="16"/>
      <c r="D371" s="14"/>
      <c r="E371" s="14"/>
      <c r="F371" s="14"/>
      <c r="G371" s="14"/>
      <c r="H371" s="14"/>
    </row>
    <row r="372" ht="22.5" customHeight="1">
      <c r="A372" s="7">
        <v>370.0</v>
      </c>
      <c r="B372" s="8"/>
      <c r="C372" s="16"/>
      <c r="D372" s="14"/>
      <c r="E372" s="14"/>
      <c r="F372" s="14"/>
      <c r="G372" s="14"/>
      <c r="H372" s="14"/>
    </row>
    <row r="373" ht="22.5" customHeight="1">
      <c r="A373" s="7">
        <v>371.0</v>
      </c>
      <c r="B373" s="8"/>
      <c r="C373" s="16"/>
      <c r="D373" s="14"/>
      <c r="E373" s="14"/>
      <c r="F373" s="14"/>
      <c r="G373" s="14"/>
      <c r="H373" s="14"/>
    </row>
    <row r="374" ht="22.5" customHeight="1">
      <c r="A374" s="7">
        <v>372.0</v>
      </c>
      <c r="B374" s="8"/>
      <c r="C374" s="16"/>
      <c r="D374" s="14"/>
      <c r="E374" s="14"/>
      <c r="F374" s="14"/>
      <c r="G374" s="14"/>
      <c r="H374" s="14"/>
    </row>
    <row r="375" ht="22.5" customHeight="1">
      <c r="A375" s="7">
        <v>373.0</v>
      </c>
      <c r="B375" s="8"/>
      <c r="C375" s="16"/>
      <c r="D375" s="14"/>
      <c r="E375" s="14"/>
      <c r="F375" s="14"/>
      <c r="G375" s="14"/>
      <c r="H375" s="14"/>
    </row>
    <row r="376" ht="22.5" customHeight="1">
      <c r="A376" s="7">
        <v>374.0</v>
      </c>
      <c r="B376" s="8"/>
      <c r="C376" s="16"/>
      <c r="D376" s="14"/>
      <c r="E376" s="14"/>
      <c r="F376" s="14"/>
      <c r="G376" s="14"/>
      <c r="H376" s="14"/>
    </row>
    <row r="377" ht="22.5" customHeight="1">
      <c r="A377" s="7">
        <v>375.0</v>
      </c>
      <c r="B377" s="8"/>
      <c r="C377" s="16"/>
      <c r="D377" s="14"/>
      <c r="E377" s="14"/>
      <c r="F377" s="14"/>
      <c r="G377" s="14"/>
      <c r="H377" s="14"/>
    </row>
    <row r="378" ht="22.5" customHeight="1">
      <c r="A378" s="7">
        <v>376.0</v>
      </c>
      <c r="B378" s="8"/>
      <c r="C378" s="16"/>
      <c r="D378" s="14"/>
      <c r="E378" s="14"/>
      <c r="F378" s="14"/>
      <c r="G378" s="14"/>
      <c r="H378" s="14"/>
    </row>
    <row r="379" ht="22.5" customHeight="1">
      <c r="A379" s="7">
        <v>377.0</v>
      </c>
      <c r="B379" s="8"/>
      <c r="C379" s="16"/>
      <c r="D379" s="14"/>
      <c r="E379" s="14"/>
      <c r="F379" s="14"/>
      <c r="G379" s="14"/>
      <c r="H379" s="14"/>
    </row>
    <row r="380" ht="22.5" customHeight="1">
      <c r="A380" s="7">
        <v>378.0</v>
      </c>
      <c r="B380" s="8"/>
      <c r="C380" s="16"/>
      <c r="D380" s="14"/>
      <c r="E380" s="14"/>
      <c r="F380" s="14"/>
      <c r="G380" s="14"/>
      <c r="H380" s="14"/>
    </row>
    <row r="381" ht="22.5" customHeight="1">
      <c r="A381" s="7">
        <v>379.0</v>
      </c>
      <c r="B381" s="8"/>
      <c r="C381" s="16"/>
      <c r="D381" s="14"/>
      <c r="E381" s="14"/>
      <c r="F381" s="14"/>
      <c r="G381" s="14"/>
      <c r="H381" s="14"/>
    </row>
    <row r="382" ht="22.5" customHeight="1">
      <c r="A382" s="7">
        <v>380.0</v>
      </c>
      <c r="B382" s="8"/>
      <c r="C382" s="16"/>
      <c r="D382" s="14"/>
      <c r="E382" s="14"/>
      <c r="F382" s="14"/>
      <c r="G382" s="14"/>
      <c r="H382" s="14"/>
    </row>
    <row r="383" ht="22.5" customHeight="1">
      <c r="A383" s="7">
        <v>381.0</v>
      </c>
      <c r="B383" s="8"/>
      <c r="C383" s="16"/>
      <c r="D383" s="14"/>
      <c r="E383" s="14"/>
      <c r="F383" s="14"/>
      <c r="G383" s="14"/>
      <c r="H383" s="14"/>
    </row>
    <row r="384" ht="22.5" customHeight="1">
      <c r="A384" s="7">
        <v>382.0</v>
      </c>
      <c r="B384" s="8"/>
      <c r="C384" s="16"/>
      <c r="D384" s="14"/>
      <c r="E384" s="14"/>
      <c r="F384" s="14"/>
      <c r="G384" s="14"/>
      <c r="H384" s="14"/>
    </row>
    <row r="385" ht="22.5" customHeight="1">
      <c r="A385" s="7">
        <v>383.0</v>
      </c>
      <c r="B385" s="8"/>
      <c r="C385" s="16"/>
      <c r="D385" s="14"/>
      <c r="E385" s="14"/>
      <c r="F385" s="14"/>
      <c r="G385" s="14"/>
      <c r="H385" s="14"/>
    </row>
    <row r="386" ht="22.5" customHeight="1">
      <c r="A386" s="7">
        <v>384.0</v>
      </c>
      <c r="B386" s="8"/>
      <c r="C386" s="16"/>
      <c r="D386" s="14"/>
      <c r="E386" s="14"/>
      <c r="F386" s="14"/>
      <c r="G386" s="14"/>
      <c r="H386" s="14"/>
    </row>
    <row r="387" ht="22.5" customHeight="1">
      <c r="A387" s="7">
        <v>385.0</v>
      </c>
      <c r="B387" s="8"/>
      <c r="C387" s="16"/>
      <c r="D387" s="14"/>
      <c r="E387" s="14"/>
      <c r="F387" s="14"/>
      <c r="G387" s="14"/>
      <c r="H387" s="14"/>
    </row>
    <row r="388" ht="22.5" customHeight="1">
      <c r="A388" s="7">
        <v>386.0</v>
      </c>
      <c r="B388" s="8"/>
      <c r="C388" s="16"/>
      <c r="D388" s="14"/>
      <c r="E388" s="14"/>
      <c r="F388" s="14"/>
      <c r="G388" s="14"/>
      <c r="H388" s="14"/>
    </row>
    <row r="389" ht="22.5" customHeight="1">
      <c r="A389" s="7">
        <v>387.0</v>
      </c>
      <c r="B389" s="8"/>
      <c r="C389" s="16"/>
      <c r="D389" s="14"/>
      <c r="E389" s="14"/>
      <c r="F389" s="14"/>
      <c r="G389" s="14"/>
      <c r="H389" s="14"/>
    </row>
    <row r="390" ht="22.5" customHeight="1">
      <c r="A390" s="7">
        <v>388.0</v>
      </c>
      <c r="B390" s="8"/>
      <c r="C390" s="16"/>
      <c r="D390" s="14"/>
      <c r="E390" s="14"/>
      <c r="F390" s="14"/>
      <c r="G390" s="14"/>
      <c r="H390" s="14"/>
    </row>
    <row r="391" ht="22.5" customHeight="1">
      <c r="A391" s="7">
        <v>389.0</v>
      </c>
      <c r="B391" s="8"/>
      <c r="C391" s="16"/>
      <c r="D391" s="14"/>
      <c r="E391" s="14"/>
      <c r="F391" s="14"/>
      <c r="G391" s="14"/>
      <c r="H391" s="14"/>
    </row>
    <row r="392" ht="22.5" customHeight="1">
      <c r="A392" s="7">
        <v>390.0</v>
      </c>
      <c r="B392" s="8"/>
      <c r="C392" s="16"/>
      <c r="D392" s="14"/>
      <c r="E392" s="14"/>
      <c r="F392" s="14"/>
      <c r="G392" s="14"/>
      <c r="H392" s="14"/>
    </row>
    <row r="393" ht="22.5" customHeight="1">
      <c r="A393" s="7">
        <v>391.0</v>
      </c>
      <c r="B393" s="8"/>
      <c r="C393" s="16"/>
      <c r="D393" s="14"/>
      <c r="E393" s="14"/>
      <c r="F393" s="14"/>
      <c r="G393" s="14"/>
      <c r="H393" s="14"/>
    </row>
    <row r="394" ht="22.5" customHeight="1">
      <c r="A394" s="7">
        <v>392.0</v>
      </c>
      <c r="B394" s="8"/>
      <c r="C394" s="16"/>
      <c r="D394" s="14"/>
      <c r="E394" s="14"/>
      <c r="F394" s="14"/>
      <c r="G394" s="14"/>
      <c r="H394" s="14"/>
    </row>
    <row r="395" ht="22.5" customHeight="1">
      <c r="A395" s="7">
        <v>393.0</v>
      </c>
      <c r="B395" s="8"/>
      <c r="C395" s="16"/>
      <c r="D395" s="14"/>
      <c r="E395" s="14"/>
      <c r="F395" s="14"/>
      <c r="G395" s="14"/>
      <c r="H395" s="14"/>
    </row>
    <row r="396" ht="22.5" customHeight="1">
      <c r="A396" s="7">
        <v>394.0</v>
      </c>
      <c r="B396" s="8"/>
      <c r="C396" s="16"/>
      <c r="D396" s="14"/>
      <c r="E396" s="14"/>
      <c r="F396" s="14"/>
      <c r="G396" s="14"/>
      <c r="H396" s="14"/>
    </row>
    <row r="397" ht="22.5" customHeight="1">
      <c r="A397" s="7">
        <v>395.0</v>
      </c>
      <c r="B397" s="8"/>
      <c r="C397" s="16"/>
      <c r="D397" s="14"/>
      <c r="E397" s="14"/>
      <c r="F397" s="14"/>
      <c r="G397" s="14"/>
      <c r="H397" s="14"/>
    </row>
    <row r="398" ht="22.5" customHeight="1">
      <c r="A398" s="7">
        <v>396.0</v>
      </c>
      <c r="B398" s="8"/>
      <c r="C398" s="16"/>
      <c r="D398" s="14"/>
      <c r="E398" s="14"/>
      <c r="F398" s="14"/>
      <c r="G398" s="14"/>
      <c r="H398" s="14"/>
    </row>
    <row r="399" ht="22.5" customHeight="1">
      <c r="A399" s="7">
        <v>397.0</v>
      </c>
      <c r="B399" s="8"/>
      <c r="C399" s="16"/>
      <c r="D399" s="14"/>
      <c r="E399" s="14"/>
      <c r="F399" s="14"/>
      <c r="G399" s="14"/>
      <c r="H399" s="14"/>
    </row>
    <row r="400" ht="22.5" customHeight="1">
      <c r="A400" s="7">
        <v>398.0</v>
      </c>
      <c r="B400" s="8"/>
      <c r="C400" s="16"/>
      <c r="D400" s="14"/>
      <c r="E400" s="14"/>
      <c r="F400" s="14"/>
      <c r="G400" s="14"/>
      <c r="H400" s="14"/>
    </row>
    <row r="401" ht="22.5" customHeight="1">
      <c r="A401" s="7">
        <v>399.0</v>
      </c>
      <c r="B401" s="8"/>
      <c r="C401" s="16"/>
      <c r="D401" s="14"/>
      <c r="E401" s="14"/>
      <c r="F401" s="14"/>
      <c r="G401" s="14"/>
      <c r="H401" s="14"/>
    </row>
    <row r="402" ht="22.5" customHeight="1">
      <c r="A402" s="7">
        <v>400.0</v>
      </c>
      <c r="B402" s="8"/>
      <c r="C402" s="16"/>
      <c r="D402" s="14"/>
      <c r="E402" s="14"/>
      <c r="F402" s="14"/>
      <c r="G402" s="14"/>
      <c r="H402" s="14"/>
    </row>
    <row r="403" ht="22.5" customHeight="1">
      <c r="A403" s="7">
        <v>401.0</v>
      </c>
      <c r="B403" s="8"/>
      <c r="C403" s="16"/>
      <c r="D403" s="14"/>
      <c r="E403" s="14"/>
      <c r="F403" s="14"/>
      <c r="G403" s="14"/>
      <c r="H403" s="14"/>
    </row>
    <row r="404" ht="22.5" customHeight="1">
      <c r="A404" s="7">
        <v>402.0</v>
      </c>
      <c r="B404" s="8"/>
      <c r="C404" s="16"/>
      <c r="D404" s="14"/>
      <c r="E404" s="14"/>
      <c r="F404" s="14"/>
      <c r="G404" s="14"/>
      <c r="H404" s="14"/>
    </row>
    <row r="405" ht="22.5" customHeight="1">
      <c r="A405" s="7">
        <v>403.0</v>
      </c>
      <c r="B405" s="8"/>
      <c r="C405" s="16"/>
      <c r="D405" s="14"/>
      <c r="E405" s="14"/>
      <c r="F405" s="14"/>
      <c r="G405" s="14"/>
      <c r="H405" s="14"/>
    </row>
    <row r="406" ht="22.5" customHeight="1">
      <c r="A406" s="7">
        <v>404.0</v>
      </c>
      <c r="B406" s="8"/>
      <c r="C406" s="16"/>
      <c r="D406" s="14"/>
      <c r="E406" s="14"/>
      <c r="F406" s="14"/>
      <c r="G406" s="14"/>
      <c r="H406" s="14"/>
    </row>
    <row r="407" ht="22.5" customHeight="1">
      <c r="A407" s="7">
        <v>405.0</v>
      </c>
      <c r="B407" s="8"/>
      <c r="C407" s="16"/>
      <c r="D407" s="14"/>
      <c r="E407" s="14"/>
      <c r="F407" s="14"/>
      <c r="G407" s="14"/>
      <c r="H407" s="14"/>
    </row>
    <row r="408" ht="22.5" customHeight="1">
      <c r="A408" s="7">
        <v>406.0</v>
      </c>
      <c r="B408" s="8"/>
      <c r="C408" s="16"/>
      <c r="D408" s="14"/>
      <c r="E408" s="14"/>
      <c r="F408" s="14"/>
      <c r="G408" s="14"/>
      <c r="H408" s="14"/>
    </row>
    <row r="409" ht="22.5" customHeight="1">
      <c r="A409" s="7">
        <v>407.0</v>
      </c>
      <c r="B409" s="8"/>
      <c r="C409" s="16"/>
      <c r="D409" s="14"/>
      <c r="E409" s="14"/>
      <c r="F409" s="14"/>
      <c r="G409" s="14"/>
      <c r="H409" s="14"/>
    </row>
    <row r="410" ht="22.5" customHeight="1">
      <c r="A410" s="7">
        <v>408.0</v>
      </c>
      <c r="B410" s="8"/>
      <c r="C410" s="16"/>
      <c r="D410" s="14"/>
      <c r="E410" s="14"/>
      <c r="F410" s="14"/>
      <c r="G410" s="14"/>
      <c r="H410" s="14"/>
    </row>
    <row r="411" ht="22.5" customHeight="1">
      <c r="A411" s="7">
        <v>409.0</v>
      </c>
      <c r="B411" s="8"/>
      <c r="C411" s="16"/>
      <c r="D411" s="14"/>
      <c r="E411" s="14"/>
      <c r="F411" s="14"/>
      <c r="G411" s="14"/>
      <c r="H411" s="14"/>
    </row>
    <row r="412" ht="22.5" customHeight="1">
      <c r="A412" s="7">
        <v>410.0</v>
      </c>
      <c r="B412" s="8"/>
      <c r="C412" s="16"/>
      <c r="D412" s="14"/>
      <c r="E412" s="14"/>
      <c r="F412" s="14"/>
      <c r="G412" s="14"/>
      <c r="H412" s="14"/>
    </row>
    <row r="413" ht="22.5" customHeight="1">
      <c r="A413" s="7">
        <v>411.0</v>
      </c>
      <c r="B413" s="8"/>
      <c r="C413" s="16"/>
      <c r="D413" s="14"/>
      <c r="E413" s="14"/>
      <c r="F413" s="14"/>
      <c r="G413" s="14"/>
      <c r="H413" s="14"/>
    </row>
    <row r="414" ht="22.5" customHeight="1">
      <c r="A414" s="7">
        <v>412.0</v>
      </c>
      <c r="B414" s="8"/>
      <c r="C414" s="16"/>
      <c r="D414" s="14"/>
      <c r="E414" s="14"/>
      <c r="F414" s="14"/>
      <c r="G414" s="14"/>
      <c r="H414" s="14"/>
    </row>
    <row r="415" ht="22.5" customHeight="1">
      <c r="A415" s="7">
        <v>413.0</v>
      </c>
      <c r="B415" s="8"/>
      <c r="C415" s="16"/>
      <c r="D415" s="14"/>
      <c r="E415" s="14"/>
      <c r="F415" s="14"/>
      <c r="G415" s="14"/>
      <c r="H415" s="14"/>
    </row>
    <row r="416" ht="22.5" customHeight="1">
      <c r="A416" s="7">
        <v>414.0</v>
      </c>
      <c r="B416" s="8"/>
      <c r="C416" s="16"/>
      <c r="D416" s="14"/>
      <c r="E416" s="14"/>
      <c r="F416" s="14"/>
      <c r="G416" s="14"/>
      <c r="H416" s="14"/>
    </row>
    <row r="417" ht="22.5" customHeight="1">
      <c r="A417" s="7">
        <v>415.0</v>
      </c>
      <c r="B417" s="8"/>
      <c r="C417" s="16"/>
      <c r="D417" s="14"/>
      <c r="E417" s="14"/>
      <c r="F417" s="14"/>
      <c r="G417" s="14"/>
      <c r="H417" s="14"/>
    </row>
    <row r="418" ht="22.5" customHeight="1">
      <c r="A418" s="7">
        <v>416.0</v>
      </c>
      <c r="B418" s="8"/>
      <c r="C418" s="16"/>
      <c r="D418" s="14"/>
      <c r="E418" s="14"/>
      <c r="F418" s="14"/>
      <c r="G418" s="14"/>
      <c r="H418" s="14"/>
    </row>
    <row r="419" ht="22.5" customHeight="1">
      <c r="A419" s="7">
        <v>417.0</v>
      </c>
      <c r="B419" s="8"/>
      <c r="C419" s="16"/>
      <c r="D419" s="14"/>
      <c r="E419" s="14"/>
      <c r="F419" s="14"/>
      <c r="G419" s="14"/>
      <c r="H419" s="14"/>
    </row>
    <row r="420" ht="22.5" customHeight="1">
      <c r="A420" s="7">
        <v>418.0</v>
      </c>
      <c r="B420" s="8"/>
      <c r="C420" s="16"/>
      <c r="D420" s="14"/>
      <c r="E420" s="14"/>
      <c r="F420" s="14"/>
      <c r="G420" s="14"/>
      <c r="H420" s="14"/>
    </row>
    <row r="421" ht="22.5" customHeight="1">
      <c r="A421" s="7">
        <v>419.0</v>
      </c>
      <c r="B421" s="8"/>
      <c r="C421" s="16"/>
      <c r="D421" s="14"/>
      <c r="E421" s="14"/>
      <c r="F421" s="14"/>
      <c r="G421" s="14"/>
      <c r="H421" s="14"/>
    </row>
    <row r="422" ht="22.5" customHeight="1">
      <c r="A422" s="7">
        <v>420.0</v>
      </c>
      <c r="B422" s="8"/>
      <c r="C422" s="16"/>
      <c r="D422" s="14"/>
      <c r="E422" s="14"/>
      <c r="F422" s="14"/>
      <c r="G422" s="14"/>
      <c r="H422" s="14"/>
    </row>
    <row r="423" ht="22.5" customHeight="1">
      <c r="A423" s="7">
        <v>421.0</v>
      </c>
      <c r="B423" s="8"/>
      <c r="C423" s="16"/>
      <c r="D423" s="14"/>
      <c r="E423" s="14"/>
      <c r="F423" s="14"/>
      <c r="G423" s="14"/>
      <c r="H423" s="14"/>
    </row>
    <row r="424" ht="22.5" customHeight="1">
      <c r="A424" s="7">
        <v>422.0</v>
      </c>
      <c r="B424" s="8"/>
      <c r="C424" s="16"/>
      <c r="D424" s="14"/>
      <c r="E424" s="14"/>
      <c r="F424" s="14"/>
      <c r="G424" s="14"/>
      <c r="H424" s="14"/>
    </row>
    <row r="425" ht="22.5" customHeight="1">
      <c r="A425" s="7">
        <v>423.0</v>
      </c>
      <c r="B425" s="8"/>
      <c r="C425" s="16"/>
      <c r="D425" s="14"/>
      <c r="E425" s="14"/>
      <c r="F425" s="14"/>
      <c r="G425" s="14"/>
      <c r="H425" s="14"/>
    </row>
    <row r="426" ht="22.5" customHeight="1">
      <c r="A426" s="7">
        <v>424.0</v>
      </c>
      <c r="B426" s="8"/>
      <c r="C426" s="16"/>
      <c r="D426" s="14"/>
      <c r="E426" s="14"/>
      <c r="F426" s="14"/>
      <c r="G426" s="14"/>
      <c r="H426" s="14"/>
    </row>
    <row r="427" ht="22.5" customHeight="1">
      <c r="A427" s="7">
        <v>425.0</v>
      </c>
      <c r="B427" s="8"/>
      <c r="C427" s="16"/>
      <c r="D427" s="14"/>
      <c r="E427" s="14"/>
      <c r="F427" s="14"/>
      <c r="G427" s="14"/>
      <c r="H427" s="14"/>
    </row>
    <row r="428" ht="22.5" customHeight="1">
      <c r="A428" s="7">
        <v>426.0</v>
      </c>
      <c r="B428" s="8"/>
      <c r="C428" s="16"/>
      <c r="D428" s="14"/>
      <c r="E428" s="14"/>
      <c r="F428" s="14"/>
      <c r="G428" s="14"/>
      <c r="H428" s="14"/>
    </row>
    <row r="429" ht="22.5" customHeight="1">
      <c r="A429" s="7">
        <v>427.0</v>
      </c>
      <c r="B429" s="8"/>
      <c r="C429" s="16"/>
      <c r="D429" s="14"/>
      <c r="E429" s="14"/>
      <c r="F429" s="14"/>
      <c r="G429" s="14"/>
      <c r="H429" s="14"/>
    </row>
    <row r="430" ht="22.5" customHeight="1">
      <c r="A430" s="7">
        <v>428.0</v>
      </c>
      <c r="B430" s="8"/>
      <c r="C430" s="16"/>
      <c r="D430" s="14"/>
      <c r="E430" s="14"/>
      <c r="F430" s="14"/>
      <c r="G430" s="14"/>
      <c r="H430" s="14"/>
    </row>
    <row r="431" ht="22.5" customHeight="1">
      <c r="A431" s="7">
        <v>429.0</v>
      </c>
      <c r="B431" s="8"/>
      <c r="C431" s="16"/>
      <c r="D431" s="14"/>
      <c r="E431" s="14"/>
      <c r="F431" s="14"/>
      <c r="G431" s="14"/>
      <c r="H431" s="14"/>
    </row>
    <row r="432" ht="22.5" customHeight="1">
      <c r="A432" s="7">
        <v>430.0</v>
      </c>
      <c r="B432" s="8"/>
      <c r="C432" s="16"/>
      <c r="D432" s="14"/>
      <c r="E432" s="14"/>
      <c r="F432" s="14"/>
      <c r="G432" s="14"/>
      <c r="H432" s="14"/>
    </row>
    <row r="433" ht="22.5" customHeight="1">
      <c r="A433" s="7">
        <v>431.0</v>
      </c>
      <c r="B433" s="8"/>
      <c r="C433" s="16"/>
      <c r="D433" s="14"/>
      <c r="E433" s="14"/>
      <c r="F433" s="14"/>
      <c r="G433" s="14"/>
      <c r="H433" s="14"/>
    </row>
    <row r="434" ht="22.5" customHeight="1">
      <c r="A434" s="7">
        <v>432.0</v>
      </c>
      <c r="B434" s="8"/>
      <c r="C434" s="16"/>
      <c r="D434" s="14"/>
      <c r="E434" s="14"/>
      <c r="F434" s="14"/>
      <c r="G434" s="14"/>
      <c r="H434" s="14"/>
    </row>
    <row r="435" ht="22.5" customHeight="1">
      <c r="A435" s="7">
        <v>433.0</v>
      </c>
      <c r="B435" s="8"/>
      <c r="C435" s="16"/>
      <c r="D435" s="14"/>
      <c r="E435" s="14"/>
      <c r="F435" s="14"/>
      <c r="G435" s="14"/>
      <c r="H435" s="14"/>
    </row>
    <row r="436" ht="22.5" customHeight="1">
      <c r="A436" s="7">
        <v>434.0</v>
      </c>
      <c r="B436" s="8"/>
      <c r="C436" s="16"/>
      <c r="D436" s="14"/>
      <c r="E436" s="14"/>
      <c r="F436" s="14"/>
      <c r="G436" s="14"/>
      <c r="H436" s="14"/>
    </row>
    <row r="437" ht="22.5" customHeight="1">
      <c r="A437" s="7">
        <v>435.0</v>
      </c>
      <c r="B437" s="8"/>
      <c r="C437" s="16"/>
      <c r="D437" s="14"/>
      <c r="E437" s="14"/>
      <c r="F437" s="14"/>
      <c r="G437" s="14"/>
      <c r="H437" s="14"/>
    </row>
    <row r="438" ht="22.5" customHeight="1">
      <c r="A438" s="7">
        <v>436.0</v>
      </c>
      <c r="B438" s="8"/>
      <c r="C438" s="16"/>
      <c r="D438" s="14"/>
      <c r="E438" s="14"/>
      <c r="F438" s="14"/>
      <c r="G438" s="14"/>
      <c r="H438" s="14"/>
    </row>
    <row r="439" ht="22.5" customHeight="1">
      <c r="A439" s="7">
        <v>437.0</v>
      </c>
      <c r="B439" s="8"/>
      <c r="C439" s="16"/>
      <c r="D439" s="14"/>
      <c r="E439" s="14"/>
      <c r="F439" s="14"/>
      <c r="G439" s="14"/>
      <c r="H439" s="14"/>
    </row>
    <row r="440" ht="22.5" customHeight="1">
      <c r="A440" s="7">
        <v>438.0</v>
      </c>
      <c r="B440" s="8"/>
      <c r="C440" s="16"/>
      <c r="D440" s="14"/>
      <c r="E440" s="14"/>
      <c r="F440" s="14"/>
      <c r="G440" s="14"/>
      <c r="H440" s="14"/>
    </row>
    <row r="441" ht="22.5" customHeight="1">
      <c r="A441" s="7">
        <v>439.0</v>
      </c>
      <c r="B441" s="8"/>
      <c r="C441" s="16"/>
      <c r="D441" s="14"/>
      <c r="E441" s="14"/>
      <c r="F441" s="14"/>
      <c r="G441" s="14"/>
      <c r="H441" s="14"/>
    </row>
    <row r="442" ht="22.5" customHeight="1">
      <c r="A442" s="7">
        <v>440.0</v>
      </c>
      <c r="B442" s="8"/>
      <c r="C442" s="16"/>
      <c r="D442" s="14"/>
      <c r="E442" s="14"/>
      <c r="F442" s="14"/>
      <c r="G442" s="14"/>
      <c r="H442" s="14"/>
    </row>
    <row r="443" ht="22.5" customHeight="1">
      <c r="A443" s="7">
        <v>441.0</v>
      </c>
      <c r="B443" s="8"/>
      <c r="C443" s="16"/>
      <c r="D443" s="14"/>
      <c r="E443" s="14"/>
      <c r="F443" s="14"/>
      <c r="G443" s="14"/>
      <c r="H443" s="14"/>
    </row>
    <row r="444" ht="22.5" customHeight="1">
      <c r="A444" s="7">
        <v>442.0</v>
      </c>
      <c r="B444" s="8"/>
      <c r="C444" s="16"/>
      <c r="D444" s="14"/>
      <c r="E444" s="14"/>
      <c r="F444" s="14"/>
      <c r="G444" s="14"/>
      <c r="H444" s="14"/>
    </row>
    <row r="445" ht="22.5" customHeight="1">
      <c r="A445" s="7">
        <v>443.0</v>
      </c>
      <c r="B445" s="8"/>
      <c r="C445" s="16"/>
      <c r="D445" s="14"/>
      <c r="E445" s="14"/>
      <c r="F445" s="14"/>
      <c r="G445" s="14"/>
      <c r="H445" s="14"/>
    </row>
    <row r="446" ht="22.5" customHeight="1">
      <c r="A446" s="7">
        <v>444.0</v>
      </c>
      <c r="B446" s="8"/>
      <c r="C446" s="16"/>
      <c r="D446" s="14"/>
      <c r="E446" s="14"/>
      <c r="F446" s="14"/>
      <c r="G446" s="14"/>
      <c r="H446" s="14"/>
    </row>
    <row r="447" ht="22.5" customHeight="1">
      <c r="A447" s="7">
        <v>445.0</v>
      </c>
      <c r="B447" s="8"/>
      <c r="C447" s="16"/>
      <c r="D447" s="14"/>
      <c r="E447" s="14"/>
      <c r="F447" s="14"/>
      <c r="G447" s="14"/>
      <c r="H447" s="14"/>
    </row>
    <row r="448" ht="22.5" customHeight="1">
      <c r="A448" s="7">
        <v>446.0</v>
      </c>
      <c r="B448" s="8"/>
      <c r="C448" s="16"/>
      <c r="D448" s="14"/>
      <c r="E448" s="14"/>
      <c r="F448" s="14"/>
      <c r="G448" s="14"/>
      <c r="H448" s="14"/>
    </row>
    <row r="449" ht="22.5" customHeight="1">
      <c r="A449" s="7">
        <v>447.0</v>
      </c>
      <c r="B449" s="8"/>
      <c r="C449" s="16"/>
      <c r="D449" s="14"/>
      <c r="E449" s="14"/>
      <c r="F449" s="14"/>
      <c r="G449" s="14"/>
      <c r="H449" s="14"/>
    </row>
    <row r="450" ht="22.5" customHeight="1">
      <c r="A450" s="7">
        <v>448.0</v>
      </c>
      <c r="B450" s="8"/>
      <c r="C450" s="16"/>
      <c r="D450" s="14"/>
      <c r="E450" s="14"/>
      <c r="F450" s="14"/>
      <c r="G450" s="14"/>
      <c r="H450" s="14"/>
    </row>
    <row r="451" ht="22.5" customHeight="1">
      <c r="A451" s="7">
        <v>449.0</v>
      </c>
      <c r="B451" s="8"/>
      <c r="C451" s="16"/>
      <c r="D451" s="14"/>
      <c r="E451" s="14"/>
      <c r="F451" s="14"/>
      <c r="G451" s="14"/>
      <c r="H451" s="14"/>
    </row>
    <row r="452" ht="22.5" customHeight="1">
      <c r="A452" s="7">
        <v>450.0</v>
      </c>
      <c r="B452" s="8"/>
      <c r="C452" s="16"/>
      <c r="D452" s="14"/>
      <c r="E452" s="14"/>
      <c r="F452" s="14"/>
      <c r="G452" s="14"/>
      <c r="H452" s="14"/>
    </row>
    <row r="453" ht="22.5" customHeight="1">
      <c r="A453" s="7">
        <v>451.0</v>
      </c>
      <c r="B453" s="8"/>
      <c r="C453" s="16"/>
      <c r="D453" s="14"/>
      <c r="E453" s="14"/>
      <c r="F453" s="14"/>
      <c r="G453" s="14"/>
      <c r="H453" s="14"/>
    </row>
    <row r="454" ht="22.5" customHeight="1">
      <c r="A454" s="7">
        <v>452.0</v>
      </c>
      <c r="B454" s="8"/>
      <c r="C454" s="16"/>
      <c r="D454" s="14"/>
      <c r="E454" s="14"/>
      <c r="F454" s="14"/>
      <c r="G454" s="14"/>
      <c r="H454" s="14"/>
    </row>
    <row r="455" ht="22.5" customHeight="1">
      <c r="A455" s="7">
        <v>453.0</v>
      </c>
      <c r="B455" s="8"/>
      <c r="C455" s="16"/>
      <c r="D455" s="14"/>
      <c r="E455" s="14"/>
      <c r="F455" s="14"/>
      <c r="G455" s="14"/>
      <c r="H455" s="14"/>
    </row>
    <row r="456" ht="22.5" customHeight="1">
      <c r="A456" s="7">
        <v>454.0</v>
      </c>
      <c r="B456" s="8"/>
      <c r="C456" s="16"/>
      <c r="D456" s="14"/>
      <c r="E456" s="14"/>
      <c r="F456" s="14"/>
      <c r="G456" s="14"/>
      <c r="H456" s="14"/>
    </row>
    <row r="457" ht="22.5" customHeight="1">
      <c r="A457" s="7">
        <v>455.0</v>
      </c>
      <c r="B457" s="8"/>
      <c r="C457" s="16"/>
      <c r="D457" s="14"/>
      <c r="E457" s="14"/>
      <c r="F457" s="14"/>
      <c r="G457" s="14"/>
      <c r="H457" s="14"/>
    </row>
    <row r="458" ht="22.5" customHeight="1">
      <c r="A458" s="7">
        <v>456.0</v>
      </c>
      <c r="B458" s="8"/>
      <c r="C458" s="16"/>
      <c r="D458" s="14"/>
      <c r="E458" s="14"/>
      <c r="F458" s="14"/>
      <c r="G458" s="14"/>
      <c r="H458" s="14"/>
    </row>
    <row r="459" ht="22.5" customHeight="1">
      <c r="A459" s="7">
        <v>457.0</v>
      </c>
      <c r="B459" s="8"/>
      <c r="C459" s="16"/>
      <c r="D459" s="14"/>
      <c r="E459" s="14"/>
      <c r="F459" s="14"/>
      <c r="G459" s="14"/>
      <c r="H459" s="14"/>
    </row>
    <row r="460" ht="22.5" customHeight="1">
      <c r="A460" s="7">
        <v>458.0</v>
      </c>
      <c r="B460" s="8"/>
      <c r="C460" s="16"/>
      <c r="D460" s="14"/>
      <c r="E460" s="14"/>
      <c r="F460" s="14"/>
      <c r="G460" s="14"/>
      <c r="H460" s="14"/>
    </row>
    <row r="461" ht="22.5" customHeight="1">
      <c r="A461" s="7">
        <v>459.0</v>
      </c>
      <c r="B461" s="8"/>
      <c r="C461" s="16"/>
      <c r="D461" s="14"/>
      <c r="E461" s="14"/>
      <c r="F461" s="14"/>
      <c r="G461" s="14"/>
      <c r="H461" s="14"/>
    </row>
    <row r="462" ht="22.5" customHeight="1">
      <c r="A462" s="7">
        <v>460.0</v>
      </c>
      <c r="B462" s="8"/>
      <c r="C462" s="16"/>
      <c r="D462" s="14"/>
      <c r="E462" s="14"/>
      <c r="F462" s="14"/>
      <c r="G462" s="14"/>
      <c r="H462" s="14"/>
    </row>
    <row r="463" ht="22.5" customHeight="1">
      <c r="A463" s="7">
        <v>461.0</v>
      </c>
      <c r="B463" s="8"/>
      <c r="C463" s="16"/>
      <c r="D463" s="14"/>
      <c r="E463" s="14"/>
      <c r="F463" s="14"/>
      <c r="G463" s="14"/>
      <c r="H463" s="14"/>
    </row>
    <row r="464" ht="22.5" customHeight="1">
      <c r="A464" s="7">
        <v>462.0</v>
      </c>
      <c r="B464" s="8"/>
      <c r="C464" s="16"/>
      <c r="D464" s="14"/>
      <c r="E464" s="14"/>
      <c r="F464" s="14"/>
      <c r="G464" s="14"/>
      <c r="H464" s="14"/>
    </row>
    <row r="465" ht="22.5" customHeight="1">
      <c r="A465" s="7">
        <v>463.0</v>
      </c>
      <c r="B465" s="8"/>
      <c r="C465" s="16"/>
      <c r="D465" s="14"/>
      <c r="E465" s="14"/>
      <c r="F465" s="14"/>
      <c r="G465" s="14"/>
      <c r="H465" s="14"/>
    </row>
    <row r="466" ht="22.5" customHeight="1">
      <c r="A466" s="7">
        <v>464.0</v>
      </c>
      <c r="B466" s="8"/>
      <c r="C466" s="16"/>
      <c r="D466" s="14"/>
      <c r="E466" s="14"/>
      <c r="F466" s="14"/>
      <c r="G466" s="14"/>
      <c r="H466" s="14"/>
    </row>
    <row r="467" ht="22.5" customHeight="1">
      <c r="A467" s="7">
        <v>465.0</v>
      </c>
      <c r="B467" s="8"/>
      <c r="C467" s="16"/>
      <c r="D467" s="14"/>
      <c r="E467" s="14"/>
      <c r="F467" s="14"/>
      <c r="G467" s="14"/>
      <c r="H467" s="14"/>
    </row>
    <row r="468" ht="22.5" customHeight="1">
      <c r="A468" s="7">
        <v>466.0</v>
      </c>
      <c r="B468" s="8"/>
      <c r="C468" s="16"/>
      <c r="D468" s="14"/>
      <c r="E468" s="14"/>
      <c r="F468" s="14"/>
      <c r="G468" s="14"/>
      <c r="H468" s="14"/>
    </row>
    <row r="469" ht="22.5" customHeight="1">
      <c r="A469" s="7">
        <v>467.0</v>
      </c>
      <c r="B469" s="8"/>
      <c r="C469" s="16"/>
      <c r="D469" s="14"/>
      <c r="E469" s="14"/>
      <c r="F469" s="14"/>
      <c r="G469" s="14"/>
      <c r="H469" s="14"/>
    </row>
    <row r="470" ht="22.5" customHeight="1">
      <c r="A470" s="7">
        <v>468.0</v>
      </c>
      <c r="B470" s="8"/>
      <c r="C470" s="16"/>
      <c r="D470" s="14"/>
      <c r="E470" s="14"/>
      <c r="F470" s="14"/>
      <c r="G470" s="14"/>
      <c r="H470" s="14"/>
    </row>
    <row r="471" ht="22.5" customHeight="1">
      <c r="A471" s="7">
        <v>469.0</v>
      </c>
      <c r="B471" s="8"/>
      <c r="C471" s="16"/>
      <c r="D471" s="14"/>
      <c r="E471" s="14"/>
      <c r="F471" s="14"/>
      <c r="G471" s="14"/>
      <c r="H471" s="14"/>
    </row>
    <row r="472" ht="22.5" customHeight="1">
      <c r="A472" s="7">
        <v>470.0</v>
      </c>
      <c r="B472" s="8"/>
      <c r="C472" s="16"/>
      <c r="D472" s="14"/>
      <c r="E472" s="14"/>
      <c r="F472" s="14"/>
      <c r="G472" s="14"/>
      <c r="H472" s="14"/>
    </row>
    <row r="473" ht="22.5" customHeight="1">
      <c r="A473" s="7">
        <v>471.0</v>
      </c>
      <c r="B473" s="8"/>
      <c r="C473" s="16"/>
      <c r="D473" s="14"/>
      <c r="E473" s="14"/>
      <c r="F473" s="14"/>
      <c r="G473" s="14"/>
      <c r="H473" s="14"/>
    </row>
    <row r="474" ht="22.5" customHeight="1">
      <c r="A474" s="7">
        <v>472.0</v>
      </c>
      <c r="B474" s="8"/>
      <c r="C474" s="16"/>
      <c r="D474" s="14"/>
      <c r="E474" s="14"/>
      <c r="F474" s="14"/>
      <c r="G474" s="14"/>
      <c r="H474" s="14"/>
    </row>
    <row r="475" ht="22.5" customHeight="1">
      <c r="A475" s="7">
        <v>473.0</v>
      </c>
      <c r="B475" s="8"/>
      <c r="C475" s="16"/>
      <c r="D475" s="14"/>
      <c r="E475" s="14"/>
      <c r="F475" s="14"/>
      <c r="G475" s="14"/>
      <c r="H475" s="14"/>
    </row>
    <row r="476" ht="22.5" customHeight="1">
      <c r="A476" s="7">
        <v>474.0</v>
      </c>
      <c r="B476" s="8"/>
      <c r="C476" s="16"/>
      <c r="D476" s="14"/>
      <c r="E476" s="14"/>
      <c r="F476" s="14"/>
      <c r="G476" s="14"/>
      <c r="H476" s="14"/>
    </row>
    <row r="477" ht="22.5" customHeight="1">
      <c r="A477" s="7">
        <v>475.0</v>
      </c>
      <c r="B477" s="8"/>
      <c r="C477" s="16"/>
      <c r="D477" s="14"/>
      <c r="E477" s="14"/>
      <c r="F477" s="14"/>
      <c r="G477" s="14"/>
      <c r="H477" s="14"/>
    </row>
    <row r="478" ht="22.5" customHeight="1">
      <c r="A478" s="7">
        <v>476.0</v>
      </c>
      <c r="B478" s="8"/>
      <c r="C478" s="16"/>
      <c r="D478" s="14"/>
      <c r="E478" s="14"/>
      <c r="F478" s="14"/>
      <c r="G478" s="14"/>
      <c r="H478" s="14"/>
    </row>
    <row r="479" ht="22.5" customHeight="1">
      <c r="A479" s="7">
        <v>477.0</v>
      </c>
      <c r="B479" s="8"/>
      <c r="C479" s="16"/>
      <c r="D479" s="14"/>
      <c r="E479" s="14"/>
      <c r="F479" s="14"/>
      <c r="G479" s="14"/>
      <c r="H479" s="14"/>
    </row>
    <row r="480" ht="22.5" customHeight="1">
      <c r="A480" s="7">
        <v>478.0</v>
      </c>
      <c r="B480" s="8"/>
      <c r="C480" s="16"/>
      <c r="D480" s="14"/>
      <c r="E480" s="14"/>
      <c r="F480" s="14"/>
      <c r="G480" s="14"/>
      <c r="H480" s="14"/>
    </row>
    <row r="481" ht="22.5" customHeight="1">
      <c r="A481" s="7">
        <v>479.0</v>
      </c>
      <c r="B481" s="8"/>
      <c r="C481" s="16"/>
      <c r="D481" s="14"/>
      <c r="E481" s="14"/>
      <c r="F481" s="14"/>
      <c r="G481" s="14"/>
      <c r="H481" s="14"/>
    </row>
    <row r="482" ht="22.5" customHeight="1">
      <c r="A482" s="7">
        <v>480.0</v>
      </c>
      <c r="B482" s="8"/>
      <c r="C482" s="16"/>
      <c r="D482" s="14"/>
      <c r="E482" s="14"/>
      <c r="F482" s="14"/>
      <c r="G482" s="14"/>
      <c r="H482" s="14"/>
    </row>
    <row r="483" ht="22.5" customHeight="1">
      <c r="A483" s="7">
        <v>481.0</v>
      </c>
      <c r="B483" s="8"/>
      <c r="C483" s="16"/>
      <c r="D483" s="14"/>
      <c r="E483" s="14"/>
      <c r="F483" s="14"/>
      <c r="G483" s="14"/>
      <c r="H483" s="14"/>
    </row>
    <row r="484" ht="22.5" customHeight="1">
      <c r="A484" s="7">
        <v>482.0</v>
      </c>
      <c r="B484" s="8"/>
      <c r="C484" s="16"/>
      <c r="D484" s="14"/>
      <c r="E484" s="14"/>
      <c r="F484" s="14"/>
      <c r="G484" s="14"/>
      <c r="H484" s="14"/>
    </row>
    <row r="485" ht="22.5" customHeight="1">
      <c r="A485" s="7">
        <v>483.0</v>
      </c>
      <c r="B485" s="8"/>
      <c r="C485" s="16"/>
      <c r="D485" s="14"/>
      <c r="E485" s="14"/>
      <c r="F485" s="14"/>
      <c r="G485" s="14"/>
      <c r="H485" s="14"/>
    </row>
    <row r="486" ht="22.5" customHeight="1">
      <c r="A486" s="7">
        <v>484.0</v>
      </c>
      <c r="B486" s="8"/>
      <c r="C486" s="16"/>
      <c r="D486" s="14"/>
      <c r="E486" s="14"/>
      <c r="F486" s="14"/>
      <c r="G486" s="14"/>
      <c r="H486" s="14"/>
    </row>
    <row r="487" ht="22.5" customHeight="1">
      <c r="A487" s="7">
        <v>485.0</v>
      </c>
      <c r="B487" s="8"/>
      <c r="C487" s="16"/>
      <c r="D487" s="14"/>
      <c r="E487" s="14"/>
      <c r="F487" s="14"/>
      <c r="G487" s="14"/>
      <c r="H487" s="14"/>
    </row>
    <row r="488" ht="22.5" customHeight="1">
      <c r="A488" s="7">
        <v>486.0</v>
      </c>
      <c r="B488" s="8"/>
      <c r="C488" s="16"/>
      <c r="D488" s="14"/>
      <c r="E488" s="14"/>
      <c r="F488" s="14"/>
      <c r="G488" s="14"/>
      <c r="H488" s="14"/>
    </row>
    <row r="489" ht="22.5" customHeight="1">
      <c r="A489" s="7">
        <v>487.0</v>
      </c>
      <c r="B489" s="8"/>
      <c r="C489" s="16"/>
      <c r="D489" s="14"/>
      <c r="E489" s="14"/>
      <c r="F489" s="14"/>
      <c r="G489" s="14"/>
      <c r="H489" s="14"/>
    </row>
    <row r="490" ht="22.5" customHeight="1">
      <c r="A490" s="7">
        <v>488.0</v>
      </c>
      <c r="B490" s="8"/>
      <c r="C490" s="16"/>
      <c r="D490" s="14"/>
      <c r="E490" s="14"/>
      <c r="F490" s="14"/>
      <c r="G490" s="14"/>
      <c r="H490" s="14"/>
    </row>
    <row r="491" ht="22.5" customHeight="1">
      <c r="A491" s="7">
        <v>489.0</v>
      </c>
      <c r="B491" s="8"/>
      <c r="C491" s="16"/>
      <c r="D491" s="14"/>
      <c r="E491" s="14"/>
      <c r="F491" s="14"/>
      <c r="G491" s="14"/>
      <c r="H491" s="14"/>
    </row>
    <row r="492" ht="22.5" customHeight="1">
      <c r="A492" s="7">
        <v>490.0</v>
      </c>
      <c r="B492" s="8"/>
      <c r="C492" s="16"/>
      <c r="D492" s="14"/>
      <c r="E492" s="14"/>
      <c r="F492" s="14"/>
      <c r="G492" s="14"/>
      <c r="H492" s="14"/>
    </row>
    <row r="493" ht="22.5" customHeight="1">
      <c r="A493" s="7">
        <v>491.0</v>
      </c>
      <c r="B493" s="8"/>
      <c r="C493" s="16"/>
      <c r="D493" s="14"/>
      <c r="E493" s="14"/>
      <c r="F493" s="14"/>
      <c r="G493" s="14"/>
      <c r="H493" s="14"/>
    </row>
    <row r="494" ht="22.5" customHeight="1">
      <c r="A494" s="7">
        <v>492.0</v>
      </c>
      <c r="B494" s="8"/>
      <c r="C494" s="16"/>
      <c r="D494" s="14"/>
      <c r="E494" s="14"/>
      <c r="F494" s="14"/>
      <c r="G494" s="14"/>
      <c r="H494" s="14"/>
    </row>
    <row r="495" ht="22.5" customHeight="1">
      <c r="A495" s="7">
        <v>493.0</v>
      </c>
      <c r="B495" s="8"/>
      <c r="C495" s="16"/>
      <c r="D495" s="14"/>
      <c r="E495" s="14"/>
      <c r="F495" s="14"/>
      <c r="G495" s="14"/>
      <c r="H495" s="14"/>
    </row>
    <row r="496" ht="22.5" customHeight="1">
      <c r="A496" s="7">
        <v>494.0</v>
      </c>
      <c r="B496" s="8"/>
      <c r="C496" s="16"/>
      <c r="D496" s="14"/>
      <c r="E496" s="14"/>
      <c r="F496" s="14"/>
      <c r="G496" s="14"/>
      <c r="H496" s="14"/>
    </row>
    <row r="497" ht="22.5" customHeight="1">
      <c r="A497" s="7">
        <v>495.0</v>
      </c>
      <c r="B497" s="8"/>
      <c r="C497" s="16"/>
      <c r="D497" s="14"/>
      <c r="E497" s="14"/>
      <c r="F497" s="14"/>
      <c r="G497" s="14"/>
      <c r="H497" s="14"/>
    </row>
    <row r="498" ht="22.5" customHeight="1">
      <c r="A498" s="7">
        <v>496.0</v>
      </c>
      <c r="B498" s="8"/>
      <c r="C498" s="16"/>
      <c r="D498" s="14"/>
      <c r="E498" s="14"/>
      <c r="F498" s="14"/>
      <c r="G498" s="14"/>
      <c r="H498" s="14"/>
    </row>
    <row r="499" ht="22.5" customHeight="1">
      <c r="A499" s="7">
        <v>497.0</v>
      </c>
      <c r="B499" s="8"/>
      <c r="C499" s="16"/>
      <c r="D499" s="14"/>
      <c r="E499" s="14"/>
      <c r="F499" s="14"/>
      <c r="G499" s="14"/>
      <c r="H499" s="14"/>
    </row>
    <row r="500" ht="22.5" customHeight="1">
      <c r="A500" s="7">
        <v>498.0</v>
      </c>
      <c r="B500" s="8"/>
      <c r="C500" s="16"/>
      <c r="D500" s="14"/>
      <c r="E500" s="14"/>
      <c r="F500" s="14"/>
      <c r="G500" s="14"/>
      <c r="H500" s="14"/>
    </row>
    <row r="501" ht="22.5" customHeight="1">
      <c r="A501" s="7">
        <v>499.0</v>
      </c>
      <c r="B501" s="8"/>
      <c r="C501" s="16"/>
      <c r="D501" s="14"/>
      <c r="E501" s="14"/>
      <c r="F501" s="14"/>
      <c r="G501" s="14"/>
      <c r="H501" s="14"/>
    </row>
    <row r="502" ht="22.5" customHeight="1">
      <c r="A502" s="7">
        <v>500.0</v>
      </c>
      <c r="B502" s="8"/>
      <c r="C502" s="16"/>
      <c r="D502" s="14"/>
      <c r="E502" s="14"/>
      <c r="F502" s="14"/>
      <c r="G502" s="14"/>
      <c r="H502" s="14"/>
    </row>
    <row r="503" ht="22.5" customHeight="1">
      <c r="A503" s="7">
        <v>501.0</v>
      </c>
      <c r="B503" s="8"/>
      <c r="C503" s="16"/>
      <c r="D503" s="14"/>
      <c r="E503" s="14"/>
      <c r="F503" s="14"/>
      <c r="G503" s="14"/>
      <c r="H503" s="14"/>
    </row>
    <row r="504" ht="22.5" customHeight="1">
      <c r="A504" s="7">
        <v>502.0</v>
      </c>
      <c r="B504" s="8"/>
      <c r="C504" s="16"/>
      <c r="D504" s="14"/>
      <c r="E504" s="14"/>
      <c r="F504" s="14"/>
      <c r="G504" s="14"/>
      <c r="H504" s="14"/>
    </row>
    <row r="505" ht="22.5" customHeight="1">
      <c r="A505" s="7">
        <v>503.0</v>
      </c>
      <c r="B505" s="8"/>
      <c r="C505" s="16"/>
      <c r="D505" s="14"/>
      <c r="E505" s="14"/>
      <c r="F505" s="14"/>
      <c r="G505" s="14"/>
      <c r="H505" s="14"/>
    </row>
    <row r="506" ht="22.5" customHeight="1">
      <c r="A506" s="7">
        <v>504.0</v>
      </c>
      <c r="B506" s="8"/>
      <c r="C506" s="16"/>
      <c r="D506" s="14"/>
      <c r="E506" s="14"/>
      <c r="F506" s="14"/>
      <c r="G506" s="14"/>
      <c r="H506" s="14"/>
    </row>
    <row r="507" ht="22.5" customHeight="1">
      <c r="A507" s="7">
        <v>505.0</v>
      </c>
      <c r="B507" s="8"/>
      <c r="C507" s="16"/>
      <c r="D507" s="14"/>
      <c r="E507" s="14"/>
      <c r="F507" s="14"/>
      <c r="G507" s="14"/>
      <c r="H507" s="14"/>
    </row>
    <row r="508" ht="22.5" customHeight="1">
      <c r="A508" s="7">
        <v>506.0</v>
      </c>
      <c r="B508" s="8"/>
      <c r="C508" s="16"/>
      <c r="D508" s="14"/>
      <c r="E508" s="14"/>
      <c r="F508" s="14"/>
      <c r="G508" s="14"/>
      <c r="H508" s="14"/>
    </row>
    <row r="509" ht="22.5" customHeight="1">
      <c r="A509" s="7">
        <v>507.0</v>
      </c>
      <c r="B509" s="8"/>
      <c r="C509" s="16"/>
      <c r="D509" s="14"/>
      <c r="E509" s="14"/>
      <c r="F509" s="14"/>
      <c r="G509" s="14"/>
      <c r="H509" s="14"/>
    </row>
    <row r="510" ht="22.5" customHeight="1">
      <c r="A510" s="7">
        <v>508.0</v>
      </c>
      <c r="B510" s="8"/>
      <c r="C510" s="16"/>
      <c r="D510" s="14"/>
      <c r="E510" s="14"/>
      <c r="F510" s="14"/>
      <c r="G510" s="14"/>
      <c r="H510" s="14"/>
    </row>
    <row r="511" ht="22.5" customHeight="1">
      <c r="A511" s="7">
        <v>509.0</v>
      </c>
      <c r="B511" s="8"/>
      <c r="C511" s="16"/>
      <c r="D511" s="14"/>
      <c r="E511" s="14"/>
      <c r="F511" s="14"/>
      <c r="G511" s="14"/>
      <c r="H511" s="14"/>
    </row>
    <row r="512" ht="22.5" customHeight="1">
      <c r="A512" s="7">
        <v>510.0</v>
      </c>
      <c r="B512" s="8"/>
      <c r="C512" s="16"/>
      <c r="D512" s="14"/>
      <c r="E512" s="14"/>
      <c r="F512" s="14"/>
      <c r="G512" s="14"/>
      <c r="H512" s="14"/>
    </row>
    <row r="513" ht="22.5" customHeight="1">
      <c r="A513" s="7">
        <v>511.0</v>
      </c>
      <c r="B513" s="8"/>
      <c r="C513" s="16"/>
      <c r="D513" s="14"/>
      <c r="E513" s="14"/>
      <c r="F513" s="14"/>
      <c r="G513" s="14"/>
      <c r="H513" s="14"/>
    </row>
    <row r="514" ht="22.5" customHeight="1">
      <c r="A514" s="7">
        <v>512.0</v>
      </c>
      <c r="B514" s="8"/>
      <c r="C514" s="16"/>
      <c r="D514" s="14"/>
      <c r="E514" s="14"/>
      <c r="F514" s="14"/>
      <c r="G514" s="14"/>
      <c r="H514" s="14"/>
    </row>
    <row r="515" ht="22.5" customHeight="1">
      <c r="A515" s="7">
        <v>513.0</v>
      </c>
      <c r="B515" s="8"/>
      <c r="C515" s="16"/>
      <c r="D515" s="14"/>
      <c r="E515" s="14"/>
      <c r="F515" s="14"/>
      <c r="G515" s="14"/>
      <c r="H515" s="14"/>
    </row>
    <row r="516" ht="22.5" customHeight="1">
      <c r="A516" s="7">
        <v>514.0</v>
      </c>
      <c r="B516" s="8"/>
      <c r="C516" s="16"/>
      <c r="D516" s="14"/>
      <c r="E516" s="14"/>
      <c r="F516" s="14"/>
      <c r="G516" s="14"/>
      <c r="H516" s="14"/>
    </row>
    <row r="517" ht="22.5" customHeight="1">
      <c r="A517" s="7">
        <v>515.0</v>
      </c>
      <c r="B517" s="8"/>
      <c r="C517" s="16"/>
      <c r="D517" s="14"/>
      <c r="E517" s="14"/>
      <c r="F517" s="14"/>
      <c r="G517" s="14"/>
      <c r="H517" s="14"/>
    </row>
    <row r="518" ht="22.5" customHeight="1">
      <c r="A518" s="7">
        <v>516.0</v>
      </c>
      <c r="B518" s="8"/>
      <c r="C518" s="16"/>
      <c r="D518" s="14"/>
      <c r="E518" s="14"/>
      <c r="F518" s="14"/>
      <c r="G518" s="14"/>
      <c r="H518" s="14"/>
    </row>
    <row r="519" ht="22.5" customHeight="1">
      <c r="A519" s="7">
        <v>517.0</v>
      </c>
      <c r="B519" s="8"/>
      <c r="C519" s="16"/>
      <c r="D519" s="14"/>
      <c r="E519" s="14"/>
      <c r="F519" s="14"/>
      <c r="G519" s="14"/>
      <c r="H519" s="14"/>
    </row>
    <row r="520" ht="22.5" customHeight="1">
      <c r="A520" s="7">
        <v>518.0</v>
      </c>
      <c r="B520" s="8"/>
      <c r="C520" s="16"/>
      <c r="D520" s="14"/>
      <c r="E520" s="14"/>
      <c r="F520" s="14"/>
      <c r="G520" s="14"/>
      <c r="H520" s="14"/>
    </row>
    <row r="521" ht="22.5" customHeight="1">
      <c r="A521" s="7">
        <v>519.0</v>
      </c>
      <c r="B521" s="8"/>
      <c r="C521" s="16"/>
      <c r="D521" s="14"/>
      <c r="E521" s="14"/>
      <c r="F521" s="14"/>
      <c r="G521" s="14"/>
      <c r="H521" s="14"/>
    </row>
    <row r="522" ht="22.5" customHeight="1">
      <c r="A522" s="7">
        <v>520.0</v>
      </c>
      <c r="B522" s="8"/>
      <c r="C522" s="16"/>
      <c r="D522" s="14"/>
      <c r="E522" s="14"/>
      <c r="F522" s="14"/>
      <c r="G522" s="14"/>
      <c r="H522" s="14"/>
    </row>
    <row r="523" ht="22.5" customHeight="1">
      <c r="A523" s="7">
        <v>521.0</v>
      </c>
      <c r="B523" s="8"/>
      <c r="C523" s="16"/>
      <c r="D523" s="14"/>
      <c r="E523" s="14"/>
      <c r="F523" s="14"/>
      <c r="G523" s="14"/>
      <c r="H523" s="14"/>
    </row>
    <row r="524" ht="22.5" customHeight="1">
      <c r="A524" s="7">
        <v>522.0</v>
      </c>
      <c r="B524" s="8"/>
      <c r="C524" s="16"/>
      <c r="D524" s="14"/>
      <c r="E524" s="14"/>
      <c r="F524" s="14"/>
      <c r="G524" s="14"/>
      <c r="H524" s="14"/>
    </row>
    <row r="525" ht="22.5" customHeight="1">
      <c r="A525" s="7">
        <v>523.0</v>
      </c>
      <c r="B525" s="8"/>
      <c r="C525" s="16"/>
      <c r="D525" s="14"/>
      <c r="E525" s="14"/>
      <c r="F525" s="14"/>
      <c r="G525" s="14"/>
      <c r="H525" s="14"/>
    </row>
    <row r="526" ht="22.5" customHeight="1">
      <c r="A526" s="7">
        <v>524.0</v>
      </c>
      <c r="B526" s="8"/>
      <c r="C526" s="16"/>
      <c r="D526" s="14"/>
      <c r="E526" s="14"/>
      <c r="F526" s="14"/>
      <c r="G526" s="14"/>
      <c r="H526" s="14"/>
    </row>
    <row r="527" ht="22.5" customHeight="1">
      <c r="A527" s="7">
        <v>525.0</v>
      </c>
      <c r="B527" s="8"/>
      <c r="C527" s="16"/>
      <c r="D527" s="14"/>
      <c r="E527" s="14"/>
      <c r="F527" s="14"/>
      <c r="G527" s="14"/>
      <c r="H527" s="14"/>
    </row>
    <row r="528" ht="22.5" customHeight="1">
      <c r="A528" s="7">
        <v>526.0</v>
      </c>
      <c r="B528" s="8"/>
      <c r="C528" s="16"/>
      <c r="D528" s="14"/>
      <c r="E528" s="14"/>
      <c r="F528" s="14"/>
      <c r="G528" s="14"/>
      <c r="H528" s="14"/>
    </row>
    <row r="529" ht="22.5" customHeight="1">
      <c r="A529" s="7">
        <v>527.0</v>
      </c>
      <c r="B529" s="8"/>
      <c r="C529" s="16"/>
      <c r="D529" s="14"/>
      <c r="E529" s="14"/>
      <c r="F529" s="14"/>
      <c r="G529" s="14"/>
      <c r="H529" s="14"/>
    </row>
    <row r="530" ht="22.5" customHeight="1">
      <c r="A530" s="7">
        <v>528.0</v>
      </c>
      <c r="B530" s="8"/>
      <c r="C530" s="16"/>
      <c r="D530" s="14"/>
      <c r="E530" s="14"/>
      <c r="F530" s="14"/>
      <c r="G530" s="14"/>
      <c r="H530" s="14"/>
    </row>
    <row r="531" ht="22.5" customHeight="1">
      <c r="A531" s="7">
        <v>529.0</v>
      </c>
      <c r="B531" s="8"/>
      <c r="C531" s="16"/>
      <c r="D531" s="14"/>
      <c r="E531" s="14"/>
      <c r="F531" s="14"/>
      <c r="G531" s="14"/>
      <c r="H531" s="14"/>
    </row>
    <row r="532" ht="22.5" customHeight="1">
      <c r="A532" s="7">
        <v>530.0</v>
      </c>
      <c r="B532" s="8"/>
      <c r="C532" s="16"/>
      <c r="D532" s="14"/>
      <c r="E532" s="14"/>
      <c r="F532" s="14"/>
      <c r="G532" s="14"/>
      <c r="H532" s="14"/>
    </row>
    <row r="533" ht="22.5" customHeight="1">
      <c r="A533" s="7">
        <v>531.0</v>
      </c>
      <c r="B533" s="8"/>
      <c r="C533" s="16"/>
      <c r="D533" s="14"/>
      <c r="E533" s="14"/>
      <c r="F533" s="14"/>
      <c r="G533" s="14"/>
      <c r="H533" s="14"/>
    </row>
    <row r="534" ht="22.5" customHeight="1">
      <c r="A534" s="7">
        <v>532.0</v>
      </c>
      <c r="B534" s="8"/>
      <c r="C534" s="16"/>
      <c r="D534" s="14"/>
      <c r="E534" s="14"/>
      <c r="F534" s="14"/>
      <c r="G534" s="14"/>
      <c r="H534" s="14"/>
    </row>
    <row r="535" ht="22.5" customHeight="1">
      <c r="A535" s="7">
        <v>533.0</v>
      </c>
      <c r="B535" s="8"/>
      <c r="C535" s="16"/>
      <c r="D535" s="14"/>
      <c r="E535" s="14"/>
      <c r="F535" s="14"/>
      <c r="G535" s="14"/>
      <c r="H535" s="14"/>
    </row>
    <row r="536" ht="22.5" customHeight="1">
      <c r="A536" s="7">
        <v>534.0</v>
      </c>
      <c r="B536" s="8"/>
      <c r="C536" s="16"/>
      <c r="D536" s="14"/>
      <c r="E536" s="14"/>
      <c r="F536" s="14"/>
      <c r="G536" s="14"/>
      <c r="H536" s="14"/>
    </row>
    <row r="537" ht="22.5" customHeight="1">
      <c r="A537" s="7">
        <v>535.0</v>
      </c>
      <c r="B537" s="8"/>
      <c r="C537" s="16"/>
      <c r="D537" s="14"/>
      <c r="E537" s="14"/>
      <c r="F537" s="14"/>
      <c r="G537" s="14"/>
      <c r="H537" s="14"/>
    </row>
    <row r="538" ht="22.5" customHeight="1">
      <c r="A538" s="7">
        <v>536.0</v>
      </c>
      <c r="B538" s="8"/>
      <c r="C538" s="16"/>
      <c r="D538" s="14"/>
      <c r="E538" s="14"/>
      <c r="F538" s="14"/>
      <c r="G538" s="14"/>
      <c r="H538" s="14"/>
    </row>
    <row r="539" ht="22.5" customHeight="1">
      <c r="A539" s="7">
        <v>537.0</v>
      </c>
      <c r="B539" s="8"/>
      <c r="C539" s="16"/>
      <c r="D539" s="14"/>
      <c r="E539" s="14"/>
      <c r="F539" s="14"/>
      <c r="G539" s="14"/>
      <c r="H539" s="14"/>
    </row>
    <row r="540" ht="22.5" customHeight="1">
      <c r="A540" s="7">
        <v>538.0</v>
      </c>
      <c r="B540" s="8"/>
      <c r="C540" s="16"/>
      <c r="D540" s="14"/>
      <c r="E540" s="14"/>
      <c r="F540" s="14"/>
      <c r="G540" s="14"/>
      <c r="H540" s="14"/>
    </row>
    <row r="541" ht="22.5" customHeight="1">
      <c r="A541" s="7">
        <v>539.0</v>
      </c>
      <c r="B541" s="8"/>
      <c r="C541" s="16"/>
      <c r="D541" s="14"/>
      <c r="E541" s="14"/>
      <c r="F541" s="14"/>
      <c r="G541" s="14"/>
      <c r="H541" s="14"/>
    </row>
    <row r="542" ht="22.5" customHeight="1">
      <c r="A542" s="7">
        <v>540.0</v>
      </c>
      <c r="B542" s="8"/>
      <c r="C542" s="16"/>
      <c r="D542" s="14"/>
      <c r="E542" s="14"/>
      <c r="F542" s="14"/>
      <c r="G542" s="14"/>
      <c r="H542" s="14"/>
    </row>
    <row r="543" ht="22.5" customHeight="1">
      <c r="A543" s="7">
        <v>541.0</v>
      </c>
      <c r="B543" s="8"/>
      <c r="C543" s="16"/>
      <c r="D543" s="14"/>
      <c r="E543" s="14"/>
      <c r="F543" s="14"/>
      <c r="G543" s="14"/>
      <c r="H543" s="14"/>
    </row>
    <row r="544" ht="22.5" customHeight="1">
      <c r="A544" s="7">
        <v>542.0</v>
      </c>
      <c r="B544" s="8"/>
      <c r="C544" s="16"/>
      <c r="D544" s="14"/>
      <c r="E544" s="14"/>
      <c r="F544" s="14"/>
      <c r="G544" s="14"/>
      <c r="H544" s="14"/>
    </row>
    <row r="545" ht="22.5" customHeight="1">
      <c r="A545" s="7">
        <v>543.0</v>
      </c>
      <c r="B545" s="8"/>
      <c r="C545" s="16"/>
      <c r="D545" s="14"/>
      <c r="E545" s="14"/>
      <c r="F545" s="14"/>
      <c r="G545" s="14"/>
      <c r="H545" s="14"/>
    </row>
    <row r="546" ht="22.5" customHeight="1">
      <c r="A546" s="7">
        <v>544.0</v>
      </c>
      <c r="B546" s="8"/>
      <c r="C546" s="16"/>
      <c r="D546" s="14"/>
      <c r="E546" s="14"/>
      <c r="F546" s="14"/>
      <c r="G546" s="14"/>
      <c r="H546" s="14"/>
    </row>
    <row r="547" ht="22.5" customHeight="1">
      <c r="A547" s="7">
        <v>545.0</v>
      </c>
      <c r="B547" s="8"/>
      <c r="C547" s="16"/>
      <c r="D547" s="14"/>
      <c r="E547" s="14"/>
      <c r="F547" s="14"/>
      <c r="G547" s="14"/>
      <c r="H547" s="14"/>
    </row>
    <row r="548" ht="22.5" customHeight="1">
      <c r="A548" s="7">
        <v>546.0</v>
      </c>
      <c r="B548" s="8"/>
      <c r="C548" s="16"/>
      <c r="D548" s="14"/>
      <c r="E548" s="14"/>
      <c r="F548" s="14"/>
      <c r="G548" s="14"/>
      <c r="H548" s="14"/>
    </row>
    <row r="549" ht="22.5" customHeight="1">
      <c r="A549" s="7">
        <v>547.0</v>
      </c>
      <c r="B549" s="8"/>
      <c r="C549" s="16"/>
      <c r="D549" s="14"/>
      <c r="E549" s="14"/>
      <c r="F549" s="14"/>
      <c r="G549" s="14"/>
      <c r="H549" s="14"/>
    </row>
    <row r="550" ht="22.5" customHeight="1">
      <c r="A550" s="7">
        <v>548.0</v>
      </c>
      <c r="B550" s="8"/>
      <c r="C550" s="16"/>
      <c r="D550" s="14"/>
      <c r="E550" s="14"/>
      <c r="F550" s="14"/>
      <c r="G550" s="14"/>
      <c r="H550" s="14"/>
    </row>
    <row r="551" ht="22.5" customHeight="1">
      <c r="A551" s="7">
        <v>549.0</v>
      </c>
      <c r="B551" s="8"/>
      <c r="C551" s="16"/>
      <c r="D551" s="14"/>
      <c r="E551" s="14"/>
      <c r="F551" s="14"/>
      <c r="G551" s="14"/>
      <c r="H551" s="14"/>
    </row>
    <row r="552" ht="22.5" customHeight="1">
      <c r="A552" s="7">
        <v>550.0</v>
      </c>
      <c r="B552" s="8"/>
      <c r="C552" s="16"/>
      <c r="D552" s="14"/>
      <c r="E552" s="14"/>
      <c r="F552" s="14"/>
      <c r="G552" s="14"/>
      <c r="H552" s="14"/>
    </row>
    <row r="553" ht="22.5" customHeight="1">
      <c r="A553" s="7">
        <v>551.0</v>
      </c>
      <c r="B553" s="8"/>
      <c r="C553" s="16"/>
      <c r="D553" s="14"/>
      <c r="E553" s="14"/>
      <c r="F553" s="14"/>
      <c r="G553" s="14"/>
      <c r="H553" s="14"/>
    </row>
    <row r="554" ht="22.5" customHeight="1">
      <c r="A554" s="7">
        <v>552.0</v>
      </c>
      <c r="B554" s="8"/>
      <c r="C554" s="16"/>
      <c r="D554" s="14"/>
      <c r="E554" s="14"/>
      <c r="F554" s="14"/>
      <c r="G554" s="14"/>
      <c r="H554" s="14"/>
    </row>
    <row r="555" ht="22.5" customHeight="1">
      <c r="A555" s="7">
        <v>553.0</v>
      </c>
      <c r="B555" s="8"/>
      <c r="C555" s="16"/>
      <c r="D555" s="14"/>
      <c r="E555" s="14"/>
      <c r="F555" s="14"/>
      <c r="G555" s="14"/>
      <c r="H555" s="14"/>
    </row>
    <row r="556" ht="22.5" customHeight="1">
      <c r="A556" s="7">
        <v>554.0</v>
      </c>
      <c r="B556" s="8"/>
      <c r="C556" s="16"/>
      <c r="D556" s="14"/>
      <c r="E556" s="14"/>
      <c r="F556" s="14"/>
      <c r="G556" s="14"/>
      <c r="H556" s="14"/>
    </row>
    <row r="557" ht="22.5" customHeight="1">
      <c r="A557" s="7">
        <v>555.0</v>
      </c>
      <c r="B557" s="8"/>
      <c r="C557" s="16"/>
      <c r="D557" s="14"/>
      <c r="E557" s="14"/>
      <c r="F557" s="14"/>
      <c r="G557" s="14"/>
      <c r="H557" s="14"/>
    </row>
    <row r="558" ht="22.5" customHeight="1">
      <c r="A558" s="7">
        <v>556.0</v>
      </c>
      <c r="B558" s="8"/>
      <c r="C558" s="16"/>
      <c r="D558" s="14"/>
      <c r="E558" s="14"/>
      <c r="F558" s="14"/>
      <c r="G558" s="14"/>
      <c r="H558" s="14"/>
    </row>
    <row r="559" ht="22.5" customHeight="1">
      <c r="A559" s="7">
        <v>557.0</v>
      </c>
      <c r="B559" s="8"/>
      <c r="C559" s="16"/>
      <c r="D559" s="14"/>
      <c r="E559" s="14"/>
      <c r="F559" s="14"/>
      <c r="G559" s="14"/>
      <c r="H559" s="14"/>
    </row>
    <row r="560" ht="22.5" customHeight="1">
      <c r="A560" s="7">
        <v>558.0</v>
      </c>
      <c r="B560" s="8"/>
      <c r="C560" s="16"/>
      <c r="D560" s="14"/>
      <c r="E560" s="14"/>
      <c r="F560" s="14"/>
      <c r="G560" s="14"/>
      <c r="H560" s="14"/>
    </row>
    <row r="561" ht="22.5" customHeight="1">
      <c r="A561" s="7">
        <v>559.0</v>
      </c>
      <c r="B561" s="8"/>
      <c r="C561" s="16"/>
      <c r="D561" s="14"/>
      <c r="E561" s="14"/>
      <c r="F561" s="14"/>
      <c r="G561" s="14"/>
      <c r="H561" s="14"/>
    </row>
    <row r="562" ht="22.5" customHeight="1">
      <c r="A562" s="7">
        <v>560.0</v>
      </c>
      <c r="B562" s="8"/>
      <c r="C562" s="16"/>
      <c r="D562" s="14"/>
      <c r="E562" s="14"/>
      <c r="F562" s="14"/>
      <c r="G562" s="14"/>
      <c r="H562" s="14"/>
    </row>
    <row r="563" ht="22.5" customHeight="1">
      <c r="A563" s="7">
        <v>561.0</v>
      </c>
      <c r="B563" s="8"/>
      <c r="C563" s="16"/>
      <c r="D563" s="14"/>
      <c r="E563" s="14"/>
      <c r="F563" s="14"/>
      <c r="G563" s="14"/>
      <c r="H563" s="14"/>
    </row>
    <row r="564" ht="22.5" customHeight="1">
      <c r="A564" s="7">
        <v>562.0</v>
      </c>
      <c r="B564" s="8"/>
      <c r="C564" s="16"/>
      <c r="D564" s="14"/>
      <c r="E564" s="14"/>
      <c r="F564" s="14"/>
      <c r="G564" s="14"/>
      <c r="H564" s="14"/>
    </row>
    <row r="565" ht="22.5" customHeight="1">
      <c r="A565" s="7">
        <v>563.0</v>
      </c>
      <c r="B565" s="8"/>
      <c r="C565" s="16"/>
      <c r="D565" s="14"/>
      <c r="E565" s="14"/>
      <c r="F565" s="14"/>
      <c r="G565" s="14"/>
      <c r="H565" s="14"/>
    </row>
    <row r="566" ht="22.5" customHeight="1">
      <c r="A566" s="7">
        <v>564.0</v>
      </c>
      <c r="B566" s="8"/>
      <c r="C566" s="16"/>
      <c r="D566" s="14"/>
      <c r="E566" s="14"/>
      <c r="F566" s="14"/>
      <c r="G566" s="14"/>
      <c r="H566" s="14"/>
    </row>
    <row r="567" ht="22.5" customHeight="1">
      <c r="A567" s="7">
        <v>565.0</v>
      </c>
      <c r="B567" s="8"/>
      <c r="C567" s="16"/>
      <c r="D567" s="14"/>
      <c r="E567" s="14"/>
      <c r="F567" s="14"/>
      <c r="G567" s="14"/>
      <c r="H567" s="14"/>
    </row>
    <row r="568" ht="22.5" customHeight="1">
      <c r="A568" s="7">
        <v>566.0</v>
      </c>
      <c r="B568" s="8"/>
      <c r="C568" s="16"/>
      <c r="D568" s="14"/>
      <c r="E568" s="14"/>
      <c r="F568" s="14"/>
      <c r="G568" s="14"/>
      <c r="H568" s="14"/>
    </row>
    <row r="569" ht="22.5" customHeight="1">
      <c r="A569" s="7">
        <v>567.0</v>
      </c>
      <c r="B569" s="8"/>
      <c r="C569" s="16"/>
      <c r="D569" s="14"/>
      <c r="E569" s="14"/>
      <c r="F569" s="14"/>
      <c r="G569" s="14"/>
      <c r="H569" s="14"/>
    </row>
    <row r="570" ht="22.5" customHeight="1">
      <c r="A570" s="7">
        <v>568.0</v>
      </c>
      <c r="B570" s="8"/>
      <c r="C570" s="16"/>
      <c r="D570" s="14"/>
      <c r="E570" s="14"/>
      <c r="F570" s="14"/>
      <c r="G570" s="14"/>
      <c r="H570" s="14"/>
    </row>
    <row r="571" ht="22.5" customHeight="1">
      <c r="A571" s="7">
        <v>569.0</v>
      </c>
      <c r="B571" s="8"/>
      <c r="C571" s="16"/>
      <c r="D571" s="14"/>
      <c r="E571" s="14"/>
      <c r="F571" s="14"/>
      <c r="G571" s="14"/>
      <c r="H571" s="14"/>
    </row>
    <row r="572" ht="22.5" customHeight="1">
      <c r="A572" s="7">
        <v>570.0</v>
      </c>
      <c r="B572" s="8"/>
      <c r="C572" s="16"/>
      <c r="D572" s="14"/>
      <c r="E572" s="14"/>
      <c r="F572" s="14"/>
      <c r="G572" s="14"/>
      <c r="H572" s="14"/>
    </row>
    <row r="573" ht="22.5" customHeight="1">
      <c r="A573" s="7">
        <v>571.0</v>
      </c>
      <c r="B573" s="8"/>
      <c r="C573" s="16"/>
      <c r="D573" s="14"/>
      <c r="E573" s="14"/>
      <c r="F573" s="14"/>
      <c r="G573" s="14"/>
      <c r="H573" s="14"/>
    </row>
    <row r="574" ht="22.5" customHeight="1">
      <c r="A574" s="7">
        <v>572.0</v>
      </c>
      <c r="B574" s="8"/>
      <c r="C574" s="16"/>
      <c r="D574" s="14"/>
      <c r="E574" s="14"/>
      <c r="F574" s="14"/>
      <c r="G574" s="14"/>
      <c r="H574" s="14"/>
    </row>
    <row r="575" ht="22.5" customHeight="1">
      <c r="A575" s="7">
        <v>573.0</v>
      </c>
      <c r="B575" s="8"/>
      <c r="C575" s="16"/>
      <c r="D575" s="14"/>
      <c r="E575" s="14"/>
      <c r="F575" s="14"/>
      <c r="G575" s="14"/>
      <c r="H575" s="14"/>
    </row>
    <row r="576" ht="22.5" customHeight="1">
      <c r="A576" s="7">
        <v>574.0</v>
      </c>
      <c r="B576" s="8"/>
      <c r="C576" s="16"/>
      <c r="D576" s="14"/>
      <c r="E576" s="14"/>
      <c r="F576" s="14"/>
      <c r="G576" s="14"/>
      <c r="H576" s="14"/>
    </row>
    <row r="577" ht="22.5" customHeight="1">
      <c r="A577" s="7">
        <v>575.0</v>
      </c>
      <c r="B577" s="8"/>
      <c r="C577" s="16"/>
      <c r="D577" s="14"/>
      <c r="E577" s="14"/>
      <c r="F577" s="14"/>
      <c r="G577" s="14"/>
      <c r="H577" s="14"/>
    </row>
    <row r="578" ht="22.5" customHeight="1">
      <c r="A578" s="7">
        <v>576.0</v>
      </c>
      <c r="B578" s="8"/>
      <c r="C578" s="16"/>
      <c r="D578" s="14"/>
      <c r="E578" s="14"/>
      <c r="F578" s="14"/>
      <c r="G578" s="14"/>
      <c r="H578" s="14"/>
    </row>
    <row r="579" ht="22.5" customHeight="1">
      <c r="A579" s="7">
        <v>577.0</v>
      </c>
      <c r="B579" s="8"/>
      <c r="C579" s="16"/>
      <c r="D579" s="14"/>
      <c r="E579" s="14"/>
      <c r="F579" s="14"/>
      <c r="G579" s="14"/>
      <c r="H579" s="14"/>
    </row>
    <row r="580" ht="22.5" customHeight="1">
      <c r="A580" s="7">
        <v>578.0</v>
      </c>
      <c r="B580" s="8"/>
      <c r="C580" s="16"/>
      <c r="D580" s="14"/>
      <c r="E580" s="14"/>
      <c r="F580" s="14"/>
      <c r="G580" s="14"/>
      <c r="H580" s="14"/>
    </row>
    <row r="581" ht="22.5" customHeight="1">
      <c r="A581" s="7">
        <v>579.0</v>
      </c>
      <c r="B581" s="8"/>
      <c r="C581" s="16"/>
      <c r="D581" s="14"/>
      <c r="E581" s="14"/>
      <c r="F581" s="14"/>
      <c r="G581" s="14"/>
      <c r="H581" s="14"/>
    </row>
    <row r="582" ht="22.5" customHeight="1">
      <c r="A582" s="7">
        <v>580.0</v>
      </c>
      <c r="B582" s="8"/>
      <c r="C582" s="16"/>
      <c r="D582" s="14"/>
      <c r="E582" s="14"/>
      <c r="F582" s="14"/>
      <c r="G582" s="14"/>
      <c r="H582" s="14"/>
    </row>
    <row r="583" ht="22.5" customHeight="1">
      <c r="A583" s="7">
        <v>581.0</v>
      </c>
      <c r="B583" s="8"/>
      <c r="C583" s="16"/>
      <c r="D583" s="14"/>
      <c r="E583" s="14"/>
      <c r="F583" s="14"/>
      <c r="G583" s="14"/>
      <c r="H583" s="14"/>
    </row>
    <row r="584" ht="22.5" customHeight="1">
      <c r="A584" s="7">
        <v>582.0</v>
      </c>
      <c r="B584" s="8"/>
      <c r="C584" s="16"/>
      <c r="D584" s="14"/>
      <c r="E584" s="14"/>
      <c r="F584" s="14"/>
      <c r="G584" s="14"/>
      <c r="H584" s="14"/>
    </row>
    <row r="585" ht="22.5" customHeight="1">
      <c r="A585" s="7">
        <v>583.0</v>
      </c>
      <c r="B585" s="8"/>
      <c r="C585" s="16"/>
      <c r="D585" s="14"/>
      <c r="E585" s="14"/>
      <c r="F585" s="14"/>
      <c r="G585" s="14"/>
      <c r="H585" s="14"/>
    </row>
    <row r="586" ht="22.5" customHeight="1">
      <c r="A586" s="7">
        <v>584.0</v>
      </c>
      <c r="B586" s="8"/>
      <c r="C586" s="16"/>
      <c r="D586" s="14"/>
      <c r="E586" s="14"/>
      <c r="F586" s="14"/>
      <c r="G586" s="14"/>
      <c r="H586" s="14"/>
    </row>
    <row r="587" ht="22.5" customHeight="1">
      <c r="A587" s="7">
        <v>585.0</v>
      </c>
      <c r="B587" s="8"/>
      <c r="C587" s="16"/>
      <c r="D587" s="14"/>
      <c r="E587" s="14"/>
      <c r="F587" s="14"/>
      <c r="G587" s="14"/>
      <c r="H587" s="14"/>
    </row>
    <row r="588" ht="22.5" customHeight="1">
      <c r="A588" s="7">
        <v>586.0</v>
      </c>
      <c r="B588" s="8"/>
      <c r="C588" s="16"/>
      <c r="D588" s="14"/>
      <c r="E588" s="14"/>
      <c r="F588" s="14"/>
      <c r="G588" s="14"/>
      <c r="H588" s="14"/>
    </row>
    <row r="589" ht="22.5" customHeight="1">
      <c r="A589" s="7">
        <v>587.0</v>
      </c>
      <c r="B589" s="8"/>
      <c r="C589" s="16"/>
      <c r="D589" s="14"/>
      <c r="E589" s="14"/>
      <c r="F589" s="14"/>
      <c r="G589" s="14"/>
      <c r="H589" s="14"/>
    </row>
    <row r="590" ht="22.5" customHeight="1">
      <c r="A590" s="7">
        <v>588.0</v>
      </c>
      <c r="B590" s="8"/>
      <c r="C590" s="16"/>
      <c r="D590" s="14"/>
      <c r="E590" s="14"/>
      <c r="F590" s="14"/>
      <c r="G590" s="14"/>
      <c r="H590" s="14"/>
    </row>
    <row r="591" ht="22.5" customHeight="1">
      <c r="A591" s="7">
        <v>589.0</v>
      </c>
      <c r="B591" s="8"/>
      <c r="C591" s="16"/>
      <c r="D591" s="14"/>
      <c r="E591" s="14"/>
      <c r="F591" s="14"/>
      <c r="G591" s="14"/>
      <c r="H591" s="14"/>
    </row>
    <row r="592" ht="22.5" customHeight="1">
      <c r="A592" s="7">
        <v>590.0</v>
      </c>
      <c r="B592" s="8"/>
      <c r="C592" s="16"/>
      <c r="D592" s="14"/>
      <c r="E592" s="14"/>
      <c r="F592" s="14"/>
      <c r="G592" s="14"/>
      <c r="H592" s="14"/>
    </row>
    <row r="593" ht="22.5" customHeight="1">
      <c r="A593" s="7">
        <v>591.0</v>
      </c>
      <c r="B593" s="8"/>
      <c r="C593" s="16"/>
      <c r="D593" s="14"/>
      <c r="E593" s="14"/>
      <c r="F593" s="14"/>
      <c r="G593" s="14"/>
      <c r="H593" s="14"/>
    </row>
    <row r="594" ht="22.5" customHeight="1">
      <c r="A594" s="7">
        <v>592.0</v>
      </c>
      <c r="B594" s="8"/>
      <c r="C594" s="16"/>
      <c r="D594" s="14"/>
      <c r="E594" s="14"/>
      <c r="F594" s="14"/>
      <c r="G594" s="14"/>
      <c r="H594" s="14"/>
    </row>
    <row r="595" ht="22.5" customHeight="1">
      <c r="A595" s="7">
        <v>593.0</v>
      </c>
      <c r="B595" s="8"/>
      <c r="C595" s="16"/>
      <c r="D595" s="14"/>
      <c r="E595" s="14"/>
      <c r="F595" s="14"/>
      <c r="G595" s="14"/>
      <c r="H595" s="14"/>
    </row>
    <row r="596" ht="22.5" customHeight="1">
      <c r="A596" s="7">
        <v>594.0</v>
      </c>
      <c r="B596" s="8"/>
      <c r="C596" s="16"/>
      <c r="D596" s="14"/>
      <c r="E596" s="14"/>
      <c r="F596" s="14"/>
      <c r="G596" s="14"/>
      <c r="H596" s="14"/>
    </row>
    <row r="597" ht="22.5" customHeight="1">
      <c r="A597" s="7">
        <v>595.0</v>
      </c>
      <c r="B597" s="8"/>
      <c r="C597" s="16"/>
      <c r="D597" s="14"/>
      <c r="E597" s="14"/>
      <c r="F597" s="14"/>
      <c r="G597" s="14"/>
      <c r="H597" s="14"/>
    </row>
    <row r="598" ht="22.5" customHeight="1">
      <c r="A598" s="7">
        <v>596.0</v>
      </c>
      <c r="B598" s="8"/>
      <c r="C598" s="16"/>
      <c r="D598" s="14"/>
      <c r="E598" s="14"/>
      <c r="F598" s="14"/>
      <c r="G598" s="14"/>
      <c r="H598" s="14"/>
    </row>
    <row r="599" ht="22.5" customHeight="1">
      <c r="A599" s="7">
        <v>597.0</v>
      </c>
      <c r="B599" s="8"/>
      <c r="C599" s="16"/>
      <c r="D599" s="14"/>
      <c r="E599" s="14"/>
      <c r="F599" s="14"/>
      <c r="G599" s="14"/>
      <c r="H599" s="14"/>
    </row>
    <row r="600" ht="22.5" customHeight="1">
      <c r="A600" s="7">
        <v>598.0</v>
      </c>
      <c r="B600" s="8"/>
      <c r="C600" s="16"/>
      <c r="D600" s="14"/>
      <c r="E600" s="14"/>
      <c r="F600" s="14"/>
      <c r="G600" s="14"/>
      <c r="H600" s="14"/>
    </row>
    <row r="601" ht="22.5" customHeight="1">
      <c r="A601" s="7">
        <v>599.0</v>
      </c>
      <c r="B601" s="8"/>
      <c r="C601" s="16"/>
      <c r="D601" s="14"/>
      <c r="E601" s="14"/>
      <c r="F601" s="14"/>
      <c r="G601" s="14"/>
      <c r="H601" s="14"/>
    </row>
    <row r="602" ht="22.5" customHeight="1">
      <c r="A602" s="7">
        <v>600.0</v>
      </c>
      <c r="B602" s="8"/>
      <c r="C602" s="16"/>
      <c r="D602" s="14"/>
      <c r="E602" s="14"/>
      <c r="F602" s="14"/>
      <c r="G602" s="14"/>
      <c r="H602" s="14"/>
    </row>
    <row r="603" ht="22.5" customHeight="1">
      <c r="A603" s="7">
        <v>601.0</v>
      </c>
      <c r="B603" s="8"/>
      <c r="C603" s="16"/>
      <c r="D603" s="14"/>
      <c r="E603" s="14"/>
      <c r="F603" s="14"/>
      <c r="G603" s="14"/>
      <c r="H603" s="14"/>
    </row>
    <row r="604" ht="22.5" customHeight="1">
      <c r="A604" s="7">
        <v>602.0</v>
      </c>
      <c r="B604" s="8"/>
      <c r="C604" s="16"/>
      <c r="D604" s="14"/>
      <c r="E604" s="14"/>
      <c r="F604" s="14"/>
      <c r="G604" s="14"/>
      <c r="H604" s="14"/>
    </row>
    <row r="605" ht="22.5" customHeight="1">
      <c r="A605" s="7">
        <v>603.0</v>
      </c>
      <c r="B605" s="8"/>
      <c r="C605" s="16"/>
      <c r="D605" s="14"/>
      <c r="E605" s="14"/>
      <c r="F605" s="14"/>
      <c r="G605" s="14"/>
      <c r="H605" s="14"/>
    </row>
    <row r="606" ht="22.5" customHeight="1">
      <c r="A606" s="7">
        <v>604.0</v>
      </c>
      <c r="B606" s="8"/>
      <c r="C606" s="16"/>
      <c r="D606" s="14"/>
      <c r="E606" s="14"/>
      <c r="F606" s="14"/>
      <c r="G606" s="14"/>
      <c r="H606" s="14"/>
    </row>
    <row r="607" ht="22.5" customHeight="1">
      <c r="A607" s="7">
        <v>605.0</v>
      </c>
      <c r="B607" s="8"/>
      <c r="C607" s="16"/>
      <c r="D607" s="14"/>
      <c r="E607" s="14"/>
      <c r="F607" s="14"/>
      <c r="G607" s="14"/>
      <c r="H607" s="14"/>
    </row>
    <row r="608" ht="22.5" customHeight="1">
      <c r="A608" s="8"/>
      <c r="B608" s="8"/>
      <c r="C608" s="16"/>
      <c r="D608" s="14"/>
      <c r="E608" s="14"/>
      <c r="F608" s="14"/>
      <c r="G608" s="14"/>
      <c r="H608" s="14"/>
    </row>
    <row r="609" ht="22.5" customHeight="1">
      <c r="A609" s="8"/>
      <c r="B609" s="8"/>
      <c r="C609" s="16"/>
      <c r="D609" s="14"/>
      <c r="E609" s="14"/>
      <c r="F609" s="14"/>
      <c r="G609" s="14"/>
      <c r="H609" s="14"/>
    </row>
    <row r="610" ht="22.5" customHeight="1">
      <c r="A610" s="8"/>
      <c r="B610" s="8"/>
      <c r="C610" s="16"/>
      <c r="D610" s="14"/>
      <c r="E610" s="14"/>
      <c r="F610" s="14"/>
      <c r="G610" s="14"/>
      <c r="H610" s="14"/>
    </row>
    <row r="611" ht="22.5" customHeight="1">
      <c r="A611" s="8"/>
      <c r="B611" s="8"/>
      <c r="C611" s="16"/>
      <c r="D611" s="14"/>
      <c r="E611" s="14"/>
      <c r="F611" s="14"/>
      <c r="G611" s="14"/>
      <c r="H611" s="14"/>
    </row>
    <row r="612" ht="22.5" customHeight="1">
      <c r="A612" s="8"/>
      <c r="B612" s="8"/>
      <c r="C612" s="16"/>
      <c r="D612" s="14"/>
      <c r="E612" s="14"/>
      <c r="F612" s="14"/>
      <c r="G612" s="14"/>
      <c r="H612" s="14"/>
    </row>
    <row r="613" ht="22.5" customHeight="1">
      <c r="A613" s="8"/>
      <c r="B613" s="8"/>
      <c r="C613" s="16"/>
      <c r="D613" s="14"/>
      <c r="E613" s="14"/>
      <c r="F613" s="14"/>
      <c r="G613" s="14"/>
      <c r="H613" s="14"/>
    </row>
    <row r="614" ht="22.5" customHeight="1">
      <c r="A614" s="8"/>
      <c r="B614" s="8"/>
      <c r="C614" s="16"/>
      <c r="D614" s="14"/>
      <c r="E614" s="14"/>
      <c r="F614" s="14"/>
      <c r="G614" s="14"/>
      <c r="H614" s="14"/>
    </row>
    <row r="615" ht="22.5" customHeight="1">
      <c r="A615" s="8"/>
      <c r="B615" s="8"/>
      <c r="C615" s="16"/>
      <c r="D615" s="14"/>
      <c r="E615" s="14"/>
      <c r="F615" s="14"/>
      <c r="G615" s="14"/>
      <c r="H615" s="14"/>
    </row>
    <row r="616" ht="22.5" customHeight="1">
      <c r="A616" s="8"/>
      <c r="B616" s="8"/>
      <c r="C616" s="16"/>
      <c r="D616" s="14"/>
      <c r="E616" s="14"/>
      <c r="F616" s="14"/>
      <c r="G616" s="14"/>
      <c r="H616" s="14"/>
    </row>
    <row r="617" ht="22.5" customHeight="1">
      <c r="A617" s="8"/>
      <c r="B617" s="8"/>
      <c r="C617" s="16"/>
      <c r="D617" s="14"/>
      <c r="E617" s="14"/>
      <c r="F617" s="14"/>
      <c r="G617" s="14"/>
      <c r="H617" s="14"/>
    </row>
    <row r="618" ht="22.5" customHeight="1">
      <c r="A618" s="8"/>
      <c r="B618" s="8"/>
      <c r="C618" s="16"/>
      <c r="D618" s="14"/>
      <c r="E618" s="14"/>
      <c r="F618" s="14"/>
      <c r="G618" s="14"/>
      <c r="H618" s="14"/>
    </row>
    <row r="619" ht="22.5" customHeight="1">
      <c r="A619" s="8"/>
      <c r="B619" s="8"/>
      <c r="C619" s="16"/>
      <c r="D619" s="14"/>
      <c r="E619" s="14"/>
      <c r="F619" s="14"/>
      <c r="G619" s="14"/>
      <c r="H619" s="14"/>
    </row>
    <row r="620" ht="22.5" customHeight="1">
      <c r="A620" s="8"/>
      <c r="B620" s="8"/>
      <c r="C620" s="16"/>
      <c r="D620" s="14"/>
      <c r="E620" s="14"/>
      <c r="F620" s="14"/>
      <c r="G620" s="14"/>
      <c r="H620" s="14"/>
    </row>
    <row r="621" ht="22.5" customHeight="1">
      <c r="A621" s="8"/>
      <c r="B621" s="8"/>
      <c r="C621" s="16"/>
      <c r="D621" s="14"/>
      <c r="E621" s="14"/>
      <c r="F621" s="14"/>
      <c r="G621" s="14"/>
      <c r="H621" s="14"/>
    </row>
    <row r="622" ht="22.5" customHeight="1">
      <c r="A622" s="8"/>
      <c r="B622" s="8"/>
      <c r="C622" s="16"/>
      <c r="D622" s="14"/>
      <c r="E622" s="14"/>
      <c r="F622" s="14"/>
      <c r="G622" s="14"/>
      <c r="H622" s="14"/>
    </row>
    <row r="623" ht="22.5" customHeight="1">
      <c r="A623" s="8"/>
      <c r="B623" s="8"/>
      <c r="C623" s="16"/>
      <c r="D623" s="14"/>
      <c r="E623" s="14"/>
      <c r="F623" s="14"/>
      <c r="G623" s="14"/>
      <c r="H623" s="14"/>
    </row>
    <row r="624" ht="22.5" customHeight="1">
      <c r="A624" s="8"/>
      <c r="B624" s="8"/>
      <c r="C624" s="16"/>
      <c r="D624" s="14"/>
      <c r="E624" s="14"/>
      <c r="F624" s="14"/>
      <c r="G624" s="14"/>
      <c r="H624" s="14"/>
    </row>
    <row r="625" ht="22.5" customHeight="1">
      <c r="A625" s="8"/>
      <c r="B625" s="8"/>
      <c r="C625" s="16"/>
      <c r="D625" s="14"/>
      <c r="E625" s="14"/>
      <c r="F625" s="14"/>
      <c r="G625" s="14"/>
      <c r="H625" s="14"/>
    </row>
    <row r="626" ht="22.5" customHeight="1">
      <c r="A626" s="8"/>
      <c r="B626" s="8"/>
      <c r="C626" s="16"/>
      <c r="D626" s="14"/>
      <c r="E626" s="14"/>
      <c r="F626" s="14"/>
      <c r="G626" s="14"/>
      <c r="H626" s="14"/>
    </row>
    <row r="627" ht="22.5" customHeight="1">
      <c r="A627" s="8"/>
      <c r="B627" s="8"/>
      <c r="C627" s="16"/>
      <c r="D627" s="14"/>
      <c r="E627" s="14"/>
      <c r="F627" s="14"/>
      <c r="G627" s="14"/>
      <c r="H627" s="14"/>
    </row>
    <row r="628" ht="22.5" customHeight="1">
      <c r="A628" s="8"/>
      <c r="B628" s="8"/>
      <c r="C628" s="16"/>
      <c r="D628" s="14"/>
      <c r="E628" s="14"/>
      <c r="F628" s="14"/>
      <c r="G628" s="14"/>
      <c r="H628" s="14"/>
    </row>
    <row r="629" ht="22.5" customHeight="1">
      <c r="A629" s="8"/>
      <c r="B629" s="8"/>
      <c r="C629" s="16"/>
      <c r="D629" s="14"/>
      <c r="E629" s="14"/>
      <c r="F629" s="14"/>
      <c r="G629" s="14"/>
      <c r="H629" s="14"/>
    </row>
    <row r="630" ht="22.5" customHeight="1">
      <c r="A630" s="8"/>
      <c r="B630" s="8"/>
      <c r="C630" s="16"/>
      <c r="D630" s="14"/>
      <c r="E630" s="14"/>
      <c r="F630" s="14"/>
      <c r="G630" s="14"/>
      <c r="H630" s="14"/>
    </row>
    <row r="631" ht="22.5" customHeight="1">
      <c r="A631" s="8"/>
      <c r="B631" s="8"/>
      <c r="C631" s="16"/>
      <c r="D631" s="14"/>
      <c r="E631" s="14"/>
      <c r="F631" s="14"/>
      <c r="G631" s="14"/>
      <c r="H631" s="14"/>
    </row>
    <row r="632" ht="22.5" customHeight="1">
      <c r="A632" s="8"/>
      <c r="B632" s="8"/>
      <c r="C632" s="16"/>
      <c r="D632" s="14"/>
      <c r="E632" s="14"/>
      <c r="F632" s="14"/>
      <c r="G632" s="14"/>
      <c r="H632" s="14"/>
    </row>
    <row r="633" ht="22.5" customHeight="1">
      <c r="A633" s="8"/>
      <c r="B633" s="8"/>
      <c r="C633" s="16"/>
      <c r="D633" s="14"/>
      <c r="E633" s="14"/>
      <c r="F633" s="14"/>
      <c r="G633" s="14"/>
      <c r="H633" s="14"/>
    </row>
    <row r="634" ht="22.5" customHeight="1">
      <c r="A634" s="8"/>
      <c r="B634" s="8"/>
      <c r="C634" s="16"/>
      <c r="D634" s="14"/>
      <c r="E634" s="14"/>
      <c r="F634" s="14"/>
      <c r="G634" s="14"/>
      <c r="H634" s="14"/>
    </row>
    <row r="635" ht="22.5" customHeight="1">
      <c r="A635" s="8"/>
      <c r="B635" s="8"/>
      <c r="C635" s="16"/>
      <c r="D635" s="14"/>
      <c r="E635" s="14"/>
      <c r="F635" s="14"/>
      <c r="G635" s="14"/>
      <c r="H635" s="14"/>
    </row>
    <row r="636" ht="22.5" customHeight="1">
      <c r="A636" s="8"/>
      <c r="B636" s="8"/>
      <c r="C636" s="16"/>
      <c r="D636" s="14"/>
      <c r="E636" s="14"/>
      <c r="F636" s="14"/>
      <c r="G636" s="14"/>
      <c r="H636" s="14"/>
    </row>
    <row r="637" ht="22.5" customHeight="1">
      <c r="A637" s="8"/>
      <c r="B637" s="8"/>
      <c r="C637" s="16"/>
      <c r="D637" s="14"/>
      <c r="E637" s="14"/>
      <c r="F637" s="14"/>
      <c r="G637" s="14"/>
      <c r="H637" s="14"/>
    </row>
    <row r="638" ht="22.5" customHeight="1">
      <c r="A638" s="8"/>
      <c r="B638" s="8"/>
      <c r="C638" s="16"/>
      <c r="D638" s="14"/>
      <c r="E638" s="14"/>
      <c r="F638" s="14"/>
      <c r="G638" s="14"/>
      <c r="H638" s="14"/>
    </row>
    <row r="639" ht="22.5" customHeight="1">
      <c r="A639" s="8"/>
      <c r="B639" s="8"/>
      <c r="C639" s="16"/>
      <c r="D639" s="14"/>
      <c r="E639" s="14"/>
      <c r="F639" s="14"/>
      <c r="G639" s="14"/>
      <c r="H639" s="14"/>
    </row>
    <row r="640" ht="22.5" customHeight="1">
      <c r="A640" s="8"/>
      <c r="B640" s="8"/>
      <c r="C640" s="16"/>
      <c r="D640" s="14"/>
      <c r="E640" s="14"/>
      <c r="F640" s="14"/>
      <c r="G640" s="14"/>
      <c r="H640" s="14"/>
    </row>
    <row r="641" ht="22.5" customHeight="1">
      <c r="A641" s="8"/>
      <c r="B641" s="8"/>
      <c r="C641" s="16"/>
      <c r="D641" s="14"/>
      <c r="E641" s="14"/>
      <c r="F641" s="14"/>
      <c r="G641" s="14"/>
      <c r="H641" s="14"/>
    </row>
    <row r="642" ht="22.5" customHeight="1">
      <c r="A642" s="8"/>
      <c r="B642" s="8"/>
      <c r="C642" s="16"/>
      <c r="D642" s="14"/>
      <c r="E642" s="14"/>
      <c r="F642" s="14"/>
      <c r="G642" s="14"/>
      <c r="H642" s="14"/>
    </row>
    <row r="643" ht="22.5" customHeight="1">
      <c r="A643" s="8"/>
      <c r="B643" s="8"/>
      <c r="C643" s="16"/>
      <c r="D643" s="14"/>
      <c r="E643" s="14"/>
      <c r="F643" s="14"/>
      <c r="G643" s="14"/>
      <c r="H643" s="14"/>
    </row>
    <row r="644" ht="22.5" customHeight="1">
      <c r="A644" s="8"/>
      <c r="B644" s="8"/>
      <c r="C644" s="16"/>
      <c r="D644" s="14"/>
      <c r="E644" s="14"/>
      <c r="F644" s="14"/>
      <c r="G644" s="14"/>
      <c r="H644" s="14"/>
    </row>
    <row r="645" ht="22.5" customHeight="1">
      <c r="A645" s="8"/>
      <c r="B645" s="8"/>
      <c r="C645" s="16"/>
      <c r="D645" s="14"/>
      <c r="E645" s="14"/>
      <c r="F645" s="14"/>
      <c r="G645" s="14"/>
      <c r="H645" s="14"/>
    </row>
    <row r="646" ht="22.5" customHeight="1">
      <c r="A646" s="8"/>
      <c r="B646" s="8"/>
      <c r="C646" s="16"/>
      <c r="D646" s="14"/>
      <c r="E646" s="14"/>
      <c r="F646" s="14"/>
      <c r="G646" s="14"/>
      <c r="H646" s="14"/>
    </row>
    <row r="647" ht="22.5" customHeight="1">
      <c r="A647" s="8"/>
      <c r="B647" s="8"/>
      <c r="C647" s="16"/>
      <c r="D647" s="14"/>
      <c r="E647" s="14"/>
      <c r="F647" s="14"/>
      <c r="G647" s="14"/>
      <c r="H647" s="14"/>
    </row>
    <row r="648" ht="22.5" customHeight="1">
      <c r="A648" s="8"/>
      <c r="B648" s="8"/>
      <c r="C648" s="16"/>
      <c r="D648" s="14"/>
      <c r="E648" s="14"/>
      <c r="F648" s="14"/>
      <c r="G648" s="14"/>
      <c r="H648" s="14"/>
    </row>
    <row r="649" ht="22.5" customHeight="1">
      <c r="A649" s="8"/>
      <c r="B649" s="8"/>
      <c r="C649" s="16"/>
      <c r="D649" s="14"/>
      <c r="E649" s="14"/>
      <c r="F649" s="14"/>
      <c r="G649" s="14"/>
      <c r="H649" s="14"/>
    </row>
    <row r="650" ht="22.5" customHeight="1">
      <c r="A650" s="8"/>
      <c r="B650" s="8"/>
      <c r="C650" s="16"/>
      <c r="D650" s="14"/>
      <c r="E650" s="14"/>
      <c r="F650" s="14"/>
      <c r="G650" s="14"/>
      <c r="H650" s="14"/>
    </row>
    <row r="651" ht="22.5" customHeight="1">
      <c r="A651" s="8"/>
      <c r="B651" s="8"/>
      <c r="C651" s="16"/>
      <c r="D651" s="14"/>
      <c r="E651" s="14"/>
      <c r="F651" s="14"/>
      <c r="G651" s="14"/>
      <c r="H651" s="14"/>
    </row>
    <row r="652" ht="22.5" customHeight="1">
      <c r="A652" s="8"/>
      <c r="B652" s="8"/>
      <c r="C652" s="16"/>
      <c r="D652" s="14"/>
      <c r="E652" s="14"/>
      <c r="F652" s="14"/>
      <c r="G652" s="14"/>
      <c r="H652" s="14"/>
    </row>
    <row r="653" ht="22.5" customHeight="1">
      <c r="A653" s="8"/>
      <c r="B653" s="8"/>
      <c r="C653" s="16"/>
      <c r="D653" s="14"/>
      <c r="E653" s="14"/>
      <c r="F653" s="14"/>
      <c r="G653" s="14"/>
      <c r="H653" s="14"/>
    </row>
    <row r="654" ht="22.5" customHeight="1">
      <c r="A654" s="8"/>
      <c r="B654" s="8"/>
      <c r="C654" s="16"/>
      <c r="D654" s="14"/>
      <c r="E654" s="14"/>
      <c r="F654" s="14"/>
      <c r="G654" s="14"/>
      <c r="H654" s="14"/>
    </row>
    <row r="655" ht="22.5" customHeight="1">
      <c r="A655" s="8"/>
      <c r="B655" s="8"/>
      <c r="C655" s="16"/>
      <c r="D655" s="14"/>
      <c r="E655" s="14"/>
      <c r="F655" s="14"/>
      <c r="G655" s="14"/>
      <c r="H655" s="14"/>
    </row>
    <row r="656" ht="22.5" customHeight="1">
      <c r="A656" s="8"/>
      <c r="B656" s="8"/>
      <c r="C656" s="16"/>
      <c r="D656" s="14"/>
      <c r="E656" s="14"/>
      <c r="F656" s="14"/>
      <c r="G656" s="14"/>
      <c r="H656" s="14"/>
    </row>
    <row r="657" ht="22.5" customHeight="1">
      <c r="A657" s="8"/>
      <c r="B657" s="8"/>
      <c r="C657" s="16"/>
      <c r="D657" s="14"/>
      <c r="E657" s="14"/>
      <c r="F657" s="14"/>
      <c r="G657" s="14"/>
      <c r="H657" s="14"/>
    </row>
    <row r="658" ht="22.5" customHeight="1">
      <c r="A658" s="8"/>
      <c r="B658" s="8"/>
      <c r="C658" s="16"/>
      <c r="D658" s="14"/>
      <c r="E658" s="14"/>
      <c r="F658" s="14"/>
      <c r="G658" s="14"/>
      <c r="H658" s="14"/>
    </row>
    <row r="659" ht="22.5" customHeight="1">
      <c r="A659" s="8"/>
      <c r="B659" s="8"/>
      <c r="C659" s="16"/>
      <c r="D659" s="14"/>
      <c r="E659" s="14"/>
      <c r="F659" s="14"/>
      <c r="G659" s="14"/>
      <c r="H659" s="14"/>
    </row>
    <row r="660" ht="22.5" customHeight="1">
      <c r="A660" s="8"/>
      <c r="B660" s="8"/>
      <c r="C660" s="16"/>
      <c r="D660" s="14"/>
      <c r="E660" s="14"/>
      <c r="F660" s="14"/>
      <c r="G660" s="14"/>
      <c r="H660" s="14"/>
    </row>
    <row r="661" ht="22.5" customHeight="1">
      <c r="A661" s="8"/>
      <c r="B661" s="8"/>
      <c r="C661" s="16"/>
      <c r="D661" s="14"/>
      <c r="E661" s="14"/>
      <c r="F661" s="14"/>
      <c r="G661" s="14"/>
      <c r="H661" s="14"/>
    </row>
    <row r="662" ht="22.5" customHeight="1">
      <c r="A662" s="8"/>
      <c r="B662" s="8"/>
      <c r="C662" s="16"/>
      <c r="D662" s="14"/>
      <c r="E662" s="14"/>
      <c r="F662" s="14"/>
      <c r="G662" s="14"/>
      <c r="H662" s="14"/>
    </row>
    <row r="663" ht="22.5" customHeight="1">
      <c r="A663" s="8"/>
      <c r="B663" s="8"/>
      <c r="C663" s="16"/>
      <c r="D663" s="14"/>
      <c r="E663" s="14"/>
      <c r="F663" s="14"/>
      <c r="G663" s="14"/>
      <c r="H663" s="14"/>
    </row>
    <row r="664" ht="22.5" customHeight="1">
      <c r="A664" s="8"/>
      <c r="B664" s="8"/>
      <c r="C664" s="16"/>
      <c r="D664" s="14"/>
      <c r="E664" s="14"/>
      <c r="F664" s="14"/>
      <c r="G664" s="14"/>
      <c r="H664" s="14"/>
    </row>
    <row r="665" ht="22.5" customHeight="1">
      <c r="A665" s="8"/>
      <c r="B665" s="8"/>
      <c r="C665" s="16"/>
      <c r="D665" s="14"/>
      <c r="E665" s="14"/>
      <c r="F665" s="14"/>
      <c r="G665" s="14"/>
      <c r="H665" s="14"/>
    </row>
    <row r="666" ht="22.5" customHeight="1">
      <c r="A666" s="8"/>
      <c r="B666" s="8"/>
      <c r="C666" s="16"/>
      <c r="D666" s="14"/>
      <c r="E666" s="14"/>
      <c r="F666" s="14"/>
      <c r="G666" s="14"/>
      <c r="H666" s="14"/>
    </row>
    <row r="667" ht="22.5" customHeight="1">
      <c r="A667" s="8"/>
      <c r="B667" s="8"/>
      <c r="C667" s="16"/>
      <c r="D667" s="14"/>
      <c r="E667" s="14"/>
      <c r="F667" s="14"/>
      <c r="G667" s="14"/>
      <c r="H667" s="14"/>
    </row>
    <row r="668" ht="22.5" customHeight="1">
      <c r="A668" s="8"/>
      <c r="B668" s="8"/>
      <c r="C668" s="16"/>
      <c r="D668" s="14"/>
      <c r="E668" s="14"/>
      <c r="F668" s="14"/>
      <c r="G668" s="14"/>
      <c r="H668" s="14"/>
    </row>
    <row r="669" ht="22.5" customHeight="1">
      <c r="A669" s="8"/>
      <c r="B669" s="8"/>
      <c r="C669" s="16"/>
      <c r="D669" s="14"/>
      <c r="E669" s="14"/>
      <c r="F669" s="14"/>
      <c r="G669" s="14"/>
      <c r="H669" s="14"/>
    </row>
    <row r="670" ht="22.5" customHeight="1">
      <c r="A670" s="8"/>
      <c r="B670" s="8"/>
      <c r="C670" s="16"/>
      <c r="D670" s="14"/>
      <c r="E670" s="14"/>
      <c r="F670" s="14"/>
      <c r="G670" s="14"/>
      <c r="H670" s="14"/>
    </row>
    <row r="671" ht="22.5" customHeight="1">
      <c r="A671" s="8"/>
      <c r="B671" s="8"/>
      <c r="C671" s="16"/>
      <c r="D671" s="14"/>
      <c r="E671" s="14"/>
      <c r="F671" s="14"/>
      <c r="G671" s="14"/>
      <c r="H671" s="14"/>
    </row>
    <row r="672" ht="22.5" customHeight="1">
      <c r="A672" s="8"/>
      <c r="B672" s="8"/>
      <c r="C672" s="16"/>
      <c r="D672" s="14"/>
      <c r="E672" s="14"/>
      <c r="F672" s="14"/>
      <c r="G672" s="14"/>
      <c r="H672" s="14"/>
    </row>
    <row r="673" ht="22.5" customHeight="1">
      <c r="A673" s="8"/>
      <c r="B673" s="8"/>
      <c r="C673" s="16"/>
      <c r="D673" s="14"/>
      <c r="E673" s="14"/>
      <c r="F673" s="14"/>
      <c r="G673" s="14"/>
      <c r="H673" s="14"/>
    </row>
    <row r="674" ht="22.5" customHeight="1">
      <c r="A674" s="8"/>
      <c r="B674" s="8"/>
      <c r="C674" s="16"/>
      <c r="D674" s="14"/>
      <c r="E674" s="14"/>
      <c r="F674" s="14"/>
      <c r="G674" s="14"/>
      <c r="H674" s="14"/>
    </row>
    <row r="675" ht="22.5" customHeight="1">
      <c r="A675" s="8"/>
      <c r="B675" s="8"/>
      <c r="C675" s="16"/>
      <c r="D675" s="14"/>
      <c r="E675" s="14"/>
      <c r="F675" s="14"/>
      <c r="G675" s="14"/>
      <c r="H675" s="14"/>
    </row>
    <row r="676" ht="22.5" customHeight="1">
      <c r="A676" s="8"/>
      <c r="B676" s="8"/>
      <c r="C676" s="16"/>
      <c r="D676" s="14"/>
      <c r="E676" s="14"/>
      <c r="F676" s="14"/>
      <c r="G676" s="14"/>
      <c r="H676" s="14"/>
    </row>
    <row r="677" ht="22.5" customHeight="1">
      <c r="A677" s="8"/>
      <c r="B677" s="8"/>
      <c r="C677" s="16"/>
      <c r="D677" s="14"/>
      <c r="E677" s="14"/>
      <c r="F677" s="14"/>
      <c r="G677" s="14"/>
      <c r="H677" s="14"/>
    </row>
    <row r="678" ht="22.5" customHeight="1">
      <c r="A678" s="8"/>
      <c r="B678" s="8"/>
      <c r="C678" s="16"/>
      <c r="D678" s="14"/>
      <c r="E678" s="14"/>
      <c r="F678" s="14"/>
      <c r="G678" s="14"/>
      <c r="H678" s="14"/>
    </row>
    <row r="679" ht="22.5" customHeight="1">
      <c r="A679" s="8"/>
      <c r="B679" s="8"/>
      <c r="C679" s="16"/>
      <c r="D679" s="14"/>
      <c r="E679" s="14"/>
      <c r="F679" s="14"/>
      <c r="G679" s="14"/>
      <c r="H679" s="14"/>
    </row>
    <row r="680" ht="22.5" customHeight="1">
      <c r="A680" s="8"/>
      <c r="B680" s="8"/>
      <c r="C680" s="16"/>
      <c r="D680" s="14"/>
      <c r="E680" s="14"/>
      <c r="F680" s="14"/>
      <c r="G680" s="14"/>
      <c r="H680" s="14"/>
    </row>
    <row r="681" ht="22.5" customHeight="1">
      <c r="A681" s="8"/>
      <c r="B681" s="8"/>
      <c r="C681" s="16"/>
      <c r="D681" s="14"/>
      <c r="E681" s="14"/>
      <c r="F681" s="14"/>
      <c r="G681" s="14"/>
      <c r="H681" s="14"/>
    </row>
    <row r="682" ht="22.5" customHeight="1">
      <c r="A682" s="8"/>
      <c r="B682" s="8"/>
      <c r="C682" s="16"/>
      <c r="D682" s="14"/>
      <c r="E682" s="14"/>
      <c r="F682" s="14"/>
      <c r="G682" s="14"/>
      <c r="H682" s="14"/>
    </row>
    <row r="683" ht="22.5" customHeight="1">
      <c r="A683" s="8"/>
      <c r="B683" s="8"/>
      <c r="C683" s="16"/>
      <c r="D683" s="14"/>
      <c r="E683" s="14"/>
      <c r="F683" s="14"/>
      <c r="G683" s="14"/>
      <c r="H683" s="14"/>
    </row>
    <row r="684" ht="22.5" customHeight="1">
      <c r="A684" s="8"/>
      <c r="B684" s="8"/>
      <c r="C684" s="16"/>
      <c r="D684" s="14"/>
      <c r="E684" s="14"/>
      <c r="F684" s="14"/>
      <c r="G684" s="14"/>
      <c r="H684" s="14"/>
    </row>
    <row r="685" ht="22.5" customHeight="1">
      <c r="A685" s="8"/>
      <c r="B685" s="8"/>
      <c r="C685" s="16"/>
      <c r="D685" s="14"/>
      <c r="E685" s="14"/>
      <c r="F685" s="14"/>
      <c r="G685" s="14"/>
      <c r="H685" s="14"/>
    </row>
    <row r="686" ht="22.5" customHeight="1">
      <c r="A686" s="8"/>
      <c r="B686" s="8"/>
      <c r="C686" s="16"/>
      <c r="D686" s="14"/>
      <c r="E686" s="14"/>
      <c r="F686" s="14"/>
      <c r="G686" s="14"/>
      <c r="H686" s="14"/>
    </row>
    <row r="687" ht="22.5" customHeight="1">
      <c r="A687" s="8"/>
      <c r="B687" s="8"/>
      <c r="C687" s="16"/>
      <c r="D687" s="14"/>
      <c r="E687" s="14"/>
      <c r="F687" s="14"/>
      <c r="G687" s="14"/>
      <c r="H687" s="14"/>
    </row>
    <row r="688" ht="22.5" customHeight="1">
      <c r="A688" s="8"/>
      <c r="B688" s="8"/>
      <c r="C688" s="16"/>
      <c r="D688" s="14"/>
      <c r="E688" s="14"/>
      <c r="F688" s="14"/>
      <c r="G688" s="14"/>
      <c r="H688" s="14"/>
    </row>
    <row r="689" ht="22.5" customHeight="1">
      <c r="A689" s="8"/>
      <c r="B689" s="8"/>
      <c r="C689" s="16"/>
      <c r="D689" s="14"/>
      <c r="E689" s="14"/>
      <c r="F689" s="14"/>
      <c r="G689" s="14"/>
      <c r="H689" s="14"/>
    </row>
    <row r="690" ht="22.5" customHeight="1">
      <c r="A690" s="8"/>
      <c r="B690" s="8"/>
      <c r="C690" s="16"/>
      <c r="D690" s="14"/>
      <c r="E690" s="14"/>
      <c r="F690" s="14"/>
      <c r="G690" s="14"/>
      <c r="H690" s="14"/>
    </row>
    <row r="691" ht="22.5" customHeight="1">
      <c r="A691" s="8"/>
      <c r="B691" s="8"/>
      <c r="C691" s="16"/>
      <c r="D691" s="14"/>
      <c r="E691" s="14"/>
      <c r="F691" s="14"/>
      <c r="G691" s="14"/>
      <c r="H691" s="14"/>
    </row>
    <row r="692" ht="22.5" customHeight="1">
      <c r="A692" s="8"/>
      <c r="B692" s="8"/>
      <c r="C692" s="16"/>
      <c r="D692" s="14"/>
      <c r="E692" s="14"/>
      <c r="F692" s="14"/>
      <c r="G692" s="14"/>
      <c r="H692" s="14"/>
    </row>
    <row r="693" ht="22.5" customHeight="1">
      <c r="A693" s="8"/>
      <c r="B693" s="8"/>
      <c r="C693" s="16"/>
      <c r="D693" s="14"/>
      <c r="E693" s="14"/>
      <c r="F693" s="14"/>
      <c r="G693" s="14"/>
      <c r="H693" s="14"/>
    </row>
    <row r="694" ht="22.5" customHeight="1">
      <c r="A694" s="8"/>
      <c r="B694" s="8"/>
      <c r="C694" s="16"/>
      <c r="D694" s="14"/>
      <c r="E694" s="14"/>
      <c r="F694" s="14"/>
      <c r="G694" s="14"/>
      <c r="H694" s="14"/>
    </row>
    <row r="695" ht="22.5" customHeight="1">
      <c r="A695" s="8"/>
      <c r="B695" s="8"/>
      <c r="C695" s="16"/>
      <c r="D695" s="14"/>
      <c r="E695" s="14"/>
      <c r="F695" s="14"/>
      <c r="G695" s="14"/>
      <c r="H695" s="14"/>
    </row>
    <row r="696" ht="22.5" customHeight="1">
      <c r="A696" s="8"/>
      <c r="B696" s="8"/>
      <c r="C696" s="16"/>
      <c r="D696" s="14"/>
      <c r="E696" s="14"/>
      <c r="F696" s="14"/>
      <c r="G696" s="14"/>
      <c r="H696" s="14"/>
    </row>
    <row r="697" ht="22.5" customHeight="1">
      <c r="A697" s="8"/>
      <c r="B697" s="8"/>
      <c r="C697" s="16"/>
      <c r="D697" s="14"/>
      <c r="E697" s="14"/>
      <c r="F697" s="14"/>
      <c r="G697" s="14"/>
      <c r="H697" s="14"/>
    </row>
    <row r="698" ht="22.5" customHeight="1">
      <c r="A698" s="8"/>
      <c r="B698" s="8"/>
      <c r="C698" s="16"/>
      <c r="D698" s="14"/>
      <c r="E698" s="14"/>
      <c r="F698" s="14"/>
      <c r="G698" s="14"/>
      <c r="H698" s="14"/>
    </row>
    <row r="699" ht="22.5" customHeight="1">
      <c r="A699" s="8"/>
      <c r="B699" s="8"/>
      <c r="C699" s="16"/>
      <c r="D699" s="14"/>
      <c r="E699" s="14"/>
      <c r="F699" s="14"/>
      <c r="G699" s="14"/>
      <c r="H699" s="14"/>
    </row>
    <row r="700" ht="22.5" customHeight="1">
      <c r="A700" s="8"/>
      <c r="B700" s="8"/>
      <c r="C700" s="16"/>
      <c r="D700" s="14"/>
      <c r="E700" s="14"/>
      <c r="F700" s="14"/>
      <c r="G700" s="14"/>
      <c r="H700" s="14"/>
    </row>
    <row r="701" ht="22.5" customHeight="1">
      <c r="A701" s="8"/>
      <c r="B701" s="8"/>
      <c r="C701" s="16"/>
      <c r="D701" s="14"/>
      <c r="E701" s="14"/>
      <c r="F701" s="14"/>
      <c r="G701" s="14"/>
      <c r="H701" s="14"/>
    </row>
    <row r="702" ht="22.5" customHeight="1">
      <c r="A702" s="8"/>
      <c r="B702" s="8"/>
      <c r="C702" s="16"/>
      <c r="D702" s="14"/>
      <c r="E702" s="14"/>
      <c r="F702" s="14"/>
      <c r="G702" s="14"/>
      <c r="H702" s="14"/>
    </row>
    <row r="703" ht="22.5" customHeight="1">
      <c r="A703" s="8"/>
      <c r="B703" s="8"/>
      <c r="C703" s="16"/>
      <c r="D703" s="14"/>
      <c r="E703" s="14"/>
      <c r="F703" s="14"/>
      <c r="G703" s="14"/>
      <c r="H703" s="14"/>
    </row>
    <row r="704" ht="22.5" customHeight="1">
      <c r="A704" s="8"/>
      <c r="B704" s="8"/>
      <c r="C704" s="16"/>
      <c r="D704" s="14"/>
      <c r="E704" s="14"/>
      <c r="F704" s="14"/>
      <c r="G704" s="14"/>
      <c r="H704" s="14"/>
    </row>
    <row r="705" ht="22.5" customHeight="1">
      <c r="A705" s="8"/>
      <c r="B705" s="8"/>
      <c r="C705" s="16"/>
      <c r="D705" s="14"/>
      <c r="E705" s="14"/>
      <c r="F705" s="14"/>
      <c r="G705" s="14"/>
      <c r="H705" s="14"/>
    </row>
    <row r="706" ht="22.5" customHeight="1">
      <c r="A706" s="8"/>
      <c r="B706" s="8"/>
      <c r="C706" s="16"/>
      <c r="D706" s="14"/>
      <c r="E706" s="14"/>
      <c r="F706" s="14"/>
      <c r="G706" s="14"/>
      <c r="H706" s="14"/>
    </row>
    <row r="707" ht="22.5" customHeight="1">
      <c r="A707" s="8"/>
      <c r="B707" s="8"/>
      <c r="C707" s="16"/>
      <c r="D707" s="14"/>
      <c r="E707" s="14"/>
      <c r="F707" s="14"/>
      <c r="G707" s="14"/>
      <c r="H707" s="14"/>
    </row>
    <row r="708" ht="22.5" customHeight="1">
      <c r="A708" s="8"/>
      <c r="B708" s="8"/>
      <c r="C708" s="16"/>
      <c r="D708" s="14"/>
      <c r="E708" s="14"/>
      <c r="F708" s="14"/>
      <c r="G708" s="14"/>
      <c r="H708" s="14"/>
    </row>
    <row r="709" ht="22.5" customHeight="1">
      <c r="A709" s="8"/>
      <c r="B709" s="8"/>
      <c r="C709" s="16"/>
      <c r="D709" s="14"/>
      <c r="E709" s="14"/>
      <c r="F709" s="14"/>
      <c r="G709" s="14"/>
      <c r="H709" s="14"/>
    </row>
    <row r="710" ht="22.5" customHeight="1">
      <c r="A710" s="8"/>
      <c r="B710" s="8"/>
      <c r="C710" s="16"/>
      <c r="D710" s="14"/>
      <c r="E710" s="14"/>
      <c r="F710" s="14"/>
      <c r="G710" s="14"/>
      <c r="H710" s="14"/>
    </row>
    <row r="711" ht="22.5" customHeight="1">
      <c r="A711" s="8"/>
      <c r="B711" s="8"/>
      <c r="C711" s="16"/>
      <c r="D711" s="14"/>
      <c r="E711" s="14"/>
      <c r="F711" s="14"/>
      <c r="G711" s="14"/>
      <c r="H711" s="14"/>
    </row>
    <row r="712" ht="22.5" customHeight="1">
      <c r="A712" s="8"/>
      <c r="B712" s="8"/>
      <c r="C712" s="16"/>
      <c r="D712" s="14"/>
      <c r="E712" s="14"/>
      <c r="F712" s="14"/>
      <c r="G712" s="14"/>
      <c r="H712" s="14"/>
    </row>
    <row r="713" ht="22.5" customHeight="1">
      <c r="A713" s="8"/>
      <c r="B713" s="8"/>
      <c r="C713" s="16"/>
      <c r="D713" s="14"/>
      <c r="E713" s="14"/>
      <c r="F713" s="14"/>
      <c r="G713" s="14"/>
      <c r="H713" s="14"/>
    </row>
    <row r="714" ht="22.5" customHeight="1">
      <c r="A714" s="8"/>
      <c r="B714" s="8"/>
      <c r="C714" s="16"/>
      <c r="D714" s="14"/>
      <c r="E714" s="14"/>
      <c r="F714" s="14"/>
      <c r="G714" s="14"/>
      <c r="H714" s="14"/>
    </row>
    <row r="715" ht="22.5" customHeight="1">
      <c r="A715" s="8"/>
      <c r="B715" s="8"/>
      <c r="C715" s="16"/>
      <c r="D715" s="14"/>
      <c r="E715" s="14"/>
      <c r="F715" s="14"/>
      <c r="G715" s="14"/>
      <c r="H715" s="14"/>
    </row>
    <row r="716" ht="22.5" customHeight="1">
      <c r="A716" s="8"/>
      <c r="B716" s="8"/>
      <c r="C716" s="16"/>
      <c r="D716" s="14"/>
      <c r="E716" s="14"/>
      <c r="F716" s="14"/>
      <c r="G716" s="14"/>
      <c r="H716" s="14"/>
    </row>
    <row r="717" ht="22.5" customHeight="1">
      <c r="A717" s="8"/>
      <c r="B717" s="8"/>
      <c r="C717" s="16"/>
      <c r="D717" s="14"/>
      <c r="E717" s="14"/>
      <c r="F717" s="14"/>
      <c r="G717" s="14"/>
      <c r="H717" s="14"/>
    </row>
    <row r="718" ht="22.5" customHeight="1">
      <c r="A718" s="8"/>
      <c r="B718" s="8"/>
      <c r="C718" s="16"/>
      <c r="D718" s="14"/>
      <c r="E718" s="14"/>
      <c r="F718" s="14"/>
      <c r="G718" s="14"/>
      <c r="H718" s="14"/>
    </row>
    <row r="719" ht="22.5" customHeight="1">
      <c r="A719" s="8"/>
      <c r="B719" s="8"/>
      <c r="C719" s="16"/>
      <c r="D719" s="14"/>
      <c r="E719" s="14"/>
      <c r="F719" s="14"/>
      <c r="G719" s="14"/>
      <c r="H719" s="14"/>
    </row>
    <row r="720" ht="22.5" customHeight="1">
      <c r="A720" s="8"/>
      <c r="B720" s="8"/>
      <c r="C720" s="16"/>
      <c r="D720" s="14"/>
      <c r="E720" s="14"/>
      <c r="F720" s="14"/>
      <c r="G720" s="14"/>
      <c r="H720" s="14"/>
    </row>
    <row r="721" ht="22.5" customHeight="1">
      <c r="A721" s="8"/>
      <c r="B721" s="8"/>
      <c r="C721" s="16"/>
      <c r="D721" s="14"/>
      <c r="E721" s="14"/>
      <c r="F721" s="14"/>
      <c r="G721" s="14"/>
      <c r="H721" s="14"/>
    </row>
    <row r="722" ht="22.5" customHeight="1">
      <c r="A722" s="8"/>
      <c r="B722" s="8"/>
      <c r="C722" s="16"/>
      <c r="D722" s="14"/>
      <c r="E722" s="14"/>
      <c r="F722" s="14"/>
      <c r="G722" s="14"/>
      <c r="H722" s="14"/>
    </row>
    <row r="723" ht="22.5" customHeight="1">
      <c r="A723" s="8"/>
      <c r="B723" s="8"/>
      <c r="C723" s="16"/>
      <c r="D723" s="14"/>
      <c r="E723" s="14"/>
      <c r="F723" s="14"/>
      <c r="G723" s="14"/>
      <c r="H723" s="14"/>
    </row>
    <row r="724" ht="22.5" customHeight="1">
      <c r="A724" s="8"/>
      <c r="B724" s="8"/>
      <c r="C724" s="16"/>
      <c r="D724" s="14"/>
      <c r="E724" s="14"/>
      <c r="F724" s="14"/>
      <c r="G724" s="14"/>
      <c r="H724" s="14"/>
    </row>
    <row r="725" ht="22.5" customHeight="1">
      <c r="A725" s="8"/>
      <c r="B725" s="8"/>
      <c r="C725" s="16"/>
      <c r="D725" s="14"/>
      <c r="E725" s="14"/>
      <c r="F725" s="14"/>
      <c r="G725" s="14"/>
      <c r="H725" s="14"/>
    </row>
    <row r="726" ht="22.5" customHeight="1">
      <c r="A726" s="8"/>
      <c r="B726" s="8"/>
      <c r="C726" s="16"/>
      <c r="D726" s="14"/>
      <c r="E726" s="14"/>
      <c r="F726" s="14"/>
      <c r="G726" s="14"/>
      <c r="H726" s="14"/>
    </row>
    <row r="727" ht="22.5" customHeight="1">
      <c r="A727" s="8"/>
      <c r="B727" s="8"/>
      <c r="C727" s="16"/>
      <c r="D727" s="14"/>
      <c r="E727" s="14"/>
      <c r="F727" s="14"/>
      <c r="G727" s="14"/>
      <c r="H727" s="14"/>
    </row>
    <row r="728" ht="22.5" customHeight="1">
      <c r="A728" s="8"/>
      <c r="B728" s="8"/>
      <c r="C728" s="16"/>
      <c r="D728" s="14"/>
      <c r="E728" s="14"/>
      <c r="F728" s="14"/>
      <c r="G728" s="14"/>
      <c r="H728" s="14"/>
    </row>
    <row r="729" ht="22.5" customHeight="1">
      <c r="A729" s="8"/>
      <c r="B729" s="8"/>
      <c r="C729" s="16"/>
      <c r="D729" s="14"/>
      <c r="E729" s="14"/>
      <c r="F729" s="14"/>
      <c r="G729" s="14"/>
      <c r="H729" s="14"/>
    </row>
    <row r="730" ht="22.5" customHeight="1">
      <c r="A730" s="8"/>
      <c r="B730" s="8"/>
      <c r="C730" s="16"/>
      <c r="D730" s="14"/>
      <c r="E730" s="14"/>
      <c r="F730" s="14"/>
      <c r="G730" s="14"/>
      <c r="H730" s="14"/>
    </row>
    <row r="731" ht="22.5" customHeight="1">
      <c r="A731" s="8"/>
      <c r="B731" s="8"/>
      <c r="C731" s="16"/>
      <c r="D731" s="14"/>
      <c r="E731" s="14"/>
      <c r="F731" s="14"/>
      <c r="G731" s="14"/>
      <c r="H731" s="14"/>
    </row>
    <row r="732" ht="22.5" customHeight="1">
      <c r="A732" s="8"/>
      <c r="B732" s="8"/>
      <c r="C732" s="16"/>
      <c r="D732" s="14"/>
      <c r="E732" s="14"/>
      <c r="F732" s="14"/>
      <c r="G732" s="14"/>
      <c r="H732" s="14"/>
    </row>
    <row r="733" ht="22.5" customHeight="1">
      <c r="A733" s="8"/>
      <c r="B733" s="8"/>
      <c r="C733" s="16"/>
      <c r="D733" s="14"/>
      <c r="E733" s="14"/>
      <c r="F733" s="14"/>
      <c r="G733" s="14"/>
      <c r="H733" s="14"/>
    </row>
    <row r="734" ht="22.5" customHeight="1">
      <c r="A734" s="8"/>
      <c r="B734" s="8"/>
      <c r="C734" s="16"/>
      <c r="D734" s="14"/>
      <c r="E734" s="14"/>
      <c r="F734" s="14"/>
      <c r="G734" s="14"/>
      <c r="H734" s="14"/>
    </row>
    <row r="735" ht="22.5" customHeight="1">
      <c r="A735" s="8"/>
      <c r="B735" s="8"/>
      <c r="C735" s="16"/>
      <c r="D735" s="14"/>
      <c r="E735" s="14"/>
      <c r="F735" s="14"/>
      <c r="G735" s="14"/>
      <c r="H735" s="14"/>
    </row>
    <row r="736" ht="22.5" customHeight="1">
      <c r="A736" s="8"/>
      <c r="B736" s="8"/>
      <c r="C736" s="16"/>
      <c r="D736" s="14"/>
      <c r="E736" s="14"/>
      <c r="F736" s="14"/>
      <c r="G736" s="14"/>
      <c r="H736" s="14"/>
    </row>
    <row r="737" ht="22.5" customHeight="1">
      <c r="A737" s="8"/>
      <c r="B737" s="8"/>
      <c r="C737" s="16"/>
      <c r="D737" s="14"/>
      <c r="E737" s="14"/>
      <c r="F737" s="14"/>
      <c r="G737" s="14"/>
      <c r="H737" s="14"/>
    </row>
    <row r="738" ht="22.5" customHeight="1">
      <c r="A738" s="8"/>
      <c r="B738" s="8"/>
      <c r="C738" s="16"/>
      <c r="D738" s="14"/>
      <c r="E738" s="14"/>
      <c r="F738" s="14"/>
      <c r="G738" s="14"/>
      <c r="H738" s="14"/>
    </row>
    <row r="739" ht="22.5" customHeight="1">
      <c r="A739" s="8"/>
      <c r="B739" s="8"/>
      <c r="C739" s="16"/>
      <c r="D739" s="14"/>
      <c r="E739" s="14"/>
      <c r="F739" s="14"/>
      <c r="G739" s="14"/>
      <c r="H739" s="14"/>
    </row>
    <row r="740" ht="22.5" customHeight="1">
      <c r="A740" s="8"/>
      <c r="B740" s="8"/>
      <c r="C740" s="16"/>
      <c r="D740" s="14"/>
      <c r="E740" s="14"/>
      <c r="F740" s="14"/>
      <c r="G740" s="14"/>
      <c r="H740" s="14"/>
    </row>
    <row r="741" ht="22.5" customHeight="1">
      <c r="A741" s="8"/>
      <c r="B741" s="8"/>
      <c r="C741" s="16"/>
      <c r="D741" s="14"/>
      <c r="E741" s="14"/>
      <c r="F741" s="14"/>
      <c r="G741" s="14"/>
      <c r="H741" s="14"/>
    </row>
    <row r="742" ht="22.5" customHeight="1">
      <c r="A742" s="8"/>
      <c r="B742" s="8"/>
      <c r="C742" s="16"/>
      <c r="D742" s="14"/>
      <c r="E742" s="14"/>
      <c r="F742" s="14"/>
      <c r="G742" s="14"/>
      <c r="H742" s="14"/>
    </row>
    <row r="743" ht="22.5" customHeight="1">
      <c r="A743" s="8"/>
      <c r="B743" s="8"/>
      <c r="C743" s="16"/>
      <c r="D743" s="14"/>
      <c r="E743" s="14"/>
      <c r="F743" s="14"/>
      <c r="G743" s="14"/>
      <c r="H743" s="14"/>
    </row>
    <row r="744" ht="22.5" customHeight="1">
      <c r="A744" s="8"/>
      <c r="B744" s="8"/>
      <c r="C744" s="16"/>
      <c r="D744" s="14"/>
      <c r="E744" s="14"/>
      <c r="F744" s="14"/>
      <c r="G744" s="14"/>
      <c r="H744" s="14"/>
    </row>
    <row r="745" ht="22.5" customHeight="1">
      <c r="A745" s="8"/>
      <c r="B745" s="8"/>
      <c r="C745" s="16"/>
      <c r="D745" s="14"/>
      <c r="E745" s="14"/>
      <c r="F745" s="14"/>
      <c r="G745" s="14"/>
      <c r="H745" s="14"/>
    </row>
    <row r="746" ht="22.5" customHeight="1">
      <c r="A746" s="8"/>
      <c r="B746" s="8"/>
      <c r="C746" s="16"/>
      <c r="D746" s="14"/>
      <c r="E746" s="14"/>
      <c r="F746" s="14"/>
      <c r="G746" s="14"/>
      <c r="H746" s="14"/>
    </row>
    <row r="747" ht="22.5" customHeight="1">
      <c r="A747" s="8"/>
      <c r="B747" s="8"/>
      <c r="C747" s="16"/>
      <c r="D747" s="14"/>
      <c r="E747" s="14"/>
      <c r="F747" s="14"/>
      <c r="G747" s="14"/>
      <c r="H747" s="14"/>
    </row>
    <row r="748" ht="22.5" customHeight="1">
      <c r="A748" s="8"/>
      <c r="B748" s="8"/>
      <c r="C748" s="16"/>
      <c r="D748" s="14"/>
      <c r="E748" s="14"/>
      <c r="F748" s="14"/>
      <c r="G748" s="14"/>
      <c r="H748" s="14"/>
    </row>
    <row r="749" ht="22.5" customHeight="1">
      <c r="A749" s="8"/>
      <c r="B749" s="8"/>
      <c r="C749" s="16"/>
      <c r="D749" s="14"/>
      <c r="E749" s="14"/>
      <c r="F749" s="14"/>
      <c r="G749" s="14"/>
      <c r="H749" s="14"/>
    </row>
    <row r="750" ht="22.5" customHeight="1">
      <c r="A750" s="8"/>
      <c r="B750" s="8"/>
      <c r="C750" s="16"/>
      <c r="D750" s="14"/>
      <c r="E750" s="14"/>
      <c r="F750" s="14"/>
      <c r="G750" s="14"/>
      <c r="H750" s="14"/>
    </row>
    <row r="751" ht="22.5" customHeight="1">
      <c r="A751" s="8"/>
      <c r="B751" s="8"/>
      <c r="C751" s="16"/>
      <c r="D751" s="14"/>
      <c r="E751" s="14"/>
      <c r="F751" s="14"/>
      <c r="G751" s="14"/>
      <c r="H751" s="14"/>
    </row>
    <row r="752" ht="22.5" customHeight="1">
      <c r="A752" s="8"/>
      <c r="B752" s="8"/>
      <c r="C752" s="16"/>
      <c r="D752" s="14"/>
      <c r="E752" s="14"/>
      <c r="F752" s="14"/>
      <c r="G752" s="14"/>
      <c r="H752" s="14"/>
    </row>
    <row r="753" ht="22.5" customHeight="1">
      <c r="A753" s="8"/>
      <c r="B753" s="8"/>
      <c r="C753" s="16"/>
      <c r="D753" s="14"/>
      <c r="E753" s="14"/>
      <c r="F753" s="14"/>
      <c r="G753" s="14"/>
      <c r="H753" s="14"/>
    </row>
    <row r="754" ht="22.5" customHeight="1">
      <c r="A754" s="8"/>
      <c r="B754" s="8"/>
      <c r="C754" s="16"/>
      <c r="D754" s="14"/>
      <c r="E754" s="14"/>
      <c r="F754" s="14"/>
      <c r="G754" s="14"/>
      <c r="H754" s="14"/>
    </row>
    <row r="755" ht="22.5" customHeight="1">
      <c r="A755" s="8"/>
      <c r="B755" s="8"/>
      <c r="C755" s="16"/>
      <c r="D755" s="14"/>
      <c r="E755" s="14"/>
      <c r="F755" s="14"/>
      <c r="G755" s="14"/>
      <c r="H755" s="14"/>
    </row>
    <row r="756" ht="22.5" customHeight="1">
      <c r="A756" s="8"/>
      <c r="B756" s="8"/>
      <c r="C756" s="16"/>
      <c r="D756" s="14"/>
      <c r="E756" s="14"/>
      <c r="F756" s="14"/>
      <c r="G756" s="14"/>
      <c r="H756" s="14"/>
    </row>
    <row r="757" ht="22.5" customHeight="1">
      <c r="A757" s="8"/>
      <c r="B757" s="8"/>
      <c r="C757" s="16"/>
      <c r="D757" s="14"/>
      <c r="E757" s="14"/>
      <c r="F757" s="14"/>
      <c r="G757" s="14"/>
      <c r="H757" s="14"/>
    </row>
    <row r="758" ht="22.5" customHeight="1">
      <c r="A758" s="8"/>
      <c r="B758" s="8"/>
      <c r="C758" s="16"/>
      <c r="D758" s="14"/>
      <c r="E758" s="14"/>
      <c r="F758" s="14"/>
      <c r="G758" s="14"/>
      <c r="H758" s="14"/>
    </row>
    <row r="759" ht="22.5" customHeight="1">
      <c r="A759" s="8"/>
      <c r="B759" s="8"/>
      <c r="C759" s="16"/>
      <c r="D759" s="14"/>
      <c r="E759" s="14"/>
      <c r="F759" s="14"/>
      <c r="G759" s="14"/>
      <c r="H759" s="14"/>
    </row>
    <row r="760" ht="22.5" customHeight="1">
      <c r="A760" s="8"/>
      <c r="B760" s="8"/>
      <c r="C760" s="16"/>
      <c r="D760" s="14"/>
      <c r="E760" s="14"/>
      <c r="F760" s="14"/>
      <c r="G760" s="14"/>
      <c r="H760" s="14"/>
    </row>
    <row r="761" ht="22.5" customHeight="1">
      <c r="A761" s="8"/>
      <c r="B761" s="8"/>
      <c r="C761" s="16"/>
      <c r="D761" s="14"/>
      <c r="E761" s="14"/>
      <c r="F761" s="14"/>
      <c r="G761" s="14"/>
      <c r="H761" s="14"/>
    </row>
    <row r="762" ht="22.5" customHeight="1">
      <c r="A762" s="8"/>
      <c r="B762" s="8"/>
      <c r="C762" s="16"/>
      <c r="D762" s="14"/>
      <c r="E762" s="14"/>
      <c r="F762" s="14"/>
      <c r="G762" s="14"/>
      <c r="H762" s="14"/>
    </row>
    <row r="763" ht="22.5" customHeight="1">
      <c r="A763" s="8"/>
      <c r="B763" s="8"/>
      <c r="C763" s="16"/>
      <c r="D763" s="14"/>
      <c r="E763" s="14"/>
      <c r="F763" s="14"/>
      <c r="G763" s="14"/>
      <c r="H763" s="14"/>
    </row>
    <row r="764" ht="22.5" customHeight="1">
      <c r="A764" s="8"/>
      <c r="B764" s="8"/>
      <c r="C764" s="16"/>
      <c r="D764" s="14"/>
      <c r="E764" s="14"/>
      <c r="F764" s="14"/>
      <c r="G764" s="14"/>
      <c r="H764" s="14"/>
    </row>
    <row r="765" ht="22.5" customHeight="1">
      <c r="A765" s="8"/>
      <c r="B765" s="8"/>
      <c r="C765" s="16"/>
      <c r="D765" s="14"/>
      <c r="E765" s="14"/>
      <c r="F765" s="14"/>
      <c r="G765" s="14"/>
      <c r="H765" s="14"/>
    </row>
    <row r="766" ht="22.5" customHeight="1">
      <c r="A766" s="8"/>
      <c r="B766" s="8"/>
      <c r="C766" s="16"/>
      <c r="D766" s="14"/>
      <c r="E766" s="14"/>
      <c r="F766" s="14"/>
      <c r="G766" s="14"/>
      <c r="H766" s="14"/>
    </row>
    <row r="767" ht="22.5" customHeight="1">
      <c r="A767" s="8"/>
      <c r="B767" s="8"/>
      <c r="C767" s="16"/>
      <c r="D767" s="14"/>
      <c r="E767" s="14"/>
      <c r="F767" s="14"/>
      <c r="G767" s="14"/>
      <c r="H767" s="14"/>
    </row>
    <row r="768" ht="22.5" customHeight="1">
      <c r="A768" s="8"/>
      <c r="B768" s="8"/>
      <c r="C768" s="16"/>
      <c r="D768" s="14"/>
      <c r="E768" s="14"/>
      <c r="F768" s="14"/>
      <c r="G768" s="14"/>
      <c r="H768" s="14"/>
    </row>
    <row r="769" ht="22.5" customHeight="1">
      <c r="A769" s="8"/>
      <c r="B769" s="8"/>
      <c r="C769" s="16"/>
      <c r="D769" s="14"/>
      <c r="E769" s="14"/>
      <c r="F769" s="14"/>
      <c r="G769" s="14"/>
      <c r="H769" s="14"/>
    </row>
    <row r="770" ht="22.5" customHeight="1">
      <c r="A770" s="8"/>
      <c r="B770" s="8"/>
      <c r="C770" s="16"/>
      <c r="D770" s="14"/>
      <c r="E770" s="14"/>
      <c r="F770" s="14"/>
      <c r="G770" s="14"/>
      <c r="H770" s="14"/>
    </row>
    <row r="771" ht="22.5" customHeight="1">
      <c r="A771" s="8"/>
      <c r="B771" s="8"/>
      <c r="C771" s="16"/>
      <c r="D771" s="14"/>
      <c r="E771" s="14"/>
      <c r="F771" s="14"/>
      <c r="G771" s="14"/>
      <c r="H771" s="14"/>
    </row>
    <row r="772" ht="22.5" customHeight="1">
      <c r="A772" s="8"/>
      <c r="B772" s="8"/>
      <c r="C772" s="16"/>
      <c r="D772" s="14"/>
      <c r="E772" s="14"/>
      <c r="F772" s="14"/>
      <c r="G772" s="14"/>
      <c r="H772" s="14"/>
    </row>
    <row r="773" ht="22.5" customHeight="1">
      <c r="A773" s="8"/>
      <c r="B773" s="8"/>
      <c r="C773" s="16"/>
      <c r="D773" s="14"/>
      <c r="E773" s="14"/>
      <c r="F773" s="14"/>
      <c r="G773" s="14"/>
      <c r="H773" s="14"/>
    </row>
    <row r="774" ht="22.5" customHeight="1">
      <c r="A774" s="8"/>
      <c r="B774" s="8"/>
      <c r="C774" s="16"/>
      <c r="D774" s="14"/>
      <c r="E774" s="14"/>
      <c r="F774" s="14"/>
      <c r="G774" s="14"/>
      <c r="H774" s="14"/>
    </row>
    <row r="775" ht="22.5" customHeight="1">
      <c r="A775" s="8"/>
      <c r="B775" s="8"/>
      <c r="C775" s="16"/>
      <c r="D775" s="14"/>
      <c r="E775" s="14"/>
      <c r="F775" s="14"/>
      <c r="G775" s="14"/>
      <c r="H775" s="14"/>
    </row>
    <row r="776" ht="22.5" customHeight="1">
      <c r="A776" s="8"/>
      <c r="B776" s="8"/>
      <c r="C776" s="16"/>
      <c r="D776" s="14"/>
      <c r="E776" s="14"/>
      <c r="F776" s="14"/>
      <c r="G776" s="14"/>
      <c r="H776" s="14"/>
    </row>
    <row r="777" ht="22.5" customHeight="1">
      <c r="A777" s="8"/>
      <c r="B777" s="8"/>
      <c r="C777" s="16"/>
      <c r="D777" s="14"/>
      <c r="E777" s="14"/>
      <c r="F777" s="14"/>
      <c r="G777" s="14"/>
      <c r="H777" s="14"/>
    </row>
    <row r="778" ht="22.5" customHeight="1">
      <c r="A778" s="8"/>
      <c r="B778" s="8"/>
      <c r="C778" s="16"/>
      <c r="D778" s="14"/>
      <c r="E778" s="14"/>
      <c r="F778" s="14"/>
      <c r="G778" s="14"/>
      <c r="H778" s="14"/>
    </row>
    <row r="779" ht="22.5" customHeight="1">
      <c r="A779" s="8"/>
      <c r="B779" s="8"/>
      <c r="C779" s="16"/>
      <c r="D779" s="14"/>
      <c r="E779" s="14"/>
      <c r="F779" s="14"/>
      <c r="G779" s="14"/>
      <c r="H779" s="14"/>
    </row>
    <row r="780" ht="22.5" customHeight="1">
      <c r="A780" s="8"/>
      <c r="B780" s="8"/>
      <c r="C780" s="16"/>
      <c r="D780" s="14"/>
      <c r="E780" s="14"/>
      <c r="F780" s="14"/>
      <c r="G780" s="14"/>
      <c r="H780" s="14"/>
    </row>
    <row r="781" ht="22.5" customHeight="1">
      <c r="A781" s="8"/>
      <c r="B781" s="8"/>
      <c r="C781" s="16"/>
      <c r="D781" s="14"/>
      <c r="E781" s="14"/>
      <c r="F781" s="14"/>
      <c r="G781" s="14"/>
      <c r="H781" s="14"/>
    </row>
    <row r="782" ht="22.5" customHeight="1">
      <c r="A782" s="8"/>
      <c r="B782" s="8"/>
      <c r="C782" s="16"/>
      <c r="D782" s="14"/>
      <c r="E782" s="14"/>
      <c r="F782" s="14"/>
      <c r="G782" s="14"/>
      <c r="H782" s="14"/>
    </row>
    <row r="783" ht="22.5" customHeight="1">
      <c r="A783" s="8"/>
      <c r="B783" s="8"/>
      <c r="C783" s="16"/>
      <c r="D783" s="14"/>
      <c r="E783" s="14"/>
      <c r="F783" s="14"/>
      <c r="G783" s="14"/>
      <c r="H783" s="14"/>
    </row>
    <row r="784" ht="22.5" customHeight="1">
      <c r="A784" s="8"/>
      <c r="B784" s="8"/>
      <c r="C784" s="16"/>
      <c r="D784" s="14"/>
      <c r="E784" s="14"/>
      <c r="F784" s="14"/>
      <c r="G784" s="14"/>
      <c r="H784" s="14"/>
    </row>
    <row r="785" ht="22.5" customHeight="1">
      <c r="A785" s="8"/>
      <c r="B785" s="8"/>
      <c r="C785" s="16"/>
      <c r="D785" s="14"/>
      <c r="E785" s="14"/>
      <c r="F785" s="14"/>
      <c r="G785" s="14"/>
      <c r="H785" s="14"/>
    </row>
    <row r="786" ht="22.5" customHeight="1">
      <c r="A786" s="8"/>
      <c r="B786" s="8"/>
      <c r="C786" s="16"/>
      <c r="D786" s="14"/>
      <c r="E786" s="14"/>
      <c r="F786" s="14"/>
      <c r="G786" s="14"/>
      <c r="H786" s="14"/>
    </row>
    <row r="787" ht="22.5" customHeight="1">
      <c r="A787" s="8"/>
      <c r="B787" s="8"/>
      <c r="C787" s="16"/>
      <c r="D787" s="14"/>
      <c r="E787" s="14"/>
      <c r="F787" s="14"/>
      <c r="G787" s="14"/>
      <c r="H787" s="14"/>
    </row>
    <row r="788" ht="22.5" customHeight="1">
      <c r="A788" s="8"/>
      <c r="B788" s="8"/>
      <c r="C788" s="16"/>
      <c r="D788" s="14"/>
      <c r="E788" s="14"/>
      <c r="F788" s="14"/>
      <c r="G788" s="14"/>
      <c r="H788" s="14"/>
    </row>
    <row r="789" ht="22.5" customHeight="1">
      <c r="A789" s="8"/>
      <c r="B789" s="8"/>
      <c r="C789" s="16"/>
      <c r="D789" s="14"/>
      <c r="E789" s="14"/>
      <c r="F789" s="14"/>
      <c r="G789" s="14"/>
      <c r="H789" s="14"/>
    </row>
    <row r="790" ht="22.5" customHeight="1">
      <c r="A790" s="8"/>
      <c r="B790" s="8"/>
      <c r="C790" s="16"/>
      <c r="D790" s="14"/>
      <c r="E790" s="14"/>
      <c r="F790" s="14"/>
      <c r="G790" s="14"/>
      <c r="H790" s="14"/>
    </row>
    <row r="791" ht="22.5" customHeight="1">
      <c r="A791" s="8"/>
      <c r="B791" s="8"/>
      <c r="C791" s="16"/>
      <c r="D791" s="14"/>
      <c r="E791" s="14"/>
      <c r="F791" s="14"/>
      <c r="G791" s="14"/>
      <c r="H791" s="14"/>
    </row>
    <row r="792" ht="22.5" customHeight="1">
      <c r="A792" s="8"/>
      <c r="B792" s="8"/>
      <c r="C792" s="16"/>
      <c r="D792" s="14"/>
      <c r="E792" s="14"/>
      <c r="F792" s="14"/>
      <c r="G792" s="14"/>
      <c r="H792" s="14"/>
    </row>
    <row r="793" ht="22.5" customHeight="1">
      <c r="A793" s="8"/>
      <c r="B793" s="8"/>
      <c r="C793" s="16"/>
      <c r="D793" s="14"/>
      <c r="E793" s="14"/>
      <c r="F793" s="14"/>
      <c r="G793" s="14"/>
      <c r="H793" s="14"/>
    </row>
    <row r="794" ht="22.5" customHeight="1">
      <c r="A794" s="8"/>
      <c r="B794" s="8"/>
      <c r="C794" s="16"/>
      <c r="D794" s="14"/>
      <c r="E794" s="14"/>
      <c r="F794" s="14"/>
      <c r="G794" s="14"/>
      <c r="H794" s="14"/>
    </row>
    <row r="795" ht="22.5" customHeight="1">
      <c r="A795" s="8"/>
      <c r="B795" s="8"/>
      <c r="C795" s="16"/>
      <c r="D795" s="14"/>
      <c r="E795" s="14"/>
      <c r="F795" s="14"/>
      <c r="G795" s="14"/>
      <c r="H795" s="14"/>
    </row>
    <row r="796" ht="22.5" customHeight="1">
      <c r="A796" s="8"/>
      <c r="B796" s="8"/>
      <c r="C796" s="16"/>
      <c r="D796" s="14"/>
      <c r="E796" s="14"/>
      <c r="F796" s="14"/>
      <c r="G796" s="14"/>
      <c r="H796" s="14"/>
    </row>
    <row r="797" ht="22.5" customHeight="1">
      <c r="A797" s="8"/>
      <c r="B797" s="8"/>
      <c r="C797" s="16"/>
      <c r="D797" s="14"/>
      <c r="E797" s="14"/>
      <c r="F797" s="14"/>
      <c r="G797" s="14"/>
      <c r="H797" s="14"/>
    </row>
    <row r="798" ht="22.5" customHeight="1">
      <c r="A798" s="8"/>
      <c r="B798" s="8"/>
      <c r="C798" s="16"/>
      <c r="D798" s="14"/>
      <c r="E798" s="14"/>
      <c r="F798" s="14"/>
      <c r="G798" s="14"/>
      <c r="H798" s="14"/>
    </row>
    <row r="799" ht="22.5" customHeight="1">
      <c r="A799" s="8"/>
      <c r="B799" s="8"/>
      <c r="C799" s="16"/>
      <c r="D799" s="14"/>
      <c r="E799" s="14"/>
      <c r="F799" s="14"/>
      <c r="G799" s="14"/>
      <c r="H799" s="14"/>
    </row>
    <row r="800" ht="22.5" customHeight="1">
      <c r="A800" s="8"/>
      <c r="B800" s="8"/>
      <c r="C800" s="16"/>
      <c r="D800" s="14"/>
      <c r="E800" s="14"/>
      <c r="F800" s="14"/>
      <c r="G800" s="14"/>
      <c r="H800" s="14"/>
    </row>
    <row r="801" ht="22.5" customHeight="1">
      <c r="A801" s="8"/>
      <c r="B801" s="8"/>
      <c r="C801" s="16"/>
      <c r="D801" s="14"/>
      <c r="E801" s="14"/>
      <c r="F801" s="14"/>
      <c r="G801" s="14"/>
      <c r="H801" s="14"/>
    </row>
    <row r="802" ht="22.5" customHeight="1">
      <c r="A802" s="8"/>
      <c r="B802" s="8"/>
      <c r="C802" s="16"/>
      <c r="D802" s="14"/>
      <c r="E802" s="14"/>
      <c r="F802" s="14"/>
      <c r="G802" s="14"/>
      <c r="H802" s="14"/>
    </row>
    <row r="803" ht="22.5" customHeight="1">
      <c r="A803" s="8"/>
      <c r="B803" s="8"/>
      <c r="C803" s="16"/>
      <c r="D803" s="14"/>
      <c r="E803" s="14"/>
      <c r="F803" s="14"/>
      <c r="G803" s="14"/>
      <c r="H803" s="14"/>
    </row>
    <row r="804" ht="22.5" customHeight="1">
      <c r="A804" s="8"/>
      <c r="B804" s="8"/>
      <c r="C804" s="16"/>
      <c r="D804" s="14"/>
      <c r="E804" s="14"/>
      <c r="F804" s="14"/>
      <c r="G804" s="14"/>
      <c r="H804" s="14"/>
    </row>
    <row r="805" ht="22.5" customHeight="1">
      <c r="A805" s="8"/>
      <c r="B805" s="8"/>
      <c r="C805" s="16"/>
      <c r="D805" s="14"/>
      <c r="E805" s="14"/>
      <c r="F805" s="14"/>
      <c r="G805" s="14"/>
      <c r="H805" s="14"/>
    </row>
    <row r="806" ht="22.5" customHeight="1">
      <c r="A806" s="8"/>
      <c r="B806" s="8"/>
      <c r="C806" s="16"/>
      <c r="D806" s="14"/>
      <c r="E806" s="14"/>
      <c r="F806" s="14"/>
      <c r="G806" s="14"/>
      <c r="H806" s="14"/>
    </row>
    <row r="807" ht="22.5" customHeight="1">
      <c r="A807" s="8"/>
      <c r="B807" s="8"/>
      <c r="C807" s="16"/>
      <c r="D807" s="14"/>
      <c r="E807" s="14"/>
      <c r="F807" s="14"/>
      <c r="G807" s="14"/>
      <c r="H807" s="14"/>
    </row>
    <row r="808" ht="22.5" customHeight="1">
      <c r="A808" s="8"/>
      <c r="B808" s="8"/>
      <c r="C808" s="16"/>
      <c r="D808" s="14"/>
      <c r="E808" s="14"/>
      <c r="F808" s="14"/>
      <c r="G808" s="14"/>
      <c r="H808" s="14"/>
    </row>
    <row r="809" ht="22.5" customHeight="1">
      <c r="A809" s="8"/>
      <c r="B809" s="8"/>
      <c r="C809" s="16"/>
      <c r="D809" s="14"/>
      <c r="E809" s="14"/>
      <c r="F809" s="14"/>
      <c r="G809" s="14"/>
      <c r="H809" s="14"/>
    </row>
    <row r="810" ht="22.5" customHeight="1">
      <c r="A810" s="8"/>
      <c r="B810" s="8"/>
      <c r="C810" s="16"/>
      <c r="D810" s="14"/>
      <c r="E810" s="14"/>
      <c r="F810" s="14"/>
      <c r="G810" s="14"/>
      <c r="H810" s="14"/>
    </row>
    <row r="811" ht="22.5" customHeight="1">
      <c r="A811" s="8"/>
      <c r="B811" s="8"/>
      <c r="C811" s="16"/>
      <c r="D811" s="14"/>
      <c r="E811" s="14"/>
      <c r="F811" s="14"/>
      <c r="G811" s="14"/>
      <c r="H811" s="14"/>
    </row>
    <row r="812" ht="22.5" customHeight="1">
      <c r="A812" s="8"/>
      <c r="B812" s="8"/>
      <c r="C812" s="16"/>
      <c r="D812" s="14"/>
      <c r="E812" s="14"/>
      <c r="F812" s="14"/>
      <c r="G812" s="14"/>
      <c r="H812" s="14"/>
    </row>
    <row r="813" ht="22.5" customHeight="1">
      <c r="A813" s="8"/>
      <c r="B813" s="8"/>
      <c r="C813" s="16"/>
      <c r="D813" s="14"/>
      <c r="E813" s="14"/>
      <c r="F813" s="14"/>
      <c r="G813" s="14"/>
      <c r="H813" s="14"/>
    </row>
    <row r="814" ht="22.5" customHeight="1">
      <c r="A814" s="8"/>
      <c r="B814" s="8"/>
      <c r="C814" s="16"/>
      <c r="D814" s="14"/>
      <c r="E814" s="14"/>
      <c r="F814" s="14"/>
      <c r="G814" s="14"/>
      <c r="H814" s="14"/>
    </row>
    <row r="815" ht="22.5" customHeight="1">
      <c r="A815" s="8"/>
      <c r="B815" s="8"/>
      <c r="C815" s="16"/>
      <c r="D815" s="14"/>
      <c r="E815" s="14"/>
      <c r="F815" s="14"/>
      <c r="G815" s="14"/>
      <c r="H815" s="14"/>
    </row>
    <row r="816" ht="22.5" customHeight="1">
      <c r="A816" s="8"/>
      <c r="B816" s="8"/>
      <c r="C816" s="16"/>
      <c r="D816" s="14"/>
      <c r="E816" s="14"/>
      <c r="F816" s="14"/>
      <c r="G816" s="14"/>
      <c r="H816" s="14"/>
    </row>
    <row r="817" ht="22.5" customHeight="1">
      <c r="A817" s="8"/>
      <c r="B817" s="8"/>
      <c r="C817" s="16"/>
      <c r="D817" s="14"/>
      <c r="E817" s="14"/>
      <c r="F817" s="14"/>
      <c r="G817" s="14"/>
      <c r="H817" s="14"/>
    </row>
    <row r="818" ht="22.5" customHeight="1">
      <c r="A818" s="8"/>
      <c r="B818" s="8"/>
      <c r="C818" s="16"/>
      <c r="D818" s="14"/>
      <c r="E818" s="14"/>
      <c r="F818" s="14"/>
      <c r="G818" s="14"/>
      <c r="H818" s="14"/>
    </row>
    <row r="819" ht="22.5" customHeight="1">
      <c r="A819" s="8"/>
      <c r="B819" s="8"/>
      <c r="C819" s="16"/>
      <c r="D819" s="14"/>
      <c r="E819" s="14"/>
      <c r="F819" s="14"/>
      <c r="G819" s="14"/>
      <c r="H819" s="14"/>
    </row>
    <row r="820" ht="22.5" customHeight="1">
      <c r="A820" s="8"/>
      <c r="B820" s="8"/>
      <c r="C820" s="16"/>
      <c r="D820" s="14"/>
      <c r="E820" s="14"/>
      <c r="F820" s="14"/>
      <c r="G820" s="14"/>
      <c r="H820" s="14"/>
    </row>
    <row r="821" ht="22.5" customHeight="1">
      <c r="A821" s="8"/>
      <c r="B821" s="8"/>
      <c r="C821" s="16"/>
      <c r="D821" s="14"/>
      <c r="E821" s="14"/>
      <c r="F821" s="14"/>
      <c r="G821" s="14"/>
      <c r="H821" s="14"/>
    </row>
    <row r="822" ht="22.5" customHeight="1">
      <c r="A822" s="8"/>
      <c r="B822" s="8"/>
      <c r="C822" s="16"/>
      <c r="D822" s="14"/>
      <c r="E822" s="14"/>
      <c r="F822" s="14"/>
      <c r="G822" s="14"/>
      <c r="H822" s="14"/>
    </row>
    <row r="823" ht="22.5" customHeight="1">
      <c r="A823" s="8"/>
      <c r="B823" s="8"/>
      <c r="C823" s="16"/>
      <c r="D823" s="14"/>
      <c r="E823" s="14"/>
      <c r="F823" s="14"/>
      <c r="G823" s="14"/>
      <c r="H823" s="14"/>
    </row>
    <row r="824" ht="22.5" customHeight="1">
      <c r="A824" s="8"/>
      <c r="B824" s="8"/>
      <c r="C824" s="16"/>
      <c r="D824" s="14"/>
      <c r="E824" s="14"/>
      <c r="F824" s="14"/>
      <c r="G824" s="14"/>
      <c r="H824" s="14"/>
    </row>
    <row r="825" ht="22.5" customHeight="1">
      <c r="A825" s="8"/>
      <c r="B825" s="8"/>
      <c r="C825" s="16"/>
      <c r="D825" s="14"/>
      <c r="E825" s="14"/>
      <c r="F825" s="14"/>
      <c r="G825" s="14"/>
      <c r="H825" s="14"/>
    </row>
    <row r="826" ht="22.5" customHeight="1">
      <c r="A826" s="8"/>
      <c r="B826" s="8"/>
      <c r="C826" s="16"/>
      <c r="D826" s="14"/>
      <c r="E826" s="14"/>
      <c r="F826" s="14"/>
      <c r="G826" s="14"/>
      <c r="H826" s="14"/>
    </row>
    <row r="827" ht="22.5" customHeight="1">
      <c r="A827" s="8"/>
      <c r="B827" s="8"/>
      <c r="C827" s="16"/>
      <c r="D827" s="14"/>
      <c r="E827" s="14"/>
      <c r="F827" s="14"/>
      <c r="G827" s="14"/>
      <c r="H827" s="14"/>
    </row>
    <row r="828" ht="22.5" customHeight="1">
      <c r="A828" s="8"/>
      <c r="B828" s="8"/>
      <c r="C828" s="16"/>
      <c r="D828" s="14"/>
      <c r="E828" s="14"/>
      <c r="F828" s="14"/>
      <c r="G828" s="14"/>
      <c r="H828" s="14"/>
    </row>
    <row r="829" ht="22.5" customHeight="1">
      <c r="A829" s="8"/>
      <c r="B829" s="8"/>
      <c r="C829" s="16"/>
      <c r="D829" s="14"/>
      <c r="E829" s="14"/>
      <c r="F829" s="14"/>
      <c r="G829" s="14"/>
      <c r="H829" s="14"/>
    </row>
    <row r="830" ht="22.5" customHeight="1">
      <c r="A830" s="8"/>
      <c r="B830" s="8"/>
      <c r="C830" s="16"/>
      <c r="D830" s="14"/>
      <c r="E830" s="14"/>
      <c r="F830" s="14"/>
      <c r="G830" s="14"/>
      <c r="H830" s="14"/>
    </row>
    <row r="831" ht="22.5" customHeight="1">
      <c r="A831" s="8"/>
      <c r="B831" s="8"/>
      <c r="C831" s="16"/>
      <c r="D831" s="14"/>
      <c r="E831" s="14"/>
      <c r="F831" s="14"/>
      <c r="G831" s="14"/>
      <c r="H831" s="14"/>
    </row>
    <row r="832" ht="22.5" customHeight="1">
      <c r="A832" s="8"/>
      <c r="B832" s="8"/>
      <c r="C832" s="16"/>
      <c r="D832" s="14"/>
      <c r="E832" s="14"/>
      <c r="F832" s="14"/>
      <c r="G832" s="14"/>
      <c r="H832" s="14"/>
    </row>
    <row r="833" ht="22.5" customHeight="1">
      <c r="A833" s="8"/>
      <c r="B833" s="8"/>
      <c r="C833" s="16"/>
      <c r="D833" s="14"/>
      <c r="E833" s="14"/>
      <c r="F833" s="14"/>
      <c r="G833" s="14"/>
      <c r="H833" s="14"/>
    </row>
    <row r="834" ht="22.5" customHeight="1">
      <c r="A834" s="8"/>
      <c r="B834" s="8"/>
      <c r="C834" s="16"/>
      <c r="D834" s="14"/>
      <c r="E834" s="14"/>
      <c r="F834" s="14"/>
      <c r="G834" s="14"/>
      <c r="H834" s="14"/>
    </row>
    <row r="835" ht="22.5" customHeight="1">
      <c r="A835" s="8"/>
      <c r="B835" s="8"/>
      <c r="C835" s="16"/>
      <c r="D835" s="14"/>
      <c r="E835" s="14"/>
      <c r="F835" s="14"/>
      <c r="G835" s="14"/>
      <c r="H835" s="14"/>
    </row>
    <row r="836" ht="22.5" customHeight="1">
      <c r="A836" s="8"/>
      <c r="B836" s="8"/>
      <c r="C836" s="16"/>
      <c r="D836" s="14"/>
      <c r="E836" s="14"/>
      <c r="F836" s="14"/>
      <c r="G836" s="14"/>
      <c r="H836" s="14"/>
    </row>
    <row r="837" ht="22.5" customHeight="1">
      <c r="A837" s="8"/>
      <c r="B837" s="8"/>
      <c r="C837" s="16"/>
      <c r="D837" s="14"/>
      <c r="E837" s="14"/>
      <c r="F837" s="14"/>
      <c r="G837" s="14"/>
      <c r="H837" s="14"/>
    </row>
    <row r="838" ht="22.5" customHeight="1">
      <c r="A838" s="8"/>
      <c r="B838" s="8"/>
      <c r="C838" s="16"/>
      <c r="D838" s="14"/>
      <c r="E838" s="14"/>
      <c r="F838" s="14"/>
      <c r="G838" s="14"/>
      <c r="H838" s="14"/>
    </row>
    <row r="839" ht="22.5" customHeight="1">
      <c r="A839" s="8"/>
      <c r="B839" s="8"/>
      <c r="C839" s="16"/>
      <c r="D839" s="14"/>
      <c r="E839" s="14"/>
      <c r="F839" s="14"/>
      <c r="G839" s="14"/>
      <c r="H839" s="14"/>
    </row>
    <row r="840" ht="22.5" customHeight="1">
      <c r="A840" s="8"/>
      <c r="B840" s="8"/>
      <c r="C840" s="16"/>
      <c r="D840" s="14"/>
      <c r="E840" s="14"/>
      <c r="F840" s="14"/>
      <c r="G840" s="14"/>
      <c r="H840" s="14"/>
    </row>
    <row r="841" ht="22.5" customHeight="1">
      <c r="A841" s="8"/>
      <c r="B841" s="8"/>
      <c r="C841" s="16"/>
      <c r="D841" s="14"/>
      <c r="E841" s="14"/>
      <c r="F841" s="14"/>
      <c r="G841" s="14"/>
      <c r="H841" s="14"/>
    </row>
    <row r="842" ht="22.5" customHeight="1">
      <c r="A842" s="8"/>
      <c r="B842" s="8"/>
      <c r="C842" s="16"/>
      <c r="D842" s="14"/>
      <c r="E842" s="14"/>
      <c r="F842" s="14"/>
      <c r="G842" s="14"/>
      <c r="H842" s="14"/>
    </row>
    <row r="843" ht="22.5" customHeight="1">
      <c r="A843" s="8"/>
      <c r="B843" s="8"/>
      <c r="C843" s="16"/>
      <c r="D843" s="14"/>
      <c r="E843" s="14"/>
      <c r="F843" s="14"/>
      <c r="G843" s="14"/>
      <c r="H843" s="14"/>
    </row>
    <row r="844" ht="22.5" customHeight="1">
      <c r="A844" s="8"/>
      <c r="B844" s="8"/>
      <c r="C844" s="16"/>
      <c r="D844" s="14"/>
      <c r="E844" s="14"/>
      <c r="F844" s="14"/>
      <c r="G844" s="14"/>
      <c r="H844" s="14"/>
    </row>
    <row r="845" ht="22.5" customHeight="1">
      <c r="A845" s="8"/>
      <c r="B845" s="8"/>
      <c r="C845" s="16"/>
      <c r="D845" s="14"/>
      <c r="E845" s="14"/>
      <c r="F845" s="14"/>
      <c r="G845" s="14"/>
      <c r="H845" s="14"/>
    </row>
    <row r="846" ht="22.5" customHeight="1">
      <c r="A846" s="8"/>
      <c r="B846" s="8"/>
      <c r="C846" s="16"/>
      <c r="D846" s="14"/>
      <c r="E846" s="14"/>
      <c r="F846" s="14"/>
      <c r="G846" s="14"/>
      <c r="H846" s="14"/>
    </row>
    <row r="847" ht="22.5" customHeight="1">
      <c r="A847" s="8"/>
      <c r="B847" s="8"/>
      <c r="C847" s="16"/>
      <c r="D847" s="14"/>
      <c r="E847" s="14"/>
      <c r="F847" s="14"/>
      <c r="G847" s="14"/>
      <c r="H847" s="14"/>
    </row>
    <row r="848" ht="22.5" customHeight="1">
      <c r="A848" s="8"/>
      <c r="B848" s="8"/>
      <c r="C848" s="16"/>
      <c r="D848" s="14"/>
      <c r="E848" s="14"/>
      <c r="F848" s="14"/>
      <c r="G848" s="14"/>
      <c r="H848" s="14"/>
    </row>
    <row r="849" ht="22.5" customHeight="1">
      <c r="A849" s="8"/>
      <c r="B849" s="8"/>
      <c r="C849" s="16"/>
      <c r="D849" s="14"/>
      <c r="E849" s="14"/>
      <c r="F849" s="14"/>
      <c r="G849" s="14"/>
      <c r="H849" s="14"/>
    </row>
    <row r="850" ht="22.5" customHeight="1">
      <c r="A850" s="8"/>
      <c r="B850" s="8"/>
      <c r="C850" s="16"/>
      <c r="D850" s="14"/>
      <c r="E850" s="14"/>
      <c r="F850" s="14"/>
      <c r="G850" s="14"/>
      <c r="H850" s="14"/>
    </row>
    <row r="851" ht="22.5" customHeight="1">
      <c r="A851" s="8"/>
      <c r="B851" s="8"/>
      <c r="C851" s="16"/>
      <c r="D851" s="14"/>
      <c r="E851" s="14"/>
      <c r="F851" s="14"/>
      <c r="G851" s="14"/>
      <c r="H851" s="14"/>
    </row>
    <row r="852" ht="22.5" customHeight="1">
      <c r="A852" s="8"/>
      <c r="B852" s="8"/>
      <c r="C852" s="16"/>
      <c r="D852" s="14"/>
      <c r="E852" s="14"/>
      <c r="F852" s="14"/>
      <c r="G852" s="14"/>
      <c r="H852" s="14"/>
    </row>
    <row r="853" ht="22.5" customHeight="1">
      <c r="A853" s="8"/>
      <c r="B853" s="8"/>
      <c r="C853" s="16"/>
      <c r="D853" s="14"/>
      <c r="E853" s="14"/>
      <c r="F853" s="14"/>
      <c r="G853" s="14"/>
      <c r="H853" s="14"/>
    </row>
    <row r="854" ht="22.5" customHeight="1">
      <c r="A854" s="8"/>
      <c r="B854" s="8"/>
      <c r="C854" s="16"/>
      <c r="D854" s="14"/>
      <c r="E854" s="14"/>
      <c r="F854" s="14"/>
      <c r="G854" s="14"/>
      <c r="H854" s="14"/>
    </row>
    <row r="855" ht="22.5" customHeight="1">
      <c r="A855" s="8"/>
      <c r="B855" s="8"/>
      <c r="C855" s="16"/>
      <c r="D855" s="14"/>
      <c r="E855" s="14"/>
      <c r="F855" s="14"/>
      <c r="G855" s="14"/>
      <c r="H855" s="14"/>
    </row>
    <row r="856" ht="22.5" customHeight="1">
      <c r="A856" s="8"/>
      <c r="B856" s="8"/>
      <c r="C856" s="16"/>
      <c r="D856" s="14"/>
      <c r="E856" s="14"/>
      <c r="F856" s="14"/>
      <c r="G856" s="14"/>
      <c r="H856" s="14"/>
    </row>
    <row r="857" ht="22.5" customHeight="1">
      <c r="A857" s="8"/>
      <c r="B857" s="8"/>
      <c r="C857" s="16"/>
      <c r="D857" s="14"/>
      <c r="E857" s="14"/>
      <c r="F857" s="14"/>
      <c r="G857" s="14"/>
      <c r="H857" s="14"/>
    </row>
    <row r="858" ht="22.5" customHeight="1">
      <c r="A858" s="8"/>
      <c r="B858" s="8"/>
      <c r="C858" s="16"/>
      <c r="D858" s="14"/>
      <c r="E858" s="14"/>
      <c r="F858" s="14"/>
      <c r="G858" s="14"/>
      <c r="H858" s="14"/>
    </row>
    <row r="859" ht="22.5" customHeight="1">
      <c r="A859" s="8"/>
      <c r="B859" s="8"/>
      <c r="C859" s="16"/>
      <c r="D859" s="14"/>
      <c r="E859" s="14"/>
      <c r="F859" s="14"/>
      <c r="G859" s="14"/>
      <c r="H859" s="14"/>
    </row>
    <row r="860" ht="22.5" customHeight="1">
      <c r="A860" s="8"/>
      <c r="B860" s="8"/>
      <c r="C860" s="16"/>
      <c r="D860" s="14"/>
      <c r="E860" s="14"/>
      <c r="F860" s="14"/>
      <c r="G860" s="14"/>
      <c r="H860" s="14"/>
    </row>
    <row r="861" ht="22.5" customHeight="1">
      <c r="A861" s="8"/>
      <c r="B861" s="8"/>
      <c r="C861" s="16"/>
      <c r="D861" s="14"/>
      <c r="E861" s="14"/>
      <c r="F861" s="14"/>
      <c r="G861" s="14"/>
      <c r="H861" s="14"/>
    </row>
    <row r="862" ht="22.5" customHeight="1">
      <c r="A862" s="8"/>
      <c r="B862" s="8"/>
      <c r="C862" s="16"/>
      <c r="D862" s="14"/>
      <c r="E862" s="14"/>
      <c r="F862" s="14"/>
      <c r="G862" s="14"/>
      <c r="H862" s="14"/>
    </row>
    <row r="863" ht="22.5" customHeight="1">
      <c r="A863" s="8"/>
      <c r="B863" s="8"/>
      <c r="C863" s="16"/>
      <c r="D863" s="14"/>
      <c r="E863" s="14"/>
      <c r="F863" s="14"/>
      <c r="G863" s="14"/>
      <c r="H863" s="14"/>
    </row>
    <row r="864" ht="22.5" customHeight="1">
      <c r="A864" s="8"/>
      <c r="B864" s="8"/>
      <c r="C864" s="16"/>
      <c r="D864" s="14"/>
      <c r="E864" s="14"/>
      <c r="F864" s="14"/>
      <c r="G864" s="14"/>
      <c r="H864" s="14"/>
    </row>
    <row r="865" ht="22.5" customHeight="1">
      <c r="A865" s="8"/>
      <c r="B865" s="8"/>
      <c r="C865" s="16"/>
      <c r="D865" s="14"/>
      <c r="E865" s="14"/>
      <c r="F865" s="14"/>
      <c r="G865" s="14"/>
      <c r="H865" s="14"/>
    </row>
    <row r="866" ht="22.5" customHeight="1">
      <c r="A866" s="8"/>
      <c r="B866" s="8"/>
      <c r="C866" s="16"/>
      <c r="D866" s="14"/>
      <c r="E866" s="14"/>
      <c r="F866" s="14"/>
      <c r="G866" s="14"/>
      <c r="H866" s="14"/>
    </row>
    <row r="867" ht="22.5" customHeight="1">
      <c r="A867" s="8"/>
      <c r="B867" s="8"/>
      <c r="C867" s="16"/>
      <c r="D867" s="14"/>
      <c r="E867" s="14"/>
      <c r="F867" s="14"/>
      <c r="G867" s="14"/>
      <c r="H867" s="14"/>
    </row>
    <row r="868" ht="22.5" customHeight="1">
      <c r="A868" s="8"/>
      <c r="B868" s="8"/>
      <c r="C868" s="16"/>
      <c r="D868" s="14"/>
      <c r="E868" s="14"/>
      <c r="F868" s="14"/>
      <c r="G868" s="14"/>
      <c r="H868" s="14"/>
    </row>
    <row r="869" ht="22.5" customHeight="1">
      <c r="A869" s="8"/>
      <c r="B869" s="8"/>
      <c r="C869" s="16"/>
      <c r="D869" s="14"/>
      <c r="E869" s="14"/>
      <c r="F869" s="14"/>
      <c r="G869" s="14"/>
      <c r="H869" s="14"/>
    </row>
    <row r="870" ht="22.5" customHeight="1">
      <c r="A870" s="8"/>
      <c r="B870" s="8"/>
      <c r="C870" s="16"/>
      <c r="D870" s="14"/>
      <c r="E870" s="14"/>
      <c r="F870" s="14"/>
      <c r="G870" s="14"/>
      <c r="H870" s="14"/>
    </row>
    <row r="871" ht="22.5" customHeight="1">
      <c r="A871" s="8"/>
      <c r="B871" s="8"/>
      <c r="C871" s="16"/>
      <c r="D871" s="14"/>
      <c r="E871" s="14"/>
      <c r="F871" s="14"/>
      <c r="G871" s="14"/>
      <c r="H871" s="14"/>
    </row>
    <row r="872" ht="22.5" customHeight="1">
      <c r="A872" s="8"/>
      <c r="B872" s="8"/>
      <c r="C872" s="16"/>
      <c r="D872" s="14"/>
      <c r="E872" s="14"/>
      <c r="F872" s="14"/>
      <c r="G872" s="14"/>
      <c r="H872" s="14"/>
    </row>
    <row r="873" ht="22.5" customHeight="1">
      <c r="A873" s="8"/>
      <c r="B873" s="8"/>
      <c r="C873" s="16"/>
      <c r="D873" s="14"/>
      <c r="E873" s="14"/>
      <c r="F873" s="14"/>
      <c r="G873" s="14"/>
      <c r="H873" s="14"/>
    </row>
    <row r="874" ht="22.5" customHeight="1">
      <c r="A874" s="8"/>
      <c r="B874" s="8"/>
      <c r="C874" s="16"/>
      <c r="D874" s="14"/>
      <c r="E874" s="14"/>
      <c r="F874" s="14"/>
      <c r="G874" s="14"/>
      <c r="H874" s="14"/>
    </row>
    <row r="875" ht="22.5" customHeight="1">
      <c r="A875" s="8"/>
      <c r="B875" s="8"/>
      <c r="C875" s="16"/>
      <c r="D875" s="14"/>
      <c r="E875" s="14"/>
      <c r="F875" s="14"/>
      <c r="G875" s="14"/>
      <c r="H875" s="14"/>
    </row>
    <row r="876" ht="22.5" customHeight="1">
      <c r="A876" s="8"/>
      <c r="B876" s="8"/>
      <c r="C876" s="16"/>
      <c r="D876" s="14"/>
      <c r="E876" s="14"/>
      <c r="F876" s="14"/>
      <c r="G876" s="14"/>
      <c r="H876" s="14"/>
    </row>
    <row r="877" ht="22.5" customHeight="1">
      <c r="A877" s="8"/>
      <c r="B877" s="8"/>
      <c r="C877" s="16"/>
      <c r="D877" s="14"/>
      <c r="E877" s="14"/>
      <c r="F877" s="14"/>
      <c r="G877" s="14"/>
      <c r="H877" s="14"/>
    </row>
    <row r="878" ht="22.5" customHeight="1">
      <c r="A878" s="8"/>
      <c r="B878" s="8"/>
      <c r="C878" s="16"/>
      <c r="D878" s="14"/>
      <c r="E878" s="14"/>
      <c r="F878" s="14"/>
      <c r="G878" s="14"/>
      <c r="H878" s="14"/>
    </row>
    <row r="879" ht="22.5" customHeight="1">
      <c r="A879" s="8"/>
      <c r="B879" s="8"/>
      <c r="C879" s="16"/>
      <c r="D879" s="14"/>
      <c r="E879" s="14"/>
      <c r="F879" s="14"/>
      <c r="G879" s="14"/>
      <c r="H879" s="14"/>
    </row>
    <row r="880" ht="22.5" customHeight="1">
      <c r="A880" s="8"/>
      <c r="B880" s="8"/>
      <c r="C880" s="16"/>
      <c r="D880" s="14"/>
      <c r="E880" s="14"/>
      <c r="F880" s="14"/>
      <c r="G880" s="14"/>
      <c r="H880" s="14"/>
    </row>
    <row r="881" ht="22.5" customHeight="1">
      <c r="A881" s="8"/>
      <c r="B881" s="8"/>
      <c r="C881" s="16"/>
      <c r="D881" s="14"/>
      <c r="E881" s="14"/>
      <c r="F881" s="14"/>
      <c r="G881" s="14"/>
      <c r="H881" s="14"/>
    </row>
    <row r="882" ht="22.5" customHeight="1">
      <c r="A882" s="8"/>
      <c r="B882" s="8"/>
      <c r="C882" s="16"/>
      <c r="D882" s="14"/>
      <c r="E882" s="14"/>
      <c r="F882" s="14"/>
      <c r="G882" s="14"/>
      <c r="H882" s="14"/>
    </row>
    <row r="883" ht="22.5" customHeight="1">
      <c r="A883" s="8"/>
      <c r="B883" s="8"/>
      <c r="C883" s="16"/>
      <c r="D883" s="14"/>
      <c r="E883" s="14"/>
      <c r="F883" s="14"/>
      <c r="G883" s="14"/>
      <c r="H883" s="14"/>
    </row>
    <row r="884" ht="22.5" customHeight="1">
      <c r="A884" s="8"/>
      <c r="B884" s="8"/>
      <c r="C884" s="16"/>
      <c r="D884" s="14"/>
      <c r="E884" s="14"/>
      <c r="F884" s="14"/>
      <c r="G884" s="14"/>
      <c r="H884" s="14"/>
    </row>
    <row r="885" ht="22.5" customHeight="1">
      <c r="A885" s="8"/>
      <c r="B885" s="8"/>
      <c r="C885" s="16"/>
      <c r="D885" s="14"/>
      <c r="E885" s="14"/>
      <c r="F885" s="14"/>
      <c r="G885" s="14"/>
      <c r="H885" s="14"/>
    </row>
    <row r="886" ht="22.5" customHeight="1">
      <c r="A886" s="8"/>
      <c r="B886" s="8"/>
      <c r="C886" s="16"/>
      <c r="D886" s="14"/>
      <c r="E886" s="14"/>
      <c r="F886" s="14"/>
      <c r="G886" s="14"/>
      <c r="H886" s="14"/>
    </row>
    <row r="887" ht="22.5" customHeight="1">
      <c r="A887" s="8"/>
      <c r="B887" s="8"/>
      <c r="C887" s="16"/>
      <c r="D887" s="14"/>
      <c r="E887" s="14"/>
      <c r="F887" s="14"/>
      <c r="G887" s="14"/>
      <c r="H887" s="14"/>
    </row>
    <row r="888" ht="22.5" customHeight="1">
      <c r="A888" s="8"/>
      <c r="B888" s="8"/>
      <c r="C888" s="16"/>
      <c r="D888" s="14"/>
      <c r="E888" s="14"/>
      <c r="F888" s="14"/>
      <c r="G888" s="14"/>
      <c r="H888" s="14"/>
    </row>
    <row r="889" ht="22.5" customHeight="1">
      <c r="A889" s="8"/>
      <c r="B889" s="8"/>
      <c r="C889" s="16"/>
      <c r="D889" s="14"/>
      <c r="E889" s="14"/>
      <c r="F889" s="14"/>
      <c r="G889" s="14"/>
      <c r="H889" s="14"/>
    </row>
    <row r="890" ht="22.5" customHeight="1">
      <c r="A890" s="8"/>
      <c r="B890" s="8"/>
      <c r="C890" s="16"/>
      <c r="D890" s="14"/>
      <c r="E890" s="14"/>
      <c r="F890" s="14"/>
      <c r="G890" s="14"/>
      <c r="H890" s="14"/>
    </row>
    <row r="891" ht="22.5" customHeight="1">
      <c r="A891" s="8"/>
      <c r="B891" s="8"/>
      <c r="C891" s="16"/>
      <c r="D891" s="14"/>
      <c r="E891" s="14"/>
      <c r="F891" s="14"/>
      <c r="G891" s="14"/>
      <c r="H891" s="14"/>
    </row>
    <row r="892" ht="22.5" customHeight="1">
      <c r="A892" s="8"/>
      <c r="B892" s="8"/>
      <c r="C892" s="16"/>
      <c r="D892" s="14"/>
      <c r="E892" s="14"/>
      <c r="F892" s="14"/>
      <c r="G892" s="14"/>
      <c r="H892" s="14"/>
    </row>
    <row r="893" ht="22.5" customHeight="1">
      <c r="A893" s="8"/>
      <c r="B893" s="8"/>
      <c r="C893" s="16"/>
      <c r="D893" s="14"/>
      <c r="E893" s="14"/>
      <c r="F893" s="14"/>
      <c r="G893" s="14"/>
      <c r="H893" s="14"/>
    </row>
    <row r="894" ht="22.5" customHeight="1">
      <c r="A894" s="8"/>
      <c r="B894" s="8"/>
      <c r="C894" s="16"/>
      <c r="D894" s="14"/>
      <c r="E894" s="14"/>
      <c r="F894" s="14"/>
      <c r="G894" s="14"/>
      <c r="H894" s="14"/>
    </row>
    <row r="895" ht="22.5" customHeight="1">
      <c r="A895" s="8"/>
      <c r="B895" s="8"/>
      <c r="C895" s="16"/>
      <c r="D895" s="14"/>
      <c r="E895" s="14"/>
      <c r="F895" s="14"/>
      <c r="G895" s="14"/>
      <c r="H895" s="14"/>
    </row>
    <row r="896" ht="22.5" customHeight="1">
      <c r="A896" s="8"/>
      <c r="B896" s="8"/>
      <c r="C896" s="16"/>
      <c r="D896" s="14"/>
      <c r="E896" s="14"/>
      <c r="F896" s="14"/>
      <c r="G896" s="14"/>
      <c r="H896" s="14"/>
    </row>
    <row r="897" ht="22.5" customHeight="1">
      <c r="A897" s="8"/>
      <c r="B897" s="8"/>
      <c r="C897" s="16"/>
      <c r="D897" s="14"/>
      <c r="E897" s="14"/>
      <c r="F897" s="14"/>
      <c r="G897" s="14"/>
      <c r="H897" s="14"/>
    </row>
    <row r="898" ht="22.5" customHeight="1">
      <c r="A898" s="8"/>
      <c r="B898" s="8"/>
      <c r="C898" s="16"/>
      <c r="D898" s="14"/>
      <c r="E898" s="14"/>
      <c r="F898" s="14"/>
      <c r="G898" s="14"/>
      <c r="H898" s="14"/>
    </row>
    <row r="899" ht="22.5" customHeight="1">
      <c r="A899" s="8"/>
      <c r="B899" s="8"/>
      <c r="C899" s="16"/>
      <c r="D899" s="14"/>
      <c r="E899" s="14"/>
      <c r="F899" s="14"/>
      <c r="G899" s="14"/>
      <c r="H899" s="14"/>
    </row>
    <row r="900" ht="22.5" customHeight="1">
      <c r="A900" s="8"/>
      <c r="B900" s="8"/>
      <c r="C900" s="16"/>
      <c r="D900" s="14"/>
      <c r="E900" s="14"/>
      <c r="F900" s="14"/>
      <c r="G900" s="14"/>
      <c r="H900" s="14"/>
    </row>
    <row r="901" ht="22.5" customHeight="1">
      <c r="A901" s="8"/>
      <c r="B901" s="8"/>
      <c r="C901" s="16"/>
      <c r="D901" s="14"/>
      <c r="E901" s="14"/>
      <c r="F901" s="14"/>
      <c r="G901" s="14"/>
      <c r="H901" s="14"/>
    </row>
    <row r="902" ht="22.5" customHeight="1">
      <c r="A902" s="8"/>
      <c r="B902" s="8"/>
      <c r="C902" s="16"/>
      <c r="D902" s="14"/>
      <c r="E902" s="14"/>
      <c r="F902" s="14"/>
      <c r="G902" s="14"/>
      <c r="H902" s="14"/>
    </row>
    <row r="903" ht="22.5" customHeight="1">
      <c r="A903" s="8"/>
      <c r="B903" s="8"/>
      <c r="C903" s="16"/>
      <c r="D903" s="14"/>
      <c r="E903" s="14"/>
      <c r="F903" s="14"/>
      <c r="G903" s="14"/>
      <c r="H903" s="14"/>
    </row>
    <row r="904" ht="22.5" customHeight="1">
      <c r="A904" s="8"/>
      <c r="B904" s="8"/>
      <c r="C904" s="16"/>
      <c r="D904" s="14"/>
      <c r="E904" s="14"/>
      <c r="F904" s="14"/>
      <c r="G904" s="14"/>
      <c r="H904" s="14"/>
    </row>
    <row r="905" ht="22.5" customHeight="1">
      <c r="A905" s="8"/>
      <c r="B905" s="8"/>
      <c r="C905" s="16"/>
      <c r="D905" s="14"/>
      <c r="E905" s="14"/>
      <c r="F905" s="14"/>
      <c r="G905" s="14"/>
      <c r="H905" s="14"/>
    </row>
    <row r="906" ht="22.5" customHeight="1">
      <c r="A906" s="8"/>
      <c r="B906" s="8"/>
      <c r="C906" s="16"/>
      <c r="D906" s="14"/>
      <c r="E906" s="14"/>
      <c r="F906" s="14"/>
      <c r="G906" s="14"/>
      <c r="H906" s="14"/>
    </row>
    <row r="907" ht="22.5" customHeight="1">
      <c r="A907" s="8"/>
      <c r="B907" s="8"/>
      <c r="C907" s="16"/>
      <c r="D907" s="14"/>
      <c r="E907" s="14"/>
      <c r="F907" s="14"/>
      <c r="G907" s="14"/>
      <c r="H907" s="14"/>
    </row>
    <row r="908" ht="22.5" customHeight="1">
      <c r="A908" s="8"/>
      <c r="B908" s="8"/>
      <c r="C908" s="16"/>
      <c r="D908" s="14"/>
      <c r="E908" s="14"/>
      <c r="F908" s="14"/>
      <c r="G908" s="14"/>
      <c r="H908" s="14"/>
    </row>
    <row r="909" ht="22.5" customHeight="1">
      <c r="A909" s="8"/>
      <c r="B909" s="8"/>
      <c r="C909" s="16"/>
      <c r="D909" s="14"/>
      <c r="E909" s="14"/>
      <c r="F909" s="14"/>
      <c r="G909" s="14"/>
      <c r="H909" s="14"/>
    </row>
    <row r="910" ht="22.5" customHeight="1">
      <c r="A910" s="8"/>
      <c r="B910" s="8"/>
      <c r="C910" s="16"/>
      <c r="D910" s="14"/>
      <c r="E910" s="14"/>
      <c r="F910" s="14"/>
      <c r="G910" s="14"/>
      <c r="H910" s="14"/>
    </row>
    <row r="911" ht="22.5" customHeight="1">
      <c r="A911" s="8"/>
      <c r="B911" s="8"/>
      <c r="C911" s="16"/>
      <c r="D911" s="14"/>
      <c r="E911" s="14"/>
      <c r="F911" s="14"/>
      <c r="G911" s="14"/>
      <c r="H911" s="14"/>
    </row>
    <row r="912" ht="22.5" customHeight="1">
      <c r="A912" s="8"/>
      <c r="B912" s="8"/>
      <c r="C912" s="16"/>
      <c r="D912" s="14"/>
      <c r="E912" s="14"/>
      <c r="F912" s="14"/>
      <c r="G912" s="14"/>
      <c r="H912" s="14"/>
    </row>
    <row r="913" ht="22.5" customHeight="1">
      <c r="A913" s="8"/>
      <c r="B913" s="8"/>
      <c r="C913" s="16"/>
      <c r="D913" s="14"/>
      <c r="E913" s="14"/>
      <c r="F913" s="14"/>
      <c r="G913" s="14"/>
      <c r="H913" s="14"/>
    </row>
    <row r="914" ht="22.5" customHeight="1">
      <c r="A914" s="8"/>
      <c r="B914" s="8"/>
      <c r="C914" s="16"/>
      <c r="D914" s="14"/>
      <c r="E914" s="14"/>
      <c r="F914" s="14"/>
      <c r="G914" s="14"/>
      <c r="H914" s="14"/>
    </row>
    <row r="915" ht="22.5" customHeight="1">
      <c r="A915" s="8"/>
      <c r="B915" s="8"/>
      <c r="C915" s="16"/>
      <c r="D915" s="14"/>
      <c r="E915" s="14"/>
      <c r="F915" s="14"/>
      <c r="G915" s="14"/>
      <c r="H915" s="14"/>
    </row>
    <row r="916" ht="22.5" customHeight="1">
      <c r="A916" s="8"/>
      <c r="B916" s="8"/>
      <c r="C916" s="16"/>
      <c r="D916" s="14"/>
      <c r="E916" s="14"/>
      <c r="F916" s="14"/>
      <c r="G916" s="14"/>
      <c r="H916" s="14"/>
    </row>
    <row r="917" ht="22.5" customHeight="1">
      <c r="A917" s="8"/>
      <c r="B917" s="8"/>
      <c r="C917" s="16"/>
      <c r="D917" s="14"/>
      <c r="E917" s="14"/>
      <c r="F917" s="14"/>
      <c r="G917" s="14"/>
      <c r="H917" s="14"/>
    </row>
    <row r="918" ht="22.5" customHeight="1">
      <c r="A918" s="8"/>
      <c r="B918" s="8"/>
      <c r="C918" s="16"/>
      <c r="D918" s="14"/>
      <c r="E918" s="14"/>
      <c r="F918" s="14"/>
      <c r="G918" s="14"/>
      <c r="H918" s="14"/>
    </row>
    <row r="919" ht="22.5" customHeight="1">
      <c r="A919" s="8"/>
      <c r="B919" s="8"/>
      <c r="C919" s="16"/>
      <c r="D919" s="14"/>
      <c r="E919" s="14"/>
      <c r="F919" s="14"/>
      <c r="G919" s="14"/>
      <c r="H919" s="14"/>
    </row>
    <row r="920" ht="22.5" customHeight="1">
      <c r="A920" s="8"/>
      <c r="B920" s="8"/>
      <c r="C920" s="16"/>
      <c r="D920" s="14"/>
      <c r="E920" s="14"/>
      <c r="F920" s="14"/>
      <c r="G920" s="14"/>
      <c r="H920" s="14"/>
    </row>
    <row r="921" ht="22.5" customHeight="1">
      <c r="A921" s="8"/>
      <c r="B921" s="8"/>
      <c r="C921" s="16"/>
      <c r="D921" s="14"/>
      <c r="E921" s="14"/>
      <c r="F921" s="14"/>
      <c r="G921" s="14"/>
      <c r="H921" s="14"/>
    </row>
    <row r="922" ht="22.5" customHeight="1">
      <c r="A922" s="8"/>
      <c r="B922" s="8"/>
      <c r="C922" s="16"/>
      <c r="D922" s="14"/>
      <c r="E922" s="14"/>
      <c r="F922" s="14"/>
      <c r="G922" s="14"/>
      <c r="H922" s="14"/>
    </row>
    <row r="923" ht="22.5" customHeight="1">
      <c r="A923" s="8"/>
      <c r="B923" s="8"/>
      <c r="C923" s="16"/>
      <c r="D923" s="14"/>
      <c r="E923" s="14"/>
      <c r="F923" s="14"/>
      <c r="G923" s="14"/>
      <c r="H923" s="14"/>
    </row>
    <row r="924" ht="22.5" customHeight="1">
      <c r="A924" s="8"/>
      <c r="B924" s="8"/>
      <c r="C924" s="16"/>
      <c r="D924" s="14"/>
      <c r="E924" s="14"/>
      <c r="F924" s="14"/>
      <c r="G924" s="14"/>
      <c r="H924" s="14"/>
    </row>
    <row r="925" ht="22.5" customHeight="1">
      <c r="A925" s="8"/>
      <c r="B925" s="8"/>
      <c r="C925" s="16"/>
      <c r="D925" s="14"/>
      <c r="E925" s="14"/>
      <c r="F925" s="14"/>
      <c r="G925" s="14"/>
      <c r="H925" s="14"/>
    </row>
    <row r="926" ht="22.5" customHeight="1">
      <c r="A926" s="8"/>
      <c r="B926" s="8"/>
      <c r="C926" s="16"/>
      <c r="D926" s="14"/>
      <c r="E926" s="14"/>
      <c r="F926" s="14"/>
      <c r="G926" s="14"/>
      <c r="H926" s="14"/>
    </row>
    <row r="927" ht="22.5" customHeight="1">
      <c r="A927" s="8"/>
      <c r="B927" s="8"/>
      <c r="C927" s="16"/>
      <c r="D927" s="14"/>
      <c r="E927" s="14"/>
      <c r="F927" s="14"/>
      <c r="G927" s="14"/>
      <c r="H927" s="14"/>
    </row>
    <row r="928" ht="22.5" customHeight="1">
      <c r="A928" s="8"/>
      <c r="B928" s="8"/>
      <c r="C928" s="16"/>
      <c r="D928" s="14"/>
      <c r="E928" s="14"/>
      <c r="F928" s="14"/>
      <c r="G928" s="14"/>
      <c r="H928" s="14"/>
    </row>
    <row r="929" ht="22.5" customHeight="1">
      <c r="A929" s="8"/>
      <c r="B929" s="8"/>
      <c r="C929" s="16"/>
      <c r="D929" s="14"/>
      <c r="E929" s="14"/>
      <c r="F929" s="14"/>
      <c r="G929" s="14"/>
      <c r="H929" s="14"/>
    </row>
    <row r="930" ht="22.5" customHeight="1">
      <c r="A930" s="8"/>
      <c r="B930" s="8"/>
      <c r="C930" s="16"/>
      <c r="D930" s="14"/>
      <c r="E930" s="14"/>
      <c r="F930" s="14"/>
      <c r="G930" s="14"/>
      <c r="H930" s="14"/>
    </row>
    <row r="931" ht="22.5" customHeight="1">
      <c r="A931" s="8"/>
      <c r="B931" s="8"/>
      <c r="C931" s="16"/>
      <c r="D931" s="14"/>
      <c r="E931" s="14"/>
      <c r="F931" s="14"/>
      <c r="G931" s="14"/>
      <c r="H931" s="14"/>
    </row>
    <row r="932" ht="22.5" customHeight="1">
      <c r="A932" s="8"/>
      <c r="B932" s="8"/>
      <c r="C932" s="16"/>
      <c r="D932" s="14"/>
      <c r="E932" s="14"/>
      <c r="F932" s="14"/>
      <c r="G932" s="14"/>
      <c r="H932" s="14"/>
    </row>
    <row r="933" ht="22.5" customHeight="1">
      <c r="A933" s="8"/>
      <c r="B933" s="8"/>
      <c r="C933" s="16"/>
      <c r="D933" s="14"/>
      <c r="E933" s="14"/>
      <c r="F933" s="14"/>
      <c r="G933" s="14"/>
      <c r="H933" s="14"/>
    </row>
    <row r="934" ht="22.5" customHeight="1">
      <c r="A934" s="8"/>
      <c r="B934" s="8"/>
      <c r="C934" s="16"/>
      <c r="D934" s="14"/>
      <c r="E934" s="14"/>
      <c r="F934" s="14"/>
      <c r="G934" s="14"/>
      <c r="H934" s="14"/>
    </row>
    <row r="935" ht="22.5" customHeight="1">
      <c r="A935" s="8"/>
      <c r="B935" s="8"/>
      <c r="C935" s="16"/>
      <c r="D935" s="14"/>
      <c r="E935" s="14"/>
      <c r="F935" s="14"/>
      <c r="G935" s="14"/>
      <c r="H935" s="14"/>
    </row>
    <row r="936" ht="22.5" customHeight="1">
      <c r="A936" s="8"/>
      <c r="B936" s="8"/>
      <c r="C936" s="16"/>
      <c r="D936" s="14"/>
      <c r="E936" s="14"/>
      <c r="F936" s="14"/>
      <c r="G936" s="14"/>
      <c r="H936" s="14"/>
    </row>
    <row r="937" ht="22.5" customHeight="1">
      <c r="A937" s="8"/>
      <c r="B937" s="8"/>
      <c r="C937" s="16"/>
      <c r="D937" s="14"/>
      <c r="E937" s="14"/>
      <c r="F937" s="14"/>
      <c r="G937" s="14"/>
      <c r="H937" s="14"/>
    </row>
    <row r="938" ht="22.5" customHeight="1">
      <c r="A938" s="8"/>
      <c r="B938" s="8"/>
      <c r="C938" s="16"/>
      <c r="D938" s="14"/>
      <c r="E938" s="14"/>
      <c r="F938" s="14"/>
      <c r="G938" s="14"/>
      <c r="H938" s="14"/>
    </row>
    <row r="939" ht="22.5" customHeight="1">
      <c r="A939" s="8"/>
      <c r="B939" s="8"/>
      <c r="C939" s="16"/>
      <c r="D939" s="14"/>
      <c r="E939" s="14"/>
      <c r="F939" s="14"/>
      <c r="G939" s="14"/>
      <c r="H939" s="14"/>
    </row>
    <row r="940" ht="22.5" customHeight="1">
      <c r="A940" s="8"/>
      <c r="B940" s="8"/>
      <c r="C940" s="16"/>
      <c r="D940" s="14"/>
      <c r="E940" s="14"/>
      <c r="F940" s="14"/>
      <c r="G940" s="14"/>
      <c r="H940" s="14"/>
    </row>
    <row r="941" ht="22.5" customHeight="1">
      <c r="A941" s="8"/>
      <c r="B941" s="8"/>
      <c r="C941" s="16"/>
      <c r="D941" s="14"/>
      <c r="E941" s="14"/>
      <c r="F941" s="14"/>
      <c r="G941" s="14"/>
      <c r="H941" s="14"/>
    </row>
    <row r="942" ht="22.5" customHeight="1">
      <c r="A942" s="8"/>
      <c r="B942" s="8"/>
      <c r="C942" s="16"/>
      <c r="D942" s="14"/>
      <c r="E942" s="14"/>
      <c r="F942" s="14"/>
      <c r="G942" s="14"/>
      <c r="H942" s="14"/>
    </row>
    <row r="943" ht="22.5" customHeight="1">
      <c r="A943" s="8"/>
      <c r="B943" s="8"/>
      <c r="C943" s="16"/>
      <c r="D943" s="14"/>
      <c r="E943" s="14"/>
      <c r="F943" s="14"/>
      <c r="G943" s="14"/>
      <c r="H943" s="14"/>
    </row>
    <row r="944" ht="22.5" customHeight="1">
      <c r="A944" s="8"/>
      <c r="B944" s="8"/>
      <c r="C944" s="16"/>
      <c r="D944" s="14"/>
      <c r="E944" s="14"/>
      <c r="F944" s="14"/>
      <c r="G944" s="14"/>
      <c r="H944" s="14"/>
    </row>
    <row r="945" ht="22.5" customHeight="1">
      <c r="A945" s="8"/>
      <c r="B945" s="8"/>
      <c r="C945" s="16"/>
      <c r="D945" s="14"/>
      <c r="E945" s="14"/>
      <c r="F945" s="14"/>
      <c r="G945" s="14"/>
      <c r="H945" s="14"/>
    </row>
    <row r="946" ht="22.5" customHeight="1">
      <c r="A946" s="8"/>
      <c r="B946" s="8"/>
      <c r="C946" s="16"/>
      <c r="D946" s="14"/>
      <c r="E946" s="14"/>
      <c r="F946" s="14"/>
      <c r="G946" s="14"/>
      <c r="H946" s="14"/>
    </row>
    <row r="947" ht="22.5" customHeight="1">
      <c r="A947" s="8"/>
      <c r="B947" s="8"/>
      <c r="C947" s="16"/>
      <c r="D947" s="14"/>
      <c r="E947" s="14"/>
      <c r="F947" s="14"/>
      <c r="G947" s="14"/>
      <c r="H947" s="14"/>
    </row>
    <row r="948" ht="22.5" customHeight="1">
      <c r="A948" s="8"/>
      <c r="B948" s="8"/>
      <c r="C948" s="16"/>
      <c r="D948" s="14"/>
      <c r="E948" s="14"/>
      <c r="F948" s="14"/>
      <c r="G948" s="14"/>
      <c r="H948" s="14"/>
    </row>
    <row r="949" ht="22.5" customHeight="1">
      <c r="A949" s="8"/>
      <c r="B949" s="8"/>
      <c r="C949" s="16"/>
      <c r="D949" s="14"/>
      <c r="E949" s="14"/>
      <c r="F949" s="14"/>
      <c r="G949" s="14"/>
      <c r="H949" s="14"/>
    </row>
    <row r="950" ht="22.5" customHeight="1">
      <c r="A950" s="8"/>
      <c r="B950" s="8"/>
      <c r="C950" s="16"/>
      <c r="D950" s="14"/>
      <c r="E950" s="14"/>
      <c r="F950" s="14"/>
      <c r="G950" s="14"/>
      <c r="H950" s="14"/>
    </row>
    <row r="951" ht="22.5" customHeight="1">
      <c r="A951" s="8"/>
      <c r="B951" s="8"/>
      <c r="C951" s="16"/>
      <c r="D951" s="14"/>
      <c r="E951" s="14"/>
      <c r="F951" s="14"/>
      <c r="G951" s="14"/>
      <c r="H951" s="14"/>
    </row>
    <row r="952" ht="22.5" customHeight="1">
      <c r="A952" s="8"/>
      <c r="B952" s="8"/>
      <c r="C952" s="16"/>
      <c r="D952" s="14"/>
      <c r="E952" s="14"/>
      <c r="F952" s="14"/>
      <c r="G952" s="14"/>
      <c r="H952" s="14"/>
    </row>
    <row r="953" ht="22.5" customHeight="1">
      <c r="A953" s="8"/>
      <c r="B953" s="8"/>
      <c r="C953" s="16"/>
      <c r="D953" s="14"/>
      <c r="E953" s="14"/>
      <c r="F953" s="14"/>
      <c r="G953" s="14"/>
      <c r="H953" s="14"/>
    </row>
    <row r="954" ht="22.5" customHeight="1">
      <c r="A954" s="8"/>
      <c r="B954" s="8"/>
      <c r="C954" s="16"/>
      <c r="D954" s="14"/>
      <c r="E954" s="14"/>
      <c r="F954" s="14"/>
      <c r="G954" s="14"/>
      <c r="H954" s="14"/>
    </row>
    <row r="955" ht="22.5" customHeight="1">
      <c r="A955" s="8"/>
      <c r="B955" s="8"/>
      <c r="C955" s="16"/>
      <c r="D955" s="14"/>
      <c r="E955" s="14"/>
      <c r="F955" s="14"/>
      <c r="G955" s="14"/>
      <c r="H955" s="14"/>
    </row>
    <row r="956" ht="22.5" customHeight="1">
      <c r="A956" s="8"/>
      <c r="B956" s="8"/>
      <c r="C956" s="16"/>
      <c r="D956" s="14"/>
      <c r="E956" s="14"/>
      <c r="F956" s="14"/>
      <c r="G956" s="14"/>
      <c r="H956" s="14"/>
    </row>
    <row r="957" ht="22.5" customHeight="1">
      <c r="A957" s="8"/>
      <c r="B957" s="8"/>
      <c r="C957" s="16"/>
      <c r="D957" s="14"/>
      <c r="E957" s="14"/>
      <c r="F957" s="14"/>
      <c r="G957" s="14"/>
      <c r="H957" s="14"/>
    </row>
    <row r="958" ht="22.5" customHeight="1">
      <c r="A958" s="8"/>
      <c r="B958" s="8"/>
      <c r="C958" s="16"/>
      <c r="D958" s="14"/>
      <c r="E958" s="14"/>
      <c r="F958" s="14"/>
      <c r="G958" s="14"/>
      <c r="H958" s="14"/>
    </row>
    <row r="959" ht="22.5" customHeight="1">
      <c r="A959" s="8"/>
      <c r="B959" s="8"/>
      <c r="C959" s="16"/>
      <c r="D959" s="14"/>
      <c r="E959" s="14"/>
      <c r="F959" s="14"/>
      <c r="G959" s="14"/>
      <c r="H959" s="14"/>
    </row>
    <row r="960" ht="22.5" customHeight="1">
      <c r="A960" s="8"/>
      <c r="B960" s="8"/>
      <c r="C960" s="16"/>
      <c r="D960" s="14"/>
      <c r="E960" s="14"/>
      <c r="F960" s="14"/>
      <c r="G960" s="14"/>
      <c r="H960" s="14"/>
    </row>
    <row r="961" ht="22.5" customHeight="1">
      <c r="A961" s="8"/>
      <c r="B961" s="8"/>
      <c r="C961" s="16"/>
      <c r="D961" s="14"/>
      <c r="E961" s="14"/>
      <c r="F961" s="14"/>
      <c r="G961" s="14"/>
      <c r="H961" s="14"/>
    </row>
    <row r="962" ht="22.5" customHeight="1">
      <c r="A962" s="8"/>
      <c r="B962" s="8"/>
      <c r="C962" s="16"/>
      <c r="D962" s="14"/>
      <c r="E962" s="14"/>
      <c r="F962" s="14"/>
      <c r="G962" s="14"/>
      <c r="H962" s="14"/>
    </row>
    <row r="963" ht="22.5" customHeight="1">
      <c r="A963" s="8"/>
      <c r="B963" s="8"/>
      <c r="C963" s="16"/>
      <c r="D963" s="14"/>
      <c r="E963" s="14"/>
      <c r="F963" s="14"/>
      <c r="G963" s="14"/>
      <c r="H963" s="14"/>
    </row>
    <row r="964" ht="22.5" customHeight="1">
      <c r="A964" s="8"/>
      <c r="B964" s="8"/>
      <c r="C964" s="16"/>
      <c r="D964" s="14"/>
      <c r="E964" s="14"/>
      <c r="F964" s="14"/>
      <c r="G964" s="14"/>
      <c r="H964" s="14"/>
    </row>
    <row r="965" ht="22.5" customHeight="1">
      <c r="A965" s="8"/>
      <c r="B965" s="8"/>
      <c r="C965" s="16"/>
      <c r="D965" s="14"/>
      <c r="E965" s="14"/>
      <c r="F965" s="14"/>
      <c r="G965" s="14"/>
      <c r="H965" s="14"/>
    </row>
    <row r="966" ht="22.5" customHeight="1">
      <c r="A966" s="8"/>
      <c r="B966" s="8"/>
      <c r="C966" s="16"/>
      <c r="D966" s="14"/>
      <c r="E966" s="14"/>
      <c r="F966" s="14"/>
      <c r="G966" s="14"/>
      <c r="H966" s="14"/>
    </row>
    <row r="967" ht="22.5" customHeight="1">
      <c r="A967" s="8"/>
      <c r="B967" s="8"/>
      <c r="C967" s="16"/>
      <c r="D967" s="14"/>
      <c r="E967" s="14"/>
      <c r="F967" s="14"/>
      <c r="G967" s="14"/>
      <c r="H967" s="14"/>
    </row>
    <row r="968" ht="22.5" customHeight="1">
      <c r="A968" s="8"/>
      <c r="B968" s="8"/>
      <c r="C968" s="16"/>
      <c r="D968" s="14"/>
      <c r="E968" s="14"/>
      <c r="F968" s="14"/>
      <c r="G968" s="14"/>
      <c r="H968" s="14"/>
    </row>
    <row r="969" ht="22.5" customHeight="1">
      <c r="A969" s="8"/>
      <c r="B969" s="8"/>
      <c r="C969" s="16"/>
      <c r="D969" s="14"/>
      <c r="E969" s="14"/>
      <c r="F969" s="14"/>
      <c r="G969" s="14"/>
      <c r="H969" s="14"/>
    </row>
    <row r="970" ht="22.5" customHeight="1">
      <c r="A970" s="8"/>
      <c r="B970" s="8"/>
      <c r="C970" s="16"/>
      <c r="D970" s="14"/>
      <c r="E970" s="14"/>
      <c r="F970" s="14"/>
      <c r="G970" s="14"/>
      <c r="H970" s="14"/>
    </row>
    <row r="971" ht="22.5" customHeight="1">
      <c r="A971" s="8"/>
      <c r="B971" s="8"/>
      <c r="C971" s="16"/>
      <c r="D971" s="14"/>
      <c r="E971" s="14"/>
      <c r="F971" s="14"/>
      <c r="G971" s="14"/>
      <c r="H971" s="14"/>
    </row>
    <row r="972" ht="22.5" customHeight="1">
      <c r="A972" s="8"/>
      <c r="B972" s="8"/>
      <c r="C972" s="16"/>
      <c r="D972" s="14"/>
      <c r="E972" s="14"/>
      <c r="F972" s="14"/>
      <c r="G972" s="14"/>
      <c r="H972" s="14"/>
    </row>
    <row r="973" ht="22.5" customHeight="1">
      <c r="A973" s="8"/>
      <c r="B973" s="8"/>
      <c r="C973" s="16"/>
      <c r="D973" s="14"/>
      <c r="E973" s="14"/>
      <c r="F973" s="14"/>
      <c r="G973" s="14"/>
      <c r="H973" s="14"/>
    </row>
    <row r="974" ht="22.5" customHeight="1">
      <c r="A974" s="8"/>
      <c r="B974" s="8"/>
      <c r="C974" s="16"/>
      <c r="D974" s="14"/>
      <c r="E974" s="14"/>
      <c r="F974" s="14"/>
      <c r="G974" s="14"/>
      <c r="H974" s="14"/>
    </row>
    <row r="975" ht="22.5" customHeight="1">
      <c r="A975" s="8"/>
      <c r="B975" s="8"/>
      <c r="C975" s="16"/>
      <c r="D975" s="14"/>
      <c r="E975" s="14"/>
      <c r="F975" s="14"/>
      <c r="G975" s="14"/>
      <c r="H975" s="14"/>
    </row>
    <row r="976" ht="22.5" customHeight="1">
      <c r="A976" s="8"/>
      <c r="B976" s="8"/>
      <c r="C976" s="16"/>
      <c r="D976" s="14"/>
      <c r="E976" s="14"/>
      <c r="F976" s="14"/>
      <c r="G976" s="14"/>
      <c r="H976" s="14"/>
    </row>
    <row r="977" ht="22.5" customHeight="1">
      <c r="A977" s="8"/>
      <c r="B977" s="8"/>
      <c r="C977" s="16"/>
      <c r="D977" s="14"/>
      <c r="E977" s="14"/>
      <c r="F977" s="14"/>
      <c r="G977" s="14"/>
      <c r="H977" s="14"/>
    </row>
    <row r="978" ht="22.5" customHeight="1">
      <c r="A978" s="8"/>
      <c r="B978" s="8"/>
      <c r="C978" s="16"/>
      <c r="D978" s="14"/>
      <c r="E978" s="14"/>
      <c r="F978" s="14"/>
      <c r="G978" s="14"/>
      <c r="H978" s="14"/>
    </row>
    <row r="979" ht="22.5" customHeight="1">
      <c r="A979" s="8"/>
      <c r="B979" s="8"/>
      <c r="C979" s="16"/>
      <c r="D979" s="14"/>
      <c r="E979" s="14"/>
      <c r="F979" s="14"/>
      <c r="G979" s="14"/>
      <c r="H979" s="14"/>
    </row>
    <row r="980" ht="22.5" customHeight="1">
      <c r="A980" s="8"/>
      <c r="B980" s="8"/>
      <c r="C980" s="16"/>
      <c r="D980" s="14"/>
      <c r="E980" s="14"/>
      <c r="F980" s="14"/>
      <c r="G980" s="14"/>
      <c r="H980" s="14"/>
    </row>
    <row r="981" ht="22.5" customHeight="1">
      <c r="A981" s="8"/>
      <c r="B981" s="8"/>
      <c r="C981" s="16"/>
      <c r="D981" s="14"/>
      <c r="E981" s="14"/>
      <c r="F981" s="14"/>
      <c r="G981" s="14"/>
      <c r="H981" s="14"/>
    </row>
    <row r="982" ht="22.5" customHeight="1">
      <c r="A982" s="8"/>
      <c r="B982" s="8"/>
      <c r="C982" s="16"/>
      <c r="D982" s="14"/>
      <c r="E982" s="14"/>
      <c r="F982" s="14"/>
      <c r="G982" s="14"/>
      <c r="H982" s="14"/>
    </row>
    <row r="983" ht="22.5" customHeight="1">
      <c r="A983" s="8"/>
      <c r="B983" s="8"/>
      <c r="C983" s="16"/>
      <c r="D983" s="14"/>
      <c r="E983" s="14"/>
      <c r="F983" s="14"/>
      <c r="G983" s="14"/>
      <c r="H983" s="14"/>
    </row>
    <row r="984" ht="22.5" customHeight="1">
      <c r="A984" s="8"/>
      <c r="B984" s="8"/>
      <c r="C984" s="16"/>
      <c r="D984" s="14"/>
      <c r="E984" s="14"/>
      <c r="F984" s="14"/>
      <c r="G984" s="14"/>
      <c r="H984" s="14"/>
    </row>
    <row r="985" ht="22.5" customHeight="1">
      <c r="A985" s="8"/>
      <c r="B985" s="8"/>
      <c r="C985" s="16"/>
      <c r="D985" s="14"/>
      <c r="E985" s="14"/>
      <c r="F985" s="14"/>
      <c r="G985" s="14"/>
      <c r="H985" s="14"/>
    </row>
    <row r="986" ht="22.5" customHeight="1">
      <c r="A986" s="8"/>
      <c r="B986" s="8"/>
      <c r="C986" s="16"/>
      <c r="D986" s="14"/>
      <c r="E986" s="14"/>
      <c r="F986" s="14"/>
      <c r="G986" s="14"/>
      <c r="H986" s="14"/>
    </row>
    <row r="987" ht="22.5" customHeight="1">
      <c r="A987" s="8"/>
      <c r="B987" s="8"/>
      <c r="C987" s="16"/>
      <c r="D987" s="14"/>
      <c r="E987" s="14"/>
      <c r="F987" s="14"/>
      <c r="G987" s="14"/>
      <c r="H987" s="14"/>
    </row>
    <row r="988" ht="22.5" customHeight="1">
      <c r="A988" s="8"/>
      <c r="B988" s="8"/>
      <c r="C988" s="16"/>
      <c r="D988" s="14"/>
      <c r="E988" s="14"/>
      <c r="F988" s="14"/>
      <c r="G988" s="14"/>
      <c r="H988" s="14"/>
    </row>
    <row r="989" ht="22.5" customHeight="1">
      <c r="A989" s="8"/>
      <c r="B989" s="8"/>
      <c r="C989" s="16"/>
      <c r="D989" s="14"/>
      <c r="E989" s="14"/>
      <c r="F989" s="14"/>
      <c r="G989" s="14"/>
      <c r="H989" s="14"/>
    </row>
    <row r="990" ht="22.5" customHeight="1">
      <c r="A990" s="8"/>
      <c r="B990" s="8"/>
      <c r="C990" s="16"/>
      <c r="D990" s="14"/>
      <c r="E990" s="14"/>
      <c r="F990" s="14"/>
      <c r="G990" s="14"/>
      <c r="H990" s="14"/>
    </row>
    <row r="991" ht="22.5" customHeight="1">
      <c r="A991" s="8"/>
      <c r="B991" s="8"/>
      <c r="C991" s="16"/>
      <c r="D991" s="14"/>
      <c r="E991" s="14"/>
      <c r="F991" s="14"/>
      <c r="G991" s="14"/>
      <c r="H991" s="14"/>
    </row>
    <row r="992" ht="22.5" customHeight="1">
      <c r="A992" s="8"/>
      <c r="B992" s="8"/>
      <c r="C992" s="16"/>
      <c r="D992" s="14"/>
      <c r="E992" s="14"/>
      <c r="F992" s="14"/>
      <c r="G992" s="14"/>
      <c r="H992" s="14"/>
    </row>
    <row r="993" ht="22.5" customHeight="1">
      <c r="A993" s="8"/>
      <c r="B993" s="8"/>
      <c r="C993" s="16"/>
      <c r="D993" s="14"/>
      <c r="E993" s="14"/>
      <c r="F993" s="14"/>
      <c r="G993" s="14"/>
      <c r="H993" s="14"/>
    </row>
    <row r="994" ht="22.5" customHeight="1">
      <c r="A994" s="8"/>
      <c r="B994" s="8"/>
      <c r="C994" s="16"/>
      <c r="D994" s="14"/>
      <c r="E994" s="14"/>
      <c r="F994" s="14"/>
      <c r="G994" s="14"/>
      <c r="H994" s="14"/>
    </row>
    <row r="995" ht="22.5" customHeight="1">
      <c r="A995" s="8"/>
      <c r="B995" s="8"/>
      <c r="C995" s="16"/>
      <c r="D995" s="14"/>
      <c r="E995" s="14"/>
      <c r="F995" s="14"/>
      <c r="G995" s="14"/>
      <c r="H995" s="14"/>
    </row>
    <row r="996" ht="22.5" customHeight="1">
      <c r="A996" s="8"/>
      <c r="B996" s="8"/>
      <c r="C996" s="16"/>
      <c r="D996" s="14"/>
      <c r="E996" s="14"/>
      <c r="F996" s="14"/>
      <c r="G996" s="14"/>
      <c r="H996" s="14"/>
    </row>
    <row r="997" ht="22.5" customHeight="1">
      <c r="A997" s="8"/>
      <c r="B997" s="8"/>
      <c r="C997" s="16"/>
      <c r="D997" s="14"/>
      <c r="E997" s="14"/>
      <c r="F997" s="14"/>
      <c r="G997" s="14"/>
      <c r="H997" s="14"/>
    </row>
    <row r="998" ht="22.5" customHeight="1">
      <c r="A998" s="8"/>
      <c r="B998" s="8"/>
      <c r="C998" s="16"/>
      <c r="D998" s="14"/>
      <c r="E998" s="14"/>
      <c r="F998" s="14"/>
      <c r="G998" s="14"/>
      <c r="H998" s="14"/>
    </row>
    <row r="999" ht="22.5" customHeight="1">
      <c r="A999" s="8"/>
      <c r="B999" s="8"/>
      <c r="C999" s="16"/>
      <c r="D999" s="14"/>
      <c r="E999" s="14"/>
      <c r="F999" s="14"/>
      <c r="G999" s="14"/>
      <c r="H999" s="14"/>
    </row>
    <row r="1000" ht="22.5" customHeight="1">
      <c r="A1000" s="8"/>
      <c r="B1000" s="8"/>
      <c r="C1000" s="16"/>
      <c r="D1000" s="14"/>
      <c r="E1000" s="14"/>
      <c r="F1000" s="14"/>
      <c r="G1000" s="14"/>
      <c r="H1000" s="14"/>
    </row>
    <row r="1001" ht="22.5" customHeight="1">
      <c r="A1001" s="8"/>
      <c r="B1001" s="8"/>
      <c r="C1001" s="16"/>
      <c r="D1001" s="14"/>
      <c r="E1001" s="14"/>
      <c r="F1001" s="14"/>
      <c r="G1001" s="14"/>
      <c r="H1001" s="14"/>
    </row>
    <row r="1002" ht="22.5" customHeight="1">
      <c r="A1002" s="8"/>
      <c r="B1002" s="8"/>
      <c r="C1002" s="16"/>
      <c r="D1002" s="14"/>
      <c r="E1002" s="14"/>
      <c r="F1002" s="14"/>
      <c r="G1002" s="14"/>
      <c r="H1002" s="14"/>
    </row>
    <row r="1003" ht="22.5" customHeight="1">
      <c r="A1003" s="8"/>
      <c r="B1003" s="8"/>
      <c r="C1003" s="16"/>
      <c r="D1003" s="14"/>
      <c r="E1003" s="14"/>
      <c r="F1003" s="14"/>
      <c r="G1003" s="14"/>
      <c r="H1003" s="14"/>
    </row>
    <row r="1004" ht="22.5" customHeight="1">
      <c r="A1004" s="8"/>
      <c r="B1004" s="8"/>
      <c r="C1004" s="16"/>
      <c r="D1004" s="14"/>
      <c r="E1004" s="14"/>
      <c r="F1004" s="14"/>
      <c r="G1004" s="14"/>
      <c r="H1004" s="14"/>
    </row>
    <row r="1005" ht="22.5" customHeight="1">
      <c r="A1005" s="8"/>
      <c r="B1005" s="8"/>
      <c r="C1005" s="16"/>
      <c r="D1005" s="14"/>
      <c r="E1005" s="14"/>
      <c r="F1005" s="14"/>
      <c r="G1005" s="14"/>
      <c r="H1005" s="14"/>
    </row>
    <row r="1006" ht="22.5" customHeight="1">
      <c r="A1006" s="8"/>
      <c r="B1006" s="8"/>
      <c r="C1006" s="16"/>
      <c r="D1006" s="14"/>
      <c r="E1006" s="14"/>
      <c r="F1006" s="14"/>
      <c r="G1006" s="14"/>
      <c r="H1006" s="14"/>
    </row>
    <row r="1007" ht="22.5" customHeight="1">
      <c r="A1007" s="8"/>
      <c r="B1007" s="8"/>
      <c r="C1007" s="16"/>
      <c r="D1007" s="14"/>
      <c r="E1007" s="14"/>
      <c r="F1007" s="14"/>
      <c r="G1007" s="14"/>
      <c r="H1007" s="14"/>
    </row>
    <row r="1008" ht="22.5" customHeight="1">
      <c r="A1008" s="8"/>
      <c r="B1008" s="8"/>
      <c r="C1008" s="16"/>
      <c r="D1008" s="14"/>
      <c r="E1008" s="14"/>
      <c r="F1008" s="14"/>
      <c r="G1008" s="14"/>
      <c r="H1008" s="14"/>
    </row>
    <row r="1009" ht="22.5" customHeight="1">
      <c r="A1009" s="8"/>
      <c r="B1009" s="8"/>
      <c r="C1009" s="16"/>
      <c r="D1009" s="14"/>
      <c r="E1009" s="14"/>
      <c r="F1009" s="14"/>
      <c r="G1009" s="14"/>
      <c r="H1009" s="14"/>
    </row>
    <row r="1010" ht="22.5" customHeight="1">
      <c r="A1010" s="8"/>
      <c r="B1010" s="8"/>
      <c r="C1010" s="16"/>
      <c r="D1010" s="14"/>
      <c r="E1010" s="14"/>
      <c r="F1010" s="14"/>
      <c r="G1010" s="14"/>
      <c r="H1010" s="14"/>
    </row>
    <row r="1011" ht="22.5" customHeight="1">
      <c r="A1011" s="8"/>
      <c r="B1011" s="8"/>
      <c r="C1011" s="16"/>
      <c r="D1011" s="14"/>
      <c r="E1011" s="14"/>
      <c r="F1011" s="14"/>
      <c r="G1011" s="14"/>
      <c r="H1011" s="14"/>
    </row>
    <row r="1012" ht="22.5" customHeight="1">
      <c r="A1012" s="8"/>
      <c r="B1012" s="8"/>
      <c r="C1012" s="16"/>
      <c r="D1012" s="14"/>
      <c r="E1012" s="14"/>
      <c r="F1012" s="14"/>
      <c r="G1012" s="14"/>
      <c r="H1012" s="14"/>
    </row>
    <row r="1013" ht="22.5" customHeight="1">
      <c r="A1013" s="8"/>
      <c r="B1013" s="8"/>
      <c r="C1013" s="16"/>
      <c r="D1013" s="14"/>
      <c r="E1013" s="14"/>
      <c r="F1013" s="14"/>
      <c r="G1013" s="14"/>
      <c r="H1013" s="14"/>
    </row>
    <row r="1014" ht="22.5" customHeight="1">
      <c r="A1014" s="8"/>
      <c r="B1014" s="8"/>
      <c r="C1014" s="16"/>
      <c r="D1014" s="14"/>
      <c r="E1014" s="14"/>
      <c r="F1014" s="14"/>
      <c r="G1014" s="14"/>
      <c r="H1014" s="14"/>
    </row>
    <row r="1015" ht="22.5" customHeight="1">
      <c r="A1015" s="8"/>
      <c r="B1015" s="8"/>
      <c r="C1015" s="16"/>
      <c r="D1015" s="14"/>
      <c r="E1015" s="14"/>
      <c r="F1015" s="14"/>
      <c r="G1015" s="14"/>
      <c r="H1015" s="14"/>
    </row>
    <row r="1016" ht="22.5" customHeight="1">
      <c r="A1016" s="8"/>
      <c r="B1016" s="8"/>
      <c r="C1016" s="16"/>
      <c r="D1016" s="14"/>
      <c r="E1016" s="14"/>
      <c r="F1016" s="14"/>
      <c r="G1016" s="14"/>
      <c r="H1016" s="14"/>
    </row>
    <row r="1017" ht="22.5" customHeight="1">
      <c r="A1017" s="8"/>
      <c r="B1017" s="8"/>
      <c r="C1017" s="16"/>
      <c r="D1017" s="14"/>
      <c r="E1017" s="14"/>
      <c r="F1017" s="14"/>
      <c r="G1017" s="14"/>
      <c r="H1017" s="14"/>
    </row>
    <row r="1018" ht="22.5" customHeight="1">
      <c r="A1018" s="8"/>
      <c r="B1018" s="8"/>
      <c r="C1018" s="16"/>
      <c r="D1018" s="14"/>
      <c r="E1018" s="14"/>
      <c r="F1018" s="14"/>
      <c r="G1018" s="14"/>
      <c r="H1018" s="14"/>
    </row>
    <row r="1019" ht="22.5" customHeight="1">
      <c r="A1019" s="8"/>
      <c r="B1019" s="8"/>
      <c r="C1019" s="16"/>
      <c r="D1019" s="14"/>
      <c r="E1019" s="14"/>
      <c r="F1019" s="14"/>
      <c r="G1019" s="14"/>
      <c r="H1019" s="14"/>
    </row>
    <row r="1020" ht="22.5" customHeight="1">
      <c r="A1020" s="8"/>
      <c r="B1020" s="8"/>
      <c r="C1020" s="16"/>
      <c r="D1020" s="14"/>
      <c r="E1020" s="14"/>
      <c r="F1020" s="14"/>
      <c r="G1020" s="14"/>
      <c r="H1020" s="14"/>
    </row>
    <row r="1021" ht="22.5" customHeight="1">
      <c r="A1021" s="8"/>
      <c r="B1021" s="8"/>
      <c r="C1021" s="16"/>
      <c r="D1021" s="14"/>
      <c r="E1021" s="14"/>
      <c r="F1021" s="14"/>
      <c r="G1021" s="14"/>
      <c r="H1021" s="14"/>
    </row>
    <row r="1022" ht="22.5" customHeight="1">
      <c r="A1022" s="8"/>
      <c r="B1022" s="8"/>
      <c r="C1022" s="16"/>
      <c r="D1022" s="14"/>
      <c r="E1022" s="14"/>
      <c r="F1022" s="14"/>
      <c r="G1022" s="14"/>
      <c r="H1022" s="14"/>
    </row>
    <row r="1023" ht="22.5" customHeight="1">
      <c r="A1023" s="8"/>
      <c r="B1023" s="8"/>
      <c r="C1023" s="16"/>
      <c r="D1023" s="14"/>
      <c r="E1023" s="14"/>
      <c r="F1023" s="14"/>
      <c r="G1023" s="14"/>
      <c r="H1023" s="14"/>
    </row>
    <row r="1024" ht="22.5" customHeight="1">
      <c r="A1024" s="8"/>
      <c r="B1024" s="8"/>
      <c r="C1024" s="16"/>
      <c r="D1024" s="14"/>
      <c r="E1024" s="14"/>
      <c r="F1024" s="14"/>
      <c r="G1024" s="14"/>
      <c r="H1024" s="14"/>
    </row>
    <row r="1025" ht="22.5" customHeight="1">
      <c r="A1025" s="8"/>
      <c r="B1025" s="8"/>
      <c r="C1025" s="16"/>
      <c r="D1025" s="14"/>
      <c r="E1025" s="14"/>
      <c r="F1025" s="14"/>
      <c r="G1025" s="14"/>
      <c r="H1025" s="14"/>
    </row>
    <row r="1026" ht="22.5" customHeight="1">
      <c r="A1026" s="8"/>
      <c r="B1026" s="8"/>
      <c r="C1026" s="16"/>
      <c r="D1026" s="14"/>
      <c r="E1026" s="14"/>
      <c r="F1026" s="14"/>
      <c r="G1026" s="14"/>
      <c r="H1026" s="14"/>
    </row>
    <row r="1027" ht="22.5" customHeight="1">
      <c r="A1027" s="8"/>
      <c r="B1027" s="8"/>
      <c r="C1027" s="16"/>
      <c r="D1027" s="14"/>
      <c r="E1027" s="14"/>
      <c r="F1027" s="14"/>
      <c r="G1027" s="14"/>
      <c r="H1027" s="14"/>
    </row>
    <row r="1028" ht="22.5" customHeight="1">
      <c r="A1028" s="8"/>
      <c r="B1028" s="8"/>
      <c r="C1028" s="16"/>
      <c r="D1028" s="14"/>
      <c r="E1028" s="14"/>
      <c r="F1028" s="14"/>
      <c r="G1028" s="14"/>
      <c r="H1028" s="14"/>
    </row>
    <row r="1029" ht="22.5" customHeight="1">
      <c r="A1029" s="8"/>
      <c r="B1029" s="8"/>
      <c r="C1029" s="16"/>
      <c r="D1029" s="14"/>
      <c r="E1029" s="14"/>
      <c r="F1029" s="14"/>
      <c r="G1029" s="14"/>
      <c r="H1029" s="14"/>
    </row>
    <row r="1030" ht="22.5" customHeight="1">
      <c r="A1030" s="8"/>
      <c r="B1030" s="8"/>
      <c r="C1030" s="16"/>
      <c r="D1030" s="14"/>
      <c r="E1030" s="14"/>
      <c r="F1030" s="14"/>
      <c r="G1030" s="14"/>
      <c r="H1030" s="14"/>
    </row>
    <row r="1031" ht="22.5" customHeight="1">
      <c r="A1031" s="8"/>
      <c r="B1031" s="8"/>
      <c r="C1031" s="16"/>
      <c r="D1031" s="14"/>
      <c r="E1031" s="14"/>
      <c r="F1031" s="14"/>
      <c r="G1031" s="14"/>
      <c r="H1031" s="14"/>
    </row>
    <row r="1032" ht="22.5" customHeight="1">
      <c r="A1032" s="8"/>
      <c r="B1032" s="8"/>
      <c r="C1032" s="16"/>
      <c r="D1032" s="14"/>
      <c r="E1032" s="14"/>
      <c r="F1032" s="14"/>
      <c r="G1032" s="14"/>
      <c r="H1032" s="14"/>
    </row>
    <row r="1033" ht="22.5" customHeight="1">
      <c r="A1033" s="8"/>
      <c r="B1033" s="8"/>
      <c r="C1033" s="16"/>
      <c r="D1033" s="14"/>
      <c r="E1033" s="14"/>
      <c r="F1033" s="14"/>
      <c r="G1033" s="14"/>
      <c r="H1033" s="14"/>
    </row>
    <row r="1034" ht="22.5" customHeight="1">
      <c r="A1034" s="8"/>
      <c r="B1034" s="8"/>
      <c r="C1034" s="16"/>
      <c r="D1034" s="14"/>
      <c r="E1034" s="14"/>
      <c r="F1034" s="14"/>
      <c r="G1034" s="14"/>
      <c r="H1034" s="14"/>
    </row>
    <row r="1035" ht="22.5" customHeight="1">
      <c r="A1035" s="8"/>
      <c r="B1035" s="8"/>
      <c r="C1035" s="16"/>
      <c r="D1035" s="14"/>
      <c r="E1035" s="14"/>
      <c r="F1035" s="14"/>
      <c r="G1035" s="14"/>
      <c r="H1035" s="14"/>
    </row>
    <row r="1036" ht="22.5" customHeight="1">
      <c r="A1036" s="8"/>
      <c r="B1036" s="8"/>
      <c r="C1036" s="16"/>
      <c r="D1036" s="14"/>
      <c r="E1036" s="14"/>
      <c r="F1036" s="14"/>
      <c r="G1036" s="14"/>
      <c r="H1036" s="14"/>
    </row>
    <row r="1037" ht="22.5" customHeight="1">
      <c r="A1037" s="8"/>
      <c r="B1037" s="8"/>
      <c r="C1037" s="16"/>
      <c r="D1037" s="14"/>
      <c r="E1037" s="14"/>
      <c r="F1037" s="14"/>
      <c r="G1037" s="14"/>
      <c r="H1037" s="14"/>
    </row>
    <row r="1038" ht="22.5" customHeight="1">
      <c r="A1038" s="8"/>
      <c r="B1038" s="8"/>
      <c r="C1038" s="16"/>
      <c r="D1038" s="14"/>
      <c r="E1038" s="14"/>
      <c r="F1038" s="14"/>
      <c r="G1038" s="14"/>
      <c r="H1038" s="14"/>
    </row>
    <row r="1039" ht="22.5" customHeight="1">
      <c r="A1039" s="8"/>
      <c r="B1039" s="8"/>
      <c r="C1039" s="16"/>
      <c r="D1039" s="14"/>
      <c r="E1039" s="14"/>
      <c r="F1039" s="14"/>
      <c r="G1039" s="14"/>
      <c r="H1039" s="14"/>
    </row>
    <row r="1040" ht="22.5" customHeight="1">
      <c r="A1040" s="8"/>
      <c r="B1040" s="8"/>
      <c r="C1040" s="16"/>
      <c r="D1040" s="14"/>
      <c r="E1040" s="14"/>
      <c r="F1040" s="14"/>
      <c r="G1040" s="14"/>
      <c r="H1040" s="14"/>
    </row>
    <row r="1041" ht="22.5" customHeight="1">
      <c r="A1041" s="8"/>
      <c r="B1041" s="8"/>
      <c r="C1041" s="16"/>
      <c r="D1041" s="14"/>
      <c r="E1041" s="14"/>
      <c r="F1041" s="14"/>
      <c r="G1041" s="14"/>
      <c r="H1041" s="14"/>
    </row>
    <row r="1042" ht="22.5" customHeight="1">
      <c r="A1042" s="8"/>
      <c r="B1042" s="8"/>
      <c r="C1042" s="16"/>
      <c r="D1042" s="14"/>
      <c r="E1042" s="14"/>
      <c r="F1042" s="14"/>
      <c r="G1042" s="14"/>
      <c r="H1042" s="14"/>
    </row>
    <row r="1043" ht="22.5" customHeight="1">
      <c r="A1043" s="8"/>
      <c r="B1043" s="8"/>
      <c r="C1043" s="16"/>
      <c r="D1043" s="14"/>
      <c r="E1043" s="14"/>
      <c r="F1043" s="14"/>
      <c r="G1043" s="14"/>
      <c r="H1043" s="14"/>
    </row>
    <row r="1044" ht="22.5" customHeight="1">
      <c r="A1044" s="8"/>
      <c r="B1044" s="8"/>
      <c r="C1044" s="16"/>
      <c r="D1044" s="14"/>
      <c r="E1044" s="14"/>
      <c r="F1044" s="14"/>
      <c r="G1044" s="14"/>
      <c r="H1044" s="14"/>
    </row>
    <row r="1045" ht="22.5" customHeight="1">
      <c r="A1045" s="8"/>
      <c r="B1045" s="8"/>
      <c r="C1045" s="16"/>
      <c r="D1045" s="14"/>
      <c r="E1045" s="14"/>
      <c r="F1045" s="14"/>
      <c r="G1045" s="14"/>
      <c r="H1045" s="14"/>
    </row>
    <row r="1046" ht="22.5" customHeight="1">
      <c r="A1046" s="8"/>
      <c r="B1046" s="8"/>
      <c r="C1046" s="16"/>
      <c r="D1046" s="14"/>
      <c r="E1046" s="14"/>
      <c r="F1046" s="14"/>
      <c r="G1046" s="14"/>
      <c r="H1046" s="14"/>
    </row>
    <row r="1047" ht="22.5" customHeight="1">
      <c r="A1047" s="8"/>
      <c r="B1047" s="8"/>
      <c r="C1047" s="16"/>
      <c r="D1047" s="14"/>
      <c r="E1047" s="14"/>
      <c r="F1047" s="14"/>
      <c r="G1047" s="14"/>
      <c r="H1047" s="14"/>
    </row>
    <row r="1048" ht="22.5" customHeight="1">
      <c r="A1048" s="8"/>
      <c r="B1048" s="8"/>
      <c r="C1048" s="16"/>
      <c r="D1048" s="14"/>
      <c r="E1048" s="14"/>
      <c r="F1048" s="14"/>
      <c r="G1048" s="14"/>
      <c r="H1048" s="14"/>
    </row>
    <row r="1049" ht="22.5" customHeight="1">
      <c r="A1049" s="8"/>
      <c r="B1049" s="8"/>
      <c r="C1049" s="16"/>
      <c r="D1049" s="14"/>
      <c r="E1049" s="14"/>
      <c r="F1049" s="14"/>
      <c r="G1049" s="14"/>
      <c r="H1049" s="14"/>
    </row>
  </sheetData>
  <mergeCells count="1">
    <mergeCell ref="A1:E1"/>
  </mergeCells>
  <conditionalFormatting sqref="C85:F165">
    <cfRule type="expression" dxfId="0" priority="1">
      <formula>#REF!=TRUE</formula>
    </cfRule>
  </conditionalFormatting>
  <conditionalFormatting sqref="A3:B1049 C3:F84 G3:H1049 C166:F1049">
    <cfRule type="expression" dxfId="0" priority="2">
      <formula>$B3=TRUE</formula>
    </cfRule>
  </conditionalFormatting>
  <hyperlinks>
    <hyperlink r:id="rId1" ref="F86"/>
    <hyperlink r:id="rId2" ref="F126"/>
    <hyperlink r:id="rId3" ref="F127"/>
    <hyperlink r:id="rId4" ref="F128"/>
    <hyperlink r:id="rId5" ref="F129"/>
    <hyperlink r:id="rId6" ref="F130"/>
    <hyperlink r:id="rId7" ref="F131"/>
    <hyperlink r:id="rId8" ref="F132"/>
    <hyperlink r:id="rId9" ref="F133"/>
    <hyperlink r:id="rId10" ref="F136"/>
    <hyperlink r:id="rId11" ref="F137"/>
    <hyperlink r:id="rId12" ref="F139"/>
    <hyperlink r:id="rId13" ref="F140"/>
    <hyperlink r:id="rId14" ref="F142"/>
    <hyperlink r:id="rId15" ref="F143"/>
    <hyperlink r:id="rId16" ref="F144"/>
    <hyperlink r:id="rId17" ref="F145"/>
    <hyperlink r:id="rId18" ref="F146"/>
    <hyperlink r:id="rId19" ref="F147"/>
    <hyperlink r:id="rId20" ref="F148"/>
    <hyperlink r:id="rId21" ref="F149"/>
    <hyperlink r:id="rId22" ref="F151"/>
    <hyperlink r:id="rId23" ref="F152"/>
    <hyperlink r:id="rId24" ref="F153"/>
    <hyperlink r:id="rId25" ref="F154"/>
    <hyperlink r:id="rId26" ref="F155"/>
    <hyperlink r:id="rId27" ref="F156"/>
  </hyperlinks>
  <drawing r:id="rId2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5.38"/>
    <col customWidth="1" min="2" max="2" width="6.88"/>
    <col customWidth="1" min="3" max="3" width="44.63"/>
    <col customWidth="1" min="4" max="4" width="26.13"/>
    <col customWidth="1" min="5" max="5" width="26.63"/>
    <col customWidth="1" min="6" max="6" width="39.63"/>
    <col customWidth="1" min="7" max="7" width="34.13"/>
    <col customWidth="1" min="8" max="8" width="45.5"/>
  </cols>
  <sheetData>
    <row r="1" ht="39.0" customHeight="1">
      <c r="A1" s="1361" t="s">
        <v>9477</v>
      </c>
      <c r="B1" s="53"/>
      <c r="C1" s="53"/>
      <c r="D1" s="53"/>
      <c r="E1" s="202"/>
      <c r="F1" s="906"/>
      <c r="G1" s="906"/>
      <c r="H1" s="907"/>
    </row>
    <row r="2" ht="30.0" customHeight="1">
      <c r="A2" s="909"/>
      <c r="B2" s="909" t="s">
        <v>0</v>
      </c>
      <c r="C2" s="909" t="s">
        <v>1</v>
      </c>
      <c r="D2" s="910" t="s">
        <v>2</v>
      </c>
      <c r="E2" s="910" t="s">
        <v>3</v>
      </c>
      <c r="F2" s="910" t="s">
        <v>4</v>
      </c>
      <c r="G2" s="910" t="s">
        <v>5</v>
      </c>
      <c r="H2" s="910" t="s">
        <v>6</v>
      </c>
    </row>
    <row r="3" ht="26.25" customHeight="1">
      <c r="A3" s="937">
        <v>1.0</v>
      </c>
      <c r="B3" s="913" t="b">
        <v>0</v>
      </c>
      <c r="C3" s="1362" t="s">
        <v>9478</v>
      </c>
      <c r="D3" s="221" t="s">
        <v>9479</v>
      </c>
      <c r="E3" s="1363" t="s">
        <v>9480</v>
      </c>
      <c r="F3" s="918"/>
      <c r="G3" s="918"/>
      <c r="H3" s="918"/>
    </row>
    <row r="4" ht="26.25" customHeight="1">
      <c r="A4" s="937">
        <v>2.0</v>
      </c>
      <c r="B4" s="913" t="b">
        <v>0</v>
      </c>
      <c r="C4" s="1362" t="s">
        <v>9481</v>
      </c>
      <c r="D4" s="223" t="s">
        <v>9482</v>
      </c>
      <c r="E4" s="1362" t="s">
        <v>9483</v>
      </c>
      <c r="F4" s="924"/>
      <c r="G4" s="924"/>
      <c r="H4" s="924"/>
    </row>
    <row r="5" ht="26.25" customHeight="1">
      <c r="A5" s="937">
        <v>362.0</v>
      </c>
      <c r="B5" s="913" t="b">
        <v>0</v>
      </c>
      <c r="C5" s="1362" t="s">
        <v>9484</v>
      </c>
      <c r="D5" s="223" t="s">
        <v>9485</v>
      </c>
      <c r="E5" s="1364"/>
      <c r="F5" s="924"/>
      <c r="G5" s="924"/>
      <c r="H5" s="924"/>
    </row>
    <row r="6" ht="26.25" customHeight="1">
      <c r="A6" s="937">
        <v>307.0</v>
      </c>
      <c r="B6" s="913" t="b">
        <v>0</v>
      </c>
      <c r="C6" s="1362" t="s">
        <v>9486</v>
      </c>
      <c r="D6" s="271"/>
      <c r="E6" s="1364"/>
      <c r="F6" s="924"/>
      <c r="G6" s="924"/>
      <c r="H6" s="924"/>
    </row>
    <row r="7" ht="26.25" customHeight="1">
      <c r="A7" s="937">
        <v>355.0</v>
      </c>
      <c r="B7" s="913" t="b">
        <v>0</v>
      </c>
      <c r="C7" s="1362" t="s">
        <v>9487</v>
      </c>
      <c r="D7" s="271"/>
      <c r="E7" s="1364"/>
      <c r="F7" s="924"/>
      <c r="G7" s="924"/>
      <c r="H7" s="924"/>
    </row>
    <row r="8" ht="26.25" customHeight="1">
      <c r="A8" s="937">
        <v>212.0</v>
      </c>
      <c r="B8" s="913" t="b">
        <v>0</v>
      </c>
      <c r="C8" s="1266" t="s">
        <v>9488</v>
      </c>
      <c r="D8" s="1365" t="s">
        <v>9489</v>
      </c>
      <c r="E8" s="1362" t="s">
        <v>9490</v>
      </c>
      <c r="F8" s="924"/>
      <c r="G8" s="924"/>
      <c r="H8" s="924"/>
    </row>
    <row r="9" ht="26.25" customHeight="1">
      <c r="A9" s="937">
        <v>148.0</v>
      </c>
      <c r="B9" s="913" t="b">
        <v>0</v>
      </c>
      <c r="C9" s="1362" t="s">
        <v>9491</v>
      </c>
      <c r="D9" s="271"/>
      <c r="E9" s="1364"/>
      <c r="F9" s="924"/>
      <c r="G9" s="924"/>
      <c r="H9" s="924"/>
    </row>
    <row r="10" ht="26.25" customHeight="1">
      <c r="A10" s="937">
        <v>3.0</v>
      </c>
      <c r="B10" s="913" t="b">
        <v>0</v>
      </c>
      <c r="C10" s="1362" t="s">
        <v>9492</v>
      </c>
      <c r="D10" s="223" t="s">
        <v>9493</v>
      </c>
      <c r="E10" s="1362" t="s">
        <v>9494</v>
      </c>
      <c r="F10" s="924"/>
      <c r="G10" s="924"/>
      <c r="H10" s="924"/>
    </row>
    <row r="11" ht="26.25" customHeight="1">
      <c r="A11" s="937">
        <v>201.0</v>
      </c>
      <c r="B11" s="913" t="b">
        <v>0</v>
      </c>
      <c r="C11" s="1362" t="s">
        <v>9495</v>
      </c>
      <c r="D11" s="271"/>
      <c r="E11" s="1362" t="s">
        <v>9496</v>
      </c>
      <c r="F11" s="924"/>
      <c r="G11" s="924"/>
      <c r="H11" s="924"/>
    </row>
    <row r="12" ht="26.25" customHeight="1">
      <c r="A12" s="937">
        <v>203.0</v>
      </c>
      <c r="B12" s="913" t="b">
        <v>0</v>
      </c>
      <c r="C12" s="1362" t="s">
        <v>9497</v>
      </c>
      <c r="D12" s="271"/>
      <c r="E12" s="1362" t="s">
        <v>9498</v>
      </c>
      <c r="F12" s="924"/>
      <c r="G12" s="924"/>
      <c r="H12" s="924"/>
    </row>
    <row r="13" ht="26.25" customHeight="1">
      <c r="A13" s="937">
        <v>388.0</v>
      </c>
      <c r="B13" s="913" t="b">
        <v>0</v>
      </c>
      <c r="C13" s="1362" t="s">
        <v>9499</v>
      </c>
      <c r="D13" s="271"/>
      <c r="E13" s="1364"/>
      <c r="F13" s="924"/>
      <c r="G13" s="924"/>
      <c r="H13" s="924"/>
    </row>
    <row r="14" ht="26.25" customHeight="1">
      <c r="A14" s="912">
        <v>496.0</v>
      </c>
      <c r="B14" s="913" t="b">
        <v>0</v>
      </c>
      <c r="C14" s="913" t="s">
        <v>9500</v>
      </c>
      <c r="D14" s="924" t="s">
        <v>9501</v>
      </c>
      <c r="E14" s="924">
        <v>9.6897444437E10</v>
      </c>
      <c r="F14" s="924"/>
      <c r="G14" s="924"/>
      <c r="H14" s="1366" t="s">
        <v>9502</v>
      </c>
    </row>
    <row r="15" ht="26.25" customHeight="1">
      <c r="A15" s="937">
        <v>4.0</v>
      </c>
      <c r="B15" s="913" t="b">
        <v>0</v>
      </c>
      <c r="C15" s="1362" t="s">
        <v>9503</v>
      </c>
      <c r="D15" s="223" t="s">
        <v>9504</v>
      </c>
      <c r="E15" s="1362" t="s">
        <v>9505</v>
      </c>
      <c r="F15" s="924"/>
      <c r="G15" s="924"/>
      <c r="H15" s="924"/>
    </row>
    <row r="16" ht="26.25" customHeight="1">
      <c r="A16" s="937">
        <v>5.0</v>
      </c>
      <c r="B16" s="913" t="b">
        <v>0</v>
      </c>
      <c r="C16" s="1362" t="s">
        <v>9506</v>
      </c>
      <c r="D16" s="223" t="s">
        <v>9507</v>
      </c>
      <c r="E16" s="1362" t="s">
        <v>9508</v>
      </c>
      <c r="F16" s="924"/>
      <c r="G16" s="924"/>
      <c r="H16" s="924"/>
    </row>
    <row r="17" ht="26.25" customHeight="1">
      <c r="A17" s="937">
        <v>6.0</v>
      </c>
      <c r="B17" s="913" t="b">
        <v>0</v>
      </c>
      <c r="C17" s="1362" t="s">
        <v>787</v>
      </c>
      <c r="D17" s="223" t="s">
        <v>9509</v>
      </c>
      <c r="E17" s="1362" t="s">
        <v>9510</v>
      </c>
      <c r="F17" s="924"/>
      <c r="G17" s="924"/>
      <c r="H17" s="924"/>
    </row>
    <row r="18" ht="26.25" customHeight="1">
      <c r="A18" s="937">
        <v>163.0</v>
      </c>
      <c r="B18" s="913" t="b">
        <v>0</v>
      </c>
      <c r="C18" s="1362" t="s">
        <v>9511</v>
      </c>
      <c r="D18" s="271"/>
      <c r="E18" s="1364"/>
      <c r="F18" s="924"/>
      <c r="G18" s="924"/>
      <c r="H18" s="924"/>
    </row>
    <row r="19" ht="26.25" customHeight="1">
      <c r="A19" s="937">
        <v>193.0</v>
      </c>
      <c r="B19" s="913" t="b">
        <v>0</v>
      </c>
      <c r="C19" s="1362" t="s">
        <v>9512</v>
      </c>
      <c r="D19" s="223" t="s">
        <v>9513</v>
      </c>
      <c r="E19" s="1362" t="s">
        <v>9514</v>
      </c>
      <c r="F19" s="924"/>
      <c r="G19" s="924"/>
      <c r="H19" s="924"/>
    </row>
    <row r="20" ht="26.25" customHeight="1">
      <c r="A20" s="937">
        <v>252.0</v>
      </c>
      <c r="B20" s="913" t="b">
        <v>0</v>
      </c>
      <c r="C20" s="1362" t="s">
        <v>9515</v>
      </c>
      <c r="D20" s="271" t="str">
        <f>+964 750 418 8406</f>
        <v>#ERROR!</v>
      </c>
      <c r="E20" s="1362" t="s">
        <v>9516</v>
      </c>
      <c r="F20" s="924"/>
      <c r="G20" s="924"/>
      <c r="H20" s="924"/>
    </row>
    <row r="21" ht="26.25" customHeight="1">
      <c r="A21" s="937">
        <v>149.0</v>
      </c>
      <c r="B21" s="913" t="b">
        <v>0</v>
      </c>
      <c r="C21" s="1362" t="s">
        <v>9517</v>
      </c>
      <c r="D21" s="271"/>
      <c r="E21" s="1364"/>
      <c r="F21" s="924"/>
      <c r="G21" s="924"/>
      <c r="H21" s="924"/>
    </row>
    <row r="22" ht="26.25" customHeight="1">
      <c r="A22" s="937">
        <v>158.0</v>
      </c>
      <c r="B22" s="913" t="b">
        <v>0</v>
      </c>
      <c r="C22" s="1362" t="s">
        <v>9518</v>
      </c>
      <c r="D22" s="271"/>
      <c r="E22" s="1364"/>
      <c r="F22" s="924"/>
      <c r="G22" s="924"/>
      <c r="H22" s="924"/>
    </row>
    <row r="23" ht="26.25" customHeight="1">
      <c r="A23" s="937">
        <v>390.0</v>
      </c>
      <c r="B23" s="913" t="b">
        <v>0</v>
      </c>
      <c r="C23" s="1362" t="s">
        <v>9519</v>
      </c>
      <c r="D23" s="271"/>
      <c r="E23" s="1364"/>
      <c r="F23" s="924"/>
      <c r="G23" s="924"/>
      <c r="H23" s="924"/>
    </row>
    <row r="24" ht="26.25" customHeight="1">
      <c r="A24" s="937">
        <v>7.0</v>
      </c>
      <c r="B24" s="913" t="b">
        <v>0</v>
      </c>
      <c r="C24" s="1362" t="s">
        <v>9520</v>
      </c>
      <c r="D24" s="223" t="s">
        <v>9521</v>
      </c>
      <c r="E24" s="1362" t="s">
        <v>9522</v>
      </c>
      <c r="F24" s="924"/>
      <c r="G24" s="924"/>
      <c r="H24" s="924"/>
    </row>
    <row r="25" ht="26.25" customHeight="1">
      <c r="A25" s="937">
        <v>8.0</v>
      </c>
      <c r="B25" s="913" t="b">
        <v>0</v>
      </c>
      <c r="C25" s="1362" t="s">
        <v>9523</v>
      </c>
      <c r="D25" s="223" t="s">
        <v>9524</v>
      </c>
      <c r="E25" s="1362" t="s">
        <v>9525</v>
      </c>
      <c r="F25" s="924"/>
      <c r="G25" s="924"/>
      <c r="H25" s="924"/>
    </row>
    <row r="26" ht="26.25" customHeight="1">
      <c r="A26" s="937">
        <v>315.0</v>
      </c>
      <c r="B26" s="913" t="b">
        <v>0</v>
      </c>
      <c r="C26" s="1362" t="s">
        <v>499</v>
      </c>
      <c r="D26" s="223" t="s">
        <v>9485</v>
      </c>
      <c r="E26" s="1364"/>
      <c r="F26" s="924"/>
      <c r="G26" s="924"/>
      <c r="H26" s="924"/>
    </row>
    <row r="27" ht="26.25" customHeight="1">
      <c r="A27" s="937">
        <v>104.0</v>
      </c>
      <c r="B27" s="913" t="b">
        <v>0</v>
      </c>
      <c r="C27" s="1362" t="s">
        <v>9526</v>
      </c>
      <c r="D27" s="223" t="s">
        <v>9527</v>
      </c>
      <c r="E27" s="1362" t="s">
        <v>9528</v>
      </c>
      <c r="F27" s="924"/>
      <c r="G27" s="924"/>
      <c r="H27" s="924"/>
    </row>
    <row r="28" ht="26.25" customHeight="1">
      <c r="A28" s="937">
        <v>280.0</v>
      </c>
      <c r="B28" s="913" t="b">
        <v>0</v>
      </c>
      <c r="C28" s="1362" t="s">
        <v>9529</v>
      </c>
      <c r="D28" s="223" t="s">
        <v>9485</v>
      </c>
      <c r="E28" s="1364"/>
      <c r="F28" s="924"/>
      <c r="G28" s="924"/>
      <c r="H28" s="924"/>
    </row>
    <row r="29" ht="26.25" customHeight="1">
      <c r="A29" s="937">
        <v>9.0</v>
      </c>
      <c r="B29" s="913" t="b">
        <v>0</v>
      </c>
      <c r="C29" s="1362" t="s">
        <v>9530</v>
      </c>
      <c r="D29" s="223" t="s">
        <v>9531</v>
      </c>
      <c r="E29" s="1362" t="s">
        <v>9532</v>
      </c>
      <c r="F29" s="924"/>
      <c r="G29" s="924"/>
      <c r="H29" s="924"/>
    </row>
    <row r="30" ht="26.25" customHeight="1">
      <c r="A30" s="937">
        <v>353.0</v>
      </c>
      <c r="B30" s="913" t="b">
        <v>0</v>
      </c>
      <c r="C30" s="1362" t="s">
        <v>9533</v>
      </c>
      <c r="D30" s="271"/>
      <c r="E30" s="1364"/>
      <c r="F30" s="924"/>
      <c r="G30" s="924"/>
      <c r="H30" s="924"/>
    </row>
    <row r="31" ht="26.25" customHeight="1">
      <c r="A31" s="937">
        <v>10.0</v>
      </c>
      <c r="B31" s="913" t="b">
        <v>0</v>
      </c>
      <c r="C31" s="1362" t="s">
        <v>9534</v>
      </c>
      <c r="D31" s="223" t="s">
        <v>9535</v>
      </c>
      <c r="E31" s="1362" t="s">
        <v>9536</v>
      </c>
      <c r="F31" s="924"/>
      <c r="G31" s="924"/>
      <c r="H31" s="924"/>
    </row>
    <row r="32" ht="26.25" customHeight="1">
      <c r="A32" s="937"/>
      <c r="B32" s="913" t="b">
        <v>0</v>
      </c>
      <c r="C32" s="1362" t="s">
        <v>9537</v>
      </c>
      <c r="D32" s="271"/>
      <c r="E32" s="1362">
        <v>6860.0</v>
      </c>
      <c r="F32" s="924"/>
      <c r="G32" s="924"/>
      <c r="H32" s="924"/>
    </row>
    <row r="33" ht="26.25" customHeight="1">
      <c r="A33" s="937">
        <v>162.0</v>
      </c>
      <c r="B33" s="913" t="b">
        <v>0</v>
      </c>
      <c r="C33" s="1362" t="s">
        <v>9538</v>
      </c>
      <c r="D33" s="271"/>
      <c r="E33" s="1364"/>
      <c r="F33" s="924"/>
      <c r="G33" s="924"/>
      <c r="H33" s="924"/>
    </row>
    <row r="34" ht="26.25" customHeight="1">
      <c r="A34" s="937">
        <v>134.0</v>
      </c>
      <c r="B34" s="913" t="b">
        <v>0</v>
      </c>
      <c r="C34" s="1362" t="s">
        <v>9539</v>
      </c>
      <c r="D34" s="223" t="s">
        <v>9540</v>
      </c>
      <c r="E34" s="1362" t="s">
        <v>9541</v>
      </c>
      <c r="F34" s="924"/>
      <c r="G34" s="924"/>
      <c r="H34" s="924"/>
    </row>
    <row r="35" ht="26.25" customHeight="1">
      <c r="A35" s="937">
        <v>11.0</v>
      </c>
      <c r="B35" s="913" t="b">
        <v>0</v>
      </c>
      <c r="C35" s="1362" t="s">
        <v>9542</v>
      </c>
      <c r="D35" s="223" t="s">
        <v>9543</v>
      </c>
      <c r="E35" s="1362" t="s">
        <v>9544</v>
      </c>
      <c r="F35" s="924"/>
      <c r="G35" s="924"/>
      <c r="H35" s="924"/>
    </row>
    <row r="36" ht="26.25" customHeight="1">
      <c r="A36" s="912">
        <v>497.0</v>
      </c>
      <c r="B36" s="913" t="b">
        <v>0</v>
      </c>
      <c r="C36" s="1066" t="s">
        <v>9545</v>
      </c>
      <c r="D36" s="1003" t="s">
        <v>9546</v>
      </c>
      <c r="E36" s="1003">
        <v>3.5796525791E10</v>
      </c>
      <c r="F36" s="989" t="s">
        <v>145</v>
      </c>
      <c r="G36" s="924"/>
      <c r="H36" s="979" t="s">
        <v>8145</v>
      </c>
    </row>
    <row r="37" ht="26.25" customHeight="1">
      <c r="A37" s="937">
        <v>366.0</v>
      </c>
      <c r="B37" s="913" t="b">
        <v>0</v>
      </c>
      <c r="C37" s="1362" t="s">
        <v>9547</v>
      </c>
      <c r="D37" s="271"/>
      <c r="E37" s="1364"/>
      <c r="F37" s="924"/>
      <c r="G37" s="924"/>
      <c r="H37" s="924"/>
    </row>
    <row r="38" ht="26.25" customHeight="1">
      <c r="A38" s="937">
        <v>12.0</v>
      </c>
      <c r="B38" s="913" t="b">
        <v>0</v>
      </c>
      <c r="C38" s="1362" t="s">
        <v>9548</v>
      </c>
      <c r="D38" s="271"/>
      <c r="E38" s="1362" t="s">
        <v>9549</v>
      </c>
      <c r="F38" s="924"/>
      <c r="G38" s="924"/>
      <c r="H38" s="924"/>
    </row>
    <row r="39" ht="26.25" customHeight="1">
      <c r="A39" s="937">
        <v>176.0</v>
      </c>
      <c r="B39" s="913" t="b">
        <v>0</v>
      </c>
      <c r="C39" s="1362" t="s">
        <v>9550</v>
      </c>
      <c r="D39" s="271"/>
      <c r="E39" s="1362" t="s">
        <v>9549</v>
      </c>
      <c r="F39" s="924"/>
      <c r="G39" s="924"/>
      <c r="H39" s="924"/>
    </row>
    <row r="40" ht="26.25" customHeight="1">
      <c r="A40" s="937">
        <v>333.0</v>
      </c>
      <c r="B40" s="913" t="b">
        <v>0</v>
      </c>
      <c r="C40" s="1362" t="s">
        <v>9551</v>
      </c>
      <c r="D40" s="223" t="s">
        <v>9485</v>
      </c>
      <c r="E40" s="1364"/>
      <c r="F40" s="924"/>
      <c r="G40" s="924"/>
      <c r="H40" s="924"/>
    </row>
    <row r="41" ht="26.25" customHeight="1">
      <c r="A41" s="937">
        <v>339.0</v>
      </c>
      <c r="B41" s="913" t="b">
        <v>0</v>
      </c>
      <c r="C41" s="1362" t="s">
        <v>9552</v>
      </c>
      <c r="D41" s="271"/>
      <c r="E41" s="1364"/>
      <c r="F41" s="924"/>
      <c r="G41" s="924"/>
      <c r="H41" s="924"/>
    </row>
    <row r="42" ht="26.25" customHeight="1">
      <c r="A42" s="937">
        <v>209.0</v>
      </c>
      <c r="B42" s="913" t="b">
        <v>0</v>
      </c>
      <c r="C42" s="1362" t="s">
        <v>9553</v>
      </c>
      <c r="D42" s="271"/>
      <c r="E42" s="1362" t="s">
        <v>9554</v>
      </c>
      <c r="F42" s="924"/>
      <c r="G42" s="924"/>
      <c r="H42" s="924"/>
    </row>
    <row r="43" ht="26.25" customHeight="1">
      <c r="A43" s="937">
        <v>13.0</v>
      </c>
      <c r="B43" s="913" t="b">
        <v>0</v>
      </c>
      <c r="C43" s="1362" t="s">
        <v>9555</v>
      </c>
      <c r="D43" s="223" t="s">
        <v>9556</v>
      </c>
      <c r="E43" s="1364"/>
      <c r="F43" s="924"/>
      <c r="G43" s="924"/>
      <c r="H43" s="924"/>
    </row>
    <row r="44" ht="26.25" customHeight="1">
      <c r="A44" s="937">
        <v>236.0</v>
      </c>
      <c r="B44" s="913" t="b">
        <v>0</v>
      </c>
      <c r="C44" s="1277" t="s">
        <v>9557</v>
      </c>
      <c r="D44" s="271"/>
      <c r="E44" s="1362" t="s">
        <v>9558</v>
      </c>
      <c r="F44" s="924"/>
      <c r="G44" s="924"/>
      <c r="H44" s="924"/>
    </row>
    <row r="45" ht="26.25" customHeight="1">
      <c r="A45" s="937">
        <v>313.0</v>
      </c>
      <c r="B45" s="913" t="b">
        <v>0</v>
      </c>
      <c r="C45" s="1362" t="s">
        <v>9559</v>
      </c>
      <c r="D45" s="271"/>
      <c r="E45" s="1364"/>
      <c r="F45" s="924"/>
      <c r="G45" s="924"/>
      <c r="H45" s="924"/>
    </row>
    <row r="46" ht="26.25" customHeight="1">
      <c r="A46" s="937">
        <v>121.0</v>
      </c>
      <c r="B46" s="913" t="b">
        <v>0</v>
      </c>
      <c r="C46" s="1362" t="s">
        <v>9560</v>
      </c>
      <c r="D46" s="223" t="s">
        <v>9561</v>
      </c>
      <c r="E46" s="1362" t="s">
        <v>9562</v>
      </c>
      <c r="F46" s="924"/>
      <c r="G46" s="924"/>
      <c r="H46" s="924"/>
    </row>
    <row r="47" ht="26.25" customHeight="1">
      <c r="A47" s="937">
        <v>14.0</v>
      </c>
      <c r="B47" s="913" t="b">
        <v>0</v>
      </c>
      <c r="C47" s="1362" t="s">
        <v>9563</v>
      </c>
      <c r="D47" s="223" t="s">
        <v>9564</v>
      </c>
      <c r="E47" s="1362" t="s">
        <v>9565</v>
      </c>
      <c r="F47" s="924"/>
      <c r="G47" s="924"/>
      <c r="H47" s="924"/>
    </row>
    <row r="48" ht="26.25" customHeight="1">
      <c r="A48" s="937">
        <v>15.0</v>
      </c>
      <c r="B48" s="913" t="b">
        <v>0</v>
      </c>
      <c r="C48" s="1362" t="s">
        <v>9566</v>
      </c>
      <c r="D48" s="223" t="s">
        <v>9567</v>
      </c>
      <c r="E48" s="1362" t="s">
        <v>9568</v>
      </c>
      <c r="F48" s="924"/>
      <c r="G48" s="924"/>
      <c r="H48" s="924"/>
    </row>
    <row r="49" ht="26.25" customHeight="1">
      <c r="A49" s="937">
        <v>327.0</v>
      </c>
      <c r="B49" s="913" t="b">
        <v>0</v>
      </c>
      <c r="C49" s="1362" t="s">
        <v>9569</v>
      </c>
      <c r="D49" s="271"/>
      <c r="E49" s="1364"/>
      <c r="F49" s="924"/>
      <c r="G49" s="924"/>
      <c r="H49" s="924"/>
    </row>
    <row r="50" ht="22.5" hidden="1" customHeight="1">
      <c r="A50" s="937">
        <v>48.0</v>
      </c>
      <c r="B50" s="913" t="b">
        <v>0</v>
      </c>
      <c r="C50" s="1362" t="s">
        <v>9570</v>
      </c>
      <c r="D50" s="223" t="s">
        <v>9571</v>
      </c>
      <c r="E50" s="1362" t="s">
        <v>9572</v>
      </c>
      <c r="F50" s="924"/>
      <c r="G50" s="924"/>
      <c r="H50" s="924"/>
    </row>
    <row r="51" ht="22.5" customHeight="1">
      <c r="A51" s="937">
        <v>256.0</v>
      </c>
      <c r="B51" s="913" t="b">
        <v>0</v>
      </c>
      <c r="C51" s="1362" t="s">
        <v>9573</v>
      </c>
      <c r="D51" s="223" t="s">
        <v>9485</v>
      </c>
      <c r="E51" s="1364"/>
      <c r="F51" s="924"/>
      <c r="G51" s="924"/>
      <c r="H51" s="924"/>
    </row>
    <row r="52" ht="22.5" customHeight="1">
      <c r="A52" s="937">
        <v>16.0</v>
      </c>
      <c r="B52" s="913" t="b">
        <v>0</v>
      </c>
      <c r="C52" s="1362" t="s">
        <v>9574</v>
      </c>
      <c r="D52" s="223" t="s">
        <v>9575</v>
      </c>
      <c r="E52" s="1362" t="s">
        <v>9576</v>
      </c>
      <c r="F52" s="924"/>
      <c r="G52" s="924"/>
      <c r="H52" s="924"/>
    </row>
    <row r="53" ht="22.5" customHeight="1">
      <c r="A53" s="937">
        <v>283.0</v>
      </c>
      <c r="B53" s="913" t="b">
        <v>0</v>
      </c>
      <c r="C53" s="1362" t="s">
        <v>9577</v>
      </c>
      <c r="D53" s="223" t="s">
        <v>9485</v>
      </c>
      <c r="E53" s="1364"/>
      <c r="F53" s="924"/>
      <c r="G53" s="924"/>
      <c r="H53" s="924"/>
    </row>
    <row r="54" ht="22.5" customHeight="1">
      <c r="A54" s="937">
        <v>17.0</v>
      </c>
      <c r="B54" s="913" t="b">
        <v>0</v>
      </c>
      <c r="C54" s="1362" t="s">
        <v>9578</v>
      </c>
      <c r="D54" s="223" t="s">
        <v>9579</v>
      </c>
      <c r="E54" s="1362" t="s">
        <v>9580</v>
      </c>
      <c r="F54" s="924"/>
      <c r="G54" s="924"/>
      <c r="H54" s="924"/>
    </row>
    <row r="55" ht="22.5" customHeight="1">
      <c r="A55" s="937">
        <v>135.0</v>
      </c>
      <c r="B55" s="913" t="b">
        <v>0</v>
      </c>
      <c r="C55" s="1362" t="s">
        <v>9581</v>
      </c>
      <c r="D55" s="271"/>
      <c r="E55" s="1362" t="s">
        <v>9582</v>
      </c>
      <c r="F55" s="924"/>
      <c r="G55" s="924"/>
      <c r="H55" s="924"/>
    </row>
    <row r="56" ht="22.5" customHeight="1">
      <c r="A56" s="937">
        <v>311.0</v>
      </c>
      <c r="B56" s="913" t="b">
        <v>0</v>
      </c>
      <c r="C56" s="1362" t="s">
        <v>9583</v>
      </c>
      <c r="D56" s="271"/>
      <c r="E56" s="1364"/>
      <c r="F56" s="924"/>
      <c r="G56" s="924"/>
      <c r="H56" s="924"/>
    </row>
    <row r="57" ht="22.5" customHeight="1">
      <c r="A57" s="937">
        <v>207.0</v>
      </c>
      <c r="B57" s="913" t="b">
        <v>0</v>
      </c>
      <c r="C57" s="1362" t="s">
        <v>9584</v>
      </c>
      <c r="D57" s="223" t="s">
        <v>9585</v>
      </c>
      <c r="E57" s="1362" t="s">
        <v>9586</v>
      </c>
      <c r="F57" s="924"/>
      <c r="G57" s="924"/>
      <c r="H57" s="924"/>
    </row>
    <row r="58" ht="22.5" customHeight="1">
      <c r="A58" s="937">
        <v>160.0</v>
      </c>
      <c r="B58" s="913" t="b">
        <v>0</v>
      </c>
      <c r="C58" s="1362" t="s">
        <v>9587</v>
      </c>
      <c r="D58" s="271"/>
      <c r="E58" s="1364"/>
      <c r="F58" s="924"/>
      <c r="G58" s="924"/>
      <c r="H58" s="924"/>
    </row>
    <row r="59" ht="22.5" customHeight="1">
      <c r="A59" s="937">
        <v>292.0</v>
      </c>
      <c r="B59" s="913" t="b">
        <v>0</v>
      </c>
      <c r="C59" s="1362" t="s">
        <v>9588</v>
      </c>
      <c r="D59" s="1362" t="s">
        <v>9589</v>
      </c>
      <c r="E59" s="1367">
        <v>7.508698184E9</v>
      </c>
      <c r="F59" s="924"/>
      <c r="G59" s="924"/>
      <c r="H59" s="924"/>
    </row>
    <row r="60" ht="22.5" customHeight="1">
      <c r="A60" s="937">
        <v>328.0</v>
      </c>
      <c r="B60" s="913" t="b">
        <v>0</v>
      </c>
      <c r="C60" s="1362" t="s">
        <v>9590</v>
      </c>
      <c r="D60" s="223" t="s">
        <v>9485</v>
      </c>
      <c r="E60" s="1364"/>
      <c r="F60" s="924"/>
      <c r="G60" s="924"/>
      <c r="H60" s="924"/>
    </row>
    <row r="61" ht="22.5" customHeight="1">
      <c r="A61" s="937">
        <v>229.0</v>
      </c>
      <c r="B61" s="913" t="b">
        <v>0</v>
      </c>
      <c r="C61" s="1362" t="s">
        <v>9591</v>
      </c>
      <c r="D61" s="223" t="s">
        <v>9592</v>
      </c>
      <c r="E61" s="1362">
        <v>7.505078E9</v>
      </c>
      <c r="F61" s="924"/>
      <c r="G61" s="924"/>
      <c r="H61" s="924"/>
    </row>
    <row r="62" ht="22.5" customHeight="1">
      <c r="A62" s="937">
        <v>131.0</v>
      </c>
      <c r="B62" s="913" t="b">
        <v>0</v>
      </c>
      <c r="C62" s="1362" t="s">
        <v>9593</v>
      </c>
      <c r="D62" s="223" t="s">
        <v>9594</v>
      </c>
      <c r="E62" s="1362" t="s">
        <v>9595</v>
      </c>
      <c r="F62" s="924"/>
      <c r="G62" s="924"/>
      <c r="H62" s="924"/>
    </row>
    <row r="63" ht="22.5" customHeight="1">
      <c r="A63" s="937">
        <v>275.0</v>
      </c>
      <c r="B63" s="913" t="b">
        <v>0</v>
      </c>
      <c r="C63" s="1362" t="s">
        <v>9596</v>
      </c>
      <c r="D63" s="223" t="s">
        <v>9597</v>
      </c>
      <c r="E63" s="1368" t="s">
        <v>9598</v>
      </c>
      <c r="F63" s="924"/>
      <c r="G63" s="924"/>
      <c r="H63" s="924"/>
    </row>
    <row r="64" ht="22.5" customHeight="1">
      <c r="A64" s="937">
        <v>61.0</v>
      </c>
      <c r="B64" s="913" t="b">
        <v>0</v>
      </c>
      <c r="C64" s="1362" t="s">
        <v>9599</v>
      </c>
      <c r="D64" s="223" t="s">
        <v>9600</v>
      </c>
      <c r="E64" s="1277" t="s">
        <v>9601</v>
      </c>
      <c r="F64" s="924"/>
      <c r="G64" s="924"/>
      <c r="H64" s="924"/>
    </row>
    <row r="65" ht="22.5" customHeight="1">
      <c r="A65" s="937">
        <v>161.0</v>
      </c>
      <c r="B65" s="913" t="b">
        <v>0</v>
      </c>
      <c r="C65" s="1362" t="s">
        <v>9602</v>
      </c>
      <c r="D65" s="271"/>
      <c r="E65" s="1364"/>
      <c r="F65" s="924"/>
      <c r="G65" s="924"/>
      <c r="H65" s="924"/>
    </row>
    <row r="66" ht="22.5" customHeight="1">
      <c r="A66" s="937">
        <v>178.0</v>
      </c>
      <c r="B66" s="913" t="b">
        <v>0</v>
      </c>
      <c r="C66" s="1362" t="s">
        <v>9602</v>
      </c>
      <c r="D66" s="223" t="s">
        <v>9603</v>
      </c>
      <c r="E66" s="1364"/>
      <c r="F66" s="924"/>
      <c r="G66" s="924"/>
      <c r="H66" s="924"/>
    </row>
    <row r="67" ht="22.5" customHeight="1">
      <c r="A67" s="937">
        <v>211.0</v>
      </c>
      <c r="B67" s="913" t="b">
        <v>0</v>
      </c>
      <c r="C67" s="1277" t="s">
        <v>9604</v>
      </c>
      <c r="D67" s="1365" t="s">
        <v>929</v>
      </c>
      <c r="E67" s="1362" t="s">
        <v>9605</v>
      </c>
      <c r="F67" s="924"/>
      <c r="G67" s="924"/>
      <c r="H67" s="924"/>
    </row>
    <row r="68" ht="22.5" customHeight="1">
      <c r="A68" s="937">
        <v>133.0</v>
      </c>
      <c r="B68" s="913" t="b">
        <v>0</v>
      </c>
      <c r="C68" s="1362" t="s">
        <v>9606</v>
      </c>
      <c r="D68" s="271"/>
      <c r="E68" s="1362" t="s">
        <v>9607</v>
      </c>
      <c r="F68" s="924"/>
      <c r="G68" s="924"/>
      <c r="H68" s="924"/>
    </row>
    <row r="69" ht="22.5" customHeight="1">
      <c r="A69" s="937">
        <v>288.0</v>
      </c>
      <c r="B69" s="913" t="b">
        <v>0</v>
      </c>
      <c r="C69" s="1362" t="s">
        <v>9608</v>
      </c>
      <c r="D69" s="223" t="s">
        <v>9609</v>
      </c>
      <c r="E69" s="1277" t="s">
        <v>936</v>
      </c>
      <c r="F69" s="924"/>
      <c r="G69" s="924"/>
      <c r="H69" s="924"/>
    </row>
    <row r="70" ht="22.5" customHeight="1">
      <c r="A70" s="937">
        <v>314.0</v>
      </c>
      <c r="B70" s="913" t="b">
        <v>0</v>
      </c>
      <c r="C70" s="1362" t="s">
        <v>9610</v>
      </c>
      <c r="D70" s="271"/>
      <c r="E70" s="1364"/>
      <c r="F70" s="924"/>
      <c r="G70" s="924"/>
      <c r="H70" s="924"/>
    </row>
    <row r="71" ht="22.5" customHeight="1">
      <c r="A71" s="937">
        <v>381.0</v>
      </c>
      <c r="B71" s="913" t="b">
        <v>0</v>
      </c>
      <c r="C71" s="1362" t="s">
        <v>9611</v>
      </c>
      <c r="D71" s="271"/>
      <c r="E71" s="1364"/>
      <c r="F71" s="924"/>
      <c r="G71" s="924"/>
      <c r="H71" s="924"/>
    </row>
    <row r="72" ht="22.5" customHeight="1">
      <c r="A72" s="937">
        <v>18.0</v>
      </c>
      <c r="B72" s="913" t="b">
        <v>0</v>
      </c>
      <c r="C72" s="1362" t="s">
        <v>9612</v>
      </c>
      <c r="D72" s="223" t="s">
        <v>9613</v>
      </c>
      <c r="E72" s="1362" t="s">
        <v>9614</v>
      </c>
      <c r="F72" s="924"/>
      <c r="G72" s="924"/>
      <c r="H72" s="924"/>
    </row>
    <row r="73" ht="22.5" customHeight="1">
      <c r="A73" s="937">
        <v>273.0</v>
      </c>
      <c r="B73" s="913" t="b">
        <v>0</v>
      </c>
      <c r="C73" s="1362" t="s">
        <v>9615</v>
      </c>
      <c r="D73" s="223" t="s">
        <v>9485</v>
      </c>
      <c r="E73" s="1364"/>
      <c r="F73" s="924"/>
      <c r="G73" s="924"/>
      <c r="H73" s="924"/>
    </row>
    <row r="74" ht="22.5" customHeight="1">
      <c r="A74" s="937">
        <v>398.0</v>
      </c>
      <c r="B74" s="913" t="b">
        <v>0</v>
      </c>
      <c r="C74" s="1362" t="s">
        <v>9616</v>
      </c>
      <c r="D74" s="271"/>
      <c r="E74" s="1364"/>
      <c r="F74" s="924"/>
      <c r="G74" s="924"/>
      <c r="H74" s="924"/>
    </row>
    <row r="75" ht="22.5" customHeight="1">
      <c r="A75" s="937">
        <v>19.0</v>
      </c>
      <c r="B75" s="913" t="b">
        <v>0</v>
      </c>
      <c r="C75" s="1362" t="s">
        <v>9617</v>
      </c>
      <c r="D75" s="223" t="s">
        <v>9618</v>
      </c>
      <c r="E75" s="1362" t="s">
        <v>9619</v>
      </c>
      <c r="F75" s="924"/>
      <c r="G75" s="924"/>
      <c r="H75" s="924"/>
    </row>
    <row r="76" ht="22.5" customHeight="1">
      <c r="A76" s="912">
        <v>468.0</v>
      </c>
      <c r="B76" s="913" t="b">
        <v>0</v>
      </c>
      <c r="C76" s="1060" t="s">
        <v>9620</v>
      </c>
      <c r="D76" s="924"/>
      <c r="E76" s="924">
        <v>7.507001002E9</v>
      </c>
      <c r="F76" s="1060" t="s">
        <v>9621</v>
      </c>
      <c r="G76" s="924"/>
      <c r="H76" s="969" t="s">
        <v>9622</v>
      </c>
    </row>
    <row r="77" ht="22.5" customHeight="1">
      <c r="A77" s="937">
        <v>384.0</v>
      </c>
      <c r="B77" s="913" t="b">
        <v>0</v>
      </c>
      <c r="C77" s="1362" t="s">
        <v>9623</v>
      </c>
      <c r="D77" s="271"/>
      <c r="E77" s="1364"/>
      <c r="F77" s="924"/>
      <c r="G77" s="924"/>
      <c r="H77" s="924"/>
    </row>
    <row r="78" ht="22.5" customHeight="1">
      <c r="A78" s="937">
        <v>317.0</v>
      </c>
      <c r="B78" s="913" t="b">
        <v>0</v>
      </c>
      <c r="C78" s="1362" t="s">
        <v>9624</v>
      </c>
      <c r="D78" s="271"/>
      <c r="E78" s="1364"/>
      <c r="F78" s="924"/>
      <c r="G78" s="924"/>
      <c r="H78" s="924"/>
    </row>
    <row r="79" ht="22.5" customHeight="1">
      <c r="A79" s="937">
        <v>144.0</v>
      </c>
      <c r="B79" s="913" t="b">
        <v>0</v>
      </c>
      <c r="C79" s="1362" t="s">
        <v>9625</v>
      </c>
      <c r="D79" s="271"/>
      <c r="E79" s="1364"/>
      <c r="F79" s="924"/>
      <c r="G79" s="924"/>
      <c r="H79" s="924"/>
    </row>
    <row r="80" ht="22.5" customHeight="1">
      <c r="A80" s="937">
        <v>354.0</v>
      </c>
      <c r="B80" s="913" t="b">
        <v>0</v>
      </c>
      <c r="C80" s="1362" t="s">
        <v>9626</v>
      </c>
      <c r="D80" s="271"/>
      <c r="E80" s="1364"/>
      <c r="F80" s="924"/>
      <c r="G80" s="924"/>
      <c r="H80" s="924"/>
    </row>
    <row r="81" ht="22.5" customHeight="1">
      <c r="A81" s="937">
        <v>20.0</v>
      </c>
      <c r="B81" s="913" t="b">
        <v>0</v>
      </c>
      <c r="C81" s="1362" t="s">
        <v>9627</v>
      </c>
      <c r="D81" s="223" t="s">
        <v>9628</v>
      </c>
      <c r="E81" s="1362">
        <v>7.504490481E9</v>
      </c>
      <c r="F81" s="924"/>
      <c r="G81" s="924"/>
      <c r="H81" s="924"/>
    </row>
    <row r="82" ht="22.5" customHeight="1">
      <c r="A82" s="937">
        <v>242.0</v>
      </c>
      <c r="B82" s="913" t="b">
        <v>0</v>
      </c>
      <c r="C82" s="1362" t="s">
        <v>9629</v>
      </c>
      <c r="D82" s="271"/>
      <c r="E82" s="1364"/>
      <c r="F82" s="924"/>
      <c r="G82" s="924"/>
      <c r="H82" s="924"/>
    </row>
    <row r="83" ht="22.5" customHeight="1">
      <c r="A83" s="937">
        <v>248.0</v>
      </c>
      <c r="B83" s="913" t="b">
        <v>0</v>
      </c>
      <c r="C83" s="1362" t="s">
        <v>9630</v>
      </c>
      <c r="D83" s="223" t="s">
        <v>9631</v>
      </c>
      <c r="E83" s="1364"/>
      <c r="F83" s="924"/>
      <c r="G83" s="924"/>
      <c r="H83" s="924"/>
    </row>
    <row r="84" ht="22.5" customHeight="1">
      <c r="A84" s="937">
        <v>235.0</v>
      </c>
      <c r="B84" s="913" t="b">
        <v>0</v>
      </c>
      <c r="C84" s="1362" t="s">
        <v>9632</v>
      </c>
      <c r="D84" s="223" t="s">
        <v>9633</v>
      </c>
      <c r="E84" s="1362" t="s">
        <v>9634</v>
      </c>
      <c r="F84" s="924"/>
      <c r="G84" s="924"/>
      <c r="H84" s="924"/>
    </row>
    <row r="85" ht="22.5" customHeight="1">
      <c r="A85" s="937">
        <v>21.0</v>
      </c>
      <c r="B85" s="913" t="b">
        <v>0</v>
      </c>
      <c r="C85" s="1362" t="s">
        <v>9635</v>
      </c>
      <c r="D85" s="223" t="s">
        <v>9636</v>
      </c>
      <c r="E85" s="1362" t="s">
        <v>9637</v>
      </c>
      <c r="F85" s="924"/>
      <c r="G85" s="924"/>
      <c r="H85" s="924"/>
    </row>
    <row r="86" ht="22.5" customHeight="1">
      <c r="A86" s="912">
        <v>417.0</v>
      </c>
      <c r="B86" s="913" t="b">
        <v>0</v>
      </c>
      <c r="C86" s="966" t="s">
        <v>1909</v>
      </c>
      <c r="D86" s="924"/>
      <c r="E86" s="924">
        <v>7.502899666E9</v>
      </c>
      <c r="F86" s="924" t="s">
        <v>9638</v>
      </c>
      <c r="G86" s="924"/>
      <c r="H86" s="924"/>
    </row>
    <row r="87" ht="22.5" customHeight="1">
      <c r="A87" s="937">
        <v>358.0</v>
      </c>
      <c r="B87" s="913" t="b">
        <v>0</v>
      </c>
      <c r="C87" s="1362" t="s">
        <v>9639</v>
      </c>
      <c r="D87" s="271"/>
      <c r="E87" s="1364"/>
      <c r="F87" s="924"/>
      <c r="G87" s="924"/>
      <c r="H87" s="924"/>
    </row>
    <row r="88" ht="22.5" customHeight="1">
      <c r="A88" s="937">
        <v>232.0</v>
      </c>
      <c r="B88" s="913" t="b">
        <v>0</v>
      </c>
      <c r="C88" s="1362" t="s">
        <v>9640</v>
      </c>
      <c r="D88" s="223" t="s">
        <v>9641</v>
      </c>
      <c r="E88" s="1277" t="s">
        <v>9601</v>
      </c>
      <c r="F88" s="924"/>
      <c r="G88" s="924"/>
      <c r="H88" s="924"/>
    </row>
    <row r="89" ht="22.5" customHeight="1">
      <c r="A89" s="937">
        <v>22.0</v>
      </c>
      <c r="B89" s="913" t="b">
        <v>0</v>
      </c>
      <c r="C89" s="1362" t="s">
        <v>9642</v>
      </c>
      <c r="D89" s="223" t="s">
        <v>9643</v>
      </c>
      <c r="E89" s="1362" t="s">
        <v>9644</v>
      </c>
      <c r="F89" s="924"/>
      <c r="G89" s="924"/>
      <c r="H89" s="924"/>
    </row>
    <row r="90" ht="22.5" customHeight="1">
      <c r="A90" s="937">
        <v>234.0</v>
      </c>
      <c r="B90" s="913" t="b">
        <v>0</v>
      </c>
      <c r="C90" s="1362" t="s">
        <v>9645</v>
      </c>
      <c r="D90" s="223" t="s">
        <v>9646</v>
      </c>
      <c r="E90" s="1362" t="s">
        <v>9647</v>
      </c>
      <c r="F90" s="924"/>
      <c r="G90" s="924"/>
      <c r="H90" s="924"/>
    </row>
    <row r="91" ht="22.5" customHeight="1">
      <c r="A91" s="937">
        <v>350.0</v>
      </c>
      <c r="B91" s="913" t="b">
        <v>0</v>
      </c>
      <c r="C91" s="1362" t="s">
        <v>9648</v>
      </c>
      <c r="D91" s="271"/>
      <c r="E91" s="1364"/>
      <c r="F91" s="924"/>
      <c r="G91" s="924"/>
      <c r="H91" s="924"/>
    </row>
    <row r="92" ht="22.5" customHeight="1">
      <c r="A92" s="937">
        <v>23.0</v>
      </c>
      <c r="B92" s="913" t="b">
        <v>0</v>
      </c>
      <c r="C92" s="1362" t="s">
        <v>9649</v>
      </c>
      <c r="D92" s="223" t="s">
        <v>9650</v>
      </c>
      <c r="E92" s="1362">
        <v>7.824454949E9</v>
      </c>
      <c r="F92" s="924"/>
      <c r="G92" s="924"/>
      <c r="H92" s="924"/>
    </row>
    <row r="93" ht="22.5" customHeight="1">
      <c r="A93" s="937">
        <v>368.0</v>
      </c>
      <c r="B93" s="913" t="b">
        <v>0</v>
      </c>
      <c r="C93" s="1362" t="s">
        <v>9651</v>
      </c>
      <c r="D93" s="271"/>
      <c r="E93" s="1364"/>
      <c r="F93" s="924"/>
      <c r="G93" s="924"/>
      <c r="H93" s="924"/>
    </row>
    <row r="94" ht="22.5" customHeight="1">
      <c r="A94" s="937">
        <v>139.0</v>
      </c>
      <c r="B94" s="913" t="b">
        <v>0</v>
      </c>
      <c r="C94" s="1362" t="s">
        <v>9652</v>
      </c>
      <c r="D94" s="271"/>
      <c r="E94" s="1362" t="s">
        <v>9653</v>
      </c>
      <c r="F94" s="924"/>
      <c r="G94" s="924"/>
      <c r="H94" s="924"/>
    </row>
    <row r="95" ht="22.5" customHeight="1">
      <c r="A95" s="937">
        <v>137.0</v>
      </c>
      <c r="B95" s="913" t="b">
        <v>0</v>
      </c>
      <c r="C95" s="1362" t="s">
        <v>9654</v>
      </c>
      <c r="D95" s="223" t="s">
        <v>9655</v>
      </c>
      <c r="E95" s="1362" t="s">
        <v>9656</v>
      </c>
      <c r="F95" s="924"/>
      <c r="G95" s="924"/>
      <c r="H95" s="924"/>
    </row>
    <row r="96" ht="22.5" customHeight="1">
      <c r="A96" s="937">
        <v>320.0</v>
      </c>
      <c r="B96" s="913" t="b">
        <v>0</v>
      </c>
      <c r="C96" s="1362" t="s">
        <v>9657</v>
      </c>
      <c r="D96" s="223" t="s">
        <v>9485</v>
      </c>
      <c r="E96" s="1364"/>
      <c r="F96" s="924"/>
      <c r="G96" s="924"/>
      <c r="H96" s="924"/>
    </row>
    <row r="97" ht="22.5" customHeight="1">
      <c r="A97" s="937">
        <v>138.0</v>
      </c>
      <c r="B97" s="913" t="b">
        <v>0</v>
      </c>
      <c r="C97" s="1362" t="s">
        <v>9658</v>
      </c>
      <c r="D97" s="223" t="s">
        <v>9659</v>
      </c>
      <c r="E97" s="1362" t="s">
        <v>9660</v>
      </c>
      <c r="F97" s="924"/>
      <c r="G97" s="924"/>
      <c r="H97" s="924"/>
    </row>
    <row r="98" ht="22.5" customHeight="1">
      <c r="A98" s="937">
        <v>336.0</v>
      </c>
      <c r="B98" s="913" t="b">
        <v>0</v>
      </c>
      <c r="C98" s="1362" t="s">
        <v>9661</v>
      </c>
      <c r="D98" s="271"/>
      <c r="E98" s="1364"/>
      <c r="F98" s="924"/>
      <c r="G98" s="924"/>
      <c r="H98" s="924"/>
    </row>
    <row r="99" ht="22.5" customHeight="1">
      <c r="A99" s="937">
        <v>344.0</v>
      </c>
      <c r="B99" s="913" t="b">
        <v>0</v>
      </c>
      <c r="C99" s="1362" t="s">
        <v>9661</v>
      </c>
      <c r="D99" s="223" t="s">
        <v>9485</v>
      </c>
      <c r="E99" s="1364"/>
      <c r="F99" s="924"/>
      <c r="G99" s="924"/>
      <c r="H99" s="924"/>
    </row>
    <row r="100" ht="22.5" customHeight="1">
      <c r="A100" s="937">
        <v>24.0</v>
      </c>
      <c r="B100" s="913" t="b">
        <v>0</v>
      </c>
      <c r="C100" s="1362" t="s">
        <v>9662</v>
      </c>
      <c r="D100" s="223" t="s">
        <v>9663</v>
      </c>
      <c r="E100" s="1362" t="s">
        <v>9664</v>
      </c>
      <c r="F100" s="924"/>
      <c r="G100" s="924"/>
      <c r="H100" s="924"/>
    </row>
    <row r="101" ht="22.5" customHeight="1">
      <c r="A101" s="937">
        <v>25.0</v>
      </c>
      <c r="B101" s="913" t="b">
        <v>0</v>
      </c>
      <c r="C101" s="1362" t="s">
        <v>9665</v>
      </c>
      <c r="D101" s="223" t="s">
        <v>9666</v>
      </c>
      <c r="E101" s="1362" t="s">
        <v>9667</v>
      </c>
      <c r="F101" s="924"/>
      <c r="G101" s="924"/>
      <c r="H101" s="924"/>
    </row>
    <row r="102" ht="22.5" customHeight="1">
      <c r="A102" s="937">
        <v>346.0</v>
      </c>
      <c r="B102" s="913" t="b">
        <v>0</v>
      </c>
      <c r="C102" s="1362" t="s">
        <v>9668</v>
      </c>
      <c r="D102" s="223" t="s">
        <v>9485</v>
      </c>
      <c r="E102" s="1364"/>
      <c r="F102" s="924"/>
      <c r="G102" s="924"/>
      <c r="H102" s="924"/>
    </row>
    <row r="103" ht="22.5" customHeight="1">
      <c r="A103" s="937">
        <v>101.0</v>
      </c>
      <c r="B103" s="913" t="b">
        <v>0</v>
      </c>
      <c r="C103" s="1362" t="s">
        <v>9669</v>
      </c>
      <c r="D103" s="223" t="s">
        <v>9670</v>
      </c>
      <c r="E103" s="1362" t="s">
        <v>9671</v>
      </c>
      <c r="F103" s="924"/>
      <c r="G103" s="924"/>
      <c r="H103" s="924"/>
    </row>
    <row r="104" ht="22.5" customHeight="1">
      <c r="A104" s="937">
        <v>26.0</v>
      </c>
      <c r="B104" s="913" t="b">
        <v>0</v>
      </c>
      <c r="C104" s="1362" t="s">
        <v>9672</v>
      </c>
      <c r="D104" s="223" t="s">
        <v>738</v>
      </c>
      <c r="E104" s="1362" t="s">
        <v>9673</v>
      </c>
      <c r="F104" s="924"/>
      <c r="G104" s="924"/>
      <c r="H104" s="924"/>
    </row>
    <row r="105" ht="22.5" customHeight="1">
      <c r="A105" s="937">
        <v>167.0</v>
      </c>
      <c r="B105" s="913" t="b">
        <v>0</v>
      </c>
      <c r="C105" s="1362" t="s">
        <v>9674</v>
      </c>
      <c r="D105" s="271"/>
      <c r="E105" s="1364"/>
      <c r="F105" s="924"/>
      <c r="G105" s="924"/>
      <c r="H105" s="924"/>
    </row>
    <row r="106" ht="22.5" customHeight="1">
      <c r="A106" s="937">
        <v>108.0</v>
      </c>
      <c r="B106" s="913" t="b">
        <v>0</v>
      </c>
      <c r="C106" s="1362" t="s">
        <v>9675</v>
      </c>
      <c r="D106" s="223" t="s">
        <v>9676</v>
      </c>
      <c r="E106" s="1362" t="s">
        <v>9677</v>
      </c>
      <c r="F106" s="924"/>
      <c r="G106" s="924"/>
      <c r="H106" s="924"/>
    </row>
    <row r="107" ht="22.5" customHeight="1">
      <c r="A107" s="937">
        <v>324.0</v>
      </c>
      <c r="B107" s="913" t="b">
        <v>0</v>
      </c>
      <c r="C107" s="1362" t="s">
        <v>9678</v>
      </c>
      <c r="D107" s="271"/>
      <c r="E107" s="1364"/>
      <c r="F107" s="924"/>
      <c r="G107" s="924"/>
      <c r="H107" s="924"/>
    </row>
    <row r="108" ht="22.5" customHeight="1">
      <c r="A108" s="937">
        <v>300.0</v>
      </c>
      <c r="B108" s="913" t="b">
        <v>0</v>
      </c>
      <c r="C108" s="1362" t="s">
        <v>9679</v>
      </c>
      <c r="D108" s="1369" t="s">
        <v>9680</v>
      </c>
      <c r="E108" s="1370" t="s">
        <v>9681</v>
      </c>
      <c r="F108" s="924"/>
      <c r="G108" s="924"/>
      <c r="H108" s="924"/>
    </row>
    <row r="109" ht="22.5" customHeight="1">
      <c r="A109" s="937">
        <v>202.0</v>
      </c>
      <c r="B109" s="913" t="b">
        <v>0</v>
      </c>
      <c r="C109" s="1362" t="s">
        <v>9682</v>
      </c>
      <c r="D109" s="223" t="s">
        <v>9683</v>
      </c>
      <c r="E109" s="1362" t="s">
        <v>9684</v>
      </c>
      <c r="F109" s="924"/>
      <c r="G109" s="924"/>
      <c r="H109" s="924"/>
    </row>
    <row r="110" ht="22.5" customHeight="1">
      <c r="A110" s="937">
        <v>319.0</v>
      </c>
      <c r="B110" s="913" t="b">
        <v>0</v>
      </c>
      <c r="C110" s="1362" t="s">
        <v>9685</v>
      </c>
      <c r="D110" s="271"/>
      <c r="E110" s="1364"/>
      <c r="F110" s="924"/>
      <c r="G110" s="924"/>
      <c r="H110" s="924"/>
    </row>
    <row r="111" ht="22.5" customHeight="1">
      <c r="A111" s="937"/>
      <c r="B111" s="913" t="b">
        <v>0</v>
      </c>
      <c r="C111" s="1362" t="s">
        <v>9686</v>
      </c>
      <c r="D111" s="271"/>
      <c r="E111" s="1362" t="s">
        <v>9687</v>
      </c>
      <c r="F111" s="924"/>
      <c r="G111" s="924"/>
      <c r="H111" s="924"/>
    </row>
    <row r="112" ht="22.5" customHeight="1">
      <c r="A112" s="937">
        <v>110.0</v>
      </c>
      <c r="B112" s="913" t="b">
        <v>0</v>
      </c>
      <c r="C112" s="1362" t="s">
        <v>9688</v>
      </c>
      <c r="D112" s="223" t="s">
        <v>9689</v>
      </c>
      <c r="E112" s="1362" t="s">
        <v>9690</v>
      </c>
      <c r="F112" s="924"/>
      <c r="G112" s="924"/>
      <c r="H112" s="924"/>
    </row>
    <row r="113" ht="22.5" customHeight="1">
      <c r="A113" s="937">
        <v>348.0</v>
      </c>
      <c r="B113" s="913" t="b">
        <v>0</v>
      </c>
      <c r="C113" s="1362" t="s">
        <v>805</v>
      </c>
      <c r="D113" s="271"/>
      <c r="E113" s="1364"/>
      <c r="F113" s="924"/>
      <c r="G113" s="924"/>
      <c r="H113" s="924"/>
    </row>
    <row r="114" ht="22.5" customHeight="1">
      <c r="A114" s="937">
        <v>27.0</v>
      </c>
      <c r="B114" s="913" t="b">
        <v>0</v>
      </c>
      <c r="C114" s="1362" t="s">
        <v>9691</v>
      </c>
      <c r="D114" s="271"/>
      <c r="E114" s="1362" t="s">
        <v>9692</v>
      </c>
      <c r="F114" s="924"/>
      <c r="G114" s="924"/>
      <c r="H114" s="924"/>
    </row>
    <row r="115" ht="22.5" customHeight="1">
      <c r="A115" s="937">
        <v>225.0</v>
      </c>
      <c r="B115" s="913" t="b">
        <v>0</v>
      </c>
      <c r="C115" s="1362" t="s">
        <v>9693</v>
      </c>
      <c r="D115" s="223" t="s">
        <v>9694</v>
      </c>
      <c r="E115" s="1362" t="s">
        <v>9695</v>
      </c>
      <c r="F115" s="924"/>
      <c r="G115" s="924"/>
      <c r="H115" s="924"/>
    </row>
    <row r="116" ht="22.5" customHeight="1">
      <c r="A116" s="937">
        <v>28.0</v>
      </c>
      <c r="B116" s="913" t="b">
        <v>0</v>
      </c>
      <c r="C116" s="1362" t="s">
        <v>9696</v>
      </c>
      <c r="D116" s="223" t="s">
        <v>9697</v>
      </c>
      <c r="E116" s="1362" t="s">
        <v>9698</v>
      </c>
      <c r="F116" s="924"/>
      <c r="G116" s="924"/>
      <c r="H116" s="924"/>
    </row>
    <row r="117" ht="22.5" customHeight="1">
      <c r="A117" s="937">
        <v>195.0</v>
      </c>
      <c r="B117" s="913" t="b">
        <v>0</v>
      </c>
      <c r="C117" s="1362" t="s">
        <v>9699</v>
      </c>
      <c r="D117" s="271"/>
      <c r="E117" s="1362" t="s">
        <v>9700</v>
      </c>
      <c r="F117" s="924"/>
      <c r="G117" s="924"/>
      <c r="H117" s="924"/>
    </row>
    <row r="118" ht="22.5" customHeight="1">
      <c r="A118" s="937">
        <v>267.0</v>
      </c>
      <c r="B118" s="913" t="b">
        <v>0</v>
      </c>
      <c r="C118" s="1362" t="s">
        <v>9701</v>
      </c>
      <c r="D118" s="223" t="s">
        <v>9485</v>
      </c>
      <c r="E118" s="1364"/>
      <c r="F118" s="924"/>
      <c r="G118" s="924"/>
      <c r="H118" s="924"/>
    </row>
    <row r="119" ht="22.5" customHeight="1">
      <c r="A119" s="912">
        <v>480.0</v>
      </c>
      <c r="B119" s="913" t="b">
        <v>0</v>
      </c>
      <c r="C119" s="966" t="s">
        <v>9702</v>
      </c>
      <c r="D119" s="924" t="s">
        <v>677</v>
      </c>
      <c r="E119" s="924">
        <v>7.505596E9</v>
      </c>
      <c r="F119" s="924"/>
      <c r="G119" s="924"/>
      <c r="H119" s="924"/>
    </row>
    <row r="120" ht="22.5" customHeight="1">
      <c r="A120" s="937">
        <v>363.0</v>
      </c>
      <c r="B120" s="913" t="b">
        <v>0</v>
      </c>
      <c r="C120" s="1362" t="s">
        <v>9703</v>
      </c>
      <c r="D120" s="271"/>
      <c r="E120" s="1364"/>
      <c r="F120" s="924"/>
      <c r="G120" s="924"/>
      <c r="H120" s="924"/>
    </row>
    <row r="121" ht="22.5" customHeight="1">
      <c r="A121" s="937">
        <v>396.0</v>
      </c>
      <c r="B121" s="913" t="b">
        <v>0</v>
      </c>
      <c r="C121" s="1362" t="s">
        <v>9704</v>
      </c>
      <c r="D121" s="271"/>
      <c r="E121" s="1364"/>
      <c r="F121" s="924"/>
      <c r="G121" s="924"/>
      <c r="H121" s="924"/>
    </row>
    <row r="122" ht="22.5" customHeight="1">
      <c r="A122" s="937">
        <v>309.0</v>
      </c>
      <c r="B122" s="913" t="b">
        <v>0</v>
      </c>
      <c r="C122" s="1362" t="s">
        <v>9705</v>
      </c>
      <c r="D122" s="271"/>
      <c r="E122" s="1364"/>
      <c r="F122" s="924"/>
      <c r="G122" s="924"/>
      <c r="H122" s="924"/>
    </row>
    <row r="123" ht="22.5" customHeight="1">
      <c r="A123" s="937">
        <v>29.0</v>
      </c>
      <c r="B123" s="913" t="b">
        <v>0</v>
      </c>
      <c r="C123" s="1362" t="s">
        <v>9706</v>
      </c>
      <c r="D123" s="223" t="s">
        <v>9707</v>
      </c>
      <c r="E123" s="1362" t="s">
        <v>9708</v>
      </c>
      <c r="F123" s="924"/>
      <c r="G123" s="924"/>
      <c r="H123" s="924"/>
    </row>
    <row r="124" ht="22.5" customHeight="1">
      <c r="A124" s="937">
        <v>245.0</v>
      </c>
      <c r="B124" s="913" t="b">
        <v>0</v>
      </c>
      <c r="C124" s="1362" t="s">
        <v>9709</v>
      </c>
      <c r="D124" s="236" t="s">
        <v>9710</v>
      </c>
      <c r="E124" s="1364"/>
      <c r="F124" s="924"/>
      <c r="G124" s="924"/>
      <c r="H124" s="924"/>
    </row>
    <row r="125" ht="22.5" customHeight="1">
      <c r="A125" s="937">
        <v>30.0</v>
      </c>
      <c r="B125" s="913" t="b">
        <v>0</v>
      </c>
      <c r="C125" s="1362" t="s">
        <v>9711</v>
      </c>
      <c r="D125" s="223" t="s">
        <v>9712</v>
      </c>
      <c r="E125" s="1362" t="s">
        <v>9713</v>
      </c>
      <c r="F125" s="924"/>
      <c r="G125" s="924"/>
      <c r="H125" s="924"/>
    </row>
    <row r="126" ht="22.5" customHeight="1">
      <c r="A126" s="937">
        <v>173.0</v>
      </c>
      <c r="B126" s="913" t="b">
        <v>0</v>
      </c>
      <c r="C126" s="1362" t="s">
        <v>9714</v>
      </c>
      <c r="D126" s="271"/>
      <c r="E126" s="1364"/>
      <c r="F126" s="924"/>
      <c r="G126" s="924"/>
      <c r="H126" s="924"/>
    </row>
    <row r="127" ht="22.5" customHeight="1">
      <c r="A127" s="937">
        <v>301.0</v>
      </c>
      <c r="B127" s="913" t="b">
        <v>0</v>
      </c>
      <c r="C127" s="1362" t="s">
        <v>9715</v>
      </c>
      <c r="D127" s="1369" t="s">
        <v>9716</v>
      </c>
      <c r="E127" s="1364"/>
      <c r="F127" s="924"/>
      <c r="G127" s="924"/>
      <c r="H127" s="924"/>
    </row>
    <row r="128" ht="22.5" customHeight="1">
      <c r="A128" s="937">
        <v>377.0</v>
      </c>
      <c r="B128" s="913" t="b">
        <v>0</v>
      </c>
      <c r="C128" s="1362" t="s">
        <v>9717</v>
      </c>
      <c r="D128" s="271"/>
      <c r="E128" s="1364"/>
      <c r="F128" s="924"/>
      <c r="G128" s="924"/>
      <c r="H128" s="924"/>
    </row>
    <row r="129" ht="22.5" customHeight="1">
      <c r="A129" s="937">
        <v>31.0</v>
      </c>
      <c r="B129" s="913" t="b">
        <v>0</v>
      </c>
      <c r="C129" s="1362" t="s">
        <v>989</v>
      </c>
      <c r="D129" s="223" t="s">
        <v>9718</v>
      </c>
      <c r="E129" s="1362" t="s">
        <v>9719</v>
      </c>
      <c r="F129" s="924"/>
      <c r="G129" s="924"/>
      <c r="H129" s="924"/>
    </row>
    <row r="130" ht="22.5" customHeight="1">
      <c r="A130" s="937">
        <v>117.0</v>
      </c>
      <c r="B130" s="913" t="b">
        <v>0</v>
      </c>
      <c r="C130" s="1362" t="s">
        <v>9720</v>
      </c>
      <c r="D130" s="271"/>
      <c r="E130" s="1362" t="s">
        <v>9721</v>
      </c>
      <c r="F130" s="924"/>
      <c r="G130" s="924"/>
      <c r="H130" s="924"/>
    </row>
    <row r="131" ht="22.5" customHeight="1">
      <c r="A131" s="937">
        <v>289.0</v>
      </c>
      <c r="B131" s="913" t="b">
        <v>0</v>
      </c>
      <c r="C131" s="1362" t="s">
        <v>9722</v>
      </c>
      <c r="D131" s="223" t="s">
        <v>9485</v>
      </c>
      <c r="E131" s="1364"/>
      <c r="F131" s="924"/>
      <c r="G131" s="924"/>
      <c r="H131" s="924"/>
    </row>
    <row r="132" ht="22.5" customHeight="1">
      <c r="A132" s="937">
        <v>123.0</v>
      </c>
      <c r="B132" s="913" t="b">
        <v>0</v>
      </c>
      <c r="C132" s="1362" t="s">
        <v>9723</v>
      </c>
      <c r="D132" s="1371" t="s">
        <v>9724</v>
      </c>
      <c r="E132" s="1362" t="s">
        <v>9725</v>
      </c>
      <c r="F132" s="924"/>
      <c r="G132" s="924"/>
      <c r="H132" s="924"/>
    </row>
    <row r="133" ht="22.5" customHeight="1">
      <c r="A133" s="937">
        <v>335.0</v>
      </c>
      <c r="B133" s="913" t="b">
        <v>0</v>
      </c>
      <c r="C133" s="1362" t="s">
        <v>9726</v>
      </c>
      <c r="D133" s="271"/>
      <c r="E133" s="1364"/>
      <c r="F133" s="924"/>
      <c r="G133" s="924"/>
      <c r="H133" s="924"/>
    </row>
    <row r="134" ht="22.5" customHeight="1">
      <c r="A134" s="937">
        <v>243.0</v>
      </c>
      <c r="B134" s="913" t="b">
        <v>0</v>
      </c>
      <c r="C134" s="1362" t="s">
        <v>9727</v>
      </c>
      <c r="D134" s="271"/>
      <c r="E134" s="1364"/>
      <c r="F134" s="924"/>
      <c r="G134" s="924"/>
      <c r="H134" s="924"/>
    </row>
    <row r="135" ht="22.5" customHeight="1">
      <c r="A135" s="937">
        <v>32.0</v>
      </c>
      <c r="B135" s="913" t="b">
        <v>0</v>
      </c>
      <c r="C135" s="1362" t="s">
        <v>754</v>
      </c>
      <c r="D135" s="223" t="s">
        <v>9728</v>
      </c>
      <c r="E135" s="1362" t="s">
        <v>9729</v>
      </c>
      <c r="F135" s="924"/>
      <c r="G135" s="924"/>
      <c r="H135" s="924"/>
    </row>
    <row r="136" ht="22.5" customHeight="1">
      <c r="A136" s="937">
        <v>33.0</v>
      </c>
      <c r="B136" s="913" t="b">
        <v>0</v>
      </c>
      <c r="C136" s="1362" t="s">
        <v>9730</v>
      </c>
      <c r="D136" s="223" t="s">
        <v>9731</v>
      </c>
      <c r="E136" s="1362" t="s">
        <v>9732</v>
      </c>
      <c r="F136" s="924"/>
      <c r="G136" s="924"/>
      <c r="H136" s="924"/>
    </row>
    <row r="137" ht="22.5" customHeight="1">
      <c r="A137" s="937">
        <v>220.0</v>
      </c>
      <c r="B137" s="913" t="b">
        <v>0</v>
      </c>
      <c r="C137" s="1362" t="s">
        <v>9733</v>
      </c>
      <c r="D137" s="223" t="s">
        <v>364</v>
      </c>
      <c r="E137" s="1362" t="s">
        <v>9734</v>
      </c>
      <c r="F137" s="924"/>
      <c r="G137" s="924"/>
      <c r="H137" s="924"/>
    </row>
    <row r="138" ht="22.5" customHeight="1">
      <c r="A138" s="937">
        <v>165.0</v>
      </c>
      <c r="B138" s="913" t="b">
        <v>0</v>
      </c>
      <c r="C138" s="1362" t="s">
        <v>9735</v>
      </c>
      <c r="D138" s="271"/>
      <c r="E138" s="1364"/>
      <c r="F138" s="924"/>
      <c r="G138" s="924"/>
      <c r="H138" s="924"/>
    </row>
    <row r="139" ht="22.5" customHeight="1">
      <c r="A139" s="937">
        <v>180.0</v>
      </c>
      <c r="B139" s="913" t="b">
        <v>0</v>
      </c>
      <c r="C139" s="1362" t="s">
        <v>9736</v>
      </c>
      <c r="D139" s="223" t="s">
        <v>9737</v>
      </c>
      <c r="E139" s="1362" t="s">
        <v>9738</v>
      </c>
      <c r="F139" s="924"/>
      <c r="G139" s="924"/>
      <c r="H139" s="924"/>
    </row>
    <row r="140" ht="22.5" customHeight="1">
      <c r="A140" s="937">
        <v>132.0</v>
      </c>
      <c r="B140" s="913" t="b">
        <v>0</v>
      </c>
      <c r="C140" s="1362" t="s">
        <v>9739</v>
      </c>
      <c r="D140" s="271"/>
      <c r="E140" s="1362" t="s">
        <v>9740</v>
      </c>
      <c r="F140" s="924"/>
      <c r="G140" s="924"/>
      <c r="H140" s="924"/>
    </row>
    <row r="141" ht="22.5" customHeight="1">
      <c r="A141" s="937">
        <v>304.0</v>
      </c>
      <c r="B141" s="913" t="b">
        <v>0</v>
      </c>
      <c r="C141" s="1362" t="s">
        <v>9741</v>
      </c>
      <c r="D141" s="1369" t="s">
        <v>9742</v>
      </c>
      <c r="E141" s="1364"/>
      <c r="F141" s="924"/>
      <c r="G141" s="924"/>
      <c r="H141" s="924"/>
    </row>
    <row r="142" ht="22.5" customHeight="1">
      <c r="A142" s="937">
        <v>34.0</v>
      </c>
      <c r="B142" s="913" t="b">
        <v>0</v>
      </c>
      <c r="C142" s="1362" t="s">
        <v>9743</v>
      </c>
      <c r="D142" s="223" t="s">
        <v>9744</v>
      </c>
      <c r="E142" s="1362" t="s">
        <v>9745</v>
      </c>
      <c r="F142" s="924"/>
      <c r="G142" s="924"/>
      <c r="H142" s="924"/>
    </row>
    <row r="143" ht="22.5" customHeight="1">
      <c r="A143" s="937">
        <v>190.0</v>
      </c>
      <c r="B143" s="913" t="b">
        <v>0</v>
      </c>
      <c r="C143" s="1362" t="s">
        <v>9746</v>
      </c>
      <c r="D143" s="271"/>
      <c r="E143" s="1362" t="s">
        <v>9747</v>
      </c>
      <c r="F143" s="924"/>
      <c r="G143" s="924"/>
      <c r="H143" s="924"/>
    </row>
    <row r="144" ht="22.5" customHeight="1">
      <c r="A144" s="937">
        <v>391.0</v>
      </c>
      <c r="B144" s="913" t="b">
        <v>0</v>
      </c>
      <c r="C144" s="1362" t="s">
        <v>9748</v>
      </c>
      <c r="D144" s="271"/>
      <c r="E144" s="1364"/>
      <c r="F144" s="924"/>
      <c r="G144" s="924"/>
      <c r="H144" s="924"/>
    </row>
    <row r="145" ht="22.5" customHeight="1">
      <c r="A145" s="937">
        <v>399.0</v>
      </c>
      <c r="B145" s="913" t="b">
        <v>0</v>
      </c>
      <c r="C145" s="1362" t="s">
        <v>9749</v>
      </c>
      <c r="D145" s="223">
        <v>7.504455433E9</v>
      </c>
      <c r="E145" s="1364"/>
      <c r="F145" s="924"/>
      <c r="G145" s="924"/>
      <c r="H145" s="924"/>
    </row>
    <row r="146" ht="22.5" customHeight="1">
      <c r="A146" s="937">
        <v>169.0</v>
      </c>
      <c r="B146" s="913" t="b">
        <v>0</v>
      </c>
      <c r="C146" s="1362" t="s">
        <v>9750</v>
      </c>
      <c r="D146" s="271"/>
      <c r="E146" s="1362" t="s">
        <v>9751</v>
      </c>
      <c r="F146" s="924"/>
      <c r="G146" s="924"/>
      <c r="H146" s="924"/>
    </row>
    <row r="147" ht="22.5" customHeight="1">
      <c r="A147" s="937">
        <v>198.0</v>
      </c>
      <c r="B147" s="913" t="b">
        <v>0</v>
      </c>
      <c r="C147" s="1362" t="s">
        <v>9752</v>
      </c>
      <c r="D147" s="223" t="s">
        <v>9753</v>
      </c>
      <c r="E147" s="1362" t="s">
        <v>9754</v>
      </c>
      <c r="F147" s="924"/>
      <c r="G147" s="924"/>
      <c r="H147" s="924"/>
    </row>
    <row r="148" ht="22.5" customHeight="1">
      <c r="A148" s="937">
        <v>35.0</v>
      </c>
      <c r="B148" s="913" t="b">
        <v>0</v>
      </c>
      <c r="C148" s="1362" t="s">
        <v>9755</v>
      </c>
      <c r="D148" s="223" t="s">
        <v>9756</v>
      </c>
      <c r="E148" s="1362" t="s">
        <v>9757</v>
      </c>
      <c r="F148" s="924"/>
      <c r="G148" s="924"/>
      <c r="H148" s="924"/>
    </row>
    <row r="149" ht="22.5" customHeight="1">
      <c r="A149" s="937">
        <v>177.0</v>
      </c>
      <c r="B149" s="913" t="b">
        <v>0</v>
      </c>
      <c r="C149" s="1362" t="s">
        <v>9755</v>
      </c>
      <c r="D149" s="223" t="s">
        <v>9758</v>
      </c>
      <c r="E149" s="1362" t="s">
        <v>9757</v>
      </c>
      <c r="F149" s="924"/>
      <c r="G149" s="924"/>
      <c r="H149" s="924"/>
    </row>
    <row r="150" ht="22.5" customHeight="1">
      <c r="A150" s="937">
        <v>125.0</v>
      </c>
      <c r="B150" s="913" t="b">
        <v>0</v>
      </c>
      <c r="C150" s="1362" t="s">
        <v>9759</v>
      </c>
      <c r="D150" s="223" t="s">
        <v>9760</v>
      </c>
      <c r="E150" s="1362" t="s">
        <v>9761</v>
      </c>
      <c r="F150" s="924"/>
      <c r="G150" s="924"/>
      <c r="H150" s="924"/>
    </row>
    <row r="151" ht="22.5" customHeight="1">
      <c r="A151" s="937">
        <v>126.0</v>
      </c>
      <c r="B151" s="913" t="b">
        <v>0</v>
      </c>
      <c r="C151" s="1362" t="s">
        <v>9759</v>
      </c>
      <c r="D151" s="223" t="s">
        <v>9636</v>
      </c>
      <c r="E151" s="1362" t="s">
        <v>9762</v>
      </c>
      <c r="F151" s="924"/>
      <c r="G151" s="924"/>
      <c r="H151" s="924"/>
    </row>
    <row r="152" ht="22.5" customHeight="1">
      <c r="A152" s="937">
        <v>345.0</v>
      </c>
      <c r="B152" s="913" t="b">
        <v>0</v>
      </c>
      <c r="C152" s="1362" t="s">
        <v>9763</v>
      </c>
      <c r="D152" s="223" t="s">
        <v>9485</v>
      </c>
      <c r="E152" s="1364"/>
      <c r="F152" s="924"/>
      <c r="G152" s="924"/>
      <c r="H152" s="924"/>
    </row>
    <row r="153" ht="22.5" customHeight="1">
      <c r="A153" s="937">
        <v>393.0</v>
      </c>
      <c r="B153" s="913" t="b">
        <v>0</v>
      </c>
      <c r="C153" s="1362" t="s">
        <v>9764</v>
      </c>
      <c r="D153" s="223" t="s">
        <v>9485</v>
      </c>
      <c r="E153" s="1364"/>
      <c r="F153" s="924"/>
      <c r="G153" s="924"/>
      <c r="H153" s="924"/>
    </row>
    <row r="154" ht="22.5" customHeight="1">
      <c r="A154" s="937">
        <v>364.0</v>
      </c>
      <c r="B154" s="913" t="b">
        <v>0</v>
      </c>
      <c r="C154" s="1362" t="s">
        <v>9765</v>
      </c>
      <c r="D154" s="271"/>
      <c r="E154" s="1364"/>
      <c r="F154" s="924"/>
      <c r="G154" s="924"/>
      <c r="H154" s="924"/>
    </row>
    <row r="155" ht="22.5" customHeight="1">
      <c r="A155" s="937">
        <v>36.0</v>
      </c>
      <c r="B155" s="913" t="b">
        <v>0</v>
      </c>
      <c r="C155" s="1362" t="s">
        <v>9766</v>
      </c>
      <c r="D155" s="223" t="s">
        <v>9636</v>
      </c>
      <c r="E155" s="1362" t="s">
        <v>9767</v>
      </c>
      <c r="F155" s="924"/>
      <c r="G155" s="924"/>
      <c r="H155" s="924"/>
    </row>
    <row r="156" ht="22.5" customHeight="1">
      <c r="A156" s="937">
        <v>174.0</v>
      </c>
      <c r="B156" s="913" t="b">
        <v>0</v>
      </c>
      <c r="C156" s="1362" t="s">
        <v>9768</v>
      </c>
      <c r="D156" s="271"/>
      <c r="E156" s="1364"/>
      <c r="F156" s="924"/>
      <c r="G156" s="924"/>
      <c r="H156" s="924"/>
    </row>
    <row r="157" ht="22.5" customHeight="1">
      <c r="A157" s="937">
        <v>214.0</v>
      </c>
      <c r="B157" s="913" t="b">
        <v>0</v>
      </c>
      <c r="C157" s="1277" t="s">
        <v>9769</v>
      </c>
      <c r="D157" s="1365" t="s">
        <v>9770</v>
      </c>
      <c r="E157" s="1362" t="s">
        <v>9771</v>
      </c>
      <c r="F157" s="924"/>
      <c r="G157" s="924"/>
      <c r="H157" s="924"/>
    </row>
    <row r="158" ht="22.5" customHeight="1">
      <c r="A158" s="937">
        <v>371.0</v>
      </c>
      <c r="B158" s="913" t="b">
        <v>0</v>
      </c>
      <c r="C158" s="1362" t="s">
        <v>9772</v>
      </c>
      <c r="D158" s="271"/>
      <c r="E158" s="1364"/>
      <c r="F158" s="924"/>
      <c r="G158" s="924"/>
      <c r="H158" s="924"/>
    </row>
    <row r="159" ht="22.5" customHeight="1">
      <c r="A159" s="937">
        <v>392.0</v>
      </c>
      <c r="B159" s="913" t="b">
        <v>0</v>
      </c>
      <c r="C159" s="1362" t="s">
        <v>9773</v>
      </c>
      <c r="D159" s="271"/>
      <c r="E159" s="1364"/>
      <c r="F159" s="924"/>
      <c r="G159" s="924"/>
      <c r="H159" s="924"/>
    </row>
    <row r="160" ht="22.5" customHeight="1">
      <c r="A160" s="937">
        <v>394.0</v>
      </c>
      <c r="B160" s="913" t="b">
        <v>0</v>
      </c>
      <c r="C160" s="1362" t="s">
        <v>9774</v>
      </c>
      <c r="D160" s="271"/>
      <c r="E160" s="1364"/>
      <c r="F160" s="924"/>
      <c r="G160" s="924"/>
      <c r="H160" s="924"/>
    </row>
    <row r="161" ht="22.5" customHeight="1">
      <c r="A161" s="912">
        <v>416.0</v>
      </c>
      <c r="B161" s="913" t="b">
        <v>0</v>
      </c>
      <c r="C161" s="966" t="s">
        <v>1833</v>
      </c>
      <c r="D161" s="924"/>
      <c r="E161" s="924">
        <v>7.50996808E9</v>
      </c>
      <c r="F161" s="924" t="s">
        <v>9775</v>
      </c>
      <c r="G161" s="924"/>
      <c r="H161" s="924"/>
    </row>
    <row r="162" ht="22.5" customHeight="1">
      <c r="A162" s="937">
        <v>37.0</v>
      </c>
      <c r="B162" s="913" t="b">
        <v>0</v>
      </c>
      <c r="C162" s="1362" t="s">
        <v>9776</v>
      </c>
      <c r="D162" s="223" t="s">
        <v>9777</v>
      </c>
      <c r="E162" s="1362" t="s">
        <v>9778</v>
      </c>
      <c r="F162" s="924"/>
      <c r="G162" s="924"/>
      <c r="H162" s="924"/>
    </row>
    <row r="163" ht="22.5" customHeight="1">
      <c r="A163" s="937">
        <v>170.0</v>
      </c>
      <c r="B163" s="913" t="b">
        <v>0</v>
      </c>
      <c r="C163" s="1362" t="s">
        <v>9779</v>
      </c>
      <c r="D163" s="271"/>
      <c r="E163" s="1364"/>
      <c r="F163" s="924"/>
      <c r="G163" s="924"/>
      <c r="H163" s="924"/>
    </row>
    <row r="164" ht="22.5" customHeight="1">
      <c r="A164" s="937">
        <v>130.0</v>
      </c>
      <c r="B164" s="913" t="b">
        <v>0</v>
      </c>
      <c r="C164" s="1362" t="s">
        <v>9780</v>
      </c>
      <c r="D164" s="1365" t="s">
        <v>9781</v>
      </c>
      <c r="E164" s="1362" t="s">
        <v>9782</v>
      </c>
      <c r="F164" s="924"/>
      <c r="G164" s="924"/>
      <c r="H164" s="924"/>
    </row>
    <row r="165" ht="22.5" customHeight="1">
      <c r="A165" s="937">
        <v>379.0</v>
      </c>
      <c r="B165" s="913" t="b">
        <v>0</v>
      </c>
      <c r="C165" s="1362" t="s">
        <v>9783</v>
      </c>
      <c r="D165" s="223" t="s">
        <v>9485</v>
      </c>
      <c r="E165" s="1364"/>
      <c r="F165" s="924"/>
      <c r="G165" s="924"/>
      <c r="H165" s="924"/>
    </row>
    <row r="166" ht="22.5" customHeight="1">
      <c r="A166" s="937">
        <v>38.0</v>
      </c>
      <c r="B166" s="913" t="b">
        <v>0</v>
      </c>
      <c r="C166" s="1362" t="s">
        <v>9784</v>
      </c>
      <c r="D166" s="223" t="s">
        <v>983</v>
      </c>
      <c r="E166" s="1362" t="s">
        <v>9785</v>
      </c>
      <c r="F166" s="924"/>
      <c r="G166" s="924"/>
      <c r="H166" s="924"/>
    </row>
    <row r="167" ht="22.5" customHeight="1">
      <c r="A167" s="937">
        <v>257.0</v>
      </c>
      <c r="B167" s="913" t="b">
        <v>0</v>
      </c>
      <c r="C167" s="1362" t="s">
        <v>9786</v>
      </c>
      <c r="D167" s="223" t="s">
        <v>9485</v>
      </c>
      <c r="E167" s="1364"/>
      <c r="F167" s="924"/>
      <c r="G167" s="924"/>
      <c r="H167" s="924"/>
    </row>
    <row r="168" ht="22.5" customHeight="1">
      <c r="A168" s="937">
        <v>205.0</v>
      </c>
      <c r="B168" s="913" t="b">
        <v>0</v>
      </c>
      <c r="C168" s="1362" t="s">
        <v>9787</v>
      </c>
      <c r="D168" s="223" t="s">
        <v>9788</v>
      </c>
      <c r="E168" s="1362" t="s">
        <v>9789</v>
      </c>
      <c r="F168" s="924"/>
      <c r="G168" s="924"/>
      <c r="H168" s="924"/>
    </row>
    <row r="169" ht="22.5" customHeight="1">
      <c r="A169" s="937">
        <v>39.0</v>
      </c>
      <c r="B169" s="913" t="b">
        <v>0</v>
      </c>
      <c r="C169" s="1362" t="s">
        <v>9790</v>
      </c>
      <c r="D169" s="223" t="s">
        <v>9791</v>
      </c>
      <c r="E169" s="1362" t="s">
        <v>9792</v>
      </c>
      <c r="F169" s="924"/>
      <c r="G169" s="924"/>
      <c r="H169" s="924"/>
    </row>
    <row r="170" ht="22.5" customHeight="1">
      <c r="A170" s="937">
        <v>266.0</v>
      </c>
      <c r="B170" s="913" t="b">
        <v>0</v>
      </c>
      <c r="C170" s="1362" t="s">
        <v>9793</v>
      </c>
      <c r="D170" s="223" t="s">
        <v>9485</v>
      </c>
      <c r="E170" s="1364"/>
      <c r="F170" s="924"/>
      <c r="G170" s="924"/>
      <c r="H170" s="924"/>
    </row>
    <row r="171" ht="22.5" customHeight="1">
      <c r="A171" s="937">
        <v>164.0</v>
      </c>
      <c r="B171" s="913" t="b">
        <v>0</v>
      </c>
      <c r="C171" s="1362" t="s">
        <v>9794</v>
      </c>
      <c r="D171" s="223" t="s">
        <v>9795</v>
      </c>
      <c r="E171" s="1362" t="s">
        <v>9796</v>
      </c>
      <c r="F171" s="924"/>
      <c r="G171" s="924"/>
      <c r="H171" s="924"/>
    </row>
    <row r="172" ht="22.5" customHeight="1">
      <c r="A172" s="937">
        <v>305.0</v>
      </c>
      <c r="B172" s="913" t="b">
        <v>0</v>
      </c>
      <c r="C172" s="1362" t="s">
        <v>9797</v>
      </c>
      <c r="D172" s="223" t="s">
        <v>9485</v>
      </c>
      <c r="E172" s="1364"/>
      <c r="F172" s="924"/>
      <c r="G172" s="924"/>
      <c r="H172" s="924"/>
    </row>
    <row r="173" ht="22.5" customHeight="1">
      <c r="A173" s="937">
        <v>145.0</v>
      </c>
      <c r="B173" s="913" t="b">
        <v>0</v>
      </c>
      <c r="C173" s="1362" t="s">
        <v>9798</v>
      </c>
      <c r="D173" s="271"/>
      <c r="E173" s="1362" t="s">
        <v>9799</v>
      </c>
      <c r="F173" s="924"/>
      <c r="G173" s="924"/>
      <c r="H173" s="924"/>
    </row>
    <row r="174" ht="22.5" customHeight="1">
      <c r="A174" s="937">
        <v>274.0</v>
      </c>
      <c r="B174" s="913" t="b">
        <v>0</v>
      </c>
      <c r="C174" s="1362" t="s">
        <v>9800</v>
      </c>
      <c r="D174" s="223" t="s">
        <v>9485</v>
      </c>
      <c r="E174" s="1364"/>
      <c r="F174" s="924"/>
      <c r="G174" s="924"/>
      <c r="H174" s="924"/>
    </row>
    <row r="175" ht="22.5" customHeight="1">
      <c r="A175" s="937">
        <v>128.0</v>
      </c>
      <c r="B175" s="913" t="b">
        <v>0</v>
      </c>
      <c r="C175" s="1362" t="s">
        <v>9801</v>
      </c>
      <c r="D175" s="223" t="s">
        <v>9802</v>
      </c>
      <c r="E175" s="1362" t="s">
        <v>9803</v>
      </c>
      <c r="F175" s="924"/>
      <c r="G175" s="924"/>
      <c r="H175" s="924"/>
    </row>
    <row r="176" ht="22.5" customHeight="1">
      <c r="A176" s="937">
        <v>40.0</v>
      </c>
      <c r="B176" s="913" t="b">
        <v>0</v>
      </c>
      <c r="C176" s="1362" t="s">
        <v>9804</v>
      </c>
      <c r="D176" s="223" t="s">
        <v>9805</v>
      </c>
      <c r="E176" s="1362" t="s">
        <v>9806</v>
      </c>
      <c r="F176" s="924"/>
      <c r="G176" s="924"/>
      <c r="H176" s="924"/>
    </row>
    <row r="177" ht="22.5" customHeight="1">
      <c r="A177" s="937">
        <v>41.0</v>
      </c>
      <c r="B177" s="913" t="b">
        <v>0</v>
      </c>
      <c r="C177" s="1362" t="s">
        <v>9807</v>
      </c>
      <c r="D177" s="223" t="s">
        <v>9808</v>
      </c>
      <c r="E177" s="1362" t="s">
        <v>9809</v>
      </c>
      <c r="F177" s="924"/>
      <c r="G177" s="924"/>
      <c r="H177" s="924"/>
    </row>
    <row r="178" ht="22.5" customHeight="1">
      <c r="A178" s="937">
        <v>226.0</v>
      </c>
      <c r="B178" s="913" t="b">
        <v>0</v>
      </c>
      <c r="C178" s="1362" t="s">
        <v>9810</v>
      </c>
      <c r="D178" s="223" t="s">
        <v>9811</v>
      </c>
      <c r="E178" s="1362" t="s">
        <v>9812</v>
      </c>
      <c r="F178" s="924"/>
      <c r="G178" s="924"/>
      <c r="H178" s="924"/>
    </row>
    <row r="179" ht="22.5" customHeight="1">
      <c r="A179" s="937">
        <v>42.0</v>
      </c>
      <c r="B179" s="913" t="b">
        <v>0</v>
      </c>
      <c r="C179" s="1362" t="s">
        <v>9813</v>
      </c>
      <c r="D179" s="223" t="s">
        <v>9814</v>
      </c>
      <c r="E179" s="1362" t="s">
        <v>9815</v>
      </c>
      <c r="F179" s="924"/>
      <c r="G179" s="924"/>
      <c r="H179" s="924"/>
    </row>
    <row r="180" ht="22.5" customHeight="1">
      <c r="A180" s="937">
        <v>43.0</v>
      </c>
      <c r="B180" s="913" t="b">
        <v>0</v>
      </c>
      <c r="C180" s="1362" t="s">
        <v>9816</v>
      </c>
      <c r="D180" s="223" t="s">
        <v>9516</v>
      </c>
      <c r="E180" s="1362" t="s">
        <v>9817</v>
      </c>
      <c r="F180" s="924"/>
      <c r="G180" s="924"/>
      <c r="H180" s="924"/>
    </row>
    <row r="181" ht="22.5" customHeight="1">
      <c r="A181" s="937">
        <v>299.0</v>
      </c>
      <c r="B181" s="913" t="b">
        <v>0</v>
      </c>
      <c r="C181" s="1362" t="s">
        <v>9818</v>
      </c>
      <c r="D181" s="223" t="s">
        <v>9631</v>
      </c>
      <c r="E181" s="1364"/>
      <c r="F181" s="924"/>
      <c r="G181" s="924"/>
      <c r="H181" s="924"/>
    </row>
    <row r="182" ht="22.5" customHeight="1">
      <c r="A182" s="937">
        <v>120.0</v>
      </c>
      <c r="B182" s="913" t="b">
        <v>0</v>
      </c>
      <c r="C182" s="1362" t="s">
        <v>9819</v>
      </c>
      <c r="D182" s="223" t="s">
        <v>9592</v>
      </c>
      <c r="E182" s="1362" t="s">
        <v>9820</v>
      </c>
      <c r="F182" s="924"/>
      <c r="G182" s="924"/>
      <c r="H182" s="924"/>
    </row>
    <row r="183" ht="22.5" customHeight="1">
      <c r="A183" s="937">
        <v>303.0</v>
      </c>
      <c r="B183" s="913" t="b">
        <v>0</v>
      </c>
      <c r="C183" s="1362" t="s">
        <v>9821</v>
      </c>
      <c r="D183" s="1372" t="s">
        <v>9822</v>
      </c>
      <c r="E183" s="1364"/>
      <c r="F183" s="924"/>
      <c r="G183" s="924"/>
      <c r="H183" s="924"/>
    </row>
    <row r="184" ht="22.5" customHeight="1">
      <c r="A184" s="937">
        <v>308.0</v>
      </c>
      <c r="B184" s="913" t="b">
        <v>0</v>
      </c>
      <c r="C184" s="1362" t="s">
        <v>9823</v>
      </c>
      <c r="D184" s="271"/>
      <c r="E184" s="1364"/>
      <c r="F184" s="924"/>
      <c r="G184" s="924"/>
      <c r="H184" s="924"/>
    </row>
    <row r="185" ht="22.5" customHeight="1">
      <c r="A185" s="937">
        <v>154.0</v>
      </c>
      <c r="B185" s="913" t="b">
        <v>0</v>
      </c>
      <c r="C185" s="1362" t="s">
        <v>9824</v>
      </c>
      <c r="D185" s="271"/>
      <c r="E185" s="1364"/>
      <c r="F185" s="924"/>
      <c r="G185" s="924"/>
      <c r="H185" s="924"/>
    </row>
    <row r="186" ht="22.5" customHeight="1">
      <c r="A186" s="937">
        <v>293.0</v>
      </c>
      <c r="B186" s="913" t="b">
        <v>0</v>
      </c>
      <c r="C186" s="1362" t="s">
        <v>9825</v>
      </c>
      <c r="D186" s="223" t="s">
        <v>9631</v>
      </c>
      <c r="E186" s="1364"/>
      <c r="F186" s="924"/>
      <c r="G186" s="924"/>
      <c r="H186" s="924"/>
    </row>
    <row r="187" ht="22.5" customHeight="1">
      <c r="A187" s="937">
        <v>291.0</v>
      </c>
      <c r="B187" s="913" t="b">
        <v>0</v>
      </c>
      <c r="C187" s="1362" t="s">
        <v>9826</v>
      </c>
      <c r="D187" s="1277" t="s">
        <v>9827</v>
      </c>
      <c r="E187" s="1364"/>
      <c r="F187" s="924"/>
      <c r="G187" s="924"/>
      <c r="H187" s="924"/>
    </row>
    <row r="188" ht="22.5" customHeight="1">
      <c r="A188" s="912">
        <v>478.0</v>
      </c>
      <c r="B188" s="913" t="b">
        <v>0</v>
      </c>
      <c r="C188" s="966" t="s">
        <v>9828</v>
      </c>
      <c r="D188" s="924" t="s">
        <v>950</v>
      </c>
      <c r="E188" s="924">
        <v>7.726180381E9</v>
      </c>
      <c r="F188" s="924"/>
      <c r="G188" s="924"/>
      <c r="H188" s="924" t="s">
        <v>960</v>
      </c>
    </row>
    <row r="189" ht="22.5" customHeight="1">
      <c r="A189" s="912">
        <v>427.0</v>
      </c>
      <c r="B189" s="913" t="b">
        <v>0</v>
      </c>
      <c r="C189" s="966" t="s">
        <v>9829</v>
      </c>
      <c r="D189" s="924"/>
      <c r="E189" s="924">
        <v>7.505738E9</v>
      </c>
      <c r="F189" s="924"/>
      <c r="G189" s="924"/>
      <c r="H189" s="969" t="s">
        <v>7677</v>
      </c>
    </row>
    <row r="190" ht="22.5" customHeight="1">
      <c r="A190" s="937">
        <v>44.0</v>
      </c>
      <c r="B190" s="913" t="b">
        <v>0</v>
      </c>
      <c r="C190" s="1362" t="s">
        <v>9830</v>
      </c>
      <c r="D190" s="236" t="s">
        <v>9831</v>
      </c>
      <c r="E190" s="1362" t="s">
        <v>9832</v>
      </c>
      <c r="F190" s="924"/>
      <c r="G190" s="924"/>
      <c r="H190" s="924"/>
    </row>
    <row r="191" ht="22.5" customHeight="1">
      <c r="A191" s="937">
        <v>360.0</v>
      </c>
      <c r="B191" s="913" t="b">
        <v>0</v>
      </c>
      <c r="C191" s="1362" t="s">
        <v>9833</v>
      </c>
      <c r="D191" s="271"/>
      <c r="E191" s="1364"/>
      <c r="F191" s="924"/>
      <c r="G191" s="924"/>
      <c r="H191" s="924"/>
    </row>
    <row r="192" ht="22.5" customHeight="1">
      <c r="A192" s="937">
        <v>359.0</v>
      </c>
      <c r="B192" s="913" t="b">
        <v>0</v>
      </c>
      <c r="C192" s="1362" t="s">
        <v>9834</v>
      </c>
      <c r="D192" s="271"/>
      <c r="E192" s="1364"/>
      <c r="F192" s="924"/>
      <c r="G192" s="924"/>
      <c r="H192" s="924"/>
    </row>
    <row r="193" ht="22.5" customHeight="1">
      <c r="A193" s="937">
        <v>159.0</v>
      </c>
      <c r="B193" s="913" t="b">
        <v>0</v>
      </c>
      <c r="C193" s="1362" t="s">
        <v>9835</v>
      </c>
      <c r="D193" s="271"/>
      <c r="E193" s="1364"/>
      <c r="F193" s="924"/>
      <c r="G193" s="924"/>
      <c r="H193" s="924"/>
    </row>
    <row r="194" ht="22.5" customHeight="1">
      <c r="A194" s="937">
        <v>184.0</v>
      </c>
      <c r="B194" s="913" t="b">
        <v>0</v>
      </c>
      <c r="C194" s="1362" t="s">
        <v>9836</v>
      </c>
      <c r="D194" s="271"/>
      <c r="E194" s="1362" t="s">
        <v>9837</v>
      </c>
      <c r="F194" s="924"/>
      <c r="G194" s="924"/>
      <c r="H194" s="924"/>
    </row>
    <row r="195" ht="22.5" customHeight="1">
      <c r="A195" s="937">
        <v>45.0</v>
      </c>
      <c r="B195" s="913" t="b">
        <v>0</v>
      </c>
      <c r="C195" s="1362" t="s">
        <v>9838</v>
      </c>
      <c r="D195" s="271"/>
      <c r="E195" s="1362" t="s">
        <v>9839</v>
      </c>
      <c r="F195" s="924"/>
      <c r="G195" s="924"/>
      <c r="H195" s="924"/>
    </row>
    <row r="196" ht="22.5" customHeight="1">
      <c r="A196" s="937">
        <v>279.0</v>
      </c>
      <c r="B196" s="913" t="b">
        <v>0</v>
      </c>
      <c r="C196" s="1362" t="s">
        <v>1875</v>
      </c>
      <c r="D196" s="223" t="s">
        <v>9485</v>
      </c>
      <c r="E196" s="1364"/>
      <c r="F196" s="924"/>
      <c r="G196" s="924"/>
      <c r="H196" s="924"/>
    </row>
    <row r="197" ht="22.5" customHeight="1">
      <c r="A197" s="937">
        <v>46.0</v>
      </c>
      <c r="B197" s="913" t="b">
        <v>0</v>
      </c>
      <c r="C197" s="1362" t="s">
        <v>9840</v>
      </c>
      <c r="D197" s="223" t="s">
        <v>9841</v>
      </c>
      <c r="E197" s="1362" t="s">
        <v>9842</v>
      </c>
      <c r="F197" s="924"/>
      <c r="G197" s="924"/>
      <c r="H197" s="924"/>
    </row>
    <row r="198" ht="22.5" customHeight="1">
      <c r="A198" s="937">
        <v>47.0</v>
      </c>
      <c r="B198" s="913" t="b">
        <v>0</v>
      </c>
      <c r="C198" s="1362" t="s">
        <v>9843</v>
      </c>
      <c r="D198" s="236" t="s">
        <v>9844</v>
      </c>
      <c r="E198" s="1368" t="s">
        <v>9845</v>
      </c>
      <c r="F198" s="924"/>
      <c r="G198" s="924"/>
      <c r="H198" s="924"/>
    </row>
    <row r="199" ht="22.5" customHeight="1">
      <c r="A199" s="937">
        <v>376.0</v>
      </c>
      <c r="B199" s="913" t="b">
        <v>0</v>
      </c>
      <c r="C199" s="1362" t="s">
        <v>9846</v>
      </c>
      <c r="D199" s="271"/>
      <c r="E199" s="1364"/>
      <c r="F199" s="924"/>
      <c r="G199" s="924"/>
      <c r="H199" s="924"/>
    </row>
    <row r="200" ht="22.5" customHeight="1">
      <c r="A200" s="912">
        <v>465.0</v>
      </c>
      <c r="B200" s="913" t="b">
        <v>0</v>
      </c>
      <c r="C200" s="966" t="s">
        <v>9847</v>
      </c>
      <c r="D200" s="924"/>
      <c r="E200" s="924">
        <v>7.504470023E9</v>
      </c>
      <c r="F200" s="924"/>
      <c r="G200" s="924"/>
      <c r="H200" s="969" t="s">
        <v>6951</v>
      </c>
    </row>
    <row r="201" ht="22.5" customHeight="1">
      <c r="A201" s="912">
        <v>469.0</v>
      </c>
      <c r="B201" s="913" t="b">
        <v>0</v>
      </c>
      <c r="C201" s="966" t="s">
        <v>9848</v>
      </c>
      <c r="D201" s="969" t="s">
        <v>9849</v>
      </c>
      <c r="E201" s="924">
        <v>7.50890321E9</v>
      </c>
      <c r="F201" s="924"/>
      <c r="G201" s="924"/>
      <c r="H201" s="969" t="s">
        <v>9850</v>
      </c>
    </row>
    <row r="202" ht="22.5" customHeight="1">
      <c r="A202" s="937">
        <v>49.0</v>
      </c>
      <c r="B202" s="913" t="b">
        <v>0</v>
      </c>
      <c r="C202" s="1362" t="s">
        <v>9851</v>
      </c>
      <c r="D202" s="223" t="s">
        <v>8323</v>
      </c>
      <c r="E202" s="1362" t="s">
        <v>9852</v>
      </c>
      <c r="F202" s="924"/>
      <c r="G202" s="924"/>
      <c r="H202" s="924"/>
    </row>
    <row r="203" ht="22.5" customHeight="1">
      <c r="A203" s="937">
        <v>261.0</v>
      </c>
      <c r="B203" s="913" t="b">
        <v>0</v>
      </c>
      <c r="C203" s="1362" t="s">
        <v>9853</v>
      </c>
      <c r="D203" s="223" t="s">
        <v>9485</v>
      </c>
      <c r="E203" s="1364"/>
      <c r="F203" s="924"/>
      <c r="G203" s="924"/>
      <c r="H203" s="924"/>
    </row>
    <row r="204" ht="22.5" customHeight="1">
      <c r="A204" s="912">
        <v>422.0</v>
      </c>
      <c r="B204" s="913" t="b">
        <v>0</v>
      </c>
      <c r="C204" s="966" t="s">
        <v>9854</v>
      </c>
      <c r="D204" s="924"/>
      <c r="E204" s="924">
        <v>7.502227303E9</v>
      </c>
      <c r="F204" s="924" t="s">
        <v>9855</v>
      </c>
      <c r="G204" s="924"/>
      <c r="H204" s="924"/>
    </row>
    <row r="205" ht="22.5" customHeight="1">
      <c r="A205" s="937">
        <v>387.0</v>
      </c>
      <c r="B205" s="913" t="b">
        <v>0</v>
      </c>
      <c r="C205" s="1362" t="s">
        <v>9856</v>
      </c>
      <c r="D205" s="271"/>
      <c r="E205" s="1364"/>
      <c r="F205" s="924"/>
      <c r="G205" s="924"/>
      <c r="H205" s="924"/>
    </row>
    <row r="206" ht="22.5" customHeight="1">
      <c r="A206" s="937">
        <v>219.0</v>
      </c>
      <c r="B206" s="913" t="b">
        <v>0</v>
      </c>
      <c r="C206" s="1362" t="s">
        <v>9857</v>
      </c>
      <c r="D206" s="223" t="s">
        <v>9858</v>
      </c>
      <c r="E206" s="1362" t="s">
        <v>9859</v>
      </c>
      <c r="F206" s="924"/>
      <c r="G206" s="924"/>
      <c r="H206" s="924"/>
    </row>
    <row r="207" ht="22.5" customHeight="1">
      <c r="A207" s="937">
        <v>250.0</v>
      </c>
      <c r="B207" s="913" t="b">
        <v>0</v>
      </c>
      <c r="C207" s="1362" t="s">
        <v>9860</v>
      </c>
      <c r="D207" s="223" t="s">
        <v>9861</v>
      </c>
      <c r="E207" s="1362" t="s">
        <v>9676</v>
      </c>
      <c r="F207" s="924"/>
      <c r="G207" s="924"/>
      <c r="H207" s="924"/>
    </row>
    <row r="208" ht="22.5" customHeight="1">
      <c r="A208" s="937">
        <v>183.0</v>
      </c>
      <c r="B208" s="913" t="b">
        <v>0</v>
      </c>
      <c r="C208" s="1362" t="s">
        <v>9862</v>
      </c>
      <c r="D208" s="223" t="s">
        <v>9863</v>
      </c>
      <c r="E208" s="1362" t="s">
        <v>9864</v>
      </c>
      <c r="F208" s="924"/>
      <c r="G208" s="924"/>
      <c r="H208" s="924"/>
    </row>
    <row r="209" ht="22.5" customHeight="1">
      <c r="A209" s="937">
        <v>306.0</v>
      </c>
      <c r="B209" s="913" t="b">
        <v>0</v>
      </c>
      <c r="C209" s="1362" t="s">
        <v>9865</v>
      </c>
      <c r="D209" s="223" t="s">
        <v>9631</v>
      </c>
      <c r="E209" s="1364"/>
      <c r="F209" s="924"/>
      <c r="G209" s="924"/>
      <c r="H209" s="924"/>
    </row>
    <row r="210" ht="22.5" customHeight="1">
      <c r="A210" s="937">
        <v>352.0</v>
      </c>
      <c r="B210" s="913" t="b">
        <v>0</v>
      </c>
      <c r="C210" s="1362" t="s">
        <v>9866</v>
      </c>
      <c r="D210" s="271"/>
      <c r="E210" s="1364"/>
      <c r="F210" s="924"/>
      <c r="G210" s="924"/>
      <c r="H210" s="924"/>
    </row>
    <row r="211" ht="22.5" customHeight="1">
      <c r="A211" s="937">
        <v>294.0</v>
      </c>
      <c r="B211" s="913" t="b">
        <v>0</v>
      </c>
      <c r="C211" s="1362" t="s">
        <v>9867</v>
      </c>
      <c r="D211" s="223" t="s">
        <v>9485</v>
      </c>
      <c r="E211" s="1364"/>
      <c r="F211" s="924"/>
      <c r="G211" s="924"/>
      <c r="H211" s="924"/>
    </row>
    <row r="212" ht="22.5" customHeight="1">
      <c r="A212" s="937">
        <v>155.0</v>
      </c>
      <c r="B212" s="913" t="b">
        <v>0</v>
      </c>
      <c r="C212" s="1362" t="s">
        <v>9868</v>
      </c>
      <c r="D212" s="223" t="s">
        <v>680</v>
      </c>
      <c r="E212" s="1362" t="s">
        <v>9869</v>
      </c>
      <c r="F212" s="924"/>
      <c r="G212" s="924"/>
      <c r="H212" s="924"/>
    </row>
    <row r="213" ht="22.5" customHeight="1">
      <c r="A213" s="937">
        <v>194.0</v>
      </c>
      <c r="B213" s="913" t="b">
        <v>0</v>
      </c>
      <c r="C213" s="1362" t="s">
        <v>9870</v>
      </c>
      <c r="D213" s="271"/>
      <c r="E213" s="1362" t="s">
        <v>9871</v>
      </c>
      <c r="F213" s="924"/>
      <c r="G213" s="924"/>
      <c r="H213" s="924"/>
    </row>
    <row r="214" ht="22.5" customHeight="1">
      <c r="A214" s="937">
        <v>156.0</v>
      </c>
      <c r="B214" s="913" t="b">
        <v>0</v>
      </c>
      <c r="C214" s="1362" t="s">
        <v>9872</v>
      </c>
      <c r="D214" s="271"/>
      <c r="E214" s="1364"/>
      <c r="F214" s="924"/>
      <c r="G214" s="924"/>
      <c r="H214" s="924"/>
    </row>
    <row r="215" ht="22.5" customHeight="1">
      <c r="A215" s="937">
        <v>374.0</v>
      </c>
      <c r="B215" s="913" t="b">
        <v>0</v>
      </c>
      <c r="C215" s="1362" t="s">
        <v>9873</v>
      </c>
      <c r="D215" s="271"/>
      <c r="E215" s="1364"/>
      <c r="F215" s="924"/>
      <c r="G215" s="924"/>
      <c r="H215" s="924"/>
    </row>
    <row r="216" ht="22.5" customHeight="1">
      <c r="A216" s="937">
        <v>264.0</v>
      </c>
      <c r="B216" s="913" t="b">
        <v>0</v>
      </c>
      <c r="C216" s="1362" t="s">
        <v>9874</v>
      </c>
      <c r="D216" s="223" t="s">
        <v>9631</v>
      </c>
      <c r="E216" s="1364"/>
      <c r="F216" s="924"/>
      <c r="G216" s="924"/>
      <c r="H216" s="924"/>
    </row>
    <row r="217" ht="22.5" customHeight="1">
      <c r="A217" s="912">
        <v>404.0</v>
      </c>
      <c r="B217" s="913" t="b">
        <v>0</v>
      </c>
      <c r="C217" s="935" t="s">
        <v>9875</v>
      </c>
      <c r="D217" s="924"/>
      <c r="E217" s="924">
        <v>7.502644114E9</v>
      </c>
      <c r="F217" s="924" t="s">
        <v>9876</v>
      </c>
      <c r="G217" s="924"/>
      <c r="H217" s="924"/>
    </row>
    <row r="218" ht="22.5" customHeight="1">
      <c r="A218" s="937">
        <v>50.0</v>
      </c>
      <c r="B218" s="913" t="b">
        <v>0</v>
      </c>
      <c r="C218" s="1362" t="s">
        <v>9877</v>
      </c>
      <c r="D218" s="223" t="s">
        <v>9878</v>
      </c>
      <c r="E218" s="1368" t="s">
        <v>9879</v>
      </c>
      <c r="F218" s="924"/>
      <c r="G218" s="924"/>
      <c r="H218" s="924"/>
    </row>
    <row r="219" ht="22.5" customHeight="1">
      <c r="A219" s="937">
        <v>51.0</v>
      </c>
      <c r="B219" s="913" t="b">
        <v>0</v>
      </c>
      <c r="C219" s="1362" t="s">
        <v>147</v>
      </c>
      <c r="D219" s="223" t="s">
        <v>147</v>
      </c>
      <c r="E219" s="1362" t="s">
        <v>9880</v>
      </c>
      <c r="F219" s="924"/>
      <c r="G219" s="924"/>
      <c r="H219" s="924"/>
    </row>
    <row r="220" ht="22.5" customHeight="1">
      <c r="A220" s="937">
        <v>52.0</v>
      </c>
      <c r="B220" s="913" t="b">
        <v>0</v>
      </c>
      <c r="C220" s="1362" t="s">
        <v>9881</v>
      </c>
      <c r="D220" s="223" t="s">
        <v>9882</v>
      </c>
      <c r="E220" s="1362" t="s">
        <v>9883</v>
      </c>
      <c r="F220" s="924"/>
      <c r="G220" s="924"/>
      <c r="H220" s="924"/>
    </row>
    <row r="221" ht="22.5" customHeight="1">
      <c r="A221" s="912">
        <v>421.0</v>
      </c>
      <c r="B221" s="913" t="b">
        <v>0</v>
      </c>
      <c r="C221" s="966" t="s">
        <v>9884</v>
      </c>
      <c r="D221" s="924"/>
      <c r="E221" s="924">
        <v>7.509244466E9</v>
      </c>
      <c r="F221" s="924" t="s">
        <v>9885</v>
      </c>
      <c r="G221" s="924"/>
      <c r="H221" s="924"/>
    </row>
    <row r="222" ht="22.5" customHeight="1">
      <c r="A222" s="912">
        <v>461.0</v>
      </c>
      <c r="B222" s="913" t="b">
        <v>0</v>
      </c>
      <c r="C222" s="966" t="s">
        <v>9884</v>
      </c>
      <c r="D222" s="924"/>
      <c r="E222" s="924"/>
      <c r="F222" s="924"/>
      <c r="G222" s="924"/>
      <c r="H222" s="924"/>
    </row>
    <row r="223" ht="22.5" customHeight="1">
      <c r="A223" s="937">
        <v>263.0</v>
      </c>
      <c r="B223" s="913" t="b">
        <v>0</v>
      </c>
      <c r="C223" s="1362" t="s">
        <v>9886</v>
      </c>
      <c r="D223" s="223" t="s">
        <v>9631</v>
      </c>
      <c r="E223" s="1364"/>
      <c r="F223" s="924"/>
      <c r="G223" s="924"/>
      <c r="H223" s="924"/>
    </row>
    <row r="224" ht="22.5" customHeight="1">
      <c r="A224" s="937">
        <v>53.0</v>
      </c>
      <c r="B224" s="913" t="b">
        <v>0</v>
      </c>
      <c r="C224" s="1362" t="s">
        <v>9887</v>
      </c>
      <c r="D224" s="223" t="s">
        <v>9888</v>
      </c>
      <c r="E224" s="1362">
        <v>7.503360136E9</v>
      </c>
      <c r="F224" s="924"/>
      <c r="G224" s="924"/>
      <c r="H224" s="924"/>
    </row>
    <row r="225" ht="22.5" customHeight="1">
      <c r="A225" s="912">
        <v>472.0</v>
      </c>
      <c r="B225" s="913" t="b">
        <v>0</v>
      </c>
      <c r="C225" s="935" t="s">
        <v>9889</v>
      </c>
      <c r="D225" s="969" t="s">
        <v>9890</v>
      </c>
      <c r="E225" s="924">
        <v>7.725332178E9</v>
      </c>
      <c r="F225" s="924" t="s">
        <v>9891</v>
      </c>
      <c r="G225" s="924"/>
      <c r="H225" s="924"/>
    </row>
    <row r="226" ht="22.5" customHeight="1">
      <c r="A226" s="937">
        <v>382.0</v>
      </c>
      <c r="B226" s="913" t="b">
        <v>0</v>
      </c>
      <c r="C226" s="1362" t="s">
        <v>9892</v>
      </c>
      <c r="D226" s="271"/>
      <c r="E226" s="1364"/>
      <c r="F226" s="924"/>
      <c r="G226" s="924"/>
      <c r="H226" s="924"/>
    </row>
    <row r="227" ht="22.5" customHeight="1">
      <c r="A227" s="937">
        <v>54.0</v>
      </c>
      <c r="B227" s="913" t="b">
        <v>0</v>
      </c>
      <c r="C227" s="1362" t="s">
        <v>9893</v>
      </c>
      <c r="D227" s="223" t="s">
        <v>9894</v>
      </c>
      <c r="E227" s="1362" t="s">
        <v>9895</v>
      </c>
      <c r="F227" s="924"/>
      <c r="G227" s="924"/>
      <c r="H227" s="924"/>
    </row>
    <row r="228" ht="22.5" customHeight="1">
      <c r="A228" s="937">
        <v>55.0</v>
      </c>
      <c r="B228" s="913" t="b">
        <v>0</v>
      </c>
      <c r="C228" s="1362" t="s">
        <v>9896</v>
      </c>
      <c r="D228" s="223" t="s">
        <v>9897</v>
      </c>
      <c r="E228" s="1362" t="s">
        <v>9898</v>
      </c>
      <c r="F228" s="924"/>
      <c r="G228" s="924"/>
      <c r="H228" s="924"/>
    </row>
    <row r="229" ht="22.5" customHeight="1">
      <c r="A229" s="912">
        <v>419.0</v>
      </c>
      <c r="B229" s="913" t="b">
        <v>0</v>
      </c>
      <c r="C229" s="966" t="s">
        <v>9899</v>
      </c>
      <c r="D229" s="924"/>
      <c r="E229" s="924">
        <v>7.503338688E9</v>
      </c>
      <c r="F229" s="924" t="s">
        <v>9900</v>
      </c>
      <c r="G229" s="924"/>
      <c r="H229" s="969" t="s">
        <v>9901</v>
      </c>
    </row>
    <row r="230" ht="22.5" customHeight="1">
      <c r="A230" s="937">
        <v>151.0</v>
      </c>
      <c r="B230" s="913" t="b">
        <v>0</v>
      </c>
      <c r="C230" s="1362" t="s">
        <v>9902</v>
      </c>
      <c r="D230" s="223" t="s">
        <v>9903</v>
      </c>
      <c r="E230" s="1364"/>
      <c r="F230" s="924"/>
      <c r="G230" s="924"/>
      <c r="H230" s="924"/>
    </row>
    <row r="231" ht="22.5" customHeight="1">
      <c r="A231" s="937">
        <v>109.0</v>
      </c>
      <c r="B231" s="913" t="b">
        <v>0</v>
      </c>
      <c r="C231" s="1362" t="s">
        <v>9904</v>
      </c>
      <c r="D231" s="223" t="s">
        <v>9905</v>
      </c>
      <c r="E231" s="1362" t="s">
        <v>9906</v>
      </c>
      <c r="F231" s="924"/>
      <c r="G231" s="924"/>
      <c r="H231" s="924"/>
    </row>
    <row r="232" ht="22.5" customHeight="1">
      <c r="A232" s="937">
        <v>262.0</v>
      </c>
      <c r="B232" s="913" t="b">
        <v>0</v>
      </c>
      <c r="C232" s="1362" t="s">
        <v>9907</v>
      </c>
      <c r="D232" s="223" t="s">
        <v>9631</v>
      </c>
      <c r="E232" s="1364"/>
      <c r="F232" s="924"/>
      <c r="G232" s="924"/>
      <c r="H232" s="924"/>
    </row>
    <row r="233" ht="22.5" customHeight="1">
      <c r="A233" s="937">
        <v>338.0</v>
      </c>
      <c r="B233" s="913" t="b">
        <v>0</v>
      </c>
      <c r="C233" s="1362" t="s">
        <v>9908</v>
      </c>
      <c r="D233" s="271"/>
      <c r="E233" s="1373"/>
      <c r="F233" s="924"/>
      <c r="G233" s="924"/>
      <c r="H233" s="924"/>
    </row>
    <row r="234" ht="22.5" customHeight="1">
      <c r="A234" s="937">
        <v>240.0</v>
      </c>
      <c r="B234" s="913" t="b">
        <v>0</v>
      </c>
      <c r="C234" s="1362" t="s">
        <v>9909</v>
      </c>
      <c r="D234" s="271"/>
      <c r="E234" s="1368">
        <v>7.504742222E9</v>
      </c>
      <c r="F234" s="924"/>
      <c r="G234" s="924"/>
      <c r="H234" s="924"/>
    </row>
    <row r="235" ht="22.5" customHeight="1">
      <c r="A235" s="937">
        <v>369.0</v>
      </c>
      <c r="B235" s="913" t="b">
        <v>0</v>
      </c>
      <c r="C235" s="1362" t="s">
        <v>9910</v>
      </c>
      <c r="D235" s="271"/>
      <c r="E235" s="1373"/>
      <c r="F235" s="924"/>
      <c r="G235" s="924"/>
      <c r="H235" s="924"/>
    </row>
    <row r="236" ht="22.5" customHeight="1">
      <c r="A236" s="937">
        <v>340.0</v>
      </c>
      <c r="B236" s="913" t="b">
        <v>0</v>
      </c>
      <c r="C236" s="1362" t="s">
        <v>9911</v>
      </c>
      <c r="D236" s="271"/>
      <c r="E236" s="1364"/>
      <c r="F236" s="924"/>
      <c r="G236" s="924"/>
      <c r="H236" s="924"/>
    </row>
    <row r="237" ht="22.5" customHeight="1">
      <c r="A237" s="937">
        <v>295.0</v>
      </c>
      <c r="B237" s="913" t="b">
        <v>0</v>
      </c>
      <c r="C237" s="1362" t="s">
        <v>9912</v>
      </c>
      <c r="D237" s="223" t="s">
        <v>9631</v>
      </c>
      <c r="E237" s="1364"/>
      <c r="F237" s="924"/>
      <c r="G237" s="924"/>
      <c r="H237" s="924"/>
    </row>
    <row r="238" ht="22.5" customHeight="1">
      <c r="A238" s="937">
        <v>342.0</v>
      </c>
      <c r="B238" s="913" t="b">
        <v>0</v>
      </c>
      <c r="C238" s="1362" t="s">
        <v>9913</v>
      </c>
      <c r="D238" s="223" t="s">
        <v>9485</v>
      </c>
      <c r="E238" s="1364"/>
      <c r="F238" s="924"/>
      <c r="G238" s="924"/>
      <c r="H238" s="924"/>
    </row>
    <row r="239" ht="22.5" customHeight="1">
      <c r="A239" s="937">
        <v>111.0</v>
      </c>
      <c r="B239" s="913" t="b">
        <v>0</v>
      </c>
      <c r="C239" s="1362" t="s">
        <v>9914</v>
      </c>
      <c r="D239" s="223" t="s">
        <v>9676</v>
      </c>
      <c r="E239" s="1362" t="s">
        <v>9915</v>
      </c>
      <c r="F239" s="924"/>
      <c r="G239" s="924"/>
      <c r="H239" s="924"/>
    </row>
    <row r="240" ht="22.5" customHeight="1">
      <c r="A240" s="937">
        <v>331.0</v>
      </c>
      <c r="B240" s="913" t="b">
        <v>0</v>
      </c>
      <c r="C240" s="1362" t="s">
        <v>9916</v>
      </c>
      <c r="D240" s="271"/>
      <c r="E240" s="1364"/>
      <c r="F240" s="924"/>
      <c r="G240" s="924"/>
      <c r="H240" s="924"/>
    </row>
    <row r="241" ht="22.5" customHeight="1">
      <c r="A241" s="937">
        <v>196.0</v>
      </c>
      <c r="B241" s="913" t="b">
        <v>0</v>
      </c>
      <c r="C241" s="1362" t="s">
        <v>9917</v>
      </c>
      <c r="D241" s="271"/>
      <c r="E241" s="1277" t="s">
        <v>9918</v>
      </c>
      <c r="F241" s="924"/>
      <c r="G241" s="924"/>
      <c r="H241" s="924"/>
    </row>
    <row r="242" ht="22.5" customHeight="1">
      <c r="A242" s="937">
        <v>216.0</v>
      </c>
      <c r="B242" s="913" t="b">
        <v>0</v>
      </c>
      <c r="C242" s="1266" t="s">
        <v>9919</v>
      </c>
      <c r="D242" s="1365" t="s">
        <v>9920</v>
      </c>
      <c r="E242" s="1277" t="s">
        <v>9921</v>
      </c>
      <c r="F242" s="924"/>
      <c r="G242" s="924"/>
      <c r="H242" s="924"/>
    </row>
    <row r="243" ht="22.5" customHeight="1">
      <c r="A243" s="937">
        <v>385.0</v>
      </c>
      <c r="B243" s="913" t="b">
        <v>0</v>
      </c>
      <c r="C243" s="1362" t="s">
        <v>9922</v>
      </c>
      <c r="D243" s="223" t="s">
        <v>9485</v>
      </c>
      <c r="E243" s="1364"/>
      <c r="F243" s="924"/>
      <c r="G243" s="924"/>
      <c r="H243" s="924"/>
    </row>
    <row r="244" ht="22.5" customHeight="1">
      <c r="A244" s="937">
        <v>56.0</v>
      </c>
      <c r="B244" s="913" t="b">
        <v>0</v>
      </c>
      <c r="C244" s="1362" t="s">
        <v>9923</v>
      </c>
      <c r="D244" s="223" t="s">
        <v>9924</v>
      </c>
      <c r="E244" s="1362" t="s">
        <v>9925</v>
      </c>
      <c r="F244" s="924"/>
      <c r="G244" s="924"/>
      <c r="H244" s="924"/>
    </row>
    <row r="245" ht="22.5" customHeight="1">
      <c r="A245" s="937">
        <v>271.0</v>
      </c>
      <c r="B245" s="913" t="b">
        <v>0</v>
      </c>
      <c r="C245" s="1362" t="s">
        <v>9926</v>
      </c>
      <c r="D245" s="223" t="s">
        <v>9485</v>
      </c>
      <c r="E245" s="1364"/>
      <c r="F245" s="924"/>
      <c r="G245" s="924"/>
      <c r="H245" s="924"/>
    </row>
    <row r="246" ht="22.5" customHeight="1">
      <c r="A246" s="937">
        <v>239.0</v>
      </c>
      <c r="B246" s="913" t="b">
        <v>0</v>
      </c>
      <c r="C246" s="1362" t="s">
        <v>9927</v>
      </c>
      <c r="D246" s="223" t="s">
        <v>9597</v>
      </c>
      <c r="E246" s="1362" t="s">
        <v>9928</v>
      </c>
      <c r="F246" s="924"/>
      <c r="G246" s="924"/>
      <c r="H246" s="924"/>
    </row>
    <row r="247" ht="22.5" customHeight="1">
      <c r="A247" s="937">
        <v>57.0</v>
      </c>
      <c r="B247" s="913" t="b">
        <v>0</v>
      </c>
      <c r="C247" s="1362" t="s">
        <v>9929</v>
      </c>
      <c r="D247" s="223" t="s">
        <v>9930</v>
      </c>
      <c r="E247" s="1362" t="s">
        <v>9931</v>
      </c>
      <c r="F247" s="924"/>
      <c r="G247" s="924"/>
      <c r="H247" s="924"/>
    </row>
    <row r="248" ht="22.5" customHeight="1">
      <c r="A248" s="937">
        <v>282.0</v>
      </c>
      <c r="B248" s="913" t="b">
        <v>0</v>
      </c>
      <c r="C248" s="1362" t="s">
        <v>9932</v>
      </c>
      <c r="D248" s="1371" t="s">
        <v>9485</v>
      </c>
      <c r="E248" s="1364"/>
      <c r="F248" s="924"/>
      <c r="G248" s="924"/>
      <c r="H248" s="924"/>
    </row>
    <row r="249" ht="22.5" customHeight="1">
      <c r="A249" s="937">
        <v>367.0</v>
      </c>
      <c r="B249" s="913" t="b">
        <v>0</v>
      </c>
      <c r="C249" s="1362" t="s">
        <v>9933</v>
      </c>
      <c r="D249" s="1374"/>
      <c r="E249" s="1364"/>
      <c r="F249" s="924"/>
      <c r="G249" s="924"/>
      <c r="H249" s="924"/>
    </row>
    <row r="250" ht="22.5" customHeight="1">
      <c r="A250" s="937">
        <v>231.0</v>
      </c>
      <c r="B250" s="913" t="b">
        <v>0</v>
      </c>
      <c r="C250" s="1362" t="s">
        <v>9934</v>
      </c>
      <c r="D250" s="223" t="s">
        <v>9935</v>
      </c>
      <c r="E250" s="1277" t="s">
        <v>9936</v>
      </c>
      <c r="F250" s="924"/>
      <c r="G250" s="924"/>
      <c r="H250" s="924"/>
    </row>
    <row r="251" ht="22.5" customHeight="1">
      <c r="A251" s="937">
        <v>251.0</v>
      </c>
      <c r="B251" s="913" t="b">
        <v>0</v>
      </c>
      <c r="C251" s="1362" t="s">
        <v>9937</v>
      </c>
      <c r="D251" s="1375" t="s">
        <v>9938</v>
      </c>
      <c r="E251" s="1362" t="s">
        <v>9939</v>
      </c>
      <c r="F251" s="924"/>
      <c r="G251" s="924"/>
      <c r="H251" s="924"/>
    </row>
    <row r="252" ht="22.5" customHeight="1">
      <c r="A252" s="937">
        <v>58.0</v>
      </c>
      <c r="B252" s="913" t="b">
        <v>0</v>
      </c>
      <c r="C252" s="1362" t="s">
        <v>9940</v>
      </c>
      <c r="D252" s="223" t="s">
        <v>9941</v>
      </c>
      <c r="E252" s="1362" t="s">
        <v>9942</v>
      </c>
      <c r="F252" s="924"/>
      <c r="G252" s="924"/>
      <c r="H252" s="924"/>
    </row>
    <row r="253" ht="22.5" customHeight="1">
      <c r="A253" s="937">
        <v>268.0</v>
      </c>
      <c r="B253" s="913" t="b">
        <v>0</v>
      </c>
      <c r="C253" s="1362" t="s">
        <v>9943</v>
      </c>
      <c r="D253" s="1371" t="s">
        <v>9485</v>
      </c>
      <c r="E253" s="1364"/>
      <c r="F253" s="924"/>
      <c r="G253" s="924"/>
      <c r="H253" s="924"/>
    </row>
    <row r="254" ht="22.5" customHeight="1">
      <c r="A254" s="937">
        <v>356.0</v>
      </c>
      <c r="B254" s="913" t="b">
        <v>0</v>
      </c>
      <c r="C254" s="1362" t="s">
        <v>9944</v>
      </c>
      <c r="D254" s="271"/>
      <c r="E254" s="1364"/>
      <c r="F254" s="924"/>
      <c r="G254" s="924"/>
      <c r="H254" s="924"/>
    </row>
    <row r="255" ht="22.5" customHeight="1">
      <c r="A255" s="937">
        <v>365.0</v>
      </c>
      <c r="B255" s="913" t="b">
        <v>0</v>
      </c>
      <c r="C255" s="1362" t="s">
        <v>9945</v>
      </c>
      <c r="D255" s="1374"/>
      <c r="E255" s="1364"/>
      <c r="F255" s="924"/>
      <c r="G255" s="924"/>
      <c r="H255" s="924"/>
    </row>
    <row r="256" ht="22.5" customHeight="1">
      <c r="A256" s="937">
        <v>270.0</v>
      </c>
      <c r="B256" s="913" t="b">
        <v>0</v>
      </c>
      <c r="C256" s="1362" t="s">
        <v>9946</v>
      </c>
      <c r="D256" s="223" t="s">
        <v>9485</v>
      </c>
      <c r="E256" s="1364"/>
      <c r="F256" s="924"/>
      <c r="G256" s="924"/>
      <c r="H256" s="924"/>
    </row>
    <row r="257" ht="22.5" customHeight="1">
      <c r="A257" s="937">
        <v>153.0</v>
      </c>
      <c r="B257" s="913" t="b">
        <v>0</v>
      </c>
      <c r="C257" s="1362" t="s">
        <v>9947</v>
      </c>
      <c r="D257" s="223" t="s">
        <v>9948</v>
      </c>
      <c r="E257" s="1362">
        <v>7.504455322E9</v>
      </c>
      <c r="F257" s="924"/>
      <c r="G257" s="924"/>
      <c r="H257" s="924"/>
    </row>
    <row r="258" ht="22.5" customHeight="1">
      <c r="A258" s="937">
        <v>172.0</v>
      </c>
      <c r="B258" s="913" t="b">
        <v>0</v>
      </c>
      <c r="C258" s="1362" t="s">
        <v>9949</v>
      </c>
      <c r="D258" s="271"/>
      <c r="E258" s="1364"/>
      <c r="F258" s="924"/>
      <c r="G258" s="924"/>
      <c r="H258" s="924"/>
    </row>
    <row r="259" ht="22.5" customHeight="1">
      <c r="A259" s="937">
        <v>237.0</v>
      </c>
      <c r="B259" s="913" t="b">
        <v>0</v>
      </c>
      <c r="C259" s="1362" t="s">
        <v>9950</v>
      </c>
      <c r="D259" s="271"/>
      <c r="E259" s="1364"/>
      <c r="F259" s="924"/>
      <c r="G259" s="924"/>
      <c r="H259" s="924"/>
    </row>
    <row r="260" ht="22.5" customHeight="1">
      <c r="A260" s="937">
        <v>197.0</v>
      </c>
      <c r="B260" s="913" t="b">
        <v>0</v>
      </c>
      <c r="C260" s="1362" t="s">
        <v>9951</v>
      </c>
      <c r="D260" s="223" t="s">
        <v>9636</v>
      </c>
      <c r="E260" s="1362" t="s">
        <v>9952</v>
      </c>
      <c r="F260" s="924"/>
      <c r="G260" s="924"/>
      <c r="H260" s="924"/>
    </row>
    <row r="261" ht="22.5" customHeight="1">
      <c r="A261" s="937">
        <v>191.0</v>
      </c>
      <c r="B261" s="913" t="b">
        <v>0</v>
      </c>
      <c r="C261" s="1362" t="s">
        <v>9953</v>
      </c>
      <c r="D261" s="223" t="s">
        <v>9954</v>
      </c>
      <c r="E261" s="1362">
        <v>7.50312187E9</v>
      </c>
      <c r="F261" s="924"/>
      <c r="G261" s="924"/>
      <c r="H261" s="924"/>
    </row>
    <row r="262" ht="22.5" customHeight="1">
      <c r="A262" s="937">
        <v>59.0</v>
      </c>
      <c r="B262" s="913" t="b">
        <v>0</v>
      </c>
      <c r="C262" s="1362" t="s">
        <v>9955</v>
      </c>
      <c r="D262" s="223" t="s">
        <v>9956</v>
      </c>
      <c r="E262" s="1376" t="s">
        <v>9957</v>
      </c>
      <c r="F262" s="924"/>
      <c r="G262" s="924"/>
      <c r="H262" s="924"/>
    </row>
    <row r="263" ht="22.5" customHeight="1">
      <c r="A263" s="937">
        <v>343.0</v>
      </c>
      <c r="B263" s="913" t="b">
        <v>0</v>
      </c>
      <c r="C263" s="1362" t="s">
        <v>9958</v>
      </c>
      <c r="D263" s="223" t="s">
        <v>9485</v>
      </c>
      <c r="E263" s="1364"/>
      <c r="F263" s="924"/>
      <c r="G263" s="924"/>
      <c r="H263" s="924"/>
    </row>
    <row r="264" ht="22.5" customHeight="1">
      <c r="A264" s="937">
        <v>281.0</v>
      </c>
      <c r="B264" s="913" t="b">
        <v>0</v>
      </c>
      <c r="C264" s="1362" t="s">
        <v>594</v>
      </c>
      <c r="D264" s="223" t="s">
        <v>9485</v>
      </c>
      <c r="E264" s="1364"/>
      <c r="F264" s="924"/>
      <c r="G264" s="924"/>
      <c r="H264" s="924"/>
    </row>
    <row r="265" ht="22.5" customHeight="1">
      <c r="A265" s="912">
        <v>451.0</v>
      </c>
      <c r="B265" s="913" t="b">
        <v>0</v>
      </c>
      <c r="C265" s="966" t="s">
        <v>9959</v>
      </c>
      <c r="D265" s="969" t="s">
        <v>9960</v>
      </c>
      <c r="E265" s="924">
        <v>7.502996E9</v>
      </c>
      <c r="F265" s="924" t="s">
        <v>9961</v>
      </c>
      <c r="G265" s="924"/>
      <c r="H265" s="969" t="s">
        <v>9962</v>
      </c>
    </row>
    <row r="266" ht="22.5" customHeight="1">
      <c r="A266" s="912">
        <v>467.0</v>
      </c>
      <c r="B266" s="913" t="b">
        <v>0</v>
      </c>
      <c r="C266" s="966" t="s">
        <v>9963</v>
      </c>
      <c r="D266" s="924"/>
      <c r="E266" s="924">
        <v>7.72465494E8</v>
      </c>
      <c r="F266" s="924" t="s">
        <v>1441</v>
      </c>
      <c r="G266" s="924"/>
      <c r="H266" s="924" t="s">
        <v>960</v>
      </c>
    </row>
    <row r="267" ht="22.5" customHeight="1">
      <c r="A267" s="937">
        <v>60.0</v>
      </c>
      <c r="B267" s="913" t="b">
        <v>0</v>
      </c>
      <c r="C267" s="1362" t="s">
        <v>9964</v>
      </c>
      <c r="D267" s="223" t="s">
        <v>9965</v>
      </c>
      <c r="E267" s="1362" t="s">
        <v>9966</v>
      </c>
      <c r="F267" s="924"/>
      <c r="G267" s="924"/>
      <c r="H267" s="924"/>
    </row>
    <row r="268" ht="22.5" customHeight="1">
      <c r="A268" s="937">
        <v>265.0</v>
      </c>
      <c r="B268" s="913" t="b">
        <v>0</v>
      </c>
      <c r="C268" s="1362" t="s">
        <v>9967</v>
      </c>
      <c r="D268" s="223" t="s">
        <v>9485</v>
      </c>
      <c r="E268" s="1364"/>
      <c r="F268" s="924"/>
      <c r="G268" s="924"/>
      <c r="H268" s="924"/>
    </row>
    <row r="269" ht="22.5" customHeight="1">
      <c r="A269" s="937">
        <v>62.0</v>
      </c>
      <c r="B269" s="913" t="b">
        <v>0</v>
      </c>
      <c r="C269" s="1362" t="s">
        <v>726</v>
      </c>
      <c r="D269" s="223" t="s">
        <v>9968</v>
      </c>
      <c r="E269" s="1362" t="s">
        <v>9969</v>
      </c>
      <c r="F269" s="924"/>
      <c r="G269" s="924"/>
      <c r="H269" s="924"/>
    </row>
    <row r="270" ht="22.5" customHeight="1">
      <c r="A270" s="937">
        <v>285.0</v>
      </c>
      <c r="B270" s="913" t="b">
        <v>0</v>
      </c>
      <c r="C270" s="1362" t="s">
        <v>9970</v>
      </c>
      <c r="D270" s="223" t="s">
        <v>9971</v>
      </c>
      <c r="E270" s="1362" t="s">
        <v>9972</v>
      </c>
      <c r="F270" s="924"/>
      <c r="G270" s="924"/>
      <c r="H270" s="924"/>
    </row>
    <row r="271" ht="22.5" customHeight="1">
      <c r="A271" s="937">
        <v>351.0</v>
      </c>
      <c r="B271" s="913" t="b">
        <v>0</v>
      </c>
      <c r="C271" s="1362" t="s">
        <v>9973</v>
      </c>
      <c r="D271" s="271"/>
      <c r="E271" s="1364"/>
      <c r="F271" s="924"/>
      <c r="G271" s="924"/>
      <c r="H271" s="924"/>
    </row>
    <row r="272" ht="22.5" customHeight="1">
      <c r="A272" s="937">
        <v>152.0</v>
      </c>
      <c r="B272" s="913" t="b">
        <v>0</v>
      </c>
      <c r="C272" s="1362" t="s">
        <v>9974</v>
      </c>
      <c r="D272" s="271"/>
      <c r="E272" s="1364"/>
      <c r="F272" s="924"/>
      <c r="G272" s="924"/>
      <c r="H272" s="924"/>
    </row>
    <row r="273" ht="22.5" customHeight="1">
      <c r="A273" s="937">
        <v>63.0</v>
      </c>
      <c r="B273" s="913" t="b">
        <v>0</v>
      </c>
      <c r="C273" s="1362" t="s">
        <v>9975</v>
      </c>
      <c r="D273" s="223" t="s">
        <v>9976</v>
      </c>
      <c r="E273" s="1362" t="s">
        <v>9977</v>
      </c>
      <c r="F273" s="924"/>
      <c r="G273" s="924"/>
      <c r="H273" s="924"/>
    </row>
    <row r="274" ht="22.5" customHeight="1">
      <c r="A274" s="937">
        <v>142.0</v>
      </c>
      <c r="B274" s="913" t="b">
        <v>0</v>
      </c>
      <c r="C274" s="1362" t="s">
        <v>9978</v>
      </c>
      <c r="D274" s="271"/>
      <c r="E274" s="1364"/>
      <c r="F274" s="924"/>
      <c r="G274" s="924"/>
      <c r="H274" s="924"/>
    </row>
    <row r="275" ht="22.5" customHeight="1">
      <c r="A275" s="937">
        <v>157.0</v>
      </c>
      <c r="B275" s="913" t="b">
        <v>0</v>
      </c>
      <c r="C275" s="1362" t="s">
        <v>9979</v>
      </c>
      <c r="D275" s="271"/>
      <c r="E275" s="1364"/>
      <c r="F275" s="924"/>
      <c r="G275" s="924"/>
      <c r="H275" s="924"/>
    </row>
    <row r="276" ht="22.5" customHeight="1">
      <c r="A276" s="937">
        <v>136.0</v>
      </c>
      <c r="B276" s="913" t="b">
        <v>0</v>
      </c>
      <c r="C276" s="1362" t="s">
        <v>9980</v>
      </c>
      <c r="D276" s="271"/>
      <c r="E276" s="1362" t="s">
        <v>9981</v>
      </c>
      <c r="F276" s="924"/>
      <c r="G276" s="924"/>
      <c r="H276" s="924"/>
    </row>
    <row r="277" ht="22.5" customHeight="1">
      <c r="A277" s="937">
        <v>143.0</v>
      </c>
      <c r="B277" s="913" t="b">
        <v>0</v>
      </c>
      <c r="C277" s="1362" t="s">
        <v>9982</v>
      </c>
      <c r="D277" s="271"/>
      <c r="E277" s="1364"/>
      <c r="F277" s="924"/>
      <c r="G277" s="924"/>
      <c r="H277" s="924"/>
    </row>
    <row r="278" ht="22.5" customHeight="1">
      <c r="A278" s="937">
        <v>378.0</v>
      </c>
      <c r="B278" s="913" t="b">
        <v>0</v>
      </c>
      <c r="C278" s="1362" t="s">
        <v>9983</v>
      </c>
      <c r="D278" s="271"/>
      <c r="E278" s="1364"/>
      <c r="F278" s="924"/>
      <c r="G278" s="924"/>
      <c r="H278" s="924"/>
    </row>
    <row r="279" ht="22.5" customHeight="1">
      <c r="A279" s="937">
        <v>200.0</v>
      </c>
      <c r="B279" s="913" t="b">
        <v>0</v>
      </c>
      <c r="C279" s="1362" t="s">
        <v>9984</v>
      </c>
      <c r="D279" s="223" t="s">
        <v>9985</v>
      </c>
      <c r="E279" s="1368" t="s">
        <v>9986</v>
      </c>
      <c r="F279" s="924"/>
      <c r="G279" s="924"/>
      <c r="H279" s="924"/>
    </row>
    <row r="280" ht="22.5" customHeight="1">
      <c r="A280" s="912">
        <v>426.0</v>
      </c>
      <c r="B280" s="913" t="b">
        <v>0</v>
      </c>
      <c r="C280" s="966" t="s">
        <v>9987</v>
      </c>
      <c r="D280" s="924"/>
      <c r="E280" s="924">
        <v>7.504441658E9</v>
      </c>
      <c r="F280" s="924"/>
      <c r="G280" s="924"/>
      <c r="H280" s="969" t="s">
        <v>7677</v>
      </c>
    </row>
    <row r="281" ht="22.5" customHeight="1">
      <c r="A281" s="937">
        <v>227.0</v>
      </c>
      <c r="B281" s="913" t="b">
        <v>0</v>
      </c>
      <c r="C281" s="1362" t="s">
        <v>9988</v>
      </c>
      <c r="D281" s="223" t="s">
        <v>9636</v>
      </c>
      <c r="E281" s="1362" t="s">
        <v>9989</v>
      </c>
      <c r="F281" s="924"/>
      <c r="G281" s="924"/>
      <c r="H281" s="924"/>
    </row>
    <row r="282" ht="22.5" customHeight="1">
      <c r="A282" s="937">
        <v>64.0</v>
      </c>
      <c r="B282" s="913" t="b">
        <v>0</v>
      </c>
      <c r="C282" s="1362" t="s">
        <v>9990</v>
      </c>
      <c r="D282" s="223" t="s">
        <v>9965</v>
      </c>
      <c r="E282" s="1362" t="s">
        <v>9991</v>
      </c>
      <c r="F282" s="924"/>
      <c r="G282" s="924"/>
      <c r="H282" s="924"/>
    </row>
    <row r="283" ht="22.5" customHeight="1">
      <c r="A283" s="937">
        <v>284.0</v>
      </c>
      <c r="B283" s="913" t="b">
        <v>0</v>
      </c>
      <c r="C283" s="1362" t="s">
        <v>9992</v>
      </c>
      <c r="D283" s="1272" t="s">
        <v>9993</v>
      </c>
      <c r="E283" s="1362" t="s">
        <v>9994</v>
      </c>
      <c r="F283" s="924"/>
      <c r="G283" s="924"/>
      <c r="H283" s="924"/>
    </row>
    <row r="284" ht="22.5" customHeight="1">
      <c r="A284" s="937">
        <v>179.0</v>
      </c>
      <c r="B284" s="913" t="b">
        <v>0</v>
      </c>
      <c r="C284" s="1362" t="s">
        <v>9995</v>
      </c>
      <c r="D284" s="223" t="s">
        <v>9636</v>
      </c>
      <c r="E284" s="1362" t="s">
        <v>9996</v>
      </c>
      <c r="F284" s="924"/>
      <c r="G284" s="924"/>
      <c r="H284" s="924"/>
    </row>
    <row r="285" ht="22.5" customHeight="1">
      <c r="A285" s="937">
        <v>107.0</v>
      </c>
      <c r="B285" s="913" t="b">
        <v>0</v>
      </c>
      <c r="C285" s="1362" t="s">
        <v>9997</v>
      </c>
      <c r="D285" s="223" t="s">
        <v>9998</v>
      </c>
      <c r="E285" s="1362" t="s">
        <v>9999</v>
      </c>
      <c r="F285" s="924"/>
      <c r="G285" s="924"/>
      <c r="H285" s="924"/>
    </row>
    <row r="286" ht="22.5" customHeight="1">
      <c r="A286" s="937">
        <v>208.0</v>
      </c>
      <c r="B286" s="913" t="b">
        <v>0</v>
      </c>
      <c r="C286" s="1362" t="s">
        <v>10000</v>
      </c>
      <c r="D286" s="1374"/>
      <c r="E286" s="1362" t="s">
        <v>10001</v>
      </c>
      <c r="F286" s="924"/>
      <c r="G286" s="924"/>
      <c r="H286" s="924"/>
    </row>
    <row r="287" ht="22.5" customHeight="1">
      <c r="A287" s="937">
        <v>65.0</v>
      </c>
      <c r="B287" s="913" t="b">
        <v>0</v>
      </c>
      <c r="C287" s="1362" t="s">
        <v>10002</v>
      </c>
      <c r="D287" s="223" t="s">
        <v>9760</v>
      </c>
      <c r="E287" s="1362" t="s">
        <v>10003</v>
      </c>
      <c r="F287" s="924"/>
      <c r="G287" s="924"/>
      <c r="H287" s="924"/>
    </row>
    <row r="288" ht="22.5" customHeight="1">
      <c r="A288" s="937">
        <v>389.0</v>
      </c>
      <c r="B288" s="913" t="b">
        <v>0</v>
      </c>
      <c r="C288" s="1362" t="s">
        <v>10004</v>
      </c>
      <c r="D288" s="271"/>
      <c r="E288" s="1364"/>
      <c r="F288" s="924"/>
      <c r="G288" s="924"/>
      <c r="H288" s="924"/>
    </row>
    <row r="289" ht="22.5" customHeight="1">
      <c r="A289" s="937">
        <v>115.0</v>
      </c>
      <c r="B289" s="913" t="b">
        <v>0</v>
      </c>
      <c r="C289" s="1362" t="s">
        <v>10005</v>
      </c>
      <c r="D289" s="223" t="s">
        <v>10006</v>
      </c>
      <c r="E289" s="1368" t="s">
        <v>10007</v>
      </c>
      <c r="F289" s="924"/>
      <c r="G289" s="924"/>
      <c r="H289" s="924"/>
    </row>
    <row r="290" ht="22.5" customHeight="1">
      <c r="A290" s="937">
        <v>287.0</v>
      </c>
      <c r="B290" s="913" t="b">
        <v>0</v>
      </c>
      <c r="C290" s="1362" t="s">
        <v>10008</v>
      </c>
      <c r="D290" s="223" t="s">
        <v>10009</v>
      </c>
      <c r="E290" s="1377" t="s">
        <v>10010</v>
      </c>
      <c r="F290" s="924"/>
      <c r="G290" s="924"/>
      <c r="H290" s="924"/>
    </row>
    <row r="291" ht="22.5" customHeight="1">
      <c r="A291" s="912">
        <v>408.0</v>
      </c>
      <c r="B291" s="913" t="b">
        <v>0</v>
      </c>
      <c r="C291" s="966" t="s">
        <v>10011</v>
      </c>
      <c r="D291" s="924"/>
      <c r="E291" s="924">
        <v>7.501135522E9</v>
      </c>
      <c r="F291" s="924" t="s">
        <v>10012</v>
      </c>
      <c r="G291" s="924"/>
      <c r="H291" s="924"/>
    </row>
    <row r="292" ht="22.5" customHeight="1">
      <c r="A292" s="912">
        <v>485.0</v>
      </c>
      <c r="B292" s="913" t="b">
        <v>0</v>
      </c>
      <c r="C292" s="966" t="s">
        <v>10013</v>
      </c>
      <c r="D292" s="924"/>
      <c r="E292" s="924">
        <v>7.501297777E9</v>
      </c>
      <c r="F292" s="924" t="s">
        <v>419</v>
      </c>
      <c r="G292" s="924"/>
      <c r="H292" s="969" t="s">
        <v>7565</v>
      </c>
    </row>
    <row r="293" ht="22.5" customHeight="1">
      <c r="A293" s="937">
        <v>182.0</v>
      </c>
      <c r="B293" s="913" t="b">
        <v>0</v>
      </c>
      <c r="C293" s="1362" t="s">
        <v>10014</v>
      </c>
      <c r="D293" s="1371" t="s">
        <v>755</v>
      </c>
      <c r="E293" s="1362" t="s">
        <v>10015</v>
      </c>
      <c r="F293" s="924"/>
      <c r="G293" s="924"/>
      <c r="H293" s="924"/>
    </row>
    <row r="294" ht="22.5" customHeight="1">
      <c r="A294" s="937">
        <v>66.0</v>
      </c>
      <c r="B294" s="913" t="b">
        <v>0</v>
      </c>
      <c r="C294" s="1362" t="s">
        <v>10016</v>
      </c>
      <c r="D294" s="271"/>
      <c r="E294" s="1362" t="s">
        <v>10017</v>
      </c>
      <c r="F294" s="924"/>
      <c r="G294" s="924"/>
      <c r="H294" s="924"/>
    </row>
    <row r="295" ht="22.5" customHeight="1">
      <c r="A295" s="937">
        <v>330.0</v>
      </c>
      <c r="B295" s="913" t="b">
        <v>0</v>
      </c>
      <c r="C295" s="1362" t="s">
        <v>10018</v>
      </c>
      <c r="D295" s="271"/>
      <c r="E295" s="1364"/>
      <c r="F295" s="924"/>
      <c r="G295" s="924"/>
      <c r="H295" s="924"/>
    </row>
    <row r="296" ht="22.5" customHeight="1">
      <c r="A296" s="937">
        <v>67.0</v>
      </c>
      <c r="B296" s="913" t="b">
        <v>0</v>
      </c>
      <c r="C296" s="1362" t="s">
        <v>10019</v>
      </c>
      <c r="D296" s="223" t="s">
        <v>10020</v>
      </c>
      <c r="E296" s="1364"/>
      <c r="F296" s="924"/>
      <c r="G296" s="924"/>
      <c r="H296" s="924"/>
    </row>
    <row r="297" ht="22.5" customHeight="1">
      <c r="A297" s="937">
        <v>230.0</v>
      </c>
      <c r="B297" s="913" t="b">
        <v>0</v>
      </c>
      <c r="C297" s="1362" t="s">
        <v>10021</v>
      </c>
      <c r="D297" s="223" t="s">
        <v>10022</v>
      </c>
      <c r="E297" s="1362" t="s">
        <v>10023</v>
      </c>
      <c r="F297" s="924"/>
      <c r="G297" s="924"/>
      <c r="H297" s="924"/>
    </row>
    <row r="298" ht="22.5" customHeight="1">
      <c r="A298" s="937">
        <v>247.0</v>
      </c>
      <c r="B298" s="913" t="b">
        <v>0</v>
      </c>
      <c r="C298" s="1362" t="s">
        <v>10024</v>
      </c>
      <c r="D298" s="1365" t="s">
        <v>10025</v>
      </c>
      <c r="E298" s="1362" t="s">
        <v>10026</v>
      </c>
      <c r="F298" s="924"/>
      <c r="G298" s="924"/>
      <c r="H298" s="924"/>
    </row>
    <row r="299" ht="22.5" customHeight="1">
      <c r="A299" s="937">
        <v>68.0</v>
      </c>
      <c r="B299" s="913" t="b">
        <v>0</v>
      </c>
      <c r="C299" s="1362" t="s">
        <v>10027</v>
      </c>
      <c r="D299" s="236" t="s">
        <v>10028</v>
      </c>
      <c r="E299" s="1362" t="s">
        <v>10029</v>
      </c>
      <c r="F299" s="924"/>
      <c r="G299" s="924"/>
      <c r="H299" s="924"/>
    </row>
    <row r="300" ht="22.5" customHeight="1">
      <c r="A300" s="937">
        <v>334.0</v>
      </c>
      <c r="B300" s="913" t="b">
        <v>0</v>
      </c>
      <c r="C300" s="1362" t="s">
        <v>10030</v>
      </c>
      <c r="D300" s="271"/>
      <c r="E300" s="1364"/>
      <c r="F300" s="924"/>
      <c r="G300" s="924"/>
      <c r="H300" s="924"/>
    </row>
    <row r="301" ht="22.5" customHeight="1">
      <c r="A301" s="937">
        <v>102.0</v>
      </c>
      <c r="B301" s="913" t="b">
        <v>0</v>
      </c>
      <c r="C301" s="1362" t="s">
        <v>10031</v>
      </c>
      <c r="D301" s="223" t="s">
        <v>10032</v>
      </c>
      <c r="E301" s="1362" t="s">
        <v>10033</v>
      </c>
      <c r="F301" s="924"/>
      <c r="G301" s="924"/>
      <c r="H301" s="924"/>
    </row>
    <row r="302" ht="22.5" customHeight="1">
      <c r="A302" s="937">
        <v>312.0</v>
      </c>
      <c r="B302" s="913" t="b">
        <v>0</v>
      </c>
      <c r="C302" s="1362" t="s">
        <v>10034</v>
      </c>
      <c r="D302" s="271"/>
      <c r="E302" s="1364"/>
      <c r="F302" s="924"/>
      <c r="G302" s="924"/>
      <c r="H302" s="924"/>
    </row>
    <row r="303" ht="22.5" customHeight="1">
      <c r="A303" s="937">
        <v>204.0</v>
      </c>
      <c r="B303" s="913" t="b">
        <v>0</v>
      </c>
      <c r="C303" s="1362" t="s">
        <v>10035</v>
      </c>
      <c r="D303" s="271"/>
      <c r="E303" s="1364"/>
      <c r="F303" s="924"/>
      <c r="G303" s="924"/>
      <c r="H303" s="924"/>
    </row>
    <row r="304" ht="22.5" customHeight="1">
      <c r="A304" s="937">
        <v>217.0</v>
      </c>
      <c r="B304" s="913" t="b">
        <v>0</v>
      </c>
      <c r="C304" s="1362" t="s">
        <v>10036</v>
      </c>
      <c r="D304" s="223" t="s">
        <v>10037</v>
      </c>
      <c r="E304" s="1362" t="s">
        <v>10038</v>
      </c>
      <c r="F304" s="924"/>
      <c r="G304" s="924"/>
      <c r="H304" s="924"/>
    </row>
    <row r="305" ht="22.5" customHeight="1">
      <c r="A305" s="937">
        <v>276.0</v>
      </c>
      <c r="B305" s="913" t="b">
        <v>0</v>
      </c>
      <c r="C305" s="1362" t="s">
        <v>10039</v>
      </c>
      <c r="D305" s="1378" t="s">
        <v>9485</v>
      </c>
      <c r="E305" s="1364"/>
      <c r="F305" s="924"/>
      <c r="G305" s="924"/>
      <c r="H305" s="924"/>
    </row>
    <row r="306" ht="22.5" customHeight="1">
      <c r="A306" s="912">
        <v>418.0</v>
      </c>
      <c r="B306" s="913" t="b">
        <v>0</v>
      </c>
      <c r="C306" s="966" t="s">
        <v>10040</v>
      </c>
      <c r="D306" s="1379"/>
      <c r="E306" s="924">
        <v>7.502244998E9</v>
      </c>
      <c r="F306" s="924" t="s">
        <v>10041</v>
      </c>
      <c r="G306" s="924"/>
      <c r="H306" s="924"/>
    </row>
    <row r="307" ht="22.5" customHeight="1">
      <c r="A307" s="937">
        <v>69.0</v>
      </c>
      <c r="B307" s="913" t="b">
        <v>0</v>
      </c>
      <c r="C307" s="1362" t="s">
        <v>10042</v>
      </c>
      <c r="D307" s="223" t="s">
        <v>10043</v>
      </c>
      <c r="E307" s="1362" t="s">
        <v>10044</v>
      </c>
      <c r="F307" s="924"/>
      <c r="G307" s="924"/>
      <c r="H307" s="924"/>
    </row>
    <row r="308" ht="22.5" customHeight="1">
      <c r="A308" s="937">
        <v>70.0</v>
      </c>
      <c r="B308" s="913" t="b">
        <v>0</v>
      </c>
      <c r="C308" s="1362" t="s">
        <v>10045</v>
      </c>
      <c r="D308" s="223" t="s">
        <v>9795</v>
      </c>
      <c r="E308" s="1362" t="s">
        <v>10046</v>
      </c>
      <c r="F308" s="924"/>
      <c r="G308" s="924"/>
      <c r="H308" s="924"/>
    </row>
    <row r="309" ht="22.5" customHeight="1">
      <c r="A309" s="937">
        <v>71.0</v>
      </c>
      <c r="B309" s="913" t="b">
        <v>0</v>
      </c>
      <c r="C309" s="1362" t="s">
        <v>10047</v>
      </c>
      <c r="D309" s="223" t="s">
        <v>9791</v>
      </c>
      <c r="E309" s="1362" t="s">
        <v>10048</v>
      </c>
      <c r="F309" s="924"/>
      <c r="G309" s="924"/>
      <c r="H309" s="924"/>
    </row>
    <row r="310" ht="22.5" customHeight="1">
      <c r="A310" s="912">
        <v>400.0</v>
      </c>
      <c r="B310" s="913" t="b">
        <v>0</v>
      </c>
      <c r="C310" s="913" t="s">
        <v>10049</v>
      </c>
      <c r="D310" s="924"/>
      <c r="E310" s="924">
        <v>6776.0</v>
      </c>
      <c r="F310" s="924" t="s">
        <v>1254</v>
      </c>
      <c r="G310" s="924"/>
      <c r="H310" s="924" t="s">
        <v>10050</v>
      </c>
    </row>
    <row r="311" ht="22.5" customHeight="1">
      <c r="A311" s="937">
        <v>166.0</v>
      </c>
      <c r="B311" s="913" t="b">
        <v>0</v>
      </c>
      <c r="C311" s="1362" t="s">
        <v>10051</v>
      </c>
      <c r="D311" s="223" t="s">
        <v>10052</v>
      </c>
      <c r="E311" s="1364"/>
      <c r="F311" s="924"/>
      <c r="G311" s="924"/>
      <c r="H311" s="924"/>
    </row>
    <row r="312" ht="22.5" customHeight="1">
      <c r="A312" s="937">
        <v>337.0</v>
      </c>
      <c r="B312" s="913" t="b">
        <v>0</v>
      </c>
      <c r="C312" s="1362" t="s">
        <v>10053</v>
      </c>
      <c r="D312" s="223" t="s">
        <v>9485</v>
      </c>
      <c r="E312" s="1364"/>
      <c r="F312" s="924"/>
      <c r="G312" s="924"/>
      <c r="H312" s="924"/>
    </row>
    <row r="313" ht="22.5" customHeight="1">
      <c r="A313" s="937">
        <v>100.0</v>
      </c>
      <c r="B313" s="913" t="b">
        <v>0</v>
      </c>
      <c r="C313" s="1362" t="s">
        <v>10054</v>
      </c>
      <c r="D313" s="223" t="s">
        <v>10055</v>
      </c>
      <c r="E313" s="1362" t="s">
        <v>10056</v>
      </c>
      <c r="F313" s="924"/>
      <c r="G313" s="924"/>
      <c r="H313" s="924"/>
    </row>
    <row r="314" ht="22.5" customHeight="1">
      <c r="A314" s="937">
        <v>72.0</v>
      </c>
      <c r="B314" s="913" t="b">
        <v>0</v>
      </c>
      <c r="C314" s="1362" t="s">
        <v>10057</v>
      </c>
      <c r="D314" s="223" t="s">
        <v>10058</v>
      </c>
      <c r="E314" s="1362" t="s">
        <v>10059</v>
      </c>
      <c r="F314" s="924"/>
      <c r="G314" s="924"/>
      <c r="H314" s="924"/>
    </row>
    <row r="315" ht="22.5" customHeight="1">
      <c r="A315" s="937">
        <v>286.0</v>
      </c>
      <c r="B315" s="913" t="b">
        <v>0</v>
      </c>
      <c r="C315" s="1362" t="s">
        <v>10060</v>
      </c>
      <c r="D315" s="223" t="s">
        <v>10061</v>
      </c>
      <c r="E315" s="1364"/>
      <c r="F315" s="924"/>
      <c r="G315" s="924"/>
      <c r="H315" s="924"/>
    </row>
    <row r="316" ht="22.5" customHeight="1">
      <c r="A316" s="912">
        <v>499.0</v>
      </c>
      <c r="B316" s="913" t="b">
        <v>0</v>
      </c>
      <c r="C316" s="1034" t="s">
        <v>10062</v>
      </c>
      <c r="D316" s="924" t="s">
        <v>10063</v>
      </c>
      <c r="E316" s="1380">
        <v>9.05074460321E11</v>
      </c>
      <c r="F316" s="983"/>
      <c r="G316" s="924"/>
      <c r="H316" s="969" t="s">
        <v>7699</v>
      </c>
    </row>
    <row r="317" ht="22.5" customHeight="1">
      <c r="A317" s="937">
        <v>255.0</v>
      </c>
      <c r="B317" s="913" t="b">
        <v>0</v>
      </c>
      <c r="C317" s="1362" t="s">
        <v>10064</v>
      </c>
      <c r="D317" s="223" t="s">
        <v>10065</v>
      </c>
      <c r="E317" s="1364"/>
      <c r="F317" s="924"/>
      <c r="G317" s="924"/>
      <c r="H317" s="924"/>
    </row>
    <row r="318" ht="22.5" customHeight="1">
      <c r="A318" s="937">
        <v>323.0</v>
      </c>
      <c r="B318" s="913" t="b">
        <v>0</v>
      </c>
      <c r="C318" s="1362" t="s">
        <v>10066</v>
      </c>
      <c r="D318" s="271"/>
      <c r="E318" s="1364"/>
      <c r="F318" s="924"/>
      <c r="G318" s="924"/>
      <c r="H318" s="924"/>
    </row>
    <row r="319" ht="22.5" customHeight="1">
      <c r="A319" s="937">
        <v>103.0</v>
      </c>
      <c r="B319" s="913" t="b">
        <v>0</v>
      </c>
      <c r="C319" s="1362" t="s">
        <v>10067</v>
      </c>
      <c r="D319" s="223" t="s">
        <v>10068</v>
      </c>
      <c r="E319" s="1362" t="s">
        <v>10069</v>
      </c>
      <c r="F319" s="924"/>
      <c r="G319" s="924"/>
      <c r="H319" s="924"/>
    </row>
    <row r="320" ht="22.5" customHeight="1">
      <c r="A320" s="937">
        <v>383.0</v>
      </c>
      <c r="B320" s="913" t="b">
        <v>0</v>
      </c>
      <c r="C320" s="1362" t="s">
        <v>10070</v>
      </c>
      <c r="D320" s="271"/>
      <c r="E320" s="1364"/>
      <c r="F320" s="924"/>
      <c r="G320" s="924"/>
      <c r="H320" s="924"/>
    </row>
    <row r="321" ht="22.5" customHeight="1">
      <c r="A321" s="912">
        <v>460.0</v>
      </c>
      <c r="B321" s="913" t="b">
        <v>0</v>
      </c>
      <c r="C321" s="966" t="s">
        <v>10071</v>
      </c>
      <c r="D321" s="924"/>
      <c r="E321" s="924">
        <v>7.507771757E9</v>
      </c>
      <c r="F321" s="924" t="s">
        <v>10072</v>
      </c>
      <c r="G321" s="924"/>
      <c r="H321" s="924"/>
    </row>
    <row r="322" ht="22.5" customHeight="1">
      <c r="A322" s="937">
        <v>272.0</v>
      </c>
      <c r="B322" s="913" t="b">
        <v>0</v>
      </c>
      <c r="C322" s="1362" t="s">
        <v>10073</v>
      </c>
      <c r="D322" s="223" t="s">
        <v>9485</v>
      </c>
      <c r="E322" s="1364"/>
      <c r="F322" s="924"/>
      <c r="G322" s="924"/>
      <c r="H322" s="924"/>
    </row>
    <row r="323" ht="22.5" customHeight="1">
      <c r="A323" s="937">
        <v>73.0</v>
      </c>
      <c r="B323" s="913" t="b">
        <v>0</v>
      </c>
      <c r="C323" s="1362" t="s">
        <v>10074</v>
      </c>
      <c r="D323" s="223" t="s">
        <v>10075</v>
      </c>
      <c r="E323" s="1362" t="s">
        <v>10076</v>
      </c>
      <c r="F323" s="924"/>
      <c r="G323" s="924"/>
      <c r="H323" s="924"/>
    </row>
    <row r="324" ht="22.5" customHeight="1">
      <c r="A324" s="937">
        <v>106.0</v>
      </c>
      <c r="B324" s="913" t="b">
        <v>0</v>
      </c>
      <c r="C324" s="1362" t="s">
        <v>10077</v>
      </c>
      <c r="D324" s="223" t="s">
        <v>10078</v>
      </c>
      <c r="E324" s="1362" t="s">
        <v>10079</v>
      </c>
      <c r="F324" s="924"/>
      <c r="G324" s="924"/>
      <c r="H324" s="924"/>
    </row>
    <row r="325" ht="22.5" customHeight="1">
      <c r="A325" s="937">
        <v>278.0</v>
      </c>
      <c r="B325" s="913" t="b">
        <v>0</v>
      </c>
      <c r="C325" s="1362" t="s">
        <v>571</v>
      </c>
      <c r="D325" s="223" t="s">
        <v>9485</v>
      </c>
      <c r="E325" s="1364"/>
      <c r="F325" s="924"/>
      <c r="G325" s="924"/>
      <c r="H325" s="924"/>
    </row>
    <row r="326" ht="22.5" customHeight="1">
      <c r="A326" s="937">
        <v>213.0</v>
      </c>
      <c r="B326" s="913" t="b">
        <v>0</v>
      </c>
      <c r="C326" s="1277" t="s">
        <v>10080</v>
      </c>
      <c r="D326" s="223" t="s">
        <v>9636</v>
      </c>
      <c r="E326" s="1362" t="s">
        <v>10081</v>
      </c>
      <c r="F326" s="924"/>
      <c r="G326" s="924"/>
      <c r="H326" s="924"/>
    </row>
    <row r="327" ht="22.5" customHeight="1">
      <c r="A327" s="937">
        <v>386.0</v>
      </c>
      <c r="B327" s="913" t="b">
        <v>0</v>
      </c>
      <c r="C327" s="1362" t="s">
        <v>10082</v>
      </c>
      <c r="D327" s="271"/>
      <c r="E327" s="1364"/>
      <c r="F327" s="924"/>
      <c r="G327" s="924"/>
      <c r="H327" s="924"/>
    </row>
    <row r="328" ht="22.5" customHeight="1">
      <c r="A328" s="937">
        <v>254.0</v>
      </c>
      <c r="B328" s="913" t="b">
        <v>0</v>
      </c>
      <c r="C328" s="1362" t="s">
        <v>10083</v>
      </c>
      <c r="D328" s="223" t="s">
        <v>10084</v>
      </c>
      <c r="E328" s="1362" t="s">
        <v>9814</v>
      </c>
      <c r="F328" s="924"/>
      <c r="G328" s="924"/>
      <c r="H328" s="924"/>
    </row>
    <row r="329" ht="22.5" customHeight="1">
      <c r="A329" s="937">
        <v>112.0</v>
      </c>
      <c r="B329" s="913" t="b">
        <v>0</v>
      </c>
      <c r="C329" s="1362" t="s">
        <v>10085</v>
      </c>
      <c r="D329" s="223" t="s">
        <v>10086</v>
      </c>
      <c r="E329" s="1362" t="s">
        <v>10087</v>
      </c>
      <c r="F329" s="924"/>
      <c r="G329" s="924"/>
      <c r="H329" s="924"/>
    </row>
    <row r="330" ht="22.5" customHeight="1">
      <c r="A330" s="937">
        <v>221.0</v>
      </c>
      <c r="B330" s="913" t="b">
        <v>0</v>
      </c>
      <c r="C330" s="1362" t="s">
        <v>10085</v>
      </c>
      <c r="D330" s="223" t="s">
        <v>10088</v>
      </c>
      <c r="E330" s="1362" t="s">
        <v>10089</v>
      </c>
      <c r="F330" s="924"/>
      <c r="G330" s="924"/>
      <c r="H330" s="924"/>
    </row>
    <row r="331" ht="22.5" customHeight="1">
      <c r="A331" s="937">
        <v>122.0</v>
      </c>
      <c r="B331" s="913" t="b">
        <v>0</v>
      </c>
      <c r="C331" s="1362" t="s">
        <v>10090</v>
      </c>
      <c r="D331" s="223" t="s">
        <v>10091</v>
      </c>
      <c r="E331" s="1362" t="s">
        <v>10092</v>
      </c>
      <c r="F331" s="924"/>
      <c r="G331" s="924"/>
      <c r="H331" s="924"/>
    </row>
    <row r="332" ht="22.5" customHeight="1">
      <c r="A332" s="937">
        <v>74.0</v>
      </c>
      <c r="B332" s="913" t="b">
        <v>0</v>
      </c>
      <c r="C332" s="1362" t="s">
        <v>10093</v>
      </c>
      <c r="D332" s="223" t="s">
        <v>147</v>
      </c>
      <c r="E332" s="1362" t="s">
        <v>10094</v>
      </c>
      <c r="F332" s="924"/>
      <c r="G332" s="924"/>
      <c r="H332" s="924"/>
    </row>
    <row r="333" ht="22.5" customHeight="1">
      <c r="A333" s="937">
        <v>260.0</v>
      </c>
      <c r="B333" s="913" t="b">
        <v>0</v>
      </c>
      <c r="C333" s="1362" t="s">
        <v>10095</v>
      </c>
      <c r="D333" s="271"/>
      <c r="E333" s="1362">
        <v>7.500570003E9</v>
      </c>
      <c r="F333" s="924"/>
      <c r="G333" s="924"/>
      <c r="H333" s="924"/>
    </row>
    <row r="334" ht="22.5" customHeight="1">
      <c r="A334" s="937">
        <v>258.0</v>
      </c>
      <c r="B334" s="913" t="b">
        <v>0</v>
      </c>
      <c r="C334" s="1362" t="s">
        <v>10096</v>
      </c>
      <c r="D334" s="1381"/>
      <c r="E334" s="1362" t="s">
        <v>10097</v>
      </c>
      <c r="F334" s="924"/>
      <c r="G334" s="924"/>
      <c r="H334" s="924"/>
    </row>
    <row r="335" ht="22.5" customHeight="1">
      <c r="A335" s="937">
        <v>75.0</v>
      </c>
      <c r="B335" s="913" t="b">
        <v>0</v>
      </c>
      <c r="C335" s="1362" t="s">
        <v>10098</v>
      </c>
      <c r="D335" s="223" t="s">
        <v>10099</v>
      </c>
      <c r="E335" s="1362" t="s">
        <v>10100</v>
      </c>
      <c r="F335" s="924"/>
      <c r="G335" s="924"/>
      <c r="H335" s="924"/>
    </row>
    <row r="336" ht="22.5" customHeight="1">
      <c r="A336" s="937">
        <v>76.0</v>
      </c>
      <c r="B336" s="913" t="b">
        <v>0</v>
      </c>
      <c r="C336" s="1362" t="s">
        <v>10101</v>
      </c>
      <c r="D336" s="223" t="s">
        <v>10102</v>
      </c>
      <c r="E336" s="1362" t="s">
        <v>10103</v>
      </c>
      <c r="F336" s="924"/>
      <c r="G336" s="924"/>
      <c r="H336" s="924"/>
    </row>
    <row r="337" ht="22.5" customHeight="1">
      <c r="A337" s="937">
        <v>249.0</v>
      </c>
      <c r="B337" s="913" t="b">
        <v>0</v>
      </c>
      <c r="C337" s="1362" t="s">
        <v>10104</v>
      </c>
      <c r="D337" s="1382" t="s">
        <v>10105</v>
      </c>
      <c r="E337" s="1362" t="s">
        <v>10106</v>
      </c>
      <c r="F337" s="924"/>
      <c r="G337" s="924"/>
      <c r="H337" s="924"/>
    </row>
    <row r="338" ht="22.5" customHeight="1">
      <c r="A338" s="937">
        <v>146.0</v>
      </c>
      <c r="B338" s="913" t="b">
        <v>0</v>
      </c>
      <c r="C338" s="1362" t="s">
        <v>10107</v>
      </c>
      <c r="D338" s="271"/>
      <c r="E338" s="1364"/>
      <c r="F338" s="924"/>
      <c r="G338" s="924"/>
      <c r="H338" s="924"/>
    </row>
    <row r="339" ht="22.5" customHeight="1">
      <c r="A339" s="937">
        <v>347.0</v>
      </c>
      <c r="B339" s="913" t="b">
        <v>0</v>
      </c>
      <c r="C339" s="1362" t="s">
        <v>10108</v>
      </c>
      <c r="D339" s="223" t="s">
        <v>9485</v>
      </c>
      <c r="E339" s="1364"/>
      <c r="F339" s="924"/>
      <c r="G339" s="924"/>
      <c r="H339" s="924"/>
    </row>
    <row r="340" ht="22.5" customHeight="1">
      <c r="A340" s="912">
        <v>420.0</v>
      </c>
      <c r="B340" s="913" t="b">
        <v>0</v>
      </c>
      <c r="C340" s="966" t="s">
        <v>10109</v>
      </c>
      <c r="D340" s="924"/>
      <c r="E340" s="924">
        <v>7.50361E9</v>
      </c>
      <c r="F340" s="924" t="s">
        <v>10110</v>
      </c>
      <c r="G340" s="924"/>
      <c r="H340" s="969" t="s">
        <v>10111</v>
      </c>
    </row>
    <row r="341" ht="22.5" customHeight="1">
      <c r="A341" s="937">
        <v>168.0</v>
      </c>
      <c r="B341" s="913" t="b">
        <v>0</v>
      </c>
      <c r="C341" s="1362" t="s">
        <v>10112</v>
      </c>
      <c r="D341" s="271"/>
      <c r="E341" s="1364"/>
      <c r="F341" s="924"/>
      <c r="G341" s="924"/>
      <c r="H341" s="924"/>
    </row>
    <row r="342" ht="22.5" customHeight="1">
      <c r="A342" s="937">
        <v>113.0</v>
      </c>
      <c r="B342" s="913" t="b">
        <v>0</v>
      </c>
      <c r="C342" s="1362" t="s">
        <v>10113</v>
      </c>
      <c r="D342" s="271"/>
      <c r="E342" s="1362" t="s">
        <v>10114</v>
      </c>
      <c r="F342" s="924"/>
      <c r="G342" s="924"/>
      <c r="H342" s="924"/>
    </row>
    <row r="343" ht="22.5" customHeight="1">
      <c r="A343" s="937">
        <v>375.0</v>
      </c>
      <c r="B343" s="913" t="b">
        <v>0</v>
      </c>
      <c r="C343" s="1362" t="s">
        <v>10115</v>
      </c>
      <c r="D343" s="271"/>
      <c r="E343" s="1364"/>
      <c r="F343" s="924"/>
      <c r="G343" s="924"/>
      <c r="H343" s="924"/>
    </row>
    <row r="344" ht="22.5" customHeight="1">
      <c r="A344" s="937">
        <v>77.0</v>
      </c>
      <c r="B344" s="913" t="b">
        <v>0</v>
      </c>
      <c r="C344" s="1362" t="s">
        <v>10116</v>
      </c>
      <c r="D344" s="223" t="s">
        <v>10117</v>
      </c>
      <c r="E344" s="1362">
        <v>7.504472245E9</v>
      </c>
      <c r="F344" s="924"/>
      <c r="G344" s="924"/>
      <c r="H344" s="924"/>
    </row>
    <row r="345" ht="22.5" customHeight="1">
      <c r="A345" s="937">
        <v>297.0</v>
      </c>
      <c r="B345" s="913" t="b">
        <v>0</v>
      </c>
      <c r="C345" s="1362" t="s">
        <v>10118</v>
      </c>
      <c r="D345" s="223" t="s">
        <v>9631</v>
      </c>
      <c r="E345" s="1364"/>
      <c r="F345" s="924"/>
      <c r="G345" s="924"/>
      <c r="H345" s="924"/>
    </row>
    <row r="346" ht="22.5" customHeight="1">
      <c r="A346" s="937">
        <v>316.0</v>
      </c>
      <c r="B346" s="913" t="b">
        <v>0</v>
      </c>
      <c r="C346" s="1362" t="s">
        <v>10119</v>
      </c>
      <c r="D346" s="223" t="s">
        <v>9485</v>
      </c>
      <c r="E346" s="1364"/>
      <c r="F346" s="924"/>
      <c r="G346" s="924"/>
      <c r="H346" s="924"/>
    </row>
    <row r="347" ht="22.5" customHeight="1">
      <c r="A347" s="937">
        <v>187.0</v>
      </c>
      <c r="B347" s="913" t="b">
        <v>0</v>
      </c>
      <c r="C347" s="1362" t="s">
        <v>10120</v>
      </c>
      <c r="D347" s="223" t="s">
        <v>10121</v>
      </c>
      <c r="E347" s="1362" t="s">
        <v>10122</v>
      </c>
      <c r="F347" s="924"/>
      <c r="G347" s="924"/>
      <c r="H347" s="924"/>
    </row>
    <row r="348" ht="22.5" customHeight="1">
      <c r="A348" s="937">
        <v>78.0</v>
      </c>
      <c r="B348" s="913" t="b">
        <v>0</v>
      </c>
      <c r="C348" s="1362" t="s">
        <v>10123</v>
      </c>
      <c r="D348" s="223" t="s">
        <v>10124</v>
      </c>
      <c r="E348" s="1362" t="s">
        <v>10125</v>
      </c>
      <c r="F348" s="924"/>
      <c r="G348" s="924"/>
      <c r="H348" s="924"/>
    </row>
    <row r="349" ht="22.5" customHeight="1">
      <c r="A349" s="937">
        <v>259.0</v>
      </c>
      <c r="B349" s="913" t="b">
        <v>0</v>
      </c>
      <c r="C349" s="1362" t="s">
        <v>10126</v>
      </c>
      <c r="D349" s="223" t="s">
        <v>10127</v>
      </c>
      <c r="E349" s="1362" t="s">
        <v>10128</v>
      </c>
      <c r="F349" s="924"/>
      <c r="G349" s="924"/>
      <c r="H349" s="924"/>
    </row>
    <row r="350" ht="22.5" customHeight="1">
      <c r="A350" s="937">
        <v>349.0</v>
      </c>
      <c r="B350" s="913" t="b">
        <v>0</v>
      </c>
      <c r="C350" s="1362" t="s">
        <v>10129</v>
      </c>
      <c r="D350" s="271"/>
      <c r="E350" s="1364"/>
      <c r="F350" s="924"/>
      <c r="G350" s="924"/>
      <c r="H350" s="924"/>
    </row>
    <row r="351" ht="22.5" customHeight="1">
      <c r="A351" s="937">
        <v>318.0</v>
      </c>
      <c r="B351" s="913" t="b">
        <v>0</v>
      </c>
      <c r="C351" s="1362" t="s">
        <v>10130</v>
      </c>
      <c r="D351" s="271"/>
      <c r="E351" s="1364"/>
      <c r="F351" s="924"/>
      <c r="G351" s="924"/>
      <c r="H351" s="924"/>
    </row>
    <row r="352" ht="22.5" customHeight="1">
      <c r="A352" s="937">
        <v>79.0</v>
      </c>
      <c r="B352" s="913" t="b">
        <v>0</v>
      </c>
      <c r="C352" s="1362" t="s">
        <v>10131</v>
      </c>
      <c r="D352" s="223" t="s">
        <v>10132</v>
      </c>
      <c r="E352" s="1362" t="s">
        <v>10133</v>
      </c>
      <c r="F352" s="924"/>
      <c r="G352" s="924"/>
      <c r="H352" s="924"/>
    </row>
    <row r="353" ht="22.5" customHeight="1">
      <c r="A353" s="937">
        <v>80.0</v>
      </c>
      <c r="B353" s="913" t="b">
        <v>0</v>
      </c>
      <c r="C353" s="1362" t="s">
        <v>10134</v>
      </c>
      <c r="D353" s="271"/>
      <c r="E353" s="1362" t="s">
        <v>10135</v>
      </c>
      <c r="F353" s="924"/>
      <c r="G353" s="924"/>
      <c r="H353" s="924"/>
    </row>
    <row r="354" ht="22.5" customHeight="1">
      <c r="A354" s="937">
        <v>129.0</v>
      </c>
      <c r="B354" s="913" t="b">
        <v>0</v>
      </c>
      <c r="C354" s="1362" t="s">
        <v>10136</v>
      </c>
      <c r="D354" s="271"/>
      <c r="E354" s="1362" t="s">
        <v>10137</v>
      </c>
      <c r="F354" s="924"/>
      <c r="G354" s="924"/>
      <c r="H354" s="924"/>
    </row>
    <row r="355" ht="22.5" customHeight="1">
      <c r="A355" s="937">
        <v>269.0</v>
      </c>
      <c r="B355" s="913" t="b">
        <v>0</v>
      </c>
      <c r="C355" s="1362" t="s">
        <v>10138</v>
      </c>
      <c r="D355" s="223" t="s">
        <v>9485</v>
      </c>
      <c r="E355" s="1364"/>
      <c r="F355" s="924"/>
      <c r="G355" s="924"/>
      <c r="H355" s="924"/>
    </row>
    <row r="356" ht="22.5" customHeight="1">
      <c r="A356" s="937">
        <v>81.0</v>
      </c>
      <c r="B356" s="913" t="b">
        <v>0</v>
      </c>
      <c r="C356" s="1362" t="s">
        <v>10139</v>
      </c>
      <c r="D356" s="223" t="s">
        <v>10140</v>
      </c>
      <c r="E356" s="1362">
        <v>7.706555222E9</v>
      </c>
      <c r="F356" s="924"/>
      <c r="G356" s="924"/>
      <c r="H356" s="924"/>
    </row>
    <row r="357" ht="22.5" customHeight="1">
      <c r="A357" s="937">
        <v>357.0</v>
      </c>
      <c r="B357" s="913" t="b">
        <v>0</v>
      </c>
      <c r="C357" s="1362" t="s">
        <v>10141</v>
      </c>
      <c r="D357" s="271"/>
      <c r="E357" s="1364"/>
      <c r="F357" s="924"/>
      <c r="G357" s="924"/>
      <c r="H357" s="924"/>
    </row>
    <row r="358" ht="22.5" customHeight="1">
      <c r="A358" s="937">
        <v>397.0</v>
      </c>
      <c r="B358" s="913" t="b">
        <v>0</v>
      </c>
      <c r="C358" s="1362" t="s">
        <v>10142</v>
      </c>
      <c r="D358" s="271"/>
      <c r="E358" s="1364"/>
      <c r="F358" s="924"/>
      <c r="G358" s="924"/>
      <c r="H358" s="924"/>
    </row>
    <row r="359" ht="22.5" customHeight="1">
      <c r="A359" s="937">
        <v>322.0</v>
      </c>
      <c r="B359" s="913" t="b">
        <v>0</v>
      </c>
      <c r="C359" s="1362" t="s">
        <v>10143</v>
      </c>
      <c r="D359" s="271"/>
      <c r="E359" s="1364"/>
      <c r="F359" s="924"/>
      <c r="G359" s="924"/>
      <c r="H359" s="924"/>
    </row>
    <row r="360" ht="22.5" customHeight="1">
      <c r="A360" s="937">
        <v>199.0</v>
      </c>
      <c r="B360" s="913" t="b">
        <v>0</v>
      </c>
      <c r="C360" s="1362" t="s">
        <v>10144</v>
      </c>
      <c r="D360" s="223" t="s">
        <v>10145</v>
      </c>
      <c r="E360" s="1362" t="s">
        <v>10146</v>
      </c>
      <c r="F360" s="924"/>
      <c r="G360" s="924"/>
      <c r="H360" s="924"/>
    </row>
    <row r="361" ht="22.5" customHeight="1">
      <c r="A361" s="937">
        <v>215.0</v>
      </c>
      <c r="B361" s="913" t="b">
        <v>0</v>
      </c>
      <c r="C361" s="1362" t="s">
        <v>10147</v>
      </c>
      <c r="D361" s="1365" t="s">
        <v>677</v>
      </c>
      <c r="E361" s="1364"/>
      <c r="F361" s="924"/>
      <c r="G361" s="924"/>
      <c r="H361" s="924"/>
    </row>
    <row r="362" ht="22.5" customHeight="1">
      <c r="A362" s="937">
        <v>175.0</v>
      </c>
      <c r="B362" s="913" t="b">
        <v>0</v>
      </c>
      <c r="C362" s="1362" t="s">
        <v>10148</v>
      </c>
      <c r="D362" s="271"/>
      <c r="E362" s="1364"/>
      <c r="F362" s="924"/>
      <c r="G362" s="924"/>
      <c r="H362" s="924"/>
    </row>
    <row r="363" ht="22.5" customHeight="1">
      <c r="A363" s="937">
        <v>238.0</v>
      </c>
      <c r="B363" s="913" t="b">
        <v>0</v>
      </c>
      <c r="C363" s="1362" t="s">
        <v>10149</v>
      </c>
      <c r="D363" s="271"/>
      <c r="E363" s="1362" t="s">
        <v>10150</v>
      </c>
      <c r="F363" s="924"/>
      <c r="G363" s="924"/>
      <c r="H363" s="924"/>
    </row>
    <row r="364" ht="22.5" customHeight="1">
      <c r="A364" s="937">
        <v>326.0</v>
      </c>
      <c r="B364" s="913" t="b">
        <v>0</v>
      </c>
      <c r="C364" s="1362" t="s">
        <v>10151</v>
      </c>
      <c r="D364" s="271"/>
      <c r="E364" s="1364"/>
      <c r="F364" s="924"/>
      <c r="G364" s="924"/>
      <c r="H364" s="924"/>
    </row>
    <row r="365" ht="22.5" customHeight="1">
      <c r="A365" s="937">
        <v>361.0</v>
      </c>
      <c r="B365" s="913" t="b">
        <v>0</v>
      </c>
      <c r="C365" s="1362" t="s">
        <v>10152</v>
      </c>
      <c r="D365" s="271"/>
      <c r="E365" s="1364"/>
      <c r="F365" s="924"/>
      <c r="G365" s="924"/>
      <c r="H365" s="924"/>
    </row>
    <row r="366" ht="22.5" customHeight="1">
      <c r="A366" s="937">
        <v>82.0</v>
      </c>
      <c r="B366" s="913" t="b">
        <v>0</v>
      </c>
      <c r="C366" s="1362" t="s">
        <v>10153</v>
      </c>
      <c r="D366" s="223" t="s">
        <v>10154</v>
      </c>
      <c r="E366" s="1362" t="s">
        <v>10155</v>
      </c>
      <c r="F366" s="924"/>
      <c r="G366" s="924"/>
      <c r="H366" s="924"/>
    </row>
    <row r="367" ht="22.5" customHeight="1">
      <c r="A367" s="937">
        <v>127.0</v>
      </c>
      <c r="B367" s="913" t="b">
        <v>0</v>
      </c>
      <c r="C367" s="1362" t="s">
        <v>10156</v>
      </c>
      <c r="D367" s="271"/>
      <c r="E367" s="1362" t="s">
        <v>10157</v>
      </c>
      <c r="F367" s="924"/>
      <c r="G367" s="924"/>
      <c r="H367" s="924"/>
    </row>
    <row r="368" ht="22.5" customHeight="1">
      <c r="A368" s="937">
        <v>233.0</v>
      </c>
      <c r="B368" s="913" t="b">
        <v>0</v>
      </c>
      <c r="C368" s="1362" t="s">
        <v>10158</v>
      </c>
      <c r="D368" s="223" t="s">
        <v>10159</v>
      </c>
      <c r="E368" s="1277" t="s">
        <v>10160</v>
      </c>
      <c r="F368" s="924"/>
      <c r="G368" s="924"/>
      <c r="H368" s="924"/>
    </row>
    <row r="369" ht="22.5" customHeight="1">
      <c r="A369" s="937">
        <v>218.0</v>
      </c>
      <c r="B369" s="913" t="b">
        <v>0</v>
      </c>
      <c r="C369" s="1362" t="s">
        <v>10161</v>
      </c>
      <c r="D369" s="223" t="s">
        <v>10162</v>
      </c>
      <c r="E369" s="1362" t="s">
        <v>10163</v>
      </c>
      <c r="F369" s="924"/>
      <c r="G369" s="924"/>
      <c r="H369" s="924"/>
    </row>
    <row r="370" ht="22.5" customHeight="1">
      <c r="A370" s="937">
        <v>290.0</v>
      </c>
      <c r="B370" s="913" t="b">
        <v>0</v>
      </c>
      <c r="C370" s="1362" t="s">
        <v>10164</v>
      </c>
      <c r="D370" s="223" t="s">
        <v>9485</v>
      </c>
      <c r="E370" s="1364"/>
      <c r="F370" s="924"/>
      <c r="G370" s="924"/>
      <c r="H370" s="924"/>
    </row>
    <row r="371" ht="22.5" customHeight="1">
      <c r="A371" s="937">
        <v>222.0</v>
      </c>
      <c r="B371" s="913" t="b">
        <v>0</v>
      </c>
      <c r="C371" s="1362" t="s">
        <v>10165</v>
      </c>
      <c r="D371" s="223" t="s">
        <v>10037</v>
      </c>
      <c r="E371" s="1362" t="s">
        <v>10166</v>
      </c>
      <c r="F371" s="924"/>
      <c r="G371" s="924"/>
      <c r="H371" s="924"/>
    </row>
    <row r="372" ht="22.5" customHeight="1">
      <c r="A372" s="937">
        <v>192.0</v>
      </c>
      <c r="B372" s="913" t="b">
        <v>0</v>
      </c>
      <c r="C372" s="1362" t="s">
        <v>10167</v>
      </c>
      <c r="D372" s="223" t="s">
        <v>10168</v>
      </c>
      <c r="E372" s="1362" t="s">
        <v>10169</v>
      </c>
      <c r="F372" s="924"/>
      <c r="G372" s="924"/>
      <c r="H372" s="924"/>
    </row>
    <row r="373" ht="22.5" customHeight="1">
      <c r="A373" s="937">
        <v>83.0</v>
      </c>
      <c r="B373" s="913" t="b">
        <v>0</v>
      </c>
      <c r="C373" s="1362" t="s">
        <v>10170</v>
      </c>
      <c r="D373" s="223" t="s">
        <v>10171</v>
      </c>
      <c r="E373" s="1362" t="s">
        <v>10172</v>
      </c>
      <c r="F373" s="924"/>
      <c r="G373" s="924"/>
      <c r="H373" s="924"/>
    </row>
    <row r="374" ht="22.5" customHeight="1">
      <c r="A374" s="937">
        <v>84.0</v>
      </c>
      <c r="B374" s="913" t="b">
        <v>0</v>
      </c>
      <c r="C374" s="1362" t="s">
        <v>10173</v>
      </c>
      <c r="D374" s="223" t="s">
        <v>9814</v>
      </c>
      <c r="E374" s="1362" t="s">
        <v>10174</v>
      </c>
      <c r="F374" s="924"/>
      <c r="G374" s="924"/>
      <c r="H374" s="924"/>
    </row>
    <row r="375" ht="22.5" customHeight="1">
      <c r="A375" s="937">
        <v>85.0</v>
      </c>
      <c r="B375" s="913" t="b">
        <v>0</v>
      </c>
      <c r="C375" s="1362" t="s">
        <v>10175</v>
      </c>
      <c r="D375" s="223" t="s">
        <v>9791</v>
      </c>
      <c r="E375" s="1362" t="s">
        <v>10176</v>
      </c>
      <c r="F375" s="924"/>
      <c r="G375" s="924"/>
      <c r="H375" s="924"/>
    </row>
    <row r="376" ht="22.5" customHeight="1">
      <c r="A376" s="937">
        <v>171.0</v>
      </c>
      <c r="B376" s="913" t="b">
        <v>0</v>
      </c>
      <c r="C376" s="1362" t="s">
        <v>10177</v>
      </c>
      <c r="D376" s="271"/>
      <c r="E376" s="1364"/>
      <c r="F376" s="924"/>
      <c r="G376" s="924"/>
      <c r="H376" s="924"/>
    </row>
    <row r="377" ht="22.5" customHeight="1">
      <c r="A377" s="937">
        <v>302.0</v>
      </c>
      <c r="B377" s="913" t="b">
        <v>0</v>
      </c>
      <c r="C377" s="1362" t="s">
        <v>10178</v>
      </c>
      <c r="D377" s="223" t="s">
        <v>9485</v>
      </c>
      <c r="E377" s="1364"/>
      <c r="F377" s="924"/>
      <c r="G377" s="924"/>
      <c r="H377" s="924"/>
    </row>
    <row r="378" ht="22.5" customHeight="1">
      <c r="A378" s="937">
        <v>395.0</v>
      </c>
      <c r="B378" s="913" t="b">
        <v>0</v>
      </c>
      <c r="C378" s="1362" t="s">
        <v>10179</v>
      </c>
      <c r="D378" s="271"/>
      <c r="E378" s="1364"/>
      <c r="F378" s="924"/>
      <c r="G378" s="924"/>
      <c r="H378" s="924"/>
    </row>
    <row r="379" ht="22.5" customHeight="1">
      <c r="A379" s="937">
        <v>86.0</v>
      </c>
      <c r="B379" s="913" t="b">
        <v>0</v>
      </c>
      <c r="C379" s="1362" t="s">
        <v>10180</v>
      </c>
      <c r="D379" s="223" t="s">
        <v>10181</v>
      </c>
      <c r="E379" s="1362" t="s">
        <v>10182</v>
      </c>
      <c r="F379" s="924"/>
      <c r="G379" s="924"/>
      <c r="H379" s="924"/>
    </row>
    <row r="380" ht="22.5" customHeight="1">
      <c r="A380" s="937">
        <v>189.0</v>
      </c>
      <c r="B380" s="913" t="b">
        <v>0</v>
      </c>
      <c r="C380" s="1362" t="s">
        <v>10183</v>
      </c>
      <c r="D380" s="271"/>
      <c r="E380" s="1362" t="s">
        <v>10184</v>
      </c>
      <c r="F380" s="924"/>
      <c r="G380" s="924"/>
      <c r="H380" s="924"/>
    </row>
    <row r="381" ht="22.5" customHeight="1">
      <c r="A381" s="937">
        <v>188.0</v>
      </c>
      <c r="B381" s="913" t="b">
        <v>0</v>
      </c>
      <c r="C381" s="1362" t="s">
        <v>10185</v>
      </c>
      <c r="D381" s="271"/>
      <c r="E381" s="1362" t="s">
        <v>10186</v>
      </c>
      <c r="F381" s="924"/>
      <c r="G381" s="924"/>
      <c r="H381" s="924"/>
    </row>
    <row r="382" ht="22.5" customHeight="1">
      <c r="A382" s="937">
        <v>253.0</v>
      </c>
      <c r="B382" s="913" t="b">
        <v>0</v>
      </c>
      <c r="C382" s="1362" t="s">
        <v>10187</v>
      </c>
      <c r="D382" s="1277" t="s">
        <v>10188</v>
      </c>
      <c r="E382" s="1364"/>
      <c r="F382" s="924"/>
      <c r="G382" s="924"/>
      <c r="H382" s="924"/>
    </row>
    <row r="383" ht="22.5" customHeight="1">
      <c r="A383" s="937">
        <v>114.0</v>
      </c>
      <c r="B383" s="913" t="b">
        <v>0</v>
      </c>
      <c r="C383" s="1362" t="s">
        <v>10189</v>
      </c>
      <c r="D383" s="271"/>
      <c r="E383" s="1362" t="s">
        <v>10190</v>
      </c>
      <c r="F383" s="924"/>
      <c r="G383" s="924"/>
      <c r="H383" s="924"/>
    </row>
    <row r="384" ht="22.5" customHeight="1">
      <c r="A384" s="912">
        <v>471.0</v>
      </c>
      <c r="B384" s="913" t="b">
        <v>0</v>
      </c>
      <c r="C384" s="966" t="s">
        <v>10191</v>
      </c>
      <c r="D384" s="924"/>
      <c r="E384" s="924">
        <v>7.50610202E9</v>
      </c>
      <c r="F384" s="924" t="s">
        <v>10192</v>
      </c>
      <c r="G384" s="924"/>
      <c r="H384" s="969" t="s">
        <v>10193</v>
      </c>
    </row>
    <row r="385" ht="22.5" customHeight="1">
      <c r="A385" s="937">
        <v>87.0</v>
      </c>
      <c r="B385" s="913" t="b">
        <v>0</v>
      </c>
      <c r="C385" s="1362" t="s">
        <v>10194</v>
      </c>
      <c r="D385" s="223" t="s">
        <v>9954</v>
      </c>
      <c r="E385" s="1362" t="s">
        <v>10195</v>
      </c>
      <c r="F385" s="924"/>
      <c r="G385" s="924"/>
      <c r="H385" s="924"/>
    </row>
    <row r="386" ht="22.5" customHeight="1">
      <c r="A386" s="937">
        <v>88.0</v>
      </c>
      <c r="B386" s="913" t="b">
        <v>0</v>
      </c>
      <c r="C386" s="1362" t="s">
        <v>10196</v>
      </c>
      <c r="D386" s="223" t="s">
        <v>10197</v>
      </c>
      <c r="E386" s="1362" t="s">
        <v>10198</v>
      </c>
      <c r="F386" s="924"/>
      <c r="G386" s="924"/>
      <c r="H386" s="924"/>
    </row>
    <row r="387" ht="22.5" customHeight="1">
      <c r="A387" s="937">
        <v>89.0</v>
      </c>
      <c r="B387" s="913" t="b">
        <v>0</v>
      </c>
      <c r="C387" s="1362" t="s">
        <v>10199</v>
      </c>
      <c r="D387" s="223" t="s">
        <v>10200</v>
      </c>
      <c r="E387" s="1362" t="s">
        <v>10201</v>
      </c>
      <c r="F387" s="924"/>
      <c r="G387" s="924"/>
      <c r="H387" s="924"/>
    </row>
    <row r="388" ht="22.5" customHeight="1">
      <c r="A388" s="937">
        <v>341.0</v>
      </c>
      <c r="B388" s="913" t="b">
        <v>0</v>
      </c>
      <c r="C388" s="1362" t="s">
        <v>10202</v>
      </c>
      <c r="D388" s="271"/>
      <c r="E388" s="1364"/>
      <c r="F388" s="924"/>
      <c r="G388" s="924"/>
      <c r="H388" s="924"/>
    </row>
    <row r="389" ht="22.5" customHeight="1">
      <c r="A389" s="937">
        <v>181.0</v>
      </c>
      <c r="B389" s="913" t="b">
        <v>0</v>
      </c>
      <c r="C389" s="1362" t="s">
        <v>10203</v>
      </c>
      <c r="D389" s="223" t="s">
        <v>10204</v>
      </c>
      <c r="E389" s="1362" t="s">
        <v>10205</v>
      </c>
      <c r="F389" s="924"/>
      <c r="G389" s="924"/>
      <c r="H389" s="924"/>
    </row>
    <row r="390" ht="22.5" customHeight="1">
      <c r="A390" s="937">
        <v>372.0</v>
      </c>
      <c r="B390" s="913" t="b">
        <v>0</v>
      </c>
      <c r="C390" s="1362" t="s">
        <v>10206</v>
      </c>
      <c r="D390" s="271"/>
      <c r="E390" s="1364"/>
      <c r="F390" s="924"/>
      <c r="G390" s="924"/>
      <c r="H390" s="924"/>
    </row>
    <row r="391" ht="22.5" customHeight="1">
      <c r="A391" s="937">
        <v>90.0</v>
      </c>
      <c r="B391" s="913" t="b">
        <v>0</v>
      </c>
      <c r="C391" s="1362" t="s">
        <v>10207</v>
      </c>
      <c r="D391" s="223" t="s">
        <v>10208</v>
      </c>
      <c r="E391" s="1362" t="s">
        <v>10209</v>
      </c>
      <c r="F391" s="924"/>
      <c r="G391" s="924"/>
      <c r="H391" s="924"/>
    </row>
    <row r="392" ht="22.5" customHeight="1">
      <c r="A392" s="937">
        <v>119.0</v>
      </c>
      <c r="B392" s="913" t="b">
        <v>0</v>
      </c>
      <c r="C392" s="1362" t="s">
        <v>10210</v>
      </c>
      <c r="D392" s="271"/>
      <c r="E392" s="1362" t="s">
        <v>10211</v>
      </c>
      <c r="F392" s="924"/>
      <c r="G392" s="924"/>
      <c r="H392" s="924"/>
    </row>
    <row r="393" ht="22.5" customHeight="1">
      <c r="A393" s="937">
        <v>91.0</v>
      </c>
      <c r="B393" s="913" t="b">
        <v>0</v>
      </c>
      <c r="C393" s="1362" t="s">
        <v>10212</v>
      </c>
      <c r="D393" s="223" t="s">
        <v>10213</v>
      </c>
      <c r="E393" s="1362" t="s">
        <v>10214</v>
      </c>
      <c r="F393" s="924"/>
      <c r="G393" s="924"/>
      <c r="H393" s="924"/>
    </row>
    <row r="394" ht="22.5" customHeight="1">
      <c r="A394" s="937">
        <v>325.0</v>
      </c>
      <c r="B394" s="913" t="b">
        <v>0</v>
      </c>
      <c r="C394" s="1362" t="s">
        <v>10215</v>
      </c>
      <c r="D394" s="271"/>
      <c r="E394" s="1364"/>
      <c r="F394" s="924"/>
      <c r="G394" s="924"/>
      <c r="H394" s="924"/>
    </row>
    <row r="395" ht="22.5" customHeight="1">
      <c r="A395" s="937">
        <v>118.0</v>
      </c>
      <c r="B395" s="913" t="b">
        <v>0</v>
      </c>
      <c r="C395" s="1362" t="s">
        <v>10216</v>
      </c>
      <c r="D395" s="223" t="s">
        <v>9814</v>
      </c>
      <c r="E395" s="1362" t="s">
        <v>10217</v>
      </c>
      <c r="F395" s="924"/>
      <c r="G395" s="924"/>
      <c r="H395" s="924"/>
    </row>
    <row r="396" ht="22.5" customHeight="1">
      <c r="A396" s="937">
        <v>223.0</v>
      </c>
      <c r="B396" s="913" t="b">
        <v>0</v>
      </c>
      <c r="C396" s="1362" t="s">
        <v>10218</v>
      </c>
      <c r="D396" s="223" t="s">
        <v>10219</v>
      </c>
      <c r="E396" s="1362" t="s">
        <v>10220</v>
      </c>
      <c r="F396" s="924"/>
      <c r="G396" s="924"/>
      <c r="H396" s="924"/>
    </row>
    <row r="397" ht="22.5" customHeight="1">
      <c r="A397" s="912">
        <v>466.0</v>
      </c>
      <c r="B397" s="913" t="b">
        <v>0</v>
      </c>
      <c r="C397" s="924" t="s">
        <v>10221</v>
      </c>
      <c r="D397" s="194"/>
      <c r="E397" s="924">
        <v>7.501060303E9</v>
      </c>
      <c r="F397" s="924"/>
      <c r="G397" s="924"/>
      <c r="H397" s="969" t="s">
        <v>10111</v>
      </c>
    </row>
    <row r="398" ht="22.5" customHeight="1">
      <c r="A398" s="937">
        <v>92.0</v>
      </c>
      <c r="B398" s="913" t="b">
        <v>0</v>
      </c>
      <c r="C398" s="1362" t="s">
        <v>10222</v>
      </c>
      <c r="D398" s="223" t="s">
        <v>10223</v>
      </c>
      <c r="E398" s="1362" t="s">
        <v>10224</v>
      </c>
      <c r="F398" s="924"/>
      <c r="G398" s="924"/>
      <c r="H398" s="924"/>
    </row>
    <row r="399" ht="22.5" customHeight="1">
      <c r="A399" s="937">
        <v>116.0</v>
      </c>
      <c r="B399" s="913" t="b">
        <v>0</v>
      </c>
      <c r="C399" s="1362" t="s">
        <v>10225</v>
      </c>
      <c r="D399" s="223" t="s">
        <v>10226</v>
      </c>
      <c r="E399" s="1362" t="s">
        <v>10227</v>
      </c>
      <c r="F399" s="924"/>
      <c r="G399" s="924"/>
      <c r="H399" s="924"/>
    </row>
    <row r="400" ht="22.5" customHeight="1">
      <c r="A400" s="937">
        <v>370.0</v>
      </c>
      <c r="B400" s="913" t="b">
        <v>0</v>
      </c>
      <c r="C400" s="1362" t="s">
        <v>10228</v>
      </c>
      <c r="D400" s="271"/>
      <c r="E400" s="1364"/>
      <c r="F400" s="924"/>
      <c r="G400" s="924"/>
      <c r="H400" s="924"/>
    </row>
    <row r="401" ht="22.5" customHeight="1">
      <c r="A401" s="937">
        <v>186.0</v>
      </c>
      <c r="B401" s="913" t="b">
        <v>0</v>
      </c>
      <c r="C401" s="1362" t="s">
        <v>10229</v>
      </c>
      <c r="D401" s="223" t="s">
        <v>10230</v>
      </c>
      <c r="E401" s="1362">
        <v>7.508986001E9</v>
      </c>
      <c r="F401" s="924"/>
      <c r="G401" s="924"/>
      <c r="H401" s="924"/>
    </row>
    <row r="402" ht="22.5" customHeight="1">
      <c r="A402" s="937">
        <v>329.0</v>
      </c>
      <c r="B402" s="913" t="b">
        <v>0</v>
      </c>
      <c r="C402" s="1362" t="s">
        <v>10231</v>
      </c>
      <c r="D402" s="271"/>
      <c r="E402" s="1364"/>
      <c r="F402" s="924"/>
      <c r="G402" s="924"/>
      <c r="H402" s="924"/>
    </row>
    <row r="403" ht="22.5" customHeight="1">
      <c r="A403" s="937">
        <v>141.0</v>
      </c>
      <c r="B403" s="913" t="b">
        <v>0</v>
      </c>
      <c r="C403" s="1362" t="s">
        <v>10232</v>
      </c>
      <c r="D403" s="271"/>
      <c r="E403" s="1362" t="s">
        <v>10233</v>
      </c>
      <c r="F403" s="924"/>
      <c r="G403" s="924"/>
      <c r="H403" s="924"/>
    </row>
    <row r="404" ht="22.5" customHeight="1">
      <c r="A404" s="937">
        <v>380.0</v>
      </c>
      <c r="B404" s="913" t="b">
        <v>0</v>
      </c>
      <c r="C404" s="1362" t="s">
        <v>10234</v>
      </c>
      <c r="D404" s="223" t="s">
        <v>9485</v>
      </c>
      <c r="E404" s="1364"/>
      <c r="F404" s="924"/>
      <c r="G404" s="924"/>
      <c r="H404" s="924"/>
    </row>
    <row r="405" ht="22.5" customHeight="1">
      <c r="A405" s="937">
        <v>310.0</v>
      </c>
      <c r="B405" s="913" t="b">
        <v>0</v>
      </c>
      <c r="C405" s="1362" t="s">
        <v>10235</v>
      </c>
      <c r="D405" s="271"/>
      <c r="E405" s="1364"/>
      <c r="F405" s="924"/>
      <c r="G405" s="924"/>
      <c r="H405" s="924"/>
    </row>
    <row r="406" ht="22.5" customHeight="1">
      <c r="A406" s="937">
        <v>105.0</v>
      </c>
      <c r="B406" s="913" t="b">
        <v>0</v>
      </c>
      <c r="C406" s="1362" t="s">
        <v>10236</v>
      </c>
      <c r="D406" s="223" t="s">
        <v>9636</v>
      </c>
      <c r="E406" s="1362" t="s">
        <v>10237</v>
      </c>
      <c r="F406" s="924"/>
      <c r="G406" s="924"/>
      <c r="H406" s="924"/>
    </row>
    <row r="407" ht="22.5" customHeight="1">
      <c r="A407" s="937">
        <v>150.0</v>
      </c>
      <c r="B407" s="913" t="b">
        <v>0</v>
      </c>
      <c r="C407" s="1362" t="s">
        <v>10238</v>
      </c>
      <c r="D407" s="271"/>
      <c r="E407" s="1364"/>
      <c r="F407" s="924"/>
      <c r="G407" s="924"/>
      <c r="H407" s="924"/>
    </row>
    <row r="408" ht="22.5" customHeight="1">
      <c r="A408" s="937">
        <v>93.0</v>
      </c>
      <c r="B408" s="913" t="b">
        <v>0</v>
      </c>
      <c r="C408" s="1362" t="s">
        <v>10239</v>
      </c>
      <c r="D408" s="223" t="s">
        <v>10240</v>
      </c>
      <c r="E408" s="1362" t="s">
        <v>10241</v>
      </c>
      <c r="F408" s="924"/>
      <c r="G408" s="924"/>
      <c r="H408" s="924"/>
    </row>
    <row r="409" ht="22.5" customHeight="1">
      <c r="A409" s="912">
        <v>492.0</v>
      </c>
      <c r="B409" s="913" t="b">
        <v>0</v>
      </c>
      <c r="C409" s="913" t="s">
        <v>10242</v>
      </c>
      <c r="D409" s="924"/>
      <c r="E409" s="924">
        <v>9.05320647919E11</v>
      </c>
      <c r="F409" s="924"/>
      <c r="G409" s="924"/>
      <c r="H409" s="969" t="s">
        <v>7699</v>
      </c>
    </row>
    <row r="410" ht="22.5" customHeight="1">
      <c r="A410" s="937">
        <v>277.0</v>
      </c>
      <c r="B410" s="913" t="b">
        <v>0</v>
      </c>
      <c r="C410" s="1362" t="s">
        <v>10243</v>
      </c>
      <c r="D410" s="223" t="s">
        <v>10244</v>
      </c>
      <c r="E410" s="1277" t="s">
        <v>10245</v>
      </c>
      <c r="F410" s="924"/>
      <c r="G410" s="924"/>
      <c r="H410" s="924"/>
    </row>
    <row r="411" ht="22.5" customHeight="1">
      <c r="A411" s="937">
        <v>332.0</v>
      </c>
      <c r="B411" s="913" t="b">
        <v>0</v>
      </c>
      <c r="C411" s="1362" t="s">
        <v>10246</v>
      </c>
      <c r="D411" s="271"/>
      <c r="E411" s="1364"/>
      <c r="F411" s="924"/>
      <c r="G411" s="924"/>
      <c r="H411" s="924"/>
    </row>
    <row r="412" ht="22.5" customHeight="1">
      <c r="A412" s="912">
        <v>477.0</v>
      </c>
      <c r="B412" s="913" t="b">
        <v>0</v>
      </c>
      <c r="C412" s="966" t="s">
        <v>10247</v>
      </c>
      <c r="D412" s="924" t="s">
        <v>10248</v>
      </c>
      <c r="E412" s="924">
        <v>9.05397766607E11</v>
      </c>
      <c r="F412" s="924" t="s">
        <v>10249</v>
      </c>
      <c r="G412" s="924"/>
      <c r="H412" s="924" t="s">
        <v>10250</v>
      </c>
    </row>
    <row r="413" ht="22.5" customHeight="1">
      <c r="A413" s="937">
        <v>296.0</v>
      </c>
      <c r="B413" s="913" t="b">
        <v>0</v>
      </c>
      <c r="C413" s="1362" t="s">
        <v>10251</v>
      </c>
      <c r="D413" s="223" t="s">
        <v>9485</v>
      </c>
      <c r="E413" s="1364"/>
      <c r="F413" s="924"/>
      <c r="G413" s="924"/>
      <c r="H413" s="924"/>
    </row>
    <row r="414" ht="22.5" customHeight="1">
      <c r="A414" s="937">
        <v>241.0</v>
      </c>
      <c r="B414" s="913" t="b">
        <v>0</v>
      </c>
      <c r="C414" s="1362" t="s">
        <v>10252</v>
      </c>
      <c r="D414" s="271"/>
      <c r="E414" s="1364"/>
      <c r="F414" s="924"/>
      <c r="G414" s="924"/>
      <c r="H414" s="924"/>
    </row>
    <row r="415" ht="22.5" customHeight="1">
      <c r="A415" s="937">
        <v>206.0</v>
      </c>
      <c r="B415" s="913" t="b">
        <v>0</v>
      </c>
      <c r="C415" s="1362" t="s">
        <v>10253</v>
      </c>
      <c r="D415" s="223" t="s">
        <v>9724</v>
      </c>
      <c r="E415" s="1362" t="s">
        <v>10254</v>
      </c>
      <c r="F415" s="924"/>
      <c r="G415" s="924"/>
      <c r="H415" s="924"/>
    </row>
    <row r="416" ht="22.5" customHeight="1">
      <c r="A416" s="937">
        <v>298.0</v>
      </c>
      <c r="B416" s="913" t="b">
        <v>0</v>
      </c>
      <c r="C416" s="1362" t="s">
        <v>10255</v>
      </c>
      <c r="D416" s="223" t="s">
        <v>9631</v>
      </c>
      <c r="E416" s="1364"/>
      <c r="F416" s="924"/>
      <c r="G416" s="924"/>
      <c r="H416" s="924"/>
    </row>
    <row r="417" ht="22.5" customHeight="1">
      <c r="A417" s="937">
        <v>124.0</v>
      </c>
      <c r="B417" s="913" t="b">
        <v>0</v>
      </c>
      <c r="C417" s="1362" t="s">
        <v>10256</v>
      </c>
      <c r="D417" s="223" t="s">
        <v>9998</v>
      </c>
      <c r="E417" s="1376" t="s">
        <v>10257</v>
      </c>
      <c r="F417" s="924"/>
      <c r="G417" s="924"/>
      <c r="H417" s="924"/>
    </row>
    <row r="418" ht="22.5" customHeight="1">
      <c r="A418" s="937">
        <v>147.0</v>
      </c>
      <c r="B418" s="913" t="b">
        <v>0</v>
      </c>
      <c r="C418" s="1362" t="s">
        <v>10258</v>
      </c>
      <c r="D418" s="271"/>
      <c r="E418" s="1364"/>
      <c r="F418" s="924"/>
      <c r="G418" s="924"/>
      <c r="H418" s="924"/>
    </row>
    <row r="419" ht="22.5" customHeight="1">
      <c r="A419" s="937">
        <v>210.0</v>
      </c>
      <c r="B419" s="913" t="b">
        <v>0</v>
      </c>
      <c r="C419" s="1362" t="s">
        <v>10259</v>
      </c>
      <c r="D419" s="271"/>
      <c r="E419" s="1362" t="s">
        <v>10260</v>
      </c>
      <c r="F419" s="924"/>
      <c r="G419" s="924"/>
      <c r="H419" s="924"/>
    </row>
    <row r="420" ht="22.5" customHeight="1">
      <c r="A420" s="937">
        <v>224.0</v>
      </c>
      <c r="B420" s="913" t="b">
        <v>0</v>
      </c>
      <c r="C420" s="1362" t="s">
        <v>10261</v>
      </c>
      <c r="D420" s="223" t="s">
        <v>10262</v>
      </c>
      <c r="E420" s="1362" t="s">
        <v>10263</v>
      </c>
      <c r="F420" s="924"/>
      <c r="G420" s="924"/>
      <c r="H420" s="924"/>
    </row>
    <row r="421" ht="22.5" customHeight="1">
      <c r="A421" s="937">
        <v>185.0</v>
      </c>
      <c r="B421" s="913" t="b">
        <v>0</v>
      </c>
      <c r="C421" s="1362" t="s">
        <v>10264</v>
      </c>
      <c r="D421" s="223" t="s">
        <v>10265</v>
      </c>
      <c r="E421" s="1362" t="s">
        <v>10266</v>
      </c>
      <c r="F421" s="924"/>
      <c r="G421" s="924"/>
      <c r="H421" s="924"/>
    </row>
    <row r="422" ht="22.5" customHeight="1">
      <c r="A422" s="937">
        <v>94.0</v>
      </c>
      <c r="B422" s="913" t="b">
        <v>0</v>
      </c>
      <c r="C422" s="1362" t="s">
        <v>10267</v>
      </c>
      <c r="D422" s="271"/>
      <c r="E422" s="1362" t="s">
        <v>10268</v>
      </c>
      <c r="F422" s="924"/>
      <c r="G422" s="924"/>
      <c r="H422" s="924"/>
    </row>
    <row r="423" ht="22.5" customHeight="1">
      <c r="A423" s="937">
        <v>373.0</v>
      </c>
      <c r="B423" s="913" t="b">
        <v>0</v>
      </c>
      <c r="C423" s="1362" t="s">
        <v>10269</v>
      </c>
      <c r="D423" s="271"/>
      <c r="E423" s="1364"/>
      <c r="F423" s="924"/>
      <c r="G423" s="924"/>
      <c r="H423" s="924"/>
    </row>
    <row r="424" ht="22.5" customHeight="1">
      <c r="A424" s="937">
        <v>140.0</v>
      </c>
      <c r="B424" s="913" t="b">
        <v>0</v>
      </c>
      <c r="C424" s="1362" t="s">
        <v>10270</v>
      </c>
      <c r="D424" s="223" t="s">
        <v>989</v>
      </c>
      <c r="E424" s="1362" t="s">
        <v>10271</v>
      </c>
      <c r="F424" s="924"/>
      <c r="G424" s="924"/>
      <c r="H424" s="924"/>
    </row>
    <row r="425" ht="22.5" customHeight="1">
      <c r="A425" s="937">
        <v>95.0</v>
      </c>
      <c r="B425" s="913" t="b">
        <v>0</v>
      </c>
      <c r="C425" s="1362" t="s">
        <v>10272</v>
      </c>
      <c r="D425" s="271"/>
      <c r="E425" s="1362" t="s">
        <v>10273</v>
      </c>
      <c r="F425" s="924"/>
      <c r="G425" s="924"/>
      <c r="H425" s="924"/>
    </row>
    <row r="426" ht="22.5" customHeight="1">
      <c r="A426" s="937">
        <v>246.0</v>
      </c>
      <c r="B426" s="913" t="b">
        <v>0</v>
      </c>
      <c r="C426" s="1362" t="s">
        <v>10274</v>
      </c>
      <c r="D426" s="1365" t="s">
        <v>10275</v>
      </c>
      <c r="E426" s="1362" t="s">
        <v>10276</v>
      </c>
      <c r="F426" s="924"/>
      <c r="G426" s="924"/>
      <c r="H426" s="924"/>
    </row>
    <row r="427" ht="22.5" customHeight="1">
      <c r="A427" s="937">
        <v>96.0</v>
      </c>
      <c r="B427" s="913" t="b">
        <v>0</v>
      </c>
      <c r="C427" s="1362" t="s">
        <v>10277</v>
      </c>
      <c r="D427" s="223" t="s">
        <v>10278</v>
      </c>
      <c r="E427" s="1362" t="s">
        <v>10279</v>
      </c>
      <c r="F427" s="924"/>
      <c r="G427" s="924"/>
      <c r="H427" s="924"/>
    </row>
    <row r="428" ht="22.5" customHeight="1">
      <c r="A428" s="937">
        <v>97.0</v>
      </c>
      <c r="B428" s="913" t="b">
        <v>0</v>
      </c>
      <c r="C428" s="1362" t="s">
        <v>10280</v>
      </c>
      <c r="D428" s="223" t="s">
        <v>9858</v>
      </c>
      <c r="E428" s="1362" t="s">
        <v>10281</v>
      </c>
      <c r="F428" s="924"/>
      <c r="G428" s="924"/>
      <c r="H428" s="924"/>
    </row>
    <row r="429" ht="22.5" customHeight="1">
      <c r="A429" s="937">
        <v>228.0</v>
      </c>
      <c r="B429" s="913" t="b">
        <v>0</v>
      </c>
      <c r="C429" s="1362" t="s">
        <v>10282</v>
      </c>
      <c r="D429" s="223" t="s">
        <v>9858</v>
      </c>
      <c r="E429" s="1362" t="s">
        <v>10283</v>
      </c>
      <c r="F429" s="924"/>
      <c r="G429" s="924"/>
      <c r="H429" s="924"/>
    </row>
    <row r="430" ht="22.5" customHeight="1">
      <c r="A430" s="937">
        <v>98.0</v>
      </c>
      <c r="B430" s="913" t="b">
        <v>0</v>
      </c>
      <c r="C430" s="1362" t="s">
        <v>10284</v>
      </c>
      <c r="D430" s="271"/>
      <c r="E430" s="1362" t="s">
        <v>10285</v>
      </c>
      <c r="F430" s="924"/>
      <c r="G430" s="924"/>
      <c r="H430" s="924"/>
    </row>
    <row r="431" ht="22.5" customHeight="1">
      <c r="A431" s="912">
        <v>475.0</v>
      </c>
      <c r="B431" s="913" t="b">
        <v>0</v>
      </c>
      <c r="C431" s="935" t="s">
        <v>10286</v>
      </c>
      <c r="D431" s="969" t="s">
        <v>10287</v>
      </c>
      <c r="E431" s="924">
        <v>9.6896309E10</v>
      </c>
      <c r="F431" s="924" t="s">
        <v>10288</v>
      </c>
      <c r="G431" s="924"/>
      <c r="H431" s="969" t="s">
        <v>10289</v>
      </c>
    </row>
    <row r="432" ht="22.5" customHeight="1">
      <c r="A432" s="912">
        <v>474.0</v>
      </c>
      <c r="B432" s="913" t="b">
        <v>0</v>
      </c>
      <c r="C432" s="935" t="s">
        <v>10290</v>
      </c>
      <c r="D432" s="924"/>
      <c r="E432" s="924">
        <v>7.503336363E9</v>
      </c>
      <c r="F432" s="924"/>
      <c r="G432" s="924"/>
      <c r="H432" s="969" t="s">
        <v>7581</v>
      </c>
    </row>
    <row r="433" ht="22.5" customHeight="1">
      <c r="A433" s="912">
        <v>470.0</v>
      </c>
      <c r="B433" s="913" t="b">
        <v>0</v>
      </c>
      <c r="C433" s="935" t="s">
        <v>10291</v>
      </c>
      <c r="D433" s="969" t="s">
        <v>10292</v>
      </c>
      <c r="E433" s="924">
        <v>9.05078577886E11</v>
      </c>
      <c r="F433" s="924" t="s">
        <v>10293</v>
      </c>
      <c r="G433" s="924"/>
      <c r="H433" s="924"/>
    </row>
    <row r="434" ht="22.5" customHeight="1">
      <c r="A434" s="912">
        <v>493.0</v>
      </c>
      <c r="B434" s="913" t="b">
        <v>0</v>
      </c>
      <c r="C434" s="1026" t="s">
        <v>10294</v>
      </c>
      <c r="D434" s="969" t="s">
        <v>10295</v>
      </c>
      <c r="E434" s="1219">
        <v>9.6897690903E10</v>
      </c>
      <c r="F434" s="1028" t="s">
        <v>10296</v>
      </c>
      <c r="G434" s="924"/>
      <c r="H434" s="969" t="s">
        <v>10289</v>
      </c>
    </row>
    <row r="435" ht="22.5" customHeight="1">
      <c r="A435" s="912">
        <v>481.0</v>
      </c>
      <c r="B435" s="913" t="b">
        <v>0</v>
      </c>
      <c r="C435" s="935" t="s">
        <v>10297</v>
      </c>
      <c r="D435" s="969" t="s">
        <v>10298</v>
      </c>
      <c r="E435" s="924">
        <v>7.50610706E9</v>
      </c>
      <c r="F435" s="924" t="s">
        <v>10299</v>
      </c>
      <c r="G435" s="924"/>
      <c r="H435" s="969" t="s">
        <v>10300</v>
      </c>
    </row>
    <row r="436" ht="22.5" customHeight="1">
      <c r="A436" s="912">
        <v>494.0</v>
      </c>
      <c r="B436" s="913" t="b">
        <v>0</v>
      </c>
      <c r="C436" s="1029" t="s">
        <v>10301</v>
      </c>
      <c r="D436" s="969" t="s">
        <v>7371</v>
      </c>
      <c r="E436" s="1383">
        <v>7.504432121E9</v>
      </c>
      <c r="F436" s="924"/>
      <c r="G436" s="924"/>
      <c r="H436" s="969" t="s">
        <v>7009</v>
      </c>
    </row>
    <row r="437" ht="22.5" customHeight="1">
      <c r="A437" s="912">
        <v>444.0</v>
      </c>
      <c r="B437" s="913" t="b">
        <v>0</v>
      </c>
      <c r="C437" s="935" t="s">
        <v>10302</v>
      </c>
      <c r="D437" s="924"/>
      <c r="E437" s="924">
        <v>7.502460006E9</v>
      </c>
      <c r="F437" s="924" t="s">
        <v>10303</v>
      </c>
      <c r="G437" s="924"/>
      <c r="H437" s="969" t="s">
        <v>7670</v>
      </c>
    </row>
    <row r="438" ht="22.5" customHeight="1">
      <c r="A438" s="1241">
        <v>491.0</v>
      </c>
      <c r="B438" s="913" t="b">
        <v>0</v>
      </c>
      <c r="C438" s="935" t="s">
        <v>10304</v>
      </c>
      <c r="D438" s="969" t="s">
        <v>10305</v>
      </c>
      <c r="E438" s="933">
        <v>7.504490371E9</v>
      </c>
      <c r="F438" s="924" t="s">
        <v>10306</v>
      </c>
      <c r="G438" s="924"/>
      <c r="H438" s="969" t="s">
        <v>7009</v>
      </c>
    </row>
    <row r="439" ht="22.5" customHeight="1">
      <c r="A439" s="912">
        <v>436.0</v>
      </c>
      <c r="B439" s="913" t="b">
        <v>0</v>
      </c>
      <c r="C439" s="935" t="s">
        <v>10307</v>
      </c>
      <c r="D439" s="924"/>
      <c r="E439" s="924">
        <v>7.502000047E9</v>
      </c>
      <c r="F439" s="924" t="s">
        <v>10308</v>
      </c>
      <c r="G439" s="924"/>
      <c r="H439" s="969" t="s">
        <v>10309</v>
      </c>
    </row>
    <row r="440" ht="22.5" customHeight="1">
      <c r="A440" s="912">
        <v>445.0</v>
      </c>
      <c r="B440" s="913" t="b">
        <v>0</v>
      </c>
      <c r="C440" s="935" t="s">
        <v>10310</v>
      </c>
      <c r="D440" s="924"/>
      <c r="E440" s="924">
        <v>7.504022002E9</v>
      </c>
      <c r="F440" s="924" t="s">
        <v>10311</v>
      </c>
      <c r="G440" s="924"/>
      <c r="H440" s="969" t="s">
        <v>7525</v>
      </c>
    </row>
    <row r="441" ht="22.5" customHeight="1">
      <c r="A441" s="1384">
        <v>484.0</v>
      </c>
      <c r="B441" s="913" t="b">
        <v>0</v>
      </c>
      <c r="C441" s="1385" t="s">
        <v>10312</v>
      </c>
      <c r="D441" s="555"/>
      <c r="E441" s="1386">
        <v>7.511112286E9</v>
      </c>
      <c r="F441" s="1140" t="s">
        <v>10313</v>
      </c>
      <c r="G441" s="555"/>
      <c r="H441" s="555"/>
    </row>
    <row r="442" ht="22.5" customHeight="1">
      <c r="A442" s="912">
        <v>464.0</v>
      </c>
      <c r="B442" s="913" t="b">
        <v>0</v>
      </c>
      <c r="C442" s="935" t="s">
        <v>10314</v>
      </c>
      <c r="D442" s="924"/>
      <c r="E442" s="924">
        <v>7.700005772E9</v>
      </c>
      <c r="F442" s="924"/>
      <c r="G442" s="924"/>
      <c r="H442" s="969" t="s">
        <v>7749</v>
      </c>
    </row>
    <row r="443" ht="22.5" customHeight="1">
      <c r="A443" s="912">
        <v>476.0</v>
      </c>
      <c r="B443" s="913" t="b">
        <v>0</v>
      </c>
      <c r="C443" s="935" t="s">
        <v>10315</v>
      </c>
      <c r="D443" s="969" t="s">
        <v>10316</v>
      </c>
      <c r="E443" s="924">
        <v>7.504545215E9</v>
      </c>
      <c r="F443" s="924" t="s">
        <v>10317</v>
      </c>
      <c r="G443" s="924"/>
      <c r="H443" s="924"/>
    </row>
    <row r="444" ht="22.5" customHeight="1">
      <c r="A444" s="912">
        <v>462.0</v>
      </c>
      <c r="B444" s="913" t="b">
        <v>0</v>
      </c>
      <c r="C444" s="935" t="s">
        <v>10318</v>
      </c>
      <c r="D444" s="969" t="s">
        <v>10319</v>
      </c>
      <c r="E444" s="924">
        <v>7.722225555E9</v>
      </c>
      <c r="F444" s="924"/>
      <c r="G444" s="924"/>
      <c r="H444" s="969" t="s">
        <v>7749</v>
      </c>
    </row>
    <row r="445" ht="22.5" customHeight="1">
      <c r="A445" s="1387">
        <v>487.0</v>
      </c>
      <c r="B445" s="913" t="b">
        <v>0</v>
      </c>
      <c r="C445" s="979" t="s">
        <v>1511</v>
      </c>
      <c r="D445" s="194"/>
      <c r="E445" s="1060" t="s">
        <v>1512</v>
      </c>
      <c r="F445" s="1049"/>
      <c r="G445" s="194"/>
      <c r="H445" s="979" t="s">
        <v>7894</v>
      </c>
    </row>
    <row r="446" ht="22.5" customHeight="1">
      <c r="A446" s="912">
        <v>463.0</v>
      </c>
      <c r="B446" s="913" t="b">
        <v>0</v>
      </c>
      <c r="C446" s="935" t="s">
        <v>10320</v>
      </c>
      <c r="D446" s="969" t="s">
        <v>8003</v>
      </c>
      <c r="E446" s="924">
        <v>7.706297218E9</v>
      </c>
      <c r="F446" s="924" t="s">
        <v>10321</v>
      </c>
      <c r="G446" s="924"/>
      <c r="H446" s="924"/>
    </row>
    <row r="447" ht="22.5" customHeight="1">
      <c r="A447" s="912">
        <v>495.0</v>
      </c>
      <c r="B447" s="913" t="b">
        <v>0</v>
      </c>
      <c r="C447" s="1026" t="s">
        <v>1513</v>
      </c>
      <c r="D447" s="969"/>
      <c r="E447" s="991">
        <v>7.701111164E9</v>
      </c>
      <c r="F447" s="924" t="s">
        <v>1514</v>
      </c>
      <c r="G447" s="924"/>
      <c r="H447" s="969" t="s">
        <v>7749</v>
      </c>
    </row>
    <row r="448" ht="22.5" customHeight="1">
      <c r="A448" s="912">
        <v>413.0</v>
      </c>
      <c r="B448" s="913" t="b">
        <v>0</v>
      </c>
      <c r="C448" s="935" t="s">
        <v>10322</v>
      </c>
      <c r="D448" s="924"/>
      <c r="E448" s="924">
        <v>7.507197199E9</v>
      </c>
      <c r="F448" s="924"/>
      <c r="G448" s="924"/>
      <c r="H448" s="969" t="s">
        <v>7081</v>
      </c>
    </row>
    <row r="449" ht="22.5" customHeight="1">
      <c r="A449" s="912">
        <v>440.0</v>
      </c>
      <c r="B449" s="913" t="b">
        <v>0</v>
      </c>
      <c r="C449" s="935" t="s">
        <v>10323</v>
      </c>
      <c r="D449" s="969" t="s">
        <v>10324</v>
      </c>
      <c r="E449" s="924">
        <v>7.507197199E9</v>
      </c>
      <c r="F449" s="924"/>
      <c r="G449" s="924"/>
      <c r="H449" s="969" t="s">
        <v>7552</v>
      </c>
    </row>
    <row r="450" ht="22.5" customHeight="1">
      <c r="A450" s="912">
        <v>434.0</v>
      </c>
      <c r="B450" s="913" t="b">
        <v>0</v>
      </c>
      <c r="C450" s="935" t="s">
        <v>10325</v>
      </c>
      <c r="D450" s="969" t="s">
        <v>10326</v>
      </c>
      <c r="E450" s="924">
        <v>7.517449144E9</v>
      </c>
      <c r="F450" s="924" t="s">
        <v>10327</v>
      </c>
      <c r="G450" s="924"/>
      <c r="H450" s="969" t="s">
        <v>10111</v>
      </c>
    </row>
    <row r="451" ht="22.5" customHeight="1">
      <c r="A451" s="912">
        <v>454.0</v>
      </c>
      <c r="B451" s="913" t="b">
        <v>0</v>
      </c>
      <c r="C451" s="935" t="s">
        <v>10328</v>
      </c>
      <c r="D451" s="969" t="s">
        <v>10329</v>
      </c>
      <c r="E451" s="924">
        <v>7.518009924E9</v>
      </c>
      <c r="F451" s="924" t="s">
        <v>10330</v>
      </c>
      <c r="G451" s="924"/>
      <c r="H451" s="969" t="s">
        <v>10331</v>
      </c>
    </row>
    <row r="452" ht="22.5" customHeight="1">
      <c r="A452" s="912">
        <v>498.0</v>
      </c>
      <c r="B452" s="913" t="b">
        <v>0</v>
      </c>
      <c r="C452" s="935" t="s">
        <v>1504</v>
      </c>
      <c r="D452" s="924"/>
      <c r="E452" s="1192">
        <v>9.05396720737E11</v>
      </c>
      <c r="F452" s="924" t="s">
        <v>1505</v>
      </c>
      <c r="G452" s="924"/>
      <c r="H452" s="969" t="s">
        <v>10332</v>
      </c>
    </row>
    <row r="453" ht="22.5" customHeight="1">
      <c r="A453" s="912">
        <v>409.0</v>
      </c>
      <c r="B453" s="913" t="b">
        <v>0</v>
      </c>
      <c r="C453" s="935" t="s">
        <v>10333</v>
      </c>
      <c r="D453" s="924"/>
      <c r="E453" s="924">
        <v>7.509244477E9</v>
      </c>
      <c r="F453" s="924" t="s">
        <v>10334</v>
      </c>
      <c r="G453" s="924"/>
      <c r="H453" s="924"/>
    </row>
    <row r="454" ht="22.5" customHeight="1">
      <c r="A454" s="912">
        <v>428.0</v>
      </c>
      <c r="B454" s="913" t="b">
        <v>0</v>
      </c>
      <c r="C454" s="935" t="s">
        <v>10335</v>
      </c>
      <c r="D454" s="969" t="s">
        <v>10336</v>
      </c>
      <c r="E454" s="924">
        <v>7.509055E9</v>
      </c>
      <c r="F454" s="924" t="s">
        <v>10337</v>
      </c>
      <c r="G454" s="924"/>
      <c r="H454" s="969" t="s">
        <v>10338</v>
      </c>
    </row>
    <row r="455" ht="22.5" customHeight="1">
      <c r="A455" s="912">
        <v>488.0</v>
      </c>
      <c r="B455" s="913" t="b">
        <v>0</v>
      </c>
      <c r="C455" s="935" t="s">
        <v>10339</v>
      </c>
      <c r="D455" s="924"/>
      <c r="E455" s="1060">
        <v>6776.0</v>
      </c>
      <c r="F455" s="1060" t="s">
        <v>1254</v>
      </c>
      <c r="G455" s="924"/>
      <c r="H455" s="969" t="s">
        <v>7749</v>
      </c>
    </row>
    <row r="456" ht="22.5" customHeight="1">
      <c r="A456" s="912">
        <v>433.0</v>
      </c>
      <c r="B456" s="913" t="b">
        <v>0</v>
      </c>
      <c r="C456" s="935" t="s">
        <v>10340</v>
      </c>
      <c r="D456" s="924"/>
      <c r="E456" s="1003">
        <v>7.504492751E9</v>
      </c>
      <c r="F456" s="924"/>
      <c r="G456" s="924"/>
      <c r="H456" s="969" t="s">
        <v>10341</v>
      </c>
    </row>
    <row r="457" ht="22.5" customHeight="1">
      <c r="A457" s="1019">
        <v>486.0</v>
      </c>
      <c r="B457" s="913" t="b">
        <v>0</v>
      </c>
      <c r="C457" s="1026" t="s">
        <v>10342</v>
      </c>
      <c r="D457" s="924"/>
      <c r="E457" s="1060" t="s">
        <v>10343</v>
      </c>
      <c r="F457" s="983" t="s">
        <v>10344</v>
      </c>
      <c r="G457" s="924"/>
      <c r="H457" s="969" t="s">
        <v>7833</v>
      </c>
    </row>
    <row r="458" ht="22.5" customHeight="1">
      <c r="A458" s="912">
        <v>441.0</v>
      </c>
      <c r="B458" s="913" t="b">
        <v>0</v>
      </c>
      <c r="C458" s="935" t="s">
        <v>10345</v>
      </c>
      <c r="D458" s="969" t="s">
        <v>10346</v>
      </c>
      <c r="E458" s="924">
        <v>7.502694545E9</v>
      </c>
      <c r="F458" s="924" t="s">
        <v>10347</v>
      </c>
      <c r="G458" s="924"/>
      <c r="H458" s="969" t="s">
        <v>7670</v>
      </c>
    </row>
    <row r="459" ht="23.25" customHeight="1">
      <c r="A459" s="912">
        <v>447.0</v>
      </c>
      <c r="B459" s="913" t="b">
        <v>0</v>
      </c>
      <c r="C459" s="935" t="s">
        <v>10348</v>
      </c>
      <c r="D459" s="924"/>
      <c r="E459" s="924">
        <v>7.50858533E9</v>
      </c>
      <c r="F459" s="924" t="s">
        <v>10349</v>
      </c>
      <c r="G459" s="924"/>
      <c r="H459" s="969" t="s">
        <v>7366</v>
      </c>
    </row>
    <row r="460" ht="22.5" customHeight="1">
      <c r="A460" s="912">
        <v>479.0</v>
      </c>
      <c r="B460" s="913" t="b">
        <v>0</v>
      </c>
      <c r="C460" s="935" t="s">
        <v>10350</v>
      </c>
      <c r="D460" s="969" t="s">
        <v>10351</v>
      </c>
      <c r="E460" s="924">
        <v>7.50700002E9</v>
      </c>
      <c r="F460" s="924" t="s">
        <v>10352</v>
      </c>
      <c r="G460" s="924"/>
      <c r="H460" s="969" t="s">
        <v>7677</v>
      </c>
    </row>
    <row r="461" ht="22.5" customHeight="1">
      <c r="A461" s="912">
        <v>482.0</v>
      </c>
      <c r="B461" s="913" t="b">
        <v>0</v>
      </c>
      <c r="C461" s="935" t="s">
        <v>1509</v>
      </c>
      <c r="D461" s="924"/>
      <c r="E461" s="924">
        <v>7.814338922E9</v>
      </c>
      <c r="F461" s="924" t="s">
        <v>1510</v>
      </c>
      <c r="G461" s="924"/>
      <c r="H461" s="969" t="s">
        <v>10353</v>
      </c>
    </row>
    <row r="462" ht="22.5" customHeight="1">
      <c r="A462" s="912">
        <v>446.0</v>
      </c>
      <c r="B462" s="913" t="b">
        <v>0</v>
      </c>
      <c r="C462" s="935" t="s">
        <v>10354</v>
      </c>
      <c r="D462" s="924"/>
      <c r="E462" s="924">
        <v>7.5063208E9</v>
      </c>
      <c r="F462" s="924"/>
      <c r="G462" s="924"/>
      <c r="H462" s="969" t="s">
        <v>7552</v>
      </c>
    </row>
    <row r="463" ht="22.5" customHeight="1">
      <c r="A463" s="937">
        <v>99.0</v>
      </c>
      <c r="B463" s="913" t="b">
        <v>0</v>
      </c>
      <c r="C463" s="1388" t="s">
        <v>10355</v>
      </c>
      <c r="D463" s="271"/>
      <c r="E463" s="1362" t="s">
        <v>10356</v>
      </c>
      <c r="F463" s="924"/>
      <c r="G463" s="924"/>
      <c r="H463" s="924"/>
    </row>
    <row r="464" ht="22.5" customHeight="1">
      <c r="A464" s="912">
        <v>401.0</v>
      </c>
      <c r="B464" s="913" t="b">
        <v>0</v>
      </c>
      <c r="C464" s="935" t="s">
        <v>10357</v>
      </c>
      <c r="D464" s="924"/>
      <c r="E464" s="924">
        <v>9.71501900771E11</v>
      </c>
      <c r="F464" s="924"/>
      <c r="G464" s="924"/>
      <c r="H464" s="924" t="s">
        <v>797</v>
      </c>
    </row>
    <row r="465" ht="22.5" customHeight="1">
      <c r="A465" s="912">
        <v>457.0</v>
      </c>
      <c r="B465" s="913" t="b">
        <v>0</v>
      </c>
      <c r="C465" s="935" t="s">
        <v>10358</v>
      </c>
      <c r="D465" s="969" t="s">
        <v>10359</v>
      </c>
      <c r="E465" s="924">
        <v>7.501405161E9</v>
      </c>
      <c r="F465" s="924"/>
      <c r="G465" s="924"/>
      <c r="H465" s="969" t="s">
        <v>10111</v>
      </c>
    </row>
    <row r="466" ht="22.5" customHeight="1">
      <c r="A466" s="912">
        <v>410.0</v>
      </c>
      <c r="B466" s="913" t="b">
        <v>0</v>
      </c>
      <c r="C466" s="935" t="s">
        <v>10360</v>
      </c>
      <c r="D466" s="924"/>
      <c r="E466" s="924">
        <v>7.506966006E9</v>
      </c>
      <c r="F466" s="924"/>
      <c r="G466" s="924"/>
      <c r="H466" s="924"/>
    </row>
    <row r="467" ht="22.5" customHeight="1">
      <c r="A467" s="912">
        <v>431.0</v>
      </c>
      <c r="B467" s="913" t="b">
        <v>0</v>
      </c>
      <c r="C467" s="935" t="s">
        <v>10361</v>
      </c>
      <c r="D467" s="969" t="s">
        <v>10362</v>
      </c>
      <c r="E467" s="924">
        <v>7.505135656E9</v>
      </c>
      <c r="F467" s="924" t="s">
        <v>10363</v>
      </c>
      <c r="G467" s="924"/>
      <c r="H467" s="924"/>
    </row>
    <row r="468" ht="22.5" customHeight="1">
      <c r="A468" s="912">
        <v>432.0</v>
      </c>
      <c r="B468" s="913" t="b">
        <v>0</v>
      </c>
      <c r="C468" s="935" t="s">
        <v>10364</v>
      </c>
      <c r="D468" s="969" t="s">
        <v>10365</v>
      </c>
      <c r="E468" s="924">
        <v>7.504529989E9</v>
      </c>
      <c r="F468" s="924"/>
      <c r="G468" s="924"/>
      <c r="H468" s="969" t="s">
        <v>7366</v>
      </c>
    </row>
    <row r="469" ht="22.5" customHeight="1">
      <c r="A469" s="912">
        <v>406.0</v>
      </c>
      <c r="B469" s="913" t="b">
        <v>0</v>
      </c>
      <c r="C469" s="935" t="s">
        <v>10366</v>
      </c>
      <c r="D469" s="924"/>
      <c r="E469" s="924">
        <v>7.502469191E9</v>
      </c>
      <c r="F469" s="924" t="s">
        <v>10367</v>
      </c>
      <c r="G469" s="924"/>
      <c r="H469" s="969" t="s">
        <v>10111</v>
      </c>
    </row>
    <row r="470" ht="22.5" customHeight="1">
      <c r="A470" s="912">
        <v>448.0</v>
      </c>
      <c r="B470" s="913" t="b">
        <v>0</v>
      </c>
      <c r="C470" s="935" t="s">
        <v>10368</v>
      </c>
      <c r="D470" s="924"/>
      <c r="E470" s="924">
        <v>7.504303516E9</v>
      </c>
      <c r="F470" s="924" t="s">
        <v>10369</v>
      </c>
      <c r="G470" s="924"/>
      <c r="H470" s="969" t="s">
        <v>7331</v>
      </c>
    </row>
    <row r="471" ht="22.5" customHeight="1">
      <c r="A471" s="912">
        <v>402.0</v>
      </c>
      <c r="B471" s="913" t="b">
        <v>0</v>
      </c>
      <c r="C471" s="935" t="s">
        <v>10370</v>
      </c>
      <c r="D471" s="975" t="s">
        <v>10371</v>
      </c>
      <c r="E471" s="924">
        <v>7.508871154E9</v>
      </c>
      <c r="F471" s="924"/>
      <c r="G471" s="924"/>
      <c r="H471" s="969" t="s">
        <v>7677</v>
      </c>
    </row>
    <row r="472" ht="22.5" customHeight="1">
      <c r="A472" s="912">
        <v>449.0</v>
      </c>
      <c r="B472" s="913" t="b">
        <v>0</v>
      </c>
      <c r="C472" s="935" t="s">
        <v>10372</v>
      </c>
      <c r="D472" s="969" t="s">
        <v>10373</v>
      </c>
      <c r="E472" s="924">
        <v>7.502869E9</v>
      </c>
      <c r="F472" s="924" t="s">
        <v>10374</v>
      </c>
      <c r="G472" s="924"/>
      <c r="H472" s="924"/>
    </row>
    <row r="473" ht="22.5" customHeight="1">
      <c r="A473" s="912">
        <v>439.0</v>
      </c>
      <c r="B473" s="913" t="b">
        <v>0</v>
      </c>
      <c r="C473" s="1389" t="s">
        <v>10375</v>
      </c>
      <c r="D473" s="969" t="s">
        <v>10376</v>
      </c>
      <c r="E473" s="924">
        <v>7.504538704E9</v>
      </c>
      <c r="F473" s="933"/>
      <c r="G473" s="924"/>
      <c r="H473" s="969" t="s">
        <v>10111</v>
      </c>
    </row>
    <row r="474" ht="22.5" customHeight="1">
      <c r="A474" s="912">
        <v>459.0</v>
      </c>
      <c r="B474" s="913" t="b">
        <v>0</v>
      </c>
      <c r="C474" s="935" t="s">
        <v>10377</v>
      </c>
      <c r="D474" s="969" t="s">
        <v>10378</v>
      </c>
      <c r="E474" s="924">
        <v>7.503905858E9</v>
      </c>
      <c r="F474" s="924" t="s">
        <v>9885</v>
      </c>
      <c r="G474" s="924"/>
      <c r="H474" s="924"/>
    </row>
    <row r="475" ht="22.5" customHeight="1">
      <c r="A475" s="912">
        <v>453.0</v>
      </c>
      <c r="B475" s="913" t="b">
        <v>0</v>
      </c>
      <c r="C475" s="935" t="s">
        <v>10379</v>
      </c>
      <c r="D475" s="969" t="s">
        <v>10380</v>
      </c>
      <c r="E475" s="924">
        <v>7.50245909E9</v>
      </c>
      <c r="F475" s="924"/>
      <c r="G475" s="924"/>
      <c r="H475" s="924"/>
    </row>
    <row r="476" ht="22.5" customHeight="1">
      <c r="A476" s="912">
        <v>425.0</v>
      </c>
      <c r="B476" s="913" t="b">
        <v>0</v>
      </c>
      <c r="C476" s="935" t="s">
        <v>10381</v>
      </c>
      <c r="D476" s="924"/>
      <c r="E476" s="924">
        <v>7.501145522E9</v>
      </c>
      <c r="F476" s="924" t="s">
        <v>10382</v>
      </c>
      <c r="G476" s="924"/>
      <c r="H476" s="924"/>
    </row>
    <row r="477" ht="22.5" customHeight="1">
      <c r="A477" s="912">
        <v>458.0</v>
      </c>
      <c r="B477" s="913" t="b">
        <v>0</v>
      </c>
      <c r="C477" s="935" t="s">
        <v>10383</v>
      </c>
      <c r="D477" s="924"/>
      <c r="E477" s="924">
        <v>7.505750012E9</v>
      </c>
      <c r="F477" s="924"/>
      <c r="G477" s="924"/>
      <c r="H477" s="969" t="s">
        <v>10384</v>
      </c>
    </row>
    <row r="478" ht="22.5" customHeight="1">
      <c r="A478" s="912">
        <v>435.0</v>
      </c>
      <c r="B478" s="913" t="b">
        <v>0</v>
      </c>
      <c r="C478" s="935" t="s">
        <v>10385</v>
      </c>
      <c r="D478" s="924"/>
      <c r="E478" s="924">
        <v>7.509088E9</v>
      </c>
      <c r="F478" s="924" t="s">
        <v>10386</v>
      </c>
      <c r="G478" s="924"/>
      <c r="H478" s="924"/>
    </row>
    <row r="479" ht="22.5" customHeight="1">
      <c r="A479" s="912">
        <v>407.0</v>
      </c>
      <c r="B479" s="913" t="b">
        <v>0</v>
      </c>
      <c r="C479" s="935" t="s">
        <v>10387</v>
      </c>
      <c r="D479" s="924"/>
      <c r="E479" s="924">
        <v>7.509767E9</v>
      </c>
      <c r="F479" s="924"/>
      <c r="G479" s="924"/>
      <c r="H479" s="924"/>
    </row>
    <row r="480" ht="22.5" customHeight="1">
      <c r="A480" s="912">
        <v>450.0</v>
      </c>
      <c r="B480" s="913" t="b">
        <v>0</v>
      </c>
      <c r="C480" s="935" t="s">
        <v>10388</v>
      </c>
      <c r="D480" s="924"/>
      <c r="E480" s="924">
        <v>7.50939404E9</v>
      </c>
      <c r="F480" s="924" t="s">
        <v>10389</v>
      </c>
      <c r="G480" s="924"/>
      <c r="H480" s="969" t="s">
        <v>10331</v>
      </c>
    </row>
    <row r="481" ht="22.5" customHeight="1">
      <c r="A481" s="912">
        <v>423.0</v>
      </c>
      <c r="B481" s="913" t="b">
        <v>0</v>
      </c>
      <c r="C481" s="935" t="s">
        <v>10390</v>
      </c>
      <c r="D481" s="924"/>
      <c r="E481" s="924">
        <v>7.502021282E9</v>
      </c>
      <c r="F481" s="924"/>
      <c r="G481" s="924"/>
      <c r="H481" s="969" t="s">
        <v>6954</v>
      </c>
    </row>
    <row r="482" ht="22.5" customHeight="1">
      <c r="A482" s="912">
        <v>456.0</v>
      </c>
      <c r="B482" s="913" t="b">
        <v>0</v>
      </c>
      <c r="C482" s="935" t="s">
        <v>10391</v>
      </c>
      <c r="D482" s="924"/>
      <c r="E482" s="924">
        <v>7.509707021E9</v>
      </c>
      <c r="F482" s="924"/>
      <c r="G482" s="924"/>
      <c r="H482" s="969" t="s">
        <v>10111</v>
      </c>
    </row>
    <row r="483" ht="22.5" customHeight="1">
      <c r="A483" s="912">
        <v>414.0</v>
      </c>
      <c r="B483" s="913" t="b">
        <v>0</v>
      </c>
      <c r="C483" s="935" t="s">
        <v>10392</v>
      </c>
      <c r="D483" s="924"/>
      <c r="E483" s="924">
        <v>7.503006688E9</v>
      </c>
      <c r="F483" s="924" t="s">
        <v>10393</v>
      </c>
      <c r="G483" s="924"/>
      <c r="H483" s="924"/>
    </row>
    <row r="484" ht="22.5" customHeight="1">
      <c r="A484" s="912">
        <v>424.0</v>
      </c>
      <c r="B484" s="913" t="b">
        <v>0</v>
      </c>
      <c r="C484" s="935" t="s">
        <v>10394</v>
      </c>
      <c r="D484" s="924"/>
      <c r="E484" s="924">
        <v>7.502771818E9</v>
      </c>
      <c r="F484" s="924"/>
      <c r="G484" s="924"/>
      <c r="H484" s="969" t="s">
        <v>7677</v>
      </c>
    </row>
    <row r="485" ht="22.5" customHeight="1">
      <c r="A485" s="912">
        <v>412.0</v>
      </c>
      <c r="B485" s="913" t="b">
        <v>0</v>
      </c>
      <c r="C485" s="935" t="s">
        <v>10395</v>
      </c>
      <c r="D485" s="924"/>
      <c r="E485" s="1003">
        <v>7.505061616E9</v>
      </c>
      <c r="F485" s="924" t="s">
        <v>10396</v>
      </c>
      <c r="G485" s="924"/>
      <c r="H485" s="924"/>
    </row>
    <row r="486" ht="22.5" customHeight="1">
      <c r="A486" s="912">
        <v>405.0</v>
      </c>
      <c r="B486" s="913" t="b">
        <v>0</v>
      </c>
      <c r="C486" s="935" t="s">
        <v>10397</v>
      </c>
      <c r="D486" s="924"/>
      <c r="E486" s="924">
        <v>7.504543853E9</v>
      </c>
      <c r="F486" s="924"/>
      <c r="G486" s="924"/>
      <c r="H486" s="969" t="s">
        <v>10111</v>
      </c>
    </row>
    <row r="487" ht="22.5" customHeight="1">
      <c r="A487" s="912">
        <v>443.0</v>
      </c>
      <c r="B487" s="913" t="b">
        <v>0</v>
      </c>
      <c r="C487" s="935" t="s">
        <v>10398</v>
      </c>
      <c r="D487" s="969" t="s">
        <v>10399</v>
      </c>
      <c r="E487" s="924">
        <v>7.514490229E9</v>
      </c>
      <c r="F487" s="924"/>
      <c r="G487" s="924"/>
      <c r="H487" s="969" t="s">
        <v>10111</v>
      </c>
    </row>
    <row r="488" ht="22.5" customHeight="1">
      <c r="A488" s="912">
        <v>403.0</v>
      </c>
      <c r="B488" s="913" t="b">
        <v>0</v>
      </c>
      <c r="C488" s="935" t="s">
        <v>10400</v>
      </c>
      <c r="D488" s="924"/>
      <c r="E488" s="924">
        <v>7.505140514E9</v>
      </c>
      <c r="F488" s="924" t="s">
        <v>3209</v>
      </c>
      <c r="G488" s="924"/>
      <c r="H488" s="924" t="s">
        <v>10401</v>
      </c>
    </row>
    <row r="489" ht="20.25" customHeight="1">
      <c r="A489" s="912">
        <v>430.0</v>
      </c>
      <c r="B489" s="913" t="b">
        <v>0</v>
      </c>
      <c r="C489" s="935" t="s">
        <v>10402</v>
      </c>
      <c r="D489" s="969" t="s">
        <v>10403</v>
      </c>
      <c r="E489" s="924">
        <v>7.504255512E9</v>
      </c>
      <c r="F489" s="924" t="s">
        <v>10404</v>
      </c>
      <c r="G489" s="924"/>
      <c r="H489" s="969" t="s">
        <v>7525</v>
      </c>
    </row>
    <row r="490" ht="22.5" customHeight="1">
      <c r="A490" s="912">
        <v>442.0</v>
      </c>
      <c r="B490" s="913" t="b">
        <v>0</v>
      </c>
      <c r="C490" s="935" t="s">
        <v>10405</v>
      </c>
      <c r="D490" s="969" t="s">
        <v>10406</v>
      </c>
      <c r="E490" s="924">
        <v>7.502480248E9</v>
      </c>
      <c r="F490" s="924" t="s">
        <v>10407</v>
      </c>
      <c r="G490" s="924"/>
      <c r="H490" s="924"/>
    </row>
    <row r="491" ht="22.5" customHeight="1">
      <c r="A491" s="912">
        <v>490.0</v>
      </c>
      <c r="B491" s="913" t="b">
        <v>0</v>
      </c>
      <c r="C491" s="1238" t="s">
        <v>10408</v>
      </c>
      <c r="D491" s="924"/>
      <c r="E491" s="924">
        <v>7.504832222E9</v>
      </c>
      <c r="F491" s="933"/>
      <c r="G491" s="924"/>
      <c r="H491" s="924"/>
    </row>
    <row r="492" ht="21.0" customHeight="1">
      <c r="A492" s="912">
        <v>411.0</v>
      </c>
      <c r="B492" s="913" t="b">
        <v>0</v>
      </c>
      <c r="C492" s="1389" t="s">
        <v>10409</v>
      </c>
      <c r="D492" s="924"/>
      <c r="E492" s="933">
        <v>7.501009222E9</v>
      </c>
      <c r="F492" s="924" t="s">
        <v>10410</v>
      </c>
      <c r="G492" s="924"/>
      <c r="H492" s="924"/>
    </row>
    <row r="493" ht="22.5" customHeight="1">
      <c r="A493" s="912">
        <v>437.0</v>
      </c>
      <c r="B493" s="913" t="b">
        <v>0</v>
      </c>
      <c r="C493" s="935" t="s">
        <v>10411</v>
      </c>
      <c r="D493" s="969" t="s">
        <v>10412</v>
      </c>
      <c r="E493" s="924">
        <v>7.504452595E9</v>
      </c>
      <c r="F493" s="933"/>
      <c r="G493" s="924"/>
      <c r="H493" s="969" t="s">
        <v>10111</v>
      </c>
    </row>
    <row r="494" ht="22.5" customHeight="1">
      <c r="A494" s="912">
        <v>483.0</v>
      </c>
      <c r="B494" s="913" t="b">
        <v>0</v>
      </c>
      <c r="C494" s="935" t="s">
        <v>10413</v>
      </c>
      <c r="D494" s="969" t="s">
        <v>8003</v>
      </c>
      <c r="E494" s="924">
        <v>7.514241408E9</v>
      </c>
      <c r="F494" s="924" t="s">
        <v>10414</v>
      </c>
      <c r="G494" s="924"/>
      <c r="H494" s="969"/>
    </row>
    <row r="495" ht="22.5" customHeight="1">
      <c r="A495" s="912">
        <v>438.0</v>
      </c>
      <c r="B495" s="913" t="b">
        <v>0</v>
      </c>
      <c r="C495" s="935" t="s">
        <v>10415</v>
      </c>
      <c r="D495" s="969" t="s">
        <v>8003</v>
      </c>
      <c r="E495" s="924">
        <v>7.518127303E9</v>
      </c>
      <c r="F495" s="924" t="s">
        <v>10416</v>
      </c>
      <c r="G495" s="924"/>
      <c r="H495" s="969" t="s">
        <v>10331</v>
      </c>
    </row>
    <row r="496" ht="22.5" customHeight="1">
      <c r="A496" s="912">
        <v>455.0</v>
      </c>
      <c r="B496" s="913" t="b">
        <v>0</v>
      </c>
      <c r="C496" s="935" t="s">
        <v>10417</v>
      </c>
      <c r="D496" s="924"/>
      <c r="E496" s="924">
        <v>7.504442122E9</v>
      </c>
      <c r="F496" s="924"/>
      <c r="G496" s="924"/>
      <c r="H496" s="969" t="s">
        <v>10331</v>
      </c>
    </row>
    <row r="497" ht="22.5" customHeight="1">
      <c r="A497" s="912">
        <v>415.0</v>
      </c>
      <c r="B497" s="913" t="b">
        <v>0</v>
      </c>
      <c r="C497" s="935" t="s">
        <v>10418</v>
      </c>
      <c r="D497" s="924"/>
      <c r="E497" s="924">
        <v>7.509285858E9</v>
      </c>
      <c r="F497" s="924"/>
      <c r="G497" s="924"/>
      <c r="H497" s="924"/>
    </row>
    <row r="498" ht="22.5" customHeight="1">
      <c r="A498" s="912">
        <v>473.0</v>
      </c>
      <c r="B498" s="913" t="b">
        <v>0</v>
      </c>
      <c r="C498" s="935" t="s">
        <v>1506</v>
      </c>
      <c r="D498" s="969" t="s">
        <v>1507</v>
      </c>
      <c r="E498" s="924">
        <v>7.800034984E9</v>
      </c>
      <c r="F498" s="924" t="s">
        <v>1508</v>
      </c>
      <c r="G498" s="924"/>
      <c r="H498" s="969" t="s">
        <v>10419</v>
      </c>
    </row>
    <row r="499" ht="22.5" customHeight="1">
      <c r="A499" s="912">
        <v>452.0</v>
      </c>
      <c r="B499" s="913" t="b">
        <v>0</v>
      </c>
      <c r="C499" s="935" t="s">
        <v>10420</v>
      </c>
      <c r="D499" s="969" t="s">
        <v>10421</v>
      </c>
      <c r="E499" s="933">
        <v>7.504958447E9</v>
      </c>
      <c r="F499" s="924"/>
      <c r="G499" s="924"/>
      <c r="H499" s="969" t="s">
        <v>10422</v>
      </c>
    </row>
    <row r="500" ht="22.5" customHeight="1">
      <c r="A500" s="912">
        <v>489.0</v>
      </c>
      <c r="B500" s="913" t="b">
        <v>0</v>
      </c>
      <c r="C500" s="1389" t="s">
        <v>10423</v>
      </c>
      <c r="D500" s="924"/>
      <c r="E500" s="924">
        <v>7.504454583E9</v>
      </c>
      <c r="F500" s="924"/>
      <c r="G500" s="924"/>
      <c r="H500" s="969" t="s">
        <v>10424</v>
      </c>
    </row>
    <row r="501" ht="22.5" customHeight="1">
      <c r="A501" s="912">
        <v>429.0</v>
      </c>
      <c r="B501" s="913" t="b">
        <v>0</v>
      </c>
      <c r="C501" s="935" t="s">
        <v>10425</v>
      </c>
      <c r="D501" s="924"/>
      <c r="E501" s="924">
        <v>7.504638811E9</v>
      </c>
      <c r="F501" s="924"/>
      <c r="G501" s="924"/>
      <c r="H501" s="975" t="s">
        <v>7670</v>
      </c>
    </row>
    <row r="502" ht="22.5" customHeight="1">
      <c r="A502" s="937">
        <v>244.0</v>
      </c>
      <c r="B502" s="913" t="b">
        <v>0</v>
      </c>
      <c r="C502" s="935" t="s">
        <v>10357</v>
      </c>
      <c r="D502" s="924"/>
      <c r="E502" s="922">
        <v>9.71501900771E11</v>
      </c>
      <c r="F502" s="924"/>
      <c r="G502" s="924"/>
      <c r="H502" s="933"/>
    </row>
    <row r="503" ht="22.5" customHeight="1">
      <c r="A503" s="937">
        <v>321.0</v>
      </c>
      <c r="B503" s="913" t="b">
        <v>0</v>
      </c>
      <c r="C503" s="935" t="s">
        <v>10370</v>
      </c>
      <c r="D503" s="969" t="s">
        <v>10371</v>
      </c>
      <c r="E503" s="922">
        <v>7.508871154E9</v>
      </c>
      <c r="F503" s="924"/>
      <c r="G503" s="924"/>
      <c r="H503" s="924"/>
    </row>
    <row r="504" ht="22.5" customHeight="1">
      <c r="A504" s="937"/>
      <c r="B504" s="913" t="b">
        <v>0</v>
      </c>
      <c r="C504" s="935" t="s">
        <v>10400</v>
      </c>
      <c r="D504" s="924"/>
      <c r="E504" s="922">
        <v>7.505140514E9</v>
      </c>
      <c r="F504" s="924" t="s">
        <v>3209</v>
      </c>
      <c r="G504" s="924"/>
      <c r="H504" s="924"/>
    </row>
    <row r="505" ht="22.5" customHeight="1">
      <c r="A505" s="912">
        <v>500.0</v>
      </c>
      <c r="B505" s="913" t="b">
        <v>0</v>
      </c>
      <c r="C505" s="935" t="s">
        <v>9875</v>
      </c>
      <c r="D505" s="924"/>
      <c r="E505" s="924">
        <v>7.502644114E9</v>
      </c>
      <c r="F505" s="924" t="s">
        <v>9876</v>
      </c>
      <c r="G505" s="924"/>
      <c r="H505" s="1039"/>
    </row>
    <row r="506" ht="22.5" customHeight="1">
      <c r="A506" s="912">
        <v>501.0</v>
      </c>
      <c r="B506" s="913" t="b">
        <v>0</v>
      </c>
      <c r="C506" s="935" t="s">
        <v>10397</v>
      </c>
      <c r="D506" s="924"/>
      <c r="E506" s="922">
        <v>7.504543853E9</v>
      </c>
      <c r="F506" s="924"/>
      <c r="G506" s="924"/>
      <c r="H506" s="969"/>
    </row>
    <row r="507" ht="22.5" customHeight="1">
      <c r="A507" s="912">
        <v>502.0</v>
      </c>
      <c r="B507" s="913" t="b">
        <v>0</v>
      </c>
      <c r="C507" s="935" t="s">
        <v>10366</v>
      </c>
      <c r="D507" s="924"/>
      <c r="E507" s="922">
        <v>7.502469191E9</v>
      </c>
      <c r="F507" s="924" t="s">
        <v>10367</v>
      </c>
      <c r="G507" s="924"/>
      <c r="H507" s="969"/>
    </row>
    <row r="508" ht="25.5" customHeight="1">
      <c r="A508" s="912">
        <v>503.0</v>
      </c>
      <c r="B508" s="913" t="b">
        <v>0</v>
      </c>
      <c r="C508" s="935" t="s">
        <v>10387</v>
      </c>
      <c r="D508" s="924"/>
      <c r="E508" s="924">
        <v>7.509767E9</v>
      </c>
      <c r="F508" s="924"/>
      <c r="G508" s="924"/>
      <c r="H508" s="969"/>
    </row>
    <row r="509" ht="22.5" customHeight="1">
      <c r="A509" s="912">
        <v>504.0</v>
      </c>
      <c r="B509" s="913" t="b">
        <v>0</v>
      </c>
      <c r="C509" s="966" t="s">
        <v>10011</v>
      </c>
      <c r="D509" s="924"/>
      <c r="E509" s="924">
        <v>7.501135522E9</v>
      </c>
      <c r="F509" s="924" t="s">
        <v>10012</v>
      </c>
      <c r="G509" s="924"/>
      <c r="H509" s="969"/>
    </row>
    <row r="510" ht="22.5" customHeight="1">
      <c r="A510" s="912">
        <v>505.0</v>
      </c>
      <c r="B510" s="913" t="b">
        <v>0</v>
      </c>
      <c r="C510" s="935" t="s">
        <v>10333</v>
      </c>
      <c r="D510" s="924"/>
      <c r="E510" s="924">
        <v>7.509244477E9</v>
      </c>
      <c r="F510" s="924" t="s">
        <v>10334</v>
      </c>
      <c r="G510" s="924"/>
      <c r="H510" s="969"/>
    </row>
    <row r="511" ht="22.5" customHeight="1">
      <c r="A511" s="912">
        <v>506.0</v>
      </c>
      <c r="B511" s="913" t="b">
        <v>0</v>
      </c>
      <c r="C511" s="935" t="s">
        <v>10360</v>
      </c>
      <c r="D511" s="924"/>
      <c r="E511" s="924">
        <v>7.506966006E9</v>
      </c>
      <c r="F511" s="924"/>
      <c r="G511" s="924"/>
      <c r="H511" s="969"/>
    </row>
    <row r="512" ht="22.5" customHeight="1">
      <c r="A512" s="1390">
        <v>507.0</v>
      </c>
      <c r="B512" s="913" t="b">
        <v>0</v>
      </c>
      <c r="C512" s="935" t="s">
        <v>10409</v>
      </c>
      <c r="D512" s="924"/>
      <c r="E512" s="924">
        <v>7.501009222E9</v>
      </c>
      <c r="F512" s="924" t="s">
        <v>10410</v>
      </c>
      <c r="G512" s="924"/>
      <c r="H512" s="969"/>
    </row>
    <row r="513" ht="22.5" customHeight="1">
      <c r="A513" s="1390">
        <v>508.0</v>
      </c>
      <c r="B513" s="913" t="b">
        <v>0</v>
      </c>
      <c r="C513" s="935" t="s">
        <v>10395</v>
      </c>
      <c r="D513" s="924"/>
      <c r="E513" s="1001">
        <v>7.505061616E9</v>
      </c>
      <c r="F513" s="924" t="s">
        <v>10396</v>
      </c>
    </row>
    <row r="514" ht="22.5" customHeight="1">
      <c r="A514" s="1390">
        <v>509.0</v>
      </c>
      <c r="B514" s="913" t="b">
        <v>0</v>
      </c>
      <c r="C514" s="935" t="s">
        <v>10322</v>
      </c>
      <c r="D514" s="924"/>
      <c r="E514" s="922">
        <v>7.507197199E9</v>
      </c>
      <c r="F514" s="924"/>
      <c r="G514" s="924"/>
      <c r="H514" s="924"/>
    </row>
    <row r="515" ht="22.5" customHeight="1">
      <c r="A515" s="1390">
        <v>510.0</v>
      </c>
      <c r="B515" s="913" t="b">
        <v>0</v>
      </c>
      <c r="C515" s="935" t="s">
        <v>10392</v>
      </c>
      <c r="D515" s="924"/>
      <c r="E515" s="924">
        <v>7.503006688E9</v>
      </c>
      <c r="F515" s="924" t="s">
        <v>10393</v>
      </c>
      <c r="G515" s="924"/>
      <c r="H515" s="924"/>
    </row>
    <row r="516" ht="22.5" customHeight="1">
      <c r="A516" s="1390">
        <v>511.0</v>
      </c>
      <c r="B516" s="913" t="b">
        <v>0</v>
      </c>
      <c r="C516" s="935" t="s">
        <v>10418</v>
      </c>
      <c r="D516" s="924"/>
      <c r="E516" s="924">
        <v>7.509285858E9</v>
      </c>
      <c r="F516" s="924"/>
      <c r="G516" s="924"/>
      <c r="H516" s="924"/>
    </row>
    <row r="517" ht="22.5" customHeight="1">
      <c r="A517" s="1390">
        <v>512.0</v>
      </c>
      <c r="B517" s="913" t="b">
        <v>0</v>
      </c>
      <c r="C517" s="966" t="s">
        <v>1833</v>
      </c>
      <c r="D517" s="924"/>
      <c r="E517" s="924">
        <v>7.50996808E9</v>
      </c>
      <c r="F517" s="924" t="s">
        <v>9775</v>
      </c>
      <c r="G517" s="924"/>
      <c r="H517" s="924"/>
    </row>
    <row r="518" ht="22.5" customHeight="1">
      <c r="A518" s="1390">
        <v>513.0</v>
      </c>
      <c r="B518" s="913" t="b">
        <v>0</v>
      </c>
      <c r="C518" s="966" t="s">
        <v>1909</v>
      </c>
      <c r="D518" s="924"/>
      <c r="E518" s="924">
        <v>7.502899666E9</v>
      </c>
      <c r="F518" s="924" t="s">
        <v>9638</v>
      </c>
      <c r="G518" s="924"/>
      <c r="H518" s="924"/>
    </row>
    <row r="519" ht="22.5" customHeight="1">
      <c r="A519" s="1390">
        <v>514.0</v>
      </c>
      <c r="B519" s="913" t="b">
        <v>0</v>
      </c>
      <c r="C519" s="966" t="s">
        <v>10040</v>
      </c>
      <c r="D519" s="924"/>
      <c r="E519" s="924">
        <v>7.502244998E9</v>
      </c>
      <c r="F519" s="924" t="s">
        <v>10041</v>
      </c>
      <c r="G519" s="924"/>
      <c r="H519" s="924"/>
    </row>
    <row r="520" ht="22.5" customHeight="1">
      <c r="A520" s="1390">
        <v>515.0</v>
      </c>
      <c r="B520" s="913" t="b">
        <v>0</v>
      </c>
      <c r="C520" s="966" t="s">
        <v>9899</v>
      </c>
      <c r="D520" s="924"/>
      <c r="E520" s="922">
        <v>7.503338688E9</v>
      </c>
      <c r="F520" s="924" t="s">
        <v>9900</v>
      </c>
      <c r="G520" s="924"/>
      <c r="H520" s="924"/>
    </row>
    <row r="521" ht="22.5" customHeight="1">
      <c r="A521" s="1390">
        <v>516.0</v>
      </c>
      <c r="B521" s="913" t="b">
        <v>0</v>
      </c>
      <c r="C521" s="966" t="s">
        <v>10109</v>
      </c>
      <c r="D521" s="924"/>
      <c r="E521" s="922">
        <v>7.50361E9</v>
      </c>
      <c r="F521" s="924" t="s">
        <v>10110</v>
      </c>
      <c r="G521" s="924"/>
      <c r="H521" s="924"/>
    </row>
    <row r="522" ht="22.5" customHeight="1">
      <c r="A522" s="1390">
        <v>517.0</v>
      </c>
      <c r="B522" s="913" t="b">
        <v>0</v>
      </c>
      <c r="C522" s="966" t="s">
        <v>9884</v>
      </c>
      <c r="D522" s="924"/>
      <c r="E522" s="924">
        <v>7.509244466E9</v>
      </c>
      <c r="F522" s="924" t="s">
        <v>9885</v>
      </c>
      <c r="G522" s="924"/>
      <c r="H522" s="924"/>
    </row>
    <row r="523" ht="22.5" customHeight="1">
      <c r="A523" s="1390">
        <v>518.0</v>
      </c>
      <c r="B523" s="913" t="b">
        <v>0</v>
      </c>
      <c r="C523" s="966" t="s">
        <v>9854</v>
      </c>
      <c r="D523" s="924"/>
      <c r="E523" s="924">
        <v>7.502227303E9</v>
      </c>
      <c r="F523" s="924" t="s">
        <v>9855</v>
      </c>
      <c r="G523" s="924"/>
      <c r="H523" s="924"/>
    </row>
    <row r="524" ht="22.5" customHeight="1">
      <c r="A524" s="1390">
        <v>519.0</v>
      </c>
      <c r="B524" s="913" t="b">
        <v>0</v>
      </c>
      <c r="C524" s="935" t="s">
        <v>10390</v>
      </c>
      <c r="D524" s="924"/>
      <c r="E524" s="922">
        <v>7.502021282E9</v>
      </c>
      <c r="F524" s="924"/>
      <c r="G524" s="924"/>
      <c r="H524" s="924"/>
    </row>
    <row r="525" ht="22.5" customHeight="1">
      <c r="A525" s="1390">
        <v>520.0</v>
      </c>
      <c r="B525" s="913" t="b">
        <v>0</v>
      </c>
      <c r="C525" s="935" t="s">
        <v>10394</v>
      </c>
      <c r="D525" s="924"/>
      <c r="E525" s="922">
        <v>7.502771818E9</v>
      </c>
      <c r="F525" s="924"/>
      <c r="G525" s="924"/>
      <c r="H525" s="924"/>
    </row>
    <row r="526" ht="22.5" customHeight="1">
      <c r="A526" s="1390">
        <v>521.0</v>
      </c>
      <c r="B526" s="913"/>
      <c r="C526" s="935" t="s">
        <v>10381</v>
      </c>
      <c r="D526" s="924"/>
      <c r="E526" s="924">
        <v>7.501145522E9</v>
      </c>
      <c r="F526" s="924" t="s">
        <v>10382</v>
      </c>
      <c r="G526" s="924"/>
      <c r="H526" s="924"/>
    </row>
    <row r="527" ht="22.5" customHeight="1">
      <c r="A527" s="1390">
        <v>522.0</v>
      </c>
      <c r="B527" s="913"/>
      <c r="C527" s="966" t="s">
        <v>9987</v>
      </c>
      <c r="D527" s="924"/>
      <c r="E527" s="922">
        <v>7.504441658E9</v>
      </c>
      <c r="F527" s="924"/>
      <c r="G527" s="924"/>
      <c r="H527" s="924"/>
    </row>
    <row r="528" ht="22.5" customHeight="1">
      <c r="A528" s="1390">
        <v>523.0</v>
      </c>
      <c r="B528" s="913"/>
      <c r="C528" s="966" t="s">
        <v>10426</v>
      </c>
      <c r="D528" s="924"/>
      <c r="E528" s="922">
        <v>7.505738E9</v>
      </c>
      <c r="F528" s="924"/>
      <c r="G528" s="924"/>
      <c r="H528" s="924"/>
    </row>
    <row r="529" ht="22.5" customHeight="1">
      <c r="A529" s="1390">
        <v>524.0</v>
      </c>
      <c r="B529" s="913"/>
      <c r="C529" s="935" t="s">
        <v>10335</v>
      </c>
      <c r="D529" s="969" t="s">
        <v>10336</v>
      </c>
      <c r="E529" s="922">
        <v>7.509055E9</v>
      </c>
      <c r="F529" s="924" t="s">
        <v>10337</v>
      </c>
      <c r="G529" s="924"/>
      <c r="H529" s="924"/>
    </row>
    <row r="530" ht="22.5" customHeight="1">
      <c r="A530" s="1390">
        <v>525.0</v>
      </c>
      <c r="B530" s="913"/>
      <c r="C530" s="935" t="s">
        <v>10425</v>
      </c>
      <c r="D530" s="924"/>
      <c r="E530" s="922">
        <v>7.504638811E9</v>
      </c>
      <c r="F530" s="924">
        <v>7.504255512E9</v>
      </c>
      <c r="G530" s="924"/>
      <c r="H530" s="924"/>
    </row>
    <row r="531" ht="22.5" customHeight="1">
      <c r="A531" s="1390">
        <v>526.0</v>
      </c>
      <c r="B531" s="913"/>
      <c r="C531" s="935" t="s">
        <v>10402</v>
      </c>
      <c r="D531" s="969" t="s">
        <v>10403</v>
      </c>
      <c r="E531" s="903"/>
      <c r="F531" s="924" t="s">
        <v>10404</v>
      </c>
      <c r="G531" s="924"/>
      <c r="H531" s="924"/>
    </row>
    <row r="532" ht="22.5" customHeight="1">
      <c r="A532" s="1390">
        <v>527.0</v>
      </c>
      <c r="B532" s="913"/>
      <c r="C532" s="935" t="s">
        <v>10361</v>
      </c>
      <c r="D532" s="969" t="s">
        <v>10362</v>
      </c>
      <c r="E532" s="924">
        <v>7.505135656E9</v>
      </c>
      <c r="F532" s="924" t="s">
        <v>10363</v>
      </c>
      <c r="G532" s="924"/>
      <c r="H532" s="924"/>
    </row>
    <row r="533" ht="22.5" customHeight="1">
      <c r="A533" s="1390">
        <v>528.0</v>
      </c>
      <c r="B533" s="913"/>
      <c r="C533" s="935" t="s">
        <v>10364</v>
      </c>
      <c r="D533" s="969" t="s">
        <v>10365</v>
      </c>
      <c r="E533" s="922">
        <v>7.504529989E9</v>
      </c>
      <c r="F533" s="924"/>
      <c r="G533" s="924"/>
      <c r="H533" s="924"/>
    </row>
    <row r="534" ht="22.5" customHeight="1">
      <c r="A534" s="1390">
        <v>529.0</v>
      </c>
      <c r="B534" s="913"/>
      <c r="C534" s="935" t="s">
        <v>10340</v>
      </c>
      <c r="D534" s="924"/>
      <c r="E534" s="998">
        <v>7.504492751E9</v>
      </c>
      <c r="F534" s="924"/>
      <c r="G534" s="924"/>
      <c r="H534" s="924"/>
    </row>
    <row r="535" ht="22.5" customHeight="1">
      <c r="A535" s="1390">
        <v>530.0</v>
      </c>
      <c r="B535" s="913"/>
      <c r="C535" s="935" t="s">
        <v>10325</v>
      </c>
      <c r="D535" s="969" t="s">
        <v>10326</v>
      </c>
      <c r="E535" s="922">
        <v>7.517449144E9</v>
      </c>
      <c r="F535" s="924" t="s">
        <v>10327</v>
      </c>
      <c r="G535" s="924"/>
      <c r="H535" s="924"/>
    </row>
    <row r="536" ht="22.5" customHeight="1">
      <c r="A536" s="1390">
        <v>531.0</v>
      </c>
      <c r="B536" s="913"/>
      <c r="C536" s="935" t="s">
        <v>10385</v>
      </c>
      <c r="D536" s="924"/>
      <c r="E536" s="924">
        <v>7.509088E9</v>
      </c>
      <c r="F536" s="924" t="s">
        <v>10386</v>
      </c>
      <c r="G536" s="924"/>
      <c r="H536" s="924"/>
    </row>
    <row r="537" ht="22.5" customHeight="1">
      <c r="A537" s="1390">
        <v>532.0</v>
      </c>
      <c r="B537" s="913"/>
      <c r="C537" s="935" t="s">
        <v>10307</v>
      </c>
      <c r="D537" s="924"/>
      <c r="E537" s="922">
        <v>7.502000047E9</v>
      </c>
      <c r="F537" s="924" t="s">
        <v>10308</v>
      </c>
      <c r="G537" s="924"/>
      <c r="H537" s="924"/>
    </row>
    <row r="538" ht="22.5" customHeight="1">
      <c r="A538" s="1390">
        <v>533.0</v>
      </c>
      <c r="B538" s="913"/>
      <c r="C538" s="935" t="s">
        <v>10411</v>
      </c>
      <c r="D538" s="969" t="s">
        <v>10412</v>
      </c>
      <c r="E538" s="922">
        <v>7.504452595E9</v>
      </c>
      <c r="F538" s="924"/>
      <c r="G538" s="924"/>
      <c r="H538" s="924"/>
    </row>
    <row r="539" ht="22.5" customHeight="1">
      <c r="A539" s="1390">
        <v>534.0</v>
      </c>
      <c r="B539" s="913"/>
      <c r="C539" s="935" t="s">
        <v>10415</v>
      </c>
      <c r="D539" s="969" t="s">
        <v>8003</v>
      </c>
      <c r="E539" s="922">
        <v>7.518127303E9</v>
      </c>
      <c r="F539" s="924" t="s">
        <v>10416</v>
      </c>
      <c r="G539" s="924"/>
      <c r="H539" s="924"/>
    </row>
    <row r="540" ht="22.5" customHeight="1">
      <c r="A540" s="1390">
        <v>535.0</v>
      </c>
      <c r="B540" s="913"/>
      <c r="C540" s="935" t="s">
        <v>10375</v>
      </c>
      <c r="D540" s="969" t="s">
        <v>10376</v>
      </c>
      <c r="E540" s="922">
        <v>7.504538704E9</v>
      </c>
      <c r="F540" s="924"/>
      <c r="G540" s="924"/>
      <c r="H540" s="924"/>
    </row>
    <row r="541" ht="22.5" customHeight="1">
      <c r="A541" s="1390">
        <v>536.0</v>
      </c>
      <c r="B541" s="913"/>
      <c r="C541" s="935" t="s">
        <v>10323</v>
      </c>
      <c r="D541" s="969" t="s">
        <v>10324</v>
      </c>
      <c r="E541" s="922">
        <v>7.507197199E9</v>
      </c>
      <c r="F541" s="924"/>
      <c r="G541" s="924"/>
      <c r="H541" s="924"/>
    </row>
    <row r="542" ht="22.5" customHeight="1">
      <c r="A542" s="1390">
        <v>537.0</v>
      </c>
      <c r="B542" s="913"/>
      <c r="C542" s="935" t="s">
        <v>10345</v>
      </c>
      <c r="D542" s="969" t="s">
        <v>10346</v>
      </c>
      <c r="E542" s="922">
        <v>7.502694545E9</v>
      </c>
      <c r="F542" s="924" t="s">
        <v>10347</v>
      </c>
      <c r="G542" s="924"/>
      <c r="H542" s="924"/>
    </row>
    <row r="543" ht="22.5" customHeight="1">
      <c r="A543" s="1390">
        <v>538.0</v>
      </c>
      <c r="B543" s="913"/>
      <c r="C543" s="935" t="s">
        <v>10405</v>
      </c>
      <c r="D543" s="969" t="s">
        <v>10406</v>
      </c>
      <c r="E543" s="924">
        <v>7.502480248E9</v>
      </c>
      <c r="F543" s="924" t="s">
        <v>10407</v>
      </c>
      <c r="G543" s="924"/>
      <c r="H543" s="924"/>
    </row>
    <row r="544" ht="22.5" customHeight="1">
      <c r="A544" s="1390">
        <v>539.0</v>
      </c>
      <c r="B544" s="913"/>
      <c r="C544" s="935" t="s">
        <v>10398</v>
      </c>
      <c r="D544" s="969" t="s">
        <v>10399</v>
      </c>
      <c r="E544" s="922">
        <v>7.514490229E9</v>
      </c>
      <c r="F544" s="924"/>
      <c r="G544" s="924"/>
      <c r="H544" s="924"/>
    </row>
    <row r="545" ht="22.5" customHeight="1">
      <c r="A545" s="1390">
        <v>540.0</v>
      </c>
      <c r="B545" s="913"/>
      <c r="C545" s="935" t="s">
        <v>10302</v>
      </c>
      <c r="D545" s="924"/>
      <c r="E545" s="922">
        <v>7.502460006E9</v>
      </c>
      <c r="F545" s="924" t="s">
        <v>10303</v>
      </c>
      <c r="G545" s="924"/>
      <c r="H545" s="924"/>
    </row>
    <row r="546" ht="22.5" customHeight="1">
      <c r="A546" s="1390">
        <v>541.0</v>
      </c>
      <c r="B546" s="913"/>
      <c r="C546" s="935" t="s">
        <v>10310</v>
      </c>
      <c r="D546" s="924"/>
      <c r="E546" s="922">
        <v>7.504022002E9</v>
      </c>
      <c r="F546" s="924" t="s">
        <v>10311</v>
      </c>
      <c r="G546" s="924"/>
      <c r="H546" s="924"/>
    </row>
    <row r="547" ht="22.5" customHeight="1">
      <c r="A547" s="1390">
        <v>542.0</v>
      </c>
      <c r="B547" s="913"/>
      <c r="C547" s="935" t="s">
        <v>10354</v>
      </c>
      <c r="D547" s="924"/>
      <c r="E547" s="922">
        <v>7.5063208E9</v>
      </c>
      <c r="F547" s="924"/>
      <c r="G547" s="924"/>
      <c r="H547" s="924"/>
    </row>
    <row r="548" ht="22.5" customHeight="1">
      <c r="A548" s="1390">
        <v>543.0</v>
      </c>
      <c r="B548" s="913"/>
      <c r="C548" s="935" t="s">
        <v>10348</v>
      </c>
      <c r="D548" s="924"/>
      <c r="E548" s="922">
        <v>7.50858533E9</v>
      </c>
      <c r="F548" s="924" t="s">
        <v>10349</v>
      </c>
      <c r="G548" s="924"/>
      <c r="H548" s="924"/>
    </row>
    <row r="549" ht="22.5" customHeight="1">
      <c r="A549" s="1390">
        <v>544.0</v>
      </c>
      <c r="B549" s="913"/>
      <c r="C549" s="935" t="s">
        <v>10368</v>
      </c>
      <c r="D549" s="924"/>
      <c r="E549" s="922">
        <v>7.504303516E9</v>
      </c>
      <c r="F549" s="924" t="s">
        <v>10369</v>
      </c>
      <c r="G549" s="924"/>
      <c r="H549" s="924"/>
    </row>
    <row r="550" ht="22.5" customHeight="1">
      <c r="A550" s="1390">
        <v>545.0</v>
      </c>
      <c r="B550" s="913"/>
      <c r="C550" s="935" t="s">
        <v>10372</v>
      </c>
      <c r="D550" s="969" t="s">
        <v>10373</v>
      </c>
      <c r="E550" s="924">
        <v>7.502869E9</v>
      </c>
      <c r="F550" s="924" t="s">
        <v>10374</v>
      </c>
      <c r="G550" s="924"/>
      <c r="H550" s="924"/>
    </row>
    <row r="551" ht="22.5" customHeight="1">
      <c r="A551" s="1390">
        <v>546.0</v>
      </c>
      <c r="B551" s="913"/>
      <c r="C551" s="935" t="s">
        <v>10388</v>
      </c>
      <c r="D551" s="924"/>
      <c r="E551" s="922">
        <v>7.50939404E9</v>
      </c>
      <c r="F551" s="924" t="s">
        <v>10389</v>
      </c>
      <c r="G551" s="924"/>
      <c r="H551" s="924"/>
    </row>
    <row r="552" ht="22.5" customHeight="1">
      <c r="A552" s="1390">
        <v>547.0</v>
      </c>
      <c r="B552" s="913"/>
      <c r="C552" s="966" t="s">
        <v>9959</v>
      </c>
      <c r="D552" s="969" t="s">
        <v>9960</v>
      </c>
      <c r="E552" s="922">
        <v>7.502996E9</v>
      </c>
      <c r="F552" s="924" t="s">
        <v>9961</v>
      </c>
      <c r="G552" s="924"/>
      <c r="H552" s="924"/>
    </row>
    <row r="553" ht="22.5" customHeight="1">
      <c r="A553" s="1390">
        <v>548.0</v>
      </c>
      <c r="B553" s="913"/>
      <c r="C553" s="935" t="s">
        <v>10420</v>
      </c>
      <c r="D553" s="969" t="s">
        <v>10421</v>
      </c>
      <c r="E553" s="922">
        <v>7.504958447E9</v>
      </c>
      <c r="F553" s="924"/>
      <c r="G553" s="924"/>
      <c r="H553" s="924"/>
    </row>
    <row r="554" ht="22.5" customHeight="1">
      <c r="A554" s="1390">
        <v>549.0</v>
      </c>
      <c r="B554" s="913"/>
      <c r="C554" s="935" t="s">
        <v>10379</v>
      </c>
      <c r="D554" s="969" t="s">
        <v>10380</v>
      </c>
      <c r="E554" s="924">
        <v>7.50245909E9</v>
      </c>
      <c r="F554" s="924"/>
      <c r="G554" s="924"/>
      <c r="H554" s="924"/>
    </row>
    <row r="555" ht="22.5" customHeight="1">
      <c r="A555" s="1390">
        <v>550.0</v>
      </c>
      <c r="B555" s="913"/>
      <c r="C555" s="935" t="s">
        <v>10328</v>
      </c>
      <c r="D555" s="969" t="s">
        <v>10329</v>
      </c>
      <c r="E555" s="922">
        <v>7.518009924E9</v>
      </c>
      <c r="F555" s="924" t="s">
        <v>10330</v>
      </c>
      <c r="G555" s="924"/>
      <c r="H555" s="924"/>
    </row>
    <row r="556" ht="22.5" customHeight="1">
      <c r="A556" s="1390">
        <v>551.0</v>
      </c>
      <c r="B556" s="913"/>
      <c r="C556" s="935" t="s">
        <v>10417</v>
      </c>
      <c r="D556" s="924"/>
      <c r="E556" s="922">
        <v>7.504442122E9</v>
      </c>
      <c r="F556" s="924"/>
      <c r="G556" s="924"/>
      <c r="H556" s="924"/>
    </row>
    <row r="557" ht="22.5" customHeight="1">
      <c r="A557" s="1390">
        <v>552.0</v>
      </c>
      <c r="B557" s="913"/>
      <c r="C557" s="935" t="s">
        <v>10391</v>
      </c>
      <c r="D557" s="924"/>
      <c r="E557" s="922">
        <v>7.509707021E9</v>
      </c>
      <c r="F557" s="924"/>
      <c r="G557" s="924"/>
      <c r="H557" s="924"/>
    </row>
    <row r="558" ht="22.5" customHeight="1">
      <c r="A558" s="1390">
        <v>553.0</v>
      </c>
      <c r="B558" s="913"/>
      <c r="C558" s="935" t="s">
        <v>10358</v>
      </c>
      <c r="D558" s="969" t="s">
        <v>10359</v>
      </c>
      <c r="E558" s="922">
        <v>7.501405161E9</v>
      </c>
      <c r="F558" s="924"/>
      <c r="G558" s="924"/>
      <c r="H558" s="924"/>
    </row>
    <row r="559" ht="22.5" customHeight="1">
      <c r="A559" s="1390">
        <v>554.0</v>
      </c>
      <c r="B559" s="913"/>
      <c r="C559" s="935" t="s">
        <v>10383</v>
      </c>
      <c r="D559" s="924"/>
      <c r="E559" s="922">
        <v>7.505750012E9</v>
      </c>
      <c r="F559" s="924"/>
      <c r="G559" s="924"/>
      <c r="H559" s="924"/>
    </row>
    <row r="560" ht="22.5" customHeight="1">
      <c r="A560" s="1390">
        <v>555.0</v>
      </c>
      <c r="B560" s="913"/>
      <c r="C560" s="935" t="s">
        <v>10377</v>
      </c>
      <c r="D560" s="969" t="s">
        <v>10378</v>
      </c>
      <c r="E560" s="924">
        <v>7.503905858E9</v>
      </c>
      <c r="F560" s="924" t="s">
        <v>9885</v>
      </c>
      <c r="G560" s="924"/>
      <c r="H560" s="924"/>
    </row>
    <row r="561" ht="22.5" customHeight="1">
      <c r="A561" s="1390">
        <v>556.0</v>
      </c>
      <c r="B561" s="913"/>
      <c r="C561" s="966" t="s">
        <v>10071</v>
      </c>
      <c r="D561" s="924"/>
      <c r="E561" s="924">
        <v>7.507771757E9</v>
      </c>
      <c r="F561" s="924" t="s">
        <v>10072</v>
      </c>
      <c r="G561" s="924"/>
      <c r="H561" s="924"/>
    </row>
    <row r="562" ht="22.5" customHeight="1">
      <c r="A562" s="1390">
        <v>557.0</v>
      </c>
      <c r="B562" s="913"/>
      <c r="C562" s="966" t="s">
        <v>9884</v>
      </c>
      <c r="D562" s="924"/>
      <c r="E562" s="924"/>
      <c r="F562" s="924"/>
      <c r="G562" s="924"/>
      <c r="H562" s="924"/>
    </row>
    <row r="563" ht="22.5" customHeight="1">
      <c r="A563" s="1390">
        <v>558.0</v>
      </c>
      <c r="B563" s="913"/>
      <c r="C563" s="935" t="s">
        <v>10318</v>
      </c>
      <c r="D563" s="969" t="s">
        <v>10319</v>
      </c>
      <c r="E563" s="922">
        <v>7.722225555E9</v>
      </c>
      <c r="F563" s="924"/>
      <c r="G563" s="924"/>
      <c r="H563" s="924"/>
    </row>
    <row r="564" ht="22.5" customHeight="1">
      <c r="A564" s="1390">
        <v>559.0</v>
      </c>
      <c r="B564" s="913"/>
      <c r="C564" s="935" t="s">
        <v>10320</v>
      </c>
      <c r="D564" s="969" t="s">
        <v>8003</v>
      </c>
      <c r="E564" s="924">
        <v>7.706297218E9</v>
      </c>
      <c r="F564" s="924" t="s">
        <v>10321</v>
      </c>
      <c r="G564" s="924"/>
      <c r="H564" s="924"/>
    </row>
    <row r="565" ht="22.5" customHeight="1">
      <c r="A565" s="1390">
        <v>560.0</v>
      </c>
      <c r="B565" s="913"/>
      <c r="C565" s="935" t="s">
        <v>10314</v>
      </c>
      <c r="D565" s="924"/>
      <c r="E565" s="922">
        <v>7.700005772E9</v>
      </c>
      <c r="F565" s="924"/>
      <c r="G565" s="924"/>
      <c r="H565" s="924"/>
    </row>
    <row r="566" ht="22.5" customHeight="1">
      <c r="A566" s="1390">
        <v>561.0</v>
      </c>
      <c r="B566" s="913"/>
      <c r="C566" s="966" t="s">
        <v>9847</v>
      </c>
      <c r="D566" s="924"/>
      <c r="E566" s="922">
        <v>7.504470023E9</v>
      </c>
      <c r="F566" s="924"/>
      <c r="G566" s="924"/>
      <c r="H566" s="924"/>
    </row>
    <row r="567" ht="22.5" customHeight="1">
      <c r="A567" s="1390">
        <v>562.0</v>
      </c>
      <c r="B567" s="913"/>
      <c r="C567" s="1391" t="s">
        <v>10221</v>
      </c>
      <c r="E567" s="922">
        <v>7.501060303E9</v>
      </c>
      <c r="F567" s="924"/>
      <c r="G567" s="924"/>
      <c r="H567" s="924"/>
    </row>
    <row r="568" ht="22.5" customHeight="1">
      <c r="A568" s="1390">
        <v>563.0</v>
      </c>
      <c r="B568" s="913"/>
      <c r="C568" s="966" t="s">
        <v>9963</v>
      </c>
      <c r="D568" s="924"/>
      <c r="E568" s="922">
        <v>7.72465494E8</v>
      </c>
      <c r="F568" s="924" t="s">
        <v>1441</v>
      </c>
      <c r="G568" s="924"/>
      <c r="H568" s="924"/>
    </row>
    <row r="569" ht="22.5" customHeight="1">
      <c r="A569" s="1390">
        <v>564.0</v>
      </c>
      <c r="B569" s="913"/>
      <c r="C569" s="1392" t="s">
        <v>9620</v>
      </c>
      <c r="D569" s="924"/>
      <c r="E569" s="922">
        <v>7.507001002E9</v>
      </c>
      <c r="F569" s="1392" t="s">
        <v>9621</v>
      </c>
      <c r="G569" s="924"/>
      <c r="H569" s="924"/>
    </row>
    <row r="570" ht="22.5" customHeight="1">
      <c r="A570" s="1390">
        <v>565.0</v>
      </c>
      <c r="B570" s="913"/>
      <c r="C570" s="1393" t="s">
        <v>9848</v>
      </c>
      <c r="D570" s="969" t="s">
        <v>9849</v>
      </c>
      <c r="E570" s="922">
        <v>7.50890321E9</v>
      </c>
      <c r="F570" s="924"/>
      <c r="G570" s="924"/>
      <c r="H570" s="924"/>
    </row>
    <row r="571" ht="22.5" customHeight="1">
      <c r="A571" s="1390">
        <v>566.0</v>
      </c>
      <c r="B571" s="913"/>
      <c r="C571" s="935" t="s">
        <v>10291</v>
      </c>
      <c r="D571" s="969" t="s">
        <v>10292</v>
      </c>
      <c r="E571" s="924">
        <v>9.05078577886E11</v>
      </c>
      <c r="F571" s="924" t="s">
        <v>10293</v>
      </c>
      <c r="G571" s="924"/>
      <c r="H571" s="924"/>
    </row>
    <row r="572" ht="22.5" customHeight="1">
      <c r="A572" s="1390">
        <v>567.0</v>
      </c>
      <c r="B572" s="913"/>
      <c r="C572" s="966" t="s">
        <v>10191</v>
      </c>
      <c r="D572" s="924"/>
      <c r="E572" s="922">
        <v>7.50610202E9</v>
      </c>
      <c r="F572" s="924" t="s">
        <v>10192</v>
      </c>
      <c r="G572" s="924"/>
      <c r="H572" s="924"/>
    </row>
    <row r="573" ht="22.5" customHeight="1">
      <c r="A573" s="1390">
        <v>568.0</v>
      </c>
      <c r="B573" s="913"/>
      <c r="C573" s="935" t="s">
        <v>9889</v>
      </c>
      <c r="D573" s="969" t="s">
        <v>9890</v>
      </c>
      <c r="E573" s="924">
        <v>7.725332178E9</v>
      </c>
      <c r="F573" s="924" t="s">
        <v>9891</v>
      </c>
      <c r="G573" s="924"/>
      <c r="H573" s="924"/>
    </row>
    <row r="574" ht="22.5" customHeight="1">
      <c r="A574" s="1390">
        <v>569.0</v>
      </c>
      <c r="B574" s="913"/>
      <c r="C574" s="935" t="s">
        <v>1506</v>
      </c>
      <c r="D574" s="969" t="s">
        <v>1507</v>
      </c>
      <c r="E574" s="922">
        <v>7.800034984E9</v>
      </c>
      <c r="F574" s="924" t="s">
        <v>1508</v>
      </c>
      <c r="G574" s="924"/>
      <c r="H574" s="924"/>
    </row>
    <row r="575" ht="22.5" customHeight="1">
      <c r="A575" s="1390">
        <v>570.0</v>
      </c>
      <c r="B575" s="913"/>
      <c r="C575" s="935" t="s">
        <v>10290</v>
      </c>
      <c r="D575" s="924"/>
      <c r="E575" s="922">
        <v>7.503336363E9</v>
      </c>
      <c r="F575" s="924"/>
      <c r="G575" s="924"/>
      <c r="H575" s="924"/>
    </row>
    <row r="576" ht="22.5" customHeight="1">
      <c r="A576" s="1390">
        <v>571.0</v>
      </c>
      <c r="B576" s="913"/>
      <c r="C576" s="935" t="s">
        <v>10286</v>
      </c>
      <c r="D576" s="969" t="s">
        <v>10287</v>
      </c>
      <c r="E576" s="922">
        <v>9.6896309E10</v>
      </c>
      <c r="F576" s="924" t="s">
        <v>10288</v>
      </c>
      <c r="G576" s="924"/>
      <c r="H576" s="924"/>
    </row>
    <row r="577" ht="22.5" customHeight="1">
      <c r="A577" s="1390">
        <v>572.0</v>
      </c>
      <c r="B577" s="913"/>
      <c r="C577" s="935" t="s">
        <v>10315</v>
      </c>
      <c r="D577" s="969" t="s">
        <v>10316</v>
      </c>
      <c r="E577" s="924">
        <v>7.504545215E9</v>
      </c>
      <c r="F577" s="924" t="s">
        <v>10317</v>
      </c>
      <c r="G577" s="924"/>
      <c r="H577" s="924"/>
    </row>
    <row r="578" ht="22.5" customHeight="1">
      <c r="A578" s="1390">
        <v>573.0</v>
      </c>
      <c r="B578" s="913"/>
      <c r="C578" s="966" t="s">
        <v>10247</v>
      </c>
      <c r="D578" s="924" t="s">
        <v>10248</v>
      </c>
      <c r="E578" s="922">
        <v>9.05397766607E11</v>
      </c>
      <c r="F578" s="924" t="s">
        <v>10249</v>
      </c>
      <c r="G578" s="924"/>
      <c r="H578" s="924"/>
    </row>
    <row r="579" ht="22.5" customHeight="1">
      <c r="A579" s="1390">
        <v>574.0</v>
      </c>
      <c r="B579" s="913"/>
      <c r="C579" s="966" t="s">
        <v>9828</v>
      </c>
      <c r="D579" s="924" t="s">
        <v>950</v>
      </c>
      <c r="E579" s="922">
        <v>7.726180381E9</v>
      </c>
      <c r="F579" s="924"/>
      <c r="G579" s="924"/>
      <c r="H579" s="924"/>
    </row>
    <row r="580" ht="22.5" customHeight="1">
      <c r="A580" s="1390">
        <v>575.0</v>
      </c>
      <c r="B580" s="913"/>
      <c r="C580" s="935" t="s">
        <v>10350</v>
      </c>
      <c r="D580" s="969" t="s">
        <v>10351</v>
      </c>
      <c r="E580" s="922">
        <v>7.50700002E9</v>
      </c>
      <c r="F580" s="924" t="s">
        <v>10352</v>
      </c>
      <c r="G580" s="924"/>
      <c r="H580" s="924"/>
    </row>
    <row r="581" ht="22.5" customHeight="1">
      <c r="A581" s="1390">
        <v>576.0</v>
      </c>
      <c r="B581" s="913"/>
      <c r="C581" s="966" t="s">
        <v>9702</v>
      </c>
      <c r="D581" s="924" t="s">
        <v>677</v>
      </c>
      <c r="E581" s="924">
        <v>7.505596E9</v>
      </c>
      <c r="F581" s="924"/>
      <c r="G581" s="924"/>
      <c r="H581" s="924"/>
    </row>
    <row r="582" ht="22.5" customHeight="1">
      <c r="A582" s="1390">
        <v>577.0</v>
      </c>
      <c r="B582" s="913"/>
      <c r="C582" s="935" t="s">
        <v>10297</v>
      </c>
      <c r="D582" s="969" t="s">
        <v>10298</v>
      </c>
      <c r="E582" s="922">
        <v>7.50610706E9</v>
      </c>
      <c r="F582" s="924" t="s">
        <v>10299</v>
      </c>
      <c r="G582" s="924"/>
      <c r="H582" s="924"/>
    </row>
    <row r="583" ht="22.5" customHeight="1">
      <c r="A583" s="1390">
        <v>578.0</v>
      </c>
      <c r="B583" s="913"/>
      <c r="C583" s="935" t="s">
        <v>1509</v>
      </c>
      <c r="D583" s="924"/>
      <c r="E583" s="922">
        <v>7.814338922E9</v>
      </c>
      <c r="F583" s="924" t="s">
        <v>1510</v>
      </c>
      <c r="G583" s="924"/>
      <c r="H583" s="924"/>
    </row>
    <row r="584" ht="22.5" customHeight="1">
      <c r="A584" s="1390">
        <v>579.0</v>
      </c>
      <c r="B584" s="913"/>
      <c r="C584" s="935" t="s">
        <v>10413</v>
      </c>
      <c r="D584" s="969" t="s">
        <v>8003</v>
      </c>
      <c r="E584" s="924">
        <v>7.514241408E9</v>
      </c>
      <c r="F584" s="924" t="s">
        <v>10414</v>
      </c>
      <c r="G584" s="924"/>
      <c r="H584" s="924"/>
    </row>
    <row r="585" ht="22.5" customHeight="1">
      <c r="A585" s="1390">
        <v>580.0</v>
      </c>
      <c r="B585" s="913"/>
      <c r="C585" s="1385" t="s">
        <v>10312</v>
      </c>
      <c r="D585" s="555"/>
      <c r="E585" s="1386">
        <v>7.511112286E9</v>
      </c>
      <c r="F585" s="1140" t="s">
        <v>10313</v>
      </c>
      <c r="G585" s="924"/>
      <c r="H585" s="924"/>
    </row>
    <row r="586" ht="22.5" customHeight="1">
      <c r="A586" s="1390">
        <v>581.0</v>
      </c>
      <c r="B586" s="913"/>
      <c r="C586" s="966" t="s">
        <v>10013</v>
      </c>
      <c r="D586" s="924"/>
      <c r="E586" s="922">
        <v>7.501297777E9</v>
      </c>
      <c r="F586" s="924" t="s">
        <v>419</v>
      </c>
      <c r="G586" s="924"/>
      <c r="H586" s="924"/>
    </row>
    <row r="587" ht="22.5" customHeight="1">
      <c r="A587" s="1390">
        <v>582.0</v>
      </c>
      <c r="B587" s="913"/>
      <c r="C587" s="1026" t="s">
        <v>10342</v>
      </c>
      <c r="D587" s="924"/>
      <c r="E587" s="1048" t="s">
        <v>10343</v>
      </c>
      <c r="F587" s="988" t="s">
        <v>10344</v>
      </c>
      <c r="G587" s="924"/>
      <c r="H587" s="924"/>
    </row>
    <row r="588" ht="22.5" customHeight="1">
      <c r="A588" s="1390">
        <v>583.0</v>
      </c>
      <c r="B588" s="913"/>
      <c r="C588" s="976" t="s">
        <v>1511</v>
      </c>
      <c r="D588" s="194"/>
      <c r="E588" s="1073" t="s">
        <v>1512</v>
      </c>
      <c r="F588" s="1049"/>
      <c r="G588" s="924"/>
      <c r="H588" s="924"/>
    </row>
    <row r="589" ht="22.5" customHeight="1">
      <c r="A589" s="1390">
        <v>584.0</v>
      </c>
      <c r="B589" s="913"/>
      <c r="C589" s="935" t="s">
        <v>10339</v>
      </c>
      <c r="D589" s="924"/>
      <c r="E589" s="1048">
        <v>6776.0</v>
      </c>
      <c r="F589" s="1392" t="s">
        <v>1254</v>
      </c>
      <c r="G589" s="924"/>
      <c r="H589" s="924"/>
    </row>
    <row r="590" ht="22.5" customHeight="1">
      <c r="A590" s="1390">
        <v>585.0</v>
      </c>
      <c r="B590" s="913"/>
      <c r="C590" s="935" t="s">
        <v>10423</v>
      </c>
      <c r="D590" s="924"/>
      <c r="E590" s="922">
        <v>7.504454583E9</v>
      </c>
      <c r="F590" s="924"/>
      <c r="G590" s="924"/>
      <c r="H590" s="924"/>
    </row>
    <row r="591" ht="22.5" customHeight="1">
      <c r="A591" s="1390">
        <v>586.0</v>
      </c>
      <c r="B591" s="913"/>
      <c r="C591" s="935" t="s">
        <v>10408</v>
      </c>
      <c r="D591" s="924"/>
      <c r="E591" s="924">
        <v>7.504832222E9</v>
      </c>
      <c r="F591" s="924"/>
      <c r="G591" s="924"/>
      <c r="H591" s="924"/>
    </row>
    <row r="592" ht="22.5" customHeight="1">
      <c r="A592" s="1390">
        <v>587.0</v>
      </c>
      <c r="B592" s="913"/>
      <c r="C592" s="935" t="s">
        <v>10304</v>
      </c>
      <c r="D592" s="969" t="s">
        <v>10305</v>
      </c>
      <c r="E592" s="922">
        <v>7.504490371E9</v>
      </c>
      <c r="F592" s="924" t="s">
        <v>10306</v>
      </c>
      <c r="G592" s="924"/>
      <c r="H592" s="924"/>
    </row>
    <row r="593" ht="22.5" customHeight="1">
      <c r="A593" s="1390">
        <v>588.0</v>
      </c>
      <c r="B593" s="913"/>
      <c r="C593" s="966" t="s">
        <v>10242</v>
      </c>
      <c r="D593" s="924"/>
      <c r="E593" s="922">
        <v>9.05320647919E11</v>
      </c>
      <c r="F593" s="924"/>
      <c r="G593" s="924"/>
      <c r="H593" s="924"/>
    </row>
    <row r="594" ht="22.5" customHeight="1">
      <c r="A594" s="1390">
        <v>589.0</v>
      </c>
      <c r="B594" s="913"/>
      <c r="C594" s="1026" t="s">
        <v>10294</v>
      </c>
      <c r="D594" s="969" t="s">
        <v>10295</v>
      </c>
      <c r="E594" s="1027">
        <v>9.6897690903E10</v>
      </c>
      <c r="F594" s="1028" t="s">
        <v>10296</v>
      </c>
      <c r="G594" s="924"/>
      <c r="H594" s="924"/>
    </row>
    <row r="595" ht="22.5" customHeight="1">
      <c r="A595" s="1390">
        <v>590.0</v>
      </c>
      <c r="B595" s="913"/>
      <c r="C595" s="1029" t="s">
        <v>10301</v>
      </c>
      <c r="D595" s="969" t="s">
        <v>7371</v>
      </c>
      <c r="E595" s="1030">
        <v>7.504432121E9</v>
      </c>
      <c r="F595" s="924"/>
      <c r="G595" s="924"/>
      <c r="H595" s="924"/>
    </row>
    <row r="596" ht="22.5" customHeight="1">
      <c r="A596" s="1390">
        <v>591.0</v>
      </c>
      <c r="B596" s="913"/>
      <c r="C596" s="981" t="s">
        <v>1513</v>
      </c>
      <c r="D596" s="969"/>
      <c r="E596" s="1031">
        <v>7.701111164E9</v>
      </c>
      <c r="F596" s="924" t="s">
        <v>1514</v>
      </c>
      <c r="G596" s="924"/>
      <c r="H596" s="924"/>
    </row>
    <row r="597" ht="22.5" customHeight="1">
      <c r="A597" s="1390">
        <v>592.0</v>
      </c>
      <c r="B597" s="913"/>
      <c r="C597" s="966" t="s">
        <v>9500</v>
      </c>
      <c r="D597" s="924" t="s">
        <v>9501</v>
      </c>
      <c r="E597" s="922">
        <v>9.6897444437E10</v>
      </c>
      <c r="F597" s="924"/>
      <c r="G597" s="924"/>
      <c r="H597" s="924"/>
    </row>
    <row r="598" ht="22.5" customHeight="1">
      <c r="A598" s="1390">
        <v>593.0</v>
      </c>
      <c r="B598" s="913"/>
      <c r="C598" s="1003" t="s">
        <v>9545</v>
      </c>
      <c r="D598" s="1003" t="s">
        <v>9546</v>
      </c>
      <c r="E598" s="1066">
        <v>3.5796525791E10</v>
      </c>
      <c r="F598" s="1003" t="s">
        <v>145</v>
      </c>
      <c r="G598" s="924"/>
      <c r="H598" s="924"/>
    </row>
    <row r="599" ht="22.5" customHeight="1">
      <c r="A599" s="1390">
        <v>594.0</v>
      </c>
      <c r="B599" s="913"/>
      <c r="C599" s="935" t="s">
        <v>1504</v>
      </c>
      <c r="D599" s="924"/>
      <c r="E599" s="1221">
        <v>9.05396720737E11</v>
      </c>
      <c r="F599" s="924" t="s">
        <v>1505</v>
      </c>
      <c r="G599" s="924"/>
      <c r="H599" s="924"/>
    </row>
    <row r="600" ht="22.5" customHeight="1">
      <c r="A600" s="1390">
        <v>595.0</v>
      </c>
      <c r="B600" s="913"/>
      <c r="C600" s="1034" t="s">
        <v>10062</v>
      </c>
      <c r="D600" s="924" t="s">
        <v>10063</v>
      </c>
      <c r="E600" s="1035">
        <v>9.05074460321E11</v>
      </c>
      <c r="F600" s="983"/>
      <c r="G600" s="924"/>
      <c r="H600" s="924"/>
    </row>
    <row r="601" ht="22.5" customHeight="1">
      <c r="A601" s="1390">
        <v>596.0</v>
      </c>
      <c r="B601" s="913"/>
      <c r="C601" s="1240"/>
      <c r="D601" s="924"/>
      <c r="E601" s="924"/>
      <c r="F601" s="924"/>
      <c r="G601" s="924"/>
      <c r="H601" s="924"/>
    </row>
    <row r="602" ht="22.5" customHeight="1">
      <c r="A602" s="1390">
        <v>597.0</v>
      </c>
      <c r="B602" s="913"/>
      <c r="C602" s="1240"/>
      <c r="D602" s="924"/>
      <c r="E602" s="924"/>
      <c r="F602" s="924"/>
      <c r="G602" s="924"/>
      <c r="H602" s="924"/>
    </row>
    <row r="603" ht="22.5" customHeight="1">
      <c r="A603" s="1390">
        <v>598.0</v>
      </c>
      <c r="B603" s="913"/>
      <c r="C603" s="1240"/>
      <c r="D603" s="924"/>
      <c r="E603" s="924"/>
      <c r="F603" s="924"/>
      <c r="G603" s="924"/>
      <c r="H603" s="924"/>
    </row>
    <row r="604" ht="22.5" customHeight="1">
      <c r="A604" s="1390">
        <v>599.0</v>
      </c>
      <c r="B604" s="913"/>
      <c r="C604" s="1240"/>
      <c r="D604" s="924"/>
      <c r="E604" s="924"/>
      <c r="F604" s="924"/>
      <c r="G604" s="924"/>
      <c r="H604" s="924"/>
    </row>
    <row r="605" ht="22.5" customHeight="1">
      <c r="A605" s="1390">
        <v>600.0</v>
      </c>
      <c r="B605" s="913"/>
      <c r="C605" s="1240"/>
      <c r="D605" s="924"/>
      <c r="E605" s="924"/>
      <c r="F605" s="924"/>
      <c r="G605" s="924"/>
      <c r="H605" s="924"/>
    </row>
    <row r="606" ht="22.5" customHeight="1">
      <c r="A606" s="1390">
        <v>601.0</v>
      </c>
      <c r="B606" s="913"/>
      <c r="C606" s="1240"/>
      <c r="D606" s="924"/>
      <c r="E606" s="924"/>
      <c r="F606" s="924"/>
      <c r="G606" s="924"/>
      <c r="H606" s="924"/>
    </row>
    <row r="607" ht="22.5" customHeight="1">
      <c r="A607" s="1390">
        <v>602.0</v>
      </c>
      <c r="B607" s="913"/>
      <c r="C607" s="1240"/>
      <c r="D607" s="924"/>
      <c r="E607" s="924"/>
      <c r="F607" s="924"/>
      <c r="G607" s="924"/>
      <c r="H607" s="924"/>
    </row>
    <row r="608" ht="22.5" customHeight="1">
      <c r="A608" s="1390">
        <v>603.0</v>
      </c>
      <c r="B608" s="913"/>
      <c r="C608" s="1240"/>
      <c r="D608" s="924"/>
      <c r="E608" s="924"/>
      <c r="F608" s="924"/>
      <c r="G608" s="924"/>
      <c r="H608" s="924"/>
    </row>
    <row r="609" ht="22.5" customHeight="1">
      <c r="A609" s="1390">
        <v>604.0</v>
      </c>
      <c r="B609" s="913"/>
      <c r="C609" s="1240"/>
      <c r="D609" s="924"/>
      <c r="E609" s="924"/>
      <c r="F609" s="924"/>
      <c r="G609" s="924"/>
      <c r="H609" s="924"/>
    </row>
    <row r="610" ht="22.5" customHeight="1">
      <c r="A610" s="1390">
        <v>605.0</v>
      </c>
      <c r="B610" s="913"/>
      <c r="C610" s="1240"/>
      <c r="D610" s="924"/>
      <c r="E610" s="924"/>
      <c r="F610" s="924"/>
      <c r="G610" s="924"/>
      <c r="H610" s="924"/>
    </row>
    <row r="611" ht="22.5" customHeight="1">
      <c r="A611" s="1394"/>
      <c r="B611" s="8"/>
      <c r="C611" s="16"/>
      <c r="D611" s="14"/>
      <c r="E611" s="14"/>
      <c r="F611" s="14"/>
      <c r="G611" s="14"/>
      <c r="H611" s="14"/>
    </row>
    <row r="612" ht="22.5" customHeight="1">
      <c r="A612" s="1394"/>
      <c r="B612" s="8"/>
      <c r="C612" s="16"/>
      <c r="D612" s="14"/>
      <c r="E612" s="14"/>
      <c r="F612" s="14"/>
      <c r="G612" s="14"/>
      <c r="H612" s="14"/>
    </row>
    <row r="613" ht="22.5" customHeight="1">
      <c r="A613" s="1394"/>
      <c r="B613" s="8"/>
      <c r="C613" s="16"/>
      <c r="D613" s="14"/>
      <c r="E613" s="14"/>
      <c r="F613" s="14"/>
      <c r="G613" s="14"/>
      <c r="H613" s="14"/>
    </row>
    <row r="614" ht="22.5" customHeight="1">
      <c r="A614" s="1394"/>
      <c r="B614" s="8"/>
      <c r="C614" s="16"/>
      <c r="D614" s="14"/>
      <c r="E614" s="14"/>
      <c r="F614" s="14"/>
      <c r="G614" s="14"/>
      <c r="H614" s="14"/>
    </row>
    <row r="615" ht="22.5" customHeight="1">
      <c r="A615" s="1394"/>
      <c r="B615" s="8"/>
      <c r="C615" s="16"/>
      <c r="D615" s="14"/>
      <c r="E615" s="14"/>
      <c r="F615" s="14"/>
      <c r="G615" s="14"/>
      <c r="H615" s="14"/>
    </row>
    <row r="616" ht="22.5" customHeight="1">
      <c r="A616" s="1394"/>
      <c r="B616" s="8"/>
      <c r="C616" s="16"/>
      <c r="D616" s="14"/>
      <c r="E616" s="14"/>
      <c r="F616" s="14"/>
      <c r="G616" s="14"/>
      <c r="H616" s="14"/>
    </row>
    <row r="617" ht="22.5" customHeight="1">
      <c r="A617" s="1394"/>
      <c r="B617" s="8"/>
      <c r="C617" s="16"/>
      <c r="D617" s="14"/>
      <c r="E617" s="14"/>
      <c r="F617" s="14"/>
      <c r="G617" s="14"/>
      <c r="H617" s="14"/>
    </row>
    <row r="618" ht="22.5" customHeight="1">
      <c r="A618" s="1394"/>
      <c r="B618" s="8"/>
      <c r="C618" s="16"/>
      <c r="D618" s="14"/>
      <c r="E618" s="14"/>
      <c r="F618" s="14"/>
      <c r="G618" s="14"/>
      <c r="H618" s="14"/>
    </row>
    <row r="619" ht="22.5" customHeight="1">
      <c r="A619" s="1394"/>
      <c r="B619" s="8"/>
      <c r="C619" s="16"/>
      <c r="D619" s="14"/>
      <c r="E619" s="14"/>
      <c r="F619" s="14"/>
      <c r="G619" s="14"/>
      <c r="H619" s="14"/>
    </row>
    <row r="620" ht="22.5" customHeight="1">
      <c r="A620" s="1394"/>
      <c r="B620" s="8"/>
      <c r="C620" s="16"/>
      <c r="D620" s="14"/>
      <c r="E620" s="14"/>
      <c r="F620" s="14"/>
      <c r="G620" s="14"/>
      <c r="H620" s="14"/>
    </row>
    <row r="621" ht="22.5" customHeight="1">
      <c r="A621" s="1394"/>
      <c r="B621" s="8"/>
      <c r="C621" s="16"/>
      <c r="D621" s="14"/>
      <c r="E621" s="14"/>
      <c r="F621" s="14"/>
      <c r="G621" s="14"/>
      <c r="H621" s="14"/>
    </row>
    <row r="622" ht="22.5" customHeight="1">
      <c r="A622" s="1394"/>
      <c r="B622" s="8"/>
      <c r="C622" s="16"/>
      <c r="D622" s="14"/>
      <c r="E622" s="14"/>
      <c r="F622" s="14"/>
      <c r="G622" s="14"/>
      <c r="H622" s="14"/>
    </row>
    <row r="623" ht="22.5" customHeight="1">
      <c r="A623" s="1394"/>
      <c r="B623" s="8"/>
      <c r="C623" s="16"/>
      <c r="D623" s="14"/>
      <c r="E623" s="14"/>
      <c r="F623" s="14"/>
      <c r="G623" s="14"/>
      <c r="H623" s="14"/>
    </row>
    <row r="624" ht="22.5" customHeight="1">
      <c r="A624" s="1394"/>
      <c r="B624" s="8"/>
      <c r="C624" s="16"/>
      <c r="D624" s="14"/>
      <c r="E624" s="14"/>
      <c r="F624" s="14"/>
      <c r="G624" s="14"/>
      <c r="H624" s="14"/>
    </row>
    <row r="625" ht="22.5" customHeight="1">
      <c r="A625" s="1394"/>
      <c r="B625" s="8"/>
      <c r="C625" s="16"/>
      <c r="D625" s="14"/>
      <c r="E625" s="14"/>
      <c r="F625" s="14"/>
      <c r="G625" s="14"/>
      <c r="H625" s="14"/>
    </row>
    <row r="626" ht="22.5" customHeight="1">
      <c r="A626" s="1394"/>
      <c r="B626" s="8"/>
      <c r="C626" s="16"/>
      <c r="D626" s="14"/>
      <c r="E626" s="14"/>
      <c r="F626" s="14"/>
      <c r="G626" s="14"/>
      <c r="H626" s="14"/>
    </row>
    <row r="627" ht="22.5" customHeight="1">
      <c r="A627" s="1394"/>
      <c r="B627" s="8"/>
      <c r="C627" s="16"/>
      <c r="D627" s="14"/>
      <c r="E627" s="14"/>
      <c r="F627" s="14"/>
      <c r="G627" s="14"/>
      <c r="H627" s="14"/>
    </row>
    <row r="628" ht="22.5" customHeight="1">
      <c r="A628" s="1394"/>
      <c r="B628" s="8"/>
      <c r="C628" s="16"/>
      <c r="D628" s="14"/>
      <c r="E628" s="14"/>
      <c r="F628" s="14"/>
      <c r="G628" s="14"/>
      <c r="H628" s="14"/>
    </row>
    <row r="629" ht="22.5" customHeight="1">
      <c r="A629" s="1394"/>
      <c r="B629" s="8"/>
      <c r="C629" s="16"/>
      <c r="D629" s="14"/>
      <c r="E629" s="14"/>
      <c r="F629" s="14"/>
      <c r="G629" s="14"/>
      <c r="H629" s="14"/>
    </row>
    <row r="630" ht="22.5" customHeight="1">
      <c r="A630" s="1394"/>
      <c r="B630" s="8"/>
      <c r="C630" s="16"/>
      <c r="D630" s="14"/>
      <c r="E630" s="14"/>
      <c r="F630" s="14"/>
      <c r="G630" s="14"/>
      <c r="H630" s="14"/>
    </row>
    <row r="631" ht="22.5" customHeight="1">
      <c r="A631" s="1394"/>
      <c r="B631" s="8"/>
      <c r="C631" s="16"/>
      <c r="D631" s="14"/>
      <c r="E631" s="14"/>
      <c r="F631" s="14"/>
      <c r="G631" s="14"/>
      <c r="H631" s="14"/>
    </row>
    <row r="632" ht="22.5" customHeight="1">
      <c r="A632" s="1394"/>
      <c r="B632" s="8"/>
      <c r="C632" s="16"/>
      <c r="D632" s="14"/>
      <c r="E632" s="14"/>
      <c r="F632" s="14"/>
      <c r="G632" s="14"/>
      <c r="H632" s="14"/>
    </row>
    <row r="633" ht="22.5" customHeight="1">
      <c r="A633" s="1394"/>
      <c r="B633" s="8"/>
      <c r="C633" s="16"/>
      <c r="D633" s="14"/>
      <c r="E633" s="14"/>
      <c r="F633" s="14"/>
      <c r="G633" s="14"/>
      <c r="H633" s="14"/>
    </row>
    <row r="634" ht="22.5" customHeight="1">
      <c r="A634" s="1394"/>
      <c r="B634" s="8"/>
      <c r="C634" s="16"/>
      <c r="D634" s="14"/>
      <c r="E634" s="14"/>
      <c r="F634" s="14"/>
      <c r="G634" s="14"/>
      <c r="H634" s="14"/>
    </row>
    <row r="635" ht="22.5" customHeight="1">
      <c r="A635" s="1394"/>
      <c r="B635" s="8"/>
      <c r="C635" s="16"/>
      <c r="D635" s="14"/>
      <c r="E635" s="14"/>
      <c r="F635" s="14"/>
      <c r="G635" s="14"/>
      <c r="H635" s="14"/>
    </row>
    <row r="636" ht="22.5" customHeight="1">
      <c r="A636" s="1394"/>
      <c r="B636" s="8"/>
      <c r="C636" s="16"/>
      <c r="D636" s="14"/>
      <c r="E636" s="14"/>
      <c r="F636" s="14"/>
      <c r="G636" s="14"/>
      <c r="H636" s="14"/>
    </row>
    <row r="637" ht="22.5" customHeight="1">
      <c r="A637" s="1394"/>
      <c r="B637" s="8"/>
      <c r="C637" s="16"/>
      <c r="D637" s="14"/>
      <c r="E637" s="14"/>
      <c r="F637" s="14"/>
      <c r="G637" s="14"/>
      <c r="H637" s="14"/>
    </row>
    <row r="638" ht="22.5" customHeight="1">
      <c r="A638" s="1394"/>
      <c r="B638" s="8"/>
      <c r="C638" s="16"/>
      <c r="D638" s="14"/>
      <c r="E638" s="14"/>
      <c r="F638" s="14"/>
      <c r="G638" s="14"/>
      <c r="H638" s="14"/>
    </row>
    <row r="639" ht="22.5" customHeight="1">
      <c r="A639" s="8"/>
      <c r="B639" s="8"/>
      <c r="C639" s="16"/>
      <c r="D639" s="14"/>
      <c r="E639" s="14"/>
      <c r="F639" s="14"/>
      <c r="G639" s="14"/>
      <c r="H639" s="14"/>
    </row>
    <row r="640" ht="22.5" customHeight="1">
      <c r="A640" s="8"/>
      <c r="B640" s="8"/>
      <c r="C640" s="16"/>
      <c r="D640" s="14"/>
      <c r="E640" s="14"/>
      <c r="F640" s="14"/>
      <c r="G640" s="14"/>
      <c r="H640" s="14"/>
    </row>
    <row r="641" ht="22.5" customHeight="1">
      <c r="A641" s="8"/>
      <c r="B641" s="8"/>
      <c r="C641" s="16"/>
      <c r="D641" s="14"/>
      <c r="E641" s="14"/>
      <c r="F641" s="14"/>
      <c r="G641" s="14"/>
      <c r="H641" s="14"/>
    </row>
    <row r="642" ht="22.5" customHeight="1">
      <c r="A642" s="8"/>
      <c r="B642" s="8"/>
      <c r="C642" s="16"/>
      <c r="D642" s="14"/>
      <c r="E642" s="14"/>
      <c r="F642" s="14"/>
      <c r="G642" s="14"/>
      <c r="H642" s="14"/>
    </row>
    <row r="643" ht="22.5" customHeight="1">
      <c r="A643" s="8"/>
      <c r="B643" s="8"/>
      <c r="C643" s="16"/>
      <c r="D643" s="14"/>
      <c r="E643" s="14"/>
      <c r="F643" s="14"/>
      <c r="G643" s="14"/>
      <c r="H643" s="14"/>
    </row>
    <row r="644" ht="22.5" customHeight="1">
      <c r="A644" s="8"/>
      <c r="B644" s="8"/>
      <c r="C644" s="16"/>
      <c r="D644" s="14"/>
      <c r="E644" s="14"/>
      <c r="F644" s="14"/>
      <c r="G644" s="14"/>
      <c r="H644" s="14"/>
    </row>
    <row r="645" ht="22.5" customHeight="1">
      <c r="A645" s="8"/>
      <c r="B645" s="8"/>
      <c r="C645" s="16"/>
      <c r="D645" s="14"/>
      <c r="E645" s="14"/>
      <c r="F645" s="14"/>
      <c r="G645" s="14"/>
      <c r="H645" s="14"/>
    </row>
    <row r="646" ht="22.5" customHeight="1">
      <c r="A646" s="8"/>
      <c r="B646" s="8"/>
      <c r="C646" s="16"/>
      <c r="D646" s="14"/>
      <c r="E646" s="14"/>
      <c r="F646" s="14"/>
      <c r="G646" s="14"/>
      <c r="H646" s="14"/>
    </row>
    <row r="647" ht="22.5" customHeight="1">
      <c r="A647" s="8"/>
      <c r="B647" s="8"/>
      <c r="C647" s="16"/>
      <c r="D647" s="14"/>
      <c r="E647" s="14"/>
      <c r="F647" s="14"/>
      <c r="G647" s="14"/>
      <c r="H647" s="14"/>
    </row>
    <row r="648" ht="22.5" customHeight="1">
      <c r="A648" s="8"/>
      <c r="B648" s="8"/>
      <c r="C648" s="16"/>
      <c r="D648" s="14"/>
      <c r="E648" s="14"/>
      <c r="F648" s="14"/>
      <c r="G648" s="14"/>
      <c r="H648" s="14"/>
    </row>
    <row r="649" ht="22.5" customHeight="1">
      <c r="A649" s="8"/>
      <c r="B649" s="8"/>
      <c r="C649" s="16"/>
      <c r="D649" s="14"/>
      <c r="E649" s="14"/>
      <c r="F649" s="14"/>
      <c r="G649" s="14"/>
      <c r="H649" s="14"/>
    </row>
    <row r="650" ht="22.5" customHeight="1">
      <c r="A650" s="8"/>
      <c r="B650" s="8"/>
      <c r="C650" s="16"/>
      <c r="D650" s="14"/>
      <c r="E650" s="14"/>
      <c r="F650" s="14"/>
      <c r="G650" s="14"/>
      <c r="H650" s="14"/>
    </row>
    <row r="651" ht="22.5" customHeight="1">
      <c r="A651" s="8"/>
      <c r="B651" s="8"/>
      <c r="C651" s="16"/>
      <c r="D651" s="14"/>
      <c r="E651" s="14"/>
      <c r="F651" s="14"/>
      <c r="G651" s="14"/>
      <c r="H651" s="14"/>
    </row>
    <row r="652" ht="22.5" customHeight="1">
      <c r="A652" s="8"/>
      <c r="B652" s="8"/>
      <c r="C652" s="16"/>
      <c r="D652" s="14"/>
      <c r="E652" s="14"/>
      <c r="F652" s="14"/>
      <c r="G652" s="14"/>
      <c r="H652" s="14"/>
    </row>
    <row r="653" ht="22.5" customHeight="1">
      <c r="A653" s="8"/>
      <c r="B653" s="8"/>
      <c r="C653" s="16"/>
      <c r="D653" s="14"/>
      <c r="E653" s="14"/>
      <c r="F653" s="14"/>
      <c r="G653" s="14"/>
      <c r="H653" s="14"/>
    </row>
    <row r="654" ht="22.5" customHeight="1">
      <c r="A654" s="8"/>
      <c r="B654" s="8"/>
      <c r="C654" s="16"/>
      <c r="D654" s="14"/>
      <c r="E654" s="14"/>
      <c r="F654" s="14"/>
      <c r="G654" s="14"/>
      <c r="H654" s="14"/>
    </row>
    <row r="655" ht="22.5" customHeight="1">
      <c r="A655" s="8"/>
      <c r="B655" s="8"/>
      <c r="C655" s="16"/>
      <c r="D655" s="14"/>
      <c r="E655" s="14"/>
      <c r="F655" s="14"/>
      <c r="G655" s="14"/>
      <c r="H655" s="14"/>
    </row>
    <row r="656" ht="22.5" customHeight="1">
      <c r="A656" s="8"/>
      <c r="B656" s="8"/>
      <c r="C656" s="16"/>
      <c r="D656" s="14"/>
      <c r="E656" s="14"/>
      <c r="F656" s="14"/>
      <c r="G656" s="14"/>
      <c r="H656" s="14"/>
    </row>
    <row r="657" ht="22.5" customHeight="1">
      <c r="A657" s="8"/>
      <c r="B657" s="8"/>
      <c r="C657" s="16"/>
      <c r="D657" s="14"/>
      <c r="E657" s="14"/>
      <c r="F657" s="14"/>
      <c r="G657" s="14"/>
      <c r="H657" s="14"/>
    </row>
    <row r="658" ht="22.5" customHeight="1">
      <c r="A658" s="8"/>
      <c r="B658" s="8"/>
      <c r="C658" s="16"/>
      <c r="D658" s="14"/>
      <c r="E658" s="14"/>
      <c r="F658" s="14"/>
      <c r="G658" s="14"/>
      <c r="H658" s="14"/>
    </row>
    <row r="659" ht="22.5" customHeight="1">
      <c r="A659" s="8"/>
      <c r="B659" s="8"/>
      <c r="C659" s="16"/>
      <c r="D659" s="14"/>
      <c r="E659" s="14"/>
      <c r="F659" s="14"/>
      <c r="G659" s="14"/>
      <c r="H659" s="14"/>
    </row>
    <row r="660" ht="22.5" customHeight="1">
      <c r="A660" s="8"/>
      <c r="B660" s="8"/>
      <c r="C660" s="16"/>
      <c r="D660" s="14"/>
      <c r="E660" s="14"/>
      <c r="F660" s="14"/>
      <c r="G660" s="14"/>
      <c r="H660" s="14"/>
    </row>
    <row r="661" ht="22.5" customHeight="1">
      <c r="A661" s="8"/>
      <c r="B661" s="8"/>
      <c r="C661" s="16"/>
      <c r="D661" s="14"/>
      <c r="E661" s="14"/>
      <c r="F661" s="14"/>
      <c r="G661" s="14"/>
      <c r="H661" s="14"/>
    </row>
    <row r="662" ht="22.5" customHeight="1">
      <c r="A662" s="8"/>
      <c r="B662" s="8"/>
      <c r="C662" s="16"/>
      <c r="D662" s="14"/>
      <c r="E662" s="14"/>
      <c r="F662" s="14"/>
      <c r="G662" s="14"/>
      <c r="H662" s="14"/>
    </row>
    <row r="663" ht="22.5" customHeight="1">
      <c r="A663" s="8"/>
      <c r="B663" s="8"/>
      <c r="C663" s="16"/>
      <c r="D663" s="14"/>
      <c r="E663" s="14"/>
      <c r="F663" s="14"/>
      <c r="G663" s="14"/>
      <c r="H663" s="14"/>
    </row>
    <row r="664" ht="22.5" customHeight="1">
      <c r="A664" s="8"/>
      <c r="B664" s="8"/>
      <c r="C664" s="16"/>
      <c r="D664" s="14"/>
      <c r="E664" s="14"/>
      <c r="F664" s="14"/>
      <c r="G664" s="14"/>
      <c r="H664" s="14"/>
    </row>
    <row r="665" ht="22.5" customHeight="1">
      <c r="A665" s="8"/>
      <c r="B665" s="8"/>
      <c r="C665" s="16"/>
      <c r="D665" s="14"/>
      <c r="E665" s="14"/>
      <c r="F665" s="14"/>
      <c r="G665" s="14"/>
      <c r="H665" s="14"/>
    </row>
    <row r="666" ht="22.5" customHeight="1">
      <c r="A666" s="8"/>
      <c r="B666" s="8"/>
      <c r="C666" s="16"/>
      <c r="D666" s="14"/>
      <c r="E666" s="14"/>
      <c r="F666" s="14"/>
      <c r="G666" s="14"/>
      <c r="H666" s="14"/>
    </row>
    <row r="667" ht="22.5" customHeight="1">
      <c r="A667" s="8"/>
      <c r="B667" s="8"/>
      <c r="C667" s="16"/>
      <c r="D667" s="14"/>
      <c r="E667" s="14"/>
      <c r="F667" s="14"/>
      <c r="G667" s="14"/>
      <c r="H667" s="14"/>
    </row>
    <row r="668" ht="22.5" customHeight="1">
      <c r="A668" s="8"/>
      <c r="B668" s="8"/>
      <c r="C668" s="16"/>
      <c r="D668" s="14"/>
      <c r="E668" s="14"/>
      <c r="F668" s="14"/>
      <c r="G668" s="14"/>
      <c r="H668" s="14"/>
    </row>
    <row r="669" ht="22.5" customHeight="1">
      <c r="A669" s="8"/>
      <c r="B669" s="8"/>
      <c r="C669" s="16"/>
      <c r="D669" s="14"/>
      <c r="E669" s="14"/>
      <c r="F669" s="14"/>
      <c r="G669" s="14"/>
      <c r="H669" s="14"/>
    </row>
    <row r="670" ht="22.5" customHeight="1">
      <c r="A670" s="8"/>
      <c r="B670" s="8"/>
      <c r="C670" s="16"/>
      <c r="D670" s="14"/>
      <c r="E670" s="14"/>
      <c r="F670" s="14"/>
      <c r="G670" s="14"/>
      <c r="H670" s="14"/>
    </row>
    <row r="671" ht="22.5" customHeight="1">
      <c r="A671" s="8"/>
      <c r="B671" s="8"/>
      <c r="C671" s="16"/>
      <c r="D671" s="14"/>
      <c r="E671" s="14"/>
      <c r="F671" s="14"/>
      <c r="G671" s="14"/>
      <c r="H671" s="14"/>
    </row>
    <row r="672" ht="22.5" customHeight="1">
      <c r="A672" s="8"/>
      <c r="B672" s="8"/>
      <c r="C672" s="16"/>
      <c r="D672" s="14"/>
      <c r="E672" s="14"/>
      <c r="F672" s="14"/>
      <c r="G672" s="14"/>
      <c r="H672" s="14"/>
    </row>
    <row r="673" ht="22.5" customHeight="1">
      <c r="A673" s="8"/>
      <c r="B673" s="8"/>
      <c r="C673" s="16"/>
      <c r="D673" s="14"/>
      <c r="E673" s="14"/>
      <c r="F673" s="14"/>
      <c r="G673" s="14"/>
      <c r="H673" s="14"/>
    </row>
    <row r="674" ht="22.5" customHeight="1">
      <c r="A674" s="8"/>
      <c r="B674" s="8"/>
      <c r="C674" s="16"/>
      <c r="D674" s="14"/>
      <c r="E674" s="14"/>
      <c r="F674" s="14"/>
      <c r="G674" s="14"/>
      <c r="H674" s="14"/>
    </row>
    <row r="675" ht="22.5" customHeight="1">
      <c r="A675" s="8"/>
      <c r="B675" s="8"/>
      <c r="C675" s="16"/>
      <c r="D675" s="14"/>
      <c r="E675" s="14"/>
      <c r="F675" s="14"/>
      <c r="G675" s="14"/>
      <c r="H675" s="14"/>
    </row>
    <row r="676" ht="22.5" customHeight="1">
      <c r="A676" s="8"/>
      <c r="B676" s="8"/>
      <c r="C676" s="16"/>
      <c r="D676" s="14"/>
      <c r="E676" s="14"/>
      <c r="F676" s="14"/>
      <c r="G676" s="14"/>
      <c r="H676" s="14"/>
    </row>
    <row r="677" ht="22.5" customHeight="1">
      <c r="A677" s="8"/>
      <c r="B677" s="8"/>
      <c r="C677" s="16"/>
      <c r="D677" s="14"/>
      <c r="E677" s="14"/>
      <c r="F677" s="14"/>
      <c r="G677" s="14"/>
      <c r="H677" s="14"/>
    </row>
    <row r="678" ht="22.5" customHeight="1">
      <c r="A678" s="8"/>
      <c r="B678" s="8"/>
      <c r="C678" s="16"/>
      <c r="D678" s="14"/>
      <c r="E678" s="14"/>
      <c r="F678" s="14"/>
      <c r="G678" s="14"/>
      <c r="H678" s="14"/>
    </row>
    <row r="679" ht="22.5" customHeight="1">
      <c r="A679" s="8"/>
      <c r="B679" s="8"/>
      <c r="C679" s="16"/>
      <c r="D679" s="14"/>
      <c r="E679" s="14"/>
      <c r="F679" s="14"/>
      <c r="G679" s="14"/>
      <c r="H679" s="14"/>
    </row>
    <row r="680" ht="22.5" customHeight="1">
      <c r="A680" s="8"/>
      <c r="B680" s="8"/>
      <c r="C680" s="16"/>
      <c r="D680" s="14"/>
      <c r="E680" s="14"/>
      <c r="F680" s="14"/>
      <c r="G680" s="14"/>
      <c r="H680" s="14"/>
    </row>
    <row r="681" ht="22.5" customHeight="1">
      <c r="A681" s="8"/>
      <c r="B681" s="8"/>
      <c r="C681" s="16"/>
      <c r="D681" s="14"/>
      <c r="E681" s="14"/>
      <c r="F681" s="14"/>
      <c r="G681" s="14"/>
      <c r="H681" s="14"/>
    </row>
    <row r="682" ht="22.5" customHeight="1">
      <c r="A682" s="8"/>
      <c r="B682" s="8"/>
      <c r="C682" s="16"/>
      <c r="D682" s="14"/>
      <c r="E682" s="14"/>
      <c r="F682" s="14"/>
      <c r="G682" s="14"/>
      <c r="H682" s="14"/>
    </row>
    <row r="683" ht="22.5" customHeight="1">
      <c r="A683" s="8"/>
      <c r="B683" s="8"/>
      <c r="C683" s="16"/>
      <c r="D683" s="14"/>
      <c r="E683" s="14"/>
      <c r="F683" s="14"/>
      <c r="G683" s="14"/>
      <c r="H683" s="14"/>
    </row>
    <row r="684" ht="22.5" customHeight="1">
      <c r="A684" s="8"/>
      <c r="B684" s="8"/>
      <c r="C684" s="16"/>
      <c r="D684" s="14"/>
      <c r="E684" s="14"/>
      <c r="F684" s="14"/>
      <c r="G684" s="14"/>
      <c r="H684" s="14"/>
    </row>
    <row r="685" ht="22.5" customHeight="1">
      <c r="A685" s="8"/>
      <c r="B685" s="8"/>
      <c r="C685" s="16"/>
      <c r="D685" s="14"/>
      <c r="E685" s="14"/>
      <c r="F685" s="14"/>
      <c r="G685" s="14"/>
      <c r="H685" s="14"/>
    </row>
    <row r="686" ht="22.5" customHeight="1">
      <c r="A686" s="8"/>
      <c r="B686" s="8"/>
      <c r="C686" s="16"/>
      <c r="D686" s="14"/>
      <c r="E686" s="14"/>
      <c r="F686" s="14"/>
      <c r="G686" s="14"/>
      <c r="H686" s="14"/>
    </row>
    <row r="687" ht="22.5" customHeight="1">
      <c r="A687" s="8"/>
      <c r="B687" s="8"/>
      <c r="C687" s="16"/>
      <c r="D687" s="14"/>
      <c r="E687" s="14"/>
      <c r="F687" s="14"/>
      <c r="G687" s="14"/>
      <c r="H687" s="14"/>
    </row>
    <row r="688" ht="22.5" customHeight="1">
      <c r="A688" s="8"/>
      <c r="B688" s="8"/>
      <c r="C688" s="16"/>
      <c r="D688" s="14"/>
      <c r="E688" s="14"/>
      <c r="F688" s="14"/>
      <c r="G688" s="14"/>
      <c r="H688" s="14"/>
    </row>
    <row r="689" ht="22.5" customHeight="1">
      <c r="A689" s="8"/>
      <c r="B689" s="8"/>
      <c r="C689" s="16"/>
      <c r="D689" s="14"/>
      <c r="E689" s="14"/>
      <c r="F689" s="14"/>
      <c r="G689" s="14"/>
      <c r="H689" s="14"/>
    </row>
    <row r="690" ht="22.5" customHeight="1">
      <c r="A690" s="8"/>
      <c r="B690" s="8"/>
      <c r="C690" s="16"/>
      <c r="D690" s="14"/>
      <c r="E690" s="14"/>
      <c r="F690" s="14"/>
      <c r="G690" s="14"/>
      <c r="H690" s="14"/>
    </row>
    <row r="691" ht="22.5" customHeight="1">
      <c r="A691" s="8"/>
      <c r="B691" s="8"/>
      <c r="C691" s="16"/>
      <c r="D691" s="14"/>
      <c r="E691" s="14"/>
      <c r="F691" s="14"/>
      <c r="G691" s="14"/>
      <c r="H691" s="14"/>
    </row>
    <row r="692" ht="22.5" customHeight="1">
      <c r="A692" s="8"/>
      <c r="B692" s="8"/>
      <c r="C692" s="16"/>
      <c r="D692" s="14"/>
      <c r="E692" s="14"/>
      <c r="F692" s="14"/>
      <c r="G692" s="14"/>
      <c r="H692" s="14"/>
    </row>
    <row r="693" ht="22.5" customHeight="1">
      <c r="A693" s="8"/>
      <c r="B693" s="8"/>
      <c r="C693" s="16"/>
      <c r="D693" s="14"/>
      <c r="E693" s="14"/>
      <c r="F693" s="14"/>
      <c r="G693" s="14"/>
      <c r="H693" s="14"/>
    </row>
    <row r="694" ht="22.5" customHeight="1">
      <c r="A694" s="8"/>
      <c r="B694" s="8"/>
      <c r="C694" s="16"/>
      <c r="D694" s="14"/>
      <c r="E694" s="14"/>
      <c r="F694" s="14"/>
      <c r="G694" s="14"/>
      <c r="H694" s="14"/>
    </row>
    <row r="695" ht="22.5" customHeight="1">
      <c r="A695" s="8"/>
      <c r="B695" s="8"/>
      <c r="C695" s="16"/>
      <c r="D695" s="14"/>
      <c r="E695" s="14"/>
      <c r="F695" s="14"/>
      <c r="G695" s="14"/>
      <c r="H695" s="14"/>
    </row>
    <row r="696" ht="22.5" customHeight="1">
      <c r="A696" s="8"/>
      <c r="B696" s="8"/>
      <c r="C696" s="16"/>
      <c r="D696" s="14"/>
      <c r="E696" s="14"/>
      <c r="F696" s="14"/>
      <c r="G696" s="14"/>
      <c r="H696" s="14"/>
    </row>
    <row r="697" ht="22.5" customHeight="1">
      <c r="A697" s="8"/>
      <c r="B697" s="8"/>
      <c r="C697" s="16"/>
      <c r="D697" s="14"/>
      <c r="E697" s="14"/>
      <c r="F697" s="14"/>
      <c r="G697" s="14"/>
      <c r="H697" s="14"/>
    </row>
    <row r="698" ht="22.5" customHeight="1">
      <c r="A698" s="8"/>
      <c r="B698" s="8"/>
      <c r="C698" s="16"/>
      <c r="D698" s="14"/>
      <c r="E698" s="14"/>
      <c r="F698" s="14"/>
      <c r="G698" s="14"/>
      <c r="H698" s="14"/>
    </row>
    <row r="699" ht="22.5" customHeight="1">
      <c r="A699" s="8"/>
      <c r="B699" s="8"/>
      <c r="C699" s="16"/>
      <c r="D699" s="14"/>
      <c r="E699" s="14"/>
      <c r="F699" s="14"/>
      <c r="G699" s="14"/>
      <c r="H699" s="14"/>
    </row>
    <row r="700" ht="22.5" customHeight="1">
      <c r="A700" s="8"/>
      <c r="B700" s="8"/>
      <c r="C700" s="16"/>
      <c r="D700" s="14"/>
      <c r="E700" s="14"/>
      <c r="F700" s="14"/>
      <c r="G700" s="14"/>
      <c r="H700" s="14"/>
    </row>
    <row r="701" ht="22.5" customHeight="1">
      <c r="A701" s="8"/>
      <c r="B701" s="8"/>
      <c r="C701" s="16"/>
      <c r="D701" s="14"/>
      <c r="E701" s="14"/>
      <c r="F701" s="14"/>
      <c r="G701" s="14"/>
      <c r="H701" s="14"/>
    </row>
    <row r="702" ht="22.5" customHeight="1">
      <c r="A702" s="8"/>
      <c r="B702" s="8"/>
      <c r="C702" s="16"/>
      <c r="D702" s="14"/>
      <c r="E702" s="14"/>
      <c r="F702" s="14"/>
      <c r="G702" s="14"/>
      <c r="H702" s="14"/>
    </row>
    <row r="703" ht="22.5" customHeight="1">
      <c r="A703" s="8"/>
      <c r="B703" s="8"/>
      <c r="C703" s="16"/>
      <c r="D703" s="14"/>
      <c r="E703" s="14"/>
      <c r="F703" s="14"/>
      <c r="G703" s="14"/>
      <c r="H703" s="14"/>
    </row>
    <row r="704" ht="22.5" customHeight="1">
      <c r="A704" s="8"/>
      <c r="B704" s="8"/>
      <c r="C704" s="16"/>
      <c r="D704" s="14"/>
      <c r="E704" s="14"/>
      <c r="F704" s="14"/>
      <c r="G704" s="14"/>
      <c r="H704" s="14"/>
    </row>
    <row r="705" ht="22.5" customHeight="1">
      <c r="A705" s="8"/>
      <c r="B705" s="8"/>
      <c r="C705" s="16"/>
      <c r="D705" s="14"/>
      <c r="E705" s="14"/>
      <c r="F705" s="14"/>
      <c r="G705" s="14"/>
      <c r="H705" s="14"/>
    </row>
    <row r="706" ht="22.5" customHeight="1">
      <c r="A706" s="8"/>
      <c r="B706" s="8"/>
      <c r="C706" s="16"/>
      <c r="D706" s="14"/>
      <c r="E706" s="14"/>
      <c r="F706" s="14"/>
      <c r="G706" s="14"/>
      <c r="H706" s="14"/>
    </row>
    <row r="707" ht="22.5" customHeight="1">
      <c r="A707" s="8"/>
      <c r="B707" s="8"/>
      <c r="C707" s="16"/>
      <c r="D707" s="14"/>
      <c r="E707" s="14"/>
      <c r="F707" s="14"/>
      <c r="G707" s="14"/>
      <c r="H707" s="14"/>
    </row>
    <row r="708" ht="22.5" customHeight="1">
      <c r="A708" s="8"/>
      <c r="B708" s="8"/>
      <c r="C708" s="16"/>
      <c r="D708" s="14"/>
      <c r="E708" s="14"/>
      <c r="F708" s="14"/>
      <c r="G708" s="14"/>
      <c r="H708" s="14"/>
    </row>
    <row r="709" ht="22.5" customHeight="1">
      <c r="A709" s="8"/>
      <c r="B709" s="8"/>
      <c r="C709" s="16"/>
      <c r="D709" s="14"/>
      <c r="E709" s="14"/>
      <c r="F709" s="14"/>
      <c r="G709" s="14"/>
      <c r="H709" s="14"/>
    </row>
    <row r="710" ht="22.5" customHeight="1">
      <c r="A710" s="8"/>
      <c r="B710" s="8"/>
      <c r="C710" s="16"/>
      <c r="D710" s="14"/>
      <c r="E710" s="14"/>
      <c r="F710" s="14"/>
      <c r="G710" s="14"/>
      <c r="H710" s="14"/>
    </row>
    <row r="711" ht="22.5" customHeight="1">
      <c r="A711" s="8"/>
      <c r="B711" s="8"/>
      <c r="C711" s="16"/>
      <c r="D711" s="14"/>
      <c r="E711" s="14"/>
      <c r="F711" s="14"/>
      <c r="G711" s="14"/>
      <c r="H711" s="14"/>
    </row>
    <row r="712" ht="22.5" customHeight="1">
      <c r="A712" s="8"/>
      <c r="B712" s="8"/>
      <c r="C712" s="16"/>
      <c r="D712" s="14"/>
      <c r="E712" s="14"/>
      <c r="F712" s="14"/>
      <c r="G712" s="14"/>
      <c r="H712" s="14"/>
    </row>
    <row r="713" ht="22.5" customHeight="1">
      <c r="A713" s="8"/>
      <c r="B713" s="8"/>
      <c r="C713" s="16"/>
      <c r="D713" s="14"/>
      <c r="E713" s="14"/>
      <c r="F713" s="14"/>
      <c r="G713" s="14"/>
      <c r="H713" s="14"/>
    </row>
    <row r="714" ht="22.5" customHeight="1">
      <c r="A714" s="8"/>
      <c r="B714" s="8"/>
      <c r="C714" s="16"/>
      <c r="D714" s="14"/>
      <c r="E714" s="14"/>
      <c r="F714" s="14"/>
      <c r="G714" s="14"/>
      <c r="H714" s="14"/>
    </row>
    <row r="715" ht="22.5" customHeight="1">
      <c r="A715" s="8"/>
      <c r="B715" s="8"/>
      <c r="C715" s="16"/>
      <c r="D715" s="14"/>
      <c r="E715" s="14"/>
      <c r="F715" s="14"/>
      <c r="G715" s="14"/>
      <c r="H715" s="14"/>
    </row>
    <row r="716" ht="22.5" customHeight="1">
      <c r="A716" s="8"/>
      <c r="B716" s="8"/>
      <c r="C716" s="16"/>
      <c r="D716" s="14"/>
      <c r="E716" s="14"/>
      <c r="F716" s="14"/>
      <c r="G716" s="14"/>
      <c r="H716" s="14"/>
    </row>
    <row r="717" ht="22.5" customHeight="1">
      <c r="A717" s="8"/>
      <c r="B717" s="8"/>
      <c r="C717" s="16"/>
      <c r="D717" s="14"/>
      <c r="E717" s="14"/>
      <c r="F717" s="14"/>
      <c r="G717" s="14"/>
      <c r="H717" s="14"/>
    </row>
    <row r="718" ht="22.5" customHeight="1">
      <c r="A718" s="8"/>
      <c r="B718" s="8"/>
      <c r="C718" s="16"/>
      <c r="D718" s="14"/>
      <c r="E718" s="14"/>
      <c r="F718" s="14"/>
      <c r="G718" s="14"/>
      <c r="H718" s="14"/>
    </row>
    <row r="719" ht="22.5" customHeight="1">
      <c r="A719" s="8"/>
      <c r="B719" s="8"/>
      <c r="C719" s="16"/>
      <c r="D719" s="14"/>
      <c r="E719" s="14"/>
      <c r="F719" s="14"/>
      <c r="G719" s="14"/>
      <c r="H719" s="14"/>
    </row>
    <row r="720" ht="22.5" customHeight="1">
      <c r="A720" s="8"/>
      <c r="B720" s="8"/>
      <c r="C720" s="16"/>
      <c r="D720" s="14"/>
      <c r="E720" s="14"/>
      <c r="F720" s="14"/>
      <c r="G720" s="14"/>
      <c r="H720" s="14"/>
    </row>
    <row r="721" ht="22.5" customHeight="1">
      <c r="A721" s="8"/>
      <c r="B721" s="8"/>
      <c r="C721" s="16"/>
      <c r="D721" s="14"/>
      <c r="E721" s="14"/>
      <c r="F721" s="14"/>
      <c r="G721" s="14"/>
      <c r="H721" s="14"/>
    </row>
    <row r="722" ht="22.5" customHeight="1">
      <c r="A722" s="8"/>
      <c r="B722" s="8"/>
      <c r="C722" s="16"/>
      <c r="D722" s="14"/>
      <c r="E722" s="14"/>
      <c r="F722" s="14"/>
      <c r="G722" s="14"/>
      <c r="H722" s="14"/>
    </row>
    <row r="723" ht="22.5" customHeight="1">
      <c r="A723" s="8"/>
      <c r="B723" s="8"/>
      <c r="C723" s="16"/>
      <c r="D723" s="14"/>
      <c r="E723" s="14"/>
      <c r="F723" s="14"/>
      <c r="G723" s="14"/>
      <c r="H723" s="14"/>
    </row>
    <row r="724" ht="22.5" customHeight="1">
      <c r="A724" s="8"/>
      <c r="B724" s="8"/>
      <c r="C724" s="16"/>
      <c r="D724" s="14"/>
      <c r="E724" s="14"/>
      <c r="F724" s="14"/>
      <c r="G724" s="14"/>
      <c r="H724" s="14"/>
    </row>
    <row r="725" ht="22.5" customHeight="1">
      <c r="A725" s="8"/>
      <c r="B725" s="8"/>
      <c r="C725" s="16"/>
      <c r="D725" s="14"/>
      <c r="E725" s="14"/>
      <c r="F725" s="14"/>
      <c r="G725" s="14"/>
      <c r="H725" s="14"/>
    </row>
    <row r="726" ht="22.5" customHeight="1">
      <c r="A726" s="8"/>
      <c r="B726" s="8"/>
      <c r="C726" s="16"/>
      <c r="D726" s="14"/>
      <c r="E726" s="14"/>
      <c r="F726" s="14"/>
      <c r="G726" s="14"/>
      <c r="H726" s="14"/>
    </row>
    <row r="727" ht="22.5" customHeight="1">
      <c r="A727" s="8"/>
      <c r="B727" s="8"/>
      <c r="C727" s="16"/>
      <c r="D727" s="14"/>
      <c r="E727" s="14"/>
      <c r="F727" s="14"/>
      <c r="G727" s="14"/>
      <c r="H727" s="14"/>
    </row>
    <row r="728" ht="22.5" customHeight="1">
      <c r="A728" s="8"/>
      <c r="B728" s="8"/>
      <c r="C728" s="16"/>
      <c r="D728" s="14"/>
      <c r="E728" s="14"/>
      <c r="F728" s="14"/>
      <c r="G728" s="14"/>
      <c r="H728" s="14"/>
    </row>
    <row r="729" ht="22.5" customHeight="1">
      <c r="A729" s="8"/>
      <c r="B729" s="8"/>
      <c r="C729" s="16"/>
      <c r="D729" s="14"/>
      <c r="E729" s="14"/>
      <c r="F729" s="14"/>
      <c r="G729" s="14"/>
      <c r="H729" s="14"/>
    </row>
    <row r="730" ht="22.5" customHeight="1">
      <c r="A730" s="8"/>
      <c r="B730" s="8"/>
      <c r="C730" s="16"/>
      <c r="D730" s="14"/>
      <c r="E730" s="14"/>
      <c r="F730" s="14"/>
      <c r="G730" s="14"/>
      <c r="H730" s="14"/>
    </row>
    <row r="731" ht="22.5" customHeight="1">
      <c r="A731" s="8"/>
      <c r="B731" s="8"/>
      <c r="C731" s="16"/>
      <c r="D731" s="14"/>
      <c r="E731" s="14"/>
      <c r="F731" s="14"/>
      <c r="G731" s="14"/>
      <c r="H731" s="14"/>
    </row>
    <row r="732" ht="22.5" customHeight="1">
      <c r="A732" s="8"/>
      <c r="B732" s="8"/>
      <c r="C732" s="16"/>
      <c r="D732" s="14"/>
      <c r="E732" s="14"/>
      <c r="F732" s="14"/>
      <c r="G732" s="14"/>
      <c r="H732" s="14"/>
    </row>
    <row r="733" ht="22.5" customHeight="1">
      <c r="A733" s="8"/>
      <c r="B733" s="8"/>
      <c r="C733" s="16"/>
      <c r="D733" s="14"/>
      <c r="E733" s="14"/>
      <c r="F733" s="14"/>
      <c r="G733" s="14"/>
      <c r="H733" s="14"/>
    </row>
    <row r="734" ht="22.5" customHeight="1">
      <c r="A734" s="8"/>
      <c r="B734" s="8"/>
      <c r="C734" s="16"/>
      <c r="D734" s="14"/>
      <c r="E734" s="14"/>
      <c r="F734" s="14"/>
      <c r="G734" s="14"/>
      <c r="H734" s="14"/>
    </row>
    <row r="735" ht="22.5" customHeight="1">
      <c r="A735" s="8"/>
      <c r="B735" s="8"/>
      <c r="C735" s="16"/>
      <c r="D735" s="14"/>
      <c r="E735" s="14"/>
      <c r="F735" s="14"/>
      <c r="G735" s="14"/>
      <c r="H735" s="14"/>
    </row>
    <row r="736" ht="22.5" customHeight="1">
      <c r="A736" s="8"/>
      <c r="B736" s="8"/>
      <c r="C736" s="16"/>
      <c r="D736" s="14"/>
      <c r="E736" s="14"/>
      <c r="F736" s="14"/>
      <c r="G736" s="14"/>
      <c r="H736" s="14"/>
    </row>
    <row r="737" ht="22.5" customHeight="1">
      <c r="A737" s="8"/>
      <c r="B737" s="8"/>
      <c r="C737" s="16"/>
      <c r="D737" s="14"/>
      <c r="E737" s="14"/>
      <c r="F737" s="14"/>
      <c r="G737" s="14"/>
      <c r="H737" s="14"/>
    </row>
    <row r="738" ht="22.5" customHeight="1">
      <c r="A738" s="8"/>
      <c r="B738" s="8"/>
      <c r="C738" s="16"/>
      <c r="D738" s="14"/>
      <c r="E738" s="14"/>
      <c r="F738" s="14"/>
      <c r="G738" s="14"/>
      <c r="H738" s="14"/>
    </row>
    <row r="739" ht="22.5" customHeight="1">
      <c r="A739" s="8"/>
      <c r="B739" s="8"/>
      <c r="C739" s="16"/>
      <c r="D739" s="14"/>
      <c r="E739" s="14"/>
      <c r="F739" s="14"/>
      <c r="G739" s="14"/>
      <c r="H739" s="14"/>
    </row>
    <row r="740" ht="22.5" customHeight="1">
      <c r="A740" s="8"/>
      <c r="B740" s="8"/>
      <c r="C740" s="16"/>
      <c r="D740" s="14"/>
      <c r="E740" s="14"/>
      <c r="F740" s="14"/>
      <c r="G740" s="14"/>
      <c r="H740" s="14"/>
    </row>
    <row r="741" ht="22.5" customHeight="1">
      <c r="A741" s="8"/>
      <c r="B741" s="8"/>
      <c r="C741" s="16"/>
      <c r="D741" s="14"/>
      <c r="E741" s="14"/>
      <c r="F741" s="14"/>
      <c r="G741" s="14"/>
      <c r="H741" s="14"/>
    </row>
    <row r="742" ht="22.5" customHeight="1">
      <c r="A742" s="8"/>
      <c r="B742" s="8"/>
      <c r="C742" s="16"/>
      <c r="D742" s="14"/>
      <c r="E742" s="14"/>
      <c r="F742" s="14"/>
      <c r="G742" s="14"/>
      <c r="H742" s="14"/>
    </row>
    <row r="743" ht="22.5" customHeight="1">
      <c r="A743" s="8"/>
      <c r="B743" s="8"/>
      <c r="C743" s="16"/>
      <c r="D743" s="14"/>
      <c r="E743" s="14"/>
      <c r="F743" s="14"/>
      <c r="G743" s="14"/>
      <c r="H743" s="14"/>
    </row>
    <row r="744" ht="22.5" customHeight="1">
      <c r="A744" s="8"/>
      <c r="B744" s="8"/>
      <c r="C744" s="16"/>
      <c r="D744" s="14"/>
      <c r="E744" s="14"/>
      <c r="F744" s="14"/>
      <c r="G744" s="14"/>
      <c r="H744" s="14"/>
    </row>
    <row r="745" ht="22.5" customHeight="1">
      <c r="A745" s="8"/>
      <c r="B745" s="8"/>
      <c r="C745" s="16"/>
      <c r="D745" s="14"/>
      <c r="E745" s="14"/>
      <c r="F745" s="14"/>
      <c r="G745" s="14"/>
      <c r="H745" s="14"/>
    </row>
    <row r="746" ht="22.5" customHeight="1">
      <c r="A746" s="8"/>
      <c r="B746" s="8"/>
      <c r="C746" s="16"/>
      <c r="D746" s="14"/>
      <c r="E746" s="14"/>
      <c r="F746" s="14"/>
      <c r="G746" s="14"/>
      <c r="H746" s="14"/>
    </row>
    <row r="747" ht="22.5" customHeight="1">
      <c r="A747" s="8"/>
      <c r="B747" s="8"/>
      <c r="C747" s="16"/>
      <c r="D747" s="14"/>
      <c r="E747" s="14"/>
      <c r="F747" s="14"/>
      <c r="G747" s="14"/>
      <c r="H747" s="14"/>
    </row>
    <row r="748" ht="22.5" customHeight="1">
      <c r="A748" s="8"/>
      <c r="B748" s="8"/>
      <c r="C748" s="16"/>
      <c r="D748" s="14"/>
      <c r="E748" s="14"/>
      <c r="F748" s="14"/>
      <c r="G748" s="14"/>
      <c r="H748" s="14"/>
    </row>
    <row r="749" ht="22.5" customHeight="1">
      <c r="A749" s="8"/>
      <c r="B749" s="8"/>
      <c r="C749" s="16"/>
      <c r="D749" s="14"/>
      <c r="E749" s="14"/>
      <c r="F749" s="14"/>
      <c r="G749" s="14"/>
      <c r="H749" s="14"/>
    </row>
    <row r="750" ht="22.5" customHeight="1">
      <c r="A750" s="8"/>
      <c r="B750" s="8"/>
      <c r="C750" s="16"/>
      <c r="D750" s="14"/>
      <c r="E750" s="14"/>
      <c r="F750" s="14"/>
      <c r="G750" s="14"/>
      <c r="H750" s="14"/>
    </row>
    <row r="751" ht="22.5" customHeight="1">
      <c r="A751" s="8"/>
      <c r="B751" s="8"/>
      <c r="C751" s="16"/>
      <c r="D751" s="14"/>
      <c r="E751" s="14"/>
      <c r="F751" s="14"/>
      <c r="G751" s="14"/>
      <c r="H751" s="14"/>
    </row>
    <row r="752" ht="22.5" customHeight="1">
      <c r="A752" s="8"/>
      <c r="B752" s="8"/>
      <c r="C752" s="16"/>
      <c r="D752" s="14"/>
      <c r="E752" s="14"/>
      <c r="F752" s="14"/>
      <c r="G752" s="14"/>
      <c r="H752" s="14"/>
    </row>
    <row r="753" ht="22.5" customHeight="1">
      <c r="A753" s="8"/>
      <c r="B753" s="8"/>
      <c r="C753" s="16"/>
      <c r="D753" s="14"/>
      <c r="E753" s="14"/>
      <c r="F753" s="14"/>
      <c r="G753" s="14"/>
      <c r="H753" s="14"/>
    </row>
    <row r="754" ht="22.5" customHeight="1">
      <c r="A754" s="8"/>
      <c r="B754" s="8"/>
      <c r="C754" s="16"/>
      <c r="D754" s="14"/>
      <c r="E754" s="14"/>
      <c r="F754" s="14"/>
      <c r="G754" s="14"/>
      <c r="H754" s="14"/>
    </row>
    <row r="755" ht="22.5" customHeight="1">
      <c r="A755" s="8"/>
      <c r="B755" s="8"/>
      <c r="C755" s="16"/>
      <c r="D755" s="14"/>
      <c r="E755" s="14"/>
      <c r="F755" s="14"/>
      <c r="G755" s="14"/>
      <c r="H755" s="14"/>
    </row>
    <row r="756" ht="22.5" customHeight="1">
      <c r="A756" s="8"/>
      <c r="B756" s="8"/>
      <c r="C756" s="16"/>
      <c r="D756" s="14"/>
      <c r="E756" s="14"/>
      <c r="F756" s="14"/>
      <c r="G756" s="14"/>
      <c r="H756" s="14"/>
    </row>
    <row r="757" ht="22.5" customHeight="1">
      <c r="A757" s="8"/>
      <c r="B757" s="8"/>
      <c r="C757" s="16"/>
      <c r="D757" s="14"/>
      <c r="E757" s="14"/>
      <c r="F757" s="14"/>
      <c r="G757" s="14"/>
      <c r="H757" s="14"/>
    </row>
    <row r="758" ht="22.5" customHeight="1">
      <c r="A758" s="8"/>
      <c r="B758" s="8"/>
      <c r="C758" s="16"/>
      <c r="D758" s="14"/>
      <c r="E758" s="14"/>
      <c r="F758" s="14"/>
      <c r="G758" s="14"/>
      <c r="H758" s="14"/>
    </row>
    <row r="759" ht="22.5" customHeight="1">
      <c r="A759" s="8"/>
      <c r="B759" s="8"/>
      <c r="C759" s="16"/>
      <c r="D759" s="14"/>
      <c r="E759" s="14"/>
      <c r="F759" s="14"/>
      <c r="G759" s="14"/>
      <c r="H759" s="14"/>
    </row>
    <row r="760" ht="22.5" customHeight="1">
      <c r="A760" s="8"/>
      <c r="B760" s="8"/>
      <c r="C760" s="16"/>
      <c r="D760" s="14"/>
      <c r="E760" s="14"/>
      <c r="F760" s="14"/>
      <c r="G760" s="14"/>
      <c r="H760" s="14"/>
    </row>
    <row r="761" ht="22.5" customHeight="1">
      <c r="A761" s="8"/>
      <c r="B761" s="8"/>
      <c r="C761" s="16"/>
      <c r="D761" s="14"/>
      <c r="E761" s="14"/>
      <c r="F761" s="14"/>
      <c r="G761" s="14"/>
      <c r="H761" s="14"/>
    </row>
    <row r="762" ht="22.5" customHeight="1">
      <c r="A762" s="8"/>
      <c r="B762" s="8"/>
      <c r="C762" s="16"/>
      <c r="D762" s="14"/>
      <c r="E762" s="14"/>
      <c r="F762" s="14"/>
      <c r="G762" s="14"/>
      <c r="H762" s="14"/>
    </row>
    <row r="763" ht="22.5" customHeight="1">
      <c r="A763" s="8"/>
      <c r="B763" s="8"/>
      <c r="C763" s="16"/>
      <c r="D763" s="14"/>
      <c r="E763" s="14"/>
      <c r="F763" s="14"/>
      <c r="G763" s="14"/>
      <c r="H763" s="14"/>
    </row>
    <row r="764" ht="22.5" customHeight="1">
      <c r="A764" s="8"/>
      <c r="B764" s="8"/>
      <c r="C764" s="16"/>
      <c r="D764" s="14"/>
      <c r="E764" s="14"/>
      <c r="F764" s="14"/>
      <c r="G764" s="14"/>
      <c r="H764" s="14"/>
    </row>
    <row r="765" ht="22.5" customHeight="1">
      <c r="A765" s="8"/>
      <c r="B765" s="8"/>
      <c r="C765" s="16"/>
      <c r="D765" s="14"/>
      <c r="E765" s="14"/>
      <c r="F765" s="14"/>
      <c r="G765" s="14"/>
      <c r="H765" s="14"/>
    </row>
    <row r="766" ht="22.5" customHeight="1">
      <c r="A766" s="8"/>
      <c r="B766" s="8"/>
      <c r="C766" s="16"/>
      <c r="D766" s="14"/>
      <c r="E766" s="14"/>
      <c r="F766" s="14"/>
      <c r="G766" s="14"/>
      <c r="H766" s="14"/>
    </row>
    <row r="767" ht="22.5" customHeight="1">
      <c r="A767" s="8"/>
      <c r="B767" s="8"/>
      <c r="C767" s="16"/>
      <c r="D767" s="14"/>
      <c r="E767" s="14"/>
      <c r="F767" s="14"/>
      <c r="G767" s="14"/>
      <c r="H767" s="14"/>
    </row>
    <row r="768" ht="22.5" customHeight="1">
      <c r="A768" s="8"/>
      <c r="B768" s="8"/>
      <c r="C768" s="16"/>
      <c r="D768" s="14"/>
      <c r="E768" s="14"/>
      <c r="F768" s="14"/>
      <c r="G768" s="14"/>
      <c r="H768" s="14"/>
    </row>
    <row r="769" ht="22.5" customHeight="1">
      <c r="A769" s="8"/>
      <c r="B769" s="8"/>
      <c r="C769" s="16"/>
      <c r="D769" s="14"/>
      <c r="E769" s="14"/>
      <c r="F769" s="14"/>
      <c r="G769" s="14"/>
      <c r="H769" s="14"/>
    </row>
    <row r="770" ht="22.5" customHeight="1">
      <c r="A770" s="8"/>
      <c r="B770" s="8"/>
      <c r="C770" s="16"/>
      <c r="D770" s="14"/>
      <c r="E770" s="14"/>
      <c r="F770" s="14"/>
      <c r="G770" s="14"/>
      <c r="H770" s="14"/>
    </row>
    <row r="771" ht="22.5" customHeight="1">
      <c r="A771" s="8"/>
      <c r="B771" s="8"/>
      <c r="C771" s="16"/>
      <c r="D771" s="14"/>
      <c r="E771" s="14"/>
      <c r="F771" s="14"/>
      <c r="G771" s="14"/>
      <c r="H771" s="14"/>
    </row>
    <row r="772" ht="22.5" customHeight="1">
      <c r="A772" s="8"/>
      <c r="B772" s="8"/>
      <c r="C772" s="16"/>
      <c r="D772" s="14"/>
      <c r="E772" s="14"/>
      <c r="F772" s="14"/>
      <c r="G772" s="14"/>
      <c r="H772" s="14"/>
    </row>
    <row r="773" ht="22.5" customHeight="1">
      <c r="A773" s="8"/>
      <c r="B773" s="8"/>
      <c r="C773" s="16"/>
      <c r="D773" s="14"/>
      <c r="E773" s="14"/>
      <c r="F773" s="14"/>
      <c r="G773" s="14"/>
      <c r="H773" s="14"/>
    </row>
    <row r="774" ht="22.5" customHeight="1">
      <c r="A774" s="8"/>
      <c r="B774" s="8"/>
      <c r="C774" s="16"/>
      <c r="D774" s="14"/>
      <c r="E774" s="14"/>
      <c r="F774" s="14"/>
      <c r="G774" s="14"/>
      <c r="H774" s="14"/>
    </row>
    <row r="775" ht="22.5" customHeight="1">
      <c r="A775" s="8"/>
      <c r="B775" s="8"/>
      <c r="C775" s="16"/>
      <c r="D775" s="14"/>
      <c r="E775" s="14"/>
      <c r="F775" s="14"/>
      <c r="G775" s="14"/>
      <c r="H775" s="14"/>
    </row>
    <row r="776" ht="22.5" customHeight="1">
      <c r="A776" s="8"/>
      <c r="B776" s="8"/>
      <c r="C776" s="16"/>
      <c r="D776" s="14"/>
      <c r="E776" s="14"/>
      <c r="F776" s="14"/>
      <c r="G776" s="14"/>
      <c r="H776" s="14"/>
    </row>
    <row r="777" ht="22.5" customHeight="1">
      <c r="A777" s="8"/>
      <c r="B777" s="8"/>
      <c r="C777" s="16"/>
      <c r="D777" s="14"/>
      <c r="E777" s="14"/>
      <c r="F777" s="14"/>
      <c r="G777" s="14"/>
      <c r="H777" s="14"/>
    </row>
    <row r="778" ht="22.5" customHeight="1">
      <c r="A778" s="8"/>
      <c r="B778" s="8"/>
      <c r="C778" s="16"/>
      <c r="D778" s="14"/>
      <c r="E778" s="14"/>
      <c r="F778" s="14"/>
      <c r="G778" s="14"/>
      <c r="H778" s="14"/>
    </row>
    <row r="779" ht="22.5" customHeight="1">
      <c r="A779" s="8"/>
      <c r="B779" s="8"/>
      <c r="C779" s="16"/>
      <c r="D779" s="14"/>
      <c r="E779" s="14"/>
      <c r="F779" s="14"/>
      <c r="G779" s="14"/>
      <c r="H779" s="14"/>
    </row>
    <row r="780" ht="22.5" customHeight="1">
      <c r="A780" s="8"/>
      <c r="B780" s="8"/>
      <c r="C780" s="16"/>
      <c r="D780" s="14"/>
      <c r="E780" s="14"/>
      <c r="F780" s="14"/>
      <c r="G780" s="14"/>
      <c r="H780" s="14"/>
    </row>
    <row r="781" ht="22.5" customHeight="1">
      <c r="A781" s="8"/>
      <c r="B781" s="8"/>
      <c r="C781" s="16"/>
      <c r="D781" s="14"/>
      <c r="E781" s="14"/>
      <c r="F781" s="14"/>
      <c r="G781" s="14"/>
      <c r="H781" s="14"/>
    </row>
    <row r="782" ht="22.5" customHeight="1">
      <c r="A782" s="8"/>
      <c r="B782" s="8"/>
      <c r="C782" s="16"/>
      <c r="D782" s="14"/>
      <c r="E782" s="14"/>
      <c r="F782" s="14"/>
      <c r="G782" s="14"/>
      <c r="H782" s="14"/>
    </row>
    <row r="783" ht="22.5" customHeight="1">
      <c r="A783" s="8"/>
      <c r="B783" s="8"/>
      <c r="C783" s="16"/>
      <c r="D783" s="14"/>
      <c r="E783" s="14"/>
      <c r="F783" s="14"/>
      <c r="G783" s="14"/>
      <c r="H783" s="14"/>
    </row>
    <row r="784" ht="22.5" customHeight="1">
      <c r="A784" s="8"/>
      <c r="B784" s="8"/>
      <c r="C784" s="16"/>
      <c r="D784" s="14"/>
      <c r="E784" s="14"/>
      <c r="F784" s="14"/>
      <c r="G784" s="14"/>
      <c r="H784" s="14"/>
    </row>
    <row r="785" ht="22.5" customHeight="1">
      <c r="A785" s="8"/>
      <c r="B785" s="8"/>
      <c r="C785" s="16"/>
      <c r="D785" s="14"/>
      <c r="E785" s="14"/>
      <c r="F785" s="14"/>
      <c r="G785" s="14"/>
      <c r="H785" s="14"/>
    </row>
    <row r="786" ht="22.5" customHeight="1">
      <c r="A786" s="8"/>
      <c r="B786" s="8"/>
      <c r="C786" s="16"/>
      <c r="D786" s="14"/>
      <c r="E786" s="14"/>
      <c r="F786" s="14"/>
      <c r="G786" s="14"/>
      <c r="H786" s="14"/>
    </row>
    <row r="787" ht="22.5" customHeight="1">
      <c r="A787" s="8"/>
      <c r="B787" s="8"/>
      <c r="C787" s="16"/>
      <c r="D787" s="14"/>
      <c r="E787" s="14"/>
      <c r="F787" s="14"/>
      <c r="G787" s="14"/>
      <c r="H787" s="14"/>
    </row>
    <row r="788" ht="22.5" customHeight="1">
      <c r="A788" s="8"/>
      <c r="B788" s="8"/>
      <c r="C788" s="16"/>
      <c r="D788" s="14"/>
      <c r="E788" s="14"/>
      <c r="F788" s="14"/>
      <c r="G788" s="14"/>
      <c r="H788" s="14"/>
    </row>
    <row r="789" ht="22.5" customHeight="1">
      <c r="A789" s="8"/>
      <c r="B789" s="8"/>
      <c r="C789" s="16"/>
      <c r="D789" s="14"/>
      <c r="E789" s="14"/>
      <c r="F789" s="14"/>
      <c r="G789" s="14"/>
      <c r="H789" s="14"/>
    </row>
    <row r="790" ht="22.5" customHeight="1">
      <c r="A790" s="8"/>
      <c r="B790" s="8"/>
      <c r="C790" s="16"/>
      <c r="D790" s="14"/>
      <c r="E790" s="14"/>
      <c r="F790" s="14"/>
      <c r="G790" s="14"/>
      <c r="H790" s="14"/>
    </row>
    <row r="791" ht="22.5" customHeight="1">
      <c r="A791" s="8"/>
      <c r="B791" s="8"/>
      <c r="C791" s="16"/>
      <c r="D791" s="14"/>
      <c r="E791" s="14"/>
      <c r="F791" s="14"/>
      <c r="G791" s="14"/>
      <c r="H791" s="14"/>
    </row>
    <row r="792" ht="22.5" customHeight="1">
      <c r="A792" s="8"/>
      <c r="B792" s="8"/>
      <c r="C792" s="16"/>
      <c r="D792" s="14"/>
      <c r="E792" s="14"/>
      <c r="F792" s="14"/>
      <c r="G792" s="14"/>
      <c r="H792" s="14"/>
    </row>
    <row r="793" ht="22.5" customHeight="1">
      <c r="A793" s="8"/>
      <c r="B793" s="8"/>
      <c r="C793" s="16"/>
      <c r="D793" s="14"/>
      <c r="E793" s="14"/>
      <c r="F793" s="14"/>
      <c r="G793" s="14"/>
      <c r="H793" s="14"/>
    </row>
    <row r="794" ht="22.5" customHeight="1">
      <c r="A794" s="8"/>
      <c r="B794" s="8"/>
      <c r="C794" s="16"/>
      <c r="D794" s="14"/>
      <c r="E794" s="14"/>
      <c r="F794" s="14"/>
      <c r="G794" s="14"/>
      <c r="H794" s="14"/>
    </row>
    <row r="795" ht="22.5" customHeight="1">
      <c r="A795" s="8"/>
      <c r="B795" s="8"/>
      <c r="C795" s="16"/>
      <c r="D795" s="14"/>
      <c r="E795" s="14"/>
      <c r="F795" s="14"/>
      <c r="G795" s="14"/>
      <c r="H795" s="14"/>
    </row>
    <row r="796" ht="22.5" customHeight="1">
      <c r="A796" s="8"/>
      <c r="B796" s="8"/>
      <c r="C796" s="16"/>
      <c r="D796" s="14"/>
      <c r="E796" s="14"/>
      <c r="F796" s="14"/>
      <c r="G796" s="14"/>
      <c r="H796" s="14"/>
    </row>
    <row r="797" ht="22.5" customHeight="1">
      <c r="A797" s="8"/>
      <c r="B797" s="8"/>
      <c r="C797" s="16"/>
      <c r="D797" s="14"/>
      <c r="E797" s="14"/>
      <c r="F797" s="14"/>
      <c r="G797" s="14"/>
      <c r="H797" s="14"/>
    </row>
    <row r="798" ht="22.5" customHeight="1">
      <c r="A798" s="8"/>
      <c r="B798" s="8"/>
      <c r="C798" s="16"/>
      <c r="D798" s="14"/>
      <c r="E798" s="14"/>
      <c r="F798" s="14"/>
      <c r="G798" s="14"/>
      <c r="H798" s="14"/>
    </row>
    <row r="799" ht="22.5" customHeight="1">
      <c r="A799" s="8"/>
      <c r="B799" s="8"/>
      <c r="C799" s="16"/>
      <c r="D799" s="14"/>
      <c r="E799" s="14"/>
      <c r="F799" s="14"/>
      <c r="G799" s="14"/>
      <c r="H799" s="14"/>
    </row>
    <row r="800" ht="22.5" customHeight="1">
      <c r="A800" s="8"/>
      <c r="B800" s="8"/>
      <c r="C800" s="16"/>
      <c r="D800" s="14"/>
      <c r="E800" s="14"/>
      <c r="F800" s="14"/>
      <c r="G800" s="14"/>
      <c r="H800" s="14"/>
    </row>
    <row r="801" ht="22.5" customHeight="1">
      <c r="A801" s="8"/>
      <c r="B801" s="8"/>
      <c r="C801" s="16"/>
      <c r="D801" s="14"/>
      <c r="E801" s="14"/>
      <c r="F801" s="14"/>
      <c r="G801" s="14"/>
      <c r="H801" s="14"/>
    </row>
    <row r="802" ht="22.5" customHeight="1">
      <c r="A802" s="8"/>
      <c r="B802" s="8"/>
      <c r="C802" s="16"/>
      <c r="D802" s="14"/>
      <c r="E802" s="14"/>
      <c r="F802" s="14"/>
      <c r="G802" s="14"/>
      <c r="H802" s="14"/>
    </row>
    <row r="803" ht="22.5" customHeight="1">
      <c r="A803" s="8"/>
      <c r="B803" s="8"/>
      <c r="C803" s="16"/>
      <c r="D803" s="14"/>
      <c r="E803" s="14"/>
      <c r="F803" s="14"/>
      <c r="G803" s="14"/>
      <c r="H803" s="14"/>
    </row>
    <row r="804" ht="22.5" customHeight="1">
      <c r="A804" s="8"/>
      <c r="B804" s="8"/>
      <c r="C804" s="16"/>
      <c r="D804" s="14"/>
      <c r="E804" s="14"/>
      <c r="F804" s="14"/>
      <c r="G804" s="14"/>
      <c r="H804" s="14"/>
    </row>
    <row r="805" ht="22.5" customHeight="1">
      <c r="A805" s="8"/>
      <c r="B805" s="8"/>
      <c r="C805" s="16"/>
      <c r="D805" s="14"/>
      <c r="E805" s="14"/>
      <c r="F805" s="14"/>
      <c r="G805" s="14"/>
      <c r="H805" s="14"/>
    </row>
    <row r="806" ht="22.5" customHeight="1">
      <c r="A806" s="8"/>
      <c r="B806" s="8"/>
      <c r="C806" s="16"/>
      <c r="D806" s="14"/>
      <c r="E806" s="14"/>
      <c r="F806" s="14"/>
      <c r="G806" s="14"/>
      <c r="H806" s="14"/>
    </row>
    <row r="807" ht="22.5" customHeight="1">
      <c r="A807" s="8"/>
      <c r="B807" s="8"/>
      <c r="C807" s="16"/>
      <c r="D807" s="14"/>
      <c r="E807" s="14"/>
      <c r="F807" s="14"/>
      <c r="G807" s="14"/>
      <c r="H807" s="14"/>
    </row>
    <row r="808" ht="22.5" customHeight="1">
      <c r="A808" s="8"/>
      <c r="B808" s="8"/>
      <c r="C808" s="16"/>
      <c r="D808" s="14"/>
      <c r="E808" s="14"/>
      <c r="F808" s="14"/>
      <c r="G808" s="14"/>
      <c r="H808" s="14"/>
    </row>
    <row r="809" ht="22.5" customHeight="1">
      <c r="A809" s="8"/>
      <c r="B809" s="8"/>
      <c r="C809" s="16"/>
      <c r="D809" s="14"/>
      <c r="E809" s="14"/>
      <c r="F809" s="14"/>
      <c r="G809" s="14"/>
      <c r="H809" s="14"/>
    </row>
    <row r="810" ht="22.5" customHeight="1">
      <c r="A810" s="8"/>
      <c r="B810" s="8"/>
      <c r="C810" s="16"/>
      <c r="D810" s="14"/>
      <c r="E810" s="14"/>
      <c r="F810" s="14"/>
      <c r="G810" s="14"/>
      <c r="H810" s="14"/>
    </row>
    <row r="811" ht="22.5" customHeight="1">
      <c r="A811" s="8"/>
      <c r="B811" s="8"/>
      <c r="C811" s="16"/>
      <c r="D811" s="14"/>
      <c r="E811" s="14"/>
      <c r="F811" s="14"/>
      <c r="G811" s="14"/>
      <c r="H811" s="14"/>
    </row>
    <row r="812" ht="22.5" customHeight="1">
      <c r="A812" s="8"/>
      <c r="B812" s="8"/>
      <c r="C812" s="16"/>
      <c r="D812" s="14"/>
      <c r="E812" s="14"/>
      <c r="F812" s="14"/>
      <c r="G812" s="14"/>
      <c r="H812" s="14"/>
    </row>
    <row r="813" ht="22.5" customHeight="1">
      <c r="A813" s="8"/>
      <c r="B813" s="8"/>
      <c r="C813" s="16"/>
      <c r="D813" s="14"/>
      <c r="E813" s="14"/>
      <c r="F813" s="14"/>
      <c r="G813" s="14"/>
      <c r="H813" s="14"/>
    </row>
    <row r="814" ht="22.5" customHeight="1">
      <c r="A814" s="8"/>
      <c r="B814" s="8"/>
      <c r="C814" s="16"/>
      <c r="D814" s="14"/>
      <c r="E814" s="14"/>
      <c r="F814" s="14"/>
      <c r="G814" s="14"/>
      <c r="H814" s="14"/>
    </row>
    <row r="815" ht="22.5" customHeight="1">
      <c r="A815" s="8"/>
      <c r="B815" s="8"/>
      <c r="C815" s="16"/>
      <c r="D815" s="14"/>
      <c r="E815" s="14"/>
      <c r="F815" s="14"/>
      <c r="G815" s="14"/>
      <c r="H815" s="14"/>
    </row>
    <row r="816" ht="22.5" customHeight="1">
      <c r="A816" s="8"/>
      <c r="B816" s="8"/>
      <c r="C816" s="16"/>
      <c r="D816" s="14"/>
      <c r="E816" s="14"/>
      <c r="F816" s="14"/>
      <c r="G816" s="14"/>
      <c r="H816" s="14"/>
    </row>
    <row r="817" ht="22.5" customHeight="1">
      <c r="A817" s="8"/>
      <c r="B817" s="8"/>
      <c r="C817" s="16"/>
      <c r="D817" s="14"/>
      <c r="E817" s="14"/>
      <c r="F817" s="14"/>
      <c r="G817" s="14"/>
      <c r="H817" s="14"/>
    </row>
    <row r="818" ht="22.5" customHeight="1">
      <c r="A818" s="8"/>
      <c r="B818" s="8"/>
      <c r="C818" s="16"/>
      <c r="D818" s="14"/>
      <c r="E818" s="14"/>
      <c r="F818" s="14"/>
      <c r="G818" s="14"/>
      <c r="H818" s="14"/>
    </row>
    <row r="819" ht="22.5" customHeight="1">
      <c r="A819" s="8"/>
      <c r="B819" s="8"/>
      <c r="C819" s="16"/>
      <c r="D819" s="14"/>
      <c r="E819" s="14"/>
      <c r="F819" s="14"/>
      <c r="G819" s="14"/>
      <c r="H819" s="14"/>
    </row>
    <row r="820" ht="22.5" customHeight="1">
      <c r="A820" s="8"/>
      <c r="B820" s="8"/>
      <c r="C820" s="16"/>
      <c r="D820" s="14"/>
      <c r="E820" s="14"/>
      <c r="F820" s="14"/>
      <c r="G820" s="14"/>
      <c r="H820" s="14"/>
    </row>
    <row r="821" ht="22.5" customHeight="1">
      <c r="A821" s="8"/>
      <c r="B821" s="8"/>
      <c r="C821" s="16"/>
      <c r="D821" s="14"/>
      <c r="E821" s="14"/>
      <c r="F821" s="14"/>
      <c r="G821" s="14"/>
      <c r="H821" s="14"/>
    </row>
    <row r="822" ht="22.5" customHeight="1">
      <c r="A822" s="8"/>
      <c r="B822" s="8"/>
      <c r="C822" s="16"/>
      <c r="D822" s="14"/>
      <c r="E822" s="14"/>
      <c r="F822" s="14"/>
      <c r="G822" s="14"/>
      <c r="H822" s="14"/>
    </row>
    <row r="823" ht="22.5" customHeight="1">
      <c r="A823" s="8"/>
      <c r="B823" s="8"/>
      <c r="C823" s="16"/>
      <c r="D823" s="14"/>
      <c r="E823" s="14"/>
      <c r="F823" s="14"/>
      <c r="G823" s="14"/>
      <c r="H823" s="14"/>
    </row>
    <row r="824" ht="22.5" customHeight="1">
      <c r="A824" s="8"/>
      <c r="B824" s="8"/>
      <c r="C824" s="16"/>
      <c r="D824" s="14"/>
      <c r="E824" s="14"/>
      <c r="F824" s="14"/>
      <c r="G824" s="14"/>
      <c r="H824" s="14"/>
    </row>
    <row r="825" ht="22.5" customHeight="1">
      <c r="A825" s="8"/>
      <c r="B825" s="8"/>
      <c r="C825" s="16"/>
      <c r="D825" s="14"/>
      <c r="E825" s="14"/>
      <c r="F825" s="14"/>
      <c r="G825" s="14"/>
      <c r="H825" s="14"/>
    </row>
    <row r="826" ht="22.5" customHeight="1">
      <c r="A826" s="8"/>
      <c r="B826" s="8"/>
      <c r="C826" s="16"/>
      <c r="D826" s="14"/>
      <c r="E826" s="14"/>
      <c r="F826" s="14"/>
      <c r="G826" s="14"/>
      <c r="H826" s="14"/>
    </row>
    <row r="827" ht="22.5" customHeight="1">
      <c r="A827" s="8"/>
      <c r="B827" s="8"/>
      <c r="C827" s="16"/>
      <c r="D827" s="14"/>
      <c r="E827" s="14"/>
      <c r="F827" s="14"/>
      <c r="G827" s="14"/>
      <c r="H827" s="14"/>
    </row>
    <row r="828" ht="22.5" customHeight="1">
      <c r="A828" s="8"/>
      <c r="B828" s="8"/>
      <c r="C828" s="16"/>
      <c r="D828" s="14"/>
      <c r="E828" s="14"/>
      <c r="F828" s="14"/>
      <c r="G828" s="14"/>
      <c r="H828" s="14"/>
    </row>
    <row r="829" ht="22.5" customHeight="1">
      <c r="A829" s="8"/>
      <c r="B829" s="8"/>
      <c r="C829" s="16"/>
      <c r="D829" s="14"/>
      <c r="E829" s="14"/>
      <c r="F829" s="14"/>
      <c r="G829" s="14"/>
      <c r="H829" s="14"/>
    </row>
    <row r="830" ht="22.5" customHeight="1">
      <c r="A830" s="8"/>
      <c r="B830" s="8"/>
      <c r="C830" s="16"/>
      <c r="D830" s="14"/>
      <c r="E830" s="14"/>
      <c r="F830" s="14"/>
      <c r="G830" s="14"/>
      <c r="H830" s="14"/>
    </row>
    <row r="831" ht="22.5" customHeight="1">
      <c r="A831" s="8"/>
      <c r="B831" s="8"/>
      <c r="C831" s="16"/>
      <c r="D831" s="14"/>
      <c r="E831" s="14"/>
      <c r="F831" s="14"/>
      <c r="G831" s="14"/>
      <c r="H831" s="14"/>
    </row>
    <row r="832" ht="22.5" customHeight="1">
      <c r="A832" s="8"/>
      <c r="B832" s="8"/>
      <c r="C832" s="16"/>
      <c r="D832" s="14"/>
      <c r="E832" s="14"/>
      <c r="F832" s="14"/>
      <c r="G832" s="14"/>
      <c r="H832" s="14"/>
    </row>
    <row r="833" ht="22.5" customHeight="1">
      <c r="A833" s="8"/>
      <c r="B833" s="8"/>
      <c r="C833" s="16"/>
      <c r="D833" s="14"/>
      <c r="E833" s="14"/>
      <c r="F833" s="14"/>
      <c r="G833" s="14"/>
      <c r="H833" s="14"/>
    </row>
    <row r="834" ht="22.5" customHeight="1">
      <c r="A834" s="8"/>
      <c r="B834" s="8"/>
      <c r="C834" s="16"/>
      <c r="D834" s="14"/>
      <c r="E834" s="14"/>
      <c r="F834" s="14"/>
      <c r="G834" s="14"/>
      <c r="H834" s="14"/>
    </row>
    <row r="835" ht="22.5" customHeight="1">
      <c r="A835" s="8"/>
      <c r="B835" s="8"/>
      <c r="C835" s="16"/>
      <c r="D835" s="14"/>
      <c r="E835" s="14"/>
      <c r="F835" s="14"/>
      <c r="G835" s="14"/>
      <c r="H835" s="14"/>
    </row>
    <row r="836" ht="22.5" customHeight="1">
      <c r="A836" s="8"/>
      <c r="B836" s="8"/>
      <c r="C836" s="16"/>
      <c r="D836" s="14"/>
      <c r="E836" s="14"/>
      <c r="F836" s="14"/>
      <c r="G836" s="14"/>
      <c r="H836" s="14"/>
    </row>
    <row r="837" ht="22.5" customHeight="1">
      <c r="A837" s="8"/>
      <c r="B837" s="8"/>
      <c r="C837" s="16"/>
      <c r="D837" s="14"/>
      <c r="E837" s="14"/>
      <c r="F837" s="14"/>
      <c r="G837" s="14"/>
      <c r="H837" s="14"/>
    </row>
    <row r="838" ht="22.5" customHeight="1">
      <c r="A838" s="8"/>
      <c r="B838" s="8"/>
      <c r="C838" s="16"/>
      <c r="D838" s="14"/>
      <c r="E838" s="14"/>
      <c r="F838" s="14"/>
      <c r="G838" s="14"/>
      <c r="H838" s="14"/>
    </row>
    <row r="839" ht="22.5" customHeight="1">
      <c r="A839" s="8"/>
      <c r="B839" s="8"/>
      <c r="C839" s="16"/>
      <c r="D839" s="14"/>
      <c r="E839" s="14"/>
      <c r="F839" s="14"/>
      <c r="G839" s="14"/>
      <c r="H839" s="14"/>
    </row>
    <row r="840" ht="22.5" customHeight="1">
      <c r="A840" s="8"/>
      <c r="B840" s="8"/>
      <c r="C840" s="16"/>
      <c r="D840" s="14"/>
      <c r="E840" s="14"/>
      <c r="F840" s="14"/>
      <c r="G840" s="14"/>
      <c r="H840" s="14"/>
    </row>
    <row r="841" ht="22.5" customHeight="1">
      <c r="A841" s="8"/>
      <c r="B841" s="8"/>
      <c r="C841" s="16"/>
      <c r="D841" s="14"/>
      <c r="E841" s="14"/>
      <c r="F841" s="14"/>
      <c r="G841" s="14"/>
      <c r="H841" s="14"/>
    </row>
    <row r="842" ht="22.5" customHeight="1">
      <c r="A842" s="8"/>
      <c r="B842" s="8"/>
      <c r="C842" s="16"/>
      <c r="D842" s="14"/>
      <c r="E842" s="14"/>
      <c r="F842" s="14"/>
      <c r="G842" s="14"/>
      <c r="H842" s="14"/>
    </row>
    <row r="843" ht="22.5" customHeight="1">
      <c r="A843" s="8"/>
      <c r="B843" s="8"/>
      <c r="C843" s="16"/>
      <c r="D843" s="14"/>
      <c r="E843" s="14"/>
      <c r="F843" s="14"/>
      <c r="G843" s="14"/>
      <c r="H843" s="14"/>
    </row>
    <row r="844" ht="22.5" customHeight="1">
      <c r="A844" s="8"/>
      <c r="B844" s="8"/>
      <c r="C844" s="16"/>
      <c r="D844" s="14"/>
      <c r="E844" s="14"/>
      <c r="F844" s="14"/>
      <c r="G844" s="14"/>
      <c r="H844" s="14"/>
    </row>
    <row r="845" ht="22.5" customHeight="1">
      <c r="A845" s="8"/>
      <c r="B845" s="8"/>
      <c r="C845" s="16"/>
      <c r="D845" s="14"/>
      <c r="E845" s="14"/>
      <c r="F845" s="14"/>
      <c r="G845" s="14"/>
      <c r="H845" s="14"/>
    </row>
    <row r="846" ht="22.5" customHeight="1">
      <c r="A846" s="8"/>
      <c r="B846" s="8"/>
      <c r="C846" s="16"/>
      <c r="D846" s="14"/>
      <c r="E846" s="14"/>
      <c r="F846" s="14"/>
      <c r="G846" s="14"/>
      <c r="H846" s="14"/>
    </row>
    <row r="847" ht="22.5" customHeight="1">
      <c r="A847" s="8"/>
      <c r="B847" s="8"/>
      <c r="C847" s="16"/>
      <c r="D847" s="14"/>
      <c r="E847" s="14"/>
      <c r="F847" s="14"/>
      <c r="G847" s="14"/>
      <c r="H847" s="14"/>
    </row>
    <row r="848" ht="22.5" customHeight="1">
      <c r="A848" s="8"/>
      <c r="B848" s="8"/>
      <c r="C848" s="16"/>
      <c r="D848" s="14"/>
      <c r="E848" s="14"/>
      <c r="F848" s="14"/>
      <c r="G848" s="14"/>
      <c r="H848" s="14"/>
    </row>
    <row r="849" ht="22.5" customHeight="1">
      <c r="A849" s="8"/>
      <c r="B849" s="8"/>
      <c r="C849" s="16"/>
      <c r="D849" s="14"/>
      <c r="E849" s="14"/>
      <c r="F849" s="14"/>
      <c r="G849" s="14"/>
      <c r="H849" s="14"/>
    </row>
    <row r="850" ht="22.5" customHeight="1">
      <c r="A850" s="8"/>
      <c r="B850" s="8"/>
      <c r="C850" s="16"/>
      <c r="D850" s="14"/>
      <c r="E850" s="14"/>
      <c r="F850" s="14"/>
      <c r="G850" s="14"/>
      <c r="H850" s="14"/>
    </row>
    <row r="851" ht="22.5" customHeight="1">
      <c r="A851" s="8"/>
      <c r="B851" s="8"/>
      <c r="C851" s="16"/>
      <c r="D851" s="14"/>
      <c r="E851" s="14"/>
      <c r="F851" s="14"/>
      <c r="G851" s="14"/>
      <c r="H851" s="14"/>
    </row>
    <row r="852" ht="22.5" customHeight="1">
      <c r="A852" s="8"/>
      <c r="B852" s="8"/>
      <c r="C852" s="16"/>
      <c r="D852" s="14"/>
      <c r="E852" s="14"/>
      <c r="F852" s="14"/>
      <c r="G852" s="14"/>
      <c r="H852" s="14"/>
    </row>
    <row r="853" ht="22.5" customHeight="1">
      <c r="A853" s="8"/>
      <c r="B853" s="8"/>
      <c r="C853" s="16"/>
      <c r="D853" s="14"/>
      <c r="E853" s="14"/>
      <c r="F853" s="14"/>
      <c r="G853" s="14"/>
      <c r="H853" s="14"/>
    </row>
    <row r="854" ht="22.5" customHeight="1">
      <c r="A854" s="8"/>
      <c r="B854" s="8"/>
      <c r="C854" s="16"/>
      <c r="D854" s="14"/>
      <c r="E854" s="14"/>
      <c r="F854" s="14"/>
      <c r="G854" s="14"/>
      <c r="H854" s="14"/>
    </row>
    <row r="855" ht="22.5" customHeight="1">
      <c r="A855" s="8"/>
      <c r="B855" s="8"/>
      <c r="C855" s="16"/>
      <c r="D855" s="14"/>
      <c r="E855" s="14"/>
      <c r="F855" s="14"/>
      <c r="G855" s="14"/>
      <c r="H855" s="14"/>
    </row>
    <row r="856" ht="22.5" customHeight="1">
      <c r="A856" s="8"/>
      <c r="B856" s="8"/>
      <c r="C856" s="16"/>
      <c r="D856" s="14"/>
      <c r="E856" s="14"/>
      <c r="F856" s="14"/>
      <c r="G856" s="14"/>
      <c r="H856" s="14"/>
    </row>
    <row r="857" ht="22.5" customHeight="1">
      <c r="A857" s="8"/>
      <c r="B857" s="8"/>
      <c r="C857" s="16"/>
      <c r="D857" s="14"/>
      <c r="E857" s="14"/>
      <c r="F857" s="14"/>
      <c r="G857" s="14"/>
      <c r="H857" s="14"/>
    </row>
    <row r="858" ht="22.5" customHeight="1">
      <c r="A858" s="8"/>
      <c r="B858" s="8"/>
      <c r="C858" s="16"/>
      <c r="D858" s="14"/>
      <c r="E858" s="14"/>
      <c r="F858" s="14"/>
      <c r="G858" s="14"/>
      <c r="H858" s="14"/>
    </row>
    <row r="859" ht="22.5" customHeight="1">
      <c r="A859" s="8"/>
      <c r="B859" s="8"/>
      <c r="C859" s="16"/>
      <c r="D859" s="14"/>
      <c r="E859" s="14"/>
      <c r="F859" s="14"/>
      <c r="G859" s="14"/>
      <c r="H859" s="14"/>
    </row>
    <row r="860" ht="22.5" customHeight="1">
      <c r="A860" s="8"/>
      <c r="B860" s="8"/>
      <c r="C860" s="16"/>
      <c r="D860" s="14"/>
      <c r="E860" s="14"/>
      <c r="F860" s="14"/>
      <c r="G860" s="14"/>
      <c r="H860" s="14"/>
    </row>
    <row r="861" ht="22.5" customHeight="1">
      <c r="A861" s="8"/>
      <c r="B861" s="8"/>
      <c r="C861" s="16"/>
      <c r="D861" s="14"/>
      <c r="E861" s="14"/>
      <c r="F861" s="14"/>
      <c r="G861" s="14"/>
      <c r="H861" s="14"/>
    </row>
    <row r="862" ht="22.5" customHeight="1">
      <c r="A862" s="8"/>
      <c r="B862" s="8"/>
      <c r="C862" s="16"/>
      <c r="D862" s="14"/>
      <c r="E862" s="14"/>
      <c r="F862" s="14"/>
      <c r="G862" s="14"/>
      <c r="H862" s="14"/>
    </row>
    <row r="863" ht="22.5" customHeight="1">
      <c r="A863" s="8"/>
      <c r="B863" s="8"/>
      <c r="C863" s="16"/>
      <c r="D863" s="14"/>
      <c r="E863" s="14"/>
      <c r="F863" s="14"/>
      <c r="G863" s="14"/>
      <c r="H863" s="14"/>
    </row>
    <row r="864" ht="22.5" customHeight="1">
      <c r="A864" s="8"/>
      <c r="B864" s="8"/>
      <c r="C864" s="16"/>
      <c r="D864" s="14"/>
      <c r="E864" s="14"/>
      <c r="F864" s="14"/>
      <c r="G864" s="14"/>
      <c r="H864" s="14"/>
    </row>
    <row r="865" ht="22.5" customHeight="1">
      <c r="A865" s="8"/>
      <c r="B865" s="8"/>
      <c r="C865" s="16"/>
      <c r="D865" s="14"/>
      <c r="E865" s="14"/>
      <c r="F865" s="14"/>
      <c r="G865" s="14"/>
      <c r="H865" s="14"/>
    </row>
    <row r="866" ht="22.5" customHeight="1">
      <c r="A866" s="8"/>
      <c r="B866" s="8"/>
      <c r="C866" s="16"/>
      <c r="D866" s="14"/>
      <c r="E866" s="14"/>
      <c r="F866" s="14"/>
      <c r="G866" s="14"/>
      <c r="H866" s="14"/>
    </row>
    <row r="867" ht="22.5" customHeight="1">
      <c r="A867" s="8"/>
      <c r="B867" s="8"/>
      <c r="C867" s="16"/>
      <c r="D867" s="14"/>
      <c r="E867" s="14"/>
      <c r="F867" s="14"/>
      <c r="G867" s="14"/>
      <c r="H867" s="14"/>
    </row>
    <row r="868" ht="22.5" customHeight="1">
      <c r="A868" s="8"/>
      <c r="B868" s="8"/>
      <c r="C868" s="16"/>
      <c r="D868" s="14"/>
      <c r="E868" s="14"/>
      <c r="F868" s="14"/>
      <c r="G868" s="14"/>
      <c r="H868" s="14"/>
    </row>
    <row r="869" ht="22.5" customHeight="1">
      <c r="A869" s="8"/>
      <c r="B869" s="8"/>
      <c r="C869" s="16"/>
      <c r="D869" s="14"/>
      <c r="E869" s="14"/>
      <c r="F869" s="14"/>
      <c r="G869" s="14"/>
      <c r="H869" s="14"/>
    </row>
    <row r="870" ht="22.5" customHeight="1">
      <c r="A870" s="8"/>
      <c r="B870" s="8"/>
      <c r="C870" s="16"/>
      <c r="D870" s="14"/>
      <c r="E870" s="14"/>
      <c r="F870" s="14"/>
      <c r="G870" s="14"/>
      <c r="H870" s="14"/>
    </row>
    <row r="871" ht="22.5" customHeight="1">
      <c r="A871" s="8"/>
      <c r="B871" s="8"/>
      <c r="C871" s="16"/>
      <c r="D871" s="14"/>
      <c r="E871" s="14"/>
      <c r="F871" s="14"/>
      <c r="G871" s="14"/>
      <c r="H871" s="14"/>
    </row>
    <row r="872" ht="22.5" customHeight="1">
      <c r="A872" s="8"/>
      <c r="B872" s="8"/>
      <c r="C872" s="16"/>
      <c r="D872" s="14"/>
      <c r="E872" s="14"/>
      <c r="F872" s="14"/>
      <c r="G872" s="14"/>
      <c r="H872" s="14"/>
    </row>
    <row r="873" ht="22.5" customHeight="1">
      <c r="A873" s="8"/>
      <c r="B873" s="8"/>
      <c r="C873" s="16"/>
      <c r="D873" s="14"/>
      <c r="E873" s="14"/>
      <c r="F873" s="14"/>
      <c r="G873" s="14"/>
      <c r="H873" s="14"/>
    </row>
    <row r="874" ht="22.5" customHeight="1">
      <c r="A874" s="8"/>
      <c r="B874" s="8"/>
      <c r="C874" s="16"/>
      <c r="D874" s="14"/>
      <c r="E874" s="14"/>
      <c r="F874" s="14"/>
      <c r="G874" s="14"/>
      <c r="H874" s="14"/>
    </row>
    <row r="875" ht="22.5" customHeight="1">
      <c r="A875" s="8"/>
      <c r="B875" s="8"/>
      <c r="C875" s="16"/>
      <c r="D875" s="14"/>
      <c r="E875" s="14"/>
      <c r="F875" s="14"/>
      <c r="G875" s="14"/>
      <c r="H875" s="14"/>
    </row>
    <row r="876" ht="22.5" customHeight="1">
      <c r="A876" s="8"/>
      <c r="B876" s="8"/>
      <c r="C876" s="16"/>
      <c r="D876" s="14"/>
      <c r="E876" s="14"/>
      <c r="F876" s="14"/>
      <c r="G876" s="14"/>
      <c r="H876" s="14"/>
    </row>
    <row r="877" ht="22.5" customHeight="1">
      <c r="A877" s="8"/>
      <c r="B877" s="8"/>
      <c r="C877" s="16"/>
      <c r="D877" s="14"/>
      <c r="E877" s="14"/>
      <c r="F877" s="14"/>
      <c r="G877" s="14"/>
      <c r="H877" s="14"/>
    </row>
    <row r="878" ht="22.5" customHeight="1">
      <c r="A878" s="8"/>
      <c r="B878" s="8"/>
      <c r="C878" s="16"/>
      <c r="D878" s="14"/>
      <c r="E878" s="14"/>
      <c r="F878" s="14"/>
      <c r="G878" s="14"/>
      <c r="H878" s="14"/>
    </row>
    <row r="879" ht="22.5" customHeight="1">
      <c r="A879" s="8"/>
      <c r="B879" s="8"/>
      <c r="C879" s="16"/>
      <c r="D879" s="14"/>
      <c r="E879" s="14"/>
      <c r="F879" s="14"/>
      <c r="G879" s="14"/>
      <c r="H879" s="14"/>
    </row>
    <row r="880" ht="22.5" customHeight="1">
      <c r="A880" s="8"/>
      <c r="B880" s="8"/>
      <c r="C880" s="16"/>
      <c r="D880" s="14"/>
      <c r="E880" s="14"/>
      <c r="F880" s="14"/>
      <c r="G880" s="14"/>
      <c r="H880" s="14"/>
    </row>
    <row r="881" ht="22.5" customHeight="1">
      <c r="A881" s="8"/>
      <c r="B881" s="8"/>
      <c r="C881" s="16"/>
      <c r="D881" s="14"/>
      <c r="E881" s="14"/>
      <c r="F881" s="14"/>
      <c r="G881" s="14"/>
      <c r="H881" s="14"/>
    </row>
    <row r="882" ht="22.5" customHeight="1">
      <c r="A882" s="8"/>
      <c r="B882" s="8"/>
      <c r="C882" s="16"/>
      <c r="D882" s="14"/>
      <c r="E882" s="14"/>
      <c r="F882" s="14"/>
      <c r="G882" s="14"/>
      <c r="H882" s="14"/>
    </row>
    <row r="883" ht="22.5" customHeight="1">
      <c r="A883" s="8"/>
      <c r="B883" s="8"/>
      <c r="C883" s="16"/>
      <c r="D883" s="14"/>
      <c r="E883" s="14"/>
      <c r="F883" s="14"/>
      <c r="G883" s="14"/>
      <c r="H883" s="14"/>
    </row>
    <row r="884" ht="22.5" customHeight="1">
      <c r="A884" s="8"/>
      <c r="B884" s="8"/>
      <c r="C884" s="16"/>
      <c r="D884" s="14"/>
      <c r="E884" s="14"/>
      <c r="F884" s="14"/>
      <c r="G884" s="14"/>
      <c r="H884" s="14"/>
    </row>
    <row r="885" ht="22.5" customHeight="1">
      <c r="A885" s="8"/>
      <c r="B885" s="8"/>
      <c r="C885" s="16"/>
      <c r="D885" s="14"/>
      <c r="E885" s="14"/>
      <c r="F885" s="14"/>
      <c r="G885" s="14"/>
      <c r="H885" s="14"/>
    </row>
    <row r="886" ht="22.5" customHeight="1">
      <c r="A886" s="8"/>
      <c r="B886" s="8"/>
      <c r="C886" s="16"/>
      <c r="D886" s="14"/>
      <c r="E886" s="14"/>
      <c r="F886" s="14"/>
      <c r="G886" s="14"/>
      <c r="H886" s="14"/>
    </row>
    <row r="887" ht="22.5" customHeight="1">
      <c r="A887" s="8"/>
      <c r="B887" s="8"/>
      <c r="C887" s="16"/>
      <c r="D887" s="14"/>
      <c r="E887" s="14"/>
      <c r="F887" s="14"/>
      <c r="G887" s="14"/>
      <c r="H887" s="14"/>
    </row>
    <row r="888" ht="22.5" customHeight="1">
      <c r="A888" s="8"/>
      <c r="B888" s="8"/>
      <c r="C888" s="16"/>
      <c r="D888" s="14"/>
      <c r="E888" s="14"/>
      <c r="F888" s="14"/>
      <c r="G888" s="14"/>
      <c r="H888" s="14"/>
    </row>
    <row r="889" ht="22.5" customHeight="1">
      <c r="A889" s="8"/>
      <c r="B889" s="8"/>
      <c r="C889" s="16"/>
      <c r="D889" s="14"/>
      <c r="E889" s="14"/>
      <c r="F889" s="14"/>
      <c r="G889" s="14"/>
      <c r="H889" s="14"/>
    </row>
    <row r="890" ht="22.5" customHeight="1">
      <c r="A890" s="8"/>
      <c r="B890" s="8"/>
      <c r="C890" s="16"/>
      <c r="D890" s="14"/>
      <c r="E890" s="14"/>
      <c r="F890" s="14"/>
      <c r="G890" s="14"/>
      <c r="H890" s="14"/>
    </row>
    <row r="891" ht="22.5" customHeight="1">
      <c r="A891" s="8"/>
      <c r="B891" s="8"/>
      <c r="C891" s="16"/>
      <c r="D891" s="14"/>
      <c r="E891" s="14"/>
      <c r="F891" s="14"/>
      <c r="G891" s="14"/>
      <c r="H891" s="14"/>
    </row>
    <row r="892" ht="22.5" customHeight="1">
      <c r="A892" s="8"/>
      <c r="B892" s="8"/>
      <c r="C892" s="16"/>
      <c r="D892" s="14"/>
      <c r="E892" s="14"/>
      <c r="F892" s="14"/>
      <c r="G892" s="14"/>
      <c r="H892" s="14"/>
    </row>
    <row r="893" ht="22.5" customHeight="1">
      <c r="A893" s="8"/>
      <c r="B893" s="8"/>
      <c r="C893" s="16"/>
      <c r="D893" s="14"/>
      <c r="E893" s="14"/>
      <c r="F893" s="14"/>
      <c r="G893" s="14"/>
      <c r="H893" s="14"/>
    </row>
    <row r="894" ht="22.5" customHeight="1">
      <c r="A894" s="8"/>
      <c r="B894" s="8"/>
      <c r="C894" s="16"/>
      <c r="D894" s="14"/>
      <c r="E894" s="14"/>
      <c r="F894" s="14"/>
      <c r="G894" s="14"/>
      <c r="H894" s="14"/>
    </row>
    <row r="895" ht="22.5" customHeight="1">
      <c r="A895" s="8"/>
      <c r="B895" s="8"/>
      <c r="C895" s="16"/>
      <c r="D895" s="14"/>
      <c r="E895" s="14"/>
      <c r="F895" s="14"/>
      <c r="G895" s="14"/>
      <c r="H895" s="14"/>
    </row>
    <row r="896" ht="22.5" customHeight="1">
      <c r="A896" s="8"/>
      <c r="B896" s="8"/>
      <c r="C896" s="16"/>
      <c r="D896" s="14"/>
      <c r="E896" s="14"/>
      <c r="F896" s="14"/>
      <c r="G896" s="14"/>
      <c r="H896" s="14"/>
    </row>
    <row r="897" ht="22.5" customHeight="1">
      <c r="A897" s="8"/>
      <c r="B897" s="8"/>
      <c r="C897" s="16"/>
      <c r="D897" s="14"/>
      <c r="E897" s="14"/>
      <c r="F897" s="14"/>
      <c r="G897" s="14"/>
      <c r="H897" s="14"/>
    </row>
    <row r="898" ht="22.5" customHeight="1">
      <c r="A898" s="8"/>
      <c r="B898" s="8"/>
      <c r="C898" s="16"/>
      <c r="D898" s="14"/>
      <c r="E898" s="14"/>
      <c r="F898" s="14"/>
      <c r="G898" s="14"/>
      <c r="H898" s="14"/>
    </row>
    <row r="899" ht="22.5" customHeight="1">
      <c r="A899" s="8"/>
      <c r="B899" s="8"/>
      <c r="C899" s="16"/>
      <c r="D899" s="14"/>
      <c r="E899" s="14"/>
      <c r="F899" s="14"/>
      <c r="G899" s="14"/>
      <c r="H899" s="14"/>
    </row>
    <row r="900" ht="22.5" customHeight="1">
      <c r="A900" s="8"/>
      <c r="B900" s="8"/>
      <c r="C900" s="16"/>
      <c r="D900" s="14"/>
      <c r="E900" s="14"/>
      <c r="F900" s="14"/>
      <c r="G900" s="14"/>
      <c r="H900" s="14"/>
    </row>
    <row r="901" ht="22.5" customHeight="1">
      <c r="A901" s="8"/>
      <c r="B901" s="8"/>
      <c r="C901" s="16"/>
      <c r="D901" s="14"/>
      <c r="E901" s="14"/>
      <c r="F901" s="14"/>
      <c r="G901" s="14"/>
      <c r="H901" s="14"/>
    </row>
    <row r="902" ht="22.5" customHeight="1">
      <c r="A902" s="8"/>
      <c r="B902" s="8"/>
      <c r="C902" s="16"/>
      <c r="D902" s="14"/>
      <c r="E902" s="14"/>
      <c r="F902" s="14"/>
      <c r="G902" s="14"/>
      <c r="H902" s="14"/>
    </row>
    <row r="903" ht="22.5" customHeight="1">
      <c r="A903" s="8"/>
      <c r="B903" s="8"/>
      <c r="C903" s="16"/>
      <c r="D903" s="14"/>
      <c r="E903" s="14"/>
      <c r="F903" s="14"/>
      <c r="G903" s="14"/>
      <c r="H903" s="14"/>
    </row>
    <row r="904" ht="22.5" customHeight="1">
      <c r="A904" s="8"/>
      <c r="B904" s="8"/>
      <c r="C904" s="16"/>
      <c r="D904" s="14"/>
      <c r="E904" s="14"/>
      <c r="F904" s="14"/>
      <c r="G904" s="14"/>
      <c r="H904" s="14"/>
    </row>
    <row r="905" ht="22.5" customHeight="1">
      <c r="A905" s="8"/>
      <c r="B905" s="8"/>
      <c r="C905" s="16"/>
      <c r="D905" s="14"/>
      <c r="E905" s="14"/>
      <c r="F905" s="14"/>
      <c r="G905" s="14"/>
      <c r="H905" s="14"/>
    </row>
    <row r="906" ht="22.5" customHeight="1">
      <c r="A906" s="8"/>
      <c r="B906" s="8"/>
      <c r="C906" s="16"/>
      <c r="D906" s="14"/>
      <c r="E906" s="14"/>
      <c r="F906" s="14"/>
      <c r="G906" s="14"/>
      <c r="H906" s="14"/>
    </row>
    <row r="907" ht="22.5" customHeight="1">
      <c r="A907" s="8"/>
      <c r="B907" s="8"/>
      <c r="C907" s="16"/>
      <c r="D907" s="14"/>
      <c r="E907" s="14"/>
      <c r="F907" s="14"/>
      <c r="G907" s="14"/>
      <c r="H907" s="14"/>
    </row>
    <row r="908" ht="22.5" customHeight="1">
      <c r="A908" s="8"/>
      <c r="B908" s="8"/>
      <c r="C908" s="16"/>
      <c r="D908" s="14"/>
      <c r="E908" s="14"/>
      <c r="F908" s="14"/>
      <c r="G908" s="14"/>
      <c r="H908" s="14"/>
    </row>
    <row r="909" ht="22.5" customHeight="1">
      <c r="A909" s="8"/>
      <c r="B909" s="8"/>
      <c r="C909" s="16"/>
      <c r="D909" s="14"/>
      <c r="E909" s="14"/>
      <c r="F909" s="14"/>
      <c r="G909" s="14"/>
      <c r="H909" s="14"/>
    </row>
    <row r="910" ht="22.5" customHeight="1">
      <c r="A910" s="8"/>
      <c r="B910" s="8"/>
      <c r="C910" s="16"/>
      <c r="D910" s="14"/>
      <c r="E910" s="14"/>
      <c r="F910" s="14"/>
      <c r="G910" s="14"/>
      <c r="H910" s="14"/>
    </row>
    <row r="911" ht="22.5" customHeight="1">
      <c r="A911" s="8"/>
      <c r="B911" s="8"/>
      <c r="C911" s="16"/>
      <c r="D911" s="14"/>
      <c r="E911" s="14"/>
      <c r="F911" s="14"/>
      <c r="G911" s="14"/>
      <c r="H911" s="14"/>
    </row>
    <row r="912" ht="22.5" customHeight="1">
      <c r="A912" s="8"/>
      <c r="B912" s="8"/>
      <c r="C912" s="16"/>
      <c r="D912" s="14"/>
      <c r="E912" s="14"/>
      <c r="F912" s="14"/>
      <c r="G912" s="14"/>
      <c r="H912" s="14"/>
    </row>
    <row r="913" ht="22.5" customHeight="1">
      <c r="A913" s="8"/>
      <c r="B913" s="8"/>
      <c r="C913" s="16"/>
      <c r="D913" s="14"/>
      <c r="E913" s="14"/>
      <c r="F913" s="14"/>
      <c r="G913" s="14"/>
      <c r="H913" s="14"/>
    </row>
    <row r="914" ht="22.5" customHeight="1">
      <c r="A914" s="8"/>
      <c r="B914" s="8"/>
      <c r="C914" s="16"/>
      <c r="D914" s="14"/>
      <c r="E914" s="14"/>
      <c r="F914" s="14"/>
      <c r="G914" s="14"/>
      <c r="H914" s="14"/>
    </row>
    <row r="915" ht="22.5" customHeight="1">
      <c r="A915" s="8"/>
      <c r="B915" s="8"/>
      <c r="C915" s="16"/>
      <c r="D915" s="14"/>
      <c r="E915" s="14"/>
      <c r="F915" s="14"/>
      <c r="G915" s="14"/>
      <c r="H915" s="14"/>
    </row>
    <row r="916" ht="22.5" customHeight="1">
      <c r="A916" s="8"/>
      <c r="B916" s="8"/>
      <c r="C916" s="16"/>
      <c r="D916" s="14"/>
      <c r="E916" s="14"/>
      <c r="F916" s="14"/>
      <c r="G916" s="14"/>
      <c r="H916" s="14"/>
    </row>
    <row r="917" ht="22.5" customHeight="1">
      <c r="A917" s="8"/>
      <c r="B917" s="8"/>
      <c r="C917" s="16"/>
      <c r="D917" s="14"/>
      <c r="E917" s="14"/>
      <c r="F917" s="14"/>
      <c r="G917" s="14"/>
      <c r="H917" s="14"/>
    </row>
    <row r="918" ht="22.5" customHeight="1">
      <c r="A918" s="8"/>
      <c r="B918" s="8"/>
      <c r="C918" s="16"/>
      <c r="D918" s="14"/>
      <c r="E918" s="14"/>
      <c r="F918" s="14"/>
      <c r="G918" s="14"/>
      <c r="H918" s="14"/>
    </row>
    <row r="919" ht="22.5" customHeight="1">
      <c r="A919" s="8"/>
      <c r="B919" s="8"/>
      <c r="C919" s="16"/>
      <c r="D919" s="14"/>
      <c r="E919" s="14"/>
      <c r="F919" s="14"/>
      <c r="G919" s="14"/>
      <c r="H919" s="14"/>
    </row>
    <row r="920" ht="22.5" customHeight="1">
      <c r="A920" s="8"/>
      <c r="B920" s="8"/>
      <c r="C920" s="16"/>
      <c r="D920" s="14"/>
      <c r="E920" s="14"/>
      <c r="F920" s="14"/>
      <c r="G920" s="14"/>
      <c r="H920" s="14"/>
    </row>
    <row r="921" ht="22.5" customHeight="1">
      <c r="A921" s="8"/>
      <c r="B921" s="8"/>
      <c r="C921" s="16"/>
      <c r="D921" s="14"/>
      <c r="E921" s="14"/>
      <c r="F921" s="14"/>
      <c r="G921" s="14"/>
      <c r="H921" s="14"/>
    </row>
    <row r="922" ht="22.5" customHeight="1">
      <c r="A922" s="8"/>
      <c r="B922" s="8"/>
      <c r="C922" s="16"/>
      <c r="D922" s="14"/>
      <c r="E922" s="14"/>
      <c r="F922" s="14"/>
      <c r="G922" s="14"/>
      <c r="H922" s="14"/>
    </row>
    <row r="923" ht="22.5" customHeight="1">
      <c r="A923" s="8"/>
      <c r="B923" s="8"/>
      <c r="C923" s="16"/>
      <c r="D923" s="14"/>
      <c r="E923" s="14"/>
      <c r="F923" s="14"/>
      <c r="G923" s="14"/>
      <c r="H923" s="14"/>
    </row>
    <row r="924" ht="22.5" customHeight="1">
      <c r="A924" s="8"/>
      <c r="B924" s="8"/>
      <c r="C924" s="16"/>
      <c r="D924" s="14"/>
      <c r="E924" s="14"/>
      <c r="F924" s="14"/>
      <c r="G924" s="14"/>
      <c r="H924" s="14"/>
    </row>
    <row r="925" ht="22.5" customHeight="1">
      <c r="A925" s="8"/>
      <c r="B925" s="8"/>
      <c r="C925" s="16"/>
      <c r="D925" s="14"/>
      <c r="E925" s="14"/>
      <c r="F925" s="14"/>
      <c r="G925" s="14"/>
      <c r="H925" s="14"/>
    </row>
    <row r="926" ht="22.5" customHeight="1">
      <c r="A926" s="8"/>
      <c r="B926" s="8"/>
      <c r="C926" s="16"/>
      <c r="D926" s="14"/>
      <c r="E926" s="14"/>
      <c r="F926" s="14"/>
      <c r="G926" s="14"/>
      <c r="H926" s="14"/>
    </row>
    <row r="927" ht="22.5" customHeight="1">
      <c r="A927" s="8"/>
      <c r="B927" s="8"/>
      <c r="C927" s="16"/>
      <c r="D927" s="14"/>
      <c r="E927" s="14"/>
      <c r="F927" s="14"/>
      <c r="G927" s="14"/>
      <c r="H927" s="14"/>
    </row>
    <row r="928" ht="22.5" customHeight="1">
      <c r="A928" s="8"/>
      <c r="B928" s="8"/>
      <c r="C928" s="16"/>
      <c r="D928" s="14"/>
      <c r="E928" s="14"/>
      <c r="F928" s="14"/>
      <c r="G928" s="14"/>
      <c r="H928" s="14"/>
    </row>
    <row r="929" ht="22.5" customHeight="1">
      <c r="A929" s="8"/>
      <c r="B929" s="8"/>
      <c r="C929" s="16"/>
      <c r="D929" s="14"/>
      <c r="E929" s="14"/>
      <c r="F929" s="14"/>
      <c r="G929" s="14"/>
      <c r="H929" s="14"/>
    </row>
    <row r="930" ht="22.5" customHeight="1">
      <c r="A930" s="8"/>
      <c r="B930" s="8"/>
      <c r="C930" s="16"/>
      <c r="D930" s="14"/>
      <c r="E930" s="14"/>
      <c r="F930" s="14"/>
      <c r="G930" s="14"/>
      <c r="H930" s="14"/>
    </row>
    <row r="931" ht="22.5" customHeight="1">
      <c r="A931" s="8"/>
      <c r="B931" s="8"/>
      <c r="C931" s="16"/>
      <c r="D931" s="14"/>
      <c r="E931" s="14"/>
      <c r="F931" s="14"/>
      <c r="G931" s="14"/>
      <c r="H931" s="14"/>
    </row>
    <row r="932" ht="22.5" customHeight="1">
      <c r="A932" s="8"/>
      <c r="B932" s="8"/>
      <c r="C932" s="16"/>
      <c r="D932" s="14"/>
      <c r="E932" s="14"/>
      <c r="F932" s="14"/>
      <c r="G932" s="14"/>
      <c r="H932" s="14"/>
    </row>
    <row r="933" ht="22.5" customHeight="1">
      <c r="A933" s="8"/>
      <c r="B933" s="8"/>
      <c r="C933" s="16"/>
      <c r="D933" s="14"/>
      <c r="E933" s="14"/>
      <c r="F933" s="14"/>
      <c r="G933" s="14"/>
      <c r="H933" s="14"/>
    </row>
    <row r="934" ht="22.5" customHeight="1">
      <c r="A934" s="8"/>
      <c r="B934" s="8"/>
      <c r="C934" s="16"/>
      <c r="D934" s="14"/>
      <c r="E934" s="14"/>
      <c r="F934" s="14"/>
      <c r="G934" s="14"/>
      <c r="H934" s="14"/>
    </row>
    <row r="935" ht="22.5" customHeight="1">
      <c r="A935" s="8"/>
      <c r="B935" s="8"/>
      <c r="C935" s="16"/>
      <c r="D935" s="14"/>
      <c r="E935" s="14"/>
      <c r="F935" s="14"/>
      <c r="G935" s="14"/>
      <c r="H935" s="14"/>
    </row>
    <row r="936" ht="22.5" customHeight="1">
      <c r="A936" s="8"/>
      <c r="B936" s="8"/>
      <c r="C936" s="16"/>
      <c r="D936" s="14"/>
      <c r="E936" s="14"/>
      <c r="F936" s="14"/>
      <c r="G936" s="14"/>
      <c r="H936" s="14"/>
    </row>
    <row r="937" ht="22.5" customHeight="1">
      <c r="A937" s="8"/>
      <c r="B937" s="8"/>
      <c r="C937" s="16"/>
      <c r="D937" s="14"/>
      <c r="E937" s="14"/>
      <c r="F937" s="14"/>
      <c r="G937" s="14"/>
      <c r="H937" s="14"/>
    </row>
    <row r="938" ht="22.5" customHeight="1">
      <c r="A938" s="8"/>
      <c r="B938" s="8"/>
      <c r="C938" s="16"/>
      <c r="D938" s="14"/>
      <c r="E938" s="14"/>
      <c r="F938" s="14"/>
      <c r="G938" s="14"/>
      <c r="H938" s="14"/>
    </row>
    <row r="939" ht="22.5" customHeight="1">
      <c r="A939" s="8"/>
      <c r="B939" s="8"/>
      <c r="C939" s="16"/>
      <c r="D939" s="14"/>
      <c r="E939" s="14"/>
      <c r="F939" s="14"/>
      <c r="G939" s="14"/>
      <c r="H939" s="14"/>
    </row>
    <row r="940" ht="22.5" customHeight="1">
      <c r="A940" s="8"/>
      <c r="B940" s="8"/>
      <c r="C940" s="16"/>
      <c r="D940" s="14"/>
      <c r="E940" s="14"/>
      <c r="F940" s="14"/>
      <c r="G940" s="14"/>
      <c r="H940" s="14"/>
    </row>
    <row r="941" ht="22.5" customHeight="1">
      <c r="A941" s="8"/>
      <c r="B941" s="8"/>
      <c r="C941" s="16"/>
      <c r="D941" s="14"/>
      <c r="E941" s="14"/>
      <c r="F941" s="14"/>
      <c r="G941" s="14"/>
      <c r="H941" s="14"/>
    </row>
    <row r="942" ht="22.5" customHeight="1">
      <c r="A942" s="8"/>
      <c r="B942" s="8"/>
      <c r="C942" s="16"/>
      <c r="D942" s="14"/>
      <c r="E942" s="14"/>
      <c r="F942" s="14"/>
      <c r="G942" s="14"/>
      <c r="H942" s="14"/>
    </row>
    <row r="943" ht="22.5" customHeight="1">
      <c r="A943" s="8"/>
      <c r="B943" s="8"/>
      <c r="C943" s="16"/>
      <c r="D943" s="14"/>
      <c r="E943" s="14"/>
      <c r="F943" s="14"/>
      <c r="G943" s="14"/>
      <c r="H943" s="14"/>
    </row>
    <row r="944" ht="22.5" customHeight="1">
      <c r="A944" s="8"/>
      <c r="B944" s="8"/>
      <c r="C944" s="16"/>
      <c r="D944" s="14"/>
      <c r="E944" s="14"/>
      <c r="F944" s="14"/>
      <c r="G944" s="14"/>
      <c r="H944" s="14"/>
    </row>
    <row r="945" ht="22.5" customHeight="1">
      <c r="A945" s="8"/>
      <c r="B945" s="8"/>
      <c r="C945" s="16"/>
      <c r="D945" s="14"/>
      <c r="E945" s="14"/>
      <c r="F945" s="14"/>
      <c r="G945" s="14"/>
      <c r="H945" s="14"/>
    </row>
    <row r="946" ht="22.5" customHeight="1">
      <c r="A946" s="8"/>
      <c r="B946" s="8"/>
      <c r="C946" s="16"/>
      <c r="D946" s="14"/>
      <c r="E946" s="14"/>
      <c r="F946" s="14"/>
      <c r="G946" s="14"/>
      <c r="H946" s="14"/>
    </row>
    <row r="947" ht="22.5" customHeight="1">
      <c r="A947" s="8"/>
      <c r="B947" s="8"/>
      <c r="C947" s="16"/>
      <c r="D947" s="14"/>
      <c r="E947" s="14"/>
      <c r="F947" s="14"/>
      <c r="G947" s="14"/>
      <c r="H947" s="14"/>
    </row>
    <row r="948" ht="22.5" customHeight="1">
      <c r="A948" s="8"/>
      <c r="B948" s="8"/>
      <c r="C948" s="16"/>
      <c r="D948" s="14"/>
      <c r="E948" s="14"/>
      <c r="F948" s="14"/>
      <c r="G948" s="14"/>
      <c r="H948" s="14"/>
    </row>
    <row r="949" ht="22.5" customHeight="1">
      <c r="A949" s="8"/>
      <c r="B949" s="8"/>
      <c r="C949" s="16"/>
      <c r="D949" s="14"/>
      <c r="E949" s="14"/>
      <c r="F949" s="14"/>
      <c r="G949" s="14"/>
      <c r="H949" s="14"/>
    </row>
    <row r="950" ht="22.5" customHeight="1">
      <c r="A950" s="8"/>
      <c r="B950" s="8"/>
      <c r="C950" s="16"/>
      <c r="D950" s="14"/>
      <c r="E950" s="14"/>
      <c r="F950" s="14"/>
      <c r="G950" s="14"/>
      <c r="H950" s="14"/>
    </row>
    <row r="951" ht="22.5" customHeight="1">
      <c r="A951" s="8"/>
      <c r="B951" s="8"/>
      <c r="C951" s="16"/>
      <c r="D951" s="14"/>
      <c r="E951" s="14"/>
      <c r="F951" s="14"/>
      <c r="G951" s="14"/>
      <c r="H951" s="14"/>
    </row>
    <row r="952" ht="22.5" customHeight="1">
      <c r="A952" s="8"/>
      <c r="B952" s="8"/>
      <c r="C952" s="16"/>
      <c r="D952" s="14"/>
      <c r="E952" s="14"/>
      <c r="F952" s="14"/>
      <c r="G952" s="14"/>
      <c r="H952" s="14"/>
    </row>
    <row r="953" ht="22.5" customHeight="1">
      <c r="A953" s="8"/>
      <c r="B953" s="8"/>
      <c r="C953" s="16"/>
      <c r="D953" s="14"/>
      <c r="E953" s="14"/>
      <c r="F953" s="14"/>
      <c r="G953" s="14"/>
      <c r="H953" s="14"/>
    </row>
    <row r="954" ht="22.5" customHeight="1">
      <c r="A954" s="8"/>
      <c r="B954" s="8"/>
      <c r="C954" s="16"/>
      <c r="D954" s="14"/>
      <c r="E954" s="14"/>
      <c r="F954" s="14"/>
      <c r="G954" s="14"/>
      <c r="H954" s="14"/>
    </row>
    <row r="955" ht="22.5" customHeight="1">
      <c r="A955" s="8"/>
      <c r="B955" s="8"/>
      <c r="C955" s="16"/>
      <c r="D955" s="14"/>
      <c r="E955" s="14"/>
      <c r="F955" s="14"/>
      <c r="G955" s="14"/>
      <c r="H955" s="14"/>
    </row>
    <row r="956" ht="22.5" customHeight="1">
      <c r="A956" s="8"/>
      <c r="B956" s="8"/>
      <c r="C956" s="16"/>
      <c r="D956" s="14"/>
      <c r="E956" s="14"/>
      <c r="F956" s="14"/>
      <c r="G956" s="14"/>
      <c r="H956" s="14"/>
    </row>
    <row r="957" ht="22.5" customHeight="1">
      <c r="A957" s="8"/>
      <c r="B957" s="8"/>
      <c r="C957" s="16"/>
      <c r="D957" s="14"/>
      <c r="E957" s="14"/>
      <c r="F957" s="14"/>
      <c r="G957" s="14"/>
      <c r="H957" s="14"/>
    </row>
    <row r="958" ht="22.5" customHeight="1">
      <c r="A958" s="8"/>
      <c r="B958" s="8"/>
      <c r="C958" s="16"/>
      <c r="D958" s="14"/>
      <c r="E958" s="14"/>
      <c r="F958" s="14"/>
      <c r="G958" s="14"/>
      <c r="H958" s="14"/>
    </row>
    <row r="959" ht="22.5" customHeight="1">
      <c r="A959" s="8"/>
      <c r="B959" s="8"/>
      <c r="C959" s="16"/>
      <c r="D959" s="14"/>
      <c r="E959" s="14"/>
      <c r="F959" s="14"/>
      <c r="G959" s="14"/>
      <c r="H959" s="14"/>
    </row>
    <row r="960" ht="22.5" customHeight="1">
      <c r="A960" s="8"/>
      <c r="B960" s="8"/>
      <c r="C960" s="16"/>
      <c r="D960" s="14"/>
      <c r="E960" s="14"/>
      <c r="F960" s="14"/>
      <c r="G960" s="14"/>
      <c r="H960" s="14"/>
    </row>
    <row r="961" ht="22.5" customHeight="1">
      <c r="A961" s="8"/>
      <c r="B961" s="8"/>
      <c r="C961" s="16"/>
      <c r="D961" s="14"/>
      <c r="E961" s="14"/>
      <c r="F961" s="14"/>
      <c r="G961" s="14"/>
      <c r="H961" s="14"/>
    </row>
    <row r="962" ht="22.5" customHeight="1">
      <c r="A962" s="8"/>
      <c r="B962" s="8"/>
      <c r="C962" s="16"/>
      <c r="D962" s="14"/>
      <c r="E962" s="14"/>
      <c r="F962" s="14"/>
      <c r="G962" s="14"/>
      <c r="H962" s="14"/>
    </row>
    <row r="963" ht="22.5" customHeight="1">
      <c r="A963" s="8"/>
      <c r="B963" s="8"/>
      <c r="C963" s="16"/>
      <c r="D963" s="14"/>
      <c r="E963" s="14"/>
      <c r="F963" s="14"/>
      <c r="G963" s="14"/>
      <c r="H963" s="14"/>
    </row>
    <row r="964" ht="22.5" customHeight="1">
      <c r="A964" s="8"/>
      <c r="B964" s="8"/>
      <c r="C964" s="16"/>
      <c r="D964" s="14"/>
      <c r="E964" s="14"/>
      <c r="F964" s="14"/>
      <c r="G964" s="14"/>
      <c r="H964" s="14"/>
    </row>
    <row r="965" ht="22.5" customHeight="1">
      <c r="A965" s="8"/>
      <c r="B965" s="8"/>
      <c r="C965" s="16"/>
      <c r="D965" s="14"/>
      <c r="E965" s="14"/>
      <c r="F965" s="14"/>
      <c r="G965" s="14"/>
      <c r="H965" s="14"/>
    </row>
    <row r="966" ht="22.5" customHeight="1">
      <c r="A966" s="8"/>
      <c r="B966" s="8"/>
      <c r="C966" s="16"/>
      <c r="D966" s="14"/>
      <c r="E966" s="14"/>
      <c r="F966" s="14"/>
      <c r="G966" s="14"/>
      <c r="H966" s="14"/>
    </row>
    <row r="967" ht="22.5" customHeight="1">
      <c r="A967" s="8"/>
      <c r="B967" s="8"/>
      <c r="C967" s="16"/>
      <c r="D967" s="14"/>
      <c r="E967" s="14"/>
      <c r="F967" s="14"/>
      <c r="G967" s="14"/>
      <c r="H967" s="14"/>
    </row>
    <row r="968" ht="22.5" customHeight="1">
      <c r="A968" s="8"/>
      <c r="B968" s="8"/>
      <c r="C968" s="16"/>
      <c r="D968" s="14"/>
      <c r="E968" s="14"/>
      <c r="F968" s="14"/>
      <c r="G968" s="14"/>
      <c r="H968" s="14"/>
    </row>
    <row r="969" ht="22.5" customHeight="1">
      <c r="A969" s="8"/>
      <c r="B969" s="8"/>
      <c r="C969" s="16"/>
      <c r="D969" s="14"/>
      <c r="E969" s="14"/>
      <c r="F969" s="14"/>
      <c r="G969" s="14"/>
      <c r="H969" s="14"/>
    </row>
    <row r="970" ht="22.5" customHeight="1">
      <c r="A970" s="8"/>
      <c r="B970" s="8"/>
      <c r="C970" s="16"/>
      <c r="D970" s="14"/>
      <c r="E970" s="14"/>
      <c r="F970" s="14"/>
      <c r="G970" s="14"/>
      <c r="H970" s="14"/>
    </row>
    <row r="971" ht="22.5" customHeight="1">
      <c r="A971" s="8"/>
      <c r="B971" s="8"/>
      <c r="C971" s="16"/>
      <c r="D971" s="14"/>
      <c r="E971" s="14"/>
      <c r="F971" s="14"/>
      <c r="G971" s="14"/>
      <c r="H971" s="14"/>
    </row>
    <row r="972" ht="22.5" customHeight="1">
      <c r="A972" s="8"/>
      <c r="B972" s="8"/>
      <c r="C972" s="16"/>
      <c r="D972" s="14"/>
      <c r="E972" s="14"/>
      <c r="F972" s="14"/>
      <c r="G972" s="14"/>
      <c r="H972" s="14"/>
    </row>
    <row r="973" ht="22.5" customHeight="1">
      <c r="A973" s="8"/>
      <c r="B973" s="8"/>
      <c r="C973" s="16"/>
      <c r="D973" s="14"/>
      <c r="E973" s="14"/>
      <c r="F973" s="14"/>
      <c r="G973" s="14"/>
      <c r="H973" s="14"/>
    </row>
    <row r="974" ht="22.5" customHeight="1">
      <c r="A974" s="8"/>
      <c r="B974" s="8"/>
      <c r="C974" s="16"/>
      <c r="D974" s="14"/>
      <c r="E974" s="14"/>
      <c r="F974" s="14"/>
      <c r="G974" s="14"/>
      <c r="H974" s="14"/>
    </row>
    <row r="975" ht="22.5" customHeight="1">
      <c r="A975" s="8"/>
      <c r="B975" s="8"/>
      <c r="C975" s="16"/>
      <c r="D975" s="14"/>
      <c r="E975" s="14"/>
      <c r="F975" s="14"/>
      <c r="G975" s="14"/>
      <c r="H975" s="14"/>
    </row>
    <row r="976" ht="22.5" customHeight="1">
      <c r="A976" s="8"/>
      <c r="B976" s="8"/>
      <c r="C976" s="16"/>
      <c r="D976" s="14"/>
      <c r="E976" s="14"/>
      <c r="F976" s="14"/>
      <c r="G976" s="14"/>
      <c r="H976" s="14"/>
    </row>
    <row r="977" ht="22.5" customHeight="1">
      <c r="A977" s="8"/>
      <c r="B977" s="8"/>
      <c r="C977" s="16"/>
      <c r="D977" s="14"/>
      <c r="E977" s="14"/>
      <c r="F977" s="14"/>
      <c r="G977" s="14"/>
      <c r="H977" s="14"/>
    </row>
    <row r="978" ht="22.5" customHeight="1">
      <c r="A978" s="8"/>
      <c r="B978" s="8"/>
      <c r="C978" s="16"/>
      <c r="D978" s="14"/>
      <c r="E978" s="14"/>
      <c r="F978" s="14"/>
      <c r="G978" s="14"/>
      <c r="H978" s="14"/>
    </row>
    <row r="979" ht="22.5" customHeight="1">
      <c r="A979" s="8"/>
      <c r="B979" s="8"/>
      <c r="C979" s="16"/>
      <c r="D979" s="14"/>
      <c r="E979" s="14"/>
      <c r="F979" s="14"/>
      <c r="G979" s="14"/>
      <c r="H979" s="14"/>
    </row>
    <row r="980" ht="22.5" customHeight="1">
      <c r="A980" s="8"/>
      <c r="B980" s="8"/>
      <c r="C980" s="16"/>
      <c r="D980" s="14"/>
      <c r="E980" s="14"/>
      <c r="F980" s="14"/>
      <c r="G980" s="14"/>
      <c r="H980" s="14"/>
    </row>
    <row r="981" ht="22.5" customHeight="1">
      <c r="A981" s="8"/>
      <c r="B981" s="8"/>
      <c r="C981" s="16"/>
      <c r="D981" s="14"/>
      <c r="E981" s="14"/>
      <c r="F981" s="14"/>
      <c r="G981" s="14"/>
      <c r="H981" s="14"/>
    </row>
    <row r="982" ht="22.5" customHeight="1">
      <c r="A982" s="8"/>
      <c r="B982" s="8"/>
      <c r="C982" s="16"/>
      <c r="D982" s="14"/>
      <c r="E982" s="14"/>
      <c r="F982" s="14"/>
      <c r="G982" s="14"/>
      <c r="H982" s="14"/>
    </row>
    <row r="983" ht="22.5" customHeight="1">
      <c r="A983" s="8"/>
      <c r="B983" s="8"/>
      <c r="C983" s="16"/>
      <c r="D983" s="14"/>
      <c r="E983" s="14"/>
      <c r="F983" s="14"/>
      <c r="G983" s="14"/>
      <c r="H983" s="14"/>
    </row>
    <row r="984" ht="22.5" customHeight="1">
      <c r="A984" s="8"/>
      <c r="B984" s="8"/>
      <c r="C984" s="16"/>
      <c r="D984" s="14"/>
      <c r="E984" s="14"/>
      <c r="F984" s="14"/>
      <c r="G984" s="14"/>
      <c r="H984" s="14"/>
    </row>
    <row r="985" ht="22.5" customHeight="1">
      <c r="A985" s="8"/>
      <c r="B985" s="8"/>
      <c r="C985" s="16"/>
      <c r="D985" s="14"/>
      <c r="E985" s="14"/>
      <c r="F985" s="14"/>
      <c r="G985" s="14"/>
      <c r="H985" s="14"/>
    </row>
    <row r="986" ht="22.5" customHeight="1">
      <c r="A986" s="8"/>
      <c r="B986" s="8"/>
      <c r="C986" s="16"/>
      <c r="D986" s="14"/>
      <c r="E986" s="14"/>
      <c r="F986" s="14"/>
      <c r="G986" s="14"/>
      <c r="H986" s="14"/>
    </row>
    <row r="987" ht="22.5" customHeight="1">
      <c r="A987" s="8"/>
      <c r="B987" s="8"/>
      <c r="C987" s="16"/>
      <c r="D987" s="14"/>
      <c r="E987" s="14"/>
      <c r="F987" s="14"/>
      <c r="G987" s="14"/>
      <c r="H987" s="14"/>
    </row>
    <row r="988" ht="22.5" customHeight="1">
      <c r="A988" s="8"/>
      <c r="B988" s="8"/>
      <c r="C988" s="16"/>
      <c r="D988" s="14"/>
      <c r="E988" s="14"/>
      <c r="F988" s="14"/>
      <c r="G988" s="14"/>
      <c r="H988" s="14"/>
    </row>
    <row r="989" ht="22.5" customHeight="1">
      <c r="A989" s="8"/>
      <c r="B989" s="8"/>
      <c r="C989" s="16"/>
      <c r="D989" s="14"/>
      <c r="E989" s="14"/>
      <c r="F989" s="14"/>
      <c r="G989" s="14"/>
      <c r="H989" s="14"/>
    </row>
    <row r="990" ht="22.5" customHeight="1">
      <c r="A990" s="8"/>
      <c r="B990" s="8"/>
      <c r="C990" s="16"/>
      <c r="D990" s="14"/>
      <c r="E990" s="14"/>
      <c r="F990" s="14"/>
      <c r="G990" s="14"/>
      <c r="H990" s="14"/>
    </row>
    <row r="991" ht="22.5" customHeight="1">
      <c r="A991" s="8"/>
      <c r="B991" s="8"/>
      <c r="C991" s="16"/>
      <c r="D991" s="14"/>
      <c r="E991" s="14"/>
      <c r="F991" s="14"/>
      <c r="G991" s="14"/>
      <c r="H991" s="14"/>
    </row>
    <row r="992" ht="22.5" customHeight="1">
      <c r="A992" s="8"/>
      <c r="B992" s="8"/>
      <c r="C992" s="16"/>
      <c r="D992" s="14"/>
      <c r="E992" s="14"/>
      <c r="F992" s="14"/>
      <c r="G992" s="14"/>
      <c r="H992" s="14"/>
    </row>
    <row r="993" ht="22.5" customHeight="1">
      <c r="A993" s="8"/>
      <c r="B993" s="8"/>
      <c r="C993" s="16"/>
      <c r="D993" s="14"/>
      <c r="E993" s="14"/>
      <c r="F993" s="14"/>
      <c r="G993" s="14"/>
      <c r="H993" s="14"/>
    </row>
    <row r="994" ht="22.5" customHeight="1">
      <c r="A994" s="8"/>
      <c r="B994" s="8"/>
      <c r="C994" s="16"/>
      <c r="D994" s="14"/>
      <c r="E994" s="14"/>
      <c r="F994" s="14"/>
      <c r="G994" s="14"/>
      <c r="H994" s="14"/>
    </row>
    <row r="995" ht="22.5" customHeight="1">
      <c r="A995" s="8"/>
      <c r="B995" s="8"/>
      <c r="C995" s="16"/>
      <c r="D995" s="14"/>
      <c r="E995" s="14"/>
      <c r="F995" s="14"/>
      <c r="G995" s="14"/>
      <c r="H995" s="14"/>
    </row>
    <row r="996" ht="22.5" customHeight="1">
      <c r="A996" s="8"/>
      <c r="B996" s="8"/>
      <c r="C996" s="16"/>
      <c r="D996" s="14"/>
      <c r="E996" s="14"/>
      <c r="F996" s="14"/>
      <c r="G996" s="14"/>
      <c r="H996" s="14"/>
    </row>
    <row r="997" ht="22.5" customHeight="1">
      <c r="A997" s="8"/>
      <c r="B997" s="8"/>
      <c r="C997" s="16"/>
      <c r="D997" s="14"/>
      <c r="E997" s="14"/>
      <c r="F997" s="14"/>
      <c r="G997" s="14"/>
      <c r="H997" s="14"/>
    </row>
    <row r="998" ht="22.5" customHeight="1">
      <c r="A998" s="8"/>
      <c r="B998" s="8"/>
      <c r="C998" s="16"/>
      <c r="D998" s="14"/>
      <c r="E998" s="14"/>
      <c r="F998" s="14"/>
      <c r="G998" s="14"/>
      <c r="H998" s="14"/>
    </row>
    <row r="999" ht="22.5" customHeight="1">
      <c r="A999" s="8"/>
      <c r="B999" s="8"/>
      <c r="C999" s="16"/>
      <c r="D999" s="14"/>
      <c r="E999" s="14"/>
      <c r="F999" s="14"/>
      <c r="G999" s="14"/>
      <c r="H999" s="14"/>
    </row>
    <row r="1000" ht="22.5" customHeight="1">
      <c r="A1000" s="8"/>
      <c r="B1000" s="8"/>
      <c r="C1000" s="16"/>
      <c r="D1000" s="14"/>
      <c r="E1000" s="14"/>
      <c r="F1000" s="14"/>
      <c r="G1000" s="14"/>
      <c r="H1000" s="14"/>
    </row>
    <row r="1001" ht="22.5" customHeight="1">
      <c r="A1001" s="8"/>
      <c r="B1001" s="8"/>
      <c r="C1001" s="16"/>
      <c r="D1001" s="14"/>
      <c r="E1001" s="14"/>
      <c r="F1001" s="14"/>
      <c r="G1001" s="14"/>
      <c r="H1001" s="14"/>
    </row>
    <row r="1002" ht="22.5" customHeight="1">
      <c r="A1002" s="8"/>
      <c r="B1002" s="8"/>
      <c r="C1002" s="16"/>
      <c r="D1002" s="14"/>
      <c r="E1002" s="14"/>
      <c r="F1002" s="14"/>
      <c r="G1002" s="14"/>
      <c r="H1002" s="14"/>
    </row>
    <row r="1003" ht="22.5" customHeight="1">
      <c r="A1003" s="8"/>
      <c r="B1003" s="8"/>
      <c r="C1003" s="16"/>
      <c r="D1003" s="14"/>
      <c r="E1003" s="14"/>
      <c r="F1003" s="14"/>
      <c r="G1003" s="14"/>
      <c r="H1003" s="14"/>
    </row>
    <row r="1004" ht="22.5" customHeight="1">
      <c r="A1004" s="8"/>
      <c r="B1004" s="8"/>
      <c r="C1004" s="16"/>
      <c r="D1004" s="14"/>
      <c r="E1004" s="14"/>
      <c r="F1004" s="14"/>
      <c r="G1004" s="14"/>
      <c r="H1004" s="14"/>
    </row>
    <row r="1005" ht="22.5" customHeight="1">
      <c r="A1005" s="8"/>
      <c r="B1005" s="8"/>
      <c r="C1005" s="16"/>
      <c r="D1005" s="14"/>
      <c r="E1005" s="14"/>
      <c r="F1005" s="14"/>
      <c r="G1005" s="14"/>
      <c r="H1005" s="14"/>
    </row>
    <row r="1006" ht="22.5" customHeight="1">
      <c r="A1006" s="8"/>
      <c r="B1006" s="8"/>
      <c r="C1006" s="16"/>
      <c r="D1006" s="14"/>
      <c r="E1006" s="14"/>
      <c r="F1006" s="14"/>
      <c r="G1006" s="14"/>
      <c r="H1006" s="14"/>
    </row>
    <row r="1007" ht="22.5" customHeight="1">
      <c r="A1007" s="8"/>
      <c r="B1007" s="8"/>
      <c r="C1007" s="16"/>
      <c r="D1007" s="14"/>
      <c r="E1007" s="14"/>
      <c r="F1007" s="14"/>
      <c r="G1007" s="14"/>
      <c r="H1007" s="14"/>
    </row>
    <row r="1008" ht="22.5" customHeight="1">
      <c r="A1008" s="8"/>
      <c r="B1008" s="8"/>
      <c r="C1008" s="16"/>
      <c r="D1008" s="14"/>
      <c r="E1008" s="14"/>
      <c r="F1008" s="14"/>
      <c r="G1008" s="14"/>
      <c r="H1008" s="14"/>
    </row>
    <row r="1009" ht="22.5" customHeight="1">
      <c r="A1009" s="8"/>
      <c r="B1009" s="8"/>
      <c r="C1009" s="16"/>
      <c r="D1009" s="14"/>
      <c r="E1009" s="14"/>
      <c r="F1009" s="14"/>
      <c r="G1009" s="14"/>
      <c r="H1009" s="14"/>
    </row>
    <row r="1010" ht="22.5" customHeight="1">
      <c r="A1010" s="8"/>
      <c r="B1010" s="8"/>
      <c r="C1010" s="16"/>
      <c r="D1010" s="14"/>
      <c r="E1010" s="14"/>
      <c r="F1010" s="14"/>
      <c r="G1010" s="14"/>
      <c r="H1010" s="14"/>
    </row>
    <row r="1011" ht="22.5" customHeight="1">
      <c r="A1011" s="8"/>
      <c r="B1011" s="8"/>
      <c r="C1011" s="16"/>
      <c r="D1011" s="14"/>
      <c r="E1011" s="14"/>
      <c r="F1011" s="14"/>
      <c r="G1011" s="14"/>
      <c r="H1011" s="14"/>
    </row>
    <row r="1012" ht="22.5" customHeight="1">
      <c r="A1012" s="8"/>
      <c r="B1012" s="8"/>
      <c r="C1012" s="16"/>
      <c r="D1012" s="14"/>
      <c r="E1012" s="14"/>
      <c r="F1012" s="14"/>
      <c r="G1012" s="14"/>
      <c r="H1012" s="14"/>
    </row>
    <row r="1013" ht="22.5" customHeight="1">
      <c r="A1013" s="8"/>
      <c r="B1013" s="8"/>
      <c r="C1013" s="16"/>
      <c r="D1013" s="14"/>
      <c r="E1013" s="14"/>
      <c r="F1013" s="14"/>
      <c r="G1013" s="14"/>
      <c r="H1013" s="14"/>
    </row>
    <row r="1014" ht="22.5" customHeight="1">
      <c r="A1014" s="8"/>
      <c r="B1014" s="8"/>
      <c r="C1014" s="16"/>
      <c r="D1014" s="14"/>
      <c r="E1014" s="14"/>
      <c r="F1014" s="14"/>
      <c r="G1014" s="14"/>
      <c r="H1014" s="14"/>
    </row>
    <row r="1015" ht="22.5" customHeight="1">
      <c r="A1015" s="8"/>
      <c r="B1015" s="8"/>
      <c r="C1015" s="16"/>
      <c r="D1015" s="14"/>
      <c r="E1015" s="14"/>
      <c r="F1015" s="14"/>
      <c r="G1015" s="14"/>
      <c r="H1015" s="14"/>
    </row>
    <row r="1016" ht="22.5" customHeight="1">
      <c r="A1016" s="8"/>
      <c r="B1016" s="8"/>
      <c r="C1016" s="16"/>
      <c r="D1016" s="14"/>
      <c r="E1016" s="14"/>
      <c r="F1016" s="14"/>
      <c r="G1016" s="14"/>
      <c r="H1016" s="14"/>
    </row>
    <row r="1017" ht="22.5" customHeight="1">
      <c r="A1017" s="8"/>
      <c r="B1017" s="8"/>
      <c r="C1017" s="16"/>
      <c r="D1017" s="14"/>
      <c r="E1017" s="14"/>
      <c r="F1017" s="14"/>
      <c r="G1017" s="14"/>
      <c r="H1017" s="14"/>
    </row>
    <row r="1018" ht="22.5" customHeight="1">
      <c r="A1018" s="8"/>
      <c r="B1018" s="8"/>
      <c r="C1018" s="16"/>
      <c r="D1018" s="14"/>
      <c r="E1018" s="14"/>
      <c r="F1018" s="14"/>
      <c r="G1018" s="14"/>
      <c r="H1018" s="14"/>
    </row>
    <row r="1019" ht="22.5" customHeight="1">
      <c r="A1019" s="8"/>
      <c r="B1019" s="8"/>
      <c r="C1019" s="16"/>
      <c r="D1019" s="14"/>
      <c r="E1019" s="14"/>
      <c r="F1019" s="14"/>
      <c r="G1019" s="14"/>
      <c r="H1019" s="14"/>
    </row>
    <row r="1020" ht="22.5" customHeight="1">
      <c r="A1020" s="8"/>
      <c r="B1020" s="8"/>
      <c r="C1020" s="16"/>
      <c r="D1020" s="14"/>
      <c r="E1020" s="14"/>
      <c r="F1020" s="14"/>
      <c r="G1020" s="14"/>
      <c r="H1020" s="14"/>
    </row>
    <row r="1021" ht="22.5" customHeight="1">
      <c r="A1021" s="8"/>
      <c r="B1021" s="8"/>
      <c r="C1021" s="16"/>
      <c r="D1021" s="14"/>
      <c r="E1021" s="14"/>
      <c r="F1021" s="14"/>
      <c r="G1021" s="14"/>
      <c r="H1021" s="14"/>
    </row>
    <row r="1022" ht="22.5" customHeight="1">
      <c r="A1022" s="8"/>
      <c r="B1022" s="8"/>
      <c r="C1022" s="16"/>
      <c r="D1022" s="14"/>
      <c r="E1022" s="14"/>
      <c r="F1022" s="14"/>
      <c r="G1022" s="14"/>
      <c r="H1022" s="14"/>
    </row>
    <row r="1023" ht="22.5" customHeight="1">
      <c r="A1023" s="8"/>
      <c r="B1023" s="8"/>
      <c r="C1023" s="16"/>
      <c r="D1023" s="14"/>
      <c r="E1023" s="14"/>
      <c r="F1023" s="14"/>
      <c r="G1023" s="14"/>
      <c r="H1023" s="14"/>
    </row>
    <row r="1024" ht="22.5" customHeight="1">
      <c r="A1024" s="8"/>
      <c r="B1024" s="8"/>
      <c r="C1024" s="16"/>
      <c r="D1024" s="14"/>
      <c r="E1024" s="14"/>
      <c r="F1024" s="14"/>
      <c r="G1024" s="14"/>
      <c r="H1024" s="14"/>
    </row>
    <row r="1025" ht="22.5" customHeight="1">
      <c r="A1025" s="8"/>
      <c r="B1025" s="8"/>
      <c r="C1025" s="16"/>
      <c r="D1025" s="14"/>
      <c r="E1025" s="14"/>
      <c r="F1025" s="14"/>
      <c r="G1025" s="14"/>
      <c r="H1025" s="14"/>
    </row>
    <row r="1026" ht="22.5" customHeight="1">
      <c r="A1026" s="8"/>
      <c r="B1026" s="8"/>
      <c r="C1026" s="16"/>
      <c r="D1026" s="14"/>
      <c r="E1026" s="14"/>
      <c r="F1026" s="14"/>
      <c r="G1026" s="14"/>
      <c r="H1026" s="14"/>
    </row>
    <row r="1027" ht="22.5" customHeight="1">
      <c r="A1027" s="8"/>
      <c r="B1027" s="8"/>
      <c r="C1027" s="16"/>
      <c r="D1027" s="14"/>
      <c r="E1027" s="14"/>
      <c r="F1027" s="14"/>
      <c r="G1027" s="14"/>
      <c r="H1027" s="14"/>
    </row>
    <row r="1028" ht="22.5" customHeight="1">
      <c r="A1028" s="8"/>
      <c r="B1028" s="8"/>
      <c r="C1028" s="16"/>
      <c r="D1028" s="14"/>
      <c r="E1028" s="14"/>
      <c r="F1028" s="14"/>
      <c r="G1028" s="14"/>
      <c r="H1028" s="14"/>
    </row>
    <row r="1029" ht="22.5" customHeight="1">
      <c r="A1029" s="8"/>
      <c r="B1029" s="8"/>
      <c r="C1029" s="16"/>
      <c r="D1029" s="14"/>
      <c r="E1029" s="14"/>
      <c r="F1029" s="14"/>
      <c r="G1029" s="14"/>
      <c r="H1029" s="14"/>
    </row>
    <row r="1030" ht="22.5" customHeight="1">
      <c r="A1030" s="8"/>
      <c r="B1030" s="8"/>
      <c r="C1030" s="16"/>
      <c r="D1030" s="14"/>
      <c r="E1030" s="14"/>
      <c r="F1030" s="14"/>
      <c r="G1030" s="14"/>
      <c r="H1030" s="14"/>
    </row>
    <row r="1031" ht="22.5" customHeight="1">
      <c r="A1031" s="8"/>
      <c r="B1031" s="8"/>
      <c r="C1031" s="16"/>
      <c r="D1031" s="14"/>
      <c r="E1031" s="14"/>
      <c r="F1031" s="14"/>
      <c r="G1031" s="14"/>
      <c r="H1031" s="14"/>
    </row>
    <row r="1032" ht="22.5" customHeight="1">
      <c r="A1032" s="8"/>
      <c r="B1032" s="8"/>
      <c r="C1032" s="16"/>
      <c r="D1032" s="14"/>
      <c r="E1032" s="14"/>
      <c r="F1032" s="14"/>
      <c r="G1032" s="14"/>
      <c r="H1032" s="14"/>
    </row>
    <row r="1033" ht="22.5" customHeight="1">
      <c r="A1033" s="8"/>
      <c r="B1033" s="8"/>
      <c r="C1033" s="16"/>
      <c r="D1033" s="14"/>
      <c r="E1033" s="14"/>
      <c r="F1033" s="14"/>
      <c r="G1033" s="14"/>
      <c r="H1033" s="14"/>
    </row>
    <row r="1034" ht="22.5" customHeight="1">
      <c r="A1034" s="8"/>
      <c r="B1034" s="8"/>
      <c r="C1034" s="16"/>
      <c r="D1034" s="14"/>
      <c r="E1034" s="14"/>
      <c r="F1034" s="14"/>
      <c r="G1034" s="14"/>
      <c r="H1034" s="14"/>
    </row>
    <row r="1035" ht="22.5" customHeight="1">
      <c r="A1035" s="8"/>
      <c r="B1035" s="8"/>
      <c r="C1035" s="16"/>
      <c r="D1035" s="14"/>
      <c r="E1035" s="14"/>
      <c r="F1035" s="14"/>
      <c r="G1035" s="14"/>
      <c r="H1035" s="14"/>
    </row>
    <row r="1036" ht="22.5" customHeight="1">
      <c r="A1036" s="8"/>
      <c r="B1036" s="8"/>
      <c r="C1036" s="16"/>
      <c r="D1036" s="14"/>
      <c r="E1036" s="14"/>
      <c r="F1036" s="14"/>
      <c r="G1036" s="14"/>
      <c r="H1036" s="14"/>
    </row>
    <row r="1037" ht="22.5" customHeight="1">
      <c r="A1037" s="8"/>
      <c r="B1037" s="8"/>
      <c r="C1037" s="16"/>
      <c r="D1037" s="14"/>
      <c r="E1037" s="14"/>
      <c r="F1037" s="14"/>
      <c r="G1037" s="14"/>
      <c r="H1037" s="14"/>
    </row>
    <row r="1038" ht="22.5" customHeight="1">
      <c r="A1038" s="8"/>
      <c r="B1038" s="8"/>
      <c r="C1038" s="16"/>
      <c r="D1038" s="14"/>
      <c r="E1038" s="14"/>
      <c r="F1038" s="14"/>
      <c r="G1038" s="14"/>
      <c r="H1038" s="14"/>
    </row>
    <row r="1039" ht="22.5" customHeight="1">
      <c r="A1039" s="8"/>
      <c r="B1039" s="8"/>
      <c r="C1039" s="16"/>
      <c r="D1039" s="14"/>
      <c r="E1039" s="14"/>
      <c r="F1039" s="14"/>
      <c r="G1039" s="14"/>
      <c r="H1039" s="14"/>
    </row>
    <row r="1040" ht="22.5" customHeight="1">
      <c r="A1040" s="8"/>
      <c r="B1040" s="8"/>
      <c r="C1040" s="16"/>
      <c r="D1040" s="14"/>
      <c r="E1040" s="14"/>
      <c r="F1040" s="14"/>
      <c r="G1040" s="14"/>
      <c r="H1040" s="14"/>
    </row>
    <row r="1041" ht="22.5" customHeight="1">
      <c r="A1041" s="8"/>
      <c r="B1041" s="8"/>
      <c r="C1041" s="16"/>
      <c r="D1041" s="14"/>
      <c r="E1041" s="14"/>
      <c r="F1041" s="14"/>
      <c r="G1041" s="14"/>
      <c r="H1041" s="14"/>
    </row>
    <row r="1042" ht="22.5" customHeight="1">
      <c r="A1042" s="8"/>
      <c r="B1042" s="8"/>
      <c r="C1042" s="16"/>
      <c r="D1042" s="14"/>
      <c r="E1042" s="14"/>
      <c r="F1042" s="14"/>
      <c r="G1042" s="14"/>
      <c r="H1042" s="14"/>
    </row>
    <row r="1043" ht="22.5" customHeight="1">
      <c r="A1043" s="8"/>
      <c r="B1043" s="8"/>
      <c r="C1043" s="16"/>
      <c r="D1043" s="14"/>
      <c r="E1043" s="14"/>
      <c r="F1043" s="14"/>
      <c r="G1043" s="14"/>
      <c r="H1043" s="14"/>
    </row>
    <row r="1044" ht="22.5" customHeight="1">
      <c r="A1044" s="8"/>
      <c r="B1044" s="8"/>
      <c r="C1044" s="16"/>
      <c r="D1044" s="14"/>
      <c r="E1044" s="14"/>
      <c r="F1044" s="14"/>
      <c r="G1044" s="14"/>
      <c r="H1044" s="14"/>
    </row>
    <row r="1045" ht="22.5" customHeight="1">
      <c r="A1045" s="8"/>
      <c r="B1045" s="8"/>
      <c r="C1045" s="16"/>
      <c r="D1045" s="14"/>
      <c r="E1045" s="14"/>
      <c r="F1045" s="14"/>
      <c r="G1045" s="14"/>
      <c r="H1045" s="14"/>
    </row>
    <row r="1046" ht="22.5" customHeight="1">
      <c r="A1046" s="8"/>
      <c r="B1046" s="8"/>
      <c r="C1046" s="16"/>
      <c r="D1046" s="14"/>
      <c r="E1046" s="14"/>
      <c r="F1046" s="14"/>
      <c r="G1046" s="14"/>
      <c r="H1046" s="14"/>
    </row>
    <row r="1047" ht="22.5" customHeight="1">
      <c r="A1047" s="8"/>
      <c r="B1047" s="8"/>
      <c r="C1047" s="16"/>
      <c r="D1047" s="14"/>
      <c r="E1047" s="14"/>
      <c r="F1047" s="14"/>
      <c r="G1047" s="14"/>
      <c r="H1047" s="14"/>
    </row>
    <row r="1048" ht="22.5" customHeight="1">
      <c r="A1048" s="8"/>
      <c r="B1048" s="8"/>
      <c r="C1048" s="16"/>
      <c r="D1048" s="14"/>
      <c r="E1048" s="14"/>
      <c r="F1048" s="14"/>
      <c r="G1048" s="14"/>
      <c r="H1048" s="14"/>
    </row>
    <row r="1049" ht="22.5" customHeight="1">
      <c r="A1049" s="8"/>
      <c r="B1049" s="8"/>
      <c r="C1049" s="16"/>
      <c r="D1049" s="14"/>
      <c r="E1049" s="14"/>
      <c r="F1049" s="14"/>
      <c r="G1049" s="14"/>
      <c r="H1049" s="14"/>
    </row>
    <row r="1050" ht="22.5" customHeight="1">
      <c r="A1050" s="8"/>
      <c r="B1050" s="8"/>
      <c r="C1050" s="16"/>
      <c r="D1050" s="14"/>
      <c r="E1050" s="14"/>
      <c r="F1050" s="14"/>
      <c r="G1050" s="14"/>
      <c r="H1050" s="14"/>
    </row>
    <row r="1051" ht="22.5" customHeight="1">
      <c r="A1051" s="8"/>
      <c r="B1051" s="8"/>
      <c r="C1051" s="16"/>
      <c r="D1051" s="14"/>
      <c r="E1051" s="14"/>
      <c r="F1051" s="14"/>
      <c r="G1051" s="14"/>
      <c r="H1051" s="14"/>
    </row>
    <row r="1052" ht="22.5" customHeight="1">
      <c r="A1052" s="8"/>
      <c r="B1052" s="8"/>
      <c r="C1052" s="16"/>
      <c r="D1052" s="14"/>
      <c r="E1052" s="14"/>
      <c r="F1052" s="14"/>
      <c r="G1052" s="14"/>
      <c r="H1052" s="14"/>
    </row>
    <row r="1053" ht="22.5" customHeight="1">
      <c r="A1053" s="8"/>
      <c r="B1053" s="8"/>
      <c r="C1053" s="16"/>
      <c r="D1053" s="14"/>
      <c r="E1053" s="14"/>
      <c r="F1053" s="14"/>
      <c r="G1053" s="14"/>
      <c r="H1053" s="14"/>
    </row>
  </sheetData>
  <mergeCells count="1">
    <mergeCell ref="A1:E1"/>
  </mergeCells>
  <conditionalFormatting sqref="C502:F584 C586:F587 C589:E596 F589:F600 C598:E600">
    <cfRule type="expression" dxfId="0" priority="1">
      <formula>#REF!=TRUE</formula>
    </cfRule>
  </conditionalFormatting>
  <conditionalFormatting sqref="C597:E597">
    <cfRule type="expression" dxfId="0" priority="2">
      <formula>#REF!=TRUE</formula>
    </cfRule>
  </conditionalFormatting>
  <conditionalFormatting sqref="C501:E501">
    <cfRule type="expression" dxfId="0" priority="3">
      <formula>#REF!=TRUE</formula>
    </cfRule>
  </conditionalFormatting>
  <conditionalFormatting sqref="A3:A488 B3:B1053 C3:H488 A490:A491 C490:H491 A493:A1053 C493:E500 F493:F501 G493:H1053 C601:F1053">
    <cfRule type="expression" dxfId="0" priority="4">
      <formula>$B3=TRUE</formula>
    </cfRule>
  </conditionalFormatting>
  <hyperlinks>
    <hyperlink r:id="rId1" ref="C8"/>
    <hyperlink r:id="rId2" ref="C242"/>
    <hyperlink r:id="rId3" ref="D337"/>
  </hyperlinks>
  <drawing r:id="rId4"/>
</worksheet>
</file>